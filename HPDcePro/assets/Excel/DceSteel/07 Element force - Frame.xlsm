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4A23D670-FDD1-4DE0-9B72-EC9AFBD174CF}" xr6:coauthVersionLast="47" xr6:coauthVersionMax="47" xr10:uidLastSave="{00000000-0000-0000-0000-000000000000}"/>
  <bookViews>
    <workbookView xWindow="-120" yWindow="-120" windowWidth="29040" windowHeight="15720" xr2:uid="{44C24C4B-3535-4E89-8165-7A745F411712}"/>
  </bookViews>
  <sheets>
    <sheet name="Frame" sheetId="1" r:id="rId1"/>
    <sheet name="Column" sheetId="2" state="hidden" r:id="rId2"/>
  </sheets>
  <functionGroups builtInGroupCount="19"/>
  <definedNames>
    <definedName name="SLSLOADCASE">Frame!$A$5:$J$10000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25" i="1" l="1"/>
  <c r="AI25" i="1" s="1"/>
  <c r="AJ24" i="1"/>
  <c r="AF24" i="1" s="1"/>
  <c r="AJ23" i="1"/>
  <c r="AI23" i="1" s="1"/>
  <c r="AJ22" i="1"/>
  <c r="AC22" i="1" s="1"/>
  <c r="AJ21" i="1"/>
  <c r="AI21" i="1" s="1"/>
  <c r="AJ20" i="1"/>
  <c r="AI20" i="1" s="1"/>
  <c r="AM15" i="1"/>
  <c r="AA15" i="1" s="1"/>
  <c r="AI15" i="1" s="1" a="1"/>
  <c r="AI15" i="1" s="1"/>
  <c r="AM14" i="1"/>
  <c r="AA14" i="1" s="1"/>
  <c r="AI14" i="1" s="1" a="1"/>
  <c r="AI14" i="1" s="1"/>
  <c r="AL13" i="1"/>
  <c r="AA13" i="1" s="1"/>
  <c r="AI13" i="1" s="1" a="1"/>
  <c r="AI13" i="1" s="1"/>
  <c r="AL12" i="1"/>
  <c r="AA12" i="1" s="1"/>
  <c r="AJ12" i="1" s="1" a="1"/>
  <c r="AJ12" i="1" s="1"/>
  <c r="AK11" i="1"/>
  <c r="AA11" i="1" s="1"/>
  <c r="AJ11" i="1" s="1" a="1"/>
  <c r="AJ11" i="1" s="1"/>
  <c r="AK10" i="1"/>
  <c r="AA10" i="1" s="1"/>
  <c r="AO10" i="1" s="1" a="1"/>
  <c r="AO10" i="1" s="1"/>
  <c r="AJ9" i="1"/>
  <c r="AA9" i="1" s="1"/>
  <c r="AC9" i="1" s="1" a="1"/>
  <c r="AC9" i="1" s="1"/>
  <c r="AJ8" i="1"/>
  <c r="AA8" i="1" s="1"/>
  <c r="AL8" i="1" s="1" a="1"/>
  <c r="AL8" i="1" s="1"/>
  <c r="AI7" i="1"/>
  <c r="AA7" i="1" s="1"/>
  <c r="AL7" i="1" s="1" a="1"/>
  <c r="AL7" i="1" s="1"/>
  <c r="AI6" i="1"/>
  <c r="AA6" i="1" s="1"/>
  <c r="AH6" i="1" s="1" a="1"/>
  <c r="AH6" i="1" s="1"/>
  <c r="AH5" i="1"/>
  <c r="AA5" i="1" s="1"/>
  <c r="AM5" i="1" s="1" a="1"/>
  <c r="AM5" i="1" s="1"/>
  <c r="AH4" i="1"/>
  <c r="AA4" i="1" s="1"/>
  <c r="AM4" i="1" s="1" a="1"/>
  <c r="AM4" i="1" s="1"/>
  <c r="AM15" i="2"/>
  <c r="AL13" i="2"/>
  <c r="AK11" i="2"/>
  <c r="AJ9" i="2"/>
  <c r="AI7" i="2"/>
  <c r="AH5" i="2"/>
  <c r="AM14" i="2"/>
  <c r="AL12" i="2"/>
  <c r="AK10" i="2"/>
  <c r="AJ8" i="2"/>
  <c r="AI6" i="2"/>
  <c r="AH4" i="2"/>
  <c r="AN11" i="1" l="1" a="1"/>
  <c r="AN11" i="1" s="1"/>
  <c r="AN10" i="1" a="1"/>
  <c r="AN10" i="1" s="1"/>
  <c r="AC8" i="1" a="1"/>
  <c r="AC8" i="1" s="1"/>
  <c r="AD7" i="1" a="1"/>
  <c r="AD7" i="1" s="1"/>
  <c r="AD6" i="1" a="1"/>
  <c r="AD6" i="1" s="1"/>
  <c r="AC7" i="1" a="1"/>
  <c r="AC7" i="1" s="1"/>
  <c r="AD5" i="1" a="1"/>
  <c r="AD5" i="1" s="1"/>
  <c r="AN9" i="1" a="1"/>
  <c r="AN9" i="1" s="1"/>
  <c r="AO5" i="1" a="1"/>
  <c r="AO5" i="1" s="1"/>
  <c r="AN8" i="1" a="1"/>
  <c r="AN8" i="1" s="1"/>
  <c r="AP4" i="1" a="1"/>
  <c r="AP4" i="1" s="1"/>
  <c r="AE4" i="1" a="1"/>
  <c r="AE4" i="1" s="1"/>
  <c r="AO8" i="1" a="1"/>
  <c r="AO8" i="1" s="1"/>
  <c r="AO6" i="1" a="1"/>
  <c r="AO6" i="1" s="1"/>
  <c r="AC6" i="1" a="1"/>
  <c r="AC6" i="1" s="1"/>
  <c r="AN7" i="1" a="1"/>
  <c r="AN7" i="1" s="1"/>
  <c r="AE15" i="1" a="1"/>
  <c r="AE15" i="1" s="1"/>
  <c r="AP13" i="1" a="1"/>
  <c r="AP13" i="1" s="1"/>
  <c r="AD15" i="1" a="1"/>
  <c r="AD15" i="1" s="1"/>
  <c r="AE13" i="1" a="1"/>
  <c r="AE13" i="1" s="1"/>
  <c r="AP14" i="1" a="1"/>
  <c r="AP14" i="1" s="1"/>
  <c r="AD4" i="1" a="1"/>
  <c r="AD4" i="1" s="1"/>
  <c r="AO4" i="1" a="1"/>
  <c r="AO4" i="1" s="1"/>
  <c r="AC14" i="1" a="1"/>
  <c r="AC14" i="1" s="1"/>
  <c r="AE12" i="1" a="1"/>
  <c r="AE12" i="1" s="1"/>
  <c r="AO15" i="1" a="1"/>
  <c r="AO15" i="1" s="1"/>
  <c r="AP11" i="1" a="1"/>
  <c r="AP11" i="1" s="1"/>
  <c r="AC13" i="1" a="1"/>
  <c r="AC13" i="1" s="1"/>
  <c r="AD14" i="1" a="1"/>
  <c r="AD14" i="1" s="1"/>
  <c r="AE11" i="1" a="1"/>
  <c r="AE11" i="1" s="1"/>
  <c r="AO14" i="1" a="1"/>
  <c r="AO14" i="1" s="1"/>
  <c r="AP10" i="1" a="1"/>
  <c r="AP10" i="1" s="1"/>
  <c r="AD13" i="1" a="1"/>
  <c r="AD13" i="1" s="1"/>
  <c r="AE10" i="1" a="1"/>
  <c r="AE10" i="1" s="1"/>
  <c r="AP12" i="1" a="1"/>
  <c r="AP12" i="1" s="1"/>
  <c r="AN4" i="1" a="1"/>
  <c r="AN4" i="1" s="1"/>
  <c r="AO13" i="1" a="1"/>
  <c r="AO13" i="1" s="1"/>
  <c r="AP9" i="1" a="1"/>
  <c r="AP9" i="1" s="1"/>
  <c r="AC12" i="1" a="1"/>
  <c r="AC12" i="1" s="1"/>
  <c r="AD12" i="1" a="1"/>
  <c r="AD12" i="1" s="1"/>
  <c r="AE9" i="1" a="1"/>
  <c r="AE9" i="1" s="1"/>
  <c r="AN15" i="1" a="1"/>
  <c r="AN15" i="1" s="1"/>
  <c r="AP8" i="1" a="1"/>
  <c r="AP8" i="1" s="1"/>
  <c r="AC11" i="1" a="1"/>
  <c r="AC11" i="1" s="1"/>
  <c r="AD11" i="1" a="1"/>
  <c r="AD11" i="1" s="1"/>
  <c r="AE8" i="1" a="1"/>
  <c r="AE8" i="1" s="1"/>
  <c r="AC4" i="1" a="1"/>
  <c r="AC4" i="1" s="1"/>
  <c r="AN5" i="1" a="1"/>
  <c r="AN5" i="1" s="1"/>
  <c r="AC15" i="1" a="1"/>
  <c r="AC15" i="1" s="1"/>
  <c r="AO12" i="1" a="1"/>
  <c r="AO12" i="1" s="1"/>
  <c r="AN14" i="1" a="1"/>
  <c r="AN14" i="1" s="1"/>
  <c r="AO11" i="1" a="1"/>
  <c r="AO11" i="1" s="1"/>
  <c r="AP7" i="1" a="1"/>
  <c r="AP7" i="1" s="1"/>
  <c r="AC10" i="1" a="1"/>
  <c r="AC10" i="1" s="1"/>
  <c r="AD10" i="1" a="1"/>
  <c r="AD10" i="1" s="1"/>
  <c r="AE7" i="1" a="1"/>
  <c r="AE7" i="1" s="1"/>
  <c r="AO7" i="1" a="1"/>
  <c r="AO7" i="1" s="1"/>
  <c r="AP15" i="1" a="1"/>
  <c r="AP15" i="1" s="1"/>
  <c r="AC5" i="1" a="1"/>
  <c r="AC5" i="1" s="1"/>
  <c r="AN6" i="1" a="1"/>
  <c r="AN6" i="1" s="1"/>
  <c r="AE14" i="1" a="1"/>
  <c r="AE14" i="1" s="1"/>
  <c r="AN13" i="1" a="1"/>
  <c r="AN13" i="1" s="1"/>
  <c r="AP6" i="1" a="1"/>
  <c r="AP6" i="1" s="1"/>
  <c r="AD9" i="1" a="1"/>
  <c r="AD9" i="1" s="1"/>
  <c r="AE6" i="1" a="1"/>
  <c r="AE6" i="1" s="1"/>
  <c r="AN12" i="1" a="1"/>
  <c r="AN12" i="1" s="1"/>
  <c r="AO9" i="1" a="1"/>
  <c r="AO9" i="1" s="1"/>
  <c r="AP5" i="1" a="1"/>
  <c r="AP5" i="1" s="1"/>
  <c r="AD8" i="1" a="1"/>
  <c r="AD8" i="1" s="1"/>
  <c r="AE5" i="1" a="1"/>
  <c r="AE5" i="1" s="1"/>
  <c r="AG4" i="1" a="1"/>
  <c r="AG4" i="1" s="1"/>
  <c r="AI12" i="1" a="1"/>
  <c r="AI12" i="1" s="1"/>
  <c r="AK4" i="1" a="1"/>
  <c r="AK4" i="1" s="1"/>
  <c r="AL6" i="1" a="1"/>
  <c r="AL6" i="1" s="1"/>
  <c r="AH15" i="1" a="1"/>
  <c r="AH15" i="1" s="1"/>
  <c r="AG14" i="1" a="1"/>
  <c r="AG14" i="1" s="1"/>
  <c r="AL14" i="1" a="1"/>
  <c r="AL14" i="1" s="1"/>
  <c r="AI10" i="1" a="1"/>
  <c r="AI10" i="1" s="1"/>
  <c r="AI9" i="1" a="1"/>
  <c r="AI9" i="1" s="1"/>
  <c r="AG12" i="1" a="1"/>
  <c r="AG12" i="1" s="1"/>
  <c r="AJ4" i="1" a="1"/>
  <c r="AJ4" i="1" s="1"/>
  <c r="AK5" i="1" a="1"/>
  <c r="AK5" i="1" s="1"/>
  <c r="AM13" i="1" a="1"/>
  <c r="AM13" i="1" s="1"/>
  <c r="AG15" i="1" a="1"/>
  <c r="AG15" i="1" s="1"/>
  <c r="AH14" i="1" a="1"/>
  <c r="AH14" i="1" s="1"/>
  <c r="AI11" i="1" a="1"/>
  <c r="AI11" i="1" s="1"/>
  <c r="AK9" i="1" a="1"/>
  <c r="AK9" i="1" s="1"/>
  <c r="AL5" i="1" a="1"/>
  <c r="AL5" i="1" s="1"/>
  <c r="AH13" i="1" a="1"/>
  <c r="AH13" i="1" s="1"/>
  <c r="AK8" i="1" a="1"/>
  <c r="AK8" i="1" s="1"/>
  <c r="AL15" i="1" a="1"/>
  <c r="AL15" i="1" s="1"/>
  <c r="AM12" i="1" a="1"/>
  <c r="AM12" i="1" s="1"/>
  <c r="AF13" i="1" a="1"/>
  <c r="AF13" i="1" s="1"/>
  <c r="AG10" i="1" a="1"/>
  <c r="AG10" i="1" s="1"/>
  <c r="AH9" i="1" a="1"/>
  <c r="AH9" i="1" s="1"/>
  <c r="AJ5" i="1" a="1"/>
  <c r="AJ5" i="1" s="1"/>
  <c r="AK15" i="1" a="1"/>
  <c r="AK15" i="1" s="1"/>
  <c r="AH12" i="1" a="1"/>
  <c r="AH12" i="1" s="1"/>
  <c r="AK7" i="1" a="1"/>
  <c r="AK7" i="1" s="1"/>
  <c r="AF4" i="1" a="1"/>
  <c r="AF4" i="1" s="1"/>
  <c r="AH11" i="1" a="1"/>
  <c r="AH11" i="1" s="1"/>
  <c r="AK6" i="1" a="1"/>
  <c r="AK6" i="1" s="1"/>
  <c r="AF15" i="1" a="1"/>
  <c r="AF15" i="1" s="1"/>
  <c r="AG11" i="1" a="1"/>
  <c r="AG11" i="1" s="1"/>
  <c r="AG9" i="1" a="1"/>
  <c r="AG9" i="1" s="1"/>
  <c r="AH8" i="1" a="1"/>
  <c r="AH8" i="1" s="1"/>
  <c r="AJ7" i="1" a="1"/>
  <c r="AJ7" i="1" s="1"/>
  <c r="AK14" i="1" a="1"/>
  <c r="AK14" i="1" s="1"/>
  <c r="AM11" i="1" a="1"/>
  <c r="AM11" i="1" s="1"/>
  <c r="AJ6" i="1" a="1"/>
  <c r="AJ6" i="1" s="1"/>
  <c r="AF11" i="1" a="1"/>
  <c r="AF11" i="1" s="1"/>
  <c r="AG8" i="1" a="1"/>
  <c r="AG8" i="1" s="1"/>
  <c r="AH7" i="1" a="1"/>
  <c r="AH7" i="1" s="1"/>
  <c r="AJ10" i="1" a="1"/>
  <c r="AJ10" i="1" s="1"/>
  <c r="AK13" i="1" a="1"/>
  <c r="AK13" i="1" s="1"/>
  <c r="AM10" i="1" a="1"/>
  <c r="AM10" i="1" s="1"/>
  <c r="AH10" i="1" a="1"/>
  <c r="AH10" i="1" s="1"/>
  <c r="AF12" i="1" a="1"/>
  <c r="AF12" i="1" s="1"/>
  <c r="AF10" i="1" a="1"/>
  <c r="AF10" i="1" s="1"/>
  <c r="AG7" i="1" a="1"/>
  <c r="AG7" i="1" s="1"/>
  <c r="AI4" i="1" a="1"/>
  <c r="AI4" i="1" s="1"/>
  <c r="AJ15" i="1" a="1"/>
  <c r="AJ15" i="1" s="1"/>
  <c r="AL4" i="1" a="1"/>
  <c r="AL4" i="1" s="1"/>
  <c r="AM9" i="1" a="1"/>
  <c r="AM9" i="1" s="1"/>
  <c r="AG13" i="1" a="1"/>
  <c r="AG13" i="1" s="1"/>
  <c r="AF14" i="1" a="1"/>
  <c r="AF14" i="1" s="1"/>
  <c r="AK12" i="1" a="1"/>
  <c r="AK12" i="1" s="1"/>
  <c r="AF9" i="1" a="1"/>
  <c r="AF9" i="1" s="1"/>
  <c r="AG6" i="1" a="1"/>
  <c r="AG6" i="1" s="1"/>
  <c r="AI5" i="1" a="1"/>
  <c r="AI5" i="1" s="1"/>
  <c r="AJ14" i="1" a="1"/>
  <c r="AJ14" i="1" s="1"/>
  <c r="AL11" i="1" a="1"/>
  <c r="AL11" i="1" s="1"/>
  <c r="AM8" i="1" a="1"/>
  <c r="AM8" i="1" s="1"/>
  <c r="AF8" i="1" a="1"/>
  <c r="AF8" i="1" s="1"/>
  <c r="AI8" i="1" a="1"/>
  <c r="AI8" i="1" s="1"/>
  <c r="AL10" i="1" a="1"/>
  <c r="AL10" i="1" s="1"/>
  <c r="AF7" i="1" a="1"/>
  <c r="AF7" i="1" s="1"/>
  <c r="AG5" i="1" a="1"/>
  <c r="AG5" i="1" s="1"/>
  <c r="AJ13" i="1" a="1"/>
  <c r="AJ13" i="1" s="1"/>
  <c r="AL9" i="1" a="1"/>
  <c r="AL9" i="1" s="1"/>
  <c r="AM7" i="1" a="1"/>
  <c r="AM7" i="1" s="1"/>
  <c r="AF6" i="1" a="1"/>
  <c r="AF6" i="1" s="1"/>
  <c r="AM6" i="1" a="1"/>
  <c r="AM6" i="1" s="1"/>
  <c r="AF5" i="1" a="1"/>
  <c r="AF5" i="1" s="1"/>
  <c r="AB4" i="2"/>
  <c r="AG4" i="2" s="1" a="1"/>
  <c r="AG4" i="2" s="1"/>
  <c r="BA4" i="2"/>
  <c r="AB6" i="2"/>
  <c r="AF6" i="2" s="1" a="1"/>
  <c r="AF6" i="2" s="1"/>
  <c r="BJ6" i="2" s="1"/>
  <c r="BC6" i="2"/>
  <c r="AB8" i="2"/>
  <c r="AK8" i="2" s="1" a="1"/>
  <c r="AK8" i="2" s="1"/>
  <c r="BB8" i="2" s="1"/>
  <c r="BF8" i="2"/>
  <c r="AB10" i="2"/>
  <c r="AG10" i="2" s="1" a="1"/>
  <c r="AG10" i="2" s="1"/>
  <c r="BB10" i="2"/>
  <c r="AB12" i="2"/>
  <c r="AM12" i="2" s="1" a="1"/>
  <c r="AM12" i="2" s="1"/>
  <c r="BD12" i="2" s="1"/>
  <c r="BG12" i="2"/>
  <c r="AB14" i="2"/>
  <c r="AH14" i="2" s="1" a="1"/>
  <c r="AH14" i="2" s="1"/>
  <c r="BA14" i="2" s="1"/>
  <c r="BD14" i="2"/>
  <c r="AB5" i="2"/>
  <c r="AG5" i="2" s="1" a="1"/>
  <c r="AG5" i="2" s="1"/>
  <c r="BA5" i="2"/>
  <c r="AB7" i="2"/>
  <c r="AE7" i="2" s="1" a="1"/>
  <c r="AE7" i="2" s="1"/>
  <c r="BC7" i="2"/>
  <c r="AB9" i="2"/>
  <c r="AH9" i="2" s="1" a="1"/>
  <c r="AH9" i="2" s="1"/>
  <c r="BA9" i="2" s="1"/>
  <c r="BF9" i="2"/>
  <c r="AB11" i="2"/>
  <c r="AL11" i="2" s="1" a="1"/>
  <c r="AL11" i="2" s="1"/>
  <c r="BG11" i="2" s="1"/>
  <c r="BB11" i="2"/>
  <c r="AB13" i="2"/>
  <c r="AC13" i="2" s="1" a="1"/>
  <c r="AC13" i="2" s="1"/>
  <c r="BG13" i="2"/>
  <c r="AB15" i="2"/>
  <c r="AD15" i="2" s="1" a="1"/>
  <c r="AD15" i="2" s="1"/>
  <c r="BD15" i="2"/>
  <c r="AH21" i="1"/>
  <c r="AC20" i="1"/>
  <c r="AE22" i="1"/>
  <c r="AG24" i="1"/>
  <c r="AE21" i="1"/>
  <c r="AH24" i="1"/>
  <c r="AI24" i="1"/>
  <c r="AD22" i="1"/>
  <c r="AF22" i="1"/>
  <c r="AG22" i="1"/>
  <c r="AF20" i="1"/>
  <c r="AH22" i="1"/>
  <c r="AC25" i="1"/>
  <c r="AF21" i="1"/>
  <c r="AD20" i="1"/>
  <c r="AE20" i="1"/>
  <c r="AG20" i="1"/>
  <c r="AI22" i="1"/>
  <c r="AD25" i="1"/>
  <c r="AE25" i="1"/>
  <c r="AF25" i="1"/>
  <c r="AG25" i="1"/>
  <c r="AG23" i="1"/>
  <c r="AH20" i="1"/>
  <c r="AC23" i="1"/>
  <c r="AD23" i="1"/>
  <c r="AC21" i="1"/>
  <c r="AE23" i="1"/>
  <c r="AD21" i="1"/>
  <c r="AF23" i="1"/>
  <c r="AH25" i="1"/>
  <c r="AH23" i="1"/>
  <c r="AG21" i="1"/>
  <c r="AC24" i="1"/>
  <c r="AD24" i="1"/>
  <c r="AE24" i="1"/>
  <c r="AC10" i="2" l="1" a="1"/>
  <c r="AC10" i="2" s="1"/>
  <c r="AI8" i="2" a="1"/>
  <c r="AI8" i="2" s="1"/>
  <c r="BC8" i="2" s="1"/>
  <c r="AD4" i="2" a="1"/>
  <c r="AD4" i="2" s="1"/>
  <c r="AH15" i="2" a="1"/>
  <c r="AH15" i="2" s="1"/>
  <c r="BA15" i="2" s="1"/>
  <c r="AG9" i="2" a="1"/>
  <c r="AG9" i="2" s="1"/>
  <c r="AF8" i="2" a="1"/>
  <c r="AF8" i="2" s="1"/>
  <c r="BJ8" i="2" s="1"/>
  <c r="AE15" i="2" a="1"/>
  <c r="AE15" i="2" s="1"/>
  <c r="AG6" i="2" a="1"/>
  <c r="AG6" i="2" s="1"/>
  <c r="AC6" i="2" a="1"/>
  <c r="AC6" i="2" s="1"/>
  <c r="AI10" i="2" a="1"/>
  <c r="AI10" i="2" s="1"/>
  <c r="BC10" i="2" s="1"/>
  <c r="AF10" i="2" a="1"/>
  <c r="AF10" i="2" s="1"/>
  <c r="BJ10" i="2" s="1"/>
  <c r="AC5" i="2" a="1"/>
  <c r="AC5" i="2" s="1"/>
  <c r="AJ4" i="2" a="1"/>
  <c r="AJ4" i="2" s="1"/>
  <c r="BF4" i="2" s="1"/>
  <c r="AH11" i="2" a="1"/>
  <c r="AH11" i="2" s="1"/>
  <c r="BA11" i="2" s="1"/>
  <c r="AD9" i="2" a="1"/>
  <c r="AD9" i="2" s="1"/>
  <c r="AE6" i="2" a="1"/>
  <c r="AE6" i="2" s="1"/>
  <c r="AK12" i="2" a="1"/>
  <c r="AK12" i="2" s="1"/>
  <c r="BB12" i="2" s="1"/>
  <c r="AD12" i="2" a="1"/>
  <c r="AD12" i="2" s="1"/>
  <c r="AL14" i="2" a="1"/>
  <c r="AL14" i="2" s="1"/>
  <c r="BG14" i="2" s="1"/>
  <c r="AF12" i="2" a="1"/>
  <c r="AF12" i="2" s="1"/>
  <c r="BJ12" i="2" s="1"/>
  <c r="AK4" i="2" a="1"/>
  <c r="AK4" i="2" s="1"/>
  <c r="BB4" i="2" s="1"/>
  <c r="AG8" i="2" a="1"/>
  <c r="AG8" i="2" s="1"/>
  <c r="AD13" i="2" a="1"/>
  <c r="AD13" i="2" s="1"/>
  <c r="AJ13" i="2" a="1"/>
  <c r="AJ13" i="2" s="1"/>
  <c r="BF13" i="2" s="1"/>
  <c r="AM8" i="2" a="1"/>
  <c r="AM8" i="2" s="1"/>
  <c r="BD8" i="2" s="1"/>
  <c r="AF9" i="2" a="1"/>
  <c r="AF9" i="2" s="1"/>
  <c r="BJ9" i="2" s="1"/>
  <c r="AL5" i="2" a="1"/>
  <c r="AL5" i="2" s="1"/>
  <c r="BG5" i="2" s="1"/>
  <c r="AI15" i="2" a="1"/>
  <c r="AI15" i="2" s="1"/>
  <c r="BC15" i="2" s="1"/>
  <c r="AE10" i="2" a="1"/>
  <c r="AE10" i="2" s="1"/>
  <c r="AM4" i="2" a="1"/>
  <c r="AM4" i="2" s="1"/>
  <c r="BD4" i="2" s="1"/>
  <c r="AL7" i="2" a="1"/>
  <c r="AL7" i="2" s="1"/>
  <c r="BG7" i="2" s="1"/>
  <c r="AM5" i="2" a="1"/>
  <c r="AM5" i="2" s="1"/>
  <c r="BD5" i="2" s="1"/>
  <c r="AI11" i="2" a="1"/>
  <c r="AI11" i="2" s="1"/>
  <c r="BC11" i="2" s="1"/>
  <c r="AD10" i="2" a="1"/>
  <c r="AD10" i="2" s="1"/>
  <c r="AK5" i="2" a="1"/>
  <c r="AK5" i="2" s="1"/>
  <c r="BB5" i="2" s="1"/>
  <c r="AI4" i="2" a="1"/>
  <c r="AI4" i="2" s="1"/>
  <c r="BC4" i="2" s="1"/>
  <c r="AC11" i="2" a="1"/>
  <c r="AC11" i="2" s="1"/>
  <c r="AE14" i="2" a="1"/>
  <c r="AE14" i="2" s="1"/>
  <c r="AJ12" i="2" a="1"/>
  <c r="AJ12" i="2" s="1"/>
  <c r="BF12" i="2" s="1"/>
  <c r="AL10" i="2" a="1"/>
  <c r="AL10" i="2" s="1"/>
  <c r="BG10" i="2" s="1"/>
  <c r="AJ5" i="2" a="1"/>
  <c r="AJ5" i="2" s="1"/>
  <c r="BF5" i="2" s="1"/>
  <c r="AL4" i="2" a="1"/>
  <c r="AL4" i="2" s="1"/>
  <c r="BG4" i="2" s="1"/>
  <c r="AI13" i="2" a="1"/>
  <c r="AI13" i="2" s="1"/>
  <c r="BC13" i="2" s="1"/>
  <c r="AK14" i="2" a="1"/>
  <c r="AK14" i="2" s="1"/>
  <c r="BB14" i="2" s="1"/>
  <c r="AG13" i="2" a="1"/>
  <c r="AG13" i="2" s="1"/>
  <c r="AL6" i="2" a="1"/>
  <c r="AL6" i="2" s="1"/>
  <c r="BG6" i="2" s="1"/>
  <c r="AD8" i="2" a="1"/>
  <c r="AD8" i="2" s="1"/>
  <c r="AK15" i="2" a="1"/>
  <c r="AK15" i="2" s="1"/>
  <c r="BB15" i="2" s="1"/>
  <c r="AC12" i="2" a="1"/>
  <c r="AC12" i="2" s="1"/>
  <c r="AJ15" i="2" a="1"/>
  <c r="AJ15" i="2" s="1"/>
  <c r="BF15" i="2" s="1"/>
  <c r="AE4" i="2" a="1"/>
  <c r="AE4" i="2" s="1"/>
  <c r="AE9" i="2" a="1"/>
  <c r="AE9" i="2" s="1"/>
  <c r="AD5" i="2" a="1"/>
  <c r="AD5" i="2" s="1"/>
  <c r="AG11" i="2" a="1"/>
  <c r="AG11" i="2" s="1"/>
  <c r="AJ10" i="2" a="1"/>
  <c r="AJ10" i="2" s="1"/>
  <c r="BF10" i="2" s="1"/>
  <c r="AC4" i="2" a="1"/>
  <c r="AC4" i="2" s="1"/>
  <c r="AI12" i="2" a="1"/>
  <c r="AI12" i="2" s="1"/>
  <c r="BC12" i="2" s="1"/>
  <c r="AM10" i="2" a="1"/>
  <c r="AM10" i="2" s="1"/>
  <c r="BD10" i="2" s="1"/>
  <c r="AI5" i="2" a="1"/>
  <c r="AI5" i="2" s="1"/>
  <c r="BC5" i="2" s="1"/>
  <c r="AF4" i="2" a="1"/>
  <c r="AF4" i="2" s="1"/>
  <c r="BJ4" i="2" s="1"/>
  <c r="AH13" i="2" a="1"/>
  <c r="AH13" i="2" s="1"/>
  <c r="BA13" i="2" s="1"/>
  <c r="AF14" i="2" a="1"/>
  <c r="AF14" i="2" s="1"/>
  <c r="BJ14" i="2" s="1"/>
  <c r="AH12" i="2" a="1"/>
  <c r="AH12" i="2" s="1"/>
  <c r="BA12" i="2" s="1"/>
  <c r="AC8" i="2" a="1"/>
  <c r="AC8" i="2" s="1"/>
  <c r="AF5" i="2" a="1"/>
  <c r="AF5" i="2" s="1"/>
  <c r="BJ5" i="2" s="1"/>
  <c r="AF13" i="2" a="1"/>
  <c r="AF13" i="2" s="1"/>
  <c r="BJ13" i="2" s="1"/>
  <c r="AG12" i="2" a="1"/>
  <c r="AG12" i="2" s="1"/>
  <c r="AH8" i="2" a="1"/>
  <c r="AH8" i="2" s="1"/>
  <c r="BA8" i="2" s="1"/>
  <c r="AD6" i="2" a="1"/>
  <c r="AD6" i="2" s="1"/>
  <c r="AF15" i="2" a="1"/>
  <c r="AF15" i="2" s="1"/>
  <c r="BJ15" i="2" s="1"/>
  <c r="AE13" i="2" a="1"/>
  <c r="AE13" i="2" s="1"/>
  <c r="AE12" i="2" a="1"/>
  <c r="AE12" i="2" s="1"/>
  <c r="AE8" i="2" a="1"/>
  <c r="AE8" i="2" s="1"/>
  <c r="AJ6" i="2" a="1"/>
  <c r="AJ6" i="2" s="1"/>
  <c r="BF6" i="2" s="1"/>
  <c r="AL15" i="2" a="1"/>
  <c r="AL15" i="2" s="1"/>
  <c r="BG15" i="2" s="1"/>
  <c r="AK13" i="2" a="1"/>
  <c r="AK13" i="2" s="1"/>
  <c r="BB13" i="2" s="1"/>
  <c r="AL8" i="2" a="1"/>
  <c r="AL8" i="2" s="1"/>
  <c r="BG8" i="2" s="1"/>
  <c r="AH6" i="2" a="1"/>
  <c r="AH6" i="2" s="1"/>
  <c r="BA6" i="2" s="1"/>
  <c r="AC15" i="2" a="1"/>
  <c r="AC15" i="2" s="1"/>
  <c r="AI9" i="2" a="1"/>
  <c r="AI9" i="2" s="1"/>
  <c r="BC9" i="2" s="1"/>
  <c r="AL9" i="2" a="1"/>
  <c r="AL9" i="2" s="1"/>
  <c r="BG9" i="2" s="1"/>
  <c r="AD14" i="2" a="1"/>
  <c r="AD14" i="2" s="1"/>
  <c r="AD7" i="2" a="1"/>
  <c r="AD7" i="2" s="1"/>
  <c r="AC14" i="2" a="1"/>
  <c r="AC14" i="2" s="1"/>
  <c r="AE5" i="2" a="1"/>
  <c r="AE5" i="2" s="1"/>
  <c r="AJ11" i="2" a="1"/>
  <c r="AJ11" i="2" s="1"/>
  <c r="BF11" i="2" s="1"/>
  <c r="AM13" i="2" a="1"/>
  <c r="AM13" i="2" s="1"/>
  <c r="BD13" i="2" s="1"/>
  <c r="AM7" i="2" a="1"/>
  <c r="AM7" i="2" s="1"/>
  <c r="BD7" i="2" s="1"/>
  <c r="AJ14" i="2" a="1"/>
  <c r="AJ14" i="2" s="1"/>
  <c r="BF14" i="2" s="1"/>
  <c r="AC7" i="2" a="1"/>
  <c r="AC7" i="2" s="1"/>
  <c r="AI14" i="2" a="1"/>
  <c r="AI14" i="2" s="1"/>
  <c r="BC14" i="2" s="1"/>
  <c r="AF11" i="2" a="1"/>
  <c r="AF11" i="2" s="1"/>
  <c r="BJ11" i="2" s="1"/>
  <c r="AK7" i="2" a="1"/>
  <c r="AK7" i="2" s="1"/>
  <c r="BB7" i="2" s="1"/>
  <c r="AJ7" i="2" a="1"/>
  <c r="AJ7" i="2" s="1"/>
  <c r="BF7" i="2" s="1"/>
  <c r="AE11" i="2" a="1"/>
  <c r="AE11" i="2" s="1"/>
  <c r="AM9" i="2" a="1"/>
  <c r="AM9" i="2" s="1"/>
  <c r="BD9" i="2" s="1"/>
  <c r="AH7" i="2" a="1"/>
  <c r="AH7" i="2" s="1"/>
  <c r="BA7" i="2" s="1"/>
  <c r="AM6" i="2" a="1"/>
  <c r="AM6" i="2" s="1"/>
  <c r="BD6" i="2" s="1"/>
  <c r="AD11" i="2" a="1"/>
  <c r="AD11" i="2" s="1"/>
  <c r="AC9" i="2" a="1"/>
  <c r="AC9" i="2" s="1"/>
  <c r="AF7" i="2" a="1"/>
  <c r="AF7" i="2" s="1"/>
  <c r="BJ7" i="2" s="1"/>
  <c r="AH10" i="2" a="1"/>
  <c r="AH10" i="2" s="1"/>
  <c r="BA10" i="2" s="1"/>
  <c r="AK6" i="2" a="1"/>
  <c r="AK6" i="2" s="1"/>
  <c r="BB6" i="2" s="1"/>
  <c r="AG15" i="2" a="1"/>
  <c r="AG15" i="2" s="1"/>
  <c r="AM11" i="2" a="1"/>
  <c r="AM11" i="2" s="1"/>
  <c r="BD11" i="2" s="1"/>
  <c r="AK9" i="2" a="1"/>
  <c r="AK9" i="2" s="1"/>
  <c r="BB9" i="2" s="1"/>
  <c r="AG7" i="2" a="1"/>
  <c r="AG7" i="2" s="1"/>
  <c r="AG14" i="2" a="1"/>
  <c r="AG1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<sst xmlns="http://schemas.openxmlformats.org/spreadsheetml/2006/main" count="57800" uniqueCount="237">
  <si>
    <t>Story</t>
  </si>
  <si>
    <t>Unique Name</t>
  </si>
  <si>
    <t>Output Case</t>
  </si>
  <si>
    <t>Case Type</t>
  </si>
  <si>
    <t>Station</t>
  </si>
  <si>
    <t>P</t>
  </si>
  <si>
    <t>V2</t>
  </si>
  <si>
    <t>V3</t>
  </si>
  <si>
    <t>T</t>
  </si>
  <si>
    <t>M2</t>
  </si>
  <si>
    <t>M3</t>
  </si>
  <si>
    <t>Location</t>
  </si>
  <si>
    <t>m</t>
  </si>
  <si>
    <t>kN</t>
  </si>
  <si>
    <t>kN-m</t>
  </si>
  <si>
    <t>1_ULS31</t>
  </si>
  <si>
    <t>1_ULS32</t>
  </si>
  <si>
    <t>Case</t>
  </si>
  <si>
    <t>Label</t>
  </si>
  <si>
    <t>Length</t>
  </si>
  <si>
    <t>Unique
Name</t>
  </si>
  <si>
    <t>Section</t>
  </si>
  <si>
    <t>End I</t>
  </si>
  <si>
    <t>End J</t>
  </si>
  <si>
    <t>Middle</t>
  </si>
  <si>
    <t>Hàm Maxifs chỉ sử dụng cho office 2019 trở lên hoặc 365</t>
  </si>
  <si>
    <t>Max (M3)</t>
  </si>
  <si>
    <t>Min (M3)</t>
  </si>
  <si>
    <t>TABLE:  Element Forces - Columns</t>
  </si>
  <si>
    <t>Column</t>
  </si>
  <si>
    <t>4F</t>
  </si>
  <si>
    <t>C18</t>
  </si>
  <si>
    <t>538</t>
  </si>
  <si>
    <t>1_LRFD1 (1.4D)</t>
  </si>
  <si>
    <t>1_LRFD2 (1.2D+1.6L+0.5Lr)</t>
  </si>
  <si>
    <t>1_LRFD30 (1.2D+1.6Lr+L)</t>
  </si>
  <si>
    <t>1_LRFD31 (1.2D+1.6Lr+0.5W)</t>
  </si>
  <si>
    <t>1_LRFD32 (1.2D+1.6Lr+0.5W)</t>
  </si>
  <si>
    <t>1_LRFD33 (1.2D+1.6Lr+0.5W)</t>
  </si>
  <si>
    <t>1_LRFD34 (1.2D+1.6Lr+0.5W)</t>
  </si>
  <si>
    <t>1_LRFD41 (1.2D+1.0W+L+0.5Lr)</t>
  </si>
  <si>
    <t>1_LRFD42 (1.2D+1.0W+L+0.5Lr)</t>
  </si>
  <si>
    <t>1_LRFD43 (1.2D+1.0W+L+0.5Lr)</t>
  </si>
  <si>
    <t>1_LRFD44 (1.2D+1.0W+L+0.5Lr)</t>
  </si>
  <si>
    <t>1_LRFD51 (0.9D+1.0W)</t>
  </si>
  <si>
    <t>1_LRFD52 (0.9D+1.0W)</t>
  </si>
  <si>
    <t>1_LRFD53 (0.9D+1.0W)</t>
  </si>
  <si>
    <t>1_LRFD54 (0.9D+1.0W)</t>
  </si>
  <si>
    <t>1_LRFD81 (1.2D+N+L)</t>
  </si>
  <si>
    <t>1_LRFD82 (1.2D+N+L)</t>
  </si>
  <si>
    <t>1_LRFD91 (0.9D+N)</t>
  </si>
  <si>
    <t>1_LRFD92 (0.9D+N)</t>
  </si>
  <si>
    <t>Summary Data</t>
  </si>
  <si>
    <t>V2,max</t>
  </si>
  <si>
    <t>V2,min</t>
  </si>
  <si>
    <t>V3,max</t>
  </si>
  <si>
    <t>V3,min</t>
  </si>
  <si>
    <t>P,max</t>
  </si>
  <si>
    <t>P,min</t>
  </si>
  <si>
    <t>M2,max</t>
  </si>
  <si>
    <t>M2,min</t>
  </si>
  <si>
    <t>M3,max</t>
  </si>
  <si>
    <t>M3,min</t>
  </si>
  <si>
    <t>STT</t>
  </si>
  <si>
    <t>T,min</t>
  </si>
  <si>
    <t>T,max</t>
  </si>
  <si>
    <t>N</t>
  </si>
  <si>
    <t>Vz</t>
  </si>
  <si>
    <t>My</t>
  </si>
  <si>
    <t>Cm</t>
  </si>
  <si>
    <t>(y-y)</t>
  </si>
  <si>
    <t>Vy</t>
  </si>
  <si>
    <t>Mz</t>
  </si>
  <si>
    <t>(z-z)</t>
  </si>
  <si>
    <t>Active</t>
  </si>
  <si>
    <t>Status</t>
  </si>
  <si>
    <t>Comment</t>
  </si>
  <si>
    <t>S CONCRETE (ACI 314)</t>
  </si>
  <si>
    <t>C12</t>
  </si>
  <si>
    <t>537</t>
  </si>
  <si>
    <t>3_LRFD1 (1.4D)(SQ)</t>
  </si>
  <si>
    <t>3_LRFD2 (1.2D+1.6L+0.5Lr)(SQ)</t>
  </si>
  <si>
    <t>3_LRFD30 (1.2D+1.6Lr+L)(SQ)</t>
  </si>
  <si>
    <t>3_LRFD31 (1.2D+1.6Lr+0.5W)(SQ)</t>
  </si>
  <si>
    <t>3_LRFD32 (1.2D+1.6Lr+0.5W)(SQ)</t>
  </si>
  <si>
    <t>3_LRFD33 (1.2D+1.6Lr+0.5W)(SQ)</t>
  </si>
  <si>
    <t>3_LRFD34 (1.2D+1.6Lr+0.5W)(SQ)</t>
  </si>
  <si>
    <t>3_LRFD41 (1.2D+1.0W+L+0.5Lr)(SQ)</t>
  </si>
  <si>
    <t>3_LRFD42 (1.2D+1.0W+L+0.5Lr)(SQ)</t>
  </si>
  <si>
    <t>3_LRFD43 (1.2D+1.0W+L+0.5Lr)(SQ)</t>
  </si>
  <si>
    <t>3_LRFD44 (1.2D+1.0W+L+0.5Lr)(SQ)</t>
  </si>
  <si>
    <t>3_LRFD51 (0.9D+1.0W)(SQ)</t>
  </si>
  <si>
    <t>3_LRFD52 (0.9D+1.0W)(SQ)</t>
  </si>
  <si>
    <t>3_LRFD53 (0.9D+1.0W)(SQ)</t>
  </si>
  <si>
    <t>3_LRFD54 (0.9D+1.0W)(SQ)</t>
  </si>
  <si>
    <t>3_LRFD81 (1.2D+N+L)(SQ)</t>
  </si>
  <si>
    <t>3_LRFD82 (1.2D+N+L)(SQ)</t>
  </si>
  <si>
    <t>3_LRFD91 (0.9D+N)(SQ)</t>
  </si>
  <si>
    <t>3_LRFD92 (0.9D+N)(SQ)</t>
  </si>
  <si>
    <t>AutoSeq</t>
  </si>
  <si>
    <t>361</t>
  </si>
  <si>
    <t>373</t>
  </si>
  <si>
    <t>385</t>
  </si>
  <si>
    <t>397</t>
  </si>
  <si>
    <t>409</t>
  </si>
  <si>
    <t>1_ULS2</t>
  </si>
  <si>
    <t>1_ULS33</t>
  </si>
  <si>
    <t>1_ULS34</t>
  </si>
  <si>
    <t>1_ULS35</t>
  </si>
  <si>
    <t>1_ULS36</t>
  </si>
  <si>
    <t>1_ULS37</t>
  </si>
  <si>
    <t>1_ULS38</t>
  </si>
  <si>
    <t>1_ULS41</t>
  </si>
  <si>
    <t>1_ULS42</t>
  </si>
  <si>
    <t>1_ULS43</t>
  </si>
  <si>
    <t>1_ULS44</t>
  </si>
  <si>
    <t>1_ULS45</t>
  </si>
  <si>
    <t>1_ULS46</t>
  </si>
  <si>
    <t>1_ULS47</t>
  </si>
  <si>
    <t>1_ULS48</t>
  </si>
  <si>
    <t>1_ULS51</t>
  </si>
  <si>
    <t>1_ULS52</t>
  </si>
  <si>
    <t>1_ULS53</t>
  </si>
  <si>
    <t>1_ULS54</t>
  </si>
  <si>
    <t>1_ULS55</t>
  </si>
  <si>
    <t>1_ULS56</t>
  </si>
  <si>
    <t>1_ULS57</t>
  </si>
  <si>
    <t>1_ULS58</t>
  </si>
  <si>
    <t>421</t>
  </si>
  <si>
    <t>TABLE:  Element Forces - Frame</t>
  </si>
  <si>
    <t>290</t>
  </si>
  <si>
    <t>291</t>
  </si>
  <si>
    <t>292</t>
  </si>
  <si>
    <t>293</t>
  </si>
  <si>
    <t>294</t>
  </si>
  <si>
    <t>295</t>
  </si>
  <si>
    <t>296</t>
  </si>
  <si>
    <t>310</t>
  </si>
  <si>
    <t>311</t>
  </si>
  <si>
    <t>312</t>
  </si>
  <si>
    <t>313</t>
  </si>
  <si>
    <t>322</t>
  </si>
  <si>
    <t>323</t>
  </si>
  <si>
    <t>324</t>
  </si>
  <si>
    <t>325</t>
  </si>
  <si>
    <t>334</t>
  </si>
  <si>
    <t>335</t>
  </si>
  <si>
    <t>336</t>
  </si>
  <si>
    <t>337</t>
  </si>
  <si>
    <t>346</t>
  </si>
  <si>
    <t>347</t>
  </si>
  <si>
    <t>348</t>
  </si>
  <si>
    <t>349</t>
  </si>
  <si>
    <t>358</t>
  </si>
  <si>
    <t>359</t>
  </si>
  <si>
    <t>360</t>
  </si>
  <si>
    <t>370</t>
  </si>
  <si>
    <t>371</t>
  </si>
  <si>
    <t>372</t>
  </si>
  <si>
    <t>382</t>
  </si>
  <si>
    <t>383</t>
  </si>
  <si>
    <t>384</t>
  </si>
  <si>
    <t>394</t>
  </si>
  <si>
    <t>395</t>
  </si>
  <si>
    <t>396</t>
  </si>
  <si>
    <t>406</t>
  </si>
  <si>
    <t>407</t>
  </si>
  <si>
    <t>408</t>
  </si>
  <si>
    <t>418</t>
  </si>
  <si>
    <t>419</t>
  </si>
  <si>
    <t>420</t>
  </si>
  <si>
    <t>430</t>
  </si>
  <si>
    <t>431</t>
  </si>
  <si>
    <t>432</t>
  </si>
  <si>
    <t>433</t>
  </si>
  <si>
    <t>434</t>
  </si>
  <si>
    <t>435</t>
  </si>
  <si>
    <t>436</t>
  </si>
  <si>
    <t>298x5+248x10</t>
  </si>
  <si>
    <t>372x5+184x8</t>
  </si>
  <si>
    <t>372x6+212x8</t>
  </si>
  <si>
    <t>Dinhcot</t>
  </si>
  <si>
    <t>C1</t>
  </si>
  <si>
    <t>Dinhmai</t>
  </si>
  <si>
    <t>C2</t>
  </si>
  <si>
    <t>C3</t>
  </si>
  <si>
    <t>C4</t>
  </si>
  <si>
    <t>C5</t>
  </si>
  <si>
    <t>C6</t>
  </si>
  <si>
    <t>C7</t>
  </si>
  <si>
    <t>C13</t>
  </si>
  <si>
    <t>C14</t>
  </si>
  <si>
    <t>C15</t>
  </si>
  <si>
    <t>C16</t>
  </si>
  <si>
    <t>C19</t>
  </si>
  <si>
    <t>C20</t>
  </si>
  <si>
    <t>C21</t>
  </si>
  <si>
    <t>C22</t>
  </si>
  <si>
    <t>C25</t>
  </si>
  <si>
    <t>C26</t>
  </si>
  <si>
    <t>C27</t>
  </si>
  <si>
    <t>C28</t>
  </si>
  <si>
    <t>C31</t>
  </si>
  <si>
    <t>C32</t>
  </si>
  <si>
    <t>C33</t>
  </si>
  <si>
    <t>C34</t>
  </si>
  <si>
    <t>C37</t>
  </si>
  <si>
    <t>C38</t>
  </si>
  <si>
    <t>C39</t>
  </si>
  <si>
    <t>C40</t>
  </si>
  <si>
    <t>C43</t>
  </si>
  <si>
    <t>C44</t>
  </si>
  <si>
    <t>C45</t>
  </si>
  <si>
    <t>C46</t>
  </si>
  <si>
    <t>C49</t>
  </si>
  <si>
    <t>C50</t>
  </si>
  <si>
    <t>C51</t>
  </si>
  <si>
    <t>C52</t>
  </si>
  <si>
    <t>C55</t>
  </si>
  <si>
    <t>C56</t>
  </si>
  <si>
    <t>C57</t>
  </si>
  <si>
    <t>C58</t>
  </si>
  <si>
    <t>C61</t>
  </si>
  <si>
    <t>C62</t>
  </si>
  <si>
    <t>C63</t>
  </si>
  <si>
    <t>C64</t>
  </si>
  <si>
    <t>C67</t>
  </si>
  <si>
    <t>C68</t>
  </si>
  <si>
    <t>C69</t>
  </si>
  <si>
    <t>C70</t>
  </si>
  <si>
    <t>C73</t>
  </si>
  <si>
    <t>C74</t>
  </si>
  <si>
    <t>C75</t>
  </si>
  <si>
    <t>C76</t>
  </si>
  <si>
    <t>C77</t>
  </si>
  <si>
    <t>C78</t>
  </si>
  <si>
    <t>C79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</si>
</sst>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name val="Aptos Narrow"/>
      <family val="2"/>
      <scheme val="minor"/>
    </font>
    <font>
      <sz val="11"/>
      <color rgb="FF0000CC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indexed="22"/>
      </right>
      <top/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indexed="22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64"/>
      </top>
      <bottom/>
      <diagonal/>
    </border>
    <border>
      <left style="thin">
        <color indexed="22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22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90">
    <xf numFmtId="0" fontId="0" fillId="0" borderId="0" xfId="0"/>
    <xf numFmtId="0" fontId="0" fillId="4" borderId="0" xfId="0" applyFill="1"/>
    <xf numFmtId="49" fontId="0" fillId="0" borderId="0" xfId="0" applyNumberFormat="1"/>
    <xf numFmtId="2" fontId="2" fillId="3" borderId="2" xfId="0" applyNumberFormat="1" applyFon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0" fontId="4" fillId="0" borderId="5" xfId="1" applyFont="1" applyBorder="1" applyAlignment="1">
      <alignment horizontal="left"/>
    </xf>
    <xf numFmtId="0" fontId="4" fillId="0" borderId="8" xfId="1" applyFont="1" applyBorder="1" applyAlignment="1">
      <alignment horizontal="left"/>
    </xf>
    <xf numFmtId="0" fontId="4" fillId="0" borderId="6" xfId="1" applyFont="1" applyBorder="1" applyAlignment="1">
      <alignment horizontal="center"/>
    </xf>
    <xf numFmtId="0" fontId="4" fillId="0" borderId="6" xfId="1" applyFont="1" applyBorder="1"/>
    <xf numFmtId="0" fontId="4" fillId="0" borderId="9" xfId="1" applyFont="1" applyBorder="1" applyAlignment="1">
      <alignment horizontal="center"/>
    </xf>
    <xf numFmtId="0" fontId="4" fillId="0" borderId="9" xfId="1" applyFont="1" applyBorder="1"/>
    <xf numFmtId="0" fontId="4" fillId="5" borderId="11" xfId="1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4" fillId="0" borderId="14" xfId="1" applyFont="1" applyBorder="1" applyAlignment="1">
      <alignment horizontal="left"/>
    </xf>
    <xf numFmtId="0" fontId="4" fillId="0" borderId="15" xfId="1" applyFont="1" applyBorder="1" applyAlignment="1">
      <alignment horizontal="center"/>
    </xf>
    <xf numFmtId="0" fontId="4" fillId="0" borderId="15" xfId="1" applyFont="1" applyBorder="1"/>
    <xf numFmtId="0" fontId="3" fillId="5" borderId="17" xfId="1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3" borderId="21" xfId="0" applyFont="1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2" fontId="5" fillId="0" borderId="15" xfId="1" applyNumberFormat="1" applyFont="1" applyBorder="1" applyAlignment="1">
      <alignment horizontal="center" vertical="center"/>
    </xf>
    <xf numFmtId="2" fontId="6" fillId="3" borderId="16" xfId="0" applyNumberFormat="1" applyFont="1" applyFill="1" applyBorder="1" applyAlignment="1">
      <alignment horizontal="center" vertical="center"/>
    </xf>
    <xf numFmtId="2" fontId="6" fillId="3" borderId="7" xfId="0" applyNumberFormat="1" applyFont="1" applyFill="1" applyBorder="1" applyAlignment="1">
      <alignment horizontal="center" vertical="center"/>
    </xf>
    <xf numFmtId="2" fontId="6" fillId="3" borderId="10" xfId="0" applyNumberFormat="1" applyFont="1" applyFill="1" applyBorder="1" applyAlignment="1">
      <alignment horizontal="center" vertical="center"/>
    </xf>
    <xf numFmtId="2" fontId="5" fillId="0" borderId="6" xfId="1" applyNumberFormat="1" applyFont="1" applyBorder="1" applyAlignment="1">
      <alignment horizontal="center" vertical="center"/>
    </xf>
    <xf numFmtId="2" fontId="5" fillId="0" borderId="9" xfId="1" applyNumberFormat="1" applyFont="1" applyBorder="1" applyAlignment="1">
      <alignment horizontal="center" vertical="center"/>
    </xf>
    <xf numFmtId="0" fontId="7" fillId="0" borderId="0" xfId="0" applyFont="1"/>
    <xf numFmtId="0" fontId="0" fillId="0" borderId="23" xfId="0" applyBorder="1"/>
    <xf numFmtId="0" fontId="0" fillId="0" borderId="25" xfId="0" applyBorder="1"/>
    <xf numFmtId="2" fontId="2" fillId="3" borderId="2" xfId="0" applyNumberFormat="1" applyFon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2" fontId="0" fillId="0" borderId="0" xfId="0" applyNumberFormat="1"/>
    <xf numFmtId="0" fontId="2" fillId="3" borderId="27" xfId="0" applyFont="1" applyFill="1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0" fillId="0" borderId="28" xfId="0" applyBorder="1"/>
    <xf numFmtId="1" fontId="0" fillId="0" borderId="0" xfId="0" applyNumberFormat="1"/>
    <xf numFmtId="1" fontId="8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3" borderId="30" xfId="0" applyFont="1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0" xfId="0" applyBorder="1" applyAlignment="1">
      <alignment horizontal="left" vertical="center"/>
    </xf>
    <xf numFmtId="1" fontId="7" fillId="0" borderId="30" xfId="0" applyNumberFormat="1" applyFont="1" applyBorder="1" applyAlignment="1">
      <alignment horizontal="center" vertical="center"/>
    </xf>
    <xf numFmtId="1" fontId="8" fillId="0" borderId="30" xfId="0" applyNumberFormat="1" applyFont="1" applyBorder="1" applyAlignment="1">
      <alignment horizontal="center" vertical="center"/>
    </xf>
    <xf numFmtId="2" fontId="0" fillId="0" borderId="30" xfId="0" applyNumberFormat="1" applyBorder="1" applyAlignment="1">
      <alignment horizontal="center" vertical="center"/>
    </xf>
    <xf numFmtId="49" fontId="2" fillId="2" borderId="4" xfId="0" applyNumberFormat="1" applyFont="1" applyFill="1" applyBorder="1" applyAlignment="1">
      <alignment horizontal="centerContinuous"/>
    </xf>
    <xf numFmtId="49" fontId="2" fillId="3" borderId="30" xfId="0" applyNumberFormat="1" applyFont="1" applyFill="1" applyBorder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2" fontId="2" fillId="3" borderId="30" xfId="0" applyNumberFormat="1" applyFont="1" applyFill="1" applyBorder="1" applyAlignment="1">
      <alignment horizontal="center" vertical="center"/>
    </xf>
    <xf numFmtId="2" fontId="0" fillId="3" borderId="30" xfId="0" applyNumberForma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64" fontId="0" fillId="0" borderId="30" xfId="0" applyNumberFormat="1" applyBorder="1" applyAlignment="1">
      <alignment horizontal="center" vertical="center"/>
    </xf>
    <xf numFmtId="0" fontId="0" fillId="0" borderId="30" xfId="0" applyBorder="1"/>
    <xf numFmtId="49" fontId="2" fillId="3" borderId="2" xfId="0" applyNumberFormat="1" applyFont="1" applyFill="1" applyBorder="1" applyAlignment="1">
      <alignment horizontal="center" vertical="center" wrapText="1"/>
    </xf>
    <xf numFmtId="49" fontId="2" fillId="3" borderId="3" xfId="0" applyNumberFormat="1" applyFont="1" applyFill="1" applyBorder="1" applyAlignment="1">
      <alignment horizontal="center" vertical="center" wrapText="1"/>
    </xf>
    <xf numFmtId="49" fontId="2" fillId="3" borderId="2" xfId="0" applyNumberFormat="1" applyFont="1" applyFill="1" applyBorder="1" applyAlignment="1">
      <alignment horizontal="center" vertical="top"/>
    </xf>
    <xf numFmtId="49" fontId="2" fillId="3" borderId="3" xfId="0" applyNumberFormat="1" applyFont="1" applyFill="1" applyBorder="1" applyAlignment="1">
      <alignment horizontal="center" vertical="top"/>
    </xf>
    <xf numFmtId="49" fontId="2" fillId="3" borderId="2" xfId="0" applyNumberFormat="1" applyFont="1" applyFill="1" applyBorder="1" applyAlignment="1">
      <alignment horizontal="center" vertical="top" wrapText="1"/>
    </xf>
    <xf numFmtId="49" fontId="2" fillId="3" borderId="3" xfId="0" applyNumberFormat="1" applyFont="1" applyFill="1" applyBorder="1" applyAlignment="1">
      <alignment horizontal="center" vertical="top" wrapText="1"/>
    </xf>
    <xf numFmtId="49" fontId="2" fillId="3" borderId="2" xfId="0" applyNumberFormat="1" applyFont="1" applyFill="1" applyBorder="1" applyAlignment="1">
      <alignment horizontal="center" wrapText="1"/>
    </xf>
    <xf numFmtId="49" fontId="2" fillId="3" borderId="3" xfId="0" applyNumberFormat="1" applyFont="1" applyFill="1" applyBorder="1" applyAlignment="1">
      <alignment horizontal="center" wrapText="1"/>
    </xf>
    <xf numFmtId="49" fontId="2" fillId="2" borderId="30" xfId="0" applyNumberFormat="1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49" fontId="2" fillId="3" borderId="18" xfId="0" applyNumberFormat="1" applyFont="1" applyFill="1" applyBorder="1" applyAlignment="1">
      <alignment horizontal="center" wrapText="1"/>
    </xf>
    <xf numFmtId="49" fontId="2" fillId="3" borderId="12" xfId="0" applyNumberFormat="1" applyFont="1" applyFill="1" applyBorder="1" applyAlignment="1">
      <alignment horizontal="center" wrapText="1"/>
    </xf>
    <xf numFmtId="49" fontId="2" fillId="3" borderId="19" xfId="0" applyNumberFormat="1" applyFont="1" applyFill="1" applyBorder="1" applyAlignment="1">
      <alignment horizontal="center" wrapText="1"/>
    </xf>
    <xf numFmtId="49" fontId="2" fillId="3" borderId="13" xfId="0" applyNumberFormat="1" applyFont="1" applyFill="1" applyBorder="1" applyAlignment="1">
      <alignment horizontal="center" wrapText="1"/>
    </xf>
    <xf numFmtId="49" fontId="2" fillId="3" borderId="30" xfId="0" applyNumberFormat="1" applyFont="1" applyFill="1" applyBorder="1" applyAlignment="1">
      <alignment horizontal="center" vertical="center"/>
    </xf>
    <xf numFmtId="49" fontId="2" fillId="3" borderId="30" xfId="0" applyNumberFormat="1" applyFont="1" applyFill="1" applyBorder="1" applyAlignment="1">
      <alignment horizontal="center" vertical="center" wrapText="1"/>
    </xf>
    <xf numFmtId="49" fontId="2" fillId="3" borderId="27" xfId="0" applyNumberFormat="1" applyFont="1" applyFill="1" applyBorder="1" applyAlignment="1">
      <alignment horizontal="center" vertical="center"/>
    </xf>
    <xf numFmtId="49" fontId="2" fillId="3" borderId="29" xfId="0" applyNumberFormat="1" applyFont="1" applyFill="1" applyBorder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/>
    </xf>
    <xf numFmtId="49" fontId="2" fillId="3" borderId="26" xfId="0" applyNumberFormat="1" applyFont="1" applyFill="1" applyBorder="1" applyAlignment="1">
      <alignment horizontal="center" vertical="center"/>
    </xf>
    <xf numFmtId="49" fontId="2" fillId="3" borderId="27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Alignment="1">
      <alignment horizontal="center"/>
    </xf>
  </cellXfs>
  <cellStyles count="2">
    <cellStyle name="Normal" xfId="0" builtinId="0"/>
    <cellStyle name="Normal 6" xfId="1" xr:uid="{8668BAFD-B6BE-4615-A670-3AC00055C663}"/>
  </cellStyles>
  <dxfs count="7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8"/>
      </font>
      <fill>
        <patternFill>
          <bgColor rgb="FFFEC8F6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0000CC"/>
      <color rgb="FFFEC8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164BF-CBE7-473D-AC1E-294D3297DA5E}">
  <sheetPr codeName="Sheet1">
    <tabColor rgb="FF0070C0"/>
  </sheetPr>
  <dimension ref="A1:AP7053"/>
  <sheetViews>
    <sheetView showGridLines="0" tabSelected="1" zoomScale="130" zoomScaleNormal="130" workbookViewId="0">
      <pane ySplit="4" topLeftCell="A5" activePane="bottomLeft" state="frozen"/>
      <selection pane="bottomLeft" activeCell="AM19" sqref="AM19"/>
    </sheetView>
  </sheetViews>
  <sheetFormatPr defaultRowHeight="15" x14ac:dyDescent="0.25"/>
  <cols>
    <col min="1" max="2" width="9.140625" customWidth="1"/>
    <col min="3" max="3" width="9.140625" style="7"/>
    <col min="5" max="5" width="9.140625" hidden="1" customWidth="1"/>
    <col min="6" max="12" width="9.140625" style="35"/>
    <col min="13" max="13" width="9.140625" style="58"/>
    <col min="14" max="14" width="9.140625" style="7" customWidth="1"/>
    <col min="15" max="15" width="17" style="7" customWidth="1"/>
    <col min="16" max="16" width="15.28515625" style="7" customWidth="1"/>
    <col min="17" max="17" width="0" hidden="1" customWidth="1"/>
    <col min="18" max="25" width="9.140625" hidden="1" customWidth="1"/>
    <col min="26" max="26" width="3.85546875" style="1" customWidth="1"/>
    <col min="28" max="28" width="9.140625" customWidth="1"/>
    <col min="41" max="42" width="13.7109375" bestFit="1" customWidth="1"/>
  </cols>
  <sheetData>
    <row r="1" spans="1:42" x14ac:dyDescent="0.25">
      <c r="A1" s="55" t="s">
        <v>129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7"/>
      <c r="N1" s="59"/>
      <c r="O1" s="60"/>
      <c r="P1" s="60"/>
      <c r="AA1" s="74" t="s">
        <v>52</v>
      </c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</row>
    <row r="2" spans="1:42" ht="15" customHeight="1" x14ac:dyDescent="0.25">
      <c r="A2" s="68" t="s">
        <v>0</v>
      </c>
      <c r="B2" s="68" t="s">
        <v>18</v>
      </c>
      <c r="C2" s="66" t="s">
        <v>1</v>
      </c>
      <c r="D2" s="70" t="s">
        <v>2</v>
      </c>
      <c r="E2" s="72" t="s">
        <v>3</v>
      </c>
      <c r="F2" s="33" t="s">
        <v>4</v>
      </c>
      <c r="G2" s="33" t="s">
        <v>5</v>
      </c>
      <c r="H2" s="33" t="s">
        <v>6</v>
      </c>
      <c r="I2" s="33" t="s">
        <v>7</v>
      </c>
      <c r="J2" s="33" t="s">
        <v>8</v>
      </c>
      <c r="K2" s="33" t="s">
        <v>9</v>
      </c>
      <c r="L2" s="33" t="s">
        <v>10</v>
      </c>
      <c r="M2" s="66" t="s">
        <v>11</v>
      </c>
      <c r="N2" s="3" t="s">
        <v>19</v>
      </c>
      <c r="O2" s="5" t="s">
        <v>21</v>
      </c>
      <c r="P2" s="5" t="s">
        <v>21</v>
      </c>
      <c r="AA2" s="82" t="s">
        <v>63</v>
      </c>
      <c r="AB2" s="82" t="s">
        <v>17</v>
      </c>
      <c r="AC2" s="82" t="s">
        <v>0</v>
      </c>
      <c r="AD2" s="83" t="s">
        <v>18</v>
      </c>
      <c r="AE2" s="83" t="s">
        <v>20</v>
      </c>
      <c r="AF2" s="83" t="s">
        <v>2</v>
      </c>
      <c r="AG2" s="47" t="s">
        <v>4</v>
      </c>
      <c r="AH2" s="47" t="s">
        <v>5</v>
      </c>
      <c r="AI2" s="47" t="s">
        <v>6</v>
      </c>
      <c r="AJ2" s="47" t="s">
        <v>7</v>
      </c>
      <c r="AK2" s="47" t="s">
        <v>8</v>
      </c>
      <c r="AL2" s="47" t="s">
        <v>9</v>
      </c>
      <c r="AM2" s="47" t="s">
        <v>10</v>
      </c>
      <c r="AN2" s="61" t="s">
        <v>19</v>
      </c>
      <c r="AO2" s="56" t="s">
        <v>21</v>
      </c>
      <c r="AP2" s="56" t="s">
        <v>21</v>
      </c>
    </row>
    <row r="3" spans="1:42" x14ac:dyDescent="0.25">
      <c r="A3" s="69"/>
      <c r="B3" s="69"/>
      <c r="C3" s="67"/>
      <c r="D3" s="71"/>
      <c r="E3" s="73"/>
      <c r="F3" s="34" t="s">
        <v>12</v>
      </c>
      <c r="G3" s="34" t="s">
        <v>13</v>
      </c>
      <c r="H3" s="34" t="s">
        <v>13</v>
      </c>
      <c r="I3" s="34" t="s">
        <v>13</v>
      </c>
      <c r="J3" s="34" t="s">
        <v>14</v>
      </c>
      <c r="K3" s="34" t="s">
        <v>14</v>
      </c>
      <c r="L3" s="34" t="s">
        <v>14</v>
      </c>
      <c r="M3" s="67"/>
      <c r="N3" s="4" t="s">
        <v>12</v>
      </c>
      <c r="O3" s="8" t="s">
        <v>22</v>
      </c>
      <c r="P3" s="8" t="s">
        <v>23</v>
      </c>
      <c r="AA3" s="82"/>
      <c r="AB3" s="82"/>
      <c r="AC3" s="82"/>
      <c r="AD3" s="82"/>
      <c r="AE3" s="82"/>
      <c r="AF3" s="83"/>
      <c r="AG3" s="48" t="s">
        <v>12</v>
      </c>
      <c r="AH3" s="48" t="s">
        <v>13</v>
      </c>
      <c r="AI3" s="48" t="s">
        <v>13</v>
      </c>
      <c r="AJ3" s="48" t="s">
        <v>13</v>
      </c>
      <c r="AK3" s="48" t="s">
        <v>14</v>
      </c>
      <c r="AL3" s="48" t="s">
        <v>14</v>
      </c>
      <c r="AM3" s="48" t="s">
        <v>14</v>
      </c>
      <c r="AN3" s="62" t="s">
        <v>12</v>
      </c>
      <c r="AO3" s="63" t="s">
        <v>22</v>
      </c>
      <c r="AP3" s="63" t="s">
        <v>23</v>
      </c>
    </row>
    <row r="4" spans="1:42" x14ac:dyDescent="0.25">
      <c r="A4" s="2" t="s">
        <v>181</v>
      </c>
      <c r="B4" s="2" t="s">
        <v>182</v>
      </c>
      <c r="C4" s="6" t="s">
        <v>130</v>
      </c>
      <c r="D4" s="2" t="s">
        <v>105</v>
      </c>
      <c r="E4" s="2"/>
      <c r="F4" s="35">
        <v>0</v>
      </c>
      <c r="G4" s="35">
        <v>-18.007509504671891</v>
      </c>
      <c r="H4" s="35">
        <v>-1.0117972223948113</v>
      </c>
      <c r="I4" s="35">
        <v>-1.2565855720047778</v>
      </c>
      <c r="J4" s="35">
        <v>-5.77162108034687E-3</v>
      </c>
      <c r="K4" s="35">
        <v>-4.0654695732652879</v>
      </c>
      <c r="L4" s="35">
        <v>-2.6733188028185064</v>
      </c>
      <c r="M4" s="58" t="s">
        <v>22</v>
      </c>
      <c r="N4" s="7">
        <v>9.5</v>
      </c>
      <c r="O4" s="7" t="s">
        <v>178</v>
      </c>
      <c r="P4" s="7" t="s">
        <v>178</v>
      </c>
      <c r="AA4" s="50">
        <f>MATCH(AH4,$G$4:$G$999999,0)</f>
        <v>5707</v>
      </c>
      <c r="AB4" s="49" t="s">
        <v>58</v>
      </c>
      <c r="AC4" s="50" t="str" cm="1">
        <f t="array" ref="AC4">INDEX($A$4:$A$999999,AA4)</f>
        <v>Dinhmai</v>
      </c>
      <c r="AD4" s="50" t="str" cm="1">
        <f t="array" ref="AD4">INDEX($B$4:$B$999999,AA4)</f>
        <v>C68</v>
      </c>
      <c r="AE4" s="50" t="str" cm="1">
        <f t="array" ref="AE4">INDEX($C$4:$C$999999,AA4)</f>
        <v>419</v>
      </c>
      <c r="AF4" s="51" t="str" cm="1">
        <f t="array" ref="AF4">INDEX($D$4:$D$999999,AA4)</f>
        <v>1_ULS56</v>
      </c>
      <c r="AG4" s="54" cm="1">
        <f t="array" ref="AG4">INDEX($F$4:$F$999999,AA4)</f>
        <v>0.29999999999999988</v>
      </c>
      <c r="AH4" s="52">
        <f>MIN($G$4:$G$999999)</f>
        <v>-161.42023072495115</v>
      </c>
      <c r="AI4" s="53" cm="1">
        <f t="array" ref="AI4">INDEX($H$4:$H$999999,AA4)</f>
        <v>16.343683614181245</v>
      </c>
      <c r="AJ4" s="53" cm="1">
        <f t="array" ref="AJ4">INDEX($I$4:$I$999999,AA4)</f>
        <v>-1.6517393310777664</v>
      </c>
      <c r="AK4" s="53" cm="1">
        <f t="array" ref="AK4">INDEX($J$4:$J$999999,AA4)</f>
        <v>6.1229435914110205E-4</v>
      </c>
      <c r="AL4" s="53" cm="1">
        <f t="array" ref="AL4">INDEX($K$4:$K$999999,AA4)</f>
        <v>-4.9858702670592754</v>
      </c>
      <c r="AM4" s="53" cm="1">
        <f t="array" ref="AM4">INDEX($L$4:$L$999999,AA4)</f>
        <v>86.80225673564064</v>
      </c>
      <c r="AN4" s="64" cm="1">
        <f t="array" ref="AN4">INDEX($N$4:$N$999999,AA4)</f>
        <v>11.333333333333334</v>
      </c>
      <c r="AO4" s="65" t="str" cm="1">
        <f t="array" ref="AO4">INDEX($O$4:$O$999999,AA4)</f>
        <v>372x6+212x8</v>
      </c>
      <c r="AP4" s="65" t="str" cm="1">
        <f t="array" ref="AP4">INDEX($P$4:$P$999999,AA4)</f>
        <v>372x6+212x8</v>
      </c>
    </row>
    <row r="5" spans="1:42" x14ac:dyDescent="0.25">
      <c r="A5" s="2" t="s">
        <v>181</v>
      </c>
      <c r="B5" s="2" t="s">
        <v>182</v>
      </c>
      <c r="C5" s="6" t="s">
        <v>130</v>
      </c>
      <c r="D5" s="2" t="s">
        <v>105</v>
      </c>
      <c r="E5" s="2"/>
      <c r="F5" s="35">
        <v>2</v>
      </c>
      <c r="G5" s="35">
        <v>-16.914879504671887</v>
      </c>
      <c r="H5" s="35">
        <v>-1.0117972223948113</v>
      </c>
      <c r="I5" s="35">
        <v>-1.2565855720047778</v>
      </c>
      <c r="J5" s="35">
        <v>-5.77162108034687E-3</v>
      </c>
      <c r="K5" s="35">
        <v>-1.5522984292557325</v>
      </c>
      <c r="L5" s="35">
        <v>-0.64972435802888384</v>
      </c>
      <c r="M5" s="58" t="s">
        <v>22</v>
      </c>
      <c r="N5" s="7">
        <v>9.5</v>
      </c>
      <c r="O5" s="7" t="s">
        <v>178</v>
      </c>
      <c r="P5" s="7" t="s">
        <v>178</v>
      </c>
      <c r="AA5" s="50">
        <f>MATCH(AH5,$G$4:$G$999999,0)</f>
        <v>5750</v>
      </c>
      <c r="AB5" s="49" t="s">
        <v>57</v>
      </c>
      <c r="AC5" s="50" t="str" cm="1">
        <f t="array" ref="AC5">INDEX($A$4:$A$999999,AA5)</f>
        <v>Dinhmai</v>
      </c>
      <c r="AD5" s="50" t="str" cm="1">
        <f t="array" ref="AD5">INDEX($B$4:$B$999999,AA5)</f>
        <v>C69</v>
      </c>
      <c r="AE5" s="50" t="str" cm="1">
        <f t="array" ref="AE5">INDEX($C$4:$C$999999,AA5)</f>
        <v>420</v>
      </c>
      <c r="AF5" s="51" t="str" cm="1">
        <f t="array" ref="AF5">INDEX($D$4:$D$999999,AA5)</f>
        <v>1_ULS33</v>
      </c>
      <c r="AG5" s="54" cm="1">
        <f t="array" ref="AG5">INDEX($F$4:$F$999999,AA5)</f>
        <v>5.3</v>
      </c>
      <c r="AH5" s="52">
        <f>MAX($G$4:$G$999999)</f>
        <v>229.21680182103623</v>
      </c>
      <c r="AI5" s="53" cm="1">
        <f t="array" ref="AI5">INDEX($H$4:$H$999999,AA5)</f>
        <v>12.18547773872111</v>
      </c>
      <c r="AJ5" s="53" cm="1">
        <f t="array" ref="AJ5">INDEX($I$4:$I$999999,AA5)</f>
        <v>2.1460983199864532</v>
      </c>
      <c r="AK5" s="53" cm="1">
        <f t="array" ref="AK5">INDEX($J$4:$J$999999,AA5)</f>
        <v>2.8638873272916683E-4</v>
      </c>
      <c r="AL5" s="53" cm="1">
        <f t="array" ref="AL5">INDEX($K$4:$K$999999,AA5)</f>
        <v>-4.1624796866522091</v>
      </c>
      <c r="AM5" s="53" cm="1">
        <f t="array" ref="AM5">INDEX($L$4:$L$999999,AA5)</f>
        <v>-21.874226832199152</v>
      </c>
      <c r="AN5" s="64" cm="1">
        <f t="array" ref="AN5">INDEX($N$4:$N$999999,AA5)</f>
        <v>11.333333333333334</v>
      </c>
      <c r="AO5" s="65" t="str" cm="1">
        <f t="array" ref="AO5">INDEX($O$4:$O$999999,AA5)</f>
        <v>372x6+212x8</v>
      </c>
      <c r="AP5" s="65" t="str" cm="1">
        <f t="array" ref="AP5">INDEX($P$4:$P$999999,AA5)</f>
        <v>372x6+212x8</v>
      </c>
    </row>
    <row r="6" spans="1:42" x14ac:dyDescent="0.25">
      <c r="A6" s="2" t="s">
        <v>181</v>
      </c>
      <c r="B6" s="2" t="s">
        <v>182</v>
      </c>
      <c r="C6" s="6" t="s">
        <v>130</v>
      </c>
      <c r="D6" s="2" t="s">
        <v>105</v>
      </c>
      <c r="E6" s="2"/>
      <c r="F6" s="35">
        <v>2</v>
      </c>
      <c r="G6" s="35">
        <v>-15.916260751077006</v>
      </c>
      <c r="H6" s="35">
        <v>3.2387945236166796E-2</v>
      </c>
      <c r="I6" s="35">
        <v>-1.2565837635607315</v>
      </c>
      <c r="J6" s="35">
        <v>-5.7475028193956605E-3</v>
      </c>
      <c r="K6" s="35">
        <v>-1.5523241554007552</v>
      </c>
      <c r="L6" s="35">
        <v>-0.64972435802888318</v>
      </c>
      <c r="M6" s="58" t="s">
        <v>22</v>
      </c>
      <c r="N6" s="7">
        <v>9.5</v>
      </c>
      <c r="O6" s="7" t="s">
        <v>178</v>
      </c>
      <c r="P6" s="7" t="s">
        <v>178</v>
      </c>
      <c r="AA6" s="50">
        <f>MATCH(AI6,$H$4:$H$999999,0)</f>
        <v>5920</v>
      </c>
      <c r="AB6" s="49" t="s">
        <v>54</v>
      </c>
      <c r="AC6" s="50" t="str" cm="1">
        <f t="array" ref="AC6">INDEX($A$4:$A$999999,AA6)</f>
        <v>Dinhcot</v>
      </c>
      <c r="AD6" s="50" t="str" cm="1">
        <f t="array" ref="AD6">INDEX($B$4:$B$999999,AA6)</f>
        <v>C70</v>
      </c>
      <c r="AE6" s="50" t="str" cm="1">
        <f t="array" ref="AE6">INDEX($C$4:$C$999999,AA6)</f>
        <v>421</v>
      </c>
      <c r="AF6" s="51" t="str" cm="1">
        <f t="array" ref="AF6">INDEX($D$4:$D$999999,AA6)</f>
        <v>1_ULS33</v>
      </c>
      <c r="AG6" s="54" cm="1">
        <f t="array" ref="AG6">INDEX($F$4:$F$999999,AA6)</f>
        <v>8.9965005885644906</v>
      </c>
      <c r="AH6" s="54" cm="1">
        <f t="array" ref="AH6">INDEX($G$4:$G$999999,AA6)</f>
        <v>111.26320660345952</v>
      </c>
      <c r="AI6" s="52">
        <f>MIN($H$4:$H$9999)</f>
        <v>-68.92483566131682</v>
      </c>
      <c r="AJ6" s="53" cm="1">
        <f t="array" ref="AJ6">INDEX($I$4:$I$999999,AA6)</f>
        <v>-0.26426429909960719</v>
      </c>
      <c r="AK6" s="53" cm="1">
        <f t="array" ref="AK6">INDEX($J$4:$J$999999,AA6)</f>
        <v>-7.9631711377720061E-4</v>
      </c>
      <c r="AL6" s="53" cm="1">
        <f t="array" ref="AL6">INDEX($K$4:$K$999999,AA6)</f>
        <v>-0.1374782885437065</v>
      </c>
      <c r="AM6" s="53" cm="1">
        <f t="array" ref="AM6">INDEX($L$4:$L$999999,AA6)</f>
        <v>289.41649835846596</v>
      </c>
      <c r="AN6" s="64" cm="1">
        <f t="array" ref="AN6">INDEX($N$4:$N$999999,AA6)</f>
        <v>9.5</v>
      </c>
      <c r="AO6" s="65" t="str" cm="1">
        <f t="array" ref="AO6">INDEX($O$4:$O$999999,AA6)</f>
        <v>372x5+184x8</v>
      </c>
      <c r="AP6" s="65" t="str" cm="1">
        <f t="array" ref="AP6">INDEX($P$4:$P$999999,AA6)</f>
        <v>372x5+184x8</v>
      </c>
    </row>
    <row r="7" spans="1:42" x14ac:dyDescent="0.25">
      <c r="A7" s="2" t="s">
        <v>181</v>
      </c>
      <c r="B7" s="2" t="s">
        <v>182</v>
      </c>
      <c r="C7" s="6" t="s">
        <v>130</v>
      </c>
      <c r="D7" s="2" t="s">
        <v>105</v>
      </c>
      <c r="E7" s="2"/>
      <c r="F7" s="35">
        <v>4.5</v>
      </c>
      <c r="G7" s="35">
        <v>-14.550473251077005</v>
      </c>
      <c r="H7" s="35">
        <v>3.2387945236166796E-2</v>
      </c>
      <c r="I7" s="35">
        <v>-1.2565837635607315</v>
      </c>
      <c r="J7" s="35">
        <v>-5.7475028193956605E-3</v>
      </c>
      <c r="K7" s="35">
        <v>1.589135253501073</v>
      </c>
      <c r="L7" s="35">
        <v>-0.73069422111930016</v>
      </c>
      <c r="M7" s="58" t="s">
        <v>24</v>
      </c>
      <c r="N7" s="7">
        <v>9.5</v>
      </c>
      <c r="O7" s="7" t="s">
        <v>178</v>
      </c>
      <c r="P7" s="7" t="s">
        <v>178</v>
      </c>
      <c r="AA7" s="50">
        <f>MATCH(AI7,$H$4:$H$999999,0)</f>
        <v>5445</v>
      </c>
      <c r="AB7" s="49" t="s">
        <v>53</v>
      </c>
      <c r="AC7" s="50" t="str" cm="1">
        <f t="array" ref="AC7">INDEX($A$4:$A$999999,AA7)</f>
        <v>Dinhcot</v>
      </c>
      <c r="AD7" s="50" t="str" cm="1">
        <f t="array" ref="AD7">INDEX($B$4:$B$999999,AA7)</f>
        <v>C67</v>
      </c>
      <c r="AE7" s="50" t="str" cm="1">
        <f t="array" ref="AE7">INDEX($C$4:$C$999999,AA7)</f>
        <v>418</v>
      </c>
      <c r="AF7" s="51" t="str" cm="1">
        <f t="array" ref="AF7">INDEX($D$4:$D$999999,AA7)</f>
        <v>1_ULS33</v>
      </c>
      <c r="AG7" s="54" cm="1">
        <f t="array" ref="AG7">INDEX($F$4:$F$999999,AA7)</f>
        <v>8.9965005885644871</v>
      </c>
      <c r="AH7" s="54" cm="1">
        <f t="array" ref="AH7">INDEX($G$4:$G$999999,AA7)</f>
        <v>111.48015577165785</v>
      </c>
      <c r="AI7" s="52">
        <f>MAX($H$4:$H$9999)</f>
        <v>68.920428020126991</v>
      </c>
      <c r="AJ7" s="53" cm="1">
        <f t="array" ref="AJ7">INDEX($I$4:$I$999999,AA7)</f>
        <v>-0.25791277971770032</v>
      </c>
      <c r="AK7" s="53" cm="1">
        <f t="array" ref="AK7">INDEX($J$4:$J$999999,AA7)</f>
        <v>8.0240886573353521E-4</v>
      </c>
      <c r="AL7" s="53" cm="1">
        <f t="array" ref="AL7">INDEX($K$4:$K$999999,AA7)</f>
        <v>-0.13428368676824159</v>
      </c>
      <c r="AM7" s="53" cm="1">
        <f t="array" ref="AM7">INDEX($L$4:$L$999999,AA7)</f>
        <v>-289.40298132021564</v>
      </c>
      <c r="AN7" s="64" cm="1">
        <f t="array" ref="AN7">INDEX($N$4:$N$999999,AA7)</f>
        <v>9.5</v>
      </c>
      <c r="AO7" s="65" t="str" cm="1">
        <f t="array" ref="AO7">INDEX($O$4:$O$999999,AA7)</f>
        <v>372x5+184x8</v>
      </c>
      <c r="AP7" s="65" t="str" cm="1">
        <f t="array" ref="AP7">INDEX($P$4:$P$999999,AA7)</f>
        <v>372x5+184x8</v>
      </c>
    </row>
    <row r="8" spans="1:42" x14ac:dyDescent="0.25">
      <c r="A8" s="2" t="s">
        <v>181</v>
      </c>
      <c r="B8" s="2" t="s">
        <v>182</v>
      </c>
      <c r="C8" s="6" t="s">
        <v>130</v>
      </c>
      <c r="D8" s="2" t="s">
        <v>105</v>
      </c>
      <c r="E8" s="2"/>
      <c r="F8" s="35">
        <v>4.5</v>
      </c>
      <c r="G8" s="35">
        <v>-13.764336828962021</v>
      </c>
      <c r="H8" s="35">
        <v>3.2321178252430909E-2</v>
      </c>
      <c r="I8" s="35">
        <v>-1.2653965651706998</v>
      </c>
      <c r="J8" s="35">
        <v>5.0622872832982594E-3</v>
      </c>
      <c r="K8" s="35">
        <v>1.5891310042572091</v>
      </c>
      <c r="L8" s="35">
        <v>0.25197522688624735</v>
      </c>
      <c r="M8" s="58" t="s">
        <v>24</v>
      </c>
      <c r="N8" s="7">
        <v>9.5</v>
      </c>
      <c r="O8" s="7" t="s">
        <v>178</v>
      </c>
      <c r="P8" s="7" t="s">
        <v>178</v>
      </c>
      <c r="AA8" s="50">
        <f>MATCH(AJ8,$I$4:$I$999999,0)</f>
        <v>6903</v>
      </c>
      <c r="AB8" s="49" t="s">
        <v>56</v>
      </c>
      <c r="AC8" s="50" t="str" cm="1">
        <f t="array" ref="AC8">INDEX($A$4:$A$999999,AA8)</f>
        <v>Dinhcot</v>
      </c>
      <c r="AD8" s="50" t="str" cm="1">
        <f t="array" ref="AD8">INDEX($B$4:$B$999999,AA8)</f>
        <v>C79</v>
      </c>
      <c r="AE8" s="50" t="str" cm="1">
        <f t="array" ref="AE8">INDEX($C$4:$C$999999,AA8)</f>
        <v>436</v>
      </c>
      <c r="AF8" s="51" t="str" cm="1">
        <f t="array" ref="AF8">INDEX($D$4:$D$999999,AA8)</f>
        <v>1_ULS33</v>
      </c>
      <c r="AG8" s="54" cm="1">
        <f t="array" ref="AG8">INDEX($F$4:$F$999999,AA8)</f>
        <v>9.2453115817641383</v>
      </c>
      <c r="AH8" s="54" cm="1">
        <f t="array" ref="AH8">INDEX($G$4:$G$999999,AA8)</f>
        <v>45.720831133410208</v>
      </c>
      <c r="AI8" s="53" cm="1">
        <f t="array" ref="AI8">INDEX($H$4:$H$999999,AA8)</f>
        <v>5.58468028009794</v>
      </c>
      <c r="AJ8" s="52">
        <f>MIN($I$4:$I$9999)</f>
        <v>-20.871896823879659</v>
      </c>
      <c r="AK8" s="53" cm="1">
        <f t="array" ref="AK8">INDEX($J$4:$J$999999,AA8)</f>
        <v>5.4249940865264464E-3</v>
      </c>
      <c r="AL8" s="53" cm="1">
        <f t="array" ref="AL8">INDEX($K$4:$K$999999,AA8)</f>
        <v>40.540002360730504</v>
      </c>
      <c r="AM8" s="53" cm="1">
        <f t="array" ref="AM8">INDEX($L$4:$L$999999,AA8)</f>
        <v>1.3874244011550783</v>
      </c>
      <c r="AN8" s="64" cm="1">
        <f t="array" ref="AN8">INDEX($N$4:$N$999999,AA8)</f>
        <v>9.5</v>
      </c>
      <c r="AO8" s="65" t="str" cm="1">
        <f t="array" ref="AO8">INDEX($O$4:$O$999999,AA8)</f>
        <v>298x5+248x10</v>
      </c>
      <c r="AP8" s="65" t="str" cm="1">
        <f t="array" ref="AP8">INDEX($P$4:$P$999999,AA8)</f>
        <v>298x5+248x10</v>
      </c>
    </row>
    <row r="9" spans="1:42" x14ac:dyDescent="0.25">
      <c r="A9" s="2" t="s">
        <v>181</v>
      </c>
      <c r="B9" s="2" t="s">
        <v>182</v>
      </c>
      <c r="C9" s="6" t="s">
        <v>130</v>
      </c>
      <c r="D9" s="2" t="s">
        <v>105</v>
      </c>
      <c r="E9" s="2"/>
      <c r="F9" s="35">
        <v>4.6226557908820691</v>
      </c>
      <c r="G9" s="35">
        <v>-13.697328130566284</v>
      </c>
      <c r="H9" s="35">
        <v>3.2321178252430909E-2</v>
      </c>
      <c r="I9" s="35">
        <v>-1.2653965651706998</v>
      </c>
      <c r="J9" s="35">
        <v>5.0622872832982594E-3</v>
      </c>
      <c r="K9" s="35">
        <v>1.7443392207376756</v>
      </c>
      <c r="L9" s="35">
        <v>0.24801084720545516</v>
      </c>
      <c r="M9" s="58" t="s">
        <v>24</v>
      </c>
      <c r="N9" s="7">
        <v>9.5</v>
      </c>
      <c r="O9" s="7" t="s">
        <v>178</v>
      </c>
      <c r="P9" s="7" t="s">
        <v>178</v>
      </c>
      <c r="AA9" s="50">
        <f>MATCH(AJ9,$I$4:$I$999999,0)</f>
        <v>14</v>
      </c>
      <c r="AB9" s="49" t="s">
        <v>55</v>
      </c>
      <c r="AC9" s="50" t="str" cm="1">
        <f t="array" ref="AC9">INDEX($A$4:$A$999999,AA9)</f>
        <v>Dinhcot</v>
      </c>
      <c r="AD9" s="50" t="str" cm="1">
        <f t="array" ref="AD9">INDEX($B$4:$B$999999,AA9)</f>
        <v>C1</v>
      </c>
      <c r="AE9" s="50" t="str" cm="1">
        <f t="array" ref="AE9">INDEX($C$4:$C$999999,AA9)</f>
        <v>290</v>
      </c>
      <c r="AF9" s="51" t="str" cm="1">
        <f t="array" ref="AF9">INDEX($D$4:$D$999999,AA9)</f>
        <v>1_ULS31</v>
      </c>
      <c r="AG9" s="54" cm="1">
        <f t="array" ref="AG9">INDEX($F$4:$F$999999,AA9)</f>
        <v>9.2453115817641383</v>
      </c>
      <c r="AH9" s="54" cm="1">
        <f t="array" ref="AH9">INDEX($G$4:$G$999999,AA9)</f>
        <v>45.48667249097408</v>
      </c>
      <c r="AI9" s="53" cm="1">
        <f t="array" ref="AI9">INDEX($H$4:$H$999999,AA9)</f>
        <v>-5.5931756664626562</v>
      </c>
      <c r="AJ9" s="52">
        <f>MAX($I$4:$I$9999)</f>
        <v>20.875295304696788</v>
      </c>
      <c r="AK9" s="53" cm="1">
        <f t="array" ref="AK9">INDEX($J$4:$J$999999,AA9)</f>
        <v>5.6268646604783696E-3</v>
      </c>
      <c r="AL9" s="53" cm="1">
        <f t="array" ref="AL9">INDEX($K$4:$K$999999,AA9)</f>
        <v>-40.551130937483592</v>
      </c>
      <c r="AM9" s="53" cm="1">
        <f t="array" ref="AM9">INDEX($L$4:$L$999999,AA9)</f>
        <v>-1.3896529390885621</v>
      </c>
      <c r="AN9" s="64" cm="1">
        <f t="array" ref="AN9">INDEX($N$4:$N$999999,AA9)</f>
        <v>9.5</v>
      </c>
      <c r="AO9" s="65" t="str" cm="1">
        <f t="array" ref="AO9">INDEX($O$4:$O$999999,AA9)</f>
        <v>298x5+248x10</v>
      </c>
      <c r="AP9" s="65" t="str" cm="1">
        <f t="array" ref="AP9">INDEX($P$4:$P$999999,AA9)</f>
        <v>298x5+248x10</v>
      </c>
    </row>
    <row r="10" spans="1:42" x14ac:dyDescent="0.25">
      <c r="A10" s="2" t="s">
        <v>181</v>
      </c>
      <c r="B10" s="2" t="s">
        <v>182</v>
      </c>
      <c r="C10" s="6" t="s">
        <v>130</v>
      </c>
      <c r="D10" s="2" t="s">
        <v>105</v>
      </c>
      <c r="E10" s="2"/>
      <c r="F10" s="35">
        <v>9.2453115817641383</v>
      </c>
      <c r="G10" s="35">
        <v>-11.171901932170545</v>
      </c>
      <c r="H10" s="35">
        <v>3.2321178252430909E-2</v>
      </c>
      <c r="I10" s="35">
        <v>-1.2653965651706998</v>
      </c>
      <c r="J10" s="35">
        <v>5.0622872832982594E-3</v>
      </c>
      <c r="K10" s="35">
        <v>7.5938319804862893</v>
      </c>
      <c r="L10" s="35">
        <v>9.8601165388723877E-2</v>
      </c>
      <c r="M10" s="58" t="s">
        <v>23</v>
      </c>
      <c r="N10" s="7">
        <v>9.5</v>
      </c>
      <c r="O10" s="7" t="s">
        <v>178</v>
      </c>
      <c r="P10" s="7" t="s">
        <v>178</v>
      </c>
      <c r="AA10" s="50">
        <f>MATCH(AK10,$J$4:$J$999999,0)</f>
        <v>357</v>
      </c>
      <c r="AB10" s="49" t="s">
        <v>64</v>
      </c>
      <c r="AC10" s="50" t="str" cm="1">
        <f t="array" ref="AC10">INDEX($A$4:$A$999999,AA10)</f>
        <v>Dinhmai</v>
      </c>
      <c r="AD10" s="50" t="str" cm="1">
        <f t="array" ref="AD10">INDEX($B$4:$B$999999,AA10)</f>
        <v>C3</v>
      </c>
      <c r="AE10" s="50" t="str" cm="1">
        <f t="array" ref="AE10">INDEX($C$4:$C$999999,AA10)</f>
        <v>292</v>
      </c>
      <c r="AF10" s="51" t="str" cm="1">
        <f t="array" ref="AF10">INDEX($D$4:$D$999999,AA10)</f>
        <v>1_ULS38</v>
      </c>
      <c r="AG10" s="54" cm="1">
        <f t="array" ref="AG10">INDEX($F$4:$F$999999,AA10)</f>
        <v>0</v>
      </c>
      <c r="AH10" s="54" cm="1">
        <f t="array" ref="AH10">INDEX($G$4:$G$999999,AA10)</f>
        <v>-11.640554674379571</v>
      </c>
      <c r="AI10" s="53" cm="1">
        <f t="array" ref="AI10">INDEX($H$4:$H$999999,AA10)</f>
        <v>-26.509341437457344</v>
      </c>
      <c r="AJ10" s="53" cm="1">
        <f t="array" ref="AJ10">INDEX($I$4:$I$999999,AA10)</f>
        <v>-2.9714934111938596</v>
      </c>
      <c r="AK10" s="52">
        <f>MIN($J$4:$J$9999)</f>
        <v>-0.18848964771935045</v>
      </c>
      <c r="AL10" s="53" cm="1">
        <f t="array" ref="AL10">INDEX($K$4:$K$999999,AA10)</f>
        <v>-18.425600230451202</v>
      </c>
      <c r="AM10" s="53" cm="1">
        <f t="array" ref="AM10">INDEX($L$4:$L$999999,AA10)</f>
        <v>-51.863080807434692</v>
      </c>
      <c r="AN10" s="64" cm="1">
        <f t="array" ref="AN10">INDEX($N$4:$N$999999,AA10)</f>
        <v>11.333333333333334</v>
      </c>
      <c r="AO10" s="65" t="str" cm="1">
        <f t="array" ref="AO10">INDEX($O$4:$O$999999,AA10)</f>
        <v>298x5+248x10</v>
      </c>
      <c r="AP10" s="65" t="str" cm="1">
        <f t="array" ref="AP10">INDEX($P$4:$P$999999,AA10)</f>
        <v>298x5+248x10</v>
      </c>
    </row>
    <row r="11" spans="1:42" x14ac:dyDescent="0.25">
      <c r="A11" s="2" t="s">
        <v>181</v>
      </c>
      <c r="B11" s="2" t="s">
        <v>182</v>
      </c>
      <c r="C11" s="6" t="s">
        <v>130</v>
      </c>
      <c r="D11" s="2" t="s">
        <v>15</v>
      </c>
      <c r="E11" s="2"/>
      <c r="F11" s="35">
        <v>0</v>
      </c>
      <c r="G11" s="35">
        <v>47.269562185116641</v>
      </c>
      <c r="H11" s="35">
        <v>18.282313773151202</v>
      </c>
      <c r="I11" s="35">
        <v>-17.166606974508152</v>
      </c>
      <c r="J11" s="35">
        <v>-9.8452195247525874E-3</v>
      </c>
      <c r="K11" s="35">
        <v>-23.408658447576475</v>
      </c>
      <c r="L11" s="35">
        <v>34.913498130995727</v>
      </c>
      <c r="M11" s="58" t="s">
        <v>22</v>
      </c>
      <c r="N11" s="7">
        <v>9.5</v>
      </c>
      <c r="O11" s="7" t="s">
        <v>178</v>
      </c>
      <c r="P11" s="7" t="s">
        <v>178</v>
      </c>
      <c r="AA11" s="50">
        <f>MATCH(AK11,$J$4:$J$999999,0)</f>
        <v>1207</v>
      </c>
      <c r="AB11" s="49" t="s">
        <v>65</v>
      </c>
      <c r="AC11" s="50" t="str" cm="1">
        <f t="array" ref="AC11">INDEX($A$4:$A$999999,AA11)</f>
        <v>Dinhmai</v>
      </c>
      <c r="AD11" s="50" t="str" cm="1">
        <f t="array" ref="AD11">INDEX($B$4:$B$999999,AA11)</f>
        <v>C14</v>
      </c>
      <c r="AE11" s="50" t="str" cm="1">
        <f t="array" ref="AE11">INDEX($C$4:$C$999999,AA11)</f>
        <v>311</v>
      </c>
      <c r="AF11" s="51" t="str" cm="1">
        <f t="array" ref="AF11">INDEX($D$4:$D$999999,AA11)</f>
        <v>1_ULS38</v>
      </c>
      <c r="AG11" s="54" cm="1">
        <f t="array" ref="AG11">INDEX($F$4:$F$999999,AA11)</f>
        <v>0</v>
      </c>
      <c r="AH11" s="54" cm="1">
        <f t="array" ref="AH11">INDEX($G$4:$G$999999,AA11)</f>
        <v>10.458050019783068</v>
      </c>
      <c r="AI11" s="53" cm="1">
        <f t="array" ref="AI11">INDEX($H$4:$H$999999,AA11)</f>
        <v>-20.727431168739063</v>
      </c>
      <c r="AJ11" s="53" cm="1">
        <f t="array" ref="AJ11">INDEX($I$4:$I$999999,AA11)</f>
        <v>7.0628754244889986</v>
      </c>
      <c r="AK11" s="52">
        <f>MAX($J$4:$J$9999)</f>
        <v>0.20541684374884556</v>
      </c>
      <c r="AL11" s="53" cm="1">
        <f t="array" ref="AL11">INDEX($K$4:$K$999999,AA11)</f>
        <v>11.490292132475174</v>
      </c>
      <c r="AM11" s="53" cm="1">
        <f t="array" ref="AM11">INDEX($L$4:$L$999999,AA11)</f>
        <v>-113.75587819130811</v>
      </c>
      <c r="AN11" s="64" cm="1">
        <f t="array" ref="AN11">INDEX($N$4:$N$999999,AA11)</f>
        <v>11.333333333333334</v>
      </c>
      <c r="AO11" s="65" t="str" cm="1">
        <f t="array" ref="AO11">INDEX($O$4:$O$999999,AA11)</f>
        <v>372x6+212x8</v>
      </c>
      <c r="AP11" s="65" t="str" cm="1">
        <f t="array" ref="AP11">INDEX($P$4:$P$999999,AA11)</f>
        <v>372x6+212x8</v>
      </c>
    </row>
    <row r="12" spans="1:42" x14ac:dyDescent="0.25">
      <c r="A12" s="2" t="s">
        <v>181</v>
      </c>
      <c r="B12" s="2" t="s">
        <v>182</v>
      </c>
      <c r="C12" s="6" t="s">
        <v>130</v>
      </c>
      <c r="D12" s="2" t="s">
        <v>15</v>
      </c>
      <c r="E12" s="2"/>
      <c r="F12" s="35">
        <v>2</v>
      </c>
      <c r="G12" s="35">
        <v>48.362192185116648</v>
      </c>
      <c r="H12" s="35">
        <v>14.880313773151201</v>
      </c>
      <c r="I12" s="35">
        <v>-8.9346069745081493</v>
      </c>
      <c r="J12" s="35">
        <v>-9.8452195247525874E-3</v>
      </c>
      <c r="K12" s="35">
        <v>2.6925555014398266</v>
      </c>
      <c r="L12" s="35">
        <v>1.7508705846933292</v>
      </c>
      <c r="M12" s="58" t="s">
        <v>22</v>
      </c>
      <c r="N12" s="7">
        <v>9.5</v>
      </c>
      <c r="O12" s="7" t="s">
        <v>178</v>
      </c>
      <c r="P12" s="7" t="s">
        <v>178</v>
      </c>
      <c r="AA12" s="50">
        <f>MATCH(AL12,$K$4:$K$999999,0)</f>
        <v>6932</v>
      </c>
      <c r="AB12" s="49" t="s">
        <v>60</v>
      </c>
      <c r="AC12" s="50" t="str" cm="1">
        <f t="array" ref="AC12">INDEX($A$4:$A$999999,AA12)</f>
        <v>Dinhcot</v>
      </c>
      <c r="AD12" s="50" t="str" cm="1">
        <f t="array" ref="AD12">INDEX($B$4:$B$999999,AA12)</f>
        <v>C79</v>
      </c>
      <c r="AE12" s="50" t="str" cm="1">
        <f t="array" ref="AE12">INDEX($C$4:$C$999999,AA12)</f>
        <v>436</v>
      </c>
      <c r="AF12" s="51" t="str" cm="1">
        <f t="array" ref="AF12">INDEX($D$4:$D$999999,AA12)</f>
        <v>1_ULS38</v>
      </c>
      <c r="AG12" s="54" cm="1">
        <f t="array" ref="AG12">INDEX($F$4:$F$999999,AA12)</f>
        <v>0</v>
      </c>
      <c r="AH12" s="54" cm="1">
        <f t="array" ref="AH12">INDEX($G$4:$G$999999,AA12)</f>
        <v>-18.2484189376956</v>
      </c>
      <c r="AI12" s="53" cm="1">
        <f t="array" ref="AI12">INDEX($H$4:$H$999999,AA12)</f>
        <v>20.353170409737597</v>
      </c>
      <c r="AJ12" s="53" cm="1">
        <f t="array" ref="AJ12">INDEX($I$4:$I$999999,AA12)</f>
        <v>-16.729809999122363</v>
      </c>
      <c r="AK12" s="53" cm="1">
        <f t="array" ref="AK12">INDEX($J$4:$J$999999,AA12)</f>
        <v>1.7370925559014243E-2</v>
      </c>
      <c r="AL12" s="52">
        <f>MIN($K$4:$K$9999)</f>
        <v>-41.047107618042816</v>
      </c>
      <c r="AM12" s="53" cm="1">
        <f t="array" ref="AM12">INDEX($L$4:$L$999999,AA12)</f>
        <v>39.060494853367025</v>
      </c>
      <c r="AN12" s="64" cm="1">
        <f t="array" ref="AN12">INDEX($N$4:$N$999999,AA12)</f>
        <v>9.5</v>
      </c>
      <c r="AO12" s="65" t="str" cm="1">
        <f t="array" ref="AO12">INDEX($O$4:$O$999999,AA12)</f>
        <v>298x5+248x10</v>
      </c>
      <c r="AP12" s="65" t="str" cm="1">
        <f t="array" ref="AP12">INDEX($P$4:$P$999999,AA12)</f>
        <v>298x5+248x10</v>
      </c>
    </row>
    <row r="13" spans="1:42" x14ac:dyDescent="0.25">
      <c r="A13" s="2" t="s">
        <v>181</v>
      </c>
      <c r="B13" s="2" t="s">
        <v>182</v>
      </c>
      <c r="C13" s="6" t="s">
        <v>130</v>
      </c>
      <c r="D13" s="2" t="s">
        <v>15</v>
      </c>
      <c r="E13" s="2"/>
      <c r="F13" s="35">
        <v>2</v>
      </c>
      <c r="G13" s="35">
        <v>40.742314599618119</v>
      </c>
      <c r="H13" s="35">
        <v>6.7314282220594706</v>
      </c>
      <c r="I13" s="35">
        <v>-8.9346242460064591</v>
      </c>
      <c r="J13" s="35">
        <v>-9.8634901389303854E-3</v>
      </c>
      <c r="K13" s="35">
        <v>2.6925749900949461</v>
      </c>
      <c r="L13" s="35">
        <v>1.7508705846933168</v>
      </c>
      <c r="M13" s="58" t="s">
        <v>22</v>
      </c>
      <c r="N13" s="7">
        <v>9.5</v>
      </c>
      <c r="O13" s="7" t="s">
        <v>178</v>
      </c>
      <c r="P13" s="7" t="s">
        <v>178</v>
      </c>
      <c r="AA13" s="50">
        <f>MATCH(AL13,$K$4:$K$999999,0)</f>
        <v>6068</v>
      </c>
      <c r="AB13" s="49" t="s">
        <v>59</v>
      </c>
      <c r="AC13" s="50" t="str" cm="1">
        <f t="array" ref="AC13">INDEX($A$4:$A$999999,AA13)</f>
        <v>Dinhcot</v>
      </c>
      <c r="AD13" s="50" t="str" cm="1">
        <f t="array" ref="AD13">INDEX($B$4:$B$999999,AA13)</f>
        <v>C73</v>
      </c>
      <c r="AE13" s="50" t="str" cm="1">
        <f t="array" ref="AE13">INDEX($C$4:$C$999999,AA13)</f>
        <v>430</v>
      </c>
      <c r="AF13" s="51" t="str" cm="1">
        <f t="array" ref="AF13">INDEX($D$4:$D$999999,AA13)</f>
        <v>1_ULS36</v>
      </c>
      <c r="AG13" s="54" cm="1">
        <f t="array" ref="AG13">INDEX($F$4:$F$999999,AA13)</f>
        <v>0</v>
      </c>
      <c r="AH13" s="54" cm="1">
        <f t="array" ref="AH13">INDEX($G$4:$G$999999,AA13)</f>
        <v>-18.534782385260254</v>
      </c>
      <c r="AI13" s="53" cm="1">
        <f t="array" ref="AI13">INDEX($H$4:$H$999999,AA13)</f>
        <v>20.556390584718077</v>
      </c>
      <c r="AJ13" s="53" cm="1">
        <f t="array" ref="AJ13">INDEX($I$4:$I$999999,AA13)</f>
        <v>16.732077802271615</v>
      </c>
      <c r="AK13" s="53" cm="1">
        <f t="array" ref="AK13">INDEX($J$4:$J$999999,AA13)</f>
        <v>-1.735185709621076E-2</v>
      </c>
      <c r="AL13" s="52">
        <f>MAX($K$4:$K$9999)</f>
        <v>41.059159767651629</v>
      </c>
      <c r="AM13" s="53" cm="1">
        <f t="array" ref="AM13">INDEX($L$4:$L$999999,AA13)</f>
        <v>39.488577772999861</v>
      </c>
      <c r="AN13" s="64" cm="1">
        <f t="array" ref="AN13">INDEX($N$4:$N$999999,AA13)</f>
        <v>9.5</v>
      </c>
      <c r="AO13" s="65" t="str" cm="1">
        <f t="array" ref="AO13">INDEX($O$4:$O$999999,AA13)</f>
        <v>298x5+248x10</v>
      </c>
      <c r="AP13" s="65" t="str" cm="1">
        <f t="array" ref="AP13">INDEX($P$4:$P$999999,AA13)</f>
        <v>298x5+248x10</v>
      </c>
    </row>
    <row r="14" spans="1:42" x14ac:dyDescent="0.25">
      <c r="A14" s="2" t="s">
        <v>181</v>
      </c>
      <c r="B14" s="2" t="s">
        <v>182</v>
      </c>
      <c r="C14" s="6" t="s">
        <v>130</v>
      </c>
      <c r="D14" s="2" t="s">
        <v>15</v>
      </c>
      <c r="E14" s="2"/>
      <c r="F14" s="35">
        <v>4.5</v>
      </c>
      <c r="G14" s="35">
        <v>42.108102099618115</v>
      </c>
      <c r="H14" s="35">
        <v>2.4789282220594702</v>
      </c>
      <c r="I14" s="35">
        <v>1.3553757539935434</v>
      </c>
      <c r="J14" s="35">
        <v>-9.8634901389303854E-3</v>
      </c>
      <c r="K14" s="35">
        <v>12.16663560511109</v>
      </c>
      <c r="L14" s="35">
        <v>-9.7620749704553571</v>
      </c>
      <c r="M14" s="58" t="s">
        <v>24</v>
      </c>
      <c r="N14" s="7">
        <v>9.5</v>
      </c>
      <c r="O14" s="7" t="s">
        <v>178</v>
      </c>
      <c r="P14" s="7" t="s">
        <v>178</v>
      </c>
      <c r="AA14" s="50">
        <f>MATCH(AM14,$L$4:$L$999999,0)</f>
        <v>5445</v>
      </c>
      <c r="AB14" s="49" t="s">
        <v>62</v>
      </c>
      <c r="AC14" s="50" t="str" cm="1">
        <f t="array" ref="AC14">INDEX($A$4:$A$999999,AA14)</f>
        <v>Dinhcot</v>
      </c>
      <c r="AD14" s="50" t="str" cm="1">
        <f t="array" ref="AD14">INDEX($B$4:$B$999999,AA14)</f>
        <v>C67</v>
      </c>
      <c r="AE14" s="50" t="str" cm="1">
        <f t="array" ref="AE14">INDEX($C$4:$C$999999,AA14)</f>
        <v>418</v>
      </c>
      <c r="AF14" s="51" t="str" cm="1">
        <f t="array" ref="AF14">INDEX($D$4:$D$999999,AA14)</f>
        <v>1_ULS33</v>
      </c>
      <c r="AG14" s="54" cm="1">
        <f t="array" ref="AG14">INDEX($F$4:$F$999999,AA14)</f>
        <v>8.9965005885644871</v>
      </c>
      <c r="AH14" s="54" cm="1">
        <f t="array" ref="AH14">INDEX($G$4:$G$999999,AA14)</f>
        <v>111.48015577165785</v>
      </c>
      <c r="AI14" s="53" cm="1">
        <f t="array" ref="AI14">INDEX($H$4:$H$999999,AA14)</f>
        <v>68.920428020126991</v>
      </c>
      <c r="AJ14" s="53" cm="1">
        <f t="array" ref="AJ14">INDEX($I$4:$I$999999,AA14)</f>
        <v>-0.25791277971770032</v>
      </c>
      <c r="AK14" s="53" cm="1">
        <f t="array" ref="AK14">INDEX($J$4:$J$999999,AA14)</f>
        <v>8.0240886573353521E-4</v>
      </c>
      <c r="AL14" s="53" cm="1">
        <f t="array" ref="AL14">INDEX($K$4:$K$999999,AA14)</f>
        <v>-0.13428368676824159</v>
      </c>
      <c r="AM14" s="52">
        <f>MIN($L$4:$L$9999)</f>
        <v>-289.40298132021564</v>
      </c>
      <c r="AN14" s="64" cm="1">
        <f t="array" ref="AN14">INDEX($N$4:$N$999999,AA14)</f>
        <v>9.5</v>
      </c>
      <c r="AO14" s="65" t="str" cm="1">
        <f t="array" ref="AO14">INDEX($O$4:$O$999999,AA14)</f>
        <v>372x5+184x8</v>
      </c>
      <c r="AP14" s="65" t="str" cm="1">
        <f t="array" ref="AP14">INDEX($P$4:$P$999999,AA14)</f>
        <v>372x5+184x8</v>
      </c>
    </row>
    <row r="15" spans="1:42" x14ac:dyDescent="0.25">
      <c r="A15" s="2" t="s">
        <v>181</v>
      </c>
      <c r="B15" s="2" t="s">
        <v>182</v>
      </c>
      <c r="C15" s="6" t="s">
        <v>130</v>
      </c>
      <c r="D15" s="2" t="s">
        <v>15</v>
      </c>
      <c r="E15" s="2"/>
      <c r="F15" s="35">
        <v>4.5</v>
      </c>
      <c r="G15" s="35">
        <v>42.894237594182606</v>
      </c>
      <c r="H15" s="35">
        <v>2.4785993341181438</v>
      </c>
      <c r="I15" s="35">
        <v>1.3435928341555969</v>
      </c>
      <c r="J15" s="35">
        <v>5.6268646604783696E-3</v>
      </c>
      <c r="K15" s="35">
        <v>12.166642672125436</v>
      </c>
      <c r="L15" s="35">
        <v>-8.7794705101700021</v>
      </c>
      <c r="M15" s="58" t="s">
        <v>24</v>
      </c>
      <c r="N15" s="7">
        <v>9.5</v>
      </c>
      <c r="O15" s="7" t="s">
        <v>178</v>
      </c>
      <c r="P15" s="7" t="s">
        <v>178</v>
      </c>
      <c r="AA15" s="50">
        <f>MATCH(AM15,$L$4:$L$999999,0)</f>
        <v>5920</v>
      </c>
      <c r="AB15" s="49" t="s">
        <v>61</v>
      </c>
      <c r="AC15" s="50" t="str" cm="1">
        <f t="array" ref="AC15">INDEX($A$4:$A$999999,AA15)</f>
        <v>Dinhcot</v>
      </c>
      <c r="AD15" s="50" t="str" cm="1">
        <f t="array" ref="AD15">INDEX($B$4:$B$999999,AA15)</f>
        <v>C70</v>
      </c>
      <c r="AE15" s="50" t="str" cm="1">
        <f t="array" ref="AE15">INDEX($C$4:$C$999999,AA15)</f>
        <v>421</v>
      </c>
      <c r="AF15" s="51" t="str" cm="1">
        <f t="array" ref="AF15">INDEX($D$4:$D$999999,AA15)</f>
        <v>1_ULS33</v>
      </c>
      <c r="AG15" s="54" cm="1">
        <f t="array" ref="AG15">INDEX($F$4:$F$999999,AA15)</f>
        <v>8.9965005885644906</v>
      </c>
      <c r="AH15" s="54" cm="1">
        <f t="array" ref="AH15">INDEX($G$4:$G$999999,AA15)</f>
        <v>111.26320660345952</v>
      </c>
      <c r="AI15" s="53" cm="1">
        <f t="array" ref="AI15">INDEX($H$4:$H$999999,AA15)</f>
        <v>-68.92483566131682</v>
      </c>
      <c r="AJ15" s="53" cm="1">
        <f t="array" ref="AJ15">INDEX($I$4:$I$999999,AA15)</f>
        <v>-0.26426429909960719</v>
      </c>
      <c r="AK15" s="53" cm="1">
        <f t="array" ref="AK15">INDEX($J$4:$J$999999,AA15)</f>
        <v>-7.9631711377720061E-4</v>
      </c>
      <c r="AL15" s="53" cm="1">
        <f t="array" ref="AL15">INDEX($K$4:$K$999999,AA15)</f>
        <v>-0.1374782885437065</v>
      </c>
      <c r="AM15" s="52">
        <f>MAX($L$4:$L$9999)</f>
        <v>289.41649835846596</v>
      </c>
      <c r="AN15" s="64" cm="1">
        <f t="array" ref="AN15">INDEX($N$4:$N$999999,AA15)</f>
        <v>9.5</v>
      </c>
      <c r="AO15" s="65" t="str" cm="1">
        <f t="array" ref="AO15">INDEX($O$4:$O$999999,AA15)</f>
        <v>372x5+184x8</v>
      </c>
      <c r="AP15" s="65" t="str" cm="1">
        <f t="array" ref="AP15">INDEX($P$4:$P$999999,AA15)</f>
        <v>372x5+184x8</v>
      </c>
    </row>
    <row r="16" spans="1:42" x14ac:dyDescent="0.25">
      <c r="A16" s="2" t="s">
        <v>181</v>
      </c>
      <c r="B16" s="2" t="s">
        <v>182</v>
      </c>
      <c r="C16" s="6" t="s">
        <v>130</v>
      </c>
      <c r="D16" s="2" t="s">
        <v>15</v>
      </c>
      <c r="E16" s="2"/>
      <c r="F16" s="35">
        <v>4.6226557908820691</v>
      </c>
      <c r="G16" s="35">
        <v>42.961246292578338</v>
      </c>
      <c r="H16" s="35">
        <v>2.2699618338277441</v>
      </c>
      <c r="I16" s="35">
        <v>1.8484440694261939</v>
      </c>
      <c r="J16" s="35">
        <v>5.6268646604783696E-3</v>
      </c>
      <c r="K16" s="35">
        <v>11.970881766658648</v>
      </c>
      <c r="L16" s="35">
        <v>-9.0706897729731466</v>
      </c>
      <c r="M16" s="58" t="s">
        <v>24</v>
      </c>
      <c r="N16" s="7">
        <v>9.5</v>
      </c>
      <c r="O16" s="7" t="s">
        <v>178</v>
      </c>
      <c r="P16" s="7" t="s">
        <v>178</v>
      </c>
    </row>
    <row r="17" spans="1:36" x14ac:dyDescent="0.25">
      <c r="A17" s="2" t="s">
        <v>181</v>
      </c>
      <c r="B17" s="2" t="s">
        <v>182</v>
      </c>
      <c r="C17" s="6" t="s">
        <v>130</v>
      </c>
      <c r="D17" s="2" t="s">
        <v>15</v>
      </c>
      <c r="E17" s="2"/>
      <c r="F17" s="35">
        <v>9.2453115817641383</v>
      </c>
      <c r="G17" s="35">
        <v>45.48667249097408</v>
      </c>
      <c r="H17" s="35">
        <v>-5.5931756664626562</v>
      </c>
      <c r="I17" s="35">
        <v>20.875295304696788</v>
      </c>
      <c r="J17" s="35">
        <v>5.6268646604783696E-3</v>
      </c>
      <c r="K17" s="35">
        <v>-40.551130937483592</v>
      </c>
      <c r="L17" s="35">
        <v>-1.3896529390885621</v>
      </c>
      <c r="M17" s="58" t="s">
        <v>23</v>
      </c>
      <c r="N17" s="7">
        <v>9.5</v>
      </c>
      <c r="O17" s="7" t="s">
        <v>178</v>
      </c>
      <c r="P17" s="7" t="s">
        <v>178</v>
      </c>
    </row>
    <row r="18" spans="1:36" x14ac:dyDescent="0.25">
      <c r="A18" s="2" t="s">
        <v>181</v>
      </c>
      <c r="B18" s="2" t="s">
        <v>182</v>
      </c>
      <c r="C18" s="6" t="s">
        <v>130</v>
      </c>
      <c r="D18" s="2" t="s">
        <v>16</v>
      </c>
      <c r="E18" s="2"/>
      <c r="F18" s="35">
        <v>0</v>
      </c>
      <c r="G18" s="35">
        <v>36.528136343327716</v>
      </c>
      <c r="H18" s="35">
        <v>25.51686332131144</v>
      </c>
      <c r="I18" s="35">
        <v>-12.11390224344297</v>
      </c>
      <c r="J18" s="35">
        <v>-8.34571012748111E-3</v>
      </c>
      <c r="K18" s="35">
        <v>-16.226950351130213</v>
      </c>
      <c r="L18" s="35">
        <v>48.634851627354585</v>
      </c>
      <c r="M18" s="58" t="s">
        <v>22</v>
      </c>
      <c r="N18" s="7">
        <v>9.5</v>
      </c>
      <c r="O18" s="7" t="s">
        <v>178</v>
      </c>
      <c r="P18" s="7" t="s">
        <v>178</v>
      </c>
      <c r="AA18" s="31"/>
      <c r="AB18" s="20" t="s">
        <v>17</v>
      </c>
      <c r="AC18" s="78" t="s">
        <v>1</v>
      </c>
      <c r="AD18" s="80" t="s">
        <v>2</v>
      </c>
      <c r="AE18" s="21" t="s">
        <v>5</v>
      </c>
      <c r="AF18" s="21" t="s">
        <v>6</v>
      </c>
      <c r="AG18" s="21" t="s">
        <v>7</v>
      </c>
      <c r="AH18" s="21" t="s">
        <v>8</v>
      </c>
      <c r="AI18" s="21" t="s">
        <v>9</v>
      </c>
      <c r="AJ18" s="22" t="s">
        <v>10</v>
      </c>
    </row>
    <row r="19" spans="1:36" x14ac:dyDescent="0.25">
      <c r="A19" s="2" t="s">
        <v>181</v>
      </c>
      <c r="B19" s="2" t="s">
        <v>182</v>
      </c>
      <c r="C19" s="6" t="s">
        <v>130</v>
      </c>
      <c r="D19" s="2" t="s">
        <v>16</v>
      </c>
      <c r="E19" s="2"/>
      <c r="F19" s="35">
        <v>2</v>
      </c>
      <c r="G19" s="35">
        <v>37.620766343327709</v>
      </c>
      <c r="H19" s="35">
        <v>19.468863321311442</v>
      </c>
      <c r="I19" s="35">
        <v>-6.2339022434429703</v>
      </c>
      <c r="J19" s="35">
        <v>-8.34571012748111E-3</v>
      </c>
      <c r="K19" s="35">
        <v>2.1208541357557236</v>
      </c>
      <c r="L19" s="35">
        <v>3.6491249847317095</v>
      </c>
      <c r="M19" s="58" t="s">
        <v>22</v>
      </c>
      <c r="N19" s="7">
        <v>9.5</v>
      </c>
      <c r="O19" s="7" t="s">
        <v>178</v>
      </c>
      <c r="P19" s="7" t="s">
        <v>178</v>
      </c>
      <c r="AA19" s="32"/>
      <c r="AB19" s="15"/>
      <c r="AC19" s="79"/>
      <c r="AD19" s="81"/>
      <c r="AE19" s="16" t="s">
        <v>13</v>
      </c>
      <c r="AF19" s="16" t="s">
        <v>13</v>
      </c>
      <c r="AG19" s="16" t="s">
        <v>13</v>
      </c>
      <c r="AH19" s="16" t="s">
        <v>14</v>
      </c>
      <c r="AI19" s="16" t="s">
        <v>14</v>
      </c>
      <c r="AJ19" s="23" t="s">
        <v>14</v>
      </c>
    </row>
    <row r="20" spans="1:36" x14ac:dyDescent="0.25">
      <c r="A20" s="2" t="s">
        <v>181</v>
      </c>
      <c r="B20" s="2" t="s">
        <v>182</v>
      </c>
      <c r="C20" s="6" t="s">
        <v>130</v>
      </c>
      <c r="D20" s="2" t="s">
        <v>16</v>
      </c>
      <c r="E20" s="2"/>
      <c r="F20" s="35">
        <v>2</v>
      </c>
      <c r="G20" s="35">
        <v>30.587702229694251</v>
      </c>
      <c r="H20" s="35">
        <v>11.945913626493065</v>
      </c>
      <c r="I20" s="35">
        <v>-6.2339180061654105</v>
      </c>
      <c r="J20" s="35">
        <v>-8.3583208022517935E-3</v>
      </c>
      <c r="K20" s="35">
        <v>2.1208675871421399</v>
      </c>
      <c r="L20" s="35">
        <v>3.6491249847317069</v>
      </c>
      <c r="M20" s="58" t="s">
        <v>22</v>
      </c>
      <c r="N20" s="7">
        <v>9.5</v>
      </c>
      <c r="O20" s="7" t="s">
        <v>178</v>
      </c>
      <c r="P20" s="7" t="s">
        <v>178</v>
      </c>
      <c r="AA20" s="75" t="s">
        <v>26</v>
      </c>
      <c r="AB20" s="17" t="s">
        <v>22</v>
      </c>
      <c r="AC20" s="18" t="str">
        <f>INDEX($C$4:$C$99999,MATCH(AJ20,$L$4:$L$9999,0))</f>
        <v>418</v>
      </c>
      <c r="AD20" s="19" t="str">
        <f>INDEX($D$4:$D$99999,MATCH(AJ20,$L$4:$L$9999,0))</f>
        <v>1_ULS35</v>
      </c>
      <c r="AE20" s="24">
        <f>INDEX($G$4:$G$99999,MATCH(AJ20,$L$4:$L$9999,0))</f>
        <v>82.6495619910024</v>
      </c>
      <c r="AF20" s="24">
        <f>INDEX($H$4:$H$99999,MATCH(AJ20,$L$4:$L$9999,0))</f>
        <v>52.508111944738836</v>
      </c>
      <c r="AG20" s="24">
        <f>INDEX($I$4:$I$99999,MATCH(AJ20,$L$4:$L$9999,0))</f>
        <v>-2.154856428399464</v>
      </c>
      <c r="AH20" s="24">
        <f>INDEX($J$4:$J$99999,MATCH(AJ20,$L$4:$L$9999,0))</f>
        <v>-1.285783722764851E-3</v>
      </c>
      <c r="AI20" s="24">
        <f>INDEX($K$4:$K$99999,MATCH(AJ20,$L$4:$L$9999,0))</f>
        <v>-3.3977722118959943</v>
      </c>
      <c r="AJ20" s="25">
        <f>_xlfn.MAXIFS($L$4:$L$99999,$M$4:$M$99999,"End I")</f>
        <v>159.63319755872382</v>
      </c>
    </row>
    <row r="21" spans="1:36" x14ac:dyDescent="0.25">
      <c r="A21" s="2" t="s">
        <v>181</v>
      </c>
      <c r="B21" s="2" t="s">
        <v>182</v>
      </c>
      <c r="C21" s="6" t="s">
        <v>130</v>
      </c>
      <c r="D21" s="2" t="s">
        <v>16</v>
      </c>
      <c r="E21" s="2"/>
      <c r="F21" s="35">
        <v>4.5</v>
      </c>
      <c r="G21" s="35">
        <v>31.953489729694251</v>
      </c>
      <c r="H21" s="35">
        <v>4.3859136264930658</v>
      </c>
      <c r="I21" s="35">
        <v>1.1160819938345887</v>
      </c>
      <c r="J21" s="35">
        <v>-8.3583208022517935E-3</v>
      </c>
      <c r="K21" s="35">
        <v>8.518162602555666</v>
      </c>
      <c r="L21" s="35">
        <v>-16.765659081500953</v>
      </c>
      <c r="M21" s="58" t="s">
        <v>24</v>
      </c>
      <c r="N21" s="7">
        <v>9.5</v>
      </c>
      <c r="O21" s="7" t="s">
        <v>178</v>
      </c>
      <c r="P21" s="7" t="s">
        <v>178</v>
      </c>
      <c r="AA21" s="76"/>
      <c r="AB21" s="9" t="s">
        <v>24</v>
      </c>
      <c r="AC21" s="11" t="str">
        <f t="shared" ref="AC21:AC25" si="0">INDEX($C$4:$C$99999,MATCH(AJ21,$L$4:$L$9999,0))</f>
        <v>293</v>
      </c>
      <c r="AD21" s="12" t="str">
        <f t="shared" ref="AD21:AD25" si="1">INDEX($D$4:$D$99999,MATCH(AJ21,$L$4:$L$9999,0))</f>
        <v>1_ULS55</v>
      </c>
      <c r="AE21" s="28">
        <f t="shared" ref="AE21:AE25" si="2">INDEX($G$4:$G$99999,MATCH(AJ21,$L$4:$L$9999,0))</f>
        <v>14.986813591830277</v>
      </c>
      <c r="AF21" s="28">
        <f t="shared" ref="AF21:AF25" si="3">INDEX($H$4:$H$99999,MATCH(AJ21,$L$4:$L$9999,0))</f>
        <v>-11.052944171527836</v>
      </c>
      <c r="AG21" s="28">
        <f t="shared" ref="AG21:AG25" si="4">INDEX($I$4:$I$99999,MATCH(AJ21,$L$4:$L$9999,0))</f>
        <v>1.0364354672543417</v>
      </c>
      <c r="AH21" s="28">
        <f t="shared" ref="AH21:AH25" si="5">INDEX($J$4:$J$99999,MATCH(AJ21,$L$4:$L$9999,0))</f>
        <v>2.2880926088418731E-4</v>
      </c>
      <c r="AI21" s="28">
        <f t="shared" ref="AI21:AI25" si="6">INDEX($K$4:$K$99999,MATCH(AJ21,$L$4:$L$9999,0))</f>
        <v>0.22745821815204079</v>
      </c>
      <c r="AJ21" s="26">
        <f>_xlfn.MAXIFS($L$4:$L$99999,$M$4:$M$99999,"Middle")</f>
        <v>60.317965669616214</v>
      </c>
    </row>
    <row r="22" spans="1:36" x14ac:dyDescent="0.25">
      <c r="A22" s="2" t="s">
        <v>181</v>
      </c>
      <c r="B22" s="2" t="s">
        <v>182</v>
      </c>
      <c r="C22" s="6" t="s">
        <v>130</v>
      </c>
      <c r="D22" s="2" t="s">
        <v>16</v>
      </c>
      <c r="E22" s="2"/>
      <c r="F22" s="35">
        <v>4.5</v>
      </c>
      <c r="G22" s="35">
        <v>32.739625050629421</v>
      </c>
      <c r="H22" s="35">
        <v>4.3853217621766714</v>
      </c>
      <c r="I22" s="35">
        <v>1.1097113653184059</v>
      </c>
      <c r="J22" s="35">
        <v>1.8402896333420894E-3</v>
      </c>
      <c r="K22" s="35">
        <v>8.5181697048577902</v>
      </c>
      <c r="L22" s="35">
        <v>-15.783108104507725</v>
      </c>
      <c r="M22" s="58" t="s">
        <v>24</v>
      </c>
      <c r="N22" s="7">
        <v>9.5</v>
      </c>
      <c r="O22" s="7" t="s">
        <v>178</v>
      </c>
      <c r="P22" s="7" t="s">
        <v>178</v>
      </c>
      <c r="AA22" s="77"/>
      <c r="AB22" s="9" t="s">
        <v>23</v>
      </c>
      <c r="AC22" s="11" t="str">
        <f t="shared" si="0"/>
        <v>421</v>
      </c>
      <c r="AD22" s="12" t="str">
        <f t="shared" si="1"/>
        <v>1_ULS33</v>
      </c>
      <c r="AE22" s="28">
        <f t="shared" si="2"/>
        <v>111.26320660345952</v>
      </c>
      <c r="AF22" s="28">
        <f t="shared" si="3"/>
        <v>-68.92483566131682</v>
      </c>
      <c r="AG22" s="28">
        <f t="shared" si="4"/>
        <v>-0.26426429909960719</v>
      </c>
      <c r="AH22" s="28">
        <f t="shared" si="5"/>
        <v>-7.9631711377720061E-4</v>
      </c>
      <c r="AI22" s="28">
        <f t="shared" si="6"/>
        <v>-0.1374782885437065</v>
      </c>
      <c r="AJ22" s="26">
        <f>_xlfn.MAXIFS($L$4:$L$99999,$M$4:$M$99999,"End J")</f>
        <v>289.41649835846596</v>
      </c>
    </row>
    <row r="23" spans="1:36" x14ac:dyDescent="0.25">
      <c r="A23" s="2" t="s">
        <v>181</v>
      </c>
      <c r="B23" s="2" t="s">
        <v>182</v>
      </c>
      <c r="C23" s="6" t="s">
        <v>130</v>
      </c>
      <c r="D23" s="2" t="s">
        <v>16</v>
      </c>
      <c r="E23" s="2"/>
      <c r="F23" s="35">
        <v>4.6226557908820691</v>
      </c>
      <c r="G23" s="35">
        <v>32.806633749025153</v>
      </c>
      <c r="H23" s="35">
        <v>4.0144106505492951</v>
      </c>
      <c r="I23" s="35">
        <v>1.4703193905116894</v>
      </c>
      <c r="J23" s="35">
        <v>1.8402896333420894E-3</v>
      </c>
      <c r="K23" s="35">
        <v>8.3599418484295871</v>
      </c>
      <c r="L23" s="35">
        <v>-16.298246015648051</v>
      </c>
      <c r="M23" s="58" t="s">
        <v>24</v>
      </c>
      <c r="N23" s="7">
        <v>9.5</v>
      </c>
      <c r="O23" s="7" t="s">
        <v>178</v>
      </c>
      <c r="P23" s="7" t="s">
        <v>178</v>
      </c>
      <c r="AA23" s="75" t="s">
        <v>27</v>
      </c>
      <c r="AB23" s="9" t="s">
        <v>22</v>
      </c>
      <c r="AC23" s="11" t="str">
        <f t="shared" si="0"/>
        <v>421</v>
      </c>
      <c r="AD23" s="12" t="str">
        <f t="shared" si="1"/>
        <v>1_ULS37</v>
      </c>
      <c r="AE23" s="28">
        <f t="shared" si="2"/>
        <v>82.227468129946359</v>
      </c>
      <c r="AF23" s="28">
        <f t="shared" si="3"/>
        <v>-52.513667220896039</v>
      </c>
      <c r="AG23" s="28">
        <f t="shared" si="4"/>
        <v>-2.0050065960955994</v>
      </c>
      <c r="AH23" s="28">
        <f t="shared" si="5"/>
        <v>1.2933515561618927E-3</v>
      </c>
      <c r="AI23" s="28">
        <f t="shared" si="6"/>
        <v>-3.1582665401928858</v>
      </c>
      <c r="AJ23" s="26">
        <f>_xlfn.MINIFS($L$4:$L$99999,$M$4:$M$99999,"End I")</f>
        <v>-159.66586935326202</v>
      </c>
    </row>
    <row r="24" spans="1:36" x14ac:dyDescent="0.25">
      <c r="A24" s="2" t="s">
        <v>181</v>
      </c>
      <c r="B24" s="2" t="s">
        <v>182</v>
      </c>
      <c r="C24" s="6" t="s">
        <v>130</v>
      </c>
      <c r="D24" s="2" t="s">
        <v>16</v>
      </c>
      <c r="E24" s="2"/>
      <c r="F24" s="35">
        <v>9.2453115817641383</v>
      </c>
      <c r="G24" s="35">
        <v>35.332059947420895</v>
      </c>
      <c r="H24" s="35">
        <v>-9.9645004610780816</v>
      </c>
      <c r="I24" s="35">
        <v>15.06092741570497</v>
      </c>
      <c r="J24" s="35">
        <v>1.8402896333420894E-3</v>
      </c>
      <c r="K24" s="35">
        <v>-29.849190041199481</v>
      </c>
      <c r="L24" s="35">
        <v>-2.5456374561934112</v>
      </c>
      <c r="M24" s="58" t="s">
        <v>23</v>
      </c>
      <c r="N24" s="7">
        <v>9.5</v>
      </c>
      <c r="O24" s="7" t="s">
        <v>178</v>
      </c>
      <c r="P24" s="7" t="s">
        <v>178</v>
      </c>
      <c r="AA24" s="76"/>
      <c r="AB24" s="9" t="s">
        <v>24</v>
      </c>
      <c r="AC24" s="11" t="str">
        <f t="shared" si="0"/>
        <v>433</v>
      </c>
      <c r="AD24" s="12" t="str">
        <f t="shared" si="1"/>
        <v>1_ULS57</v>
      </c>
      <c r="AE24" s="28">
        <f t="shared" si="2"/>
        <v>14.728066295983522</v>
      </c>
      <c r="AF24" s="28">
        <f t="shared" si="3"/>
        <v>11.132093760788111</v>
      </c>
      <c r="AG24" s="28">
        <f t="shared" si="4"/>
        <v>-1.037473120073052</v>
      </c>
      <c r="AH24" s="28">
        <f t="shared" si="5"/>
        <v>-1.0551320157733732E-5</v>
      </c>
      <c r="AI24" s="28">
        <f t="shared" si="6"/>
        <v>-0.23975640593458858</v>
      </c>
      <c r="AJ24" s="26">
        <f>_xlfn.MINIFS($L$4:$L$99999,$M$4:$M$99999,"Middle")</f>
        <v>-59.829177970832319</v>
      </c>
    </row>
    <row r="25" spans="1:36" x14ac:dyDescent="0.25">
      <c r="A25" s="2" t="s">
        <v>181</v>
      </c>
      <c r="B25" s="2" t="s">
        <v>182</v>
      </c>
      <c r="C25" s="6" t="s">
        <v>130</v>
      </c>
      <c r="D25" s="2" t="s">
        <v>106</v>
      </c>
      <c r="E25" s="2"/>
      <c r="F25" s="35">
        <v>0</v>
      </c>
      <c r="G25" s="35">
        <v>0.12189888803745814</v>
      </c>
      <c r="H25" s="35">
        <v>-16.26221105409024</v>
      </c>
      <c r="I25" s="35">
        <v>-9.3418521180702339</v>
      </c>
      <c r="J25" s="35">
        <v>-5.4556827644286479E-3</v>
      </c>
      <c r="K25" s="35">
        <v>-13.885067786834201</v>
      </c>
      <c r="L25" s="35">
        <v>-33.122941921292657</v>
      </c>
      <c r="M25" s="58" t="s">
        <v>22</v>
      </c>
      <c r="N25" s="7">
        <v>9.5</v>
      </c>
      <c r="O25" s="7" t="s">
        <v>178</v>
      </c>
      <c r="P25" s="7" t="s">
        <v>178</v>
      </c>
      <c r="AA25" s="77"/>
      <c r="AB25" s="10" t="s">
        <v>23</v>
      </c>
      <c r="AC25" s="13" t="str">
        <f t="shared" si="0"/>
        <v>418</v>
      </c>
      <c r="AD25" s="14" t="str">
        <f t="shared" si="1"/>
        <v>1_ULS33</v>
      </c>
      <c r="AE25" s="29">
        <f t="shared" si="2"/>
        <v>111.48015577165785</v>
      </c>
      <c r="AF25" s="29">
        <f t="shared" si="3"/>
        <v>68.920428020126991</v>
      </c>
      <c r="AG25" s="29">
        <f t="shared" si="4"/>
        <v>-0.25791277971770032</v>
      </c>
      <c r="AH25" s="29">
        <f t="shared" si="5"/>
        <v>8.0240886573353521E-4</v>
      </c>
      <c r="AI25" s="29">
        <f t="shared" si="6"/>
        <v>-0.13428368676824159</v>
      </c>
      <c r="AJ25" s="27">
        <f>_xlfn.MINIFS($L$4:$L$99999,$M$4:$M$99999,"End J")</f>
        <v>-289.40298132021564</v>
      </c>
    </row>
    <row r="26" spans="1:36" x14ac:dyDescent="0.25">
      <c r="A26" s="2" t="s">
        <v>181</v>
      </c>
      <c r="B26" s="2" t="s">
        <v>182</v>
      </c>
      <c r="C26" s="6" t="s">
        <v>130</v>
      </c>
      <c r="D26" s="2" t="s">
        <v>106</v>
      </c>
      <c r="E26" s="2"/>
      <c r="F26" s="35">
        <v>2</v>
      </c>
      <c r="G26" s="35">
        <v>1.214528888037459</v>
      </c>
      <c r="H26" s="35">
        <v>-12.860211054090239</v>
      </c>
      <c r="I26" s="35">
        <v>-5.1418521180702346</v>
      </c>
      <c r="J26" s="35">
        <v>-5.4556827644286479E-3</v>
      </c>
      <c r="K26" s="35">
        <v>0.59863644930626836</v>
      </c>
      <c r="L26" s="35">
        <v>-4.0005198131121791</v>
      </c>
      <c r="M26" s="58" t="s">
        <v>22</v>
      </c>
      <c r="N26" s="7">
        <v>9.5</v>
      </c>
      <c r="O26" s="7" t="s">
        <v>178</v>
      </c>
      <c r="P26" s="7" t="s">
        <v>178</v>
      </c>
      <c r="AB26" s="30" t="s">
        <v>25</v>
      </c>
    </row>
    <row r="27" spans="1:36" x14ac:dyDescent="0.25">
      <c r="A27" s="2" t="s">
        <v>181</v>
      </c>
      <c r="B27" s="2" t="s">
        <v>182</v>
      </c>
      <c r="C27" s="6" t="s">
        <v>130</v>
      </c>
      <c r="D27" s="2" t="s">
        <v>106</v>
      </c>
      <c r="E27" s="2"/>
      <c r="F27" s="35">
        <v>2</v>
      </c>
      <c r="G27" s="35">
        <v>6.9219646636208187</v>
      </c>
      <c r="H27" s="35">
        <v>-6.7932824958936449</v>
      </c>
      <c r="I27" s="35">
        <v>-5.1418550373462804</v>
      </c>
      <c r="J27" s="35">
        <v>-5.4632574053497529E-3</v>
      </c>
      <c r="K27" s="35">
        <v>0.59864452892323927</v>
      </c>
      <c r="L27" s="35">
        <v>-4.000519813112164</v>
      </c>
      <c r="M27" s="58" t="s">
        <v>22</v>
      </c>
      <c r="N27" s="7">
        <v>9.5</v>
      </c>
      <c r="O27" s="7" t="s">
        <v>178</v>
      </c>
      <c r="P27" s="7" t="s">
        <v>178</v>
      </c>
    </row>
    <row r="28" spans="1:36" x14ac:dyDescent="0.25">
      <c r="A28" s="2" t="s">
        <v>181</v>
      </c>
      <c r="B28" s="2" t="s">
        <v>182</v>
      </c>
      <c r="C28" s="6" t="s">
        <v>130</v>
      </c>
      <c r="D28" s="2" t="s">
        <v>106</v>
      </c>
      <c r="E28" s="2"/>
      <c r="F28" s="35">
        <v>4.5</v>
      </c>
      <c r="G28" s="35">
        <v>8.2877521636208193</v>
      </c>
      <c r="H28" s="35">
        <v>-2.5407824958936436</v>
      </c>
      <c r="I28" s="35">
        <v>0.1081449626537196</v>
      </c>
      <c r="J28" s="35">
        <v>-5.4632574053497529E-3</v>
      </c>
      <c r="K28" s="35">
        <v>6.8907821222889405</v>
      </c>
      <c r="L28" s="35">
        <v>7.6670614266219452</v>
      </c>
      <c r="M28" s="58" t="s">
        <v>24</v>
      </c>
      <c r="N28" s="7">
        <v>9.5</v>
      </c>
      <c r="O28" s="7" t="s">
        <v>178</v>
      </c>
      <c r="P28" s="7" t="s">
        <v>178</v>
      </c>
    </row>
    <row r="29" spans="1:36" x14ac:dyDescent="0.25">
      <c r="A29" s="2" t="s">
        <v>181</v>
      </c>
      <c r="B29" s="2" t="s">
        <v>182</v>
      </c>
      <c r="C29" s="6" t="s">
        <v>130</v>
      </c>
      <c r="D29" s="2" t="s">
        <v>106</v>
      </c>
      <c r="E29" s="2"/>
      <c r="F29" s="35">
        <v>4.5</v>
      </c>
      <c r="G29" s="35">
        <v>9.0738884201279379</v>
      </c>
      <c r="H29" s="35">
        <v>-2.540574406464458</v>
      </c>
      <c r="I29" s="35">
        <v>9.6194112221897041E-2</v>
      </c>
      <c r="J29" s="35">
        <v>7.8914129147550222E-3</v>
      </c>
      <c r="K29" s="35">
        <v>6.8907820398385811</v>
      </c>
      <c r="L29" s="35">
        <v>8.6497956272343188</v>
      </c>
      <c r="M29" s="58" t="s">
        <v>24</v>
      </c>
      <c r="N29" s="7">
        <v>9.5</v>
      </c>
      <c r="O29" s="7" t="s">
        <v>178</v>
      </c>
      <c r="P29" s="7" t="s">
        <v>178</v>
      </c>
    </row>
    <row r="30" spans="1:36" x14ac:dyDescent="0.25">
      <c r="A30" s="2" t="s">
        <v>181</v>
      </c>
      <c r="B30" s="2" t="s">
        <v>182</v>
      </c>
      <c r="C30" s="6" t="s">
        <v>130</v>
      </c>
      <c r="D30" s="2" t="s">
        <v>106</v>
      </c>
      <c r="E30" s="2"/>
      <c r="F30" s="35">
        <v>4.6226557908820691</v>
      </c>
      <c r="G30" s="35">
        <v>9.1408971185236751</v>
      </c>
      <c r="H30" s="35">
        <v>-2.3319369061740587</v>
      </c>
      <c r="I30" s="35">
        <v>0.35377127307424217</v>
      </c>
      <c r="J30" s="35">
        <v>7.8914129147550222E-3</v>
      </c>
      <c r="K30" s="35">
        <v>6.8631866097370553</v>
      </c>
      <c r="L30" s="35">
        <v>8.9486164915510731</v>
      </c>
      <c r="M30" s="58" t="s">
        <v>24</v>
      </c>
      <c r="N30" s="7">
        <v>9.5</v>
      </c>
      <c r="O30" s="7" t="s">
        <v>178</v>
      </c>
      <c r="P30" s="7" t="s">
        <v>178</v>
      </c>
    </row>
    <row r="31" spans="1:36" x14ac:dyDescent="0.25">
      <c r="A31" s="2" t="s">
        <v>181</v>
      </c>
      <c r="B31" s="2" t="s">
        <v>182</v>
      </c>
      <c r="C31" s="6" t="s">
        <v>130</v>
      </c>
      <c r="D31" s="2" t="s">
        <v>106</v>
      </c>
      <c r="E31" s="2"/>
      <c r="F31" s="35">
        <v>9.2453115817641383</v>
      </c>
      <c r="G31" s="35">
        <v>11.666323316919414</v>
      </c>
      <c r="H31" s="35">
        <v>5.531200594116342</v>
      </c>
      <c r="I31" s="35">
        <v>10.061348433926586</v>
      </c>
      <c r="J31" s="35">
        <v>7.8914129147550222E-3</v>
      </c>
      <c r="K31" s="35">
        <v>-17.209570103411611</v>
      </c>
      <c r="L31" s="35">
        <v>1.5540690847385152</v>
      </c>
      <c r="M31" s="58" t="s">
        <v>23</v>
      </c>
      <c r="N31" s="7">
        <v>9.5</v>
      </c>
      <c r="O31" s="7" t="s">
        <v>178</v>
      </c>
      <c r="P31" s="7" t="s">
        <v>178</v>
      </c>
    </row>
    <row r="32" spans="1:36" x14ac:dyDescent="0.25">
      <c r="A32" s="2" t="s">
        <v>181</v>
      </c>
      <c r="B32" s="2" t="s">
        <v>182</v>
      </c>
      <c r="C32" s="6" t="s">
        <v>130</v>
      </c>
      <c r="D32" s="2" t="s">
        <v>107</v>
      </c>
      <c r="E32" s="2"/>
      <c r="F32" s="35">
        <v>0</v>
      </c>
      <c r="G32" s="35">
        <v>-10.282768706692682</v>
      </c>
      <c r="H32" s="35">
        <v>-9.0313627603506852</v>
      </c>
      <c r="I32" s="35">
        <v>-4.2486288107414039</v>
      </c>
      <c r="J32" s="35">
        <v>-3.6988595711609077E-3</v>
      </c>
      <c r="K32" s="35">
        <v>-6.5759613787851059</v>
      </c>
      <c r="L32" s="35">
        <v>-19.412139385137422</v>
      </c>
      <c r="M32" s="58" t="s">
        <v>22</v>
      </c>
      <c r="N32" s="7">
        <v>9.5</v>
      </c>
      <c r="O32" s="7" t="s">
        <v>178</v>
      </c>
      <c r="P32" s="7" t="s">
        <v>178</v>
      </c>
    </row>
    <row r="33" spans="1:16" x14ac:dyDescent="0.25">
      <c r="A33" s="2" t="s">
        <v>181</v>
      </c>
      <c r="B33" s="2" t="s">
        <v>182</v>
      </c>
      <c r="C33" s="6" t="s">
        <v>130</v>
      </c>
      <c r="D33" s="2" t="s">
        <v>107</v>
      </c>
      <c r="E33" s="2"/>
      <c r="F33" s="35">
        <v>2</v>
      </c>
      <c r="G33" s="35">
        <v>-9.1901387066926823</v>
      </c>
      <c r="H33" s="35">
        <v>-8.275362760350685</v>
      </c>
      <c r="I33" s="35">
        <v>-2.400628810741404</v>
      </c>
      <c r="J33" s="35">
        <v>-3.6988595711609077E-3</v>
      </c>
      <c r="K33" s="35">
        <v>7.3296242697701894E-2</v>
      </c>
      <c r="L33" s="35">
        <v>-2.1054138644360534</v>
      </c>
      <c r="M33" s="58" t="s">
        <v>22</v>
      </c>
      <c r="N33" s="7">
        <v>9.5</v>
      </c>
      <c r="O33" s="7" t="s">
        <v>178</v>
      </c>
      <c r="P33" s="7" t="s">
        <v>178</v>
      </c>
    </row>
    <row r="34" spans="1:16" x14ac:dyDescent="0.25">
      <c r="A34" s="2" t="s">
        <v>181</v>
      </c>
      <c r="B34" s="2" t="s">
        <v>182</v>
      </c>
      <c r="C34" s="6" t="s">
        <v>130</v>
      </c>
      <c r="D34" s="2" t="s">
        <v>107</v>
      </c>
      <c r="E34" s="2"/>
      <c r="F34" s="35">
        <v>2</v>
      </c>
      <c r="G34" s="35">
        <v>-2.8928183432525025</v>
      </c>
      <c r="H34" s="35">
        <v>-1.579222474209097</v>
      </c>
      <c r="I34" s="35">
        <v>-2.4006303572640442</v>
      </c>
      <c r="J34" s="35">
        <v>-3.7009463079138299E-3</v>
      </c>
      <c r="K34" s="35">
        <v>7.3298468550230825E-2</v>
      </c>
      <c r="L34" s="35">
        <v>-2.1054138644360574</v>
      </c>
      <c r="M34" s="58" t="s">
        <v>22</v>
      </c>
      <c r="N34" s="7">
        <v>9.5</v>
      </c>
      <c r="O34" s="7" t="s">
        <v>178</v>
      </c>
      <c r="P34" s="7" t="s">
        <v>178</v>
      </c>
    </row>
    <row r="35" spans="1:16" x14ac:dyDescent="0.25">
      <c r="A35" s="2" t="s">
        <v>181</v>
      </c>
      <c r="B35" s="2" t="s">
        <v>182</v>
      </c>
      <c r="C35" s="6" t="s">
        <v>130</v>
      </c>
      <c r="D35" s="2" t="s">
        <v>107</v>
      </c>
      <c r="E35" s="2"/>
      <c r="F35" s="35">
        <v>4.5</v>
      </c>
      <c r="G35" s="35">
        <v>-1.5270308432525022</v>
      </c>
      <c r="H35" s="35">
        <v>-0.63422247420909705</v>
      </c>
      <c r="I35" s="35">
        <v>-9.0630357264043809E-2</v>
      </c>
      <c r="J35" s="35">
        <v>-3.7009463079138299E-3</v>
      </c>
      <c r="K35" s="35">
        <v>3.1873743617103414</v>
      </c>
      <c r="L35" s="35">
        <v>0.66139232108668533</v>
      </c>
      <c r="M35" s="58" t="s">
        <v>24</v>
      </c>
      <c r="N35" s="7">
        <v>9.5</v>
      </c>
      <c r="O35" s="7" t="s">
        <v>178</v>
      </c>
      <c r="P35" s="7" t="s">
        <v>178</v>
      </c>
    </row>
    <row r="36" spans="1:16" x14ac:dyDescent="0.25">
      <c r="A36" s="2" t="s">
        <v>181</v>
      </c>
      <c r="B36" s="2" t="s">
        <v>182</v>
      </c>
      <c r="C36" s="6" t="s">
        <v>130</v>
      </c>
      <c r="D36" s="2" t="s">
        <v>107</v>
      </c>
      <c r="E36" s="2"/>
      <c r="F36" s="35">
        <v>4.5</v>
      </c>
      <c r="G36" s="35">
        <v>-0.74089476555679157</v>
      </c>
      <c r="H36" s="35">
        <v>-0.63427348077572765</v>
      </c>
      <c r="I36" s="35">
        <v>-9.6773981597204947E-2</v>
      </c>
      <c r="J36" s="35">
        <v>3.8735060871294426E-3</v>
      </c>
      <c r="K36" s="35">
        <v>3.1873744660223728</v>
      </c>
      <c r="L36" s="35">
        <v>1.6440729983291134</v>
      </c>
      <c r="M36" s="58" t="s">
        <v>24</v>
      </c>
      <c r="N36" s="7">
        <v>9.5</v>
      </c>
      <c r="O36" s="7" t="s">
        <v>178</v>
      </c>
      <c r="P36" s="7" t="s">
        <v>178</v>
      </c>
    </row>
    <row r="37" spans="1:16" x14ac:dyDescent="0.25">
      <c r="A37" s="2" t="s">
        <v>181</v>
      </c>
      <c r="B37" s="2" t="s">
        <v>182</v>
      </c>
      <c r="C37" s="6" t="s">
        <v>130</v>
      </c>
      <c r="D37" s="2" t="s">
        <v>107</v>
      </c>
      <c r="E37" s="2"/>
      <c r="F37" s="35">
        <v>4.6226557908820691</v>
      </c>
      <c r="G37" s="35">
        <v>-0.67388606716105448</v>
      </c>
      <c r="H37" s="35">
        <v>-0.58790959182230551</v>
      </c>
      <c r="I37" s="35">
        <v>1.6559969177826983E-2</v>
      </c>
      <c r="J37" s="35">
        <v>3.8735060871294426E-3</v>
      </c>
      <c r="K37" s="35">
        <v>3.1922938225889346</v>
      </c>
      <c r="L37" s="35">
        <v>1.7190269140152079</v>
      </c>
      <c r="M37" s="58" t="s">
        <v>24</v>
      </c>
      <c r="N37" s="7">
        <v>9.5</v>
      </c>
      <c r="O37" s="7" t="s">
        <v>178</v>
      </c>
      <c r="P37" s="7" t="s">
        <v>178</v>
      </c>
    </row>
    <row r="38" spans="1:16" x14ac:dyDescent="0.25">
      <c r="A38" s="2" t="s">
        <v>181</v>
      </c>
      <c r="B38" s="2" t="s">
        <v>182</v>
      </c>
      <c r="C38" s="6" t="s">
        <v>130</v>
      </c>
      <c r="D38" s="2" t="s">
        <v>107</v>
      </c>
      <c r="E38" s="2"/>
      <c r="F38" s="35">
        <v>9.2453115817641383</v>
      </c>
      <c r="G38" s="35">
        <v>1.8515401312346835</v>
      </c>
      <c r="H38" s="35">
        <v>1.1594542971311164</v>
      </c>
      <c r="I38" s="35">
        <v>4.2878939199528583</v>
      </c>
      <c r="J38" s="35">
        <v>3.8735060871294426E-3</v>
      </c>
      <c r="K38" s="35">
        <v>-6.7567105259984679</v>
      </c>
      <c r="L38" s="35">
        <v>0.397999693143328</v>
      </c>
      <c r="M38" s="58" t="s">
        <v>23</v>
      </c>
      <c r="N38" s="7">
        <v>9.5</v>
      </c>
      <c r="O38" s="7" t="s">
        <v>178</v>
      </c>
      <c r="P38" s="7" t="s">
        <v>178</v>
      </c>
    </row>
    <row r="39" spans="1:16" x14ac:dyDescent="0.25">
      <c r="A39" s="2" t="s">
        <v>181</v>
      </c>
      <c r="B39" s="2" t="s">
        <v>182</v>
      </c>
      <c r="C39" s="6" t="s">
        <v>130</v>
      </c>
      <c r="D39" s="2" t="s">
        <v>108</v>
      </c>
      <c r="E39" s="2"/>
      <c r="F39" s="35">
        <v>0</v>
      </c>
      <c r="G39" s="35">
        <v>19.880698232303484</v>
      </c>
      <c r="H39" s="35">
        <v>-25.880881977107666</v>
      </c>
      <c r="I39" s="35">
        <v>12.121083168609752</v>
      </c>
      <c r="J39" s="35">
        <v>2.8102526338002646E-2</v>
      </c>
      <c r="K39" s="35">
        <v>30.536840420340056</v>
      </c>
      <c r="L39" s="35">
        <v>-49.577103053709692</v>
      </c>
      <c r="M39" s="58" t="s">
        <v>22</v>
      </c>
      <c r="N39" s="7">
        <v>9.5</v>
      </c>
      <c r="O39" s="7" t="s">
        <v>178</v>
      </c>
      <c r="P39" s="7" t="s">
        <v>178</v>
      </c>
    </row>
    <row r="40" spans="1:16" x14ac:dyDescent="0.25">
      <c r="A40" s="2" t="s">
        <v>181</v>
      </c>
      <c r="B40" s="2" t="s">
        <v>182</v>
      </c>
      <c r="C40" s="6" t="s">
        <v>130</v>
      </c>
      <c r="D40" s="2" t="s">
        <v>108</v>
      </c>
      <c r="E40" s="2"/>
      <c r="F40" s="35">
        <v>2</v>
      </c>
      <c r="G40" s="35">
        <v>20.973328232303484</v>
      </c>
      <c r="H40" s="35">
        <v>-16.619881977107667</v>
      </c>
      <c r="I40" s="35">
        <v>9.0970831686097533</v>
      </c>
      <c r="J40" s="35">
        <v>2.8102526338002646E-2</v>
      </c>
      <c r="K40" s="35">
        <v>9.3186740831205555</v>
      </c>
      <c r="L40" s="35">
        <v>-7.07633909949437</v>
      </c>
      <c r="M40" s="58" t="s">
        <v>22</v>
      </c>
      <c r="N40" s="7">
        <v>9.5</v>
      </c>
      <c r="O40" s="7" t="s">
        <v>178</v>
      </c>
      <c r="P40" s="7" t="s">
        <v>178</v>
      </c>
    </row>
    <row r="41" spans="1:16" x14ac:dyDescent="0.25">
      <c r="A41" s="2" t="s">
        <v>181</v>
      </c>
      <c r="B41" s="2" t="s">
        <v>182</v>
      </c>
      <c r="C41" s="6" t="s">
        <v>130</v>
      </c>
      <c r="D41" s="2" t="s">
        <v>108</v>
      </c>
      <c r="E41" s="2"/>
      <c r="F41" s="35">
        <v>2</v>
      </c>
      <c r="G41" s="35">
        <v>19.521274535822325</v>
      </c>
      <c r="H41" s="35">
        <v>-18.189753421092256</v>
      </c>
      <c r="I41" s="35">
        <v>9.0970784797148703</v>
      </c>
      <c r="J41" s="35">
        <v>2.8059929754185531E-2</v>
      </c>
      <c r="K41" s="35">
        <v>9.3187195194766641</v>
      </c>
      <c r="L41" s="35">
        <v>-7.0763390994943531</v>
      </c>
      <c r="M41" s="58" t="s">
        <v>22</v>
      </c>
      <c r="N41" s="7">
        <v>9.5</v>
      </c>
      <c r="O41" s="7" t="s">
        <v>178</v>
      </c>
      <c r="P41" s="7" t="s">
        <v>178</v>
      </c>
    </row>
    <row r="42" spans="1:16" x14ac:dyDescent="0.25">
      <c r="A42" s="2" t="s">
        <v>181</v>
      </c>
      <c r="B42" s="2" t="s">
        <v>182</v>
      </c>
      <c r="C42" s="6" t="s">
        <v>130</v>
      </c>
      <c r="D42" s="2" t="s">
        <v>108</v>
      </c>
      <c r="E42" s="2"/>
      <c r="F42" s="35">
        <v>4.5</v>
      </c>
      <c r="G42" s="35">
        <v>20.887062035822328</v>
      </c>
      <c r="H42" s="35">
        <v>-6.6135034210922541</v>
      </c>
      <c r="I42" s="35">
        <v>5.3170784797148718</v>
      </c>
      <c r="J42" s="35">
        <v>2.8059929754185531E-2</v>
      </c>
      <c r="K42" s="35">
        <v>-8.6989766798105137</v>
      </c>
      <c r="L42" s="35">
        <v>23.927731953236275</v>
      </c>
      <c r="M42" s="58" t="s">
        <v>24</v>
      </c>
      <c r="N42" s="7">
        <v>9.5</v>
      </c>
      <c r="O42" s="7" t="s">
        <v>178</v>
      </c>
      <c r="P42" s="7" t="s">
        <v>178</v>
      </c>
    </row>
    <row r="43" spans="1:16" x14ac:dyDescent="0.25">
      <c r="A43" s="2" t="s">
        <v>181</v>
      </c>
      <c r="B43" s="2" t="s">
        <v>182</v>
      </c>
      <c r="C43" s="6" t="s">
        <v>130</v>
      </c>
      <c r="D43" s="2" t="s">
        <v>108</v>
      </c>
      <c r="E43" s="2"/>
      <c r="F43" s="35">
        <v>4.5</v>
      </c>
      <c r="G43" s="35">
        <v>21.67319265535377</v>
      </c>
      <c r="H43" s="35">
        <v>-6.6126999663557919</v>
      </c>
      <c r="I43" s="35">
        <v>5.3532490810843525</v>
      </c>
      <c r="J43" s="35">
        <v>-1.8630484925476976E-2</v>
      </c>
      <c r="K43" s="35">
        <v>-8.6989430674150956</v>
      </c>
      <c r="L43" s="35">
        <v>24.910516062835264</v>
      </c>
      <c r="M43" s="58" t="s">
        <v>24</v>
      </c>
      <c r="N43" s="7">
        <v>9.5</v>
      </c>
      <c r="O43" s="7" t="s">
        <v>178</v>
      </c>
      <c r="P43" s="7" t="s">
        <v>178</v>
      </c>
    </row>
    <row r="44" spans="1:16" x14ac:dyDescent="0.25">
      <c r="A44" s="2" t="s">
        <v>181</v>
      </c>
      <c r="B44" s="2" t="s">
        <v>182</v>
      </c>
      <c r="C44" s="6" t="s">
        <v>130</v>
      </c>
      <c r="D44" s="2" t="s">
        <v>108</v>
      </c>
      <c r="E44" s="2"/>
      <c r="F44" s="35">
        <v>4.6226557908820691</v>
      </c>
      <c r="G44" s="35">
        <v>21.740201353749509</v>
      </c>
      <c r="H44" s="35">
        <v>-6.0447423266763716</v>
      </c>
      <c r="I44" s="35">
        <v>5.1677935252706648</v>
      </c>
      <c r="J44" s="35">
        <v>-1.8630484925476976E-2</v>
      </c>
      <c r="K44" s="35">
        <v>-9.3441764683083051</v>
      </c>
      <c r="L44" s="35">
        <v>25.686770360333266</v>
      </c>
      <c r="M44" s="58" t="s">
        <v>24</v>
      </c>
      <c r="N44" s="7">
        <v>9.5</v>
      </c>
      <c r="O44" s="7" t="s">
        <v>178</v>
      </c>
      <c r="P44" s="7" t="s">
        <v>178</v>
      </c>
    </row>
    <row r="45" spans="1:16" x14ac:dyDescent="0.25">
      <c r="A45" s="2" t="s">
        <v>181</v>
      </c>
      <c r="B45" s="2" t="s">
        <v>182</v>
      </c>
      <c r="C45" s="6" t="s">
        <v>130</v>
      </c>
      <c r="D45" s="2" t="s">
        <v>108</v>
      </c>
      <c r="E45" s="2"/>
      <c r="F45" s="35">
        <v>9.2453115817641383</v>
      </c>
      <c r="G45" s="35">
        <v>24.265627552145244</v>
      </c>
      <c r="H45" s="35">
        <v>15.360465313003049</v>
      </c>
      <c r="I45" s="35">
        <v>-1.8216620305430229</v>
      </c>
      <c r="J45" s="35">
        <v>-1.8630484925476976E-2</v>
      </c>
      <c r="K45" s="35">
        <v>-17.078183533886108</v>
      </c>
      <c r="L45" s="35">
        <v>4.1550799558351565</v>
      </c>
      <c r="M45" s="58" t="s">
        <v>23</v>
      </c>
      <c r="N45" s="7">
        <v>9.5</v>
      </c>
      <c r="O45" s="7" t="s">
        <v>178</v>
      </c>
      <c r="P45" s="7" t="s">
        <v>178</v>
      </c>
    </row>
    <row r="46" spans="1:16" x14ac:dyDescent="0.25">
      <c r="A46" s="2" t="s">
        <v>181</v>
      </c>
      <c r="B46" s="2" t="s">
        <v>182</v>
      </c>
      <c r="C46" s="6" t="s">
        <v>130</v>
      </c>
      <c r="D46" s="2" t="s">
        <v>109</v>
      </c>
      <c r="E46" s="2"/>
      <c r="F46" s="35">
        <v>0</v>
      </c>
      <c r="G46" s="35">
        <v>-17.690809216655197</v>
      </c>
      <c r="H46" s="35">
        <v>-19.949727349636166</v>
      </c>
      <c r="I46" s="35">
        <v>16.708732449604614</v>
      </c>
      <c r="J46" s="35">
        <v>1.7298262596277151E-2</v>
      </c>
      <c r="K46" s="35">
        <v>40.935343006753989</v>
      </c>
      <c r="L46" s="35">
        <v>-38.19877933016658</v>
      </c>
      <c r="M46" s="58" t="s">
        <v>22</v>
      </c>
      <c r="N46" s="7">
        <v>9.5</v>
      </c>
      <c r="O46" s="7" t="s">
        <v>178</v>
      </c>
      <c r="P46" s="7" t="s">
        <v>178</v>
      </c>
    </row>
    <row r="47" spans="1:16" x14ac:dyDescent="0.25">
      <c r="A47" s="2" t="s">
        <v>181</v>
      </c>
      <c r="B47" s="2" t="s">
        <v>182</v>
      </c>
      <c r="C47" s="6" t="s">
        <v>130</v>
      </c>
      <c r="D47" s="2" t="s">
        <v>109</v>
      </c>
      <c r="E47" s="2"/>
      <c r="F47" s="35">
        <v>2</v>
      </c>
      <c r="G47" s="35">
        <v>-16.598179216655197</v>
      </c>
      <c r="H47" s="35">
        <v>-13.334727349636166</v>
      </c>
      <c r="I47" s="35">
        <v>11.332732449604615</v>
      </c>
      <c r="J47" s="35">
        <v>1.7298262596277151E-2</v>
      </c>
      <c r="K47" s="35">
        <v>12.893878107544756</v>
      </c>
      <c r="L47" s="35">
        <v>-4.9143246308942548</v>
      </c>
      <c r="M47" s="58" t="s">
        <v>22</v>
      </c>
      <c r="N47" s="7">
        <v>9.5</v>
      </c>
      <c r="O47" s="7" t="s">
        <v>178</v>
      </c>
      <c r="P47" s="7" t="s">
        <v>178</v>
      </c>
    </row>
    <row r="48" spans="1:16" x14ac:dyDescent="0.25">
      <c r="A48" s="2" t="s">
        <v>181</v>
      </c>
      <c r="B48" s="2" t="s">
        <v>182</v>
      </c>
      <c r="C48" s="6" t="s">
        <v>130</v>
      </c>
      <c r="D48" s="2" t="s">
        <v>109</v>
      </c>
      <c r="E48" s="2"/>
      <c r="F48" s="35">
        <v>2</v>
      </c>
      <c r="G48" s="35">
        <v>-16.208273298856287</v>
      </c>
      <c r="H48" s="35">
        <v>-12.939839482706924</v>
      </c>
      <c r="I48" s="35">
        <v>11.332727753988213</v>
      </c>
      <c r="J48" s="35">
        <v>1.7317103431581288E-2</v>
      </c>
      <c r="K48" s="35">
        <v>12.893858010653803</v>
      </c>
      <c r="L48" s="35">
        <v>-4.9143246308942459</v>
      </c>
      <c r="M48" s="58" t="s">
        <v>22</v>
      </c>
      <c r="N48" s="7">
        <v>9.5</v>
      </c>
      <c r="O48" s="7" t="s">
        <v>178</v>
      </c>
      <c r="P48" s="7" t="s">
        <v>178</v>
      </c>
    </row>
    <row r="49" spans="1:16" x14ac:dyDescent="0.25">
      <c r="A49" s="2" t="s">
        <v>181</v>
      </c>
      <c r="B49" s="2" t="s">
        <v>182</v>
      </c>
      <c r="C49" s="6" t="s">
        <v>130</v>
      </c>
      <c r="D49" s="2" t="s">
        <v>109</v>
      </c>
      <c r="E49" s="2"/>
      <c r="F49" s="35">
        <v>4.5</v>
      </c>
      <c r="G49" s="35">
        <v>-14.842485798856286</v>
      </c>
      <c r="H49" s="35">
        <v>-4.6710894827069245</v>
      </c>
      <c r="I49" s="35">
        <v>4.6127277539882128</v>
      </c>
      <c r="J49" s="35">
        <v>1.7317103431581288E-2</v>
      </c>
      <c r="K49" s="35">
        <v>-7.037961374316728</v>
      </c>
      <c r="L49" s="35">
        <v>17.09933657587306</v>
      </c>
      <c r="M49" s="58" t="s">
        <v>24</v>
      </c>
      <c r="N49" s="7">
        <v>9.5</v>
      </c>
      <c r="O49" s="7" t="s">
        <v>178</v>
      </c>
      <c r="P49" s="7" t="s">
        <v>178</v>
      </c>
    </row>
    <row r="50" spans="1:16" x14ac:dyDescent="0.25">
      <c r="A50" s="2" t="s">
        <v>181</v>
      </c>
      <c r="B50" s="2" t="s">
        <v>182</v>
      </c>
      <c r="C50" s="6" t="s">
        <v>130</v>
      </c>
      <c r="D50" s="2" t="s">
        <v>109</v>
      </c>
      <c r="E50" s="2"/>
      <c r="F50" s="35">
        <v>4.5</v>
      </c>
      <c r="G50" s="35">
        <v>-14.056360463628593</v>
      </c>
      <c r="H50" s="35">
        <v>-4.6707467775081657</v>
      </c>
      <c r="I50" s="35">
        <v>4.6357087698213535</v>
      </c>
      <c r="J50" s="35">
        <v>-1.1591887755533993E-2</v>
      </c>
      <c r="K50" s="35">
        <v>-7.0379104573373459</v>
      </c>
      <c r="L50" s="35">
        <v>18.082059845356021</v>
      </c>
      <c r="M50" s="58" t="s">
        <v>24</v>
      </c>
      <c r="N50" s="7">
        <v>9.5</v>
      </c>
      <c r="O50" s="7" t="s">
        <v>178</v>
      </c>
      <c r="P50" s="7" t="s">
        <v>178</v>
      </c>
    </row>
    <row r="51" spans="1:16" x14ac:dyDescent="0.25">
      <c r="A51" s="2" t="s">
        <v>181</v>
      </c>
      <c r="B51" s="2" t="s">
        <v>182</v>
      </c>
      <c r="C51" s="6" t="s">
        <v>130</v>
      </c>
      <c r="D51" s="2" t="s">
        <v>109</v>
      </c>
      <c r="E51" s="2"/>
      <c r="F51" s="35">
        <v>4.6226557908820691</v>
      </c>
      <c r="G51" s="35">
        <v>-13.989351765232856</v>
      </c>
      <c r="H51" s="35">
        <v>-4.2650627491657227</v>
      </c>
      <c r="I51" s="35">
        <v>4.3060100039303517</v>
      </c>
      <c r="J51" s="35">
        <v>-1.1591887755533993E-2</v>
      </c>
      <c r="K51" s="35">
        <v>-7.5862872513571249</v>
      </c>
      <c r="L51" s="35">
        <v>18.630074237688873</v>
      </c>
      <c r="M51" s="58" t="s">
        <v>24</v>
      </c>
      <c r="N51" s="7">
        <v>9.5</v>
      </c>
      <c r="O51" s="7" t="s">
        <v>178</v>
      </c>
      <c r="P51" s="7" t="s">
        <v>178</v>
      </c>
    </row>
    <row r="52" spans="1:16" x14ac:dyDescent="0.25">
      <c r="A52" s="2" t="s">
        <v>181</v>
      </c>
      <c r="B52" s="2" t="s">
        <v>182</v>
      </c>
      <c r="C52" s="6" t="s">
        <v>130</v>
      </c>
      <c r="D52" s="2" t="s">
        <v>109</v>
      </c>
      <c r="E52" s="2"/>
      <c r="F52" s="35">
        <v>9.2453115817641383</v>
      </c>
      <c r="G52" s="35">
        <v>-11.463925566837117</v>
      </c>
      <c r="H52" s="35">
        <v>11.024371279176721</v>
      </c>
      <c r="I52" s="35">
        <v>-8.1196887619606493</v>
      </c>
      <c r="J52" s="35">
        <v>-1.1591887755533993E-2</v>
      </c>
      <c r="K52" s="35">
        <v>1.2283748463292208</v>
      </c>
      <c r="L52" s="35">
        <v>3.0070958783819246</v>
      </c>
      <c r="M52" s="58" t="s">
        <v>23</v>
      </c>
      <c r="N52" s="7">
        <v>9.5</v>
      </c>
      <c r="O52" s="7" t="s">
        <v>178</v>
      </c>
      <c r="P52" s="7" t="s">
        <v>178</v>
      </c>
    </row>
    <row r="53" spans="1:16" x14ac:dyDescent="0.25">
      <c r="A53" s="2" t="s">
        <v>181</v>
      </c>
      <c r="B53" s="2" t="s">
        <v>182</v>
      </c>
      <c r="C53" s="6" t="s">
        <v>130</v>
      </c>
      <c r="D53" s="2" t="s">
        <v>110</v>
      </c>
      <c r="E53" s="2"/>
      <c r="F53" s="35">
        <v>0</v>
      </c>
      <c r="G53" s="35">
        <v>6.8450400166116872</v>
      </c>
      <c r="H53" s="35">
        <v>-18.832304405712993</v>
      </c>
      <c r="I53" s="35">
        <v>-8.422272076962054</v>
      </c>
      <c r="J53" s="35">
        <v>2.6129820198433294E-4</v>
      </c>
      <c r="K53" s="35">
        <v>-18.500890275463878</v>
      </c>
      <c r="L53" s="35">
        <v>-36.39758142275106</v>
      </c>
      <c r="M53" s="58" t="s">
        <v>22</v>
      </c>
      <c r="N53" s="7">
        <v>9.5</v>
      </c>
      <c r="O53" s="7" t="s">
        <v>178</v>
      </c>
      <c r="P53" s="7" t="s">
        <v>178</v>
      </c>
    </row>
    <row r="54" spans="1:16" x14ac:dyDescent="0.25">
      <c r="A54" s="2" t="s">
        <v>181</v>
      </c>
      <c r="B54" s="2" t="s">
        <v>182</v>
      </c>
      <c r="C54" s="6" t="s">
        <v>130</v>
      </c>
      <c r="D54" s="2" t="s">
        <v>110</v>
      </c>
      <c r="E54" s="2"/>
      <c r="F54" s="35">
        <v>2</v>
      </c>
      <c r="G54" s="35">
        <v>7.9376700166116878</v>
      </c>
      <c r="H54" s="35">
        <v>-12.217304405712991</v>
      </c>
      <c r="I54" s="35">
        <v>-5.2302720769620539</v>
      </c>
      <c r="J54" s="35">
        <v>2.6129820198433294E-4</v>
      </c>
      <c r="K54" s="35">
        <v>-4.8483461215397723</v>
      </c>
      <c r="L54" s="35">
        <v>-5.3479726113250736</v>
      </c>
      <c r="M54" s="58" t="s">
        <v>22</v>
      </c>
      <c r="N54" s="7">
        <v>9.5</v>
      </c>
      <c r="O54" s="7" t="s">
        <v>178</v>
      </c>
      <c r="P54" s="7" t="s">
        <v>178</v>
      </c>
    </row>
    <row r="55" spans="1:16" x14ac:dyDescent="0.25">
      <c r="A55" s="2" t="s">
        <v>181</v>
      </c>
      <c r="B55" s="2" t="s">
        <v>182</v>
      </c>
      <c r="C55" s="6" t="s">
        <v>130</v>
      </c>
      <c r="D55" s="2" t="s">
        <v>110</v>
      </c>
      <c r="E55" s="2"/>
      <c r="F55" s="35">
        <v>2</v>
      </c>
      <c r="G55" s="35">
        <v>7.2257395995734823</v>
      </c>
      <c r="H55" s="35">
        <v>-12.997709179805529</v>
      </c>
      <c r="I55" s="35">
        <v>-5.2302667770412334</v>
      </c>
      <c r="J55" s="35">
        <v>2.3889022524094518E-4</v>
      </c>
      <c r="K55" s="35">
        <v>-4.8483222196979288</v>
      </c>
      <c r="L55" s="35">
        <v>-5.3479726113250754</v>
      </c>
      <c r="M55" s="58" t="s">
        <v>22</v>
      </c>
      <c r="N55" s="7">
        <v>9.5</v>
      </c>
      <c r="O55" s="7" t="s">
        <v>178</v>
      </c>
      <c r="P55" s="7" t="s">
        <v>178</v>
      </c>
    </row>
    <row r="56" spans="1:16" x14ac:dyDescent="0.25">
      <c r="A56" s="2" t="s">
        <v>181</v>
      </c>
      <c r="B56" s="2" t="s">
        <v>182</v>
      </c>
      <c r="C56" s="6" t="s">
        <v>130</v>
      </c>
      <c r="D56" s="2" t="s">
        <v>110</v>
      </c>
      <c r="E56" s="2"/>
      <c r="F56" s="35">
        <v>4.5</v>
      </c>
      <c r="G56" s="35">
        <v>8.5915270995734829</v>
      </c>
      <c r="H56" s="35">
        <v>-4.7289591798055302</v>
      </c>
      <c r="I56" s="35">
        <v>-1.2402667770412328</v>
      </c>
      <c r="J56" s="35">
        <v>2.3889022524094518E-4</v>
      </c>
      <c r="K56" s="35">
        <v>3.2398447229051541</v>
      </c>
      <c r="L56" s="35">
        <v>16.810362838188748</v>
      </c>
      <c r="M56" s="58" t="s">
        <v>24</v>
      </c>
      <c r="N56" s="7">
        <v>9.5</v>
      </c>
      <c r="O56" s="7" t="s">
        <v>178</v>
      </c>
      <c r="P56" s="7" t="s">
        <v>178</v>
      </c>
    </row>
    <row r="57" spans="1:16" x14ac:dyDescent="0.25">
      <c r="A57" s="2" t="s">
        <v>181</v>
      </c>
      <c r="B57" s="2" t="s">
        <v>182</v>
      </c>
      <c r="C57" s="6" t="s">
        <v>130</v>
      </c>
      <c r="D57" s="2" t="s">
        <v>110</v>
      </c>
      <c r="E57" s="2"/>
      <c r="F57" s="35">
        <v>4.5</v>
      </c>
      <c r="G57" s="35">
        <v>9.3776681823791392</v>
      </c>
      <c r="H57" s="35">
        <v>-4.7282266372693877</v>
      </c>
      <c r="I57" s="35">
        <v>-1.2477717373702775</v>
      </c>
      <c r="J57" s="35">
        <v>5.9449656599753677E-3</v>
      </c>
      <c r="K57" s="35">
        <v>3.2398232272226504</v>
      </c>
      <c r="L57" s="35">
        <v>17.79317223019585</v>
      </c>
      <c r="M57" s="58" t="s">
        <v>24</v>
      </c>
      <c r="N57" s="7">
        <v>9.5</v>
      </c>
      <c r="O57" s="7" t="s">
        <v>178</v>
      </c>
      <c r="P57" s="7" t="s">
        <v>178</v>
      </c>
    </row>
    <row r="58" spans="1:16" x14ac:dyDescent="0.25">
      <c r="A58" s="2" t="s">
        <v>181</v>
      </c>
      <c r="B58" s="2" t="s">
        <v>182</v>
      </c>
      <c r="C58" s="6" t="s">
        <v>130</v>
      </c>
      <c r="D58" s="2" t="s">
        <v>110</v>
      </c>
      <c r="E58" s="2"/>
      <c r="F58" s="35">
        <v>4.6226557908820691</v>
      </c>
      <c r="G58" s="35">
        <v>9.4446768807748764</v>
      </c>
      <c r="H58" s="35">
        <v>-4.3225426089269439</v>
      </c>
      <c r="I58" s="35">
        <v>-1.0520130951224949</v>
      </c>
      <c r="J58" s="35">
        <v>5.9449656599753677E-3</v>
      </c>
      <c r="K58" s="35">
        <v>3.3808641909666446</v>
      </c>
      <c r="L58" s="35">
        <v>18.348236860187505</v>
      </c>
      <c r="M58" s="58" t="s">
        <v>24</v>
      </c>
      <c r="N58" s="7">
        <v>9.5</v>
      </c>
      <c r="O58" s="7" t="s">
        <v>178</v>
      </c>
      <c r="P58" s="7" t="s">
        <v>178</v>
      </c>
    </row>
    <row r="59" spans="1:16" x14ac:dyDescent="0.25">
      <c r="A59" s="2" t="s">
        <v>181</v>
      </c>
      <c r="B59" s="2" t="s">
        <v>182</v>
      </c>
      <c r="C59" s="6" t="s">
        <v>130</v>
      </c>
      <c r="D59" s="2" t="s">
        <v>110</v>
      </c>
      <c r="E59" s="2"/>
      <c r="F59" s="35">
        <v>9.2453115817641383</v>
      </c>
      <c r="G59" s="35">
        <v>11.970103079170613</v>
      </c>
      <c r="H59" s="35">
        <v>10.966891419415498</v>
      </c>
      <c r="I59" s="35">
        <v>6.3257455471252877</v>
      </c>
      <c r="J59" s="35">
        <v>5.9449656599753677E-3</v>
      </c>
      <c r="K59" s="35">
        <v>-8.8084607384400542</v>
      </c>
      <c r="L59" s="35">
        <v>2.9909681074648549</v>
      </c>
      <c r="M59" s="58" t="s">
        <v>23</v>
      </c>
      <c r="N59" s="7">
        <v>9.5</v>
      </c>
      <c r="O59" s="7" t="s">
        <v>178</v>
      </c>
      <c r="P59" s="7" t="s">
        <v>178</v>
      </c>
    </row>
    <row r="60" spans="1:16" x14ac:dyDescent="0.25">
      <c r="A60" s="2" t="s">
        <v>181</v>
      </c>
      <c r="B60" s="2" t="s">
        <v>182</v>
      </c>
      <c r="C60" s="6" t="s">
        <v>130</v>
      </c>
      <c r="D60" s="2" t="s">
        <v>111</v>
      </c>
      <c r="E60" s="2"/>
      <c r="F60" s="35">
        <v>0</v>
      </c>
      <c r="G60" s="35">
        <v>-8.7126876219701259</v>
      </c>
      <c r="H60" s="35">
        <v>-12.444281622658018</v>
      </c>
      <c r="I60" s="35">
        <v>-5.7261257194029529</v>
      </c>
      <c r="J60" s="35">
        <v>1.2098258171601215E-4</v>
      </c>
      <c r="K60" s="35">
        <v>-23.549327460907012</v>
      </c>
      <c r="L60" s="35">
        <v>-24.472510882163888</v>
      </c>
      <c r="M60" s="58" t="s">
        <v>22</v>
      </c>
      <c r="N60" s="7">
        <v>9.5</v>
      </c>
      <c r="O60" s="7" t="s">
        <v>178</v>
      </c>
      <c r="P60" s="7" t="s">
        <v>178</v>
      </c>
    </row>
    <row r="61" spans="1:16" x14ac:dyDescent="0.25">
      <c r="A61" s="2" t="s">
        <v>181</v>
      </c>
      <c r="B61" s="2" t="s">
        <v>182</v>
      </c>
      <c r="C61" s="6" t="s">
        <v>130</v>
      </c>
      <c r="D61" s="2" t="s">
        <v>111</v>
      </c>
      <c r="E61" s="2"/>
      <c r="F61" s="35">
        <v>2</v>
      </c>
      <c r="G61" s="35">
        <v>-7.6200576219701253</v>
      </c>
      <c r="H61" s="35">
        <v>-8.4752816226580183</v>
      </c>
      <c r="I61" s="35">
        <v>-4.886125719402953</v>
      </c>
      <c r="J61" s="35">
        <v>1.2098258171601215E-4</v>
      </c>
      <c r="K61" s="35">
        <v>-12.93707602210111</v>
      </c>
      <c r="L61" s="35">
        <v>-3.552947636847851</v>
      </c>
      <c r="M61" s="58" t="s">
        <v>22</v>
      </c>
      <c r="N61" s="7">
        <v>9.5</v>
      </c>
      <c r="O61" s="7" t="s">
        <v>178</v>
      </c>
      <c r="P61" s="7" t="s">
        <v>178</v>
      </c>
    </row>
    <row r="62" spans="1:16" x14ac:dyDescent="0.25">
      <c r="A62" s="2" t="s">
        <v>181</v>
      </c>
      <c r="B62" s="2" t="s">
        <v>182</v>
      </c>
      <c r="C62" s="6" t="s">
        <v>130</v>
      </c>
      <c r="D62" s="2" t="s">
        <v>111</v>
      </c>
      <c r="E62" s="2"/>
      <c r="F62" s="35">
        <v>2</v>
      </c>
      <c r="G62" s="35">
        <v>-6.9644210857805158</v>
      </c>
      <c r="H62" s="35">
        <v>-7.7969457108409923</v>
      </c>
      <c r="I62" s="35">
        <v>-4.8861149459409736</v>
      </c>
      <c r="J62" s="35">
        <v>9.0325687451755555E-5</v>
      </c>
      <c r="K62" s="35">
        <v>-12.937043321413924</v>
      </c>
      <c r="L62" s="35">
        <v>-3.5529476368478377</v>
      </c>
      <c r="M62" s="58" t="s">
        <v>22</v>
      </c>
      <c r="N62" s="7">
        <v>9.5</v>
      </c>
      <c r="O62" s="7" t="s">
        <v>178</v>
      </c>
      <c r="P62" s="7" t="s">
        <v>178</v>
      </c>
    </row>
    <row r="63" spans="1:16" x14ac:dyDescent="0.25">
      <c r="A63" s="2" t="s">
        <v>181</v>
      </c>
      <c r="B63" s="2" t="s">
        <v>182</v>
      </c>
      <c r="C63" s="6" t="s">
        <v>130</v>
      </c>
      <c r="D63" s="2" t="s">
        <v>111</v>
      </c>
      <c r="E63" s="2"/>
      <c r="F63" s="35">
        <v>4.5</v>
      </c>
      <c r="G63" s="35">
        <v>-5.5986335857805161</v>
      </c>
      <c r="H63" s="35">
        <v>-2.8356957108409921</v>
      </c>
      <c r="I63" s="35">
        <v>-3.8361149459409729</v>
      </c>
      <c r="J63" s="35">
        <v>9.0325687451755555E-5</v>
      </c>
      <c r="K63" s="35">
        <v>-2.0342559565614913</v>
      </c>
      <c r="L63" s="35">
        <v>9.7378541402546404</v>
      </c>
      <c r="M63" s="58" t="s">
        <v>24</v>
      </c>
      <c r="N63" s="7">
        <v>9.5</v>
      </c>
      <c r="O63" s="7" t="s">
        <v>178</v>
      </c>
      <c r="P63" s="7" t="s">
        <v>178</v>
      </c>
    </row>
    <row r="64" spans="1:16" x14ac:dyDescent="0.25">
      <c r="A64" s="2" t="s">
        <v>181</v>
      </c>
      <c r="B64" s="2" t="s">
        <v>182</v>
      </c>
      <c r="C64" s="6" t="s">
        <v>130</v>
      </c>
      <c r="D64" s="2" t="s">
        <v>111</v>
      </c>
      <c r="E64" s="2"/>
      <c r="F64" s="35">
        <v>4.5</v>
      </c>
      <c r="G64" s="35">
        <v>-4.8124866002062863</v>
      </c>
      <c r="H64" s="35">
        <v>-2.8352576995543362</v>
      </c>
      <c r="I64" s="35">
        <v>-3.840570593756421</v>
      </c>
      <c r="J64" s="35">
        <v>3.4632142643792776E-3</v>
      </c>
      <c r="K64" s="35">
        <v>-2.0343057311162895</v>
      </c>
      <c r="L64" s="35">
        <v>10.720615595390983</v>
      </c>
      <c r="M64" s="58" t="s">
        <v>24</v>
      </c>
      <c r="N64" s="7">
        <v>9.5</v>
      </c>
      <c r="O64" s="7" t="s">
        <v>178</v>
      </c>
      <c r="P64" s="7" t="s">
        <v>178</v>
      </c>
    </row>
    <row r="65" spans="1:16" x14ac:dyDescent="0.25">
      <c r="A65" s="2" t="s">
        <v>181</v>
      </c>
      <c r="B65" s="2" t="s">
        <v>182</v>
      </c>
      <c r="C65" s="6" t="s">
        <v>130</v>
      </c>
      <c r="D65" s="2" t="s">
        <v>111</v>
      </c>
      <c r="E65" s="2"/>
      <c r="F65" s="35">
        <v>4.6226557908820691</v>
      </c>
      <c r="G65" s="35">
        <v>-4.7454779018105491</v>
      </c>
      <c r="H65" s="35">
        <v>-2.5918472825488696</v>
      </c>
      <c r="I65" s="35">
        <v>-3.789055161585952</v>
      </c>
      <c r="J65" s="35">
        <v>3.4632142643792776E-3</v>
      </c>
      <c r="K65" s="35">
        <v>-1.5663968405384285</v>
      </c>
      <c r="L65" s="35">
        <v>11.053448522280927</v>
      </c>
      <c r="M65" s="58" t="s">
        <v>24</v>
      </c>
      <c r="N65" s="7">
        <v>9.5</v>
      </c>
      <c r="O65" s="7" t="s">
        <v>178</v>
      </c>
      <c r="P65" s="7" t="s">
        <v>178</v>
      </c>
    </row>
    <row r="66" spans="1:16" x14ac:dyDescent="0.25">
      <c r="A66" s="2" t="s">
        <v>181</v>
      </c>
      <c r="B66" s="2" t="s">
        <v>182</v>
      </c>
      <c r="C66" s="6" t="s">
        <v>130</v>
      </c>
      <c r="D66" s="2" t="s">
        <v>111</v>
      </c>
      <c r="E66" s="2"/>
      <c r="F66" s="35">
        <v>9.2453115817641383</v>
      </c>
      <c r="G66" s="35">
        <v>-2.2200517034148111</v>
      </c>
      <c r="H66" s="35">
        <v>6.5818131344565955</v>
      </c>
      <c r="I66" s="35">
        <v>-1.8475397294154827</v>
      </c>
      <c r="J66" s="35">
        <v>3.4632142643792776E-3</v>
      </c>
      <c r="K66" s="35">
        <v>11.461622166333601</v>
      </c>
      <c r="L66" s="35">
        <v>1.8313291469094504</v>
      </c>
      <c r="M66" s="58" t="s">
        <v>23</v>
      </c>
      <c r="N66" s="7">
        <v>9.5</v>
      </c>
      <c r="O66" s="7" t="s">
        <v>178</v>
      </c>
      <c r="P66" s="7" t="s">
        <v>178</v>
      </c>
    </row>
    <row r="67" spans="1:16" x14ac:dyDescent="0.25">
      <c r="A67" s="2" t="s">
        <v>181</v>
      </c>
      <c r="B67" s="2" t="s">
        <v>182</v>
      </c>
      <c r="C67" s="6" t="s">
        <v>130</v>
      </c>
      <c r="D67" s="2" t="s">
        <v>112</v>
      </c>
      <c r="E67" s="2"/>
      <c r="F67" s="35">
        <v>0</v>
      </c>
      <c r="G67" s="35">
        <v>34.593696079725575</v>
      </c>
      <c r="H67" s="35">
        <v>15.927891785885953</v>
      </c>
      <c r="I67" s="35">
        <v>-16.264121589227077</v>
      </c>
      <c r="J67" s="35">
        <v>-1.2716826911650965E-2</v>
      </c>
      <c r="K67" s="35">
        <v>-23.672118956591518</v>
      </c>
      <c r="L67" s="35">
        <v>30.381317265100115</v>
      </c>
      <c r="M67" s="58" t="s">
        <v>22</v>
      </c>
      <c r="N67" s="7">
        <v>9.5</v>
      </c>
      <c r="O67" s="7" t="s">
        <v>178</v>
      </c>
      <c r="P67" s="7" t="s">
        <v>178</v>
      </c>
    </row>
    <row r="68" spans="1:16" x14ac:dyDescent="0.25">
      <c r="A68" s="2" t="s">
        <v>181</v>
      </c>
      <c r="B68" s="2" t="s">
        <v>182</v>
      </c>
      <c r="C68" s="6" t="s">
        <v>130</v>
      </c>
      <c r="D68" s="2" t="s">
        <v>112</v>
      </c>
      <c r="E68" s="2"/>
      <c r="F68" s="35">
        <v>2</v>
      </c>
      <c r="G68" s="35">
        <v>35.686326079725575</v>
      </c>
      <c r="H68" s="35">
        <v>12.866091785885951</v>
      </c>
      <c r="I68" s="35">
        <v>-8.8553215892270742</v>
      </c>
      <c r="J68" s="35">
        <v>-1.2716826911650965E-2</v>
      </c>
      <c r="K68" s="35">
        <v>1.4473242218626268</v>
      </c>
      <c r="L68" s="35">
        <v>1.5873336933282112</v>
      </c>
      <c r="M68" s="58" t="s">
        <v>22</v>
      </c>
      <c r="N68" s="7">
        <v>9.5</v>
      </c>
      <c r="O68" s="7" t="s">
        <v>178</v>
      </c>
      <c r="P68" s="7" t="s">
        <v>178</v>
      </c>
    </row>
    <row r="69" spans="1:16" x14ac:dyDescent="0.25">
      <c r="A69" s="2" t="s">
        <v>181</v>
      </c>
      <c r="B69" s="2" t="s">
        <v>182</v>
      </c>
      <c r="C69" s="6" t="s">
        <v>130</v>
      </c>
      <c r="D69" s="2" t="s">
        <v>112</v>
      </c>
      <c r="E69" s="2"/>
      <c r="F69" s="35">
        <v>2</v>
      </c>
      <c r="G69" s="35">
        <v>29.336378060864096</v>
      </c>
      <c r="H69" s="35">
        <v>6.0717989365843605</v>
      </c>
      <c r="I69" s="35">
        <v>-8.8553358829887507</v>
      </c>
      <c r="J69" s="35">
        <v>-1.2717133303893581E-2</v>
      </c>
      <c r="K69" s="35">
        <v>1.4473245486810105</v>
      </c>
      <c r="L69" s="35">
        <v>1.5873336933282007</v>
      </c>
      <c r="M69" s="58" t="s">
        <v>22</v>
      </c>
      <c r="N69" s="7">
        <v>9.5</v>
      </c>
      <c r="O69" s="7" t="s">
        <v>178</v>
      </c>
      <c r="P69" s="7" t="s">
        <v>178</v>
      </c>
    </row>
    <row r="70" spans="1:16" x14ac:dyDescent="0.25">
      <c r="A70" s="2" t="s">
        <v>181</v>
      </c>
      <c r="B70" s="2" t="s">
        <v>182</v>
      </c>
      <c r="C70" s="6" t="s">
        <v>130</v>
      </c>
      <c r="D70" s="2" t="s">
        <v>112</v>
      </c>
      <c r="E70" s="2"/>
      <c r="F70" s="35">
        <v>4.5</v>
      </c>
      <c r="G70" s="35">
        <v>30.702165560864099</v>
      </c>
      <c r="H70" s="35">
        <v>2.2445489365843585</v>
      </c>
      <c r="I70" s="35">
        <v>0.40566411701124949</v>
      </c>
      <c r="J70" s="35">
        <v>-1.2717133303893581E-2</v>
      </c>
      <c r="K70" s="35">
        <v>12.009414256152887</v>
      </c>
      <c r="L70" s="35">
        <v>-8.8081011481326961</v>
      </c>
      <c r="M70" s="58" t="s">
        <v>24</v>
      </c>
      <c r="N70" s="7">
        <v>9.5</v>
      </c>
      <c r="O70" s="7" t="s">
        <v>178</v>
      </c>
      <c r="P70" s="7" t="s">
        <v>178</v>
      </c>
    </row>
    <row r="71" spans="1:16" x14ac:dyDescent="0.25">
      <c r="A71" s="2" t="s">
        <v>181</v>
      </c>
      <c r="B71" s="2" t="s">
        <v>182</v>
      </c>
      <c r="C71" s="6" t="s">
        <v>130</v>
      </c>
      <c r="D71" s="2" t="s">
        <v>112</v>
      </c>
      <c r="E71" s="2"/>
      <c r="F71" s="35">
        <v>4.5</v>
      </c>
      <c r="G71" s="35">
        <v>31.48830139891448</v>
      </c>
      <c r="H71" s="35">
        <v>2.2441923054983044</v>
      </c>
      <c r="I71" s="35">
        <v>0.38922399480143433</v>
      </c>
      <c r="J71" s="35">
        <v>8.4560314486901503E-3</v>
      </c>
      <c r="K71" s="35">
        <v>12.009417487358514</v>
      </c>
      <c r="L71" s="35">
        <v>-7.8254901978530187</v>
      </c>
      <c r="M71" s="58" t="s">
        <v>24</v>
      </c>
      <c r="N71" s="7">
        <v>9.5</v>
      </c>
      <c r="O71" s="7" t="s">
        <v>178</v>
      </c>
      <c r="P71" s="7" t="s">
        <v>178</v>
      </c>
    </row>
    <row r="72" spans="1:16" x14ac:dyDescent="0.25">
      <c r="A72" s="2" t="s">
        <v>181</v>
      </c>
      <c r="B72" s="2" t="s">
        <v>182</v>
      </c>
      <c r="C72" s="6" t="s">
        <v>130</v>
      </c>
      <c r="D72" s="2" t="s">
        <v>112</v>
      </c>
      <c r="E72" s="2"/>
      <c r="F72" s="35">
        <v>4.6226557908820691</v>
      </c>
      <c r="G72" s="35">
        <v>31.555310097310215</v>
      </c>
      <c r="H72" s="35">
        <v>2.0564185552369452</v>
      </c>
      <c r="I72" s="35">
        <v>0.84359010654497124</v>
      </c>
      <c r="J72" s="35">
        <v>8.4560314486901503E-3</v>
      </c>
      <c r="K72" s="35">
        <v>11.933811593052907</v>
      </c>
      <c r="L72" s="35">
        <v>-8.0892376110527682</v>
      </c>
      <c r="M72" s="58" t="s">
        <v>24</v>
      </c>
      <c r="N72" s="7">
        <v>9.5</v>
      </c>
      <c r="O72" s="7" t="s">
        <v>178</v>
      </c>
      <c r="P72" s="7" t="s">
        <v>178</v>
      </c>
    </row>
    <row r="73" spans="1:16" x14ac:dyDescent="0.25">
      <c r="A73" s="2" t="s">
        <v>181</v>
      </c>
      <c r="B73" s="2" t="s">
        <v>182</v>
      </c>
      <c r="C73" s="6" t="s">
        <v>130</v>
      </c>
      <c r="D73" s="2" t="s">
        <v>112</v>
      </c>
      <c r="E73" s="2"/>
      <c r="F73" s="35">
        <v>9.2453115817641383</v>
      </c>
      <c r="G73" s="35">
        <v>34.080736295705954</v>
      </c>
      <c r="H73" s="35">
        <v>-5.0204051950244155</v>
      </c>
      <c r="I73" s="35">
        <v>17.967756218288503</v>
      </c>
      <c r="J73" s="35">
        <v>8.4560314486901503E-3</v>
      </c>
      <c r="K73" s="35">
        <v>-31.545377918336893</v>
      </c>
      <c r="L73" s="35">
        <v>-1.2384926087974533</v>
      </c>
      <c r="M73" s="58" t="s">
        <v>23</v>
      </c>
      <c r="N73" s="7">
        <v>9.5</v>
      </c>
      <c r="O73" s="7" t="s">
        <v>178</v>
      </c>
      <c r="P73" s="7" t="s">
        <v>178</v>
      </c>
    </row>
    <row r="74" spans="1:16" x14ac:dyDescent="0.25">
      <c r="A74" s="2" t="s">
        <v>181</v>
      </c>
      <c r="B74" s="2" t="s">
        <v>182</v>
      </c>
      <c r="C74" s="6" t="s">
        <v>130</v>
      </c>
      <c r="D74" s="2" t="s">
        <v>113</v>
      </c>
      <c r="E74" s="2"/>
      <c r="F74" s="35">
        <v>0</v>
      </c>
      <c r="G74" s="35">
        <v>24.926412822115537</v>
      </c>
      <c r="H74" s="35">
        <v>22.438986379230165</v>
      </c>
      <c r="I74" s="35">
        <v>-11.716687331268412</v>
      </c>
      <c r="J74" s="35">
        <v>-1.1367268454106634E-2</v>
      </c>
      <c r="K74" s="35">
        <v>-17.208581669789886</v>
      </c>
      <c r="L74" s="35">
        <v>42.730535411823084</v>
      </c>
      <c r="M74" s="58" t="s">
        <v>22</v>
      </c>
      <c r="N74" s="7">
        <v>9.5</v>
      </c>
      <c r="O74" s="7" t="s">
        <v>178</v>
      </c>
      <c r="P74" s="7" t="s">
        <v>178</v>
      </c>
    </row>
    <row r="75" spans="1:16" x14ac:dyDescent="0.25">
      <c r="A75" s="2" t="s">
        <v>181</v>
      </c>
      <c r="B75" s="2" t="s">
        <v>182</v>
      </c>
      <c r="C75" s="6" t="s">
        <v>130</v>
      </c>
      <c r="D75" s="2" t="s">
        <v>113</v>
      </c>
      <c r="E75" s="2"/>
      <c r="F75" s="35">
        <v>2</v>
      </c>
      <c r="G75" s="35">
        <v>26.019042822115537</v>
      </c>
      <c r="H75" s="35">
        <v>16.995786379230164</v>
      </c>
      <c r="I75" s="35">
        <v>-6.4246873312684114</v>
      </c>
      <c r="J75" s="35">
        <v>-1.1367268454106634E-2</v>
      </c>
      <c r="K75" s="35">
        <v>0.93279299274693406</v>
      </c>
      <c r="L75" s="35">
        <v>3.295762653362754</v>
      </c>
      <c r="M75" s="58" t="s">
        <v>22</v>
      </c>
      <c r="N75" s="7">
        <v>9.5</v>
      </c>
      <c r="O75" s="7" t="s">
        <v>178</v>
      </c>
      <c r="P75" s="7" t="s">
        <v>178</v>
      </c>
    </row>
    <row r="76" spans="1:16" x14ac:dyDescent="0.25">
      <c r="A76" s="2" t="s">
        <v>181</v>
      </c>
      <c r="B76" s="2" t="s">
        <v>182</v>
      </c>
      <c r="C76" s="6" t="s">
        <v>130</v>
      </c>
      <c r="D76" s="2" t="s">
        <v>113</v>
      </c>
      <c r="E76" s="2"/>
      <c r="F76" s="35">
        <v>2</v>
      </c>
      <c r="G76" s="35">
        <v>20.197226927932618</v>
      </c>
      <c r="H76" s="35">
        <v>10.764835800574595</v>
      </c>
      <c r="I76" s="35">
        <v>-6.4247002671318105</v>
      </c>
      <c r="J76" s="35">
        <v>-1.1362480900882847E-2</v>
      </c>
      <c r="K76" s="35">
        <v>0.93278788602348506</v>
      </c>
      <c r="L76" s="35">
        <v>3.2957626533627522</v>
      </c>
      <c r="M76" s="58" t="s">
        <v>22</v>
      </c>
      <c r="N76" s="7">
        <v>9.5</v>
      </c>
      <c r="O76" s="7" t="s">
        <v>178</v>
      </c>
      <c r="P76" s="7" t="s">
        <v>178</v>
      </c>
    </row>
    <row r="77" spans="1:16" x14ac:dyDescent="0.25">
      <c r="A77" s="2" t="s">
        <v>181</v>
      </c>
      <c r="B77" s="2" t="s">
        <v>182</v>
      </c>
      <c r="C77" s="6" t="s">
        <v>130</v>
      </c>
      <c r="D77" s="2" t="s">
        <v>113</v>
      </c>
      <c r="E77" s="2"/>
      <c r="F77" s="35">
        <v>4.5</v>
      </c>
      <c r="G77" s="35">
        <v>21.563014427932618</v>
      </c>
      <c r="H77" s="35">
        <v>3.9608358005745945</v>
      </c>
      <c r="I77" s="35">
        <v>0.19029973286819038</v>
      </c>
      <c r="J77" s="35">
        <v>-1.1362480900882847E-2</v>
      </c>
      <c r="K77" s="35">
        <v>8.7257885538530058</v>
      </c>
      <c r="L77" s="35">
        <v>-15.111326848073732</v>
      </c>
      <c r="M77" s="58" t="s">
        <v>24</v>
      </c>
      <c r="N77" s="7">
        <v>9.5</v>
      </c>
      <c r="O77" s="7" t="s">
        <v>178</v>
      </c>
      <c r="P77" s="7" t="s">
        <v>178</v>
      </c>
    </row>
    <row r="78" spans="1:16" x14ac:dyDescent="0.25">
      <c r="A78" s="2" t="s">
        <v>181</v>
      </c>
      <c r="B78" s="2" t="s">
        <v>182</v>
      </c>
      <c r="C78" s="6" t="s">
        <v>130</v>
      </c>
      <c r="D78" s="2" t="s">
        <v>113</v>
      </c>
      <c r="E78" s="2"/>
      <c r="F78" s="35">
        <v>4.5</v>
      </c>
      <c r="G78" s="35">
        <v>22.349150109716618</v>
      </c>
      <c r="H78" s="35">
        <v>3.9602424907509799</v>
      </c>
      <c r="I78" s="35">
        <v>0.17873067284796226</v>
      </c>
      <c r="J78" s="35">
        <v>5.0481139242674975E-3</v>
      </c>
      <c r="K78" s="35">
        <v>8.7257918168176314</v>
      </c>
      <c r="L78" s="35">
        <v>-14.128764032756967</v>
      </c>
      <c r="M78" s="58" t="s">
        <v>24</v>
      </c>
      <c r="N78" s="7">
        <v>9.5</v>
      </c>
      <c r="O78" s="7" t="s">
        <v>178</v>
      </c>
      <c r="P78" s="7" t="s">
        <v>178</v>
      </c>
    </row>
    <row r="79" spans="1:16" x14ac:dyDescent="0.25">
      <c r="A79" s="2" t="s">
        <v>181</v>
      </c>
      <c r="B79" s="2" t="s">
        <v>182</v>
      </c>
      <c r="C79" s="6" t="s">
        <v>130</v>
      </c>
      <c r="D79" s="2" t="s">
        <v>113</v>
      </c>
      <c r="E79" s="2"/>
      <c r="F79" s="35">
        <v>4.6226557908820691</v>
      </c>
      <c r="G79" s="35">
        <v>22.416158808112353</v>
      </c>
      <c r="H79" s="35">
        <v>3.6264224902863402</v>
      </c>
      <c r="I79" s="35">
        <v>0.50327789552191704</v>
      </c>
      <c r="J79" s="35">
        <v>5.0481139242674975E-3</v>
      </c>
      <c r="K79" s="35">
        <v>8.6839656666467544</v>
      </c>
      <c r="L79" s="35">
        <v>-14.594038229460185</v>
      </c>
      <c r="M79" s="58" t="s">
        <v>24</v>
      </c>
      <c r="N79" s="7">
        <v>9.5</v>
      </c>
      <c r="O79" s="7" t="s">
        <v>178</v>
      </c>
      <c r="P79" s="7" t="s">
        <v>178</v>
      </c>
    </row>
    <row r="80" spans="1:16" x14ac:dyDescent="0.25">
      <c r="A80" s="2" t="s">
        <v>181</v>
      </c>
      <c r="B80" s="2" t="s">
        <v>182</v>
      </c>
      <c r="C80" s="6" t="s">
        <v>130</v>
      </c>
      <c r="D80" s="2" t="s">
        <v>113</v>
      </c>
      <c r="E80" s="2"/>
      <c r="F80" s="35">
        <v>9.2453115817641383</v>
      </c>
      <c r="G80" s="35">
        <v>24.941585006508092</v>
      </c>
      <c r="H80" s="35">
        <v>-8.9545975101782975</v>
      </c>
      <c r="I80" s="35">
        <v>12.73482511819587</v>
      </c>
      <c r="J80" s="35">
        <v>5.0481139242674975E-3</v>
      </c>
      <c r="K80" s="35">
        <v>-21.913631111681191</v>
      </c>
      <c r="L80" s="35">
        <v>-2.2788786741918177</v>
      </c>
      <c r="M80" s="58" t="s">
        <v>23</v>
      </c>
      <c r="N80" s="7">
        <v>9.5</v>
      </c>
      <c r="O80" s="7" t="s">
        <v>178</v>
      </c>
      <c r="P80" s="7" t="s">
        <v>178</v>
      </c>
    </row>
    <row r="81" spans="1:16" x14ac:dyDescent="0.25">
      <c r="A81" s="2" t="s">
        <v>181</v>
      </c>
      <c r="B81" s="2" t="s">
        <v>182</v>
      </c>
      <c r="C81" s="6" t="s">
        <v>130</v>
      </c>
      <c r="D81" s="2" t="s">
        <v>114</v>
      </c>
      <c r="E81" s="2"/>
      <c r="F81" s="35">
        <v>0</v>
      </c>
      <c r="G81" s="35">
        <v>-7.8392008876456973</v>
      </c>
      <c r="H81" s="35">
        <v>-15.162180558631347</v>
      </c>
      <c r="I81" s="35">
        <v>-9.2218422184329505</v>
      </c>
      <c r="J81" s="35">
        <v>-8.766243827359417E-3</v>
      </c>
      <c r="K81" s="35">
        <v>-15.100887361923474</v>
      </c>
      <c r="L81" s="35">
        <v>-30.85147878195944</v>
      </c>
      <c r="M81" s="58" t="s">
        <v>22</v>
      </c>
      <c r="N81" s="7">
        <v>9.5</v>
      </c>
      <c r="O81" s="7" t="s">
        <v>178</v>
      </c>
      <c r="P81" s="7" t="s">
        <v>178</v>
      </c>
    </row>
    <row r="82" spans="1:16" x14ac:dyDescent="0.25">
      <c r="A82" s="2" t="s">
        <v>181</v>
      </c>
      <c r="B82" s="2" t="s">
        <v>182</v>
      </c>
      <c r="C82" s="6" t="s">
        <v>130</v>
      </c>
      <c r="D82" s="2" t="s">
        <v>114</v>
      </c>
      <c r="E82" s="2"/>
      <c r="F82" s="35">
        <v>2</v>
      </c>
      <c r="G82" s="35">
        <v>-6.7465708876456958</v>
      </c>
      <c r="H82" s="35">
        <v>-12.100380558631345</v>
      </c>
      <c r="I82" s="35">
        <v>-5.4418422184329494</v>
      </c>
      <c r="J82" s="35">
        <v>-8.766243827359417E-3</v>
      </c>
      <c r="K82" s="35">
        <v>-0.43720292505757569</v>
      </c>
      <c r="L82" s="35">
        <v>-3.588917664696746</v>
      </c>
      <c r="M82" s="58" t="s">
        <v>22</v>
      </c>
      <c r="N82" s="7">
        <v>9.5</v>
      </c>
      <c r="O82" s="7" t="s">
        <v>178</v>
      </c>
      <c r="P82" s="7" t="s">
        <v>178</v>
      </c>
    </row>
    <row r="83" spans="1:16" x14ac:dyDescent="0.25">
      <c r="A83" s="2" t="s">
        <v>181</v>
      </c>
      <c r="B83" s="2" t="s">
        <v>182</v>
      </c>
      <c r="C83" s="6" t="s">
        <v>130</v>
      </c>
      <c r="D83" s="2" t="s">
        <v>114</v>
      </c>
      <c r="E83" s="2"/>
      <c r="F83" s="35">
        <v>2</v>
      </c>
      <c r="G83" s="35">
        <v>-1.1019368815334709</v>
      </c>
      <c r="H83" s="35">
        <v>-6.1004407095734434</v>
      </c>
      <c r="I83" s="35">
        <v>-5.4418435951945927</v>
      </c>
      <c r="J83" s="35">
        <v>-8.756923843671013E-3</v>
      </c>
      <c r="K83" s="35">
        <v>-0.43721286637352558</v>
      </c>
      <c r="L83" s="35">
        <v>-3.5889176646967327</v>
      </c>
      <c r="M83" s="58" t="s">
        <v>22</v>
      </c>
      <c r="N83" s="7">
        <v>9.5</v>
      </c>
      <c r="O83" s="7" t="s">
        <v>178</v>
      </c>
      <c r="P83" s="7" t="s">
        <v>178</v>
      </c>
    </row>
    <row r="84" spans="1:16" x14ac:dyDescent="0.25">
      <c r="A84" s="2" t="s">
        <v>181</v>
      </c>
      <c r="B84" s="2" t="s">
        <v>182</v>
      </c>
      <c r="C84" s="6" t="s">
        <v>130</v>
      </c>
      <c r="D84" s="2" t="s">
        <v>114</v>
      </c>
      <c r="E84" s="2"/>
      <c r="F84" s="35">
        <v>4.5</v>
      </c>
      <c r="G84" s="35">
        <v>0.2638506184665293</v>
      </c>
      <c r="H84" s="35">
        <v>-2.2731907095734436</v>
      </c>
      <c r="I84" s="35">
        <v>-0.71684359519459195</v>
      </c>
      <c r="J84" s="35">
        <v>-8.756923843671013E-3</v>
      </c>
      <c r="K84" s="35">
        <v>7.2611461216129536</v>
      </c>
      <c r="L84" s="35">
        <v>6.8781216092368762</v>
      </c>
      <c r="M84" s="58" t="s">
        <v>24</v>
      </c>
      <c r="N84" s="7">
        <v>9.5</v>
      </c>
      <c r="O84" s="7" t="s">
        <v>178</v>
      </c>
      <c r="P84" s="7" t="s">
        <v>178</v>
      </c>
    </row>
    <row r="85" spans="1:16" x14ac:dyDescent="0.25">
      <c r="A85" s="2" t="s">
        <v>181</v>
      </c>
      <c r="B85" s="2" t="s">
        <v>182</v>
      </c>
      <c r="C85" s="6" t="s">
        <v>130</v>
      </c>
      <c r="D85" s="2" t="s">
        <v>114</v>
      </c>
      <c r="E85" s="2"/>
      <c r="F85" s="35">
        <v>4.5</v>
      </c>
      <c r="G85" s="35">
        <v>1.0499871422652829</v>
      </c>
      <c r="H85" s="35">
        <v>-2.2730640610260369</v>
      </c>
      <c r="I85" s="35">
        <v>-0.73343485493889604</v>
      </c>
      <c r="J85" s="35">
        <v>1.0494124877539137E-2</v>
      </c>
      <c r="K85" s="35">
        <v>7.2611429183003446</v>
      </c>
      <c r="L85" s="35">
        <v>7.8608493258108716</v>
      </c>
      <c r="M85" s="58" t="s">
        <v>24</v>
      </c>
      <c r="N85" s="7">
        <v>9.5</v>
      </c>
      <c r="O85" s="7" t="s">
        <v>178</v>
      </c>
      <c r="P85" s="7" t="s">
        <v>178</v>
      </c>
    </row>
    <row r="86" spans="1:16" x14ac:dyDescent="0.25">
      <c r="A86" s="2" t="s">
        <v>181</v>
      </c>
      <c r="B86" s="2" t="s">
        <v>182</v>
      </c>
      <c r="C86" s="6" t="s">
        <v>130</v>
      </c>
      <c r="D86" s="2" t="s">
        <v>114</v>
      </c>
      <c r="E86" s="2"/>
      <c r="F86" s="35">
        <v>4.6226557908820691</v>
      </c>
      <c r="G86" s="35">
        <v>1.1169958406610201</v>
      </c>
      <c r="H86" s="35">
        <v>-2.0852903107646776</v>
      </c>
      <c r="I86" s="35">
        <v>-0.50161541017178524</v>
      </c>
      <c r="J86" s="35">
        <v>1.0494124877539137E-2</v>
      </c>
      <c r="K86" s="35">
        <v>7.3368859518234757</v>
      </c>
      <c r="L86" s="35">
        <v>8.1281380270190287</v>
      </c>
      <c r="M86" s="58" t="s">
        <v>24</v>
      </c>
      <c r="N86" s="7">
        <v>9.5</v>
      </c>
      <c r="O86" s="7" t="s">
        <v>178</v>
      </c>
      <c r="P86" s="7" t="s">
        <v>178</v>
      </c>
    </row>
    <row r="87" spans="1:16" x14ac:dyDescent="0.25">
      <c r="A87" s="2" t="s">
        <v>181</v>
      </c>
      <c r="B87" s="2" t="s">
        <v>182</v>
      </c>
      <c r="C87" s="6" t="s">
        <v>130</v>
      </c>
      <c r="D87" s="2" t="s">
        <v>114</v>
      </c>
      <c r="E87" s="2"/>
      <c r="F87" s="35">
        <v>9.2453115817641383</v>
      </c>
      <c r="G87" s="35">
        <v>3.6424220390567581</v>
      </c>
      <c r="H87" s="35">
        <v>4.9915334394966839</v>
      </c>
      <c r="I87" s="35">
        <v>8.2352040345953252</v>
      </c>
      <c r="J87" s="35">
        <v>1.0494124877539137E-2</v>
      </c>
      <c r="K87" s="35">
        <v>-10.537973167672106</v>
      </c>
      <c r="L87" s="35">
        <v>1.4108572126469163</v>
      </c>
      <c r="M87" s="58" t="s">
        <v>23</v>
      </c>
      <c r="N87" s="7">
        <v>9.5</v>
      </c>
      <c r="O87" s="7" t="s">
        <v>178</v>
      </c>
      <c r="P87" s="7" t="s">
        <v>178</v>
      </c>
    </row>
    <row r="88" spans="1:16" x14ac:dyDescent="0.25">
      <c r="A88" s="2" t="s">
        <v>181</v>
      </c>
      <c r="B88" s="2" t="s">
        <v>182</v>
      </c>
      <c r="C88" s="6" t="s">
        <v>130</v>
      </c>
      <c r="D88" s="2" t="s">
        <v>115</v>
      </c>
      <c r="E88" s="2"/>
      <c r="F88" s="35">
        <v>0</v>
      </c>
      <c r="G88" s="35">
        <v>-17.203401722902822</v>
      </c>
      <c r="H88" s="35">
        <v>-8.6544170942657477</v>
      </c>
      <c r="I88" s="35">
        <v>-4.6379412418370016</v>
      </c>
      <c r="J88" s="35">
        <v>-7.1851029534184515E-3</v>
      </c>
      <c r="K88" s="35">
        <v>-8.5226915946792889</v>
      </c>
      <c r="L88" s="35">
        <v>-18.511756499419725</v>
      </c>
      <c r="M88" s="58" t="s">
        <v>22</v>
      </c>
      <c r="N88" s="7">
        <v>9.5</v>
      </c>
      <c r="O88" s="7" t="s">
        <v>178</v>
      </c>
      <c r="P88" s="7" t="s">
        <v>178</v>
      </c>
    </row>
    <row r="89" spans="1:16" x14ac:dyDescent="0.25">
      <c r="A89" s="2" t="s">
        <v>181</v>
      </c>
      <c r="B89" s="2" t="s">
        <v>182</v>
      </c>
      <c r="C89" s="6" t="s">
        <v>130</v>
      </c>
      <c r="D89" s="2" t="s">
        <v>115</v>
      </c>
      <c r="E89" s="2"/>
      <c r="F89" s="35">
        <v>2</v>
      </c>
      <c r="G89" s="35">
        <v>-16.110771722902822</v>
      </c>
      <c r="H89" s="35">
        <v>-7.9740170942657471</v>
      </c>
      <c r="I89" s="35">
        <v>-2.9747412418370018</v>
      </c>
      <c r="J89" s="35">
        <v>-7.1851029534184515E-3</v>
      </c>
      <c r="K89" s="35">
        <v>-0.91000911100528536</v>
      </c>
      <c r="L89" s="35">
        <v>-1.8833223108882331</v>
      </c>
      <c r="M89" s="58" t="s">
        <v>22</v>
      </c>
      <c r="N89" s="7">
        <v>9.5</v>
      </c>
      <c r="O89" s="7" t="s">
        <v>178</v>
      </c>
      <c r="P89" s="7" t="s">
        <v>178</v>
      </c>
    </row>
    <row r="90" spans="1:16" x14ac:dyDescent="0.25">
      <c r="A90" s="2" t="s">
        <v>181</v>
      </c>
      <c r="B90" s="2" t="s">
        <v>182</v>
      </c>
      <c r="C90" s="6" t="s">
        <v>130</v>
      </c>
      <c r="D90" s="2" t="s">
        <v>115</v>
      </c>
      <c r="E90" s="2"/>
      <c r="F90" s="35">
        <v>2</v>
      </c>
      <c r="G90" s="35">
        <v>-9.9352415877194584</v>
      </c>
      <c r="H90" s="35">
        <v>-1.4077866900573517</v>
      </c>
      <c r="I90" s="35">
        <v>-2.9747413831205796</v>
      </c>
      <c r="J90" s="35">
        <v>-7.1708438559786808E-3</v>
      </c>
      <c r="K90" s="35">
        <v>-0.91002432070923334</v>
      </c>
      <c r="L90" s="35">
        <v>-1.8833223108882364</v>
      </c>
      <c r="M90" s="58" t="s">
        <v>22</v>
      </c>
      <c r="N90" s="7">
        <v>9.5</v>
      </c>
      <c r="O90" s="7" t="s">
        <v>178</v>
      </c>
      <c r="P90" s="7" t="s">
        <v>178</v>
      </c>
    </row>
    <row r="91" spans="1:16" x14ac:dyDescent="0.25">
      <c r="A91" s="2" t="s">
        <v>181</v>
      </c>
      <c r="B91" s="2" t="s">
        <v>182</v>
      </c>
      <c r="C91" s="6" t="s">
        <v>130</v>
      </c>
      <c r="D91" s="2" t="s">
        <v>115</v>
      </c>
      <c r="E91" s="2"/>
      <c r="F91" s="35">
        <v>4.5</v>
      </c>
      <c r="G91" s="35">
        <v>-8.5694540877194569</v>
      </c>
      <c r="H91" s="35">
        <v>-0.55728669005735176</v>
      </c>
      <c r="I91" s="35">
        <v>-0.89574138312057905</v>
      </c>
      <c r="J91" s="35">
        <v>-7.1708438559786808E-3</v>
      </c>
      <c r="K91" s="35">
        <v>3.9280791370922148</v>
      </c>
      <c r="L91" s="35">
        <v>0.57301941425514291</v>
      </c>
      <c r="M91" s="58" t="s">
        <v>24</v>
      </c>
      <c r="N91" s="7">
        <v>9.5</v>
      </c>
      <c r="O91" s="7" t="s">
        <v>178</v>
      </c>
      <c r="P91" s="7" t="s">
        <v>178</v>
      </c>
    </row>
    <row r="92" spans="1:16" x14ac:dyDescent="0.25">
      <c r="A92" s="2" t="s">
        <v>181</v>
      </c>
      <c r="B92" s="2" t="s">
        <v>182</v>
      </c>
      <c r="C92" s="6" t="s">
        <v>130</v>
      </c>
      <c r="D92" s="2" t="s">
        <v>115</v>
      </c>
      <c r="E92" s="2"/>
      <c r="F92" s="35">
        <v>4.5</v>
      </c>
      <c r="G92" s="35">
        <v>-7.7833177248509759</v>
      </c>
      <c r="H92" s="35">
        <v>-0.55739322790617951</v>
      </c>
      <c r="I92" s="35">
        <v>-0.90710613937608764</v>
      </c>
      <c r="J92" s="35">
        <v>6.8780087326761156E-3</v>
      </c>
      <c r="K92" s="35">
        <v>3.9280761018657566</v>
      </c>
      <c r="L92" s="35">
        <v>1.5556989597961859</v>
      </c>
      <c r="M92" s="58" t="s">
        <v>24</v>
      </c>
      <c r="N92" s="7">
        <v>9.5</v>
      </c>
      <c r="O92" s="7" t="s">
        <v>178</v>
      </c>
      <c r="P92" s="7" t="s">
        <v>178</v>
      </c>
    </row>
    <row r="93" spans="1:16" x14ac:dyDescent="0.25">
      <c r="A93" s="2" t="s">
        <v>181</v>
      </c>
      <c r="B93" s="2" t="s">
        <v>182</v>
      </c>
      <c r="C93" s="6" t="s">
        <v>130</v>
      </c>
      <c r="D93" s="2" t="s">
        <v>115</v>
      </c>
      <c r="E93" s="2"/>
      <c r="F93" s="35">
        <v>4.6226557908820691</v>
      </c>
      <c r="G93" s="35">
        <v>-7.7163090264552388</v>
      </c>
      <c r="H93" s="35">
        <v>-0.51566572784809972</v>
      </c>
      <c r="I93" s="35">
        <v>-0.805105583678559</v>
      </c>
      <c r="J93" s="35">
        <v>6.8780087326761156E-3</v>
      </c>
      <c r="K93" s="35">
        <v>4.0330824433901666</v>
      </c>
      <c r="L93" s="35">
        <v>1.6215074072367501</v>
      </c>
      <c r="M93" s="58" t="s">
        <v>24</v>
      </c>
      <c r="N93" s="7">
        <v>9.5</v>
      </c>
      <c r="O93" s="7" t="s">
        <v>178</v>
      </c>
      <c r="P93" s="7" t="s">
        <v>178</v>
      </c>
    </row>
    <row r="94" spans="1:16" x14ac:dyDescent="0.25">
      <c r="A94" s="2" t="s">
        <v>181</v>
      </c>
      <c r="B94" s="2" t="s">
        <v>182</v>
      </c>
      <c r="C94" s="6" t="s">
        <v>130</v>
      </c>
      <c r="D94" s="2" t="s">
        <v>115</v>
      </c>
      <c r="E94" s="2"/>
      <c r="F94" s="35">
        <v>9.2453115817641383</v>
      </c>
      <c r="G94" s="35">
        <v>-5.1908828280595003</v>
      </c>
      <c r="H94" s="35">
        <v>1.0569617722099802</v>
      </c>
      <c r="I94" s="35">
        <v>3.0390949720189697</v>
      </c>
      <c r="J94" s="35">
        <v>6.8780087326761156E-3</v>
      </c>
      <c r="K94" s="35">
        <v>-1.1303995480002786</v>
      </c>
      <c r="L94" s="35">
        <v>0.37039476021124795</v>
      </c>
      <c r="M94" s="58" t="s">
        <v>23</v>
      </c>
      <c r="N94" s="7">
        <v>9.5</v>
      </c>
      <c r="O94" s="7" t="s">
        <v>178</v>
      </c>
      <c r="P94" s="7" t="s">
        <v>178</v>
      </c>
    </row>
    <row r="95" spans="1:16" x14ac:dyDescent="0.25">
      <c r="A95" s="2" t="s">
        <v>181</v>
      </c>
      <c r="B95" s="2" t="s">
        <v>182</v>
      </c>
      <c r="C95" s="6" t="s">
        <v>130</v>
      </c>
      <c r="D95" s="2" t="s">
        <v>116</v>
      </c>
      <c r="E95" s="2"/>
      <c r="F95" s="35">
        <v>0</v>
      </c>
      <c r="G95" s="35">
        <v>9.943718522193727</v>
      </c>
      <c r="H95" s="35">
        <v>-23.81898438934703</v>
      </c>
      <c r="I95" s="35">
        <v>10.094799539579038</v>
      </c>
      <c r="J95" s="35">
        <v>2.1436144364828748E-2</v>
      </c>
      <c r="K95" s="35">
        <v>24.878830024533357</v>
      </c>
      <c r="L95" s="35">
        <v>-45.660223801134777</v>
      </c>
      <c r="M95" s="58" t="s">
        <v>22</v>
      </c>
      <c r="N95" s="7">
        <v>9.5</v>
      </c>
      <c r="O95" s="7" t="s">
        <v>178</v>
      </c>
      <c r="P95" s="7" t="s">
        <v>178</v>
      </c>
    </row>
    <row r="96" spans="1:16" x14ac:dyDescent="0.25">
      <c r="A96" s="2" t="s">
        <v>181</v>
      </c>
      <c r="B96" s="2" t="s">
        <v>182</v>
      </c>
      <c r="C96" s="6" t="s">
        <v>130</v>
      </c>
      <c r="D96" s="2" t="s">
        <v>116</v>
      </c>
      <c r="E96" s="2"/>
      <c r="F96" s="35">
        <v>2</v>
      </c>
      <c r="G96" s="35">
        <v>11.036348522193729</v>
      </c>
      <c r="H96" s="35">
        <v>-15.484084389347029</v>
      </c>
      <c r="I96" s="35">
        <v>7.3731995395790388</v>
      </c>
      <c r="J96" s="35">
        <v>2.1436144364828748E-2</v>
      </c>
      <c r="K96" s="35">
        <v>7.4108309453752819</v>
      </c>
      <c r="L96" s="35">
        <v>-6.3571550224407174</v>
      </c>
      <c r="M96" s="58" t="s">
        <v>22</v>
      </c>
      <c r="N96" s="7">
        <v>9.5</v>
      </c>
      <c r="O96" s="7" t="s">
        <v>178</v>
      </c>
      <c r="P96" s="7" t="s">
        <v>178</v>
      </c>
    </row>
    <row r="97" spans="1:16" x14ac:dyDescent="0.25">
      <c r="A97" s="2" t="s">
        <v>181</v>
      </c>
      <c r="B97" s="2" t="s">
        <v>182</v>
      </c>
      <c r="C97" s="6" t="s">
        <v>130</v>
      </c>
      <c r="D97" s="2" t="s">
        <v>116</v>
      </c>
      <c r="E97" s="2"/>
      <c r="F97" s="35">
        <v>2</v>
      </c>
      <c r="G97" s="35">
        <v>10.237442003447891</v>
      </c>
      <c r="H97" s="35">
        <v>-16.357264542252196</v>
      </c>
      <c r="I97" s="35">
        <v>7.3731965701604443</v>
      </c>
      <c r="J97" s="35">
        <v>2.1413944599910743E-2</v>
      </c>
      <c r="K97" s="35">
        <v>7.4108546251245562</v>
      </c>
      <c r="L97" s="35">
        <v>-6.3571550224407032</v>
      </c>
      <c r="M97" s="58" t="s">
        <v>22</v>
      </c>
      <c r="N97" s="7">
        <v>9.5</v>
      </c>
      <c r="O97" s="7" t="s">
        <v>178</v>
      </c>
      <c r="P97" s="7" t="s">
        <v>178</v>
      </c>
    </row>
    <row r="98" spans="1:16" x14ac:dyDescent="0.25">
      <c r="A98" s="2" t="s">
        <v>181</v>
      </c>
      <c r="B98" s="2" t="s">
        <v>182</v>
      </c>
      <c r="C98" s="6" t="s">
        <v>130</v>
      </c>
      <c r="D98" s="2" t="s">
        <v>116</v>
      </c>
      <c r="E98" s="2"/>
      <c r="F98" s="35">
        <v>4.5</v>
      </c>
      <c r="G98" s="35">
        <v>11.60322950344789</v>
      </c>
      <c r="H98" s="35">
        <v>-5.9386395422521927</v>
      </c>
      <c r="I98" s="35">
        <v>3.9711965701604446</v>
      </c>
      <c r="J98" s="35">
        <v>2.1413944599910743E-2</v>
      </c>
      <c r="K98" s="35">
        <v>-6.7696368002765555</v>
      </c>
      <c r="L98" s="35">
        <v>21.512725083189775</v>
      </c>
      <c r="M98" s="58" t="s">
        <v>24</v>
      </c>
      <c r="N98" s="7">
        <v>9.5</v>
      </c>
      <c r="O98" s="7" t="s">
        <v>178</v>
      </c>
      <c r="P98" s="7" t="s">
        <v>178</v>
      </c>
    </row>
    <row r="99" spans="1:16" x14ac:dyDescent="0.25">
      <c r="A99" s="2" t="s">
        <v>181</v>
      </c>
      <c r="B99" s="2" t="s">
        <v>182</v>
      </c>
      <c r="C99" s="6" t="s">
        <v>130</v>
      </c>
      <c r="D99" s="2" t="s">
        <v>116</v>
      </c>
      <c r="E99" s="2"/>
      <c r="F99" s="35">
        <v>4.5</v>
      </c>
      <c r="G99" s="35">
        <v>12.389360953968529</v>
      </c>
      <c r="H99" s="35">
        <v>-5.937977064928238</v>
      </c>
      <c r="I99" s="35">
        <v>3.9979146170373143</v>
      </c>
      <c r="J99" s="35">
        <v>-1.3375583178669659E-2</v>
      </c>
      <c r="K99" s="35">
        <v>-6.7696096782279653</v>
      </c>
      <c r="L99" s="35">
        <v>22.49549771785172</v>
      </c>
      <c r="M99" s="58" t="s">
        <v>24</v>
      </c>
      <c r="N99" s="7">
        <v>9.5</v>
      </c>
      <c r="O99" s="7" t="s">
        <v>178</v>
      </c>
      <c r="P99" s="7" t="s">
        <v>178</v>
      </c>
    </row>
    <row r="100" spans="1:16" x14ac:dyDescent="0.25">
      <c r="A100" s="2" t="s">
        <v>181</v>
      </c>
      <c r="B100" s="2" t="s">
        <v>182</v>
      </c>
      <c r="C100" s="6" t="s">
        <v>130</v>
      </c>
      <c r="D100" s="2" t="s">
        <v>116</v>
      </c>
      <c r="E100" s="2"/>
      <c r="F100" s="35">
        <v>4.6226557908820691</v>
      </c>
      <c r="G100" s="35">
        <v>12.456369652364266</v>
      </c>
      <c r="H100" s="35">
        <v>-5.4268151892167591</v>
      </c>
      <c r="I100" s="35">
        <v>3.8310046168049952</v>
      </c>
      <c r="J100" s="35">
        <v>-1.3375583178669659E-2</v>
      </c>
      <c r="K100" s="35">
        <v>-7.2497408184173509</v>
      </c>
      <c r="L100" s="35">
        <v>23.192476508923004</v>
      </c>
      <c r="M100" s="58" t="s">
        <v>24</v>
      </c>
      <c r="N100" s="7">
        <v>9.5</v>
      </c>
      <c r="O100" s="7" t="s">
        <v>178</v>
      </c>
      <c r="P100" s="7" t="s">
        <v>178</v>
      </c>
    </row>
    <row r="101" spans="1:16" x14ac:dyDescent="0.25">
      <c r="A101" s="2" t="s">
        <v>181</v>
      </c>
      <c r="B101" s="2" t="s">
        <v>182</v>
      </c>
      <c r="C101" s="6" t="s">
        <v>130</v>
      </c>
      <c r="D101" s="2" t="s">
        <v>116</v>
      </c>
      <c r="E101" s="2"/>
      <c r="F101" s="35">
        <v>9.2453115817641383</v>
      </c>
      <c r="G101" s="35">
        <v>14.981795850760005</v>
      </c>
      <c r="H101" s="35">
        <v>13.837871686494719</v>
      </c>
      <c r="I101" s="35">
        <v>-2.4595053834273233</v>
      </c>
      <c r="J101" s="35">
        <v>-1.3375583178669659E-2</v>
      </c>
      <c r="K101" s="35">
        <v>-10.419725255099156</v>
      </c>
      <c r="L101" s="35">
        <v>3.7517669966338936</v>
      </c>
      <c r="M101" s="58" t="s">
        <v>23</v>
      </c>
      <c r="N101" s="7">
        <v>9.5</v>
      </c>
      <c r="O101" s="7" t="s">
        <v>178</v>
      </c>
      <c r="P101" s="7" t="s">
        <v>178</v>
      </c>
    </row>
    <row r="102" spans="1:16" x14ac:dyDescent="0.25">
      <c r="A102" s="2" t="s">
        <v>181</v>
      </c>
      <c r="B102" s="2" t="s">
        <v>182</v>
      </c>
      <c r="C102" s="6" t="s">
        <v>130</v>
      </c>
      <c r="D102" s="2" t="s">
        <v>117</v>
      </c>
      <c r="E102" s="2"/>
      <c r="F102" s="35">
        <v>0</v>
      </c>
      <c r="G102" s="35">
        <v>-23.87063818186909</v>
      </c>
      <c r="H102" s="35">
        <v>-18.480945224622683</v>
      </c>
      <c r="I102" s="35">
        <v>14.223683892474414</v>
      </c>
      <c r="J102" s="35">
        <v>1.1712306997275802E-2</v>
      </c>
      <c r="K102" s="35">
        <v>34.237482352305889</v>
      </c>
      <c r="L102" s="35">
        <v>-35.419732449945975</v>
      </c>
      <c r="M102" s="58" t="s">
        <v>22</v>
      </c>
      <c r="N102" s="7">
        <v>9.5</v>
      </c>
      <c r="O102" s="7" t="s">
        <v>178</v>
      </c>
      <c r="P102" s="7" t="s">
        <v>178</v>
      </c>
    </row>
    <row r="103" spans="1:16" x14ac:dyDescent="0.25">
      <c r="A103" s="2" t="s">
        <v>181</v>
      </c>
      <c r="B103" s="2" t="s">
        <v>182</v>
      </c>
      <c r="C103" s="6" t="s">
        <v>130</v>
      </c>
      <c r="D103" s="2" t="s">
        <v>117</v>
      </c>
      <c r="E103" s="2"/>
      <c r="F103" s="35">
        <v>2</v>
      </c>
      <c r="G103" s="35">
        <v>-22.778008181869083</v>
      </c>
      <c r="H103" s="35">
        <v>-12.527445224622678</v>
      </c>
      <c r="I103" s="35">
        <v>9.3852838924744137</v>
      </c>
      <c r="J103" s="35">
        <v>1.1712306997275802E-2</v>
      </c>
      <c r="K103" s="35">
        <v>10.628514567357062</v>
      </c>
      <c r="L103" s="35">
        <v>-4.4113420007006141</v>
      </c>
      <c r="M103" s="58" t="s">
        <v>22</v>
      </c>
      <c r="N103" s="7">
        <v>9.5</v>
      </c>
      <c r="O103" s="7" t="s">
        <v>178</v>
      </c>
      <c r="P103" s="7" t="s">
        <v>178</v>
      </c>
    </row>
    <row r="104" spans="1:16" x14ac:dyDescent="0.25">
      <c r="A104" s="2" t="s">
        <v>181</v>
      </c>
      <c r="B104" s="2" t="s">
        <v>182</v>
      </c>
      <c r="C104" s="6" t="s">
        <v>130</v>
      </c>
      <c r="D104" s="2" t="s">
        <v>117</v>
      </c>
      <c r="E104" s="2"/>
      <c r="F104" s="35">
        <v>2</v>
      </c>
      <c r="G104" s="35">
        <v>-21.919151047762863</v>
      </c>
      <c r="H104" s="35">
        <v>-11.632341997705396</v>
      </c>
      <c r="I104" s="35">
        <v>9.3852809170064528</v>
      </c>
      <c r="J104" s="35">
        <v>1.1745400909566927E-2</v>
      </c>
      <c r="K104" s="35">
        <v>10.628479267183982</v>
      </c>
      <c r="L104" s="35">
        <v>-4.411342000700607</v>
      </c>
      <c r="M104" s="58" t="s">
        <v>22</v>
      </c>
      <c r="N104" s="7">
        <v>9.5</v>
      </c>
      <c r="O104" s="7" t="s">
        <v>178</v>
      </c>
      <c r="P104" s="7" t="s">
        <v>178</v>
      </c>
    </row>
    <row r="105" spans="1:16" x14ac:dyDescent="0.25">
      <c r="A105" s="2" t="s">
        <v>181</v>
      </c>
      <c r="B105" s="2" t="s">
        <v>182</v>
      </c>
      <c r="C105" s="6" t="s">
        <v>130</v>
      </c>
      <c r="D105" s="2" t="s">
        <v>117</v>
      </c>
      <c r="E105" s="2"/>
      <c r="F105" s="35">
        <v>4.5</v>
      </c>
      <c r="G105" s="35">
        <v>-20.553363547762864</v>
      </c>
      <c r="H105" s="35">
        <v>-4.1904669977053954</v>
      </c>
      <c r="I105" s="35">
        <v>3.3372809170064519</v>
      </c>
      <c r="J105" s="35">
        <v>1.1745400909566927E-2</v>
      </c>
      <c r="K105" s="35">
        <v>-5.2747230253321478</v>
      </c>
      <c r="L105" s="35">
        <v>15.367169243562882</v>
      </c>
      <c r="M105" s="58" t="s">
        <v>24</v>
      </c>
      <c r="N105" s="7">
        <v>9.5</v>
      </c>
      <c r="O105" s="7" t="s">
        <v>178</v>
      </c>
      <c r="P105" s="7" t="s">
        <v>178</v>
      </c>
    </row>
    <row r="106" spans="1:16" x14ac:dyDescent="0.25">
      <c r="A106" s="2" t="s">
        <v>181</v>
      </c>
      <c r="B106" s="2" t="s">
        <v>182</v>
      </c>
      <c r="C106" s="6" t="s">
        <v>130</v>
      </c>
      <c r="D106" s="2" t="s">
        <v>117</v>
      </c>
      <c r="E106" s="2"/>
      <c r="F106" s="35">
        <v>4.5</v>
      </c>
      <c r="G106" s="35">
        <v>-19.767236853115598</v>
      </c>
      <c r="H106" s="35">
        <v>-4.1902191949653744</v>
      </c>
      <c r="I106" s="35">
        <v>3.3521283369006145</v>
      </c>
      <c r="J106" s="35">
        <v>-7.0408457257209768E-3</v>
      </c>
      <c r="K106" s="35">
        <v>-5.2746803291579898</v>
      </c>
      <c r="L106" s="35">
        <v>16.349887122120403</v>
      </c>
      <c r="M106" s="58" t="s">
        <v>24</v>
      </c>
      <c r="N106" s="7">
        <v>9.5</v>
      </c>
      <c r="O106" s="7" t="s">
        <v>178</v>
      </c>
      <c r="P106" s="7" t="s">
        <v>178</v>
      </c>
    </row>
    <row r="107" spans="1:16" x14ac:dyDescent="0.25">
      <c r="A107" s="2" t="s">
        <v>181</v>
      </c>
      <c r="B107" s="2" t="s">
        <v>182</v>
      </c>
      <c r="C107" s="6" t="s">
        <v>130</v>
      </c>
      <c r="D107" s="2" t="s">
        <v>117</v>
      </c>
      <c r="E107" s="2"/>
      <c r="F107" s="35">
        <v>4.6226557908820691</v>
      </c>
      <c r="G107" s="35">
        <v>-19.700228154719863</v>
      </c>
      <c r="H107" s="35">
        <v>-3.8251035694571751</v>
      </c>
      <c r="I107" s="35">
        <v>3.0553994475987132</v>
      </c>
      <c r="J107" s="35">
        <v>-7.0408457257209768E-3</v>
      </c>
      <c r="K107" s="35">
        <v>-5.6676405231612881</v>
      </c>
      <c r="L107" s="35">
        <v>16.841449998543048</v>
      </c>
      <c r="M107" s="58" t="s">
        <v>24</v>
      </c>
      <c r="N107" s="7">
        <v>9.5</v>
      </c>
      <c r="O107" s="7" t="s">
        <v>178</v>
      </c>
      <c r="P107" s="7" t="s">
        <v>178</v>
      </c>
    </row>
    <row r="108" spans="1:16" x14ac:dyDescent="0.25">
      <c r="A108" s="2" t="s">
        <v>181</v>
      </c>
      <c r="B108" s="2" t="s">
        <v>182</v>
      </c>
      <c r="C108" s="6" t="s">
        <v>130</v>
      </c>
      <c r="D108" s="2" t="s">
        <v>117</v>
      </c>
      <c r="E108" s="2"/>
      <c r="F108" s="35">
        <v>9.2453115817641383</v>
      </c>
      <c r="G108" s="35">
        <v>-17.174801956324121</v>
      </c>
      <c r="H108" s="35">
        <v>9.9353870560510238</v>
      </c>
      <c r="I108" s="35">
        <v>-8.1277294417031882</v>
      </c>
      <c r="J108" s="35">
        <v>-7.0408457257209768E-3</v>
      </c>
      <c r="K108" s="35">
        <v>6.0561772870946404</v>
      </c>
      <c r="L108" s="35">
        <v>2.7185813269259849</v>
      </c>
      <c r="M108" s="58" t="s">
        <v>23</v>
      </c>
      <c r="N108" s="7">
        <v>9.5</v>
      </c>
      <c r="O108" s="7" t="s">
        <v>178</v>
      </c>
      <c r="P108" s="7" t="s">
        <v>178</v>
      </c>
    </row>
    <row r="109" spans="1:16" x14ac:dyDescent="0.25">
      <c r="A109" s="2" t="s">
        <v>181</v>
      </c>
      <c r="B109" s="2" t="s">
        <v>182</v>
      </c>
      <c r="C109" s="6" t="s">
        <v>130</v>
      </c>
      <c r="D109" s="2" t="s">
        <v>118</v>
      </c>
      <c r="E109" s="2"/>
      <c r="F109" s="35">
        <v>0</v>
      </c>
      <c r="G109" s="35">
        <v>-1.78837387192889</v>
      </c>
      <c r="H109" s="35">
        <v>-17.475264575091824</v>
      </c>
      <c r="I109" s="35">
        <v>-8.3942201814355872</v>
      </c>
      <c r="J109" s="35">
        <v>-3.6209609575877351E-3</v>
      </c>
      <c r="K109" s="35">
        <v>-19.255127601690184</v>
      </c>
      <c r="L109" s="35">
        <v>-33.798654333272005</v>
      </c>
      <c r="M109" s="58" t="s">
        <v>22</v>
      </c>
      <c r="N109" s="7">
        <v>9.5</v>
      </c>
      <c r="O109" s="7" t="s">
        <v>178</v>
      </c>
      <c r="P109" s="7" t="s">
        <v>178</v>
      </c>
    </row>
    <row r="110" spans="1:16" x14ac:dyDescent="0.25">
      <c r="A110" s="2" t="s">
        <v>181</v>
      </c>
      <c r="B110" s="2" t="s">
        <v>182</v>
      </c>
      <c r="C110" s="6" t="s">
        <v>130</v>
      </c>
      <c r="D110" s="2" t="s">
        <v>118</v>
      </c>
      <c r="E110" s="2"/>
      <c r="F110" s="35">
        <v>2</v>
      </c>
      <c r="G110" s="35">
        <v>-0.6957438719288892</v>
      </c>
      <c r="H110" s="35">
        <v>-11.521764575091824</v>
      </c>
      <c r="I110" s="35">
        <v>-5.5214201814355865</v>
      </c>
      <c r="J110" s="35">
        <v>-3.6209609575877351E-3</v>
      </c>
      <c r="K110" s="35">
        <v>-5.3394872388190127</v>
      </c>
      <c r="L110" s="35">
        <v>-4.8016251830883521</v>
      </c>
      <c r="M110" s="58" t="s">
        <v>22</v>
      </c>
      <c r="N110" s="7">
        <v>9.5</v>
      </c>
      <c r="O110" s="7" t="s">
        <v>178</v>
      </c>
      <c r="P110" s="7" t="s">
        <v>178</v>
      </c>
    </row>
    <row r="111" spans="1:16" x14ac:dyDescent="0.25">
      <c r="A111" s="2" t="s">
        <v>181</v>
      </c>
      <c r="B111" s="2" t="s">
        <v>182</v>
      </c>
      <c r="C111" s="6" t="s">
        <v>130</v>
      </c>
      <c r="D111" s="2" t="s">
        <v>118</v>
      </c>
      <c r="E111" s="2"/>
      <c r="F111" s="35">
        <v>2</v>
      </c>
      <c r="G111" s="35">
        <v>-0.82853943917607087</v>
      </c>
      <c r="H111" s="35">
        <v>-11.684424725094143</v>
      </c>
      <c r="I111" s="35">
        <v>-5.5214141609200498</v>
      </c>
      <c r="J111" s="35">
        <v>-3.6249909761393827E-3</v>
      </c>
      <c r="K111" s="35">
        <v>-5.3394829401325765</v>
      </c>
      <c r="L111" s="35">
        <v>-4.801625183088353</v>
      </c>
      <c r="M111" s="58" t="s">
        <v>22</v>
      </c>
      <c r="N111" s="7">
        <v>9.5</v>
      </c>
      <c r="O111" s="7" t="s">
        <v>178</v>
      </c>
      <c r="P111" s="7" t="s">
        <v>178</v>
      </c>
    </row>
    <row r="112" spans="1:16" x14ac:dyDescent="0.25">
      <c r="A112" s="2" t="s">
        <v>181</v>
      </c>
      <c r="B112" s="2" t="s">
        <v>182</v>
      </c>
      <c r="C112" s="6" t="s">
        <v>130</v>
      </c>
      <c r="D112" s="2" t="s">
        <v>118</v>
      </c>
      <c r="E112" s="2"/>
      <c r="F112" s="35">
        <v>4.5</v>
      </c>
      <c r="G112" s="35">
        <v>0.53724806082392929</v>
      </c>
      <c r="H112" s="35">
        <v>-4.2425497250941406</v>
      </c>
      <c r="I112" s="35">
        <v>-1.9304141609200494</v>
      </c>
      <c r="J112" s="35">
        <v>-3.6249909761393827E-3</v>
      </c>
      <c r="K112" s="35">
        <v>3.9753024621675466</v>
      </c>
      <c r="L112" s="35">
        <v>15.107092879647002</v>
      </c>
      <c r="M112" s="58" t="s">
        <v>24</v>
      </c>
      <c r="N112" s="7">
        <v>9.5</v>
      </c>
      <c r="O112" s="7" t="s">
        <v>178</v>
      </c>
      <c r="P112" s="7" t="s">
        <v>178</v>
      </c>
    </row>
    <row r="113" spans="1:16" x14ac:dyDescent="0.25">
      <c r="A113" s="2" t="s">
        <v>181</v>
      </c>
      <c r="B113" s="2" t="s">
        <v>182</v>
      </c>
      <c r="C113" s="6" t="s">
        <v>130</v>
      </c>
      <c r="D113" s="2" t="s">
        <v>118</v>
      </c>
      <c r="E113" s="2"/>
      <c r="F113" s="35">
        <v>4.5</v>
      </c>
      <c r="G113" s="35">
        <v>1.3233889282913602</v>
      </c>
      <c r="H113" s="35">
        <v>-4.241951068750474</v>
      </c>
      <c r="I113" s="35">
        <v>-1.9430041195718528</v>
      </c>
      <c r="J113" s="35">
        <v>8.7423223482374478E-3</v>
      </c>
      <c r="K113" s="35">
        <v>3.9752799869460063</v>
      </c>
      <c r="L113" s="35">
        <v>16.089888268476248</v>
      </c>
      <c r="M113" s="58" t="s">
        <v>24</v>
      </c>
      <c r="N113" s="7">
        <v>9.5</v>
      </c>
      <c r="O113" s="7" t="s">
        <v>178</v>
      </c>
      <c r="P113" s="7" t="s">
        <v>178</v>
      </c>
    </row>
    <row r="114" spans="1:16" x14ac:dyDescent="0.25">
      <c r="A114" s="2" t="s">
        <v>181</v>
      </c>
      <c r="B114" s="2" t="s">
        <v>182</v>
      </c>
      <c r="C114" s="6" t="s">
        <v>130</v>
      </c>
      <c r="D114" s="2" t="s">
        <v>118</v>
      </c>
      <c r="E114" s="2"/>
      <c r="F114" s="35">
        <v>4.6226557908820691</v>
      </c>
      <c r="G114" s="35">
        <v>1.3903976266870974</v>
      </c>
      <c r="H114" s="35">
        <v>-3.8768354432422751</v>
      </c>
      <c r="I114" s="35">
        <v>-1.7668213415488487</v>
      </c>
      <c r="J114" s="35">
        <v>8.7423223482374478E-3</v>
      </c>
      <c r="K114" s="35">
        <v>4.2027957749301041</v>
      </c>
      <c r="L114" s="35">
        <v>16.587796358791817</v>
      </c>
      <c r="M114" s="58" t="s">
        <v>24</v>
      </c>
      <c r="N114" s="7">
        <v>9.5</v>
      </c>
      <c r="O114" s="7" t="s">
        <v>178</v>
      </c>
      <c r="P114" s="7" t="s">
        <v>178</v>
      </c>
    </row>
    <row r="115" spans="1:16" x14ac:dyDescent="0.25">
      <c r="A115" s="2" t="s">
        <v>181</v>
      </c>
      <c r="B115" s="2" t="s">
        <v>182</v>
      </c>
      <c r="C115" s="6" t="s">
        <v>130</v>
      </c>
      <c r="D115" s="2" t="s">
        <v>118</v>
      </c>
      <c r="E115" s="2"/>
      <c r="F115" s="35">
        <v>9.2453115817641383</v>
      </c>
      <c r="G115" s="35">
        <v>3.9158238250828354</v>
      </c>
      <c r="H115" s="35">
        <v>9.8836551822659242</v>
      </c>
      <c r="I115" s="35">
        <v>4.8731614364741551</v>
      </c>
      <c r="J115" s="35">
        <v>8.7423223482374478E-3</v>
      </c>
      <c r="K115" s="35">
        <v>-2.9769747391977068</v>
      </c>
      <c r="L115" s="35">
        <v>2.7040663331006218</v>
      </c>
      <c r="M115" s="58" t="s">
        <v>23</v>
      </c>
      <c r="N115" s="7">
        <v>9.5</v>
      </c>
      <c r="O115" s="7" t="s">
        <v>178</v>
      </c>
      <c r="P115" s="7" t="s">
        <v>178</v>
      </c>
    </row>
    <row r="116" spans="1:16" x14ac:dyDescent="0.25">
      <c r="A116" s="2" t="s">
        <v>181</v>
      </c>
      <c r="B116" s="2" t="s">
        <v>182</v>
      </c>
      <c r="C116" s="6" t="s">
        <v>130</v>
      </c>
      <c r="D116" s="2" t="s">
        <v>119</v>
      </c>
      <c r="E116" s="2"/>
      <c r="F116" s="35">
        <v>0</v>
      </c>
      <c r="G116" s="35">
        <v>-15.790328746652522</v>
      </c>
      <c r="H116" s="35">
        <v>-11.726044070342345</v>
      </c>
      <c r="I116" s="35">
        <v>-5.9676884596323951</v>
      </c>
      <c r="J116" s="35">
        <v>-3.747245015829224E-3</v>
      </c>
      <c r="K116" s="35">
        <v>-23.798721068589007</v>
      </c>
      <c r="L116" s="35">
        <v>-23.066090846743545</v>
      </c>
      <c r="M116" s="58" t="s">
        <v>22</v>
      </c>
      <c r="N116" s="7">
        <v>9.5</v>
      </c>
      <c r="O116" s="7" t="s">
        <v>178</v>
      </c>
      <c r="P116" s="7" t="s">
        <v>178</v>
      </c>
    </row>
    <row r="117" spans="1:16" x14ac:dyDescent="0.25">
      <c r="A117" s="2" t="s">
        <v>181</v>
      </c>
      <c r="B117" s="2" t="s">
        <v>182</v>
      </c>
      <c r="C117" s="6" t="s">
        <v>130</v>
      </c>
      <c r="D117" s="2" t="s">
        <v>119</v>
      </c>
      <c r="E117" s="2"/>
      <c r="F117" s="35">
        <v>2</v>
      </c>
      <c r="G117" s="35">
        <v>-14.697698746652522</v>
      </c>
      <c r="H117" s="35">
        <v>-8.1539440703423463</v>
      </c>
      <c r="I117" s="35">
        <v>-5.2116884596323949</v>
      </c>
      <c r="J117" s="35">
        <v>-3.747245015829224E-3</v>
      </c>
      <c r="K117" s="35">
        <v>-12.619344149324217</v>
      </c>
      <c r="L117" s="35">
        <v>-3.1861027060588509</v>
      </c>
      <c r="M117" s="58" t="s">
        <v>22</v>
      </c>
      <c r="N117" s="7">
        <v>9.5</v>
      </c>
      <c r="O117" s="7" t="s">
        <v>178</v>
      </c>
      <c r="P117" s="7" t="s">
        <v>178</v>
      </c>
    </row>
    <row r="118" spans="1:16" x14ac:dyDescent="0.25">
      <c r="A118" s="2" t="s">
        <v>181</v>
      </c>
      <c r="B118" s="2" t="s">
        <v>182</v>
      </c>
      <c r="C118" s="6" t="s">
        <v>130</v>
      </c>
      <c r="D118" s="2" t="s">
        <v>119</v>
      </c>
      <c r="E118" s="2"/>
      <c r="F118" s="35">
        <v>2</v>
      </c>
      <c r="G118" s="35">
        <v>-13.59968405599467</v>
      </c>
      <c r="H118" s="35">
        <v>-7.0037376030260567</v>
      </c>
      <c r="I118" s="35">
        <v>-5.2116775129298158</v>
      </c>
      <c r="J118" s="35">
        <v>-3.7586990601496534E-3</v>
      </c>
      <c r="K118" s="35">
        <v>-12.619331931676971</v>
      </c>
      <c r="L118" s="35">
        <v>-3.1861027060588385</v>
      </c>
      <c r="M118" s="58" t="s">
        <v>22</v>
      </c>
      <c r="N118" s="7">
        <v>9.5</v>
      </c>
      <c r="O118" s="7" t="s">
        <v>178</v>
      </c>
      <c r="P118" s="7" t="s">
        <v>178</v>
      </c>
    </row>
    <row r="119" spans="1:16" x14ac:dyDescent="0.25">
      <c r="A119" s="2" t="s">
        <v>181</v>
      </c>
      <c r="B119" s="2" t="s">
        <v>182</v>
      </c>
      <c r="C119" s="6" t="s">
        <v>130</v>
      </c>
      <c r="D119" s="2" t="s">
        <v>119</v>
      </c>
      <c r="E119" s="2"/>
      <c r="F119" s="35">
        <v>4.5</v>
      </c>
      <c r="G119" s="35">
        <v>-12.233896555994669</v>
      </c>
      <c r="H119" s="35">
        <v>-2.5386126030260576</v>
      </c>
      <c r="I119" s="35">
        <v>-4.2666775129298156</v>
      </c>
      <c r="J119" s="35">
        <v>-3.7586990601496534E-3</v>
      </c>
      <c r="K119" s="35">
        <v>-0.77138814935243438</v>
      </c>
      <c r="L119" s="35">
        <v>8.7418350515063032</v>
      </c>
      <c r="M119" s="58" t="s">
        <v>24</v>
      </c>
      <c r="N119" s="7">
        <v>9.5</v>
      </c>
      <c r="O119" s="7" t="s">
        <v>178</v>
      </c>
      <c r="P119" s="7" t="s">
        <v>178</v>
      </c>
    </row>
    <row r="120" spans="1:16" x14ac:dyDescent="0.25">
      <c r="A120" s="2" t="s">
        <v>181</v>
      </c>
      <c r="B120" s="2" t="s">
        <v>182</v>
      </c>
      <c r="C120" s="6" t="s">
        <v>130</v>
      </c>
      <c r="D120" s="2" t="s">
        <v>119</v>
      </c>
      <c r="E120" s="2"/>
      <c r="F120" s="35">
        <v>4.5</v>
      </c>
      <c r="G120" s="35">
        <v>-11.44775037603552</v>
      </c>
      <c r="H120" s="35">
        <v>-2.5382790248069274</v>
      </c>
      <c r="I120" s="35">
        <v>-4.2765230903193814</v>
      </c>
      <c r="J120" s="35">
        <v>6.5087460922009666E-3</v>
      </c>
      <c r="K120" s="35">
        <v>-0.77143607555903981</v>
      </c>
      <c r="L120" s="35">
        <v>9.7245872971518708</v>
      </c>
      <c r="M120" s="58" t="s">
        <v>24</v>
      </c>
      <c r="N120" s="7">
        <v>9.5</v>
      </c>
      <c r="O120" s="7" t="s">
        <v>178</v>
      </c>
      <c r="P120" s="7" t="s">
        <v>178</v>
      </c>
    </row>
    <row r="121" spans="1:16" x14ac:dyDescent="0.25">
      <c r="A121" s="2" t="s">
        <v>181</v>
      </c>
      <c r="B121" s="2" t="s">
        <v>182</v>
      </c>
      <c r="C121" s="6" t="s">
        <v>130</v>
      </c>
      <c r="D121" s="2" t="s">
        <v>119</v>
      </c>
      <c r="E121" s="2"/>
      <c r="F121" s="35">
        <v>4.6226557908820691</v>
      </c>
      <c r="G121" s="35">
        <v>-11.380741677639783</v>
      </c>
      <c r="H121" s="35">
        <v>-2.3192096495020076</v>
      </c>
      <c r="I121" s="35">
        <v>-4.2301592013659599</v>
      </c>
      <c r="J121" s="35">
        <v>6.5087460922009666E-3</v>
      </c>
      <c r="K121" s="35">
        <v>-0.24973915342446085</v>
      </c>
      <c r="L121" s="35">
        <v>10.022486854675897</v>
      </c>
      <c r="M121" s="58" t="s">
        <v>24</v>
      </c>
      <c r="N121" s="7">
        <v>9.5</v>
      </c>
      <c r="O121" s="7" t="s">
        <v>178</v>
      </c>
      <c r="P121" s="7" t="s">
        <v>178</v>
      </c>
    </row>
    <row r="122" spans="1:16" x14ac:dyDescent="0.25">
      <c r="A122" s="2" t="s">
        <v>181</v>
      </c>
      <c r="B122" s="2" t="s">
        <v>182</v>
      </c>
      <c r="C122" s="6" t="s">
        <v>130</v>
      </c>
      <c r="D122" s="2" t="s">
        <v>119</v>
      </c>
      <c r="E122" s="2"/>
      <c r="F122" s="35">
        <v>9.2453115817641383</v>
      </c>
      <c r="G122" s="35">
        <v>-8.8553154792440463</v>
      </c>
      <c r="H122" s="35">
        <v>5.9370847258029125</v>
      </c>
      <c r="I122" s="35">
        <v>-2.4827953124125375</v>
      </c>
      <c r="J122" s="35">
        <v>6.5087460922009666E-3</v>
      </c>
      <c r="K122" s="35">
        <v>15.266099875098584</v>
      </c>
      <c r="L122" s="35">
        <v>1.6603912686007583</v>
      </c>
      <c r="M122" s="58" t="s">
        <v>23</v>
      </c>
      <c r="N122" s="7">
        <v>9.5</v>
      </c>
      <c r="O122" s="7" t="s">
        <v>178</v>
      </c>
      <c r="P122" s="7" t="s">
        <v>178</v>
      </c>
    </row>
    <row r="123" spans="1:16" x14ac:dyDescent="0.25">
      <c r="A123" s="2" t="s">
        <v>181</v>
      </c>
      <c r="B123" s="2" t="s">
        <v>182</v>
      </c>
      <c r="C123" s="6" t="s">
        <v>130</v>
      </c>
      <c r="D123" s="2" t="s">
        <v>120</v>
      </c>
      <c r="E123" s="2"/>
      <c r="F123" s="35">
        <v>0</v>
      </c>
      <c r="G123" s="35">
        <v>41.121403248704425</v>
      </c>
      <c r="H123" s="35">
        <v>17.857302885440554</v>
      </c>
      <c r="I123" s="35">
        <v>-17.855123729477416</v>
      </c>
      <c r="J123" s="35">
        <v>-1.3124186756091536E-2</v>
      </c>
      <c r="K123" s="35">
        <v>-25.60643784402264</v>
      </c>
      <c r="L123" s="35">
        <v>34.139998958481534</v>
      </c>
      <c r="M123" s="58" t="s">
        <v>22</v>
      </c>
      <c r="N123" s="7">
        <v>9.5</v>
      </c>
      <c r="O123" s="7" t="s">
        <v>178</v>
      </c>
      <c r="P123" s="7" t="s">
        <v>178</v>
      </c>
    </row>
    <row r="124" spans="1:16" x14ac:dyDescent="0.25">
      <c r="A124" s="2" t="s">
        <v>181</v>
      </c>
      <c r="B124" s="2" t="s">
        <v>182</v>
      </c>
      <c r="C124" s="6" t="s">
        <v>130</v>
      </c>
      <c r="D124" s="2" t="s">
        <v>120</v>
      </c>
      <c r="E124" s="2"/>
      <c r="F124" s="35">
        <v>2</v>
      </c>
      <c r="G124" s="35">
        <v>42.214033248704418</v>
      </c>
      <c r="H124" s="35">
        <v>14.455302885440551</v>
      </c>
      <c r="I124" s="35">
        <v>-9.6231237294774115</v>
      </c>
      <c r="J124" s="35">
        <v>-1.3124186756091536E-2</v>
      </c>
      <c r="K124" s="35">
        <v>1.8718096149321826</v>
      </c>
      <c r="L124" s="35">
        <v>1.8273931876004328</v>
      </c>
      <c r="M124" s="58" t="s">
        <v>22</v>
      </c>
      <c r="N124" s="7">
        <v>9.5</v>
      </c>
      <c r="O124" s="7" t="s">
        <v>178</v>
      </c>
      <c r="P124" s="7" t="s">
        <v>178</v>
      </c>
    </row>
    <row r="125" spans="1:16" x14ac:dyDescent="0.25">
      <c r="A125" s="2" t="s">
        <v>181</v>
      </c>
      <c r="B125" s="2" t="s">
        <v>182</v>
      </c>
      <c r="C125" s="6" t="s">
        <v>130</v>
      </c>
      <c r="D125" s="2" t="s">
        <v>120</v>
      </c>
      <c r="E125" s="2"/>
      <c r="F125" s="35">
        <v>2</v>
      </c>
      <c r="G125" s="35">
        <v>35.002235595933605</v>
      </c>
      <c r="H125" s="35">
        <v>6.7417029642666897</v>
      </c>
      <c r="I125" s="35">
        <v>-9.6231399312333252</v>
      </c>
      <c r="J125" s="35">
        <v>-1.3128732035847053E-2</v>
      </c>
      <c r="K125" s="35">
        <v>1.8718144632305806</v>
      </c>
      <c r="L125" s="35">
        <v>1.8273931876004204</v>
      </c>
      <c r="M125" s="58" t="s">
        <v>22</v>
      </c>
      <c r="N125" s="7">
        <v>9.5</v>
      </c>
      <c r="O125" s="7" t="s">
        <v>178</v>
      </c>
      <c r="P125" s="7" t="s">
        <v>178</v>
      </c>
    </row>
    <row r="126" spans="1:16" x14ac:dyDescent="0.25">
      <c r="A126" s="2" t="s">
        <v>181</v>
      </c>
      <c r="B126" s="2" t="s">
        <v>182</v>
      </c>
      <c r="C126" s="6" t="s">
        <v>130</v>
      </c>
      <c r="D126" s="2" t="s">
        <v>120</v>
      </c>
      <c r="E126" s="2"/>
      <c r="F126" s="35">
        <v>4.5</v>
      </c>
      <c r="G126" s="35">
        <v>36.368023095933609</v>
      </c>
      <c r="H126" s="35">
        <v>2.4892029642666893</v>
      </c>
      <c r="I126" s="35">
        <v>0.66686006876667681</v>
      </c>
      <c r="J126" s="35">
        <v>-1.3128732035847053E-2</v>
      </c>
      <c r="K126" s="35">
        <v>13.06716429131389</v>
      </c>
      <c r="L126" s="35">
        <v>-9.7112392230663005</v>
      </c>
      <c r="M126" s="58" t="s">
        <v>24</v>
      </c>
      <c r="N126" s="7">
        <v>9.5</v>
      </c>
      <c r="O126" s="7" t="s">
        <v>178</v>
      </c>
      <c r="P126" s="7" t="s">
        <v>178</v>
      </c>
    </row>
    <row r="127" spans="1:16" x14ac:dyDescent="0.25">
      <c r="A127" s="2" t="s">
        <v>181</v>
      </c>
      <c r="B127" s="2" t="s">
        <v>182</v>
      </c>
      <c r="C127" s="6" t="s">
        <v>130</v>
      </c>
      <c r="D127" s="2" t="s">
        <v>120</v>
      </c>
      <c r="E127" s="2"/>
      <c r="F127" s="35">
        <v>4.5</v>
      </c>
      <c r="G127" s="35">
        <v>37.154158841228941</v>
      </c>
      <c r="H127" s="35">
        <v>2.4888201210848759</v>
      </c>
      <c r="I127" s="35">
        <v>0.65012293473406391</v>
      </c>
      <c r="J127" s="35">
        <v>8.5124891864081613E-3</v>
      </c>
      <c r="K127" s="35">
        <v>13.067168654145336</v>
      </c>
      <c r="L127" s="35">
        <v>-8.7286347715586441</v>
      </c>
      <c r="M127" s="58" t="s">
        <v>24</v>
      </c>
      <c r="N127" s="7">
        <v>9.5</v>
      </c>
      <c r="O127" s="7" t="s">
        <v>178</v>
      </c>
      <c r="P127" s="7" t="s">
        <v>178</v>
      </c>
    </row>
    <row r="128" spans="1:16" x14ac:dyDescent="0.25">
      <c r="A128" s="2" t="s">
        <v>181</v>
      </c>
      <c r="B128" s="2" t="s">
        <v>182</v>
      </c>
      <c r="C128" s="6" t="s">
        <v>130</v>
      </c>
      <c r="D128" s="2" t="s">
        <v>120</v>
      </c>
      <c r="E128" s="2"/>
      <c r="F128" s="35">
        <v>4.6226557908820691</v>
      </c>
      <c r="G128" s="35">
        <v>37.22116753962468</v>
      </c>
      <c r="H128" s="35">
        <v>2.2801826207944762</v>
      </c>
      <c r="I128" s="35">
        <v>1.154974170004661</v>
      </c>
      <c r="J128" s="35">
        <v>8.5124891864081613E-3</v>
      </c>
      <c r="K128" s="35">
        <v>12.956465847645005</v>
      </c>
      <c r="L128" s="35">
        <v>-9.0211076730706274</v>
      </c>
      <c r="M128" s="58" t="s">
        <v>24</v>
      </c>
      <c r="N128" s="7">
        <v>9.5</v>
      </c>
      <c r="O128" s="7" t="s">
        <v>178</v>
      </c>
      <c r="P128" s="7" t="s">
        <v>178</v>
      </c>
    </row>
    <row r="129" spans="1:16" x14ac:dyDescent="0.25">
      <c r="A129" s="2" t="s">
        <v>181</v>
      </c>
      <c r="B129" s="2" t="s">
        <v>182</v>
      </c>
      <c r="C129" s="6" t="s">
        <v>130</v>
      </c>
      <c r="D129" s="2" t="s">
        <v>120</v>
      </c>
      <c r="E129" s="2"/>
      <c r="F129" s="35">
        <v>9.2453115817641383</v>
      </c>
      <c r="G129" s="35">
        <v>39.746593738020422</v>
      </c>
      <c r="H129" s="35">
        <v>-5.5829548794959241</v>
      </c>
      <c r="I129" s="35">
        <v>20.181825405275255</v>
      </c>
      <c r="J129" s="35">
        <v>8.5124891864081613E-3</v>
      </c>
      <c r="K129" s="35">
        <v>-36.359874210133874</v>
      </c>
      <c r="L129" s="35">
        <v>-1.3873180192451817</v>
      </c>
      <c r="M129" s="58" t="s">
        <v>23</v>
      </c>
      <c r="N129" s="7">
        <v>9.5</v>
      </c>
      <c r="O129" s="7" t="s">
        <v>178</v>
      </c>
      <c r="P129" s="7" t="s">
        <v>178</v>
      </c>
    </row>
    <row r="130" spans="1:16" x14ac:dyDescent="0.25">
      <c r="A130" s="2" t="s">
        <v>181</v>
      </c>
      <c r="B130" s="2" t="s">
        <v>182</v>
      </c>
      <c r="C130" s="6" t="s">
        <v>130</v>
      </c>
      <c r="D130" s="2" t="s">
        <v>121</v>
      </c>
      <c r="E130" s="2"/>
      <c r="F130" s="35">
        <v>0</v>
      </c>
      <c r="G130" s="35">
        <v>30.379977406915494</v>
      </c>
      <c r="H130" s="35">
        <v>25.091852433600788</v>
      </c>
      <c r="I130" s="35">
        <v>-12.802418998412231</v>
      </c>
      <c r="J130" s="35">
        <v>-1.1624677358820057E-2</v>
      </c>
      <c r="K130" s="35">
        <v>-18.424729747576382</v>
      </c>
      <c r="L130" s="35">
        <v>47.861352454840393</v>
      </c>
      <c r="M130" s="58" t="s">
        <v>22</v>
      </c>
      <c r="N130" s="7">
        <v>9.5</v>
      </c>
      <c r="O130" s="7" t="s">
        <v>178</v>
      </c>
      <c r="P130" s="7" t="s">
        <v>178</v>
      </c>
    </row>
    <row r="131" spans="1:16" x14ac:dyDescent="0.25">
      <c r="A131" s="2" t="s">
        <v>181</v>
      </c>
      <c r="B131" s="2" t="s">
        <v>182</v>
      </c>
      <c r="C131" s="6" t="s">
        <v>130</v>
      </c>
      <c r="D131" s="2" t="s">
        <v>121</v>
      </c>
      <c r="E131" s="2"/>
      <c r="F131" s="35">
        <v>2</v>
      </c>
      <c r="G131" s="35">
        <v>31.472607406915493</v>
      </c>
      <c r="H131" s="35">
        <v>19.04385243360079</v>
      </c>
      <c r="I131" s="35">
        <v>-6.9224189984122306</v>
      </c>
      <c r="J131" s="35">
        <v>-1.1624677358820057E-2</v>
      </c>
      <c r="K131" s="35">
        <v>1.3001082492480793</v>
      </c>
      <c r="L131" s="35">
        <v>3.7256475876388135</v>
      </c>
      <c r="M131" s="58" t="s">
        <v>22</v>
      </c>
      <c r="N131" s="7">
        <v>9.5</v>
      </c>
      <c r="O131" s="7" t="s">
        <v>178</v>
      </c>
      <c r="P131" s="7" t="s">
        <v>178</v>
      </c>
    </row>
    <row r="132" spans="1:16" x14ac:dyDescent="0.25">
      <c r="A132" s="2" t="s">
        <v>181</v>
      </c>
      <c r="B132" s="2" t="s">
        <v>182</v>
      </c>
      <c r="C132" s="6" t="s">
        <v>130</v>
      </c>
      <c r="D132" s="2" t="s">
        <v>121</v>
      </c>
      <c r="E132" s="2"/>
      <c r="F132" s="35">
        <v>2</v>
      </c>
      <c r="G132" s="35">
        <v>24.847623226009745</v>
      </c>
      <c r="H132" s="35">
        <v>11.956188368700284</v>
      </c>
      <c r="I132" s="35">
        <v>-6.9224336913922766</v>
      </c>
      <c r="J132" s="35">
        <v>-1.162356269916846E-2</v>
      </c>
      <c r="K132" s="35">
        <v>1.3001070602777747</v>
      </c>
      <c r="L132" s="35">
        <v>3.7256475876388104</v>
      </c>
      <c r="M132" s="58" t="s">
        <v>22</v>
      </c>
      <c r="N132" s="7">
        <v>9.5</v>
      </c>
      <c r="O132" s="7" t="s">
        <v>178</v>
      </c>
      <c r="P132" s="7" t="s">
        <v>178</v>
      </c>
    </row>
    <row r="133" spans="1:16" x14ac:dyDescent="0.25">
      <c r="A133" s="2" t="s">
        <v>181</v>
      </c>
      <c r="B133" s="2" t="s">
        <v>182</v>
      </c>
      <c r="C133" s="6" t="s">
        <v>130</v>
      </c>
      <c r="D133" s="2" t="s">
        <v>121</v>
      </c>
      <c r="E133" s="2"/>
      <c r="F133" s="35">
        <v>4.5</v>
      </c>
      <c r="G133" s="35">
        <v>26.213410726009744</v>
      </c>
      <c r="H133" s="35">
        <v>4.396188368700285</v>
      </c>
      <c r="I133" s="35">
        <v>0.42756630860772216</v>
      </c>
      <c r="J133" s="35">
        <v>-1.162356269916846E-2</v>
      </c>
      <c r="K133" s="35">
        <v>9.4186912887584668</v>
      </c>
      <c r="L133" s="35">
        <v>-16.714823334111898</v>
      </c>
      <c r="M133" s="58" t="s">
        <v>24</v>
      </c>
      <c r="N133" s="7">
        <v>9.5</v>
      </c>
      <c r="O133" s="7" t="s">
        <v>178</v>
      </c>
      <c r="P133" s="7" t="s">
        <v>178</v>
      </c>
    </row>
    <row r="134" spans="1:16" x14ac:dyDescent="0.25">
      <c r="A134" s="2" t="s">
        <v>181</v>
      </c>
      <c r="B134" s="2" t="s">
        <v>182</v>
      </c>
      <c r="C134" s="6" t="s">
        <v>130</v>
      </c>
      <c r="D134" s="2" t="s">
        <v>121</v>
      </c>
      <c r="E134" s="2"/>
      <c r="F134" s="35">
        <v>4.5</v>
      </c>
      <c r="G134" s="35">
        <v>26.999546297675757</v>
      </c>
      <c r="H134" s="35">
        <v>4.3955425491434035</v>
      </c>
      <c r="I134" s="35">
        <v>0.41624146589687272</v>
      </c>
      <c r="J134" s="35">
        <v>4.7259141592718816E-3</v>
      </c>
      <c r="K134" s="35">
        <v>9.4186956868776903</v>
      </c>
      <c r="L134" s="35">
        <v>-15.732272365896366</v>
      </c>
      <c r="M134" s="58" t="s">
        <v>24</v>
      </c>
      <c r="N134" s="7">
        <v>9.5</v>
      </c>
      <c r="O134" s="7" t="s">
        <v>178</v>
      </c>
      <c r="P134" s="7" t="s">
        <v>178</v>
      </c>
    </row>
    <row r="135" spans="1:16" x14ac:dyDescent="0.25">
      <c r="A135" s="2" t="s">
        <v>181</v>
      </c>
      <c r="B135" s="2" t="s">
        <v>182</v>
      </c>
      <c r="C135" s="6" t="s">
        <v>130</v>
      </c>
      <c r="D135" s="2" t="s">
        <v>121</v>
      </c>
      <c r="E135" s="2"/>
      <c r="F135" s="35">
        <v>4.6226557908820691</v>
      </c>
      <c r="G135" s="35">
        <v>27.066554996071496</v>
      </c>
      <c r="H135" s="35">
        <v>4.0246314375160273</v>
      </c>
      <c r="I135" s="35">
        <v>0.776849491090156</v>
      </c>
      <c r="J135" s="35">
        <v>4.7259141592718816E-3</v>
      </c>
      <c r="K135" s="35">
        <v>9.3455259294159436</v>
      </c>
      <c r="L135" s="35">
        <v>-16.248663915745535</v>
      </c>
      <c r="M135" s="58" t="s">
        <v>24</v>
      </c>
      <c r="N135" s="7">
        <v>9.5</v>
      </c>
      <c r="O135" s="7" t="s">
        <v>178</v>
      </c>
      <c r="P135" s="7" t="s">
        <v>178</v>
      </c>
    </row>
    <row r="136" spans="1:16" x14ac:dyDescent="0.25">
      <c r="A136" s="2" t="s">
        <v>181</v>
      </c>
      <c r="B136" s="2" t="s">
        <v>182</v>
      </c>
      <c r="C136" s="6" t="s">
        <v>130</v>
      </c>
      <c r="D136" s="2" t="s">
        <v>121</v>
      </c>
      <c r="E136" s="2"/>
      <c r="F136" s="35">
        <v>9.2453115817641383</v>
      </c>
      <c r="G136" s="35">
        <v>29.591981194467234</v>
      </c>
      <c r="H136" s="35">
        <v>-9.9542796741113495</v>
      </c>
      <c r="I136" s="35">
        <v>14.367457516283435</v>
      </c>
      <c r="J136" s="35">
        <v>4.7259141592718816E-3</v>
      </c>
      <c r="K136" s="35">
        <v>-25.657933313849767</v>
      </c>
      <c r="L136" s="35">
        <v>-2.5433025363500308</v>
      </c>
      <c r="M136" s="58" t="s">
        <v>23</v>
      </c>
      <c r="N136" s="7">
        <v>9.5</v>
      </c>
      <c r="O136" s="7" t="s">
        <v>178</v>
      </c>
      <c r="P136" s="7" t="s">
        <v>178</v>
      </c>
    </row>
    <row r="137" spans="1:16" x14ac:dyDescent="0.25">
      <c r="A137" s="2" t="s">
        <v>181</v>
      </c>
      <c r="B137" s="2" t="s">
        <v>182</v>
      </c>
      <c r="C137" s="6" t="s">
        <v>130</v>
      </c>
      <c r="D137" s="2" t="s">
        <v>122</v>
      </c>
      <c r="E137" s="2"/>
      <c r="F137" s="35">
        <v>0</v>
      </c>
      <c r="G137" s="35">
        <v>-6.0262600483747635</v>
      </c>
      <c r="H137" s="35">
        <v>-16.687221941800889</v>
      </c>
      <c r="I137" s="35">
        <v>-10.030368873039494</v>
      </c>
      <c r="J137" s="35">
        <v>-8.7346499957675957E-3</v>
      </c>
      <c r="K137" s="35">
        <v>-16.082847183280364</v>
      </c>
      <c r="L137" s="35">
        <v>-33.896441093806857</v>
      </c>
      <c r="M137" s="58" t="s">
        <v>22</v>
      </c>
      <c r="N137" s="7">
        <v>9.5</v>
      </c>
      <c r="O137" s="7" t="s">
        <v>178</v>
      </c>
      <c r="P137" s="7" t="s">
        <v>178</v>
      </c>
    </row>
    <row r="138" spans="1:16" x14ac:dyDescent="0.25">
      <c r="A138" s="2" t="s">
        <v>181</v>
      </c>
      <c r="B138" s="2" t="s">
        <v>182</v>
      </c>
      <c r="C138" s="6" t="s">
        <v>130</v>
      </c>
      <c r="D138" s="2" t="s">
        <v>122</v>
      </c>
      <c r="E138" s="2"/>
      <c r="F138" s="35">
        <v>2</v>
      </c>
      <c r="G138" s="35">
        <v>-4.9336300483747628</v>
      </c>
      <c r="H138" s="35">
        <v>-13.285221941800888</v>
      </c>
      <c r="I138" s="35">
        <v>-5.8303688730394949</v>
      </c>
      <c r="J138" s="35">
        <v>-8.7346499957675957E-3</v>
      </c>
      <c r="K138" s="35">
        <v>-0.22210943720137577</v>
      </c>
      <c r="L138" s="35">
        <v>-3.9239972102050751</v>
      </c>
      <c r="M138" s="58" t="s">
        <v>22</v>
      </c>
      <c r="N138" s="7">
        <v>9.5</v>
      </c>
      <c r="O138" s="7" t="s">
        <v>178</v>
      </c>
      <c r="P138" s="7" t="s">
        <v>178</v>
      </c>
    </row>
    <row r="139" spans="1:16" x14ac:dyDescent="0.25">
      <c r="A139" s="2" t="s">
        <v>181</v>
      </c>
      <c r="B139" s="2" t="s">
        <v>182</v>
      </c>
      <c r="C139" s="6" t="s">
        <v>130</v>
      </c>
      <c r="D139" s="2" t="s">
        <v>122</v>
      </c>
      <c r="E139" s="2"/>
      <c r="F139" s="35">
        <v>2</v>
      </c>
      <c r="G139" s="35">
        <v>1.1818856599363132</v>
      </c>
      <c r="H139" s="35">
        <v>-6.7830077536864257</v>
      </c>
      <c r="I139" s="35">
        <v>-5.8303707225731474</v>
      </c>
      <c r="J139" s="35">
        <v>-8.7284993022664192E-3</v>
      </c>
      <c r="K139" s="35">
        <v>-0.2221159979411263</v>
      </c>
      <c r="L139" s="35">
        <v>-3.9239972102050604</v>
      </c>
      <c r="M139" s="58" t="s">
        <v>22</v>
      </c>
      <c r="N139" s="7">
        <v>9.5</v>
      </c>
      <c r="O139" s="7" t="s">
        <v>178</v>
      </c>
      <c r="P139" s="7" t="s">
        <v>178</v>
      </c>
    </row>
    <row r="140" spans="1:16" x14ac:dyDescent="0.25">
      <c r="A140" s="2" t="s">
        <v>181</v>
      </c>
      <c r="B140" s="2" t="s">
        <v>182</v>
      </c>
      <c r="C140" s="6" t="s">
        <v>130</v>
      </c>
      <c r="D140" s="2" t="s">
        <v>122</v>
      </c>
      <c r="E140" s="2"/>
      <c r="F140" s="35">
        <v>4.5</v>
      </c>
      <c r="G140" s="35">
        <v>2.5476731599363114</v>
      </c>
      <c r="H140" s="35">
        <v>-2.530507753686424</v>
      </c>
      <c r="I140" s="35">
        <v>-0.58037072257314704</v>
      </c>
      <c r="J140" s="35">
        <v>-8.7284993022664192E-3</v>
      </c>
      <c r="K140" s="35">
        <v>7.7913108084917404</v>
      </c>
      <c r="L140" s="35">
        <v>7.7178971740110009</v>
      </c>
      <c r="M140" s="58" t="s">
        <v>24</v>
      </c>
      <c r="N140" s="7">
        <v>9.5</v>
      </c>
      <c r="O140" s="7" t="s">
        <v>178</v>
      </c>
      <c r="P140" s="7" t="s">
        <v>178</v>
      </c>
    </row>
    <row r="141" spans="1:16" x14ac:dyDescent="0.25">
      <c r="A141" s="2" t="s">
        <v>181</v>
      </c>
      <c r="B141" s="2" t="s">
        <v>182</v>
      </c>
      <c r="C141" s="6" t="s">
        <v>130</v>
      </c>
      <c r="D141" s="2" t="s">
        <v>122</v>
      </c>
      <c r="E141" s="2"/>
      <c r="F141" s="35">
        <v>4.5</v>
      </c>
      <c r="G141" s="35">
        <v>3.3338096671742763</v>
      </c>
      <c r="H141" s="35">
        <v>-2.5303536194977259</v>
      </c>
      <c r="I141" s="35">
        <v>-0.59727578719963614</v>
      </c>
      <c r="J141" s="35">
        <v>1.0777037440684815E-2</v>
      </c>
      <c r="K141" s="35">
        <v>7.7913080218584811</v>
      </c>
      <c r="L141" s="35">
        <v>8.7006313658456786</v>
      </c>
      <c r="M141" s="58" t="s">
        <v>24</v>
      </c>
      <c r="N141" s="7">
        <v>9.5</v>
      </c>
      <c r="O141" s="7" t="s">
        <v>178</v>
      </c>
      <c r="P141" s="7" t="s">
        <v>178</v>
      </c>
    </row>
    <row r="142" spans="1:16" x14ac:dyDescent="0.25">
      <c r="A142" s="2" t="s">
        <v>181</v>
      </c>
      <c r="B142" s="2" t="s">
        <v>182</v>
      </c>
      <c r="C142" s="6" t="s">
        <v>130</v>
      </c>
      <c r="D142" s="2" t="s">
        <v>122</v>
      </c>
      <c r="E142" s="2"/>
      <c r="F142" s="35">
        <v>4.6226557908820691</v>
      </c>
      <c r="G142" s="35">
        <v>3.4008183655700135</v>
      </c>
      <c r="H142" s="35">
        <v>-2.3217161192073261</v>
      </c>
      <c r="I142" s="35">
        <v>-0.33969862634729103</v>
      </c>
      <c r="J142" s="35">
        <v>1.0777037440684815E-2</v>
      </c>
      <c r="K142" s="35">
        <v>7.8487706907234136</v>
      </c>
      <c r="L142" s="35">
        <v>8.9981985914535905</v>
      </c>
      <c r="M142" s="58" t="s">
        <v>24</v>
      </c>
      <c r="N142" s="7">
        <v>9.5</v>
      </c>
      <c r="O142" s="7" t="s">
        <v>178</v>
      </c>
      <c r="P142" s="7" t="s">
        <v>178</v>
      </c>
    </row>
    <row r="143" spans="1:16" x14ac:dyDescent="0.25">
      <c r="A143" s="2" t="s">
        <v>181</v>
      </c>
      <c r="B143" s="2" t="s">
        <v>182</v>
      </c>
      <c r="C143" s="6" t="s">
        <v>130</v>
      </c>
      <c r="D143" s="2" t="s">
        <v>122</v>
      </c>
      <c r="E143" s="2"/>
      <c r="F143" s="35">
        <v>9.2453115817641383</v>
      </c>
      <c r="G143" s="35">
        <v>5.9262445639657511</v>
      </c>
      <c r="H143" s="35">
        <v>5.5414213810830741</v>
      </c>
      <c r="I143" s="35">
        <v>9.3678785345050528</v>
      </c>
      <c r="J143" s="35">
        <v>1.0777037440684815E-2</v>
      </c>
      <c r="K143" s="35">
        <v>-13.018313376061894</v>
      </c>
      <c r="L143" s="35">
        <v>1.5564040045818954</v>
      </c>
      <c r="M143" s="58" t="s">
        <v>23</v>
      </c>
      <c r="N143" s="7">
        <v>9.5</v>
      </c>
      <c r="O143" s="7" t="s">
        <v>178</v>
      </c>
      <c r="P143" s="7" t="s">
        <v>178</v>
      </c>
    </row>
    <row r="144" spans="1:16" x14ac:dyDescent="0.25">
      <c r="A144" s="2" t="s">
        <v>181</v>
      </c>
      <c r="B144" s="2" t="s">
        <v>182</v>
      </c>
      <c r="C144" s="6" t="s">
        <v>130</v>
      </c>
      <c r="D144" s="2" t="s">
        <v>123</v>
      </c>
      <c r="E144" s="2"/>
      <c r="F144" s="35">
        <v>0</v>
      </c>
      <c r="G144" s="35">
        <v>-16.430927643104905</v>
      </c>
      <c r="H144" s="35">
        <v>-9.4563736480613354</v>
      </c>
      <c r="I144" s="35">
        <v>-4.9371455657106642</v>
      </c>
      <c r="J144" s="35">
        <v>-6.977826802499856E-3</v>
      </c>
      <c r="K144" s="35">
        <v>-8.7737407752312695</v>
      </c>
      <c r="L144" s="35">
        <v>-20.185638557651618</v>
      </c>
      <c r="M144" s="58" t="s">
        <v>22</v>
      </c>
      <c r="N144" s="7">
        <v>9.5</v>
      </c>
      <c r="O144" s="7" t="s">
        <v>178</v>
      </c>
      <c r="P144" s="7" t="s">
        <v>178</v>
      </c>
    </row>
    <row r="145" spans="1:16" x14ac:dyDescent="0.25">
      <c r="A145" s="2" t="s">
        <v>181</v>
      </c>
      <c r="B145" s="2" t="s">
        <v>182</v>
      </c>
      <c r="C145" s="6" t="s">
        <v>130</v>
      </c>
      <c r="D145" s="2" t="s">
        <v>123</v>
      </c>
      <c r="E145" s="2"/>
      <c r="F145" s="35">
        <v>2</v>
      </c>
      <c r="G145" s="35">
        <v>-15.338297643104903</v>
      </c>
      <c r="H145" s="35">
        <v>-8.7003736480613352</v>
      </c>
      <c r="I145" s="35">
        <v>-3.0891455657106643</v>
      </c>
      <c r="J145" s="35">
        <v>-6.977826802499856E-3</v>
      </c>
      <c r="K145" s="35">
        <v>-0.74744964380994217</v>
      </c>
      <c r="L145" s="35">
        <v>-2.0288912615289503</v>
      </c>
      <c r="M145" s="58" t="s">
        <v>22</v>
      </c>
      <c r="N145" s="7">
        <v>9.5</v>
      </c>
      <c r="O145" s="7" t="s">
        <v>178</v>
      </c>
      <c r="P145" s="7" t="s">
        <v>178</v>
      </c>
    </row>
    <row r="146" spans="1:16" x14ac:dyDescent="0.25">
      <c r="A146" s="2" t="s">
        <v>181</v>
      </c>
      <c r="B146" s="2" t="s">
        <v>182</v>
      </c>
      <c r="C146" s="6" t="s">
        <v>130</v>
      </c>
      <c r="D146" s="2" t="s">
        <v>123</v>
      </c>
      <c r="E146" s="2"/>
      <c r="F146" s="35">
        <v>2</v>
      </c>
      <c r="G146" s="35">
        <v>-8.6328973469370087</v>
      </c>
      <c r="H146" s="35">
        <v>-1.5689477320018781</v>
      </c>
      <c r="I146" s="35">
        <v>-3.0891460424909107</v>
      </c>
      <c r="J146" s="35">
        <v>-6.9661882048304971E-3</v>
      </c>
      <c r="K146" s="35">
        <v>-0.7474620583141347</v>
      </c>
      <c r="L146" s="35">
        <v>-2.0288912615289538</v>
      </c>
      <c r="M146" s="58" t="s">
        <v>22</v>
      </c>
      <c r="N146" s="7">
        <v>9.5</v>
      </c>
      <c r="O146" s="7" t="s">
        <v>178</v>
      </c>
      <c r="P146" s="7" t="s">
        <v>178</v>
      </c>
    </row>
    <row r="147" spans="1:16" x14ac:dyDescent="0.25">
      <c r="A147" s="2" t="s">
        <v>181</v>
      </c>
      <c r="B147" s="2" t="s">
        <v>182</v>
      </c>
      <c r="C147" s="6" t="s">
        <v>130</v>
      </c>
      <c r="D147" s="2" t="s">
        <v>123</v>
      </c>
      <c r="E147" s="2"/>
      <c r="F147" s="35">
        <v>4.5</v>
      </c>
      <c r="G147" s="35">
        <v>-7.267109846937009</v>
      </c>
      <c r="H147" s="35">
        <v>-0.62394773200187814</v>
      </c>
      <c r="I147" s="35">
        <v>-0.77914604249091046</v>
      </c>
      <c r="J147" s="35">
        <v>-6.9661882048304971E-3</v>
      </c>
      <c r="K147" s="35">
        <v>4.0879030479131417</v>
      </c>
      <c r="L147" s="35">
        <v>0.71222806847574149</v>
      </c>
      <c r="M147" s="58" t="s">
        <v>24</v>
      </c>
      <c r="N147" s="7">
        <v>9.5</v>
      </c>
      <c r="O147" s="7" t="s">
        <v>178</v>
      </c>
      <c r="P147" s="7" t="s">
        <v>178</v>
      </c>
    </row>
    <row r="148" spans="1:16" x14ac:dyDescent="0.25">
      <c r="A148" s="2" t="s">
        <v>181</v>
      </c>
      <c r="B148" s="2" t="s">
        <v>182</v>
      </c>
      <c r="C148" s="6" t="s">
        <v>130</v>
      </c>
      <c r="D148" s="2" t="s">
        <v>123</v>
      </c>
      <c r="E148" s="2"/>
      <c r="F148" s="35">
        <v>4.5</v>
      </c>
      <c r="G148" s="35">
        <v>-6.4809735185104529</v>
      </c>
      <c r="H148" s="35">
        <v>-0.62405269380899542</v>
      </c>
      <c r="I148" s="35">
        <v>-0.7902438810187381</v>
      </c>
      <c r="J148" s="35">
        <v>6.7591306130592348E-3</v>
      </c>
      <c r="K148" s="35">
        <v>4.0879004480422738</v>
      </c>
      <c r="L148" s="35">
        <v>1.6949087369404725</v>
      </c>
      <c r="M148" s="58" t="s">
        <v>24</v>
      </c>
      <c r="N148" s="7">
        <v>9.5</v>
      </c>
      <c r="O148" s="7" t="s">
        <v>178</v>
      </c>
      <c r="P148" s="7" t="s">
        <v>178</v>
      </c>
    </row>
    <row r="149" spans="1:16" x14ac:dyDescent="0.25">
      <c r="A149" s="2" t="s">
        <v>181</v>
      </c>
      <c r="B149" s="2" t="s">
        <v>182</v>
      </c>
      <c r="C149" s="6" t="s">
        <v>130</v>
      </c>
      <c r="D149" s="2" t="s">
        <v>123</v>
      </c>
      <c r="E149" s="2"/>
      <c r="F149" s="35">
        <v>4.6226557908820691</v>
      </c>
      <c r="G149" s="35">
        <v>-6.4139648201147166</v>
      </c>
      <c r="H149" s="35">
        <v>-0.57768880485557328</v>
      </c>
      <c r="I149" s="35">
        <v>-0.67690993024370627</v>
      </c>
      <c r="J149" s="35">
        <v>6.7591306130592348E-3</v>
      </c>
      <c r="K149" s="35">
        <v>4.1778779035752915</v>
      </c>
      <c r="L149" s="35">
        <v>1.7686090139177253</v>
      </c>
      <c r="M149" s="58" t="s">
        <v>24</v>
      </c>
      <c r="N149" s="7">
        <v>9.5</v>
      </c>
      <c r="O149" s="7" t="s">
        <v>178</v>
      </c>
      <c r="P149" s="7" t="s">
        <v>178</v>
      </c>
    </row>
    <row r="150" spans="1:16" x14ac:dyDescent="0.25">
      <c r="A150" s="2" t="s">
        <v>181</v>
      </c>
      <c r="B150" s="2" t="s">
        <v>182</v>
      </c>
      <c r="C150" s="6" t="s">
        <v>130</v>
      </c>
      <c r="D150" s="2" t="s">
        <v>123</v>
      </c>
      <c r="E150" s="2"/>
      <c r="F150" s="35">
        <v>9.2453115817641383</v>
      </c>
      <c r="G150" s="35">
        <v>-3.8885386217189781</v>
      </c>
      <c r="H150" s="35">
        <v>1.1696750840978489</v>
      </c>
      <c r="I150" s="35">
        <v>3.5944240205313256</v>
      </c>
      <c r="J150" s="35">
        <v>6.7591306130592348E-3</v>
      </c>
      <c r="K150" s="35">
        <v>-2.5654537986487536</v>
      </c>
      <c r="L150" s="35">
        <v>0.40033461298670842</v>
      </c>
      <c r="M150" s="58" t="s">
        <v>23</v>
      </c>
      <c r="N150" s="7">
        <v>9.5</v>
      </c>
      <c r="O150" s="7" t="s">
        <v>178</v>
      </c>
      <c r="P150" s="7" t="s">
        <v>178</v>
      </c>
    </row>
    <row r="151" spans="1:16" x14ac:dyDescent="0.25">
      <c r="A151" s="2" t="s">
        <v>181</v>
      </c>
      <c r="B151" s="2" t="s">
        <v>182</v>
      </c>
      <c r="C151" s="6" t="s">
        <v>130</v>
      </c>
      <c r="D151" s="2" t="s">
        <v>124</v>
      </c>
      <c r="E151" s="2"/>
      <c r="F151" s="35">
        <v>0</v>
      </c>
      <c r="G151" s="35">
        <v>13.732539295891261</v>
      </c>
      <c r="H151" s="35">
        <v>-26.305892864818315</v>
      </c>
      <c r="I151" s="35">
        <v>11.432566413640492</v>
      </c>
      <c r="J151" s="35">
        <v>2.4823559106663697E-2</v>
      </c>
      <c r="K151" s="35">
        <v>28.339061023893894</v>
      </c>
      <c r="L151" s="35">
        <v>-50.350602226223891</v>
      </c>
      <c r="M151" s="58" t="s">
        <v>22</v>
      </c>
      <c r="N151" s="7">
        <v>9.5</v>
      </c>
      <c r="O151" s="7" t="s">
        <v>178</v>
      </c>
      <c r="P151" s="7" t="s">
        <v>178</v>
      </c>
    </row>
    <row r="152" spans="1:16" x14ac:dyDescent="0.25">
      <c r="A152" s="2" t="s">
        <v>181</v>
      </c>
      <c r="B152" s="2" t="s">
        <v>182</v>
      </c>
      <c r="C152" s="6" t="s">
        <v>130</v>
      </c>
      <c r="D152" s="2" t="s">
        <v>124</v>
      </c>
      <c r="E152" s="2"/>
      <c r="F152" s="35">
        <v>2</v>
      </c>
      <c r="G152" s="35">
        <v>14.825169295891262</v>
      </c>
      <c r="H152" s="35">
        <v>-17.044892864818316</v>
      </c>
      <c r="I152" s="35">
        <v>8.408566413640493</v>
      </c>
      <c r="J152" s="35">
        <v>2.4823559106663697E-2</v>
      </c>
      <c r="K152" s="35">
        <v>8.4979281966129108</v>
      </c>
      <c r="L152" s="35">
        <v>-6.9998164965872665</v>
      </c>
      <c r="M152" s="58" t="s">
        <v>22</v>
      </c>
      <c r="N152" s="7">
        <v>9.5</v>
      </c>
      <c r="O152" s="7" t="s">
        <v>178</v>
      </c>
      <c r="P152" s="7" t="s">
        <v>178</v>
      </c>
    </row>
    <row r="153" spans="1:16" x14ac:dyDescent="0.25">
      <c r="A153" s="2" t="s">
        <v>181</v>
      </c>
      <c r="B153" s="2" t="s">
        <v>182</v>
      </c>
      <c r="C153" s="6" t="s">
        <v>130</v>
      </c>
      <c r="D153" s="2" t="s">
        <v>124</v>
      </c>
      <c r="E153" s="2"/>
      <c r="F153" s="35">
        <v>2</v>
      </c>
      <c r="G153" s="35">
        <v>13.78119553213782</v>
      </c>
      <c r="H153" s="35">
        <v>-18.179478678885037</v>
      </c>
      <c r="I153" s="35">
        <v>8.4085627944880041</v>
      </c>
      <c r="J153" s="35">
        <v>2.4794687857268866E-2</v>
      </c>
      <c r="K153" s="35">
        <v>8.4979589926122987</v>
      </c>
      <c r="L153" s="35">
        <v>-6.9998164965872496</v>
      </c>
      <c r="M153" s="58" t="s">
        <v>22</v>
      </c>
      <c r="N153" s="7">
        <v>9.5</v>
      </c>
      <c r="O153" s="7" t="s">
        <v>178</v>
      </c>
      <c r="P153" s="7" t="s">
        <v>178</v>
      </c>
    </row>
    <row r="154" spans="1:16" x14ac:dyDescent="0.25">
      <c r="A154" s="2" t="s">
        <v>181</v>
      </c>
      <c r="B154" s="2" t="s">
        <v>182</v>
      </c>
      <c r="C154" s="6" t="s">
        <v>130</v>
      </c>
      <c r="D154" s="2" t="s">
        <v>124</v>
      </c>
      <c r="E154" s="2"/>
      <c r="F154" s="35">
        <v>4.5</v>
      </c>
      <c r="G154" s="35">
        <v>15.146983032137818</v>
      </c>
      <c r="H154" s="35">
        <v>-6.603228678885035</v>
      </c>
      <c r="I154" s="35">
        <v>4.6285627944880039</v>
      </c>
      <c r="J154" s="35">
        <v>2.4794687857268866E-2</v>
      </c>
      <c r="K154" s="35">
        <v>-7.7984479936077129</v>
      </c>
      <c r="L154" s="35">
        <v>23.978567700625334</v>
      </c>
      <c r="M154" s="58" t="s">
        <v>24</v>
      </c>
      <c r="N154" s="7">
        <v>9.5</v>
      </c>
      <c r="O154" s="7" t="s">
        <v>178</v>
      </c>
      <c r="P154" s="7" t="s">
        <v>178</v>
      </c>
    </row>
    <row r="155" spans="1:16" x14ac:dyDescent="0.25">
      <c r="A155" s="2" t="s">
        <v>181</v>
      </c>
      <c r="B155" s="2" t="s">
        <v>182</v>
      </c>
      <c r="C155" s="6" t="s">
        <v>130</v>
      </c>
      <c r="D155" s="2" t="s">
        <v>124</v>
      </c>
      <c r="E155" s="2"/>
      <c r="F155" s="35">
        <v>4.5</v>
      </c>
      <c r="G155" s="35">
        <v>15.933113902400109</v>
      </c>
      <c r="H155" s="35">
        <v>-6.6024791793890607</v>
      </c>
      <c r="I155" s="35">
        <v>4.6597791816628193</v>
      </c>
      <c r="J155" s="35">
        <v>-1.5744860399547186E-2</v>
      </c>
      <c r="K155" s="35">
        <v>-7.7984170853951955</v>
      </c>
      <c r="L155" s="35">
        <v>24.961351801446622</v>
      </c>
      <c r="M155" s="58" t="s">
        <v>24</v>
      </c>
      <c r="N155" s="7">
        <v>9.5</v>
      </c>
      <c r="O155" s="7" t="s">
        <v>178</v>
      </c>
      <c r="P155" s="7" t="s">
        <v>178</v>
      </c>
    </row>
    <row r="156" spans="1:16" x14ac:dyDescent="0.25">
      <c r="A156" s="2" t="s">
        <v>181</v>
      </c>
      <c r="B156" s="2" t="s">
        <v>182</v>
      </c>
      <c r="C156" s="6" t="s">
        <v>130</v>
      </c>
      <c r="D156" s="2" t="s">
        <v>124</v>
      </c>
      <c r="E156" s="2"/>
      <c r="F156" s="35">
        <v>4.6226557908820691</v>
      </c>
      <c r="G156" s="35">
        <v>16.000122600795844</v>
      </c>
      <c r="H156" s="35">
        <v>-6.0345215397096394</v>
      </c>
      <c r="I156" s="35">
        <v>4.4743236258491317</v>
      </c>
      <c r="J156" s="35">
        <v>-1.5744860399547186E-2</v>
      </c>
      <c r="K156" s="35">
        <v>-8.3585923873219485</v>
      </c>
      <c r="L156" s="35">
        <v>25.736352460235782</v>
      </c>
      <c r="M156" s="58" t="s">
        <v>24</v>
      </c>
      <c r="N156" s="7">
        <v>9.5</v>
      </c>
      <c r="O156" s="7" t="s">
        <v>178</v>
      </c>
      <c r="P156" s="7" t="s">
        <v>178</v>
      </c>
    </row>
    <row r="157" spans="1:16" x14ac:dyDescent="0.25">
      <c r="A157" s="2" t="s">
        <v>181</v>
      </c>
      <c r="B157" s="2" t="s">
        <v>182</v>
      </c>
      <c r="C157" s="6" t="s">
        <v>130</v>
      </c>
      <c r="D157" s="2" t="s">
        <v>124</v>
      </c>
      <c r="E157" s="2"/>
      <c r="F157" s="35">
        <v>9.2453115817641383</v>
      </c>
      <c r="G157" s="35">
        <v>18.525548799191583</v>
      </c>
      <c r="H157" s="35">
        <v>15.370686099969781</v>
      </c>
      <c r="I157" s="35">
        <v>-2.5151319299645563</v>
      </c>
      <c r="J157" s="35">
        <v>-1.5744860399547186E-2</v>
      </c>
      <c r="K157" s="35">
        <v>-12.886926806536396</v>
      </c>
      <c r="L157" s="35">
        <v>4.157414875678537</v>
      </c>
      <c r="M157" s="58" t="s">
        <v>23</v>
      </c>
      <c r="N157" s="7">
        <v>9.5</v>
      </c>
      <c r="O157" s="7" t="s">
        <v>178</v>
      </c>
      <c r="P157" s="7" t="s">
        <v>178</v>
      </c>
    </row>
    <row r="158" spans="1:16" x14ac:dyDescent="0.25">
      <c r="A158" s="2" t="s">
        <v>181</v>
      </c>
      <c r="B158" s="2" t="s">
        <v>182</v>
      </c>
      <c r="C158" s="6" t="s">
        <v>130</v>
      </c>
      <c r="D158" s="2" t="s">
        <v>125</v>
      </c>
      <c r="E158" s="2"/>
      <c r="F158" s="35">
        <v>0</v>
      </c>
      <c r="G158" s="35">
        <v>-23.83896815306742</v>
      </c>
      <c r="H158" s="35">
        <v>-20.374738237346818</v>
      </c>
      <c r="I158" s="35">
        <v>16.02021569463535</v>
      </c>
      <c r="J158" s="35">
        <v>1.4019295364938204E-2</v>
      </c>
      <c r="K158" s="35">
        <v>38.737563610307816</v>
      </c>
      <c r="L158" s="35">
        <v>-38.972278502680773</v>
      </c>
      <c r="M158" s="58" t="s">
        <v>22</v>
      </c>
      <c r="N158" s="7">
        <v>9.5</v>
      </c>
      <c r="O158" s="7" t="s">
        <v>178</v>
      </c>
      <c r="P158" s="7" t="s">
        <v>178</v>
      </c>
    </row>
    <row r="159" spans="1:16" x14ac:dyDescent="0.25">
      <c r="A159" s="2" t="s">
        <v>181</v>
      </c>
      <c r="B159" s="2" t="s">
        <v>182</v>
      </c>
      <c r="C159" s="6" t="s">
        <v>130</v>
      </c>
      <c r="D159" s="2" t="s">
        <v>125</v>
      </c>
      <c r="E159" s="2"/>
      <c r="F159" s="35">
        <v>2</v>
      </c>
      <c r="G159" s="35">
        <v>-22.74633815306742</v>
      </c>
      <c r="H159" s="35">
        <v>-13.759738237346815</v>
      </c>
      <c r="I159" s="35">
        <v>10.644215694635353</v>
      </c>
      <c r="J159" s="35">
        <v>1.4019295364938204E-2</v>
      </c>
      <c r="K159" s="35">
        <v>12.073132221037111</v>
      </c>
      <c r="L159" s="35">
        <v>-4.8378020279871512</v>
      </c>
      <c r="M159" s="58" t="s">
        <v>22</v>
      </c>
      <c r="N159" s="7">
        <v>9.5</v>
      </c>
      <c r="O159" s="7" t="s">
        <v>178</v>
      </c>
      <c r="P159" s="7" t="s">
        <v>178</v>
      </c>
    </row>
    <row r="160" spans="1:16" x14ac:dyDescent="0.25">
      <c r="A160" s="2" t="s">
        <v>181</v>
      </c>
      <c r="B160" s="2" t="s">
        <v>182</v>
      </c>
      <c r="C160" s="6" t="s">
        <v>130</v>
      </c>
      <c r="D160" s="2" t="s">
        <v>125</v>
      </c>
      <c r="E160" s="2"/>
      <c r="F160" s="35">
        <v>2</v>
      </c>
      <c r="G160" s="35">
        <v>-21.948352302540791</v>
      </c>
      <c r="H160" s="35">
        <v>-12.929564740499705</v>
      </c>
      <c r="I160" s="35">
        <v>10.644212068761346</v>
      </c>
      <c r="J160" s="35">
        <v>1.4051861534664624E-2</v>
      </c>
      <c r="K160" s="35">
        <v>12.073097483789438</v>
      </c>
      <c r="L160" s="35">
        <v>-4.8378020279871423</v>
      </c>
      <c r="M160" s="58" t="s">
        <v>22</v>
      </c>
      <c r="N160" s="7">
        <v>9.5</v>
      </c>
      <c r="O160" s="7" t="s">
        <v>178</v>
      </c>
      <c r="P160" s="7" t="s">
        <v>178</v>
      </c>
    </row>
    <row r="161" spans="1:16" x14ac:dyDescent="0.25">
      <c r="A161" s="2" t="s">
        <v>181</v>
      </c>
      <c r="B161" s="2" t="s">
        <v>182</v>
      </c>
      <c r="C161" s="6" t="s">
        <v>130</v>
      </c>
      <c r="D161" s="2" t="s">
        <v>125</v>
      </c>
      <c r="E161" s="2"/>
      <c r="F161" s="35">
        <v>4.5</v>
      </c>
      <c r="G161" s="35">
        <v>-20.582564802540794</v>
      </c>
      <c r="H161" s="35">
        <v>-4.6608147404997053</v>
      </c>
      <c r="I161" s="35">
        <v>3.9242120687613458</v>
      </c>
      <c r="J161" s="35">
        <v>1.4051861534664624E-2</v>
      </c>
      <c r="K161" s="35">
        <v>-6.1374326881139281</v>
      </c>
      <c r="L161" s="35">
        <v>17.150172323262122</v>
      </c>
      <c r="M161" s="58" t="s">
        <v>24</v>
      </c>
      <c r="N161" s="7">
        <v>9.5</v>
      </c>
      <c r="O161" s="7" t="s">
        <v>178</v>
      </c>
      <c r="P161" s="7" t="s">
        <v>178</v>
      </c>
    </row>
    <row r="162" spans="1:16" x14ac:dyDescent="0.25">
      <c r="A162" s="2" t="s">
        <v>181</v>
      </c>
      <c r="B162" s="2" t="s">
        <v>182</v>
      </c>
      <c r="C162" s="6" t="s">
        <v>130</v>
      </c>
      <c r="D162" s="2" t="s">
        <v>125</v>
      </c>
      <c r="E162" s="2"/>
      <c r="F162" s="35">
        <v>4.5</v>
      </c>
      <c r="G162" s="35">
        <v>-19.796439216582254</v>
      </c>
      <c r="H162" s="35">
        <v>-4.6605259905414345</v>
      </c>
      <c r="I162" s="35">
        <v>3.9422388703998203</v>
      </c>
      <c r="J162" s="35">
        <v>-8.7062632296042008E-3</v>
      </c>
      <c r="K162" s="35">
        <v>-6.1373844753174458</v>
      </c>
      <c r="L162" s="35">
        <v>18.132895583967379</v>
      </c>
      <c r="M162" s="58" t="s">
        <v>24</v>
      </c>
      <c r="N162" s="7">
        <v>9.5</v>
      </c>
      <c r="O162" s="7" t="s">
        <v>178</v>
      </c>
      <c r="P162" s="7" t="s">
        <v>178</v>
      </c>
    </row>
    <row r="163" spans="1:16" x14ac:dyDescent="0.25">
      <c r="A163" s="2" t="s">
        <v>181</v>
      </c>
      <c r="B163" s="2" t="s">
        <v>182</v>
      </c>
      <c r="C163" s="6" t="s">
        <v>130</v>
      </c>
      <c r="D163" s="2" t="s">
        <v>125</v>
      </c>
      <c r="E163" s="2"/>
      <c r="F163" s="35">
        <v>4.6226557908820691</v>
      </c>
      <c r="G163" s="35">
        <v>-19.729430518186515</v>
      </c>
      <c r="H163" s="35">
        <v>-4.2548419621989906</v>
      </c>
      <c r="I163" s="35">
        <v>3.6125401045088186</v>
      </c>
      <c r="J163" s="35">
        <v>-8.7062632296042008E-3</v>
      </c>
      <c r="K163" s="35">
        <v>-6.6007031703707675</v>
      </c>
      <c r="L163" s="35">
        <v>18.679656337591389</v>
      </c>
      <c r="M163" s="58" t="s">
        <v>24</v>
      </c>
      <c r="N163" s="7">
        <v>9.5</v>
      </c>
      <c r="O163" s="7" t="s">
        <v>178</v>
      </c>
      <c r="P163" s="7" t="s">
        <v>178</v>
      </c>
    </row>
    <row r="164" spans="1:16" x14ac:dyDescent="0.25">
      <c r="A164" s="2" t="s">
        <v>181</v>
      </c>
      <c r="B164" s="2" t="s">
        <v>182</v>
      </c>
      <c r="C164" s="6" t="s">
        <v>130</v>
      </c>
      <c r="D164" s="2" t="s">
        <v>125</v>
      </c>
      <c r="E164" s="2"/>
      <c r="F164" s="35">
        <v>9.2453115817641383</v>
      </c>
      <c r="G164" s="35">
        <v>-17.20400431979078</v>
      </c>
      <c r="H164" s="35">
        <v>11.034592066143453</v>
      </c>
      <c r="I164" s="35">
        <v>-8.8131586613821842</v>
      </c>
      <c r="J164" s="35">
        <v>-8.7062632296042008E-3</v>
      </c>
      <c r="K164" s="35">
        <v>5.4196315736789353</v>
      </c>
      <c r="L164" s="35">
        <v>3.0094307982253046</v>
      </c>
      <c r="M164" s="58" t="s">
        <v>23</v>
      </c>
      <c r="N164" s="7">
        <v>9.5</v>
      </c>
      <c r="O164" s="7" t="s">
        <v>178</v>
      </c>
      <c r="P164" s="7" t="s">
        <v>178</v>
      </c>
    </row>
    <row r="165" spans="1:16" x14ac:dyDescent="0.25">
      <c r="A165" s="2" t="s">
        <v>181</v>
      </c>
      <c r="B165" s="2" t="s">
        <v>182</v>
      </c>
      <c r="C165" s="6" t="s">
        <v>130</v>
      </c>
      <c r="D165" s="2" t="s">
        <v>126</v>
      </c>
      <c r="E165" s="2"/>
      <c r="F165" s="35">
        <v>0</v>
      </c>
      <c r="G165" s="35">
        <v>0.69688108019946582</v>
      </c>
      <c r="H165" s="35">
        <v>-19.257315293423641</v>
      </c>
      <c r="I165" s="35">
        <v>-9.1107888319313144</v>
      </c>
      <c r="J165" s="35">
        <v>-3.0176690293546148E-3</v>
      </c>
      <c r="K165" s="35">
        <v>-20.698669671910043</v>
      </c>
      <c r="L165" s="35">
        <v>-37.171080595265252</v>
      </c>
      <c r="M165" s="58" t="s">
        <v>22</v>
      </c>
      <c r="N165" s="7">
        <v>9.5</v>
      </c>
      <c r="O165" s="7" t="s">
        <v>178</v>
      </c>
      <c r="P165" s="7" t="s">
        <v>178</v>
      </c>
    </row>
    <row r="166" spans="1:16" x14ac:dyDescent="0.25">
      <c r="A166" s="2" t="s">
        <v>181</v>
      </c>
      <c r="B166" s="2" t="s">
        <v>182</v>
      </c>
      <c r="C166" s="6" t="s">
        <v>130</v>
      </c>
      <c r="D166" s="2" t="s">
        <v>126</v>
      </c>
      <c r="E166" s="2"/>
      <c r="F166" s="35">
        <v>2</v>
      </c>
      <c r="G166" s="35">
        <v>1.7895110801994667</v>
      </c>
      <c r="H166" s="35">
        <v>-12.642315293423639</v>
      </c>
      <c r="I166" s="35">
        <v>-5.9187888319313142</v>
      </c>
      <c r="J166" s="35">
        <v>-3.0176690293546148E-3</v>
      </c>
      <c r="K166" s="35">
        <v>-5.6690920080474161</v>
      </c>
      <c r="L166" s="35">
        <v>-5.2714500084179701</v>
      </c>
      <c r="M166" s="58" t="s">
        <v>22</v>
      </c>
      <c r="N166" s="7">
        <v>9.5</v>
      </c>
      <c r="O166" s="7" t="s">
        <v>178</v>
      </c>
      <c r="P166" s="7" t="s">
        <v>178</v>
      </c>
    </row>
    <row r="167" spans="1:16" x14ac:dyDescent="0.25">
      <c r="A167" s="2" t="s">
        <v>181</v>
      </c>
      <c r="B167" s="2" t="s">
        <v>182</v>
      </c>
      <c r="C167" s="6" t="s">
        <v>130</v>
      </c>
      <c r="D167" s="2" t="s">
        <v>126</v>
      </c>
      <c r="E167" s="2"/>
      <c r="F167" s="35">
        <v>2</v>
      </c>
      <c r="G167" s="35">
        <v>1.4856605958889775</v>
      </c>
      <c r="H167" s="35">
        <v>-12.98743443759831</v>
      </c>
      <c r="I167" s="35">
        <v>-5.9187824622681005</v>
      </c>
      <c r="J167" s="35">
        <v>-3.026351671675722E-3</v>
      </c>
      <c r="K167" s="35">
        <v>-5.6690827465622942</v>
      </c>
      <c r="L167" s="35">
        <v>-5.2714500084179718</v>
      </c>
      <c r="M167" s="58" t="s">
        <v>22</v>
      </c>
      <c r="N167" s="7">
        <v>9.5</v>
      </c>
      <c r="O167" s="7" t="s">
        <v>178</v>
      </c>
      <c r="P167" s="7" t="s">
        <v>178</v>
      </c>
    </row>
    <row r="168" spans="1:16" x14ac:dyDescent="0.25">
      <c r="A168" s="2" t="s">
        <v>181</v>
      </c>
      <c r="B168" s="2" t="s">
        <v>182</v>
      </c>
      <c r="C168" s="6" t="s">
        <v>130</v>
      </c>
      <c r="D168" s="2" t="s">
        <v>126</v>
      </c>
      <c r="E168" s="2"/>
      <c r="F168" s="35">
        <v>4.5</v>
      </c>
      <c r="G168" s="35">
        <v>2.8514480958889759</v>
      </c>
      <c r="H168" s="35">
        <v>-4.718684437598311</v>
      </c>
      <c r="I168" s="35">
        <v>-1.9287824622680996</v>
      </c>
      <c r="J168" s="35">
        <v>-3.026351671675722E-3</v>
      </c>
      <c r="K168" s="35">
        <v>4.1403734091079549</v>
      </c>
      <c r="L168" s="35">
        <v>16.861198585577807</v>
      </c>
      <c r="M168" s="58" t="s">
        <v>24</v>
      </c>
      <c r="N168" s="7">
        <v>9.5</v>
      </c>
      <c r="O168" s="7" t="s">
        <v>178</v>
      </c>
      <c r="P168" s="7" t="s">
        <v>178</v>
      </c>
    </row>
    <row r="169" spans="1:16" x14ac:dyDescent="0.25">
      <c r="A169" s="2" t="s">
        <v>181</v>
      </c>
      <c r="B169" s="2" t="s">
        <v>182</v>
      </c>
      <c r="C169" s="6" t="s">
        <v>130</v>
      </c>
      <c r="D169" s="2" t="s">
        <v>126</v>
      </c>
      <c r="E169" s="2"/>
      <c r="F169" s="35">
        <v>4.5</v>
      </c>
      <c r="G169" s="35">
        <v>3.6375894294254771</v>
      </c>
      <c r="H169" s="35">
        <v>-4.7180058503026556</v>
      </c>
      <c r="I169" s="35">
        <v>-1.9412416367918104</v>
      </c>
      <c r="J169" s="35">
        <v>8.8305901859051586E-3</v>
      </c>
      <c r="K169" s="35">
        <v>4.1403492092425509</v>
      </c>
      <c r="L169" s="35">
        <v>17.844007968807208</v>
      </c>
      <c r="M169" s="58" t="s">
        <v>24</v>
      </c>
      <c r="N169" s="7">
        <v>9.5</v>
      </c>
      <c r="O169" s="7" t="s">
        <v>178</v>
      </c>
      <c r="P169" s="7" t="s">
        <v>178</v>
      </c>
    </row>
    <row r="170" spans="1:16" x14ac:dyDescent="0.25">
      <c r="A170" s="2" t="s">
        <v>181</v>
      </c>
      <c r="B170" s="2" t="s">
        <v>182</v>
      </c>
      <c r="C170" s="6" t="s">
        <v>130</v>
      </c>
      <c r="D170" s="2" t="s">
        <v>126</v>
      </c>
      <c r="E170" s="2"/>
      <c r="F170" s="35">
        <v>4.6226557908820691</v>
      </c>
      <c r="G170" s="35">
        <v>3.7045981278212139</v>
      </c>
      <c r="H170" s="35">
        <v>-4.3123218219602126</v>
      </c>
      <c r="I170" s="35">
        <v>-1.7454829945440282</v>
      </c>
      <c r="J170" s="35">
        <v>8.8305901859051586E-3</v>
      </c>
      <c r="K170" s="35">
        <v>4.3664482719530016</v>
      </c>
      <c r="L170" s="35">
        <v>18.397818960090021</v>
      </c>
      <c r="M170" s="58" t="s">
        <v>24</v>
      </c>
      <c r="N170" s="7">
        <v>9.5</v>
      </c>
      <c r="O170" s="7" t="s">
        <v>178</v>
      </c>
      <c r="P170" s="7" t="s">
        <v>178</v>
      </c>
    </row>
    <row r="171" spans="1:16" x14ac:dyDescent="0.25">
      <c r="A171" s="2" t="s">
        <v>181</v>
      </c>
      <c r="B171" s="2" t="s">
        <v>182</v>
      </c>
      <c r="C171" s="6" t="s">
        <v>130</v>
      </c>
      <c r="D171" s="2" t="s">
        <v>126</v>
      </c>
      <c r="E171" s="2"/>
      <c r="F171" s="35">
        <v>9.2453115817641383</v>
      </c>
      <c r="G171" s="35">
        <v>6.2300243262169523</v>
      </c>
      <c r="H171" s="35">
        <v>10.97711220638223</v>
      </c>
      <c r="I171" s="35">
        <v>5.6322756477037546</v>
      </c>
      <c r="J171" s="35">
        <v>8.8305901859051586E-3</v>
      </c>
      <c r="K171" s="35">
        <v>-4.6172040110903412</v>
      </c>
      <c r="L171" s="35">
        <v>2.9933030273082353</v>
      </c>
      <c r="M171" s="58" t="s">
        <v>23</v>
      </c>
      <c r="N171" s="7">
        <v>9.5</v>
      </c>
      <c r="O171" s="7" t="s">
        <v>178</v>
      </c>
      <c r="P171" s="7" t="s">
        <v>178</v>
      </c>
    </row>
    <row r="172" spans="1:16" x14ac:dyDescent="0.25">
      <c r="A172" s="2" t="s">
        <v>181</v>
      </c>
      <c r="B172" s="2" t="s">
        <v>182</v>
      </c>
      <c r="C172" s="6" t="s">
        <v>130</v>
      </c>
      <c r="D172" s="2" t="s">
        <v>127</v>
      </c>
      <c r="E172" s="2"/>
      <c r="F172" s="35">
        <v>0</v>
      </c>
      <c r="G172" s="35">
        <v>-14.860846558382349</v>
      </c>
      <c r="H172" s="35">
        <v>-12.869292510368666</v>
      </c>
      <c r="I172" s="35">
        <v>-6.4146424743722132</v>
      </c>
      <c r="J172" s="35">
        <v>-3.1579846496229357E-3</v>
      </c>
      <c r="K172" s="35">
        <v>-25.747106857353177</v>
      </c>
      <c r="L172" s="35">
        <v>-25.246010054678084</v>
      </c>
      <c r="M172" s="58" t="s">
        <v>22</v>
      </c>
      <c r="N172" s="7">
        <v>9.5</v>
      </c>
      <c r="O172" s="7" t="s">
        <v>178</v>
      </c>
      <c r="P172" s="7" t="s">
        <v>178</v>
      </c>
    </row>
    <row r="173" spans="1:16" x14ac:dyDescent="0.25">
      <c r="A173" s="2" t="s">
        <v>181</v>
      </c>
      <c r="B173" s="2" t="s">
        <v>182</v>
      </c>
      <c r="C173" s="6" t="s">
        <v>130</v>
      </c>
      <c r="D173" s="2" t="s">
        <v>127</v>
      </c>
      <c r="E173" s="2"/>
      <c r="F173" s="35">
        <v>2</v>
      </c>
      <c r="G173" s="35">
        <v>-13.768216558382347</v>
      </c>
      <c r="H173" s="35">
        <v>-8.9002925103686668</v>
      </c>
      <c r="I173" s="35">
        <v>-5.5746424743722134</v>
      </c>
      <c r="J173" s="35">
        <v>-3.1579846496229357E-3</v>
      </c>
      <c r="K173" s="35">
        <v>-13.757821908608756</v>
      </c>
      <c r="L173" s="35">
        <v>-3.4764250339407474</v>
      </c>
      <c r="M173" s="58" t="s">
        <v>22</v>
      </c>
      <c r="N173" s="7">
        <v>9.5</v>
      </c>
      <c r="O173" s="7" t="s">
        <v>178</v>
      </c>
      <c r="P173" s="7" t="s">
        <v>178</v>
      </c>
    </row>
    <row r="174" spans="1:16" x14ac:dyDescent="0.25">
      <c r="A174" s="2" t="s">
        <v>181</v>
      </c>
      <c r="B174" s="2" t="s">
        <v>182</v>
      </c>
      <c r="C174" s="6" t="s">
        <v>130</v>
      </c>
      <c r="D174" s="2" t="s">
        <v>127</v>
      </c>
      <c r="E174" s="2"/>
      <c r="F174" s="35">
        <v>2</v>
      </c>
      <c r="G174" s="35">
        <v>-12.704500089465022</v>
      </c>
      <c r="H174" s="35">
        <v>-7.7866709686337741</v>
      </c>
      <c r="I174" s="35">
        <v>-5.5746306311678406</v>
      </c>
      <c r="J174" s="35">
        <v>-3.1749162094649114E-3</v>
      </c>
      <c r="K174" s="35">
        <v>-13.757803848278289</v>
      </c>
      <c r="L174" s="35">
        <v>-3.4764250339407345</v>
      </c>
      <c r="M174" s="58" t="s">
        <v>22</v>
      </c>
      <c r="N174" s="7">
        <v>9.5</v>
      </c>
      <c r="O174" s="7" t="s">
        <v>178</v>
      </c>
      <c r="P174" s="7" t="s">
        <v>178</v>
      </c>
    </row>
    <row r="175" spans="1:16" x14ac:dyDescent="0.25">
      <c r="A175" s="2" t="s">
        <v>181</v>
      </c>
      <c r="B175" s="2" t="s">
        <v>182</v>
      </c>
      <c r="C175" s="6" t="s">
        <v>130</v>
      </c>
      <c r="D175" s="2" t="s">
        <v>127</v>
      </c>
      <c r="E175" s="2"/>
      <c r="F175" s="35">
        <v>4.5</v>
      </c>
      <c r="G175" s="35">
        <v>-11.338712589465024</v>
      </c>
      <c r="H175" s="35">
        <v>-2.825420968633773</v>
      </c>
      <c r="I175" s="35">
        <v>-4.524630631167839</v>
      </c>
      <c r="J175" s="35">
        <v>-3.1749162094649114E-3</v>
      </c>
      <c r="K175" s="35">
        <v>-1.1337272703586907</v>
      </c>
      <c r="L175" s="35">
        <v>9.788689887643697</v>
      </c>
      <c r="M175" s="58" t="s">
        <v>24</v>
      </c>
      <c r="N175" s="7">
        <v>9.5</v>
      </c>
      <c r="O175" s="7" t="s">
        <v>178</v>
      </c>
      <c r="P175" s="7" t="s">
        <v>178</v>
      </c>
    </row>
    <row r="176" spans="1:16" x14ac:dyDescent="0.25">
      <c r="A176" s="2" t="s">
        <v>181</v>
      </c>
      <c r="B176" s="2" t="s">
        <v>182</v>
      </c>
      <c r="C176" s="6" t="s">
        <v>130</v>
      </c>
      <c r="D176" s="2" t="s">
        <v>127</v>
      </c>
      <c r="E176" s="2"/>
      <c r="F176" s="35">
        <v>4.5</v>
      </c>
      <c r="G176" s="35">
        <v>-10.552565353159947</v>
      </c>
      <c r="H176" s="35">
        <v>-2.825036912587604</v>
      </c>
      <c r="I176" s="35">
        <v>-4.5340404931779537</v>
      </c>
      <c r="J176" s="35">
        <v>6.3488387903090689E-3</v>
      </c>
      <c r="K176" s="35">
        <v>-1.1337797490963892</v>
      </c>
      <c r="L176" s="35">
        <v>10.771451334002343</v>
      </c>
      <c r="M176" s="58" t="s">
        <v>24</v>
      </c>
      <c r="N176" s="7">
        <v>9.5</v>
      </c>
      <c r="O176" s="7" t="s">
        <v>178</v>
      </c>
      <c r="P176" s="7" t="s">
        <v>178</v>
      </c>
    </row>
    <row r="177" spans="1:16" x14ac:dyDescent="0.25">
      <c r="A177" s="2" t="s">
        <v>181</v>
      </c>
      <c r="B177" s="2" t="s">
        <v>182</v>
      </c>
      <c r="C177" s="6" t="s">
        <v>130</v>
      </c>
      <c r="D177" s="2" t="s">
        <v>127</v>
      </c>
      <c r="E177" s="2"/>
      <c r="F177" s="35">
        <v>4.6226557908820691</v>
      </c>
      <c r="G177" s="35">
        <v>-10.48555665476421</v>
      </c>
      <c r="H177" s="35">
        <v>-2.5816264955821375</v>
      </c>
      <c r="I177" s="35">
        <v>-4.4825250610074843</v>
      </c>
      <c r="J177" s="35">
        <v>6.3488387903090689E-3</v>
      </c>
      <c r="K177" s="35">
        <v>-0.58081275955207123</v>
      </c>
      <c r="L177" s="35">
        <v>11.103030622183445</v>
      </c>
      <c r="M177" s="58" t="s">
        <v>24</v>
      </c>
      <c r="N177" s="7">
        <v>9.5</v>
      </c>
      <c r="O177" s="7" t="s">
        <v>178</v>
      </c>
      <c r="P177" s="7" t="s">
        <v>178</v>
      </c>
    </row>
    <row r="178" spans="1:16" x14ac:dyDescent="0.25">
      <c r="A178" s="2" t="s">
        <v>181</v>
      </c>
      <c r="B178" s="2" t="s">
        <v>182</v>
      </c>
      <c r="C178" s="6" t="s">
        <v>130</v>
      </c>
      <c r="D178" s="2" t="s">
        <v>127</v>
      </c>
      <c r="E178" s="2"/>
      <c r="F178" s="35">
        <v>9.2453115817641383</v>
      </c>
      <c r="G178" s="35">
        <v>-7.9601304563684732</v>
      </c>
      <c r="H178" s="35">
        <v>6.5920339214233277</v>
      </c>
      <c r="I178" s="35">
        <v>-2.5410096288370161</v>
      </c>
      <c r="J178" s="35">
        <v>6.3488387903090689E-3</v>
      </c>
      <c r="K178" s="35">
        <v>15.652878893683315</v>
      </c>
      <c r="L178" s="35">
        <v>1.8336640667528308</v>
      </c>
      <c r="M178" s="58" t="s">
        <v>23</v>
      </c>
      <c r="N178" s="7">
        <v>9.5</v>
      </c>
      <c r="O178" s="7" t="s">
        <v>178</v>
      </c>
      <c r="P178" s="7" t="s">
        <v>178</v>
      </c>
    </row>
    <row r="179" spans="1:16" x14ac:dyDescent="0.25">
      <c r="A179" s="2" t="s">
        <v>183</v>
      </c>
      <c r="B179" s="2" t="s">
        <v>184</v>
      </c>
      <c r="C179" s="6" t="s">
        <v>131</v>
      </c>
      <c r="D179" s="2" t="s">
        <v>105</v>
      </c>
      <c r="E179" s="2"/>
      <c r="F179" s="35">
        <v>0</v>
      </c>
      <c r="G179" s="35">
        <v>-31.767278405518859</v>
      </c>
      <c r="H179" s="35">
        <v>5.5876418090503831E-2</v>
      </c>
      <c r="I179" s="35">
        <v>0.17450879530640831</v>
      </c>
      <c r="J179" s="35">
        <v>5.7869795976112463E-3</v>
      </c>
      <c r="K179" s="35">
        <v>0.56633193717801578</v>
      </c>
      <c r="L179" s="35">
        <v>-0.30060984049459621</v>
      </c>
      <c r="M179" s="58" t="s">
        <v>22</v>
      </c>
      <c r="N179" s="7">
        <v>10.416666666666666</v>
      </c>
      <c r="O179" s="7" t="s">
        <v>178</v>
      </c>
      <c r="P179" s="7" t="s">
        <v>178</v>
      </c>
    </row>
    <row r="180" spans="1:16" x14ac:dyDescent="0.25">
      <c r="A180" s="2" t="s">
        <v>183</v>
      </c>
      <c r="B180" s="2" t="s">
        <v>184</v>
      </c>
      <c r="C180" s="6" t="s">
        <v>131</v>
      </c>
      <c r="D180" s="2" t="s">
        <v>105</v>
      </c>
      <c r="E180" s="2"/>
      <c r="F180" s="35">
        <v>4.5</v>
      </c>
      <c r="G180" s="35">
        <v>-29.308860905518856</v>
      </c>
      <c r="H180" s="35">
        <v>5.5876418090503831E-2</v>
      </c>
      <c r="I180" s="35">
        <v>0.17450879530640831</v>
      </c>
      <c r="J180" s="35">
        <v>5.7869795976112463E-3</v>
      </c>
      <c r="K180" s="35">
        <v>-0.21895764170082152</v>
      </c>
      <c r="L180" s="35">
        <v>-0.55205372190186341</v>
      </c>
      <c r="M180" s="58" t="s">
        <v>24</v>
      </c>
      <c r="N180" s="7">
        <v>10.416666666666666</v>
      </c>
      <c r="O180" s="7" t="s">
        <v>178</v>
      </c>
      <c r="P180" s="7" t="s">
        <v>178</v>
      </c>
    </row>
    <row r="181" spans="1:16" x14ac:dyDescent="0.25">
      <c r="A181" s="2" t="s">
        <v>183</v>
      </c>
      <c r="B181" s="2" t="s">
        <v>184</v>
      </c>
      <c r="C181" s="6" t="s">
        <v>131</v>
      </c>
      <c r="D181" s="2" t="s">
        <v>105</v>
      </c>
      <c r="E181" s="2"/>
      <c r="F181" s="35">
        <v>4.5</v>
      </c>
      <c r="G181" s="35">
        <v>-28.522725407347732</v>
      </c>
      <c r="H181" s="35">
        <v>5.5943185074240009E-2</v>
      </c>
      <c r="I181" s="35">
        <v>0.18332159691637187</v>
      </c>
      <c r="J181" s="35">
        <v>-4.4219076514247163E-3</v>
      </c>
      <c r="K181" s="35">
        <v>-0.21895755020445068</v>
      </c>
      <c r="L181" s="35">
        <v>0.43061673045020699</v>
      </c>
      <c r="M181" s="58" t="s">
        <v>24</v>
      </c>
      <c r="N181" s="7">
        <v>10.416666666666666</v>
      </c>
      <c r="O181" s="7" t="s">
        <v>178</v>
      </c>
      <c r="P181" s="7" t="s">
        <v>178</v>
      </c>
    </row>
    <row r="182" spans="1:16" x14ac:dyDescent="0.25">
      <c r="A182" s="2" t="s">
        <v>183</v>
      </c>
      <c r="B182" s="2" t="s">
        <v>184</v>
      </c>
      <c r="C182" s="6" t="s">
        <v>131</v>
      </c>
      <c r="D182" s="2" t="s">
        <v>105</v>
      </c>
      <c r="E182" s="2"/>
      <c r="F182" s="35">
        <v>5.0809891242154022</v>
      </c>
      <c r="G182" s="35">
        <v>-28.205322333951994</v>
      </c>
      <c r="H182" s="35">
        <v>5.5943185074240009E-2</v>
      </c>
      <c r="I182" s="35">
        <v>0.18332159691637187</v>
      </c>
      <c r="J182" s="35">
        <v>-4.4219076514247163E-3</v>
      </c>
      <c r="K182" s="35">
        <v>-0.32546540424666248</v>
      </c>
      <c r="L182" s="35">
        <v>0.39811434834810416</v>
      </c>
      <c r="M182" s="58" t="s">
        <v>24</v>
      </c>
      <c r="N182" s="7">
        <v>10.416666666666666</v>
      </c>
      <c r="O182" s="7" t="s">
        <v>178</v>
      </c>
      <c r="P182" s="7" t="s">
        <v>178</v>
      </c>
    </row>
    <row r="183" spans="1:16" x14ac:dyDescent="0.25">
      <c r="A183" s="2" t="s">
        <v>183</v>
      </c>
      <c r="B183" s="2" t="s">
        <v>184</v>
      </c>
      <c r="C183" s="6" t="s">
        <v>131</v>
      </c>
      <c r="D183" s="2" t="s">
        <v>105</v>
      </c>
      <c r="E183" s="2"/>
      <c r="F183" s="35">
        <v>10.161978248430804</v>
      </c>
      <c r="G183" s="35">
        <v>-25.429501760556256</v>
      </c>
      <c r="H183" s="35">
        <v>5.5943185074240009E-2</v>
      </c>
      <c r="I183" s="35">
        <v>0.18332159691637187</v>
      </c>
      <c r="J183" s="35">
        <v>-4.4219076514247163E-3</v>
      </c>
      <c r="K183" s="35">
        <v>-1.2569204444125475</v>
      </c>
      <c r="L183" s="35">
        <v>0.11386763341192134</v>
      </c>
      <c r="M183" s="58" t="s">
        <v>23</v>
      </c>
      <c r="N183" s="7">
        <v>10.416666666666666</v>
      </c>
      <c r="O183" s="7" t="s">
        <v>178</v>
      </c>
      <c r="P183" s="7" t="s">
        <v>178</v>
      </c>
    </row>
    <row r="184" spans="1:16" x14ac:dyDescent="0.25">
      <c r="A184" s="2" t="s">
        <v>183</v>
      </c>
      <c r="B184" s="2" t="s">
        <v>184</v>
      </c>
      <c r="C184" s="6" t="s">
        <v>131</v>
      </c>
      <c r="D184" s="2" t="s">
        <v>15</v>
      </c>
      <c r="E184" s="2"/>
      <c r="F184" s="35">
        <v>0</v>
      </c>
      <c r="G184" s="35">
        <v>70.037638168236057</v>
      </c>
      <c r="H184" s="35">
        <v>23.264754159924443</v>
      </c>
      <c r="I184" s="35">
        <v>-0.64045180125670853</v>
      </c>
      <c r="J184" s="35">
        <v>6.5450779814750174E-3</v>
      </c>
      <c r="K184" s="35">
        <v>-2.1972645586031239</v>
      </c>
      <c r="L184" s="35">
        <v>56.888702579084956</v>
      </c>
      <c r="M184" s="58" t="s">
        <v>22</v>
      </c>
      <c r="N184" s="7">
        <v>10.416666666666666</v>
      </c>
      <c r="O184" s="7" t="s">
        <v>178</v>
      </c>
      <c r="P184" s="7" t="s">
        <v>178</v>
      </c>
    </row>
    <row r="185" spans="1:16" x14ac:dyDescent="0.25">
      <c r="A185" s="2" t="s">
        <v>183</v>
      </c>
      <c r="B185" s="2" t="s">
        <v>184</v>
      </c>
      <c r="C185" s="6" t="s">
        <v>131</v>
      </c>
      <c r="D185" s="2" t="s">
        <v>15</v>
      </c>
      <c r="E185" s="2"/>
      <c r="F185" s="35">
        <v>4.5</v>
      </c>
      <c r="G185" s="35">
        <v>72.496055668236053</v>
      </c>
      <c r="H185" s="35">
        <v>7.9557541599244406</v>
      </c>
      <c r="I185" s="35">
        <v>-0.64045180125670853</v>
      </c>
      <c r="J185" s="35">
        <v>6.5450779814750174E-3</v>
      </c>
      <c r="K185" s="35">
        <v>0.68476854705206525</v>
      </c>
      <c r="L185" s="35">
        <v>-13.357441140575029</v>
      </c>
      <c r="M185" s="58" t="s">
        <v>24</v>
      </c>
      <c r="N185" s="7">
        <v>10.416666666666666</v>
      </c>
      <c r="O185" s="7" t="s">
        <v>178</v>
      </c>
      <c r="P185" s="7" t="s">
        <v>178</v>
      </c>
    </row>
    <row r="186" spans="1:16" x14ac:dyDescent="0.25">
      <c r="A186" s="2" t="s">
        <v>183</v>
      </c>
      <c r="B186" s="2" t="s">
        <v>184</v>
      </c>
      <c r="C186" s="6" t="s">
        <v>131</v>
      </c>
      <c r="D186" s="2" t="s">
        <v>15</v>
      </c>
      <c r="E186" s="2"/>
      <c r="F186" s="35">
        <v>4.5</v>
      </c>
      <c r="G186" s="35">
        <v>73.28219209395769</v>
      </c>
      <c r="H186" s="35">
        <v>7.95608304786575</v>
      </c>
      <c r="I186" s="35">
        <v>-0.62866888141878241</v>
      </c>
      <c r="J186" s="35">
        <v>-5.9852853488791581E-3</v>
      </c>
      <c r="K186" s="35">
        <v>0.68476567024499801</v>
      </c>
      <c r="L186" s="35">
        <v>-12.374705700502773</v>
      </c>
      <c r="M186" s="58" t="s">
        <v>24</v>
      </c>
      <c r="N186" s="7">
        <v>10.416666666666666</v>
      </c>
      <c r="O186" s="7" t="s">
        <v>178</v>
      </c>
      <c r="P186" s="7" t="s">
        <v>178</v>
      </c>
    </row>
    <row r="187" spans="1:16" x14ac:dyDescent="0.25">
      <c r="A187" s="2" t="s">
        <v>183</v>
      </c>
      <c r="B187" s="2" t="s">
        <v>184</v>
      </c>
      <c r="C187" s="6" t="s">
        <v>131</v>
      </c>
      <c r="D187" s="2" t="s">
        <v>15</v>
      </c>
      <c r="E187" s="2"/>
      <c r="F187" s="35">
        <v>5.0809891242154022</v>
      </c>
      <c r="G187" s="35">
        <v>73.599595167353428</v>
      </c>
      <c r="H187" s="35">
        <v>5.9795580472849528</v>
      </c>
      <c r="I187" s="35">
        <v>-0.62866888141878241</v>
      </c>
      <c r="J187" s="35">
        <v>-5.9852853488791581E-3</v>
      </c>
      <c r="K187" s="35">
        <v>1.0500154530819725</v>
      </c>
      <c r="L187" s="35">
        <v>-16.42293365812866</v>
      </c>
      <c r="M187" s="58" t="s">
        <v>24</v>
      </c>
      <c r="N187" s="7">
        <v>10.416666666666666</v>
      </c>
      <c r="O187" s="7" t="s">
        <v>178</v>
      </c>
      <c r="P187" s="7" t="s">
        <v>178</v>
      </c>
    </row>
    <row r="188" spans="1:16" x14ac:dyDescent="0.25">
      <c r="A188" s="2" t="s">
        <v>183</v>
      </c>
      <c r="B188" s="2" t="s">
        <v>184</v>
      </c>
      <c r="C188" s="6" t="s">
        <v>131</v>
      </c>
      <c r="D188" s="2" t="s">
        <v>15</v>
      </c>
      <c r="E188" s="2"/>
      <c r="F188" s="35">
        <v>10.161978248430804</v>
      </c>
      <c r="G188" s="35">
        <v>76.375415740749176</v>
      </c>
      <c r="H188" s="35">
        <v>-11.305966953295849</v>
      </c>
      <c r="I188" s="35">
        <v>-0.62866888141878241</v>
      </c>
      <c r="J188" s="35">
        <v>-5.9852853488791581E-3</v>
      </c>
      <c r="K188" s="35">
        <v>4.2442752023034682</v>
      </c>
      <c r="L188" s="35">
        <v>-2.8912207968459573</v>
      </c>
      <c r="M188" s="58" t="s">
        <v>23</v>
      </c>
      <c r="N188" s="7">
        <v>10.416666666666666</v>
      </c>
      <c r="O188" s="7" t="s">
        <v>178</v>
      </c>
      <c r="P188" s="7" t="s">
        <v>178</v>
      </c>
    </row>
    <row r="189" spans="1:16" x14ac:dyDescent="0.25">
      <c r="A189" s="2" t="s">
        <v>183</v>
      </c>
      <c r="B189" s="2" t="s">
        <v>184</v>
      </c>
      <c r="C189" s="6" t="s">
        <v>131</v>
      </c>
      <c r="D189" s="2" t="s">
        <v>16</v>
      </c>
      <c r="E189" s="2"/>
      <c r="F189" s="35">
        <v>0</v>
      </c>
      <c r="G189" s="35">
        <v>48.443049017989416</v>
      </c>
      <c r="H189" s="35">
        <v>40.855375433502246</v>
      </c>
      <c r="I189" s="35">
        <v>-0.52138960002054879</v>
      </c>
      <c r="J189" s="35">
        <v>1.4329458384674876E-3</v>
      </c>
      <c r="K189" s="35">
        <v>-1.7676187410760387</v>
      </c>
      <c r="L189" s="35">
        <v>96.571565503622153</v>
      </c>
      <c r="M189" s="58" t="s">
        <v>22</v>
      </c>
      <c r="N189" s="7">
        <v>10.416666666666666</v>
      </c>
      <c r="O189" s="7" t="s">
        <v>178</v>
      </c>
      <c r="P189" s="7" t="s">
        <v>178</v>
      </c>
    </row>
    <row r="190" spans="1:16" x14ac:dyDescent="0.25">
      <c r="A190" s="2" t="s">
        <v>183</v>
      </c>
      <c r="B190" s="2" t="s">
        <v>184</v>
      </c>
      <c r="C190" s="6" t="s">
        <v>131</v>
      </c>
      <c r="D190" s="2" t="s">
        <v>16</v>
      </c>
      <c r="E190" s="2"/>
      <c r="F190" s="35">
        <v>4.5</v>
      </c>
      <c r="G190" s="35">
        <v>50.901466517989419</v>
      </c>
      <c r="H190" s="35">
        <v>13.639375433502249</v>
      </c>
      <c r="I190" s="35">
        <v>-0.52138960002054879</v>
      </c>
      <c r="J190" s="35">
        <v>1.4329458384674876E-3</v>
      </c>
      <c r="K190" s="35">
        <v>0.57863445901643118</v>
      </c>
      <c r="L190" s="35">
        <v>-26.04162394713795</v>
      </c>
      <c r="M190" s="58" t="s">
        <v>24</v>
      </c>
      <c r="N190" s="7">
        <v>10.416666666666666</v>
      </c>
      <c r="O190" s="7" t="s">
        <v>178</v>
      </c>
      <c r="P190" s="7" t="s">
        <v>178</v>
      </c>
    </row>
    <row r="191" spans="1:16" x14ac:dyDescent="0.25">
      <c r="A191" s="2" t="s">
        <v>183</v>
      </c>
      <c r="B191" s="2" t="s">
        <v>184</v>
      </c>
      <c r="C191" s="6" t="s">
        <v>131</v>
      </c>
      <c r="D191" s="2" t="s">
        <v>16</v>
      </c>
      <c r="E191" s="2"/>
      <c r="F191" s="35">
        <v>4.5</v>
      </c>
      <c r="G191" s="35">
        <v>51.687603117340309</v>
      </c>
      <c r="H191" s="35">
        <v>13.639967297818758</v>
      </c>
      <c r="I191" s="35">
        <v>-0.51501897150438092</v>
      </c>
      <c r="J191" s="35">
        <v>-3.4388857534059175E-3</v>
      </c>
      <c r="K191" s="35">
        <v>0.57863310958517178</v>
      </c>
      <c r="L191" s="35">
        <v>-25.058835023773664</v>
      </c>
      <c r="M191" s="58" t="s">
        <v>24</v>
      </c>
      <c r="N191" s="7">
        <v>10.416666666666666</v>
      </c>
      <c r="O191" s="7" t="s">
        <v>178</v>
      </c>
      <c r="P191" s="7" t="s">
        <v>178</v>
      </c>
    </row>
    <row r="192" spans="1:16" x14ac:dyDescent="0.25">
      <c r="A192" s="2" t="s">
        <v>183</v>
      </c>
      <c r="B192" s="2" t="s">
        <v>184</v>
      </c>
      <c r="C192" s="6" t="s">
        <v>131</v>
      </c>
      <c r="D192" s="2" t="s">
        <v>16</v>
      </c>
      <c r="E192" s="2"/>
      <c r="F192" s="35">
        <v>5.0809891242154022</v>
      </c>
      <c r="G192" s="35">
        <v>52.005006190736047</v>
      </c>
      <c r="H192" s="35">
        <v>10.126145074564008</v>
      </c>
      <c r="I192" s="35">
        <v>-0.51501897150438092</v>
      </c>
      <c r="J192" s="35">
        <v>-3.4388857534059175E-3</v>
      </c>
      <c r="K192" s="35">
        <v>0.877853530793819</v>
      </c>
      <c r="L192" s="35">
        <v>-31.962761430391414</v>
      </c>
      <c r="M192" s="58" t="s">
        <v>24</v>
      </c>
      <c r="N192" s="7">
        <v>10.416666666666666</v>
      </c>
      <c r="O192" s="7" t="s">
        <v>178</v>
      </c>
      <c r="P192" s="7" t="s">
        <v>178</v>
      </c>
    </row>
    <row r="193" spans="1:16" x14ac:dyDescent="0.25">
      <c r="A193" s="2" t="s">
        <v>183</v>
      </c>
      <c r="B193" s="2" t="s">
        <v>184</v>
      </c>
      <c r="C193" s="6" t="s">
        <v>131</v>
      </c>
      <c r="D193" s="2" t="s">
        <v>16</v>
      </c>
      <c r="E193" s="2"/>
      <c r="F193" s="35">
        <v>10.161978248430804</v>
      </c>
      <c r="G193" s="35">
        <v>54.780826764131781</v>
      </c>
      <c r="H193" s="35">
        <v>-20.603677148690743</v>
      </c>
      <c r="I193" s="35">
        <v>-0.51501897150438092</v>
      </c>
      <c r="J193" s="35">
        <v>-3.4388857534059175E-3</v>
      </c>
      <c r="K193" s="35">
        <v>3.4946593237721801</v>
      </c>
      <c r="L193" s="35">
        <v>-5.344648171763426</v>
      </c>
      <c r="M193" s="58" t="s">
        <v>23</v>
      </c>
      <c r="N193" s="7">
        <v>10.416666666666666</v>
      </c>
      <c r="O193" s="7" t="s">
        <v>178</v>
      </c>
      <c r="P193" s="7" t="s">
        <v>178</v>
      </c>
    </row>
    <row r="194" spans="1:16" x14ac:dyDescent="0.25">
      <c r="A194" s="2" t="s">
        <v>183</v>
      </c>
      <c r="B194" s="2" t="s">
        <v>184</v>
      </c>
      <c r="C194" s="6" t="s">
        <v>131</v>
      </c>
      <c r="D194" s="2" t="s">
        <v>106</v>
      </c>
      <c r="E194" s="2"/>
      <c r="F194" s="35">
        <v>0</v>
      </c>
      <c r="G194" s="35">
        <v>26.334590856756829</v>
      </c>
      <c r="H194" s="35">
        <v>-23.009580250589043</v>
      </c>
      <c r="I194" s="35">
        <v>-0.14477063515763855</v>
      </c>
      <c r="J194" s="35">
        <v>9.2949952704852404E-3</v>
      </c>
      <c r="K194" s="35">
        <v>-0.54341346911839994</v>
      </c>
      <c r="L194" s="35">
        <v>-55.997807936907947</v>
      </c>
      <c r="M194" s="58" t="s">
        <v>22</v>
      </c>
      <c r="N194" s="7">
        <v>10.416666666666666</v>
      </c>
      <c r="O194" s="7" t="s">
        <v>178</v>
      </c>
      <c r="P194" s="7" t="s">
        <v>178</v>
      </c>
    </row>
    <row r="195" spans="1:16" x14ac:dyDescent="0.25">
      <c r="A195" s="2" t="s">
        <v>183</v>
      </c>
      <c r="B195" s="2" t="s">
        <v>184</v>
      </c>
      <c r="C195" s="6" t="s">
        <v>131</v>
      </c>
      <c r="D195" s="2" t="s">
        <v>106</v>
      </c>
      <c r="E195" s="2"/>
      <c r="F195" s="35">
        <v>4.5</v>
      </c>
      <c r="G195" s="35">
        <v>28.793008356756829</v>
      </c>
      <c r="H195" s="35">
        <v>-7.7005802505890371</v>
      </c>
      <c r="I195" s="35">
        <v>-0.14477063515763855</v>
      </c>
      <c r="J195" s="35">
        <v>9.2949952704852404E-3</v>
      </c>
      <c r="K195" s="35">
        <v>0.10805438909097333</v>
      </c>
      <c r="L195" s="35">
        <v>13.100053190742717</v>
      </c>
      <c r="M195" s="58" t="s">
        <v>24</v>
      </c>
      <c r="N195" s="7">
        <v>10.416666666666666</v>
      </c>
      <c r="O195" s="7" t="s">
        <v>178</v>
      </c>
      <c r="P195" s="7" t="s">
        <v>178</v>
      </c>
    </row>
    <row r="196" spans="1:16" x14ac:dyDescent="0.25">
      <c r="A196" s="2" t="s">
        <v>183</v>
      </c>
      <c r="B196" s="2" t="s">
        <v>184</v>
      </c>
      <c r="C196" s="6" t="s">
        <v>131</v>
      </c>
      <c r="D196" s="2" t="s">
        <v>106</v>
      </c>
      <c r="E196" s="2"/>
      <c r="F196" s="35">
        <v>4.5</v>
      </c>
      <c r="G196" s="35">
        <v>29.579144020535779</v>
      </c>
      <c r="H196" s="35">
        <v>-7.7007883400182786</v>
      </c>
      <c r="I196" s="35">
        <v>-0.13281978472582157</v>
      </c>
      <c r="J196" s="35">
        <v>-5.9324799099397738E-3</v>
      </c>
      <c r="K196" s="35">
        <v>0.10805180426460817</v>
      </c>
      <c r="L196" s="35">
        <v>14.082658890488045</v>
      </c>
      <c r="M196" s="58" t="s">
        <v>24</v>
      </c>
      <c r="N196" s="7">
        <v>10.416666666666666</v>
      </c>
      <c r="O196" s="7" t="s">
        <v>178</v>
      </c>
      <c r="P196" s="7" t="s">
        <v>178</v>
      </c>
    </row>
    <row r="197" spans="1:16" x14ac:dyDescent="0.25">
      <c r="A197" s="2" t="s">
        <v>183</v>
      </c>
      <c r="B197" s="2" t="s">
        <v>184</v>
      </c>
      <c r="C197" s="6" t="s">
        <v>131</v>
      </c>
      <c r="D197" s="2" t="s">
        <v>106</v>
      </c>
      <c r="E197" s="2"/>
      <c r="F197" s="35">
        <v>5.0809891242154022</v>
      </c>
      <c r="G197" s="35">
        <v>29.896547093931513</v>
      </c>
      <c r="H197" s="35">
        <v>-5.7242633394374804</v>
      </c>
      <c r="I197" s="35">
        <v>-0.13281978472582157</v>
      </c>
      <c r="J197" s="35">
        <v>-5.9324799099397738E-3</v>
      </c>
      <c r="K197" s="35">
        <v>0.1852186546709414</v>
      </c>
      <c r="L197" s="35">
        <v>17.982563399384798</v>
      </c>
      <c r="M197" s="58" t="s">
        <v>24</v>
      </c>
      <c r="N197" s="7">
        <v>10.416666666666666</v>
      </c>
      <c r="O197" s="7" t="s">
        <v>178</v>
      </c>
      <c r="P197" s="7" t="s">
        <v>178</v>
      </c>
    </row>
    <row r="198" spans="1:16" x14ac:dyDescent="0.25">
      <c r="A198" s="2" t="s">
        <v>183</v>
      </c>
      <c r="B198" s="2" t="s">
        <v>184</v>
      </c>
      <c r="C198" s="6" t="s">
        <v>131</v>
      </c>
      <c r="D198" s="2" t="s">
        <v>106</v>
      </c>
      <c r="E198" s="2"/>
      <c r="F198" s="35">
        <v>10.161978248430804</v>
      </c>
      <c r="G198" s="35">
        <v>32.672367667327251</v>
      </c>
      <c r="H198" s="35">
        <v>11.56126166114332</v>
      </c>
      <c r="I198" s="35">
        <v>-0.13281978472582157</v>
      </c>
      <c r="J198" s="35">
        <v>-5.9324799099397738E-3</v>
      </c>
      <c r="K198" s="35">
        <v>0.86007453634347164</v>
      </c>
      <c r="L198" s="35">
        <v>3.1537009040593449</v>
      </c>
      <c r="M198" s="58" t="s">
        <v>23</v>
      </c>
      <c r="N198" s="7">
        <v>10.416666666666666</v>
      </c>
      <c r="O198" s="7" t="s">
        <v>178</v>
      </c>
      <c r="P198" s="7" t="s">
        <v>178</v>
      </c>
    </row>
    <row r="199" spans="1:16" x14ac:dyDescent="0.25">
      <c r="A199" s="2" t="s">
        <v>183</v>
      </c>
      <c r="B199" s="2" t="s">
        <v>184</v>
      </c>
      <c r="C199" s="6" t="s">
        <v>131</v>
      </c>
      <c r="D199" s="2" t="s">
        <v>107</v>
      </c>
      <c r="E199" s="2"/>
      <c r="F199" s="35">
        <v>0</v>
      </c>
      <c r="G199" s="35">
        <v>4.9688263036168925</v>
      </c>
      <c r="H199" s="35">
        <v>-5.4189910047009828</v>
      </c>
      <c r="I199" s="35">
        <v>-4.5920433710733129E-2</v>
      </c>
      <c r="J199" s="35">
        <v>3.9235965808819048E-3</v>
      </c>
      <c r="K199" s="35">
        <v>-0.1841056629075461</v>
      </c>
      <c r="L199" s="35">
        <v>-16.315323337354027</v>
      </c>
      <c r="M199" s="58" t="s">
        <v>22</v>
      </c>
      <c r="N199" s="7">
        <v>10.416666666666666</v>
      </c>
      <c r="O199" s="7" t="s">
        <v>178</v>
      </c>
      <c r="P199" s="7" t="s">
        <v>178</v>
      </c>
    </row>
    <row r="200" spans="1:16" x14ac:dyDescent="0.25">
      <c r="A200" s="2" t="s">
        <v>183</v>
      </c>
      <c r="B200" s="2" t="s">
        <v>184</v>
      </c>
      <c r="C200" s="6" t="s">
        <v>131</v>
      </c>
      <c r="D200" s="2" t="s">
        <v>107</v>
      </c>
      <c r="E200" s="2"/>
      <c r="F200" s="35">
        <v>4.5</v>
      </c>
      <c r="G200" s="35">
        <v>7.4272438036168955</v>
      </c>
      <c r="H200" s="35">
        <v>-2.0169910047009827</v>
      </c>
      <c r="I200" s="35">
        <v>-4.5920433710733129E-2</v>
      </c>
      <c r="J200" s="35">
        <v>3.9235965808819048E-3</v>
      </c>
      <c r="K200" s="35">
        <v>2.253628879075293E-2</v>
      </c>
      <c r="L200" s="35">
        <v>0.4156361838003948</v>
      </c>
      <c r="M200" s="58" t="s">
        <v>24</v>
      </c>
      <c r="N200" s="7">
        <v>10.416666666666666</v>
      </c>
      <c r="O200" s="7" t="s">
        <v>178</v>
      </c>
      <c r="P200" s="7" t="s">
        <v>178</v>
      </c>
    </row>
    <row r="201" spans="1:16" x14ac:dyDescent="0.25">
      <c r="A201" s="2" t="s">
        <v>183</v>
      </c>
      <c r="B201" s="2" t="s">
        <v>184</v>
      </c>
      <c r="C201" s="6" t="s">
        <v>131</v>
      </c>
      <c r="D201" s="2" t="s">
        <v>107</v>
      </c>
      <c r="E201" s="2"/>
      <c r="F201" s="35">
        <v>4.5</v>
      </c>
      <c r="G201" s="35">
        <v>8.2133796462072919</v>
      </c>
      <c r="H201" s="35">
        <v>-2.0169399981343035</v>
      </c>
      <c r="I201" s="35">
        <v>-3.9776809377573205E-2</v>
      </c>
      <c r="J201" s="35">
        <v>-3.1917967130790127E-3</v>
      </c>
      <c r="K201" s="35">
        <v>2.2535126504706141E-2</v>
      </c>
      <c r="L201" s="35">
        <v>1.398295406915627</v>
      </c>
      <c r="M201" s="58" t="s">
        <v>24</v>
      </c>
      <c r="N201" s="7">
        <v>10.416666666666666</v>
      </c>
      <c r="O201" s="7" t="s">
        <v>178</v>
      </c>
      <c r="P201" s="7" t="s">
        <v>178</v>
      </c>
    </row>
    <row r="202" spans="1:16" x14ac:dyDescent="0.25">
      <c r="A202" s="2" t="s">
        <v>183</v>
      </c>
      <c r="B202" s="2" t="s">
        <v>184</v>
      </c>
      <c r="C202" s="6" t="s">
        <v>131</v>
      </c>
      <c r="D202" s="2" t="s">
        <v>107</v>
      </c>
      <c r="E202" s="2"/>
      <c r="F202" s="35">
        <v>5.0809891242154022</v>
      </c>
      <c r="G202" s="35">
        <v>8.5307827196030299</v>
      </c>
      <c r="H202" s="35">
        <v>-1.5777122202274596</v>
      </c>
      <c r="I202" s="35">
        <v>-3.9776809377573205E-2</v>
      </c>
      <c r="J202" s="35">
        <v>-3.1917967130790127E-3</v>
      </c>
      <c r="K202" s="35">
        <v>4.5645020149065373E-2</v>
      </c>
      <c r="L202" s="35">
        <v>2.4425223290181028</v>
      </c>
      <c r="M202" s="58" t="s">
        <v>24</v>
      </c>
      <c r="N202" s="7">
        <v>10.416666666666666</v>
      </c>
      <c r="O202" s="7" t="s">
        <v>178</v>
      </c>
      <c r="P202" s="7" t="s">
        <v>178</v>
      </c>
    </row>
    <row r="203" spans="1:16" x14ac:dyDescent="0.25">
      <c r="A203" s="2" t="s">
        <v>183</v>
      </c>
      <c r="B203" s="2" t="s">
        <v>184</v>
      </c>
      <c r="C203" s="6" t="s">
        <v>131</v>
      </c>
      <c r="D203" s="2" t="s">
        <v>107</v>
      </c>
      <c r="E203" s="2"/>
      <c r="F203" s="35">
        <v>10.161978248430804</v>
      </c>
      <c r="G203" s="35">
        <v>11.306603292998767</v>
      </c>
      <c r="H203" s="35">
        <v>2.2635155576793839</v>
      </c>
      <c r="I203" s="35">
        <v>-3.9776809377573205E-2</v>
      </c>
      <c r="J203" s="35">
        <v>-3.1917967130790127E-3</v>
      </c>
      <c r="K203" s="35">
        <v>0.24775055599250401</v>
      </c>
      <c r="L203" s="35">
        <v>0.70024267954617581</v>
      </c>
      <c r="M203" s="58" t="s">
        <v>23</v>
      </c>
      <c r="N203" s="7">
        <v>10.416666666666666</v>
      </c>
      <c r="O203" s="7" t="s">
        <v>178</v>
      </c>
      <c r="P203" s="7" t="s">
        <v>178</v>
      </c>
    </row>
    <row r="204" spans="1:16" x14ac:dyDescent="0.25">
      <c r="A204" s="2" t="s">
        <v>183</v>
      </c>
      <c r="B204" s="2" t="s">
        <v>184</v>
      </c>
      <c r="C204" s="6" t="s">
        <v>131</v>
      </c>
      <c r="D204" s="2" t="s">
        <v>108</v>
      </c>
      <c r="E204" s="2"/>
      <c r="F204" s="35">
        <v>0</v>
      </c>
      <c r="G204" s="35">
        <v>29.277538003936325</v>
      </c>
      <c r="H204" s="35">
        <v>-43.939811867762828</v>
      </c>
      <c r="I204" s="35">
        <v>0.96171334570891398</v>
      </c>
      <c r="J204" s="35">
        <v>-2.0672592828865737E-2</v>
      </c>
      <c r="K204" s="35">
        <v>6.3259395181530893</v>
      </c>
      <c r="L204" s="35">
        <v>-99.711171136187474</v>
      </c>
      <c r="M204" s="58" t="s">
        <v>22</v>
      </c>
      <c r="N204" s="7">
        <v>10.416666666666666</v>
      </c>
      <c r="O204" s="7" t="s">
        <v>178</v>
      </c>
      <c r="P204" s="7" t="s">
        <v>178</v>
      </c>
    </row>
    <row r="205" spans="1:16" x14ac:dyDescent="0.25">
      <c r="A205" s="2" t="s">
        <v>183</v>
      </c>
      <c r="B205" s="2" t="s">
        <v>184</v>
      </c>
      <c r="C205" s="6" t="s">
        <v>131</v>
      </c>
      <c r="D205" s="2" t="s">
        <v>108</v>
      </c>
      <c r="E205" s="2"/>
      <c r="F205" s="35">
        <v>4.5</v>
      </c>
      <c r="G205" s="35">
        <v>31.735955503936328</v>
      </c>
      <c r="H205" s="35">
        <v>-14.172311867762827</v>
      </c>
      <c r="I205" s="35">
        <v>0.96171334570891398</v>
      </c>
      <c r="J205" s="35">
        <v>-2.0672592828865737E-2</v>
      </c>
      <c r="K205" s="35">
        <v>1.9982294624629773</v>
      </c>
      <c r="L205" s="35">
        <v>31.041107268745247</v>
      </c>
      <c r="M205" s="58" t="s">
        <v>24</v>
      </c>
      <c r="N205" s="7">
        <v>10.416666666666666</v>
      </c>
      <c r="O205" s="7" t="s">
        <v>178</v>
      </c>
      <c r="P205" s="7" t="s">
        <v>178</v>
      </c>
    </row>
    <row r="206" spans="1:16" x14ac:dyDescent="0.25">
      <c r="A206" s="2" t="s">
        <v>183</v>
      </c>
      <c r="B206" s="2" t="s">
        <v>184</v>
      </c>
      <c r="C206" s="6" t="s">
        <v>131</v>
      </c>
      <c r="D206" s="2" t="s">
        <v>108</v>
      </c>
      <c r="E206" s="2"/>
      <c r="F206" s="35">
        <v>4.5</v>
      </c>
      <c r="G206" s="35">
        <v>32.522096804690968</v>
      </c>
      <c r="H206" s="35">
        <v>-14.173115322499434</v>
      </c>
      <c r="I206" s="35">
        <v>0.92554274433948525</v>
      </c>
      <c r="J206" s="35">
        <v>1.8786729226388431E-2</v>
      </c>
      <c r="K206" s="35">
        <v>1.9982439155720026</v>
      </c>
      <c r="L206" s="35">
        <v>32.023663059503946</v>
      </c>
      <c r="M206" s="58" t="s">
        <v>24</v>
      </c>
      <c r="N206" s="7">
        <v>10.416666666666666</v>
      </c>
      <c r="O206" s="7" t="s">
        <v>178</v>
      </c>
      <c r="P206" s="7" t="s">
        <v>178</v>
      </c>
    </row>
    <row r="207" spans="1:16" x14ac:dyDescent="0.25">
      <c r="A207" s="2" t="s">
        <v>183</v>
      </c>
      <c r="B207" s="2" t="s">
        <v>184</v>
      </c>
      <c r="C207" s="6" t="s">
        <v>131</v>
      </c>
      <c r="D207" s="2" t="s">
        <v>108</v>
      </c>
      <c r="E207" s="2"/>
      <c r="F207" s="35">
        <v>5.0809891242154022</v>
      </c>
      <c r="G207" s="35">
        <v>32.839499878086706</v>
      </c>
      <c r="H207" s="35">
        <v>-10.329872265814553</v>
      </c>
      <c r="I207" s="35">
        <v>0.92554274433948525</v>
      </c>
      <c r="J207" s="35">
        <v>1.8786729226388431E-2</v>
      </c>
      <c r="K207" s="35">
        <v>1.4605136471142857</v>
      </c>
      <c r="L207" s="35">
        <v>39.141647709301651</v>
      </c>
      <c r="M207" s="58" t="s">
        <v>24</v>
      </c>
      <c r="N207" s="7">
        <v>10.416666666666666</v>
      </c>
      <c r="O207" s="7" t="s">
        <v>178</v>
      </c>
      <c r="P207" s="7" t="s">
        <v>178</v>
      </c>
    </row>
    <row r="208" spans="1:16" x14ac:dyDescent="0.25">
      <c r="A208" s="2" t="s">
        <v>183</v>
      </c>
      <c r="B208" s="2" t="s">
        <v>184</v>
      </c>
      <c r="C208" s="6" t="s">
        <v>131</v>
      </c>
      <c r="D208" s="2" t="s">
        <v>108</v>
      </c>
      <c r="E208" s="2"/>
      <c r="F208" s="35">
        <v>10.161978248430804</v>
      </c>
      <c r="G208" s="35">
        <v>35.61532045148244</v>
      </c>
      <c r="H208" s="35">
        <v>23.280870790870335</v>
      </c>
      <c r="I208" s="35">
        <v>0.92554274433948525</v>
      </c>
      <c r="J208" s="35">
        <v>1.8786729226388431E-2</v>
      </c>
      <c r="K208" s="35">
        <v>-3.2421589708711149</v>
      </c>
      <c r="L208" s="35">
        <v>6.2397063825325887</v>
      </c>
      <c r="M208" s="58" t="s">
        <v>23</v>
      </c>
      <c r="N208" s="7">
        <v>10.416666666666666</v>
      </c>
      <c r="O208" s="7" t="s">
        <v>178</v>
      </c>
      <c r="P208" s="7" t="s">
        <v>178</v>
      </c>
    </row>
    <row r="209" spans="1:16" x14ac:dyDescent="0.25">
      <c r="A209" s="2" t="s">
        <v>183</v>
      </c>
      <c r="B209" s="2" t="s">
        <v>184</v>
      </c>
      <c r="C209" s="6" t="s">
        <v>131</v>
      </c>
      <c r="D209" s="2" t="s">
        <v>109</v>
      </c>
      <c r="E209" s="2"/>
      <c r="F209" s="35">
        <v>0</v>
      </c>
      <c r="G209" s="35">
        <v>-29.369863166591234</v>
      </c>
      <c r="H209" s="35">
        <v>-26.388540023424184</v>
      </c>
      <c r="I209" s="35">
        <v>3.6243314780364817</v>
      </c>
      <c r="J209" s="35">
        <v>-1.3688557625873688E-2</v>
      </c>
      <c r="K209" s="35">
        <v>19.428804906056673</v>
      </c>
      <c r="L209" s="35">
        <v>-60.435558211110212</v>
      </c>
      <c r="M209" s="58" t="s">
        <v>22</v>
      </c>
      <c r="N209" s="7">
        <v>10.416666666666666</v>
      </c>
      <c r="O209" s="7" t="s">
        <v>178</v>
      </c>
      <c r="P209" s="7" t="s">
        <v>178</v>
      </c>
    </row>
    <row r="210" spans="1:16" x14ac:dyDescent="0.25">
      <c r="A210" s="2" t="s">
        <v>183</v>
      </c>
      <c r="B210" s="2" t="s">
        <v>184</v>
      </c>
      <c r="C210" s="6" t="s">
        <v>131</v>
      </c>
      <c r="D210" s="2" t="s">
        <v>109</v>
      </c>
      <c r="E210" s="2"/>
      <c r="F210" s="35">
        <v>4.5</v>
      </c>
      <c r="G210" s="35">
        <v>-26.911445666591231</v>
      </c>
      <c r="H210" s="35">
        <v>-8.5280400234241824</v>
      </c>
      <c r="I210" s="35">
        <v>3.6243314780364817</v>
      </c>
      <c r="J210" s="35">
        <v>-1.3688557625873688E-2</v>
      </c>
      <c r="K210" s="35">
        <v>3.1193132548925027</v>
      </c>
      <c r="L210" s="35">
        <v>18.126746894298602</v>
      </c>
      <c r="M210" s="58" t="s">
        <v>24</v>
      </c>
      <c r="N210" s="7">
        <v>10.416666666666666</v>
      </c>
      <c r="O210" s="7" t="s">
        <v>178</v>
      </c>
      <c r="P210" s="7" t="s">
        <v>178</v>
      </c>
    </row>
    <row r="211" spans="1:16" x14ac:dyDescent="0.25">
      <c r="A211" s="2" t="s">
        <v>183</v>
      </c>
      <c r="B211" s="2" t="s">
        <v>184</v>
      </c>
      <c r="C211" s="6" t="s">
        <v>131</v>
      </c>
      <c r="D211" s="2" t="s">
        <v>109</v>
      </c>
      <c r="E211" s="2"/>
      <c r="F211" s="35">
        <v>4.5</v>
      </c>
      <c r="G211" s="35">
        <v>-26.125299081532827</v>
      </c>
      <c r="H211" s="35">
        <v>-8.5283827286230007</v>
      </c>
      <c r="I211" s="35">
        <v>3.601350462203412</v>
      </c>
      <c r="J211" s="35">
        <v>1.2136086774928178E-2</v>
      </c>
      <c r="K211" s="35">
        <v>3.119357962151255</v>
      </c>
      <c r="L211" s="35">
        <v>19.109363525173322</v>
      </c>
      <c r="M211" s="58" t="s">
        <v>24</v>
      </c>
      <c r="N211" s="7">
        <v>10.416666666666666</v>
      </c>
      <c r="O211" s="7" t="s">
        <v>178</v>
      </c>
      <c r="P211" s="7" t="s">
        <v>178</v>
      </c>
    </row>
    <row r="212" spans="1:16" x14ac:dyDescent="0.25">
      <c r="A212" s="2" t="s">
        <v>183</v>
      </c>
      <c r="B212" s="2" t="s">
        <v>184</v>
      </c>
      <c r="C212" s="6" t="s">
        <v>131</v>
      </c>
      <c r="D212" s="2" t="s">
        <v>109</v>
      </c>
      <c r="E212" s="2"/>
      <c r="F212" s="35">
        <v>5.0809891242154022</v>
      </c>
      <c r="G212" s="35">
        <v>-25.807896008137085</v>
      </c>
      <c r="H212" s="35">
        <v>-6.2224368946120716</v>
      </c>
      <c r="I212" s="35">
        <v>3.601350462203412</v>
      </c>
      <c r="J212" s="35">
        <v>1.2136086774928178E-2</v>
      </c>
      <c r="K212" s="35">
        <v>1.0270125111229622</v>
      </c>
      <c r="L212" s="35">
        <v>23.394396412354673</v>
      </c>
      <c r="M212" s="58" t="s">
        <v>24</v>
      </c>
      <c r="N212" s="7">
        <v>10.416666666666666</v>
      </c>
      <c r="O212" s="7" t="s">
        <v>178</v>
      </c>
      <c r="P212" s="7" t="s">
        <v>178</v>
      </c>
    </row>
    <row r="213" spans="1:16" x14ac:dyDescent="0.25">
      <c r="A213" s="2" t="s">
        <v>183</v>
      </c>
      <c r="B213" s="2" t="s">
        <v>184</v>
      </c>
      <c r="C213" s="6" t="s">
        <v>131</v>
      </c>
      <c r="D213" s="2" t="s">
        <v>109</v>
      </c>
      <c r="E213" s="2"/>
      <c r="F213" s="35">
        <v>10.161978248430804</v>
      </c>
      <c r="G213" s="35">
        <v>-23.032075434741348</v>
      </c>
      <c r="H213" s="35">
        <v>13.944008939398858</v>
      </c>
      <c r="I213" s="35">
        <v>3.601350462203412</v>
      </c>
      <c r="J213" s="35">
        <v>1.2136086774928178E-2</v>
      </c>
      <c r="K213" s="35">
        <v>-17.271410019820685</v>
      </c>
      <c r="L213" s="35">
        <v>3.7777846216510058</v>
      </c>
      <c r="M213" s="58" t="s">
        <v>23</v>
      </c>
      <c r="N213" s="7">
        <v>10.416666666666666</v>
      </c>
      <c r="O213" s="7" t="s">
        <v>178</v>
      </c>
      <c r="P213" s="7" t="s">
        <v>178</v>
      </c>
    </row>
    <row r="214" spans="1:16" x14ac:dyDescent="0.25">
      <c r="A214" s="2" t="s">
        <v>183</v>
      </c>
      <c r="B214" s="2" t="s">
        <v>184</v>
      </c>
      <c r="C214" s="6" t="s">
        <v>131</v>
      </c>
      <c r="D214" s="2" t="s">
        <v>110</v>
      </c>
      <c r="E214" s="2"/>
      <c r="F214" s="35">
        <v>0</v>
      </c>
      <c r="G214" s="35">
        <v>26.280082477693441</v>
      </c>
      <c r="H214" s="35">
        <v>-43.914739206501366</v>
      </c>
      <c r="I214" s="35">
        <v>-1.7958938751099125</v>
      </c>
      <c r="J214" s="35">
        <v>8.871794175654469E-3</v>
      </c>
      <c r="K214" s="35">
        <v>-9.3393122409771525</v>
      </c>
      <c r="L214" s="35">
        <v>-99.447554869369853</v>
      </c>
      <c r="M214" s="58" t="s">
        <v>22</v>
      </c>
      <c r="N214" s="7">
        <v>10.416666666666666</v>
      </c>
      <c r="O214" s="7" t="s">
        <v>178</v>
      </c>
      <c r="P214" s="7" t="s">
        <v>178</v>
      </c>
    </row>
    <row r="215" spans="1:16" x14ac:dyDescent="0.25">
      <c r="A215" s="2" t="s">
        <v>183</v>
      </c>
      <c r="B215" s="2" t="s">
        <v>184</v>
      </c>
      <c r="C215" s="6" t="s">
        <v>131</v>
      </c>
      <c r="D215" s="2" t="s">
        <v>110</v>
      </c>
      <c r="E215" s="2"/>
      <c r="F215" s="35">
        <v>4.5</v>
      </c>
      <c r="G215" s="35">
        <v>28.738499977693444</v>
      </c>
      <c r="H215" s="35">
        <v>-14.147239206501364</v>
      </c>
      <c r="I215" s="35">
        <v>-1.7958938751099125</v>
      </c>
      <c r="J215" s="35">
        <v>8.871794175654469E-3</v>
      </c>
      <c r="K215" s="35">
        <v>-1.2577898029825485</v>
      </c>
      <c r="L215" s="35">
        <v>31.191896559886292</v>
      </c>
      <c r="M215" s="58" t="s">
        <v>24</v>
      </c>
      <c r="N215" s="7">
        <v>10.416666666666666</v>
      </c>
      <c r="O215" s="7" t="s">
        <v>178</v>
      </c>
      <c r="P215" s="7" t="s">
        <v>178</v>
      </c>
    </row>
    <row r="216" spans="1:16" x14ac:dyDescent="0.25">
      <c r="A216" s="2" t="s">
        <v>183</v>
      </c>
      <c r="B216" s="2" t="s">
        <v>184</v>
      </c>
      <c r="C216" s="6" t="s">
        <v>131</v>
      </c>
      <c r="D216" s="2" t="s">
        <v>110</v>
      </c>
      <c r="E216" s="2"/>
      <c r="F216" s="35">
        <v>4.5</v>
      </c>
      <c r="G216" s="35">
        <v>29.524630815173868</v>
      </c>
      <c r="H216" s="35">
        <v>-14.147971749037721</v>
      </c>
      <c r="I216" s="35">
        <v>-1.7883889147808796</v>
      </c>
      <c r="J216" s="35">
        <v>-3.4271640816746201E-3</v>
      </c>
      <c r="K216" s="35">
        <v>-1.2578144112635645</v>
      </c>
      <c r="L216" s="35">
        <v>32.174427068236895</v>
      </c>
      <c r="M216" s="58" t="s">
        <v>24</v>
      </c>
      <c r="N216" s="7">
        <v>10.416666666666666</v>
      </c>
      <c r="O216" s="7" t="s">
        <v>178</v>
      </c>
      <c r="P216" s="7" t="s">
        <v>178</v>
      </c>
    </row>
    <row r="217" spans="1:16" x14ac:dyDescent="0.25">
      <c r="A217" s="2" t="s">
        <v>183</v>
      </c>
      <c r="B217" s="2" t="s">
        <v>184</v>
      </c>
      <c r="C217" s="6" t="s">
        <v>131</v>
      </c>
      <c r="D217" s="2" t="s">
        <v>110</v>
      </c>
      <c r="E217" s="2"/>
      <c r="F217" s="35">
        <v>5.0809891242154022</v>
      </c>
      <c r="G217" s="35">
        <v>29.842033888569606</v>
      </c>
      <c r="H217" s="35">
        <v>-10.304728692352839</v>
      </c>
      <c r="I217" s="35">
        <v>-1.7883889147808796</v>
      </c>
      <c r="J217" s="35">
        <v>-3.4271640816746201E-3</v>
      </c>
      <c r="K217" s="35">
        <v>-0.21877990190848848</v>
      </c>
      <c r="L217" s="35">
        <v>39.277803575309434</v>
      </c>
      <c r="M217" s="58" t="s">
        <v>24</v>
      </c>
      <c r="N217" s="7">
        <v>10.416666666666666</v>
      </c>
      <c r="O217" s="7" t="s">
        <v>178</v>
      </c>
      <c r="P217" s="7" t="s">
        <v>178</v>
      </c>
    </row>
    <row r="218" spans="1:16" x14ac:dyDescent="0.25">
      <c r="A218" s="2" t="s">
        <v>183</v>
      </c>
      <c r="B218" s="2" t="s">
        <v>184</v>
      </c>
      <c r="C218" s="6" t="s">
        <v>131</v>
      </c>
      <c r="D218" s="2" t="s">
        <v>110</v>
      </c>
      <c r="E218" s="2"/>
      <c r="F218" s="35">
        <v>10.161978248430804</v>
      </c>
      <c r="G218" s="35">
        <v>32.617854461965344</v>
      </c>
      <c r="H218" s="35">
        <v>23.306014364332047</v>
      </c>
      <c r="I218" s="35">
        <v>-1.7883889147808796</v>
      </c>
      <c r="J218" s="35">
        <v>-3.4271640816746201E-3</v>
      </c>
      <c r="K218" s="35">
        <v>8.868004723960544</v>
      </c>
      <c r="L218" s="35">
        <v>6.248108025237503</v>
      </c>
      <c r="M218" s="58" t="s">
        <v>23</v>
      </c>
      <c r="N218" s="7">
        <v>10.416666666666666</v>
      </c>
      <c r="O218" s="7" t="s">
        <v>178</v>
      </c>
      <c r="P218" s="7" t="s">
        <v>178</v>
      </c>
    </row>
    <row r="219" spans="1:16" x14ac:dyDescent="0.25">
      <c r="A219" s="2" t="s">
        <v>183</v>
      </c>
      <c r="B219" s="2" t="s">
        <v>184</v>
      </c>
      <c r="C219" s="6" t="s">
        <v>131</v>
      </c>
      <c r="D219" s="2" t="s">
        <v>111</v>
      </c>
      <c r="E219" s="2"/>
      <c r="F219" s="35">
        <v>0</v>
      </c>
      <c r="G219" s="35">
        <v>0.57139979629409199</v>
      </c>
      <c r="H219" s="35">
        <v>-26.359855514078443</v>
      </c>
      <c r="I219" s="35">
        <v>-3.7202727328544829</v>
      </c>
      <c r="J219" s="35">
        <v>5.234488589350445E-3</v>
      </c>
      <c r="K219" s="35">
        <v>-19.923034357912716</v>
      </c>
      <c r="L219" s="35">
        <v>-60.136629560063788</v>
      </c>
      <c r="M219" s="58" t="s">
        <v>22</v>
      </c>
      <c r="N219" s="7">
        <v>10.416666666666666</v>
      </c>
      <c r="O219" s="7" t="s">
        <v>178</v>
      </c>
      <c r="P219" s="7" t="s">
        <v>178</v>
      </c>
    </row>
    <row r="220" spans="1:16" x14ac:dyDescent="0.25">
      <c r="A220" s="2" t="s">
        <v>183</v>
      </c>
      <c r="B220" s="2" t="s">
        <v>184</v>
      </c>
      <c r="C220" s="6" t="s">
        <v>131</v>
      </c>
      <c r="D220" s="2" t="s">
        <v>111</v>
      </c>
      <c r="E220" s="2"/>
      <c r="F220" s="35">
        <v>4.5</v>
      </c>
      <c r="G220" s="35">
        <v>3.0298172962940946</v>
      </c>
      <c r="H220" s="35">
        <v>-8.4993555140784416</v>
      </c>
      <c r="I220" s="35">
        <v>-3.7202727328544829</v>
      </c>
      <c r="J220" s="35">
        <v>5.234488589350445E-3</v>
      </c>
      <c r="K220" s="35">
        <v>-3.181807060067543</v>
      </c>
      <c r="L220" s="35">
        <v>18.296595253289194</v>
      </c>
      <c r="M220" s="58" t="s">
        <v>24</v>
      </c>
      <c r="N220" s="7">
        <v>10.416666666666666</v>
      </c>
      <c r="O220" s="7" t="s">
        <v>178</v>
      </c>
      <c r="P220" s="7" t="s">
        <v>178</v>
      </c>
    </row>
    <row r="221" spans="1:16" x14ac:dyDescent="0.25">
      <c r="A221" s="2" t="s">
        <v>183</v>
      </c>
      <c r="B221" s="2" t="s">
        <v>184</v>
      </c>
      <c r="C221" s="6" t="s">
        <v>131</v>
      </c>
      <c r="D221" s="2" t="s">
        <v>111</v>
      </c>
      <c r="E221" s="2"/>
      <c r="F221" s="35">
        <v>4.5</v>
      </c>
      <c r="G221" s="35">
        <v>3.8159422310059665</v>
      </c>
      <c r="H221" s="35">
        <v>-8.49979352536519</v>
      </c>
      <c r="I221" s="35">
        <v>-3.7158170850390455</v>
      </c>
      <c r="J221" s="35">
        <v>-2.0805015657400137E-3</v>
      </c>
      <c r="K221" s="35">
        <v>-3.1818565143934778</v>
      </c>
      <c r="L221" s="35">
        <v>19.279173698510476</v>
      </c>
      <c r="M221" s="58" t="s">
        <v>24</v>
      </c>
      <c r="N221" s="7">
        <v>10.416666666666666</v>
      </c>
      <c r="O221" s="7" t="s">
        <v>178</v>
      </c>
      <c r="P221" s="7" t="s">
        <v>178</v>
      </c>
    </row>
    <row r="222" spans="1:16" x14ac:dyDescent="0.25">
      <c r="A222" s="2" t="s">
        <v>183</v>
      </c>
      <c r="B222" s="2" t="s">
        <v>184</v>
      </c>
      <c r="C222" s="6" t="s">
        <v>131</v>
      </c>
      <c r="D222" s="2" t="s">
        <v>111</v>
      </c>
      <c r="E222" s="2"/>
      <c r="F222" s="35">
        <v>5.0809891242154022</v>
      </c>
      <c r="G222" s="35">
        <v>4.133345304401705</v>
      </c>
      <c r="H222" s="35">
        <v>-6.1938476913542608</v>
      </c>
      <c r="I222" s="35">
        <v>-3.7158170850390455</v>
      </c>
      <c r="J222" s="35">
        <v>-2.0805015657400137E-3</v>
      </c>
      <c r="K222" s="35">
        <v>-1.0230072004120154</v>
      </c>
      <c r="L222" s="35">
        <v>23.547596569529063</v>
      </c>
      <c r="M222" s="58" t="s">
        <v>24</v>
      </c>
      <c r="N222" s="7">
        <v>10.416666666666666</v>
      </c>
      <c r="O222" s="7" t="s">
        <v>178</v>
      </c>
      <c r="P222" s="7" t="s">
        <v>178</v>
      </c>
    </row>
    <row r="223" spans="1:16" x14ac:dyDescent="0.25">
      <c r="A223" s="2" t="s">
        <v>183</v>
      </c>
      <c r="B223" s="2" t="s">
        <v>184</v>
      </c>
      <c r="C223" s="6" t="s">
        <v>131</v>
      </c>
      <c r="D223" s="2" t="s">
        <v>111</v>
      </c>
      <c r="E223" s="2"/>
      <c r="F223" s="35">
        <v>10.161978248430804</v>
      </c>
      <c r="G223" s="35">
        <v>6.9091658777974434</v>
      </c>
      <c r="H223" s="35">
        <v>13.97259814265667</v>
      </c>
      <c r="I223" s="35">
        <v>-3.7158170850390455</v>
      </c>
      <c r="J223" s="35">
        <v>-2.0805015657400137E-3</v>
      </c>
      <c r="K223" s="35">
        <v>17.857018996245149</v>
      </c>
      <c r="L223" s="35">
        <v>3.7857233480024752</v>
      </c>
      <c r="M223" s="58" t="s">
        <v>23</v>
      </c>
      <c r="N223" s="7">
        <v>10.416666666666666</v>
      </c>
      <c r="O223" s="7" t="s">
        <v>178</v>
      </c>
      <c r="P223" s="7" t="s">
        <v>178</v>
      </c>
    </row>
    <row r="224" spans="1:16" x14ac:dyDescent="0.25">
      <c r="A224" s="2" t="s">
        <v>183</v>
      </c>
      <c r="B224" s="2" t="s">
        <v>184</v>
      </c>
      <c r="C224" s="6" t="s">
        <v>131</v>
      </c>
      <c r="D224" s="2" t="s">
        <v>112</v>
      </c>
      <c r="E224" s="2"/>
      <c r="F224" s="35">
        <v>0</v>
      </c>
      <c r="G224" s="35">
        <v>46.177535648964991</v>
      </c>
      <c r="H224" s="35">
        <v>20.92945940445659</v>
      </c>
      <c r="I224" s="35">
        <v>-0.46016641578620632</v>
      </c>
      <c r="J224" s="35">
        <v>9.6850796718517592E-3</v>
      </c>
      <c r="K224" s="35">
        <v>-1.5945856463196131</v>
      </c>
      <c r="L224" s="35">
        <v>51.020465581149473</v>
      </c>
      <c r="M224" s="58" t="s">
        <v>22</v>
      </c>
      <c r="N224" s="7">
        <v>10.416666666666666</v>
      </c>
      <c r="O224" s="7" t="s">
        <v>178</v>
      </c>
      <c r="P224" s="7" t="s">
        <v>178</v>
      </c>
    </row>
    <row r="225" spans="1:16" x14ac:dyDescent="0.25">
      <c r="A225" s="2" t="s">
        <v>183</v>
      </c>
      <c r="B225" s="2" t="s">
        <v>184</v>
      </c>
      <c r="C225" s="6" t="s">
        <v>131</v>
      </c>
      <c r="D225" s="2" t="s">
        <v>112</v>
      </c>
      <c r="E225" s="2"/>
      <c r="F225" s="35">
        <v>4.5</v>
      </c>
      <c r="G225" s="35">
        <v>48.635953148965001</v>
      </c>
      <c r="H225" s="35">
        <v>7.151359404456584</v>
      </c>
      <c r="I225" s="35">
        <v>-0.46016641578620632</v>
      </c>
      <c r="J225" s="35">
        <v>9.6850796718517592E-3</v>
      </c>
      <c r="K225" s="35">
        <v>0.47616322471831551</v>
      </c>
      <c r="L225" s="35">
        <v>-12.161376738905156</v>
      </c>
      <c r="M225" s="58" t="s">
        <v>24</v>
      </c>
      <c r="N225" s="7">
        <v>10.416666666666666</v>
      </c>
      <c r="O225" s="7" t="s">
        <v>178</v>
      </c>
      <c r="P225" s="7" t="s">
        <v>178</v>
      </c>
    </row>
    <row r="226" spans="1:16" x14ac:dyDescent="0.25">
      <c r="A226" s="2" t="s">
        <v>183</v>
      </c>
      <c r="B226" s="2" t="s">
        <v>184</v>
      </c>
      <c r="C226" s="6" t="s">
        <v>131</v>
      </c>
      <c r="D226" s="2" t="s">
        <v>112</v>
      </c>
      <c r="E226" s="2"/>
      <c r="F226" s="35">
        <v>4.5</v>
      </c>
      <c r="G226" s="35">
        <v>49.422089231200751</v>
      </c>
      <c r="H226" s="35">
        <v>7.151716035542627</v>
      </c>
      <c r="I226" s="35">
        <v>-0.44372629357641219</v>
      </c>
      <c r="J226" s="35">
        <v>-8.2784053087895486E-3</v>
      </c>
      <c r="K226" s="35">
        <v>0.47616109234687931</v>
      </c>
      <c r="L226" s="35">
        <v>-11.17864778882722</v>
      </c>
      <c r="M226" s="58" t="s">
        <v>24</v>
      </c>
      <c r="N226" s="7">
        <v>10.416666666666666</v>
      </c>
      <c r="O226" s="7" t="s">
        <v>178</v>
      </c>
      <c r="P226" s="7" t="s">
        <v>178</v>
      </c>
    </row>
    <row r="227" spans="1:16" x14ac:dyDescent="0.25">
      <c r="A227" s="2" t="s">
        <v>183</v>
      </c>
      <c r="B227" s="2" t="s">
        <v>184</v>
      </c>
      <c r="C227" s="6" t="s">
        <v>131</v>
      </c>
      <c r="D227" s="2" t="s">
        <v>112</v>
      </c>
      <c r="E227" s="2"/>
      <c r="F227" s="35">
        <v>5.0809891242154022</v>
      </c>
      <c r="G227" s="35">
        <v>49.739492304596489</v>
      </c>
      <c r="H227" s="35">
        <v>5.3728435350199097</v>
      </c>
      <c r="I227" s="35">
        <v>-0.44372629357641219</v>
      </c>
      <c r="J227" s="35">
        <v>-8.2784053087895486E-3</v>
      </c>
      <c r="K227" s="35">
        <v>0.73396124304318544</v>
      </c>
      <c r="L227" s="35">
        <v>-14.816964236869602</v>
      </c>
      <c r="M227" s="58" t="s">
        <v>24</v>
      </c>
      <c r="N227" s="7">
        <v>10.416666666666666</v>
      </c>
      <c r="O227" s="7" t="s">
        <v>178</v>
      </c>
      <c r="P227" s="7" t="s">
        <v>178</v>
      </c>
    </row>
    <row r="228" spans="1:16" x14ac:dyDescent="0.25">
      <c r="A228" s="2" t="s">
        <v>183</v>
      </c>
      <c r="B228" s="2" t="s">
        <v>184</v>
      </c>
      <c r="C228" s="6" t="s">
        <v>131</v>
      </c>
      <c r="D228" s="2" t="s">
        <v>112</v>
      </c>
      <c r="E228" s="2"/>
      <c r="F228" s="35">
        <v>10.161978248430804</v>
      </c>
      <c r="G228" s="35">
        <v>52.51531287799223</v>
      </c>
      <c r="H228" s="35">
        <v>-10.184128965502811</v>
      </c>
      <c r="I228" s="35">
        <v>-0.44372629357641219</v>
      </c>
      <c r="J228" s="35">
        <v>-8.2784053087895486E-3</v>
      </c>
      <c r="K228" s="35">
        <v>2.9885297148333456</v>
      </c>
      <c r="L228" s="35">
        <v>-2.5939197639797831</v>
      </c>
      <c r="M228" s="58" t="s">
        <v>23</v>
      </c>
      <c r="N228" s="7">
        <v>10.416666666666666</v>
      </c>
      <c r="O228" s="7" t="s">
        <v>178</v>
      </c>
      <c r="P228" s="7" t="s">
        <v>178</v>
      </c>
    </row>
    <row r="229" spans="1:16" x14ac:dyDescent="0.25">
      <c r="A229" s="2" t="s">
        <v>183</v>
      </c>
      <c r="B229" s="2" t="s">
        <v>184</v>
      </c>
      <c r="C229" s="6" t="s">
        <v>131</v>
      </c>
      <c r="D229" s="2" t="s">
        <v>113</v>
      </c>
      <c r="E229" s="2"/>
      <c r="F229" s="35">
        <v>0</v>
      </c>
      <c r="G229" s="35">
        <v>26.742405413743032</v>
      </c>
      <c r="H229" s="35">
        <v>36.761018550676617</v>
      </c>
      <c r="I229" s="35">
        <v>-0.3530104346736625</v>
      </c>
      <c r="J229" s="35">
        <v>5.0841607431449812E-3</v>
      </c>
      <c r="K229" s="35">
        <v>-1.2079044105452366</v>
      </c>
      <c r="L229" s="35">
        <v>86.735042213232958</v>
      </c>
      <c r="M229" s="58" t="s">
        <v>22</v>
      </c>
      <c r="N229" s="7">
        <v>10.416666666666666</v>
      </c>
      <c r="O229" s="7" t="s">
        <v>178</v>
      </c>
      <c r="P229" s="7" t="s">
        <v>178</v>
      </c>
    </row>
    <row r="230" spans="1:16" x14ac:dyDescent="0.25">
      <c r="A230" s="2" t="s">
        <v>183</v>
      </c>
      <c r="B230" s="2" t="s">
        <v>184</v>
      </c>
      <c r="C230" s="6" t="s">
        <v>131</v>
      </c>
      <c r="D230" s="2" t="s">
        <v>113</v>
      </c>
      <c r="E230" s="2"/>
      <c r="F230" s="35">
        <v>4.5</v>
      </c>
      <c r="G230" s="35">
        <v>29.200822913743036</v>
      </c>
      <c r="H230" s="35">
        <v>12.266618550676611</v>
      </c>
      <c r="I230" s="35">
        <v>-0.3530104346736625</v>
      </c>
      <c r="J230" s="35">
        <v>5.0841607431449812E-3</v>
      </c>
      <c r="K230" s="35">
        <v>0.38064254548624499</v>
      </c>
      <c r="L230" s="35">
        <v>-23.577141264811786</v>
      </c>
      <c r="M230" s="58" t="s">
        <v>24</v>
      </c>
      <c r="N230" s="7">
        <v>10.416666666666666</v>
      </c>
      <c r="O230" s="7" t="s">
        <v>178</v>
      </c>
      <c r="P230" s="7" t="s">
        <v>178</v>
      </c>
    </row>
    <row r="231" spans="1:16" x14ac:dyDescent="0.25">
      <c r="A231" s="2" t="s">
        <v>183</v>
      </c>
      <c r="B231" s="2" t="s">
        <v>184</v>
      </c>
      <c r="C231" s="6" t="s">
        <v>131</v>
      </c>
      <c r="D231" s="2" t="s">
        <v>113</v>
      </c>
      <c r="E231" s="2"/>
      <c r="F231" s="35">
        <v>4.5</v>
      </c>
      <c r="G231" s="35">
        <v>29.98695915224511</v>
      </c>
      <c r="H231" s="35">
        <v>12.267211860500334</v>
      </c>
      <c r="I231" s="35">
        <v>-0.34144137465345092</v>
      </c>
      <c r="J231" s="35">
        <v>-5.9866456728636308E-3</v>
      </c>
      <c r="K231" s="35">
        <v>0.3806417877530357</v>
      </c>
      <c r="L231" s="35">
        <v>-22.594364179771027</v>
      </c>
      <c r="M231" s="58" t="s">
        <v>24</v>
      </c>
      <c r="N231" s="7">
        <v>10.416666666666666</v>
      </c>
      <c r="O231" s="7" t="s">
        <v>178</v>
      </c>
      <c r="P231" s="7" t="s">
        <v>178</v>
      </c>
    </row>
    <row r="232" spans="1:16" x14ac:dyDescent="0.25">
      <c r="A232" s="2" t="s">
        <v>183</v>
      </c>
      <c r="B232" s="2" t="s">
        <v>184</v>
      </c>
      <c r="C232" s="6" t="s">
        <v>131</v>
      </c>
      <c r="D232" s="2" t="s">
        <v>113</v>
      </c>
      <c r="E232" s="2"/>
      <c r="F232" s="35">
        <v>5.0809891242154022</v>
      </c>
      <c r="G232" s="35">
        <v>30.304362225640848</v>
      </c>
      <c r="H232" s="35">
        <v>9.1047718595710592</v>
      </c>
      <c r="I232" s="35">
        <v>-0.34144137465345092</v>
      </c>
      <c r="J232" s="35">
        <v>-5.9866456728636308E-3</v>
      </c>
      <c r="K232" s="35">
        <v>0.57901551298384701</v>
      </c>
      <c r="L232" s="35">
        <v>-28.802809231906078</v>
      </c>
      <c r="M232" s="58" t="s">
        <v>24</v>
      </c>
      <c r="N232" s="7">
        <v>10.416666666666666</v>
      </c>
      <c r="O232" s="7" t="s">
        <v>178</v>
      </c>
      <c r="P232" s="7" t="s">
        <v>178</v>
      </c>
    </row>
    <row r="233" spans="1:16" x14ac:dyDescent="0.25">
      <c r="A233" s="2" t="s">
        <v>183</v>
      </c>
      <c r="B233" s="2" t="s">
        <v>184</v>
      </c>
      <c r="C233" s="6" t="s">
        <v>131</v>
      </c>
      <c r="D233" s="2" t="s">
        <v>113</v>
      </c>
      <c r="E233" s="2"/>
      <c r="F233" s="35">
        <v>10.161978248430804</v>
      </c>
      <c r="G233" s="35">
        <v>33.080182799036585</v>
      </c>
      <c r="H233" s="35">
        <v>-18.552068141358216</v>
      </c>
      <c r="I233" s="35">
        <v>-0.34144137465345092</v>
      </c>
      <c r="J233" s="35">
        <v>-5.9866456728636308E-3</v>
      </c>
      <c r="K233" s="35">
        <v>2.3138754241551873</v>
      </c>
      <c r="L233" s="35">
        <v>-4.8020044014055046</v>
      </c>
      <c r="M233" s="58" t="s">
        <v>23</v>
      </c>
      <c r="N233" s="7">
        <v>10.416666666666666</v>
      </c>
      <c r="O233" s="7" t="s">
        <v>178</v>
      </c>
      <c r="P233" s="7" t="s">
        <v>178</v>
      </c>
    </row>
    <row r="234" spans="1:16" x14ac:dyDescent="0.25">
      <c r="A234" s="2" t="s">
        <v>183</v>
      </c>
      <c r="B234" s="2" t="s">
        <v>184</v>
      </c>
      <c r="C234" s="6" t="s">
        <v>131</v>
      </c>
      <c r="D234" s="2" t="s">
        <v>114</v>
      </c>
      <c r="E234" s="2"/>
      <c r="F234" s="35">
        <v>0</v>
      </c>
      <c r="G234" s="35">
        <v>6.8447930686337006</v>
      </c>
      <c r="H234" s="35">
        <v>-20.717441565005547</v>
      </c>
      <c r="I234" s="35">
        <v>-1.405336629704328E-2</v>
      </c>
      <c r="J234" s="35">
        <v>1.2160005231960957E-2</v>
      </c>
      <c r="K234" s="35">
        <v>-0.10611966578336185</v>
      </c>
      <c r="L234" s="35">
        <v>-50.577393883244142</v>
      </c>
      <c r="M234" s="58" t="s">
        <v>22</v>
      </c>
      <c r="N234" s="7">
        <v>10.416666666666666</v>
      </c>
      <c r="O234" s="7" t="s">
        <v>178</v>
      </c>
      <c r="P234" s="7" t="s">
        <v>178</v>
      </c>
    </row>
    <row r="235" spans="1:16" x14ac:dyDescent="0.25">
      <c r="A235" s="2" t="s">
        <v>183</v>
      </c>
      <c r="B235" s="2" t="s">
        <v>184</v>
      </c>
      <c r="C235" s="6" t="s">
        <v>131</v>
      </c>
      <c r="D235" s="2" t="s">
        <v>114</v>
      </c>
      <c r="E235" s="2"/>
      <c r="F235" s="35">
        <v>4.5</v>
      </c>
      <c r="G235" s="35">
        <v>9.3032105686337037</v>
      </c>
      <c r="H235" s="35">
        <v>-6.9393415650055461</v>
      </c>
      <c r="I235" s="35">
        <v>-1.405336629704328E-2</v>
      </c>
      <c r="J235" s="35">
        <v>1.2160005231960957E-2</v>
      </c>
      <c r="K235" s="35">
        <v>-4.2879517446667147E-2</v>
      </c>
      <c r="L235" s="35">
        <v>11.650368159280815</v>
      </c>
      <c r="M235" s="58" t="s">
        <v>24</v>
      </c>
      <c r="N235" s="7">
        <v>10.416666666666666</v>
      </c>
      <c r="O235" s="7" t="s">
        <v>178</v>
      </c>
      <c r="P235" s="7" t="s">
        <v>178</v>
      </c>
    </row>
    <row r="236" spans="1:16" x14ac:dyDescent="0.25">
      <c r="A236" s="2" t="s">
        <v>183</v>
      </c>
      <c r="B236" s="2" t="s">
        <v>184</v>
      </c>
      <c r="C236" s="6" t="s">
        <v>131</v>
      </c>
      <c r="D236" s="2" t="s">
        <v>114</v>
      </c>
      <c r="E236" s="2"/>
      <c r="F236" s="35">
        <v>4.5</v>
      </c>
      <c r="G236" s="35">
        <v>10.089345965121034</v>
      </c>
      <c r="H236" s="35">
        <v>-6.939468213552999</v>
      </c>
      <c r="I236" s="35">
        <v>2.5378934472525994E-3</v>
      </c>
      <c r="J236" s="35">
        <v>-8.2308804137441009E-3</v>
      </c>
      <c r="K236" s="35">
        <v>-4.2881387035471549E-2</v>
      </c>
      <c r="L236" s="35">
        <v>12.632980343064514</v>
      </c>
      <c r="M236" s="58" t="s">
        <v>24</v>
      </c>
      <c r="N236" s="7">
        <v>10.416666666666666</v>
      </c>
      <c r="O236" s="7" t="s">
        <v>178</v>
      </c>
      <c r="P236" s="7" t="s">
        <v>178</v>
      </c>
    </row>
    <row r="237" spans="1:16" x14ac:dyDescent="0.25">
      <c r="A237" s="2" t="s">
        <v>183</v>
      </c>
      <c r="B237" s="2" t="s">
        <v>184</v>
      </c>
      <c r="C237" s="6" t="s">
        <v>131</v>
      </c>
      <c r="D237" s="2" t="s">
        <v>114</v>
      </c>
      <c r="E237" s="2"/>
      <c r="F237" s="35">
        <v>5.0809891242154022</v>
      </c>
      <c r="G237" s="35">
        <v>10.406749038516772</v>
      </c>
      <c r="H237" s="35">
        <v>-5.1605957130302809</v>
      </c>
      <c r="I237" s="35">
        <v>2.5378934472525994E-3</v>
      </c>
      <c r="J237" s="35">
        <v>-8.2308804137441009E-3</v>
      </c>
      <c r="K237" s="35">
        <v>-4.4355875526742881E-2</v>
      </c>
      <c r="L237" s="35">
        <v>16.147983114892511</v>
      </c>
      <c r="M237" s="58" t="s">
        <v>24</v>
      </c>
      <c r="N237" s="7">
        <v>10.416666666666666</v>
      </c>
      <c r="O237" s="7" t="s">
        <v>178</v>
      </c>
      <c r="P237" s="7" t="s">
        <v>178</v>
      </c>
    </row>
    <row r="238" spans="1:16" x14ac:dyDescent="0.25">
      <c r="A238" s="2" t="s">
        <v>183</v>
      </c>
      <c r="B238" s="2" t="s">
        <v>184</v>
      </c>
      <c r="C238" s="6" t="s">
        <v>131</v>
      </c>
      <c r="D238" s="2" t="s">
        <v>114</v>
      </c>
      <c r="E238" s="2"/>
      <c r="F238" s="35">
        <v>10.161978248430804</v>
      </c>
      <c r="G238" s="35">
        <v>13.182569611912511</v>
      </c>
      <c r="H238" s="35">
        <v>10.396376787492439</v>
      </c>
      <c r="I238" s="35">
        <v>2.5378934472525994E-3</v>
      </c>
      <c r="J238" s="35">
        <v>-8.2308804137441009E-3</v>
      </c>
      <c r="K238" s="35">
        <v>-5.7250884530650671E-2</v>
      </c>
      <c r="L238" s="35">
        <v>2.8465097668349895</v>
      </c>
      <c r="M238" s="58" t="s">
        <v>23</v>
      </c>
      <c r="N238" s="7">
        <v>10.416666666666666</v>
      </c>
      <c r="O238" s="7" t="s">
        <v>178</v>
      </c>
      <c r="P238" s="7" t="s">
        <v>178</v>
      </c>
    </row>
    <row r="239" spans="1:16" x14ac:dyDescent="0.25">
      <c r="A239" s="2" t="s">
        <v>183</v>
      </c>
      <c r="B239" s="2" t="s">
        <v>184</v>
      </c>
      <c r="C239" s="6" t="s">
        <v>131</v>
      </c>
      <c r="D239" s="2" t="s">
        <v>115</v>
      </c>
      <c r="E239" s="2"/>
      <c r="F239" s="35">
        <v>0</v>
      </c>
      <c r="G239" s="35">
        <v>-12.384395029192239</v>
      </c>
      <c r="H239" s="35">
        <v>-4.8859112437062979</v>
      </c>
      <c r="I239" s="35">
        <v>7.4911815005171592E-2</v>
      </c>
      <c r="J239" s="35">
        <v>7.3257464113179564E-3</v>
      </c>
      <c r="K239" s="35">
        <v>0.21725735980640667</v>
      </c>
      <c r="L239" s="35">
        <v>-14.863157743645612</v>
      </c>
      <c r="M239" s="58" t="s">
        <v>22</v>
      </c>
      <c r="N239" s="7">
        <v>10.416666666666666</v>
      </c>
      <c r="O239" s="7" t="s">
        <v>178</v>
      </c>
      <c r="P239" s="7" t="s">
        <v>178</v>
      </c>
    </row>
    <row r="240" spans="1:16" x14ac:dyDescent="0.25">
      <c r="A240" s="2" t="s">
        <v>183</v>
      </c>
      <c r="B240" s="2" t="s">
        <v>184</v>
      </c>
      <c r="C240" s="6" t="s">
        <v>131</v>
      </c>
      <c r="D240" s="2" t="s">
        <v>115</v>
      </c>
      <c r="E240" s="2"/>
      <c r="F240" s="35">
        <v>4.5</v>
      </c>
      <c r="G240" s="35">
        <v>-9.9259775291922363</v>
      </c>
      <c r="H240" s="35">
        <v>-1.8241112437062972</v>
      </c>
      <c r="I240" s="35">
        <v>7.4911815005171592E-2</v>
      </c>
      <c r="J240" s="35">
        <v>7.3257464113179564E-3</v>
      </c>
      <c r="K240" s="35">
        <v>-0.11984580771686551</v>
      </c>
      <c r="L240" s="35">
        <v>0.23439285303272475</v>
      </c>
      <c r="M240" s="58" t="s">
        <v>24</v>
      </c>
      <c r="N240" s="7">
        <v>10.416666666666666</v>
      </c>
      <c r="O240" s="7" t="s">
        <v>178</v>
      </c>
      <c r="P240" s="7" t="s">
        <v>178</v>
      </c>
    </row>
    <row r="241" spans="1:16" x14ac:dyDescent="0.25">
      <c r="A241" s="2" t="s">
        <v>183</v>
      </c>
      <c r="B241" s="2" t="s">
        <v>184</v>
      </c>
      <c r="C241" s="6" t="s">
        <v>131</v>
      </c>
      <c r="D241" s="2" t="s">
        <v>115</v>
      </c>
      <c r="E241" s="2"/>
      <c r="F241" s="35">
        <v>4.5</v>
      </c>
      <c r="G241" s="35">
        <v>-9.1398419717746062</v>
      </c>
      <c r="H241" s="35">
        <v>-1.8240047058574216</v>
      </c>
      <c r="I241" s="35">
        <v>8.6276571260676102E-2</v>
      </c>
      <c r="J241" s="35">
        <v>-5.7642655365694158E-3</v>
      </c>
      <c r="K241" s="35">
        <v>-0.11984639701938339</v>
      </c>
      <c r="L241" s="35">
        <v>1.2170532078493381</v>
      </c>
      <c r="M241" s="58" t="s">
        <v>24</v>
      </c>
      <c r="N241" s="7">
        <v>10.416666666666666</v>
      </c>
      <c r="O241" s="7" t="s">
        <v>178</v>
      </c>
      <c r="P241" s="7" t="s">
        <v>178</v>
      </c>
    </row>
    <row r="242" spans="1:16" x14ac:dyDescent="0.25">
      <c r="A242" s="2" t="s">
        <v>183</v>
      </c>
      <c r="B242" s="2" t="s">
        <v>184</v>
      </c>
      <c r="C242" s="6" t="s">
        <v>131</v>
      </c>
      <c r="D242" s="2" t="s">
        <v>115</v>
      </c>
      <c r="E242" s="2"/>
      <c r="F242" s="35">
        <v>5.0809891242154022</v>
      </c>
      <c r="G242" s="35">
        <v>-8.8224388983788682</v>
      </c>
      <c r="H242" s="35">
        <v>-1.4286997057412623</v>
      </c>
      <c r="I242" s="35">
        <v>8.6276571260676102E-2</v>
      </c>
      <c r="J242" s="35">
        <v>-5.7642655365694158E-3</v>
      </c>
      <c r="K242" s="35">
        <v>-0.16997214659643131</v>
      </c>
      <c r="L242" s="35">
        <v>2.1619461515624847</v>
      </c>
      <c r="M242" s="58" t="s">
        <v>24</v>
      </c>
      <c r="N242" s="7">
        <v>10.416666666666666</v>
      </c>
      <c r="O242" s="7" t="s">
        <v>178</v>
      </c>
      <c r="P242" s="7" t="s">
        <v>178</v>
      </c>
    </row>
    <row r="243" spans="1:16" x14ac:dyDescent="0.25">
      <c r="A243" s="2" t="s">
        <v>183</v>
      </c>
      <c r="B243" s="2" t="s">
        <v>184</v>
      </c>
      <c r="C243" s="6" t="s">
        <v>131</v>
      </c>
      <c r="D243" s="2" t="s">
        <v>115</v>
      </c>
      <c r="E243" s="2"/>
      <c r="F243" s="35">
        <v>10.161978248430804</v>
      </c>
      <c r="G243" s="35">
        <v>-6.0466183249831289</v>
      </c>
      <c r="H243" s="35">
        <v>2.0284052943748971</v>
      </c>
      <c r="I243" s="35">
        <v>8.6276571260676102E-2</v>
      </c>
      <c r="J243" s="35">
        <v>-5.7642655365694158E-3</v>
      </c>
      <c r="K243" s="35">
        <v>-0.60834246684652171</v>
      </c>
      <c r="L243" s="35">
        <v>0.63839736477313702</v>
      </c>
      <c r="M243" s="58" t="s">
        <v>23</v>
      </c>
      <c r="N243" s="7">
        <v>10.416666666666666</v>
      </c>
      <c r="O243" s="7" t="s">
        <v>178</v>
      </c>
      <c r="P243" s="7" t="s">
        <v>178</v>
      </c>
    </row>
    <row r="244" spans="1:16" x14ac:dyDescent="0.25">
      <c r="A244" s="2" t="s">
        <v>183</v>
      </c>
      <c r="B244" s="2" t="s">
        <v>184</v>
      </c>
      <c r="C244" s="6" t="s">
        <v>131</v>
      </c>
      <c r="D244" s="2" t="s">
        <v>116</v>
      </c>
      <c r="E244" s="2"/>
      <c r="F244" s="35">
        <v>0</v>
      </c>
      <c r="G244" s="35">
        <v>9.4934455010952465</v>
      </c>
      <c r="H244" s="35">
        <v>-39.554650020461956</v>
      </c>
      <c r="I244" s="35">
        <v>0.98178221648285402</v>
      </c>
      <c r="J244" s="35">
        <v>-1.481082405745492E-2</v>
      </c>
      <c r="K244" s="35">
        <v>6.0762980227609793</v>
      </c>
      <c r="L244" s="35">
        <v>-89.91942076259572</v>
      </c>
      <c r="M244" s="58" t="s">
        <v>22</v>
      </c>
      <c r="N244" s="7">
        <v>10.416666666666666</v>
      </c>
      <c r="O244" s="7" t="s">
        <v>178</v>
      </c>
      <c r="P244" s="7" t="s">
        <v>178</v>
      </c>
    </row>
    <row r="245" spans="1:16" x14ac:dyDescent="0.25">
      <c r="A245" s="2" t="s">
        <v>183</v>
      </c>
      <c r="B245" s="2" t="s">
        <v>184</v>
      </c>
      <c r="C245" s="6" t="s">
        <v>131</v>
      </c>
      <c r="D245" s="2" t="s">
        <v>116</v>
      </c>
      <c r="E245" s="2"/>
      <c r="F245" s="35">
        <v>4.5</v>
      </c>
      <c r="G245" s="35">
        <v>11.95186300109525</v>
      </c>
      <c r="H245" s="35">
        <v>-12.763900020461957</v>
      </c>
      <c r="I245" s="35">
        <v>0.98178221648285402</v>
      </c>
      <c r="J245" s="35">
        <v>-1.481082405745492E-2</v>
      </c>
      <c r="K245" s="35">
        <v>1.6582780485881363</v>
      </c>
      <c r="L245" s="35">
        <v>27.797316829483091</v>
      </c>
      <c r="M245" s="58" t="s">
        <v>24</v>
      </c>
      <c r="N245" s="7">
        <v>10.416666666666666</v>
      </c>
      <c r="O245" s="7" t="s">
        <v>178</v>
      </c>
      <c r="P245" s="7" t="s">
        <v>178</v>
      </c>
    </row>
    <row r="246" spans="1:16" x14ac:dyDescent="0.25">
      <c r="A246" s="2" t="s">
        <v>183</v>
      </c>
      <c r="B246" s="2" t="s">
        <v>184</v>
      </c>
      <c r="C246" s="6" t="s">
        <v>131</v>
      </c>
      <c r="D246" s="2" t="s">
        <v>116</v>
      </c>
      <c r="E246" s="2"/>
      <c r="F246" s="35">
        <v>4.5</v>
      </c>
      <c r="G246" s="35">
        <v>12.738003470860702</v>
      </c>
      <c r="H246" s="35">
        <v>-12.76456249778604</v>
      </c>
      <c r="I246" s="35">
        <v>0.95506416960602891</v>
      </c>
      <c r="J246" s="35">
        <v>1.4016407808951284E-2</v>
      </c>
      <c r="K246" s="35">
        <v>1.6582915131411837</v>
      </c>
      <c r="L246" s="35">
        <v>28.779884095178826</v>
      </c>
      <c r="M246" s="58" t="s">
        <v>24</v>
      </c>
      <c r="N246" s="7">
        <v>10.416666666666666</v>
      </c>
      <c r="O246" s="7" t="s">
        <v>178</v>
      </c>
      <c r="P246" s="7" t="s">
        <v>178</v>
      </c>
    </row>
    <row r="247" spans="1:16" x14ac:dyDescent="0.25">
      <c r="A247" s="2" t="s">
        <v>183</v>
      </c>
      <c r="B247" s="2" t="s">
        <v>184</v>
      </c>
      <c r="C247" s="6" t="s">
        <v>131</v>
      </c>
      <c r="D247" s="2" t="s">
        <v>116</v>
      </c>
      <c r="E247" s="2"/>
      <c r="F247" s="35">
        <v>5.0809891242154022</v>
      </c>
      <c r="G247" s="35">
        <v>13.05540654425644</v>
      </c>
      <c r="H247" s="35">
        <v>-9.3056437467696451</v>
      </c>
      <c r="I247" s="35">
        <v>0.95506416960602891</v>
      </c>
      <c r="J247" s="35">
        <v>1.4016407808951284E-2</v>
      </c>
      <c r="K247" s="35">
        <v>1.1034096176722672</v>
      </c>
      <c r="L247" s="35">
        <v>35.19115899381768</v>
      </c>
      <c r="M247" s="58" t="s">
        <v>24</v>
      </c>
      <c r="N247" s="7">
        <v>10.416666666666666</v>
      </c>
      <c r="O247" s="7" t="s">
        <v>178</v>
      </c>
      <c r="P247" s="7" t="s">
        <v>178</v>
      </c>
    </row>
    <row r="248" spans="1:16" x14ac:dyDescent="0.25">
      <c r="A248" s="2" t="s">
        <v>183</v>
      </c>
      <c r="B248" s="2" t="s">
        <v>184</v>
      </c>
      <c r="C248" s="6" t="s">
        <v>131</v>
      </c>
      <c r="D248" s="2" t="s">
        <v>116</v>
      </c>
      <c r="E248" s="2"/>
      <c r="F248" s="35">
        <v>10.161978248430804</v>
      </c>
      <c r="G248" s="35">
        <v>15.83122711765218</v>
      </c>
      <c r="H248" s="35">
        <v>20.94402500424675</v>
      </c>
      <c r="I248" s="35">
        <v>0.95506416960602891</v>
      </c>
      <c r="J248" s="35">
        <v>1.4016407808951284E-2</v>
      </c>
      <c r="K248" s="35">
        <v>-3.7492610410237788</v>
      </c>
      <c r="L248" s="35">
        <v>5.6239146974609087</v>
      </c>
      <c r="M248" s="58" t="s">
        <v>23</v>
      </c>
      <c r="N248" s="7">
        <v>10.416666666666666</v>
      </c>
      <c r="O248" s="7" t="s">
        <v>178</v>
      </c>
      <c r="P248" s="7" t="s">
        <v>178</v>
      </c>
    </row>
    <row r="249" spans="1:16" x14ac:dyDescent="0.25">
      <c r="A249" s="2" t="s">
        <v>183</v>
      </c>
      <c r="B249" s="2" t="s">
        <v>184</v>
      </c>
      <c r="C249" s="6" t="s">
        <v>131</v>
      </c>
      <c r="D249" s="2" t="s">
        <v>117</v>
      </c>
      <c r="E249" s="2"/>
      <c r="F249" s="35">
        <v>0</v>
      </c>
      <c r="G249" s="35">
        <v>-43.289215552379559</v>
      </c>
      <c r="H249" s="35">
        <v>-23.758505360557177</v>
      </c>
      <c r="I249" s="35">
        <v>3.3781385355776647</v>
      </c>
      <c r="J249" s="35">
        <v>-8.5251923747620764E-3</v>
      </c>
      <c r="K249" s="35">
        <v>17.8688768718742</v>
      </c>
      <c r="L249" s="35">
        <v>-54.571369130026184</v>
      </c>
      <c r="M249" s="58" t="s">
        <v>22</v>
      </c>
      <c r="N249" s="7">
        <v>10.416666666666666</v>
      </c>
      <c r="O249" s="7" t="s">
        <v>178</v>
      </c>
      <c r="P249" s="7" t="s">
        <v>178</v>
      </c>
    </row>
    <row r="250" spans="1:16" x14ac:dyDescent="0.25">
      <c r="A250" s="2" t="s">
        <v>183</v>
      </c>
      <c r="B250" s="2" t="s">
        <v>184</v>
      </c>
      <c r="C250" s="6" t="s">
        <v>131</v>
      </c>
      <c r="D250" s="2" t="s">
        <v>117</v>
      </c>
      <c r="E250" s="2"/>
      <c r="F250" s="35">
        <v>4.5</v>
      </c>
      <c r="G250" s="35">
        <v>-40.830798052379549</v>
      </c>
      <c r="H250" s="35">
        <v>-7.6840553605571769</v>
      </c>
      <c r="I250" s="35">
        <v>3.3781385355776647</v>
      </c>
      <c r="J250" s="35">
        <v>-8.5251923747620764E-3</v>
      </c>
      <c r="K250" s="35">
        <v>2.6672534617747088</v>
      </c>
      <c r="L250" s="35">
        <v>16.174392492481111</v>
      </c>
      <c r="M250" s="58" t="s">
        <v>24</v>
      </c>
      <c r="N250" s="7">
        <v>10.416666666666666</v>
      </c>
      <c r="O250" s="7" t="s">
        <v>178</v>
      </c>
      <c r="P250" s="7" t="s">
        <v>178</v>
      </c>
    </row>
    <row r="251" spans="1:16" x14ac:dyDescent="0.25">
      <c r="A251" s="2" t="s">
        <v>183</v>
      </c>
      <c r="B251" s="2" t="s">
        <v>184</v>
      </c>
      <c r="C251" s="6" t="s">
        <v>131</v>
      </c>
      <c r="D251" s="2" t="s">
        <v>117</v>
      </c>
      <c r="E251" s="2"/>
      <c r="F251" s="35">
        <v>4.5</v>
      </c>
      <c r="G251" s="35">
        <v>-40.044652826740702</v>
      </c>
      <c r="H251" s="35">
        <v>-7.6843031632972503</v>
      </c>
      <c r="I251" s="35">
        <v>3.3632911156835634</v>
      </c>
      <c r="J251" s="35">
        <v>8.0308296026370546E-3</v>
      </c>
      <c r="K251" s="35">
        <v>2.6672941550625109</v>
      </c>
      <c r="L251" s="35">
        <v>17.157014514281261</v>
      </c>
      <c r="M251" s="58" t="s">
        <v>24</v>
      </c>
      <c r="N251" s="7">
        <v>10.416666666666666</v>
      </c>
      <c r="O251" s="7" t="s">
        <v>178</v>
      </c>
      <c r="P251" s="7" t="s">
        <v>178</v>
      </c>
    </row>
    <row r="252" spans="1:16" x14ac:dyDescent="0.25">
      <c r="A252" s="2" t="s">
        <v>183</v>
      </c>
      <c r="B252" s="2" t="s">
        <v>184</v>
      </c>
      <c r="C252" s="6" t="s">
        <v>131</v>
      </c>
      <c r="D252" s="2" t="s">
        <v>117</v>
      </c>
      <c r="E252" s="2"/>
      <c r="F252" s="35">
        <v>5.0809891242154022</v>
      </c>
      <c r="G252" s="35">
        <v>-39.727249753344971</v>
      </c>
      <c r="H252" s="35">
        <v>-5.608951912687413</v>
      </c>
      <c r="I252" s="35">
        <v>3.3632911156835634</v>
      </c>
      <c r="J252" s="35">
        <v>8.0308296026370546E-3</v>
      </c>
      <c r="K252" s="35">
        <v>0.71325859528007596</v>
      </c>
      <c r="L252" s="35">
        <v>21.018632826565398</v>
      </c>
      <c r="M252" s="58" t="s">
        <v>24</v>
      </c>
      <c r="N252" s="7">
        <v>10.416666666666666</v>
      </c>
      <c r="O252" s="7" t="s">
        <v>178</v>
      </c>
      <c r="P252" s="7" t="s">
        <v>178</v>
      </c>
    </row>
    <row r="253" spans="1:16" x14ac:dyDescent="0.25">
      <c r="A253" s="2" t="s">
        <v>183</v>
      </c>
      <c r="B253" s="2" t="s">
        <v>184</v>
      </c>
      <c r="C253" s="6" t="s">
        <v>131</v>
      </c>
      <c r="D253" s="2" t="s">
        <v>117</v>
      </c>
      <c r="E253" s="2"/>
      <c r="F253" s="35">
        <v>10.161978248430804</v>
      </c>
      <c r="G253" s="35">
        <v>-36.95142917994923</v>
      </c>
      <c r="H253" s="35">
        <v>12.540849337922426</v>
      </c>
      <c r="I253" s="35">
        <v>3.3632911156835634</v>
      </c>
      <c r="J253" s="35">
        <v>8.0308296026370546E-3</v>
      </c>
      <c r="K253" s="35">
        <v>-16.375586985078392</v>
      </c>
      <c r="L253" s="35">
        <v>3.4081851126674843</v>
      </c>
      <c r="M253" s="58" t="s">
        <v>23</v>
      </c>
      <c r="N253" s="7">
        <v>10.416666666666666</v>
      </c>
      <c r="O253" s="7" t="s">
        <v>178</v>
      </c>
      <c r="P253" s="7" t="s">
        <v>178</v>
      </c>
    </row>
    <row r="254" spans="1:16" x14ac:dyDescent="0.25">
      <c r="A254" s="2" t="s">
        <v>183</v>
      </c>
      <c r="B254" s="2" t="s">
        <v>184</v>
      </c>
      <c r="C254" s="6" t="s">
        <v>131</v>
      </c>
      <c r="D254" s="2" t="s">
        <v>118</v>
      </c>
      <c r="E254" s="2"/>
      <c r="F254" s="35">
        <v>0</v>
      </c>
      <c r="G254" s="35">
        <v>6.7957355274766549</v>
      </c>
      <c r="H254" s="35">
        <v>-39.53208462532664</v>
      </c>
      <c r="I254" s="35">
        <v>-1.5000642822540902</v>
      </c>
      <c r="J254" s="35">
        <v>1.1779124246613265E-2</v>
      </c>
      <c r="K254" s="35">
        <v>-8.0224285604562411</v>
      </c>
      <c r="L254" s="35">
        <v>-89.682166122459861</v>
      </c>
      <c r="M254" s="58" t="s">
        <v>22</v>
      </c>
      <c r="N254" s="7">
        <v>10.416666666666666</v>
      </c>
      <c r="O254" s="7" t="s">
        <v>178</v>
      </c>
      <c r="P254" s="7" t="s">
        <v>178</v>
      </c>
    </row>
    <row r="255" spans="1:16" x14ac:dyDescent="0.25">
      <c r="A255" s="2" t="s">
        <v>183</v>
      </c>
      <c r="B255" s="2" t="s">
        <v>184</v>
      </c>
      <c r="C255" s="6" t="s">
        <v>131</v>
      </c>
      <c r="D255" s="2" t="s">
        <v>118</v>
      </c>
      <c r="E255" s="2"/>
      <c r="F255" s="35">
        <v>4.5</v>
      </c>
      <c r="G255" s="35">
        <v>9.2541530274766579</v>
      </c>
      <c r="H255" s="35">
        <v>-12.741334625326642</v>
      </c>
      <c r="I255" s="35">
        <v>-1.5000642822540902</v>
      </c>
      <c r="J255" s="35">
        <v>1.1779124246613265E-2</v>
      </c>
      <c r="K255" s="35">
        <v>-1.2721392903128366</v>
      </c>
      <c r="L255" s="35">
        <v>27.933027191510028</v>
      </c>
      <c r="M255" s="58" t="s">
        <v>24</v>
      </c>
      <c r="N255" s="7">
        <v>10.416666666666666</v>
      </c>
      <c r="O255" s="7" t="s">
        <v>178</v>
      </c>
      <c r="P255" s="7" t="s">
        <v>178</v>
      </c>
    </row>
    <row r="256" spans="1:16" x14ac:dyDescent="0.25">
      <c r="A256" s="2" t="s">
        <v>183</v>
      </c>
      <c r="B256" s="2" t="s">
        <v>184</v>
      </c>
      <c r="C256" s="6" t="s">
        <v>131</v>
      </c>
      <c r="D256" s="2" t="s">
        <v>118</v>
      </c>
      <c r="E256" s="2"/>
      <c r="F256" s="35">
        <v>4.5</v>
      </c>
      <c r="G256" s="35">
        <v>10.04028408029532</v>
      </c>
      <c r="H256" s="35">
        <v>-12.741933281670498</v>
      </c>
      <c r="I256" s="35">
        <v>-1.4874743236022998</v>
      </c>
      <c r="J256" s="35">
        <v>-5.9760961683054626E-3</v>
      </c>
      <c r="K256" s="35">
        <v>-1.272160981010827</v>
      </c>
      <c r="L256" s="35">
        <v>28.915571703038484</v>
      </c>
      <c r="M256" s="58" t="s">
        <v>24</v>
      </c>
      <c r="N256" s="7">
        <v>10.416666666666666</v>
      </c>
      <c r="O256" s="7" t="s">
        <v>178</v>
      </c>
      <c r="P256" s="7" t="s">
        <v>178</v>
      </c>
    </row>
    <row r="257" spans="1:16" x14ac:dyDescent="0.25">
      <c r="A257" s="2" t="s">
        <v>183</v>
      </c>
      <c r="B257" s="2" t="s">
        <v>184</v>
      </c>
      <c r="C257" s="6" t="s">
        <v>131</v>
      </c>
      <c r="D257" s="2" t="s">
        <v>118</v>
      </c>
      <c r="E257" s="2"/>
      <c r="F257" s="35">
        <v>5.0809891242154022</v>
      </c>
      <c r="G257" s="35">
        <v>10.357687153691057</v>
      </c>
      <c r="H257" s="35">
        <v>-9.2830145306541034</v>
      </c>
      <c r="I257" s="35">
        <v>-1.4874743236022998</v>
      </c>
      <c r="J257" s="35">
        <v>-5.9760961683054626E-3</v>
      </c>
      <c r="K257" s="35">
        <v>-0.4079545764482298</v>
      </c>
      <c r="L257" s="35">
        <v>35.313699273224685</v>
      </c>
      <c r="M257" s="58" t="s">
        <v>24</v>
      </c>
      <c r="N257" s="7">
        <v>10.416666666666666</v>
      </c>
      <c r="O257" s="7" t="s">
        <v>178</v>
      </c>
      <c r="P257" s="7" t="s">
        <v>178</v>
      </c>
    </row>
    <row r="258" spans="1:16" x14ac:dyDescent="0.25">
      <c r="A258" s="2" t="s">
        <v>183</v>
      </c>
      <c r="B258" s="2" t="s">
        <v>184</v>
      </c>
      <c r="C258" s="6" t="s">
        <v>131</v>
      </c>
      <c r="D258" s="2" t="s">
        <v>118</v>
      </c>
      <c r="E258" s="2"/>
      <c r="F258" s="35">
        <v>10.161978248430804</v>
      </c>
      <c r="G258" s="35">
        <v>13.133507727086796</v>
      </c>
      <c r="H258" s="35">
        <v>20.966654220362294</v>
      </c>
      <c r="I258" s="35">
        <v>-1.4874743236022998</v>
      </c>
      <c r="J258" s="35">
        <v>-5.9760961683054626E-3</v>
      </c>
      <c r="K258" s="35">
        <v>7.1498862843247153</v>
      </c>
      <c r="L258" s="35">
        <v>5.6314761758953322</v>
      </c>
      <c r="M258" s="58" t="s">
        <v>23</v>
      </c>
      <c r="N258" s="7">
        <v>10.416666666666666</v>
      </c>
      <c r="O258" s="7" t="s">
        <v>178</v>
      </c>
      <c r="P258" s="7" t="s">
        <v>178</v>
      </c>
    </row>
    <row r="259" spans="1:16" x14ac:dyDescent="0.25">
      <c r="A259" s="2" t="s">
        <v>183</v>
      </c>
      <c r="B259" s="2" t="s">
        <v>184</v>
      </c>
      <c r="C259" s="6" t="s">
        <v>131</v>
      </c>
      <c r="D259" s="2" t="s">
        <v>119</v>
      </c>
      <c r="E259" s="2"/>
      <c r="F259" s="35">
        <v>0</v>
      </c>
      <c r="G259" s="35">
        <v>-16.342078885782758</v>
      </c>
      <c r="H259" s="35">
        <v>-23.732689302146007</v>
      </c>
      <c r="I259" s="35">
        <v>-3.232005254224203</v>
      </c>
      <c r="J259" s="35">
        <v>8.5055492189396436E-3</v>
      </c>
      <c r="K259" s="35">
        <v>-17.547778465698244</v>
      </c>
      <c r="L259" s="35">
        <v>-54.302333344084396</v>
      </c>
      <c r="M259" s="58" t="s">
        <v>22</v>
      </c>
      <c r="N259" s="7">
        <v>10.416666666666666</v>
      </c>
      <c r="O259" s="7" t="s">
        <v>178</v>
      </c>
      <c r="P259" s="7" t="s">
        <v>178</v>
      </c>
    </row>
    <row r="260" spans="1:16" x14ac:dyDescent="0.25">
      <c r="A260" s="2" t="s">
        <v>183</v>
      </c>
      <c r="B260" s="2" t="s">
        <v>184</v>
      </c>
      <c r="C260" s="6" t="s">
        <v>131</v>
      </c>
      <c r="D260" s="2" t="s">
        <v>119</v>
      </c>
      <c r="E260" s="2"/>
      <c r="F260" s="35">
        <v>4.5</v>
      </c>
      <c r="G260" s="35">
        <v>-13.883661385782755</v>
      </c>
      <c r="H260" s="35">
        <v>-7.6582393021460105</v>
      </c>
      <c r="I260" s="35">
        <v>-3.232005254224203</v>
      </c>
      <c r="J260" s="35">
        <v>8.5055492189396436E-3</v>
      </c>
      <c r="K260" s="35">
        <v>-3.0037548216893319</v>
      </c>
      <c r="L260" s="35">
        <v>16.327256015572644</v>
      </c>
      <c r="M260" s="58" t="s">
        <v>24</v>
      </c>
      <c r="N260" s="7">
        <v>10.416666666666666</v>
      </c>
      <c r="O260" s="7" t="s">
        <v>178</v>
      </c>
      <c r="P260" s="7" t="s">
        <v>178</v>
      </c>
    </row>
    <row r="261" spans="1:16" x14ac:dyDescent="0.25">
      <c r="A261" s="2" t="s">
        <v>183</v>
      </c>
      <c r="B261" s="2" t="s">
        <v>184</v>
      </c>
      <c r="C261" s="6" t="s">
        <v>131</v>
      </c>
      <c r="D261" s="2" t="s">
        <v>119</v>
      </c>
      <c r="E261" s="2"/>
      <c r="F261" s="35">
        <v>4.5</v>
      </c>
      <c r="G261" s="35">
        <v>-13.097535645455798</v>
      </c>
      <c r="H261" s="35">
        <v>-7.6585728803652202</v>
      </c>
      <c r="I261" s="35">
        <v>-3.2221596768346488</v>
      </c>
      <c r="J261" s="35">
        <v>-4.7640999039643174E-3</v>
      </c>
      <c r="K261" s="35">
        <v>-3.003798873827749</v>
      </c>
      <c r="L261" s="35">
        <v>17.309843670284707</v>
      </c>
      <c r="M261" s="58" t="s">
        <v>24</v>
      </c>
      <c r="N261" s="7">
        <v>10.416666666666666</v>
      </c>
      <c r="O261" s="7" t="s">
        <v>178</v>
      </c>
      <c r="P261" s="7" t="s">
        <v>178</v>
      </c>
    </row>
    <row r="262" spans="1:16" x14ac:dyDescent="0.25">
      <c r="A262" s="2" t="s">
        <v>183</v>
      </c>
      <c r="B262" s="2" t="s">
        <v>184</v>
      </c>
      <c r="C262" s="6" t="s">
        <v>131</v>
      </c>
      <c r="D262" s="2" t="s">
        <v>119</v>
      </c>
      <c r="E262" s="2"/>
      <c r="F262" s="35">
        <v>5.0809891242154022</v>
      </c>
      <c r="G262" s="35">
        <v>-12.780132572060062</v>
      </c>
      <c r="H262" s="35">
        <v>-5.5832216297553829</v>
      </c>
      <c r="I262" s="35">
        <v>-3.2221596768346488</v>
      </c>
      <c r="J262" s="35">
        <v>-4.7640999039643174E-3</v>
      </c>
      <c r="K262" s="35">
        <v>-1.1317591451014042</v>
      </c>
      <c r="L262" s="35">
        <v>21.156512968022348</v>
      </c>
      <c r="M262" s="58" t="s">
        <v>24</v>
      </c>
      <c r="N262" s="7">
        <v>10.416666666666666</v>
      </c>
      <c r="O262" s="7" t="s">
        <v>178</v>
      </c>
      <c r="P262" s="7" t="s">
        <v>178</v>
      </c>
    </row>
    <row r="263" spans="1:16" x14ac:dyDescent="0.25">
      <c r="A263" s="2" t="s">
        <v>183</v>
      </c>
      <c r="B263" s="2" t="s">
        <v>184</v>
      </c>
      <c r="C263" s="6" t="s">
        <v>131</v>
      </c>
      <c r="D263" s="2" t="s">
        <v>119</v>
      </c>
      <c r="E263" s="2"/>
      <c r="F263" s="35">
        <v>10.161978248430804</v>
      </c>
      <c r="G263" s="35">
        <v>-10.004311998664321</v>
      </c>
      <c r="H263" s="35">
        <v>12.566579620854453</v>
      </c>
      <c r="I263" s="35">
        <v>-3.2221596768346488</v>
      </c>
      <c r="J263" s="35">
        <v>-4.7640999039643174E-3</v>
      </c>
      <c r="K263" s="35">
        <v>15.239999129380859</v>
      </c>
      <c r="L263" s="35">
        <v>3.4153299663838066</v>
      </c>
      <c r="M263" s="58" t="s">
        <v>23</v>
      </c>
      <c r="N263" s="7">
        <v>10.416666666666666</v>
      </c>
      <c r="O263" s="7" t="s">
        <v>178</v>
      </c>
      <c r="P263" s="7" t="s">
        <v>178</v>
      </c>
    </row>
    <row r="264" spans="1:16" x14ac:dyDescent="0.25">
      <c r="A264" s="2" t="s">
        <v>183</v>
      </c>
      <c r="B264" s="2" t="s">
        <v>184</v>
      </c>
      <c r="C264" s="6" t="s">
        <v>131</v>
      </c>
      <c r="D264" s="2" t="s">
        <v>120</v>
      </c>
      <c r="E264" s="2"/>
      <c r="F264" s="35">
        <v>0</v>
      </c>
      <c r="G264" s="35">
        <v>56.358027306340489</v>
      </c>
      <c r="H264" s="35">
        <v>23.250347178639981</v>
      </c>
      <c r="I264" s="35">
        <v>-0.541662475442518</v>
      </c>
      <c r="J264" s="35">
        <v>9.7608895102381365E-3</v>
      </c>
      <c r="K264" s="35">
        <v>-1.8709452958977268</v>
      </c>
      <c r="L264" s="35">
        <v>56.73939682310742</v>
      </c>
      <c r="M264" s="58" t="s">
        <v>22</v>
      </c>
      <c r="N264" s="7">
        <v>10.416666666666666</v>
      </c>
      <c r="O264" s="7" t="s">
        <v>178</v>
      </c>
      <c r="P264" s="7" t="s">
        <v>178</v>
      </c>
    </row>
    <row r="265" spans="1:16" x14ac:dyDescent="0.25">
      <c r="A265" s="2" t="s">
        <v>183</v>
      </c>
      <c r="B265" s="2" t="s">
        <v>184</v>
      </c>
      <c r="C265" s="6" t="s">
        <v>131</v>
      </c>
      <c r="D265" s="2" t="s">
        <v>120</v>
      </c>
      <c r="E265" s="2"/>
      <c r="F265" s="35">
        <v>4.5</v>
      </c>
      <c r="G265" s="35">
        <v>58.816444806340485</v>
      </c>
      <c r="H265" s="35">
        <v>7.941347178639977</v>
      </c>
      <c r="I265" s="35">
        <v>-0.541662475442518</v>
      </c>
      <c r="J265" s="35">
        <v>9.7608895102381365E-3</v>
      </c>
      <c r="K265" s="35">
        <v>0.5665358435936042</v>
      </c>
      <c r="L265" s="35">
        <v>-13.441915480772472</v>
      </c>
      <c r="M265" s="58" t="s">
        <v>24</v>
      </c>
      <c r="N265" s="7">
        <v>10.416666666666666</v>
      </c>
      <c r="O265" s="7" t="s">
        <v>178</v>
      </c>
      <c r="P265" s="7" t="s">
        <v>178</v>
      </c>
    </row>
    <row r="266" spans="1:16" x14ac:dyDescent="0.25">
      <c r="A266" s="2" t="s">
        <v>183</v>
      </c>
      <c r="B266" s="2" t="s">
        <v>184</v>
      </c>
      <c r="C266" s="6" t="s">
        <v>131</v>
      </c>
      <c r="D266" s="2" t="s">
        <v>120</v>
      </c>
      <c r="E266" s="2"/>
      <c r="F266" s="35">
        <v>4.5</v>
      </c>
      <c r="G266" s="35">
        <v>59.6025809813313</v>
      </c>
      <c r="H266" s="35">
        <v>7.941730021821777</v>
      </c>
      <c r="I266" s="35">
        <v>-0.52492534140992775</v>
      </c>
      <c r="J266" s="35">
        <v>-8.4347430785349908E-3</v>
      </c>
      <c r="K266" s="35">
        <v>0.56653341439182414</v>
      </c>
      <c r="L266" s="35">
        <v>-12.45918003192252</v>
      </c>
      <c r="M266" s="58" t="s">
        <v>24</v>
      </c>
      <c r="N266" s="7">
        <v>10.416666666666666</v>
      </c>
      <c r="O266" s="7" t="s">
        <v>178</v>
      </c>
      <c r="P266" s="7" t="s">
        <v>178</v>
      </c>
    </row>
    <row r="267" spans="1:16" x14ac:dyDescent="0.25">
      <c r="A267" s="2" t="s">
        <v>183</v>
      </c>
      <c r="B267" s="2" t="s">
        <v>184</v>
      </c>
      <c r="C267" s="6" t="s">
        <v>131</v>
      </c>
      <c r="D267" s="2" t="s">
        <v>120</v>
      </c>
      <c r="E267" s="2"/>
      <c r="F267" s="35">
        <v>5.0809891242154022</v>
      </c>
      <c r="G267" s="35">
        <v>59.919984054727031</v>
      </c>
      <c r="H267" s="35">
        <v>5.9652050212409797</v>
      </c>
      <c r="I267" s="35">
        <v>-0.52492534140992775</v>
      </c>
      <c r="J267" s="35">
        <v>-8.4347430785349908E-3</v>
      </c>
      <c r="K267" s="35">
        <v>0.8715093287760487</v>
      </c>
      <c r="L267" s="35">
        <v>-16.499069037517277</v>
      </c>
      <c r="M267" s="58" t="s">
        <v>24</v>
      </c>
      <c r="N267" s="7">
        <v>10.416666666666666</v>
      </c>
      <c r="O267" s="7" t="s">
        <v>178</v>
      </c>
      <c r="P267" s="7" t="s">
        <v>178</v>
      </c>
    </row>
    <row r="268" spans="1:16" x14ac:dyDescent="0.25">
      <c r="A268" s="2" t="s">
        <v>183</v>
      </c>
      <c r="B268" s="2" t="s">
        <v>184</v>
      </c>
      <c r="C268" s="6" t="s">
        <v>131</v>
      </c>
      <c r="D268" s="2" t="s">
        <v>120</v>
      </c>
      <c r="E268" s="2"/>
      <c r="F268" s="35">
        <v>10.161978248430804</v>
      </c>
      <c r="G268" s="35">
        <v>62.695804628122772</v>
      </c>
      <c r="H268" s="35">
        <v>-11.320319979339821</v>
      </c>
      <c r="I268" s="35">
        <v>-0.52492534140992775</v>
      </c>
      <c r="J268" s="35">
        <v>-8.4347430785349908E-3</v>
      </c>
      <c r="K268" s="35">
        <v>3.5386492795049476</v>
      </c>
      <c r="L268" s="35">
        <v>-2.8944286070055707</v>
      </c>
      <c r="M268" s="58" t="s">
        <v>23</v>
      </c>
      <c r="N268" s="7">
        <v>10.416666666666666</v>
      </c>
      <c r="O268" s="7" t="s">
        <v>178</v>
      </c>
      <c r="P268" s="7" t="s">
        <v>178</v>
      </c>
    </row>
    <row r="269" spans="1:16" x14ac:dyDescent="0.25">
      <c r="A269" s="2" t="s">
        <v>183</v>
      </c>
      <c r="B269" s="2" t="s">
        <v>184</v>
      </c>
      <c r="C269" s="6" t="s">
        <v>131</v>
      </c>
      <c r="D269" s="2" t="s">
        <v>121</v>
      </c>
      <c r="E269" s="2"/>
      <c r="F269" s="35">
        <v>0</v>
      </c>
      <c r="G269" s="35">
        <v>34.763438156093855</v>
      </c>
      <c r="H269" s="35">
        <v>40.840968452217787</v>
      </c>
      <c r="I269" s="35">
        <v>-0.42260027420635821</v>
      </c>
      <c r="J269" s="35">
        <v>4.6487573672306061E-3</v>
      </c>
      <c r="K269" s="35">
        <v>-1.4412994783706419</v>
      </c>
      <c r="L269" s="35">
        <v>96.422259747644617</v>
      </c>
      <c r="M269" s="58" t="s">
        <v>22</v>
      </c>
      <c r="N269" s="7">
        <v>10.416666666666666</v>
      </c>
      <c r="O269" s="7" t="s">
        <v>178</v>
      </c>
      <c r="P269" s="7" t="s">
        <v>178</v>
      </c>
    </row>
    <row r="270" spans="1:16" x14ac:dyDescent="0.25">
      <c r="A270" s="2" t="s">
        <v>183</v>
      </c>
      <c r="B270" s="2" t="s">
        <v>184</v>
      </c>
      <c r="C270" s="6" t="s">
        <v>131</v>
      </c>
      <c r="D270" s="2" t="s">
        <v>121</v>
      </c>
      <c r="E270" s="2"/>
      <c r="F270" s="35">
        <v>4.5</v>
      </c>
      <c r="G270" s="35">
        <v>37.221855656093858</v>
      </c>
      <c r="H270" s="35">
        <v>13.624968452217786</v>
      </c>
      <c r="I270" s="35">
        <v>-0.42260027420635821</v>
      </c>
      <c r="J270" s="35">
        <v>4.6487573672306061E-3</v>
      </c>
      <c r="K270" s="35">
        <v>0.46040175555797019</v>
      </c>
      <c r="L270" s="35">
        <v>-26.126098287335392</v>
      </c>
      <c r="M270" s="58" t="s">
        <v>24</v>
      </c>
      <c r="N270" s="7">
        <v>10.416666666666666</v>
      </c>
      <c r="O270" s="7" t="s">
        <v>178</v>
      </c>
      <c r="P270" s="7" t="s">
        <v>178</v>
      </c>
    </row>
    <row r="271" spans="1:16" x14ac:dyDescent="0.25">
      <c r="A271" s="2" t="s">
        <v>183</v>
      </c>
      <c r="B271" s="2" t="s">
        <v>184</v>
      </c>
      <c r="C271" s="6" t="s">
        <v>131</v>
      </c>
      <c r="D271" s="2" t="s">
        <v>121</v>
      </c>
      <c r="E271" s="2"/>
      <c r="F271" s="35">
        <v>4.5</v>
      </c>
      <c r="G271" s="35">
        <v>38.00799200471392</v>
      </c>
      <c r="H271" s="35">
        <v>13.625614271774785</v>
      </c>
      <c r="I271" s="35">
        <v>-0.41127543149552614</v>
      </c>
      <c r="J271" s="35">
        <v>-5.8883434830617511E-3</v>
      </c>
      <c r="K271" s="35">
        <v>0.46040085373199791</v>
      </c>
      <c r="L271" s="35">
        <v>-25.143309355193413</v>
      </c>
      <c r="M271" s="58" t="s">
        <v>24</v>
      </c>
      <c r="N271" s="7">
        <v>10.416666666666666</v>
      </c>
      <c r="O271" s="7" t="s">
        <v>178</v>
      </c>
      <c r="P271" s="7" t="s">
        <v>178</v>
      </c>
    </row>
    <row r="272" spans="1:16" x14ac:dyDescent="0.25">
      <c r="A272" s="2" t="s">
        <v>183</v>
      </c>
      <c r="B272" s="2" t="s">
        <v>184</v>
      </c>
      <c r="C272" s="6" t="s">
        <v>131</v>
      </c>
      <c r="D272" s="2" t="s">
        <v>121</v>
      </c>
      <c r="E272" s="2"/>
      <c r="F272" s="35">
        <v>5.0809891242154022</v>
      </c>
      <c r="G272" s="35">
        <v>38.325395078109658</v>
      </c>
      <c r="H272" s="35">
        <v>10.111792048520035</v>
      </c>
      <c r="I272" s="35">
        <v>-0.41127543149552614</v>
      </c>
      <c r="J272" s="35">
        <v>-5.8883434830617511E-3</v>
      </c>
      <c r="K272" s="35">
        <v>0.69934740648789495</v>
      </c>
      <c r="L272" s="35">
        <v>-32.038896809780027</v>
      </c>
      <c r="M272" s="58" t="s">
        <v>24</v>
      </c>
      <c r="N272" s="7">
        <v>10.416666666666666</v>
      </c>
      <c r="O272" s="7" t="s">
        <v>178</v>
      </c>
      <c r="P272" s="7" t="s">
        <v>178</v>
      </c>
    </row>
    <row r="273" spans="1:16" x14ac:dyDescent="0.25">
      <c r="A273" s="2" t="s">
        <v>183</v>
      </c>
      <c r="B273" s="2" t="s">
        <v>184</v>
      </c>
      <c r="C273" s="6" t="s">
        <v>131</v>
      </c>
      <c r="D273" s="2" t="s">
        <v>121</v>
      </c>
      <c r="E273" s="2"/>
      <c r="F273" s="35">
        <v>10.161978248430804</v>
      </c>
      <c r="G273" s="35">
        <v>41.101215651505392</v>
      </c>
      <c r="H273" s="35">
        <v>-20.618030174734713</v>
      </c>
      <c r="I273" s="35">
        <v>-0.41127543149552614</v>
      </c>
      <c r="J273" s="35">
        <v>-5.8883434830617511E-3</v>
      </c>
      <c r="K273" s="35">
        <v>2.789033400973659</v>
      </c>
      <c r="L273" s="35">
        <v>-5.3478559819230398</v>
      </c>
      <c r="M273" s="58" t="s">
        <v>23</v>
      </c>
      <c r="N273" s="7">
        <v>10.416666666666666</v>
      </c>
      <c r="O273" s="7" t="s">
        <v>178</v>
      </c>
      <c r="P273" s="7" t="s">
        <v>178</v>
      </c>
    </row>
    <row r="274" spans="1:16" x14ac:dyDescent="0.25">
      <c r="A274" s="2" t="s">
        <v>183</v>
      </c>
      <c r="B274" s="2" t="s">
        <v>184</v>
      </c>
      <c r="C274" s="6" t="s">
        <v>131</v>
      </c>
      <c r="D274" s="2" t="s">
        <v>122</v>
      </c>
      <c r="E274" s="2"/>
      <c r="F274" s="35">
        <v>0</v>
      </c>
      <c r="G274" s="35">
        <v>12.654979994861268</v>
      </c>
      <c r="H274" s="35">
        <v>-23.023987231873502</v>
      </c>
      <c r="I274" s="35">
        <v>-4.5981309343447935E-2</v>
      </c>
      <c r="J274" s="35">
        <v>1.2510806799248358E-2</v>
      </c>
      <c r="K274" s="35">
        <v>-0.21709420641300334</v>
      </c>
      <c r="L274" s="35">
        <v>-56.147113692885483</v>
      </c>
      <c r="M274" s="58" t="s">
        <v>22</v>
      </c>
      <c r="N274" s="7">
        <v>10.416666666666666</v>
      </c>
      <c r="O274" s="7" t="s">
        <v>178</v>
      </c>
      <c r="P274" s="7" t="s">
        <v>178</v>
      </c>
    </row>
    <row r="275" spans="1:16" x14ac:dyDescent="0.25">
      <c r="A275" s="2" t="s">
        <v>183</v>
      </c>
      <c r="B275" s="2" t="s">
        <v>184</v>
      </c>
      <c r="C275" s="6" t="s">
        <v>131</v>
      </c>
      <c r="D275" s="2" t="s">
        <v>122</v>
      </c>
      <c r="E275" s="2"/>
      <c r="F275" s="35">
        <v>4.5</v>
      </c>
      <c r="G275" s="35">
        <v>15.113397494861271</v>
      </c>
      <c r="H275" s="35">
        <v>-7.7149872318735007</v>
      </c>
      <c r="I275" s="35">
        <v>-4.5981309343447935E-2</v>
      </c>
      <c r="J275" s="35">
        <v>1.2510806799248358E-2</v>
      </c>
      <c r="K275" s="35">
        <v>-1.0178314367487704E-2</v>
      </c>
      <c r="L275" s="35">
        <v>13.015578850545273</v>
      </c>
      <c r="M275" s="58" t="s">
        <v>24</v>
      </c>
      <c r="N275" s="7">
        <v>10.416666666666666</v>
      </c>
      <c r="O275" s="7" t="s">
        <v>178</v>
      </c>
      <c r="P275" s="7" t="s">
        <v>178</v>
      </c>
    </row>
    <row r="276" spans="1:16" x14ac:dyDescent="0.25">
      <c r="A276" s="2" t="s">
        <v>183</v>
      </c>
      <c r="B276" s="2" t="s">
        <v>184</v>
      </c>
      <c r="C276" s="6" t="s">
        <v>131</v>
      </c>
      <c r="D276" s="2" t="s">
        <v>122</v>
      </c>
      <c r="E276" s="2"/>
      <c r="F276" s="35">
        <v>4.5</v>
      </c>
      <c r="G276" s="35">
        <v>15.899532907909384</v>
      </c>
      <c r="H276" s="35">
        <v>-7.7151413660622516</v>
      </c>
      <c r="I276" s="35">
        <v>-2.907624471696672E-2</v>
      </c>
      <c r="J276" s="35">
        <v>-8.3819376395956081E-3</v>
      </c>
      <c r="K276" s="35">
        <v>-1.0180451588565684E-2</v>
      </c>
      <c r="L276" s="35">
        <v>13.998184559068298</v>
      </c>
      <c r="M276" s="58" t="s">
        <v>24</v>
      </c>
      <c r="N276" s="7">
        <v>10.416666666666666</v>
      </c>
      <c r="O276" s="7" t="s">
        <v>178</v>
      </c>
      <c r="P276" s="7" t="s">
        <v>178</v>
      </c>
    </row>
    <row r="277" spans="1:16" x14ac:dyDescent="0.25">
      <c r="A277" s="2" t="s">
        <v>183</v>
      </c>
      <c r="B277" s="2" t="s">
        <v>184</v>
      </c>
      <c r="C277" s="6" t="s">
        <v>131</v>
      </c>
      <c r="D277" s="2" t="s">
        <v>122</v>
      </c>
      <c r="E277" s="2"/>
      <c r="F277" s="35">
        <v>5.0809891242154022</v>
      </c>
      <c r="G277" s="35">
        <v>16.21693598130512</v>
      </c>
      <c r="H277" s="35">
        <v>-5.7386163654814535</v>
      </c>
      <c r="I277" s="35">
        <v>-2.907624471696672E-2</v>
      </c>
      <c r="J277" s="35">
        <v>-8.3819376395956081E-3</v>
      </c>
      <c r="K277" s="35">
        <v>6.7125303650174741E-3</v>
      </c>
      <c r="L277" s="35">
        <v>17.906428019996184</v>
      </c>
      <c r="M277" s="58" t="s">
        <v>24</v>
      </c>
      <c r="N277" s="7">
        <v>10.416666666666666</v>
      </c>
      <c r="O277" s="7" t="s">
        <v>178</v>
      </c>
      <c r="P277" s="7" t="s">
        <v>178</v>
      </c>
    </row>
    <row r="278" spans="1:16" x14ac:dyDescent="0.25">
      <c r="A278" s="2" t="s">
        <v>183</v>
      </c>
      <c r="B278" s="2" t="s">
        <v>184</v>
      </c>
      <c r="C278" s="6" t="s">
        <v>131</v>
      </c>
      <c r="D278" s="2" t="s">
        <v>122</v>
      </c>
      <c r="E278" s="2"/>
      <c r="F278" s="35">
        <v>10.161978248430804</v>
      </c>
      <c r="G278" s="35">
        <v>18.992756554700861</v>
      </c>
      <c r="H278" s="35">
        <v>11.546908635099348</v>
      </c>
      <c r="I278" s="35">
        <v>-2.907624471696672E-2</v>
      </c>
      <c r="J278" s="35">
        <v>-8.3819376395956081E-3</v>
      </c>
      <c r="K278" s="35">
        <v>0.15444861354495093</v>
      </c>
      <c r="L278" s="35">
        <v>3.1504930938997315</v>
      </c>
      <c r="M278" s="58" t="s">
        <v>23</v>
      </c>
      <c r="N278" s="7">
        <v>10.416666666666666</v>
      </c>
      <c r="O278" s="7" t="s">
        <v>178</v>
      </c>
      <c r="P278" s="7" t="s">
        <v>178</v>
      </c>
    </row>
    <row r="279" spans="1:16" x14ac:dyDescent="0.25">
      <c r="A279" s="2" t="s">
        <v>183</v>
      </c>
      <c r="B279" s="2" t="s">
        <v>184</v>
      </c>
      <c r="C279" s="6" t="s">
        <v>131</v>
      </c>
      <c r="D279" s="2" t="s">
        <v>123</v>
      </c>
      <c r="E279" s="2"/>
      <c r="F279" s="35">
        <v>0</v>
      </c>
      <c r="G279" s="35">
        <v>-8.7107845582786663</v>
      </c>
      <c r="H279" s="35">
        <v>-5.4333979859854464</v>
      </c>
      <c r="I279" s="35">
        <v>5.2868892103457472E-2</v>
      </c>
      <c r="J279" s="35">
        <v>7.139408109645023E-3</v>
      </c>
      <c r="K279" s="35">
        <v>0.14221359979785056</v>
      </c>
      <c r="L279" s="35">
        <v>-16.464629093331553</v>
      </c>
      <c r="M279" s="58" t="s">
        <v>22</v>
      </c>
      <c r="N279" s="7">
        <v>10.416666666666666</v>
      </c>
      <c r="O279" s="7" t="s">
        <v>178</v>
      </c>
      <c r="P279" s="7" t="s">
        <v>178</v>
      </c>
    </row>
    <row r="280" spans="1:16" x14ac:dyDescent="0.25">
      <c r="A280" s="2" t="s">
        <v>183</v>
      </c>
      <c r="B280" s="2" t="s">
        <v>184</v>
      </c>
      <c r="C280" s="6" t="s">
        <v>131</v>
      </c>
      <c r="D280" s="2" t="s">
        <v>123</v>
      </c>
      <c r="E280" s="2"/>
      <c r="F280" s="35">
        <v>4.5</v>
      </c>
      <c r="G280" s="35">
        <v>-6.2523670582786641</v>
      </c>
      <c r="H280" s="35">
        <v>-2.0313979859854459</v>
      </c>
      <c r="I280" s="35">
        <v>5.2868892103457472E-2</v>
      </c>
      <c r="J280" s="35">
        <v>7.139408109645023E-3</v>
      </c>
      <c r="K280" s="35">
        <v>-9.5696414667708105E-2</v>
      </c>
      <c r="L280" s="35">
        <v>0.33116184360295048</v>
      </c>
      <c r="M280" s="58" t="s">
        <v>24</v>
      </c>
      <c r="N280" s="7">
        <v>10.416666666666666</v>
      </c>
      <c r="O280" s="7" t="s">
        <v>178</v>
      </c>
      <c r="P280" s="7" t="s">
        <v>178</v>
      </c>
    </row>
    <row r="281" spans="1:16" x14ac:dyDescent="0.25">
      <c r="A281" s="2" t="s">
        <v>183</v>
      </c>
      <c r="B281" s="2" t="s">
        <v>184</v>
      </c>
      <c r="C281" s="6" t="s">
        <v>131</v>
      </c>
      <c r="D281" s="2" t="s">
        <v>123</v>
      </c>
      <c r="E281" s="2"/>
      <c r="F281" s="35">
        <v>4.5</v>
      </c>
      <c r="G281" s="35">
        <v>-5.4662314664191021</v>
      </c>
      <c r="H281" s="35">
        <v>-2.0312930241782761</v>
      </c>
      <c r="I281" s="35">
        <v>6.3966730631281624E-2</v>
      </c>
      <c r="J281" s="35">
        <v>-5.6412544427348462E-3</v>
      </c>
      <c r="K281" s="35">
        <v>-9.5697129348467719E-2</v>
      </c>
      <c r="L281" s="35">
        <v>1.3138210754958801</v>
      </c>
      <c r="M281" s="58" t="s">
        <v>24</v>
      </c>
      <c r="N281" s="7">
        <v>10.416666666666666</v>
      </c>
      <c r="O281" s="7" t="s">
        <v>178</v>
      </c>
      <c r="P281" s="7" t="s">
        <v>178</v>
      </c>
    </row>
    <row r="282" spans="1:16" x14ac:dyDescent="0.25">
      <c r="A282" s="2" t="s">
        <v>183</v>
      </c>
      <c r="B282" s="2" t="s">
        <v>184</v>
      </c>
      <c r="C282" s="6" t="s">
        <v>131</v>
      </c>
      <c r="D282" s="2" t="s">
        <v>123</v>
      </c>
      <c r="E282" s="2"/>
      <c r="F282" s="35">
        <v>5.0809891242154022</v>
      </c>
      <c r="G282" s="35">
        <v>-5.1488283930233658</v>
      </c>
      <c r="H282" s="35">
        <v>-1.5920652462714324</v>
      </c>
      <c r="I282" s="35">
        <v>6.3966730631281624E-2</v>
      </c>
      <c r="J282" s="35">
        <v>-5.6412544427348462E-3</v>
      </c>
      <c r="K282" s="35">
        <v>-0.13286110415685853</v>
      </c>
      <c r="L282" s="35">
        <v>2.3663869496294847</v>
      </c>
      <c r="M282" s="58" t="s">
        <v>24</v>
      </c>
      <c r="N282" s="7">
        <v>10.416666666666666</v>
      </c>
      <c r="O282" s="7" t="s">
        <v>178</v>
      </c>
      <c r="P282" s="7" t="s">
        <v>178</v>
      </c>
    </row>
    <row r="283" spans="1:16" x14ac:dyDescent="0.25">
      <c r="A283" s="2" t="s">
        <v>183</v>
      </c>
      <c r="B283" s="2" t="s">
        <v>184</v>
      </c>
      <c r="C283" s="6" t="s">
        <v>131</v>
      </c>
      <c r="D283" s="2" t="s">
        <v>123</v>
      </c>
      <c r="E283" s="2"/>
      <c r="F283" s="35">
        <v>10.161978248430804</v>
      </c>
      <c r="G283" s="35">
        <v>-2.3730078196276256</v>
      </c>
      <c r="H283" s="35">
        <v>2.2491625316354118</v>
      </c>
      <c r="I283" s="35">
        <v>6.3966730631281624E-2</v>
      </c>
      <c r="J283" s="35">
        <v>-5.6412544427348462E-3</v>
      </c>
      <c r="K283" s="35">
        <v>-0.45787536680601665</v>
      </c>
      <c r="L283" s="35">
        <v>0.69703486938656245</v>
      </c>
      <c r="M283" s="58" t="s">
        <v>23</v>
      </c>
      <c r="N283" s="7">
        <v>10.416666666666666</v>
      </c>
      <c r="O283" s="7" t="s">
        <v>178</v>
      </c>
      <c r="P283" s="7" t="s">
        <v>178</v>
      </c>
    </row>
    <row r="284" spans="1:16" x14ac:dyDescent="0.25">
      <c r="A284" s="2" t="s">
        <v>183</v>
      </c>
      <c r="B284" s="2" t="s">
        <v>184</v>
      </c>
      <c r="C284" s="6" t="s">
        <v>131</v>
      </c>
      <c r="D284" s="2" t="s">
        <v>124</v>
      </c>
      <c r="E284" s="2"/>
      <c r="F284" s="35">
        <v>0</v>
      </c>
      <c r="G284" s="35">
        <v>15.597927142040765</v>
      </c>
      <c r="H284" s="35">
        <v>-43.954218849047287</v>
      </c>
      <c r="I284" s="35">
        <v>1.0605026715231045</v>
      </c>
      <c r="J284" s="35">
        <v>-1.7456781300102617E-2</v>
      </c>
      <c r="K284" s="35">
        <v>6.6522587808584861</v>
      </c>
      <c r="L284" s="35">
        <v>-99.860476892164996</v>
      </c>
      <c r="M284" s="58" t="s">
        <v>22</v>
      </c>
      <c r="N284" s="7">
        <v>10.416666666666666</v>
      </c>
      <c r="O284" s="7" t="s">
        <v>178</v>
      </c>
      <c r="P284" s="7" t="s">
        <v>178</v>
      </c>
    </row>
    <row r="285" spans="1:16" x14ac:dyDescent="0.25">
      <c r="A285" s="2" t="s">
        <v>183</v>
      </c>
      <c r="B285" s="2" t="s">
        <v>184</v>
      </c>
      <c r="C285" s="6" t="s">
        <v>131</v>
      </c>
      <c r="D285" s="2" t="s">
        <v>124</v>
      </c>
      <c r="E285" s="2"/>
      <c r="F285" s="35">
        <v>4.5</v>
      </c>
      <c r="G285" s="35">
        <v>18.056344642040767</v>
      </c>
      <c r="H285" s="35">
        <v>-14.18671884904729</v>
      </c>
      <c r="I285" s="35">
        <v>1.0605026715231045</v>
      </c>
      <c r="J285" s="35">
        <v>-1.7456781300102617E-2</v>
      </c>
      <c r="K285" s="35">
        <v>1.8799967590045163</v>
      </c>
      <c r="L285" s="35">
        <v>30.956632928547801</v>
      </c>
      <c r="M285" s="58" t="s">
        <v>24</v>
      </c>
      <c r="N285" s="7">
        <v>10.416666666666666</v>
      </c>
      <c r="O285" s="7" t="s">
        <v>178</v>
      </c>
      <c r="P285" s="7" t="s">
        <v>178</v>
      </c>
    </row>
    <row r="286" spans="1:16" x14ac:dyDescent="0.25">
      <c r="A286" s="2" t="s">
        <v>183</v>
      </c>
      <c r="B286" s="2" t="s">
        <v>184</v>
      </c>
      <c r="C286" s="6" t="s">
        <v>131</v>
      </c>
      <c r="D286" s="2" t="s">
        <v>124</v>
      </c>
      <c r="E286" s="2"/>
      <c r="F286" s="35">
        <v>4.5</v>
      </c>
      <c r="G286" s="35">
        <v>18.842485692064571</v>
      </c>
      <c r="H286" s="35">
        <v>-14.187468348543408</v>
      </c>
      <c r="I286" s="35">
        <v>1.0292862843483401</v>
      </c>
      <c r="J286" s="35">
        <v>1.63372714967326E-2</v>
      </c>
      <c r="K286" s="35">
        <v>1.880011659718829</v>
      </c>
      <c r="L286" s="35">
        <v>31.939188728084197</v>
      </c>
      <c r="M286" s="58" t="s">
        <v>24</v>
      </c>
      <c r="N286" s="7">
        <v>10.416666666666666</v>
      </c>
      <c r="O286" s="7" t="s">
        <v>178</v>
      </c>
      <c r="P286" s="7" t="s">
        <v>178</v>
      </c>
    </row>
    <row r="287" spans="1:16" x14ac:dyDescent="0.25">
      <c r="A287" s="2" t="s">
        <v>183</v>
      </c>
      <c r="B287" s="2" t="s">
        <v>184</v>
      </c>
      <c r="C287" s="6" t="s">
        <v>131</v>
      </c>
      <c r="D287" s="2" t="s">
        <v>124</v>
      </c>
      <c r="E287" s="2"/>
      <c r="F287" s="35">
        <v>5.0809891242154022</v>
      </c>
      <c r="G287" s="35">
        <v>19.159888765460309</v>
      </c>
      <c r="H287" s="35">
        <v>-10.344225291858525</v>
      </c>
      <c r="I287" s="35">
        <v>1.0292862843483401</v>
      </c>
      <c r="J287" s="35">
        <v>1.63372714967326E-2</v>
      </c>
      <c r="K287" s="35">
        <v>1.2820075228083616</v>
      </c>
      <c r="L287" s="35">
        <v>39.065512329913034</v>
      </c>
      <c r="M287" s="58" t="s">
        <v>24</v>
      </c>
      <c r="N287" s="7">
        <v>10.416666666666666</v>
      </c>
      <c r="O287" s="7" t="s">
        <v>178</v>
      </c>
      <c r="P287" s="7" t="s">
        <v>178</v>
      </c>
    </row>
    <row r="288" spans="1:16" x14ac:dyDescent="0.25">
      <c r="A288" s="2" t="s">
        <v>183</v>
      </c>
      <c r="B288" s="2" t="s">
        <v>184</v>
      </c>
      <c r="C288" s="6" t="s">
        <v>131</v>
      </c>
      <c r="D288" s="2" t="s">
        <v>124</v>
      </c>
      <c r="E288" s="2"/>
      <c r="F288" s="35">
        <v>10.161978248430804</v>
      </c>
      <c r="G288" s="35">
        <v>21.93570933885605</v>
      </c>
      <c r="H288" s="35">
        <v>23.266517764826361</v>
      </c>
      <c r="I288" s="35">
        <v>1.0292862843483401</v>
      </c>
      <c r="J288" s="35">
        <v>1.63372714967326E-2</v>
      </c>
      <c r="K288" s="35">
        <v>-3.9477848936696351</v>
      </c>
      <c r="L288" s="35">
        <v>6.2364985723729749</v>
      </c>
      <c r="M288" s="58" t="s">
        <v>23</v>
      </c>
      <c r="N288" s="7">
        <v>10.416666666666666</v>
      </c>
      <c r="O288" s="7" t="s">
        <v>178</v>
      </c>
      <c r="P288" s="7" t="s">
        <v>178</v>
      </c>
    </row>
    <row r="289" spans="1:16" x14ac:dyDescent="0.25">
      <c r="A289" s="2" t="s">
        <v>183</v>
      </c>
      <c r="B289" s="2" t="s">
        <v>184</v>
      </c>
      <c r="C289" s="6" t="s">
        <v>131</v>
      </c>
      <c r="D289" s="2" t="s">
        <v>125</v>
      </c>
      <c r="E289" s="2"/>
      <c r="F289" s="35">
        <v>0</v>
      </c>
      <c r="G289" s="35">
        <v>-43.049474028486792</v>
      </c>
      <c r="H289" s="35">
        <v>-26.402947004708647</v>
      </c>
      <c r="I289" s="35">
        <v>3.723120803850672</v>
      </c>
      <c r="J289" s="35">
        <v>-1.0472746097110571E-2</v>
      </c>
      <c r="K289" s="35">
        <v>19.75512416876207</v>
      </c>
      <c r="L289" s="35">
        <v>-60.584863967087742</v>
      </c>
      <c r="M289" s="58" t="s">
        <v>22</v>
      </c>
      <c r="N289" s="7">
        <v>10.416666666666666</v>
      </c>
      <c r="O289" s="7" t="s">
        <v>178</v>
      </c>
      <c r="P289" s="7" t="s">
        <v>178</v>
      </c>
    </row>
    <row r="290" spans="1:16" x14ac:dyDescent="0.25">
      <c r="A290" s="2" t="s">
        <v>183</v>
      </c>
      <c r="B290" s="2" t="s">
        <v>184</v>
      </c>
      <c r="C290" s="6" t="s">
        <v>131</v>
      </c>
      <c r="D290" s="2" t="s">
        <v>125</v>
      </c>
      <c r="E290" s="2"/>
      <c r="F290" s="35">
        <v>4.5</v>
      </c>
      <c r="G290" s="35">
        <v>-40.591056528486789</v>
      </c>
      <c r="H290" s="35">
        <v>-8.5424470047086452</v>
      </c>
      <c r="I290" s="35">
        <v>3.723120803850672</v>
      </c>
      <c r="J290" s="35">
        <v>-1.0472746097110571E-2</v>
      </c>
      <c r="K290" s="35">
        <v>3.0010805514340411</v>
      </c>
      <c r="L290" s="35">
        <v>18.042272554101157</v>
      </c>
      <c r="M290" s="58" t="s">
        <v>24</v>
      </c>
      <c r="N290" s="7">
        <v>10.416666666666666</v>
      </c>
      <c r="O290" s="7" t="s">
        <v>178</v>
      </c>
      <c r="P290" s="7" t="s">
        <v>178</v>
      </c>
    </row>
    <row r="291" spans="1:16" x14ac:dyDescent="0.25">
      <c r="A291" s="2" t="s">
        <v>183</v>
      </c>
      <c r="B291" s="2" t="s">
        <v>184</v>
      </c>
      <c r="C291" s="6" t="s">
        <v>131</v>
      </c>
      <c r="D291" s="2" t="s">
        <v>125</v>
      </c>
      <c r="E291" s="2"/>
      <c r="F291" s="35">
        <v>4.5</v>
      </c>
      <c r="G291" s="35">
        <v>-39.804910194159213</v>
      </c>
      <c r="H291" s="35">
        <v>-8.5427357546669747</v>
      </c>
      <c r="I291" s="35">
        <v>3.7050940022122671</v>
      </c>
      <c r="J291" s="35">
        <v>9.6866290452723436E-3</v>
      </c>
      <c r="K291" s="35">
        <v>3.0011257062980814</v>
      </c>
      <c r="L291" s="35">
        <v>19.024889193753573</v>
      </c>
      <c r="M291" s="58" t="s">
        <v>24</v>
      </c>
      <c r="N291" s="7">
        <v>10.416666666666666</v>
      </c>
      <c r="O291" s="7" t="s">
        <v>178</v>
      </c>
      <c r="P291" s="7" t="s">
        <v>178</v>
      </c>
    </row>
    <row r="292" spans="1:16" x14ac:dyDescent="0.25">
      <c r="A292" s="2" t="s">
        <v>183</v>
      </c>
      <c r="B292" s="2" t="s">
        <v>184</v>
      </c>
      <c r="C292" s="6" t="s">
        <v>131</v>
      </c>
      <c r="D292" s="2" t="s">
        <v>125</v>
      </c>
      <c r="E292" s="2"/>
      <c r="F292" s="35">
        <v>5.0809891242154022</v>
      </c>
      <c r="G292" s="35">
        <v>-39.487507120763482</v>
      </c>
      <c r="H292" s="35">
        <v>-6.2367899206560447</v>
      </c>
      <c r="I292" s="35">
        <v>3.7050940022122671</v>
      </c>
      <c r="J292" s="35">
        <v>9.6866290452723436E-3</v>
      </c>
      <c r="K292" s="35">
        <v>0.84850638681703827</v>
      </c>
      <c r="L292" s="35">
        <v>23.318261032966056</v>
      </c>
      <c r="M292" s="58" t="s">
        <v>24</v>
      </c>
      <c r="N292" s="7">
        <v>10.416666666666666</v>
      </c>
      <c r="O292" s="7" t="s">
        <v>178</v>
      </c>
      <c r="P292" s="7" t="s">
        <v>178</v>
      </c>
    </row>
    <row r="293" spans="1:16" x14ac:dyDescent="0.25">
      <c r="A293" s="2" t="s">
        <v>183</v>
      </c>
      <c r="B293" s="2" t="s">
        <v>184</v>
      </c>
      <c r="C293" s="6" t="s">
        <v>131</v>
      </c>
      <c r="D293" s="2" t="s">
        <v>125</v>
      </c>
      <c r="E293" s="2"/>
      <c r="F293" s="35">
        <v>10.161978248430804</v>
      </c>
      <c r="G293" s="35">
        <v>-36.711686547367741</v>
      </c>
      <c r="H293" s="35">
        <v>13.929655913354884</v>
      </c>
      <c r="I293" s="35">
        <v>3.7050940022122671</v>
      </c>
      <c r="J293" s="35">
        <v>9.6866290452723436E-3</v>
      </c>
      <c r="K293" s="35">
        <v>-17.977035942619207</v>
      </c>
      <c r="L293" s="35">
        <v>3.7745768114913925</v>
      </c>
      <c r="M293" s="58" t="s">
        <v>23</v>
      </c>
      <c r="N293" s="7">
        <v>10.416666666666666</v>
      </c>
      <c r="O293" s="7" t="s">
        <v>178</v>
      </c>
      <c r="P293" s="7" t="s">
        <v>178</v>
      </c>
    </row>
    <row r="294" spans="1:16" x14ac:dyDescent="0.25">
      <c r="A294" s="2" t="s">
        <v>183</v>
      </c>
      <c r="B294" s="2" t="s">
        <v>184</v>
      </c>
      <c r="C294" s="6" t="s">
        <v>131</v>
      </c>
      <c r="D294" s="2" t="s">
        <v>126</v>
      </c>
      <c r="E294" s="2"/>
      <c r="F294" s="35">
        <v>0</v>
      </c>
      <c r="G294" s="35">
        <v>12.600471615797881</v>
      </c>
      <c r="H294" s="35">
        <v>-43.929146187785832</v>
      </c>
      <c r="I294" s="35">
        <v>-1.6971045492957217</v>
      </c>
      <c r="J294" s="35">
        <v>1.2087605704417588E-2</v>
      </c>
      <c r="K294" s="35">
        <v>-9.0129929782717575</v>
      </c>
      <c r="L294" s="35">
        <v>-99.596860625347375</v>
      </c>
      <c r="M294" s="58" t="s">
        <v>22</v>
      </c>
      <c r="N294" s="7">
        <v>10.416666666666666</v>
      </c>
      <c r="O294" s="7" t="s">
        <v>178</v>
      </c>
      <c r="P294" s="7" t="s">
        <v>178</v>
      </c>
    </row>
    <row r="295" spans="1:16" x14ac:dyDescent="0.25">
      <c r="A295" s="2" t="s">
        <v>183</v>
      </c>
      <c r="B295" s="2" t="s">
        <v>184</v>
      </c>
      <c r="C295" s="6" t="s">
        <v>131</v>
      </c>
      <c r="D295" s="2" t="s">
        <v>126</v>
      </c>
      <c r="E295" s="2"/>
      <c r="F295" s="35">
        <v>4.5</v>
      </c>
      <c r="G295" s="35">
        <v>15.058889115797884</v>
      </c>
      <c r="H295" s="35">
        <v>-14.161646187785827</v>
      </c>
      <c r="I295" s="35">
        <v>-1.6971045492957217</v>
      </c>
      <c r="J295" s="35">
        <v>1.2087605704417588E-2</v>
      </c>
      <c r="K295" s="35">
        <v>-1.3760225064410094</v>
      </c>
      <c r="L295" s="35">
        <v>31.107422219688846</v>
      </c>
      <c r="M295" s="58" t="s">
        <v>24</v>
      </c>
      <c r="N295" s="7">
        <v>10.416666666666666</v>
      </c>
      <c r="O295" s="7" t="s">
        <v>178</v>
      </c>
      <c r="P295" s="7" t="s">
        <v>178</v>
      </c>
    </row>
    <row r="296" spans="1:16" x14ac:dyDescent="0.25">
      <c r="A296" s="2" t="s">
        <v>183</v>
      </c>
      <c r="B296" s="2" t="s">
        <v>184</v>
      </c>
      <c r="C296" s="6" t="s">
        <v>131</v>
      </c>
      <c r="D296" s="2" t="s">
        <v>126</v>
      </c>
      <c r="E296" s="2"/>
      <c r="F296" s="35">
        <v>4.5</v>
      </c>
      <c r="G296" s="35">
        <v>15.845019702547473</v>
      </c>
      <c r="H296" s="35">
        <v>-14.162324775081695</v>
      </c>
      <c r="I296" s="35">
        <v>-1.6846453747720247</v>
      </c>
      <c r="J296" s="35">
        <v>-5.8766218113304536E-3</v>
      </c>
      <c r="K296" s="35">
        <v>-1.3760466671167382</v>
      </c>
      <c r="L296" s="35">
        <v>32.089952736817153</v>
      </c>
      <c r="M296" s="58" t="s">
        <v>24</v>
      </c>
      <c r="N296" s="7">
        <v>10.416666666666666</v>
      </c>
      <c r="O296" s="7" t="s">
        <v>178</v>
      </c>
      <c r="P296" s="7" t="s">
        <v>178</v>
      </c>
    </row>
    <row r="297" spans="1:16" x14ac:dyDescent="0.25">
      <c r="A297" s="2" t="s">
        <v>183</v>
      </c>
      <c r="B297" s="2" t="s">
        <v>184</v>
      </c>
      <c r="C297" s="6" t="s">
        <v>131</v>
      </c>
      <c r="D297" s="2" t="s">
        <v>126</v>
      </c>
      <c r="E297" s="2"/>
      <c r="F297" s="35">
        <v>5.0809891242154022</v>
      </c>
      <c r="G297" s="35">
        <v>16.16242277594321</v>
      </c>
      <c r="H297" s="35">
        <v>-10.319081718396811</v>
      </c>
      <c r="I297" s="35">
        <v>-1.6846453747720247</v>
      </c>
      <c r="J297" s="35">
        <v>-5.8766218113304536E-3</v>
      </c>
      <c r="K297" s="35">
        <v>-0.39728602621441239</v>
      </c>
      <c r="L297" s="35">
        <v>39.201668195920824</v>
      </c>
      <c r="M297" s="58" t="s">
        <v>24</v>
      </c>
      <c r="N297" s="7">
        <v>10.416666666666666</v>
      </c>
      <c r="O297" s="7" t="s">
        <v>178</v>
      </c>
      <c r="P297" s="7" t="s">
        <v>178</v>
      </c>
    </row>
    <row r="298" spans="1:16" x14ac:dyDescent="0.25">
      <c r="A298" s="2" t="s">
        <v>183</v>
      </c>
      <c r="B298" s="2" t="s">
        <v>184</v>
      </c>
      <c r="C298" s="6" t="s">
        <v>131</v>
      </c>
      <c r="D298" s="2" t="s">
        <v>126</v>
      </c>
      <c r="E298" s="2"/>
      <c r="F298" s="35">
        <v>10.161978248430804</v>
      </c>
      <c r="G298" s="35">
        <v>18.938243349338951</v>
      </c>
      <c r="H298" s="35">
        <v>23.291661338288073</v>
      </c>
      <c r="I298" s="35">
        <v>-1.6846453747720247</v>
      </c>
      <c r="J298" s="35">
        <v>-5.8766218113304536E-3</v>
      </c>
      <c r="K298" s="35">
        <v>8.1623788011620242</v>
      </c>
      <c r="L298" s="35">
        <v>6.2449002150778892</v>
      </c>
      <c r="M298" s="58" t="s">
        <v>23</v>
      </c>
      <c r="N298" s="7">
        <v>10.416666666666666</v>
      </c>
      <c r="O298" s="7" t="s">
        <v>178</v>
      </c>
      <c r="P298" s="7" t="s">
        <v>178</v>
      </c>
    </row>
    <row r="299" spans="1:16" x14ac:dyDescent="0.25">
      <c r="A299" s="2" t="s">
        <v>183</v>
      </c>
      <c r="B299" s="2" t="s">
        <v>184</v>
      </c>
      <c r="C299" s="6" t="s">
        <v>131</v>
      </c>
      <c r="D299" s="2" t="s">
        <v>127</v>
      </c>
      <c r="E299" s="2"/>
      <c r="F299" s="35">
        <v>0</v>
      </c>
      <c r="G299" s="35">
        <v>-13.108211065601468</v>
      </c>
      <c r="H299" s="35">
        <v>-26.374262495362903</v>
      </c>
      <c r="I299" s="35">
        <v>-3.6214834070402926</v>
      </c>
      <c r="J299" s="35">
        <v>8.4503001181135632E-3</v>
      </c>
      <c r="K299" s="35">
        <v>-19.596715095207319</v>
      </c>
      <c r="L299" s="35">
        <v>-60.285935316041318</v>
      </c>
      <c r="M299" s="58" t="s">
        <v>22</v>
      </c>
      <c r="N299" s="7">
        <v>10.416666666666666</v>
      </c>
      <c r="O299" s="7" t="s">
        <v>178</v>
      </c>
      <c r="P299" s="7" t="s">
        <v>178</v>
      </c>
    </row>
    <row r="300" spans="1:16" x14ac:dyDescent="0.25">
      <c r="A300" s="2" t="s">
        <v>183</v>
      </c>
      <c r="B300" s="2" t="s">
        <v>184</v>
      </c>
      <c r="C300" s="6" t="s">
        <v>131</v>
      </c>
      <c r="D300" s="2" t="s">
        <v>127</v>
      </c>
      <c r="E300" s="2"/>
      <c r="F300" s="35">
        <v>4.5</v>
      </c>
      <c r="G300" s="35">
        <v>-10.649793565601465</v>
      </c>
      <c r="H300" s="35">
        <v>-8.5137624953629043</v>
      </c>
      <c r="I300" s="35">
        <v>-3.6214834070402926</v>
      </c>
      <c r="J300" s="35">
        <v>8.4503001181135632E-3</v>
      </c>
      <c r="K300" s="35">
        <v>-3.3000397635260041</v>
      </c>
      <c r="L300" s="35">
        <v>18.212120913091752</v>
      </c>
      <c r="M300" s="58" t="s">
        <v>24</v>
      </c>
      <c r="N300" s="7">
        <v>10.416666666666666</v>
      </c>
      <c r="O300" s="7" t="s">
        <v>178</v>
      </c>
      <c r="P300" s="7" t="s">
        <v>178</v>
      </c>
    </row>
    <row r="301" spans="1:16" x14ac:dyDescent="0.25">
      <c r="A301" s="2" t="s">
        <v>183</v>
      </c>
      <c r="B301" s="2" t="s">
        <v>184</v>
      </c>
      <c r="C301" s="6" t="s">
        <v>131</v>
      </c>
      <c r="D301" s="2" t="s">
        <v>127</v>
      </c>
      <c r="E301" s="2"/>
      <c r="F301" s="35">
        <v>4.5</v>
      </c>
      <c r="G301" s="35">
        <v>-9.863668881620427</v>
      </c>
      <c r="H301" s="35">
        <v>-8.5141465514091639</v>
      </c>
      <c r="I301" s="35">
        <v>-3.6120735450301904</v>
      </c>
      <c r="J301" s="35">
        <v>-4.5299592953958467E-3</v>
      </c>
      <c r="K301" s="35">
        <v>-3.3000887702466515</v>
      </c>
      <c r="L301" s="35">
        <v>19.194699367090731</v>
      </c>
      <c r="M301" s="58" t="s">
        <v>24</v>
      </c>
      <c r="N301" s="7">
        <v>10.416666666666666</v>
      </c>
      <c r="O301" s="7" t="s">
        <v>178</v>
      </c>
      <c r="P301" s="7" t="s">
        <v>178</v>
      </c>
    </row>
    <row r="302" spans="1:16" x14ac:dyDescent="0.25">
      <c r="A302" s="2" t="s">
        <v>183</v>
      </c>
      <c r="B302" s="2" t="s">
        <v>184</v>
      </c>
      <c r="C302" s="6" t="s">
        <v>131</v>
      </c>
      <c r="D302" s="2" t="s">
        <v>127</v>
      </c>
      <c r="E302" s="2"/>
      <c r="F302" s="35">
        <v>5.0809891242154022</v>
      </c>
      <c r="G302" s="35">
        <v>-9.5462658082246907</v>
      </c>
      <c r="H302" s="35">
        <v>-6.2082007173982339</v>
      </c>
      <c r="I302" s="35">
        <v>-3.6120735450301904</v>
      </c>
      <c r="J302" s="35">
        <v>-4.5299592953958467E-3</v>
      </c>
      <c r="K302" s="35">
        <v>-1.2015133247179395</v>
      </c>
      <c r="L302" s="35">
        <v>23.471461190140445</v>
      </c>
      <c r="M302" s="58" t="s">
        <v>24</v>
      </c>
      <c r="N302" s="7">
        <v>10.416666666666666</v>
      </c>
      <c r="O302" s="7" t="s">
        <v>178</v>
      </c>
      <c r="P302" s="7" t="s">
        <v>178</v>
      </c>
    </row>
    <row r="303" spans="1:16" x14ac:dyDescent="0.25">
      <c r="A303" s="2" t="s">
        <v>183</v>
      </c>
      <c r="B303" s="2" t="s">
        <v>184</v>
      </c>
      <c r="C303" s="6" t="s">
        <v>131</v>
      </c>
      <c r="D303" s="2" t="s">
        <v>127</v>
      </c>
      <c r="E303" s="2"/>
      <c r="F303" s="35">
        <v>10.161978248430804</v>
      </c>
      <c r="G303" s="35">
        <v>-6.7704452348289514</v>
      </c>
      <c r="H303" s="35">
        <v>13.958245116612696</v>
      </c>
      <c r="I303" s="35">
        <v>-3.6120735450301904</v>
      </c>
      <c r="J303" s="35">
        <v>-4.5299592953958467E-3</v>
      </c>
      <c r="K303" s="35">
        <v>17.151393073446627</v>
      </c>
      <c r="L303" s="35">
        <v>3.7825155378428619</v>
      </c>
      <c r="M303" s="58" t="s">
        <v>23</v>
      </c>
      <c r="N303" s="7">
        <v>10.416666666666666</v>
      </c>
      <c r="O303" s="7" t="s">
        <v>178</v>
      </c>
      <c r="P303" s="7" t="s">
        <v>178</v>
      </c>
    </row>
    <row r="304" spans="1:16" x14ac:dyDescent="0.25">
      <c r="A304" s="2" t="s">
        <v>183</v>
      </c>
      <c r="B304" s="2" t="s">
        <v>185</v>
      </c>
      <c r="C304" s="6" t="s">
        <v>132</v>
      </c>
      <c r="D304" s="2" t="s">
        <v>105</v>
      </c>
      <c r="E304" s="2"/>
      <c r="F304" s="35">
        <v>0</v>
      </c>
      <c r="G304" s="35">
        <v>-32.693693467764</v>
      </c>
      <c r="H304" s="35">
        <v>-1.0127104179720479</v>
      </c>
      <c r="I304" s="35">
        <v>-3.8224389263913083E-2</v>
      </c>
      <c r="J304" s="35">
        <v>-1.2314596579594169E-4</v>
      </c>
      <c r="K304" s="35">
        <v>-0.17248861499148543</v>
      </c>
      <c r="L304" s="35">
        <v>-2.2389112911993392</v>
      </c>
      <c r="M304" s="58" t="s">
        <v>22</v>
      </c>
      <c r="N304" s="7">
        <v>11.333333333333334</v>
      </c>
      <c r="O304" s="7" t="s">
        <v>178</v>
      </c>
      <c r="P304" s="7" t="s">
        <v>178</v>
      </c>
    </row>
    <row r="305" spans="1:16" x14ac:dyDescent="0.25">
      <c r="A305" s="2" t="s">
        <v>183</v>
      </c>
      <c r="B305" s="2" t="s">
        <v>185</v>
      </c>
      <c r="C305" s="6" t="s">
        <v>132</v>
      </c>
      <c r="D305" s="2" t="s">
        <v>105</v>
      </c>
      <c r="E305" s="2"/>
      <c r="F305" s="35">
        <v>0.29999999999999988</v>
      </c>
      <c r="G305" s="35">
        <v>-32.529798967764002</v>
      </c>
      <c r="H305" s="35">
        <v>-1.0127104179720479</v>
      </c>
      <c r="I305" s="35">
        <v>-3.8224389263913083E-2</v>
      </c>
      <c r="J305" s="35">
        <v>-1.2314596579594169E-4</v>
      </c>
      <c r="K305" s="35">
        <v>-0.16102129821231151</v>
      </c>
      <c r="L305" s="35">
        <v>-1.9350981658077244</v>
      </c>
      <c r="M305" s="58" t="s">
        <v>22</v>
      </c>
      <c r="N305" s="7">
        <v>11.333333333333334</v>
      </c>
      <c r="O305" s="7" t="s">
        <v>178</v>
      </c>
      <c r="P305" s="7" t="s">
        <v>178</v>
      </c>
    </row>
    <row r="306" spans="1:16" x14ac:dyDescent="0.25">
      <c r="A306" s="2" t="s">
        <v>183</v>
      </c>
      <c r="B306" s="2" t="s">
        <v>185</v>
      </c>
      <c r="C306" s="6" t="s">
        <v>132</v>
      </c>
      <c r="D306" s="2" t="s">
        <v>105</v>
      </c>
      <c r="E306" s="2"/>
      <c r="F306" s="35">
        <v>0.29999999999999988</v>
      </c>
      <c r="G306" s="35">
        <v>-22.671103546654898</v>
      </c>
      <c r="H306" s="35">
        <v>-0.39733219499700922</v>
      </c>
      <c r="I306" s="35">
        <v>-3.4448525309867396E-2</v>
      </c>
      <c r="J306" s="35">
        <v>7.1509094907410244E-4</v>
      </c>
      <c r="K306" s="35">
        <v>-0.14252696314894941</v>
      </c>
      <c r="L306" s="35">
        <v>-1.6509750007030699</v>
      </c>
      <c r="M306" s="58" t="s">
        <v>22</v>
      </c>
      <c r="N306" s="7">
        <v>11.333333333333334</v>
      </c>
      <c r="O306" s="7" t="s">
        <v>178</v>
      </c>
      <c r="P306" s="7" t="s">
        <v>178</v>
      </c>
    </row>
    <row r="307" spans="1:16" x14ac:dyDescent="0.25">
      <c r="A307" s="2" t="s">
        <v>183</v>
      </c>
      <c r="B307" s="2" t="s">
        <v>185</v>
      </c>
      <c r="C307" s="6" t="s">
        <v>132</v>
      </c>
      <c r="D307" s="2" t="s">
        <v>105</v>
      </c>
      <c r="E307" s="2"/>
      <c r="F307" s="35">
        <v>5.3</v>
      </c>
      <c r="G307" s="35">
        <v>-19.939528546654898</v>
      </c>
      <c r="H307" s="35">
        <v>-0.39733219499700922</v>
      </c>
      <c r="I307" s="35">
        <v>-3.4448525309867396E-2</v>
      </c>
      <c r="J307" s="35">
        <v>7.1509094907410244E-4</v>
      </c>
      <c r="K307" s="35">
        <v>2.9715663400387563E-2</v>
      </c>
      <c r="L307" s="35">
        <v>0.33568597428197605</v>
      </c>
      <c r="M307" s="58" t="s">
        <v>24</v>
      </c>
      <c r="N307" s="7">
        <v>11.333333333333334</v>
      </c>
      <c r="O307" s="7" t="s">
        <v>178</v>
      </c>
      <c r="P307" s="7" t="s">
        <v>178</v>
      </c>
    </row>
    <row r="308" spans="1:16" x14ac:dyDescent="0.25">
      <c r="A308" s="2" t="s">
        <v>183</v>
      </c>
      <c r="B308" s="2" t="s">
        <v>185</v>
      </c>
      <c r="C308" s="6" t="s">
        <v>132</v>
      </c>
      <c r="D308" s="2" t="s">
        <v>105</v>
      </c>
      <c r="E308" s="2"/>
      <c r="F308" s="35">
        <v>5.3</v>
      </c>
      <c r="G308" s="35">
        <v>-26.099141091632362</v>
      </c>
      <c r="H308" s="35">
        <v>0.1832957000461535</v>
      </c>
      <c r="I308" s="35">
        <v>-3.7419450449332876E-2</v>
      </c>
      <c r="J308" s="35">
        <v>-8.7777107536615717E-4</v>
      </c>
      <c r="K308" s="35">
        <v>2.9744632987510098E-2</v>
      </c>
      <c r="L308" s="35">
        <v>1.2017151756433773</v>
      </c>
      <c r="M308" s="58" t="s">
        <v>24</v>
      </c>
      <c r="N308" s="7">
        <v>11.333333333333334</v>
      </c>
      <c r="O308" s="7" t="s">
        <v>178</v>
      </c>
      <c r="P308" s="7" t="s">
        <v>178</v>
      </c>
    </row>
    <row r="309" spans="1:16" x14ac:dyDescent="0.25">
      <c r="A309" s="2" t="s">
        <v>183</v>
      </c>
      <c r="B309" s="2" t="s">
        <v>185</v>
      </c>
      <c r="C309" s="6" t="s">
        <v>132</v>
      </c>
      <c r="D309" s="2" t="s">
        <v>105</v>
      </c>
      <c r="E309" s="2"/>
      <c r="F309" s="35">
        <v>5.5393224575487361</v>
      </c>
      <c r="G309" s="35">
        <v>-25.968395643236619</v>
      </c>
      <c r="H309" s="35">
        <v>0.1832957000461535</v>
      </c>
      <c r="I309" s="35">
        <v>-3.7419450449332876E-2</v>
      </c>
      <c r="J309" s="35">
        <v>-8.7777107536615717E-4</v>
      </c>
      <c r="K309" s="35">
        <v>3.8699947829167594E-2</v>
      </c>
      <c r="L309" s="35">
        <v>1.1578483982502159</v>
      </c>
      <c r="M309" s="58" t="s">
        <v>24</v>
      </c>
      <c r="N309" s="7">
        <v>11.333333333333334</v>
      </c>
      <c r="O309" s="7" t="s">
        <v>178</v>
      </c>
      <c r="P309" s="7" t="s">
        <v>178</v>
      </c>
    </row>
    <row r="310" spans="1:16" x14ac:dyDescent="0.25">
      <c r="A310" s="2" t="s">
        <v>183</v>
      </c>
      <c r="B310" s="2" t="s">
        <v>185</v>
      </c>
      <c r="C310" s="6" t="s">
        <v>132</v>
      </c>
      <c r="D310" s="2" t="s">
        <v>105</v>
      </c>
      <c r="E310" s="2"/>
      <c r="F310" s="35">
        <v>11.078644915097472</v>
      </c>
      <c r="G310" s="35">
        <v>-22.942180694840886</v>
      </c>
      <c r="H310" s="35">
        <v>0.1832957000461535</v>
      </c>
      <c r="I310" s="35">
        <v>-3.7419450449332876E-2</v>
      </c>
      <c r="J310" s="35">
        <v>-8.7777107536615717E-4</v>
      </c>
      <c r="K310" s="35">
        <v>0.24597835005228935</v>
      </c>
      <c r="L310" s="35">
        <v>0.14251441061244077</v>
      </c>
      <c r="M310" s="58" t="s">
        <v>23</v>
      </c>
      <c r="N310" s="7">
        <v>11.333333333333334</v>
      </c>
      <c r="O310" s="7" t="s">
        <v>178</v>
      </c>
      <c r="P310" s="7" t="s">
        <v>178</v>
      </c>
    </row>
    <row r="311" spans="1:16" x14ac:dyDescent="0.25">
      <c r="A311" s="2" t="s">
        <v>183</v>
      </c>
      <c r="B311" s="2" t="s">
        <v>185</v>
      </c>
      <c r="C311" s="6" t="s">
        <v>132</v>
      </c>
      <c r="D311" s="2" t="s">
        <v>15</v>
      </c>
      <c r="E311" s="2"/>
      <c r="F311" s="35">
        <v>0</v>
      </c>
      <c r="G311" s="35">
        <v>79.04682678891109</v>
      </c>
      <c r="H311" s="35">
        <v>30.679398089141667</v>
      </c>
      <c r="I311" s="35">
        <v>8.3428987423253623E-2</v>
      </c>
      <c r="J311" s="35">
        <v>-4.7313260071024515E-3</v>
      </c>
      <c r="K311" s="35">
        <v>0.319136639766541</v>
      </c>
      <c r="L311" s="35">
        <v>64.367464865289861</v>
      </c>
      <c r="M311" s="58" t="s">
        <v>22</v>
      </c>
      <c r="N311" s="7">
        <v>11.333333333333334</v>
      </c>
      <c r="O311" s="7" t="s">
        <v>178</v>
      </c>
      <c r="P311" s="7" t="s">
        <v>178</v>
      </c>
    </row>
    <row r="312" spans="1:16" x14ac:dyDescent="0.25">
      <c r="A312" s="2" t="s">
        <v>183</v>
      </c>
      <c r="B312" s="2" t="s">
        <v>185</v>
      </c>
      <c r="C312" s="6" t="s">
        <v>132</v>
      </c>
      <c r="D312" s="2" t="s">
        <v>15</v>
      </c>
      <c r="E312" s="2"/>
      <c r="F312" s="35">
        <v>0.29999999999999988</v>
      </c>
      <c r="G312" s="35">
        <v>79.210721288911088</v>
      </c>
      <c r="H312" s="35">
        <v>29.658798089141669</v>
      </c>
      <c r="I312" s="35">
        <v>8.3428987423253623E-2</v>
      </c>
      <c r="J312" s="35">
        <v>-4.7313260071024515E-3</v>
      </c>
      <c r="K312" s="35">
        <v>0.29410794353956488</v>
      </c>
      <c r="L312" s="35">
        <v>55.316735438547369</v>
      </c>
      <c r="M312" s="58" t="s">
        <v>22</v>
      </c>
      <c r="N312" s="7">
        <v>11.333333333333334</v>
      </c>
      <c r="O312" s="7" t="s">
        <v>178</v>
      </c>
      <c r="P312" s="7" t="s">
        <v>178</v>
      </c>
    </row>
    <row r="313" spans="1:16" x14ac:dyDescent="0.25">
      <c r="A313" s="2" t="s">
        <v>183</v>
      </c>
      <c r="B313" s="2" t="s">
        <v>185</v>
      </c>
      <c r="C313" s="6" t="s">
        <v>132</v>
      </c>
      <c r="D313" s="2" t="s">
        <v>15</v>
      </c>
      <c r="E313" s="2"/>
      <c r="F313" s="35">
        <v>0.29999999999999988</v>
      </c>
      <c r="G313" s="35">
        <v>34.55484984028886</v>
      </c>
      <c r="H313" s="35">
        <v>21.975781780757693</v>
      </c>
      <c r="I313" s="35">
        <v>8.2882538430785913E-2</v>
      </c>
      <c r="J313" s="35">
        <v>-3.469449012501279E-3</v>
      </c>
      <c r="K313" s="35">
        <v>0.2933765012319175</v>
      </c>
      <c r="L313" s="35">
        <v>45.782847469378339</v>
      </c>
      <c r="M313" s="58" t="s">
        <v>22</v>
      </c>
      <c r="N313" s="7">
        <v>11.333333333333334</v>
      </c>
      <c r="O313" s="7" t="s">
        <v>178</v>
      </c>
      <c r="P313" s="7" t="s">
        <v>178</v>
      </c>
    </row>
    <row r="314" spans="1:16" x14ac:dyDescent="0.25">
      <c r="A314" s="2" t="s">
        <v>183</v>
      </c>
      <c r="B314" s="2" t="s">
        <v>185</v>
      </c>
      <c r="C314" s="6" t="s">
        <v>132</v>
      </c>
      <c r="D314" s="2" t="s">
        <v>15</v>
      </c>
      <c r="E314" s="2"/>
      <c r="F314" s="35">
        <v>5.3</v>
      </c>
      <c r="G314" s="35">
        <v>37.286424840288859</v>
      </c>
      <c r="H314" s="35">
        <v>4.9657817807576921</v>
      </c>
      <c r="I314" s="35">
        <v>8.2882538430785913E-2</v>
      </c>
      <c r="J314" s="35">
        <v>-3.469449012501279E-3</v>
      </c>
      <c r="K314" s="35">
        <v>-0.12103619092201205</v>
      </c>
      <c r="L314" s="35">
        <v>-21.571061434410112</v>
      </c>
      <c r="M314" s="58" t="s">
        <v>24</v>
      </c>
      <c r="N314" s="7">
        <v>11.333333333333334</v>
      </c>
      <c r="O314" s="7" t="s">
        <v>178</v>
      </c>
      <c r="P314" s="7" t="s">
        <v>178</v>
      </c>
    </row>
    <row r="315" spans="1:16" x14ac:dyDescent="0.25">
      <c r="A315" s="2" t="s">
        <v>183</v>
      </c>
      <c r="B315" s="2" t="s">
        <v>185</v>
      </c>
      <c r="C315" s="6" t="s">
        <v>132</v>
      </c>
      <c r="D315" s="2" t="s">
        <v>15</v>
      </c>
      <c r="E315" s="2"/>
      <c r="F315" s="35">
        <v>5.3</v>
      </c>
      <c r="G315" s="35">
        <v>69.806861559877746</v>
      </c>
      <c r="H315" s="35">
        <v>8.0424276644881711</v>
      </c>
      <c r="I315" s="35">
        <v>7.8481230868046259E-2</v>
      </c>
      <c r="J315" s="35">
        <v>3.1059091644751423E-3</v>
      </c>
      <c r="K315" s="35">
        <v>-0.12099551112346116</v>
      </c>
      <c r="L315" s="35">
        <v>-13.300423668189351</v>
      </c>
      <c r="M315" s="58" t="s">
        <v>24</v>
      </c>
      <c r="N315" s="7">
        <v>11.333333333333334</v>
      </c>
      <c r="O315" s="7" t="s">
        <v>178</v>
      </c>
      <c r="P315" s="7" t="s">
        <v>178</v>
      </c>
    </row>
    <row r="316" spans="1:16" x14ac:dyDescent="0.25">
      <c r="A316" s="2" t="s">
        <v>183</v>
      </c>
      <c r="B316" s="2" t="s">
        <v>185</v>
      </c>
      <c r="C316" s="6" t="s">
        <v>132</v>
      </c>
      <c r="D316" s="2" t="s">
        <v>15</v>
      </c>
      <c r="E316" s="2"/>
      <c r="F316" s="35">
        <v>5.5393224575487361</v>
      </c>
      <c r="G316" s="35">
        <v>69.93760700827346</v>
      </c>
      <c r="H316" s="35">
        <v>7.2282526639073694</v>
      </c>
      <c r="I316" s="35">
        <v>7.8481230868046259E-2</v>
      </c>
      <c r="J316" s="35">
        <v>3.1059091644751423E-3</v>
      </c>
      <c r="K316" s="35">
        <v>-0.13977783216625173</v>
      </c>
      <c r="L316" s="35">
        <v>-15.127732040505732</v>
      </c>
      <c r="M316" s="58" t="s">
        <v>24</v>
      </c>
      <c r="N316" s="7">
        <v>11.333333333333334</v>
      </c>
      <c r="O316" s="7" t="s">
        <v>178</v>
      </c>
      <c r="P316" s="7" t="s">
        <v>178</v>
      </c>
    </row>
    <row r="317" spans="1:16" x14ac:dyDescent="0.25">
      <c r="A317" s="2" t="s">
        <v>183</v>
      </c>
      <c r="B317" s="2" t="s">
        <v>185</v>
      </c>
      <c r="C317" s="6" t="s">
        <v>132</v>
      </c>
      <c r="D317" s="2" t="s">
        <v>15</v>
      </c>
      <c r="E317" s="2"/>
      <c r="F317" s="35">
        <v>11.078644915097472</v>
      </c>
      <c r="G317" s="35">
        <v>72.963821956669207</v>
      </c>
      <c r="H317" s="35">
        <v>-11.616522336673436</v>
      </c>
      <c r="I317" s="35">
        <v>7.8481230868046259E-2</v>
      </c>
      <c r="J317" s="35">
        <v>3.1059091644751423E-3</v>
      </c>
      <c r="K317" s="35">
        <v>-0.57451067680968748</v>
      </c>
      <c r="L317" s="35">
        <v>-2.9737116664391725</v>
      </c>
      <c r="M317" s="58" t="s">
        <v>23</v>
      </c>
      <c r="N317" s="7">
        <v>11.333333333333334</v>
      </c>
      <c r="O317" s="7" t="s">
        <v>178</v>
      </c>
      <c r="P317" s="7" t="s">
        <v>178</v>
      </c>
    </row>
    <row r="318" spans="1:16" x14ac:dyDescent="0.25">
      <c r="A318" s="2" t="s">
        <v>183</v>
      </c>
      <c r="B318" s="2" t="s">
        <v>185</v>
      </c>
      <c r="C318" s="6" t="s">
        <v>132</v>
      </c>
      <c r="D318" s="2" t="s">
        <v>16</v>
      </c>
      <c r="E318" s="2"/>
      <c r="F318" s="35">
        <v>0</v>
      </c>
      <c r="G318" s="35">
        <v>63.929886557250555</v>
      </c>
      <c r="H318" s="35">
        <v>47.651195326559389</v>
      </c>
      <c r="I318" s="35">
        <v>7.8688812894848276E-2</v>
      </c>
      <c r="J318" s="35">
        <v>-2.7522994298313373E-3</v>
      </c>
      <c r="K318" s="35">
        <v>0.31273754996117398</v>
      </c>
      <c r="L318" s="35">
        <v>97.386957193660606</v>
      </c>
      <c r="M318" s="58" t="s">
        <v>22</v>
      </c>
      <c r="N318" s="7">
        <v>11.333333333333334</v>
      </c>
      <c r="O318" s="7" t="s">
        <v>178</v>
      </c>
      <c r="P318" s="7" t="s">
        <v>178</v>
      </c>
    </row>
    <row r="319" spans="1:16" x14ac:dyDescent="0.25">
      <c r="A319" s="2" t="s">
        <v>183</v>
      </c>
      <c r="B319" s="2" t="s">
        <v>185</v>
      </c>
      <c r="C319" s="6" t="s">
        <v>132</v>
      </c>
      <c r="D319" s="2" t="s">
        <v>16</v>
      </c>
      <c r="E319" s="2"/>
      <c r="F319" s="35">
        <v>0.29999999999999988</v>
      </c>
      <c r="G319" s="35">
        <v>64.093781057250553</v>
      </c>
      <c r="H319" s="35">
        <v>45.83679532655939</v>
      </c>
      <c r="I319" s="35">
        <v>7.8688812894848276E-2</v>
      </c>
      <c r="J319" s="35">
        <v>-2.7522994298313373E-3</v>
      </c>
      <c r="K319" s="35">
        <v>0.28913090609271958</v>
      </c>
      <c r="L319" s="35">
        <v>83.363758595692801</v>
      </c>
      <c r="M319" s="58" t="s">
        <v>22</v>
      </c>
      <c r="N319" s="7">
        <v>11.333333333333334</v>
      </c>
      <c r="O319" s="7" t="s">
        <v>178</v>
      </c>
      <c r="P319" s="7" t="s">
        <v>178</v>
      </c>
    </row>
    <row r="320" spans="1:16" x14ac:dyDescent="0.25">
      <c r="A320" s="2" t="s">
        <v>183</v>
      </c>
      <c r="B320" s="2" t="s">
        <v>185</v>
      </c>
      <c r="C320" s="6" t="s">
        <v>132</v>
      </c>
      <c r="D320" s="2" t="s">
        <v>16</v>
      </c>
      <c r="E320" s="2"/>
      <c r="F320" s="35">
        <v>0.29999999999999988</v>
      </c>
      <c r="G320" s="35">
        <v>11.869420036104174</v>
      </c>
      <c r="H320" s="35">
        <v>35.097696932130162</v>
      </c>
      <c r="I320" s="35">
        <v>7.5820728977963353E-2</v>
      </c>
      <c r="J320" s="35">
        <v>-2.5577422799908517E-3</v>
      </c>
      <c r="K320" s="35">
        <v>0.27630283557084695</v>
      </c>
      <c r="L320" s="35">
        <v>69.197270558337962</v>
      </c>
      <c r="M320" s="58" t="s">
        <v>22</v>
      </c>
      <c r="N320" s="7">
        <v>11.333333333333334</v>
      </c>
      <c r="O320" s="7" t="s">
        <v>178</v>
      </c>
      <c r="P320" s="7" t="s">
        <v>178</v>
      </c>
    </row>
    <row r="321" spans="1:16" x14ac:dyDescent="0.25">
      <c r="A321" s="2" t="s">
        <v>183</v>
      </c>
      <c r="B321" s="2" t="s">
        <v>185</v>
      </c>
      <c r="C321" s="6" t="s">
        <v>132</v>
      </c>
      <c r="D321" s="2" t="s">
        <v>16</v>
      </c>
      <c r="E321" s="2"/>
      <c r="F321" s="35">
        <v>5.3</v>
      </c>
      <c r="G321" s="35">
        <v>14.600995036104175</v>
      </c>
      <c r="H321" s="35">
        <v>4.8576969321301586</v>
      </c>
      <c r="I321" s="35">
        <v>7.5820728977963353E-2</v>
      </c>
      <c r="J321" s="35">
        <v>-2.5577422799908517E-3</v>
      </c>
      <c r="K321" s="35">
        <v>-0.1028008093189698</v>
      </c>
      <c r="L321" s="35">
        <v>-30.691214102312824</v>
      </c>
      <c r="M321" s="58" t="s">
        <v>24</v>
      </c>
      <c r="N321" s="7">
        <v>11.333333333333334</v>
      </c>
      <c r="O321" s="7" t="s">
        <v>178</v>
      </c>
      <c r="P321" s="7" t="s">
        <v>178</v>
      </c>
    </row>
    <row r="322" spans="1:16" x14ac:dyDescent="0.25">
      <c r="A322" s="2" t="s">
        <v>183</v>
      </c>
      <c r="B322" s="2" t="s">
        <v>185</v>
      </c>
      <c r="C322" s="6" t="s">
        <v>132</v>
      </c>
      <c r="D322" s="2" t="s">
        <v>16</v>
      </c>
      <c r="E322" s="2"/>
      <c r="F322" s="35">
        <v>5.3</v>
      </c>
      <c r="G322" s="35">
        <v>50.277250851808546</v>
      </c>
      <c r="H322" s="35">
        <v>15.972010045655017</v>
      </c>
      <c r="I322" s="35">
        <v>7.5177806578388795E-2</v>
      </c>
      <c r="J322" s="35">
        <v>2.7408669805539087E-3</v>
      </c>
      <c r="K322" s="35">
        <v>-0.1028111364750478</v>
      </c>
      <c r="L322" s="35">
        <v>-13.618144388879807</v>
      </c>
      <c r="M322" s="58" t="s">
        <v>24</v>
      </c>
      <c r="N322" s="7">
        <v>11.333333333333334</v>
      </c>
      <c r="O322" s="7" t="s">
        <v>178</v>
      </c>
      <c r="P322" s="7" t="s">
        <v>178</v>
      </c>
    </row>
    <row r="323" spans="1:16" x14ac:dyDescent="0.25">
      <c r="A323" s="2" t="s">
        <v>183</v>
      </c>
      <c r="B323" s="2" t="s">
        <v>185</v>
      </c>
      <c r="C323" s="6" t="s">
        <v>132</v>
      </c>
      <c r="D323" s="2" t="s">
        <v>16</v>
      </c>
      <c r="E323" s="2"/>
      <c r="F323" s="35">
        <v>5.5393224575487361</v>
      </c>
      <c r="G323" s="35">
        <v>50.407996300204275</v>
      </c>
      <c r="H323" s="35">
        <v>14.52458782240026</v>
      </c>
      <c r="I323" s="35">
        <v>7.5177806578388795E-2</v>
      </c>
      <c r="J323" s="35">
        <v>2.7408669805539087E-3</v>
      </c>
      <c r="K323" s="35">
        <v>-0.12080287389851135</v>
      </c>
      <c r="L323" s="35">
        <v>-17.267404763209079</v>
      </c>
      <c r="M323" s="58" t="s">
        <v>24</v>
      </c>
      <c r="N323" s="7">
        <v>11.333333333333334</v>
      </c>
      <c r="O323" s="7" t="s">
        <v>178</v>
      </c>
      <c r="P323" s="7" t="s">
        <v>178</v>
      </c>
    </row>
    <row r="324" spans="1:16" x14ac:dyDescent="0.25">
      <c r="A324" s="2" t="s">
        <v>183</v>
      </c>
      <c r="B324" s="2" t="s">
        <v>185</v>
      </c>
      <c r="C324" s="6" t="s">
        <v>132</v>
      </c>
      <c r="D324" s="2" t="s">
        <v>16</v>
      </c>
      <c r="E324" s="2"/>
      <c r="F324" s="35">
        <v>11.078644915097472</v>
      </c>
      <c r="G324" s="35">
        <v>53.434211248600015</v>
      </c>
      <c r="H324" s="35">
        <v>-18.977234400854496</v>
      </c>
      <c r="I324" s="35">
        <v>7.5177806578388795E-2</v>
      </c>
      <c r="J324" s="35">
        <v>2.7408669805539087E-3</v>
      </c>
      <c r="K324" s="35">
        <v>-0.53723698618743554</v>
      </c>
      <c r="L324" s="35">
        <v>-4.935082169429533</v>
      </c>
      <c r="M324" s="58" t="s">
        <v>23</v>
      </c>
      <c r="N324" s="7">
        <v>11.333333333333334</v>
      </c>
      <c r="O324" s="7" t="s">
        <v>178</v>
      </c>
      <c r="P324" s="7" t="s">
        <v>178</v>
      </c>
    </row>
    <row r="325" spans="1:16" x14ac:dyDescent="0.25">
      <c r="A325" s="2" t="s">
        <v>183</v>
      </c>
      <c r="B325" s="2" t="s">
        <v>185</v>
      </c>
      <c r="C325" s="6" t="s">
        <v>132</v>
      </c>
      <c r="D325" s="2" t="s">
        <v>106</v>
      </c>
      <c r="E325" s="2"/>
      <c r="F325" s="35">
        <v>0</v>
      </c>
      <c r="G325" s="35">
        <v>1.7103629402571783</v>
      </c>
      <c r="H325" s="35">
        <v>-30.418368601541932</v>
      </c>
      <c r="I325" s="35">
        <v>-8.6016573356710053E-3</v>
      </c>
      <c r="J325" s="35">
        <v>-3.9597203112430486E-3</v>
      </c>
      <c r="K325" s="35">
        <v>-6.7554251834605547E-2</v>
      </c>
      <c r="L325" s="35">
        <v>-65.234268107072452</v>
      </c>
      <c r="M325" s="58" t="s">
        <v>22</v>
      </c>
      <c r="N325" s="7">
        <v>11.333333333333334</v>
      </c>
      <c r="O325" s="7" t="s">
        <v>178</v>
      </c>
      <c r="P325" s="7" t="s">
        <v>178</v>
      </c>
    </row>
    <row r="326" spans="1:16" x14ac:dyDescent="0.25">
      <c r="A326" s="2" t="s">
        <v>183</v>
      </c>
      <c r="B326" s="2" t="s">
        <v>185</v>
      </c>
      <c r="C326" s="6" t="s">
        <v>132</v>
      </c>
      <c r="D326" s="2" t="s">
        <v>106</v>
      </c>
      <c r="E326" s="2"/>
      <c r="F326" s="35">
        <v>0.29999999999999988</v>
      </c>
      <c r="G326" s="35">
        <v>1.8742574402571768</v>
      </c>
      <c r="H326" s="35">
        <v>-29.397768601541934</v>
      </c>
      <c r="I326" s="35">
        <v>-8.6016573356710053E-3</v>
      </c>
      <c r="J326" s="35">
        <v>-3.9597203112430486E-3</v>
      </c>
      <c r="K326" s="35">
        <v>-6.4973754633904229E-2</v>
      </c>
      <c r="L326" s="35">
        <v>-56.26184752660987</v>
      </c>
      <c r="M326" s="58" t="s">
        <v>22</v>
      </c>
      <c r="N326" s="7">
        <v>11.333333333333334</v>
      </c>
      <c r="O326" s="7" t="s">
        <v>178</v>
      </c>
      <c r="P326" s="7" t="s">
        <v>178</v>
      </c>
    </row>
    <row r="327" spans="1:16" x14ac:dyDescent="0.25">
      <c r="A327" s="2" t="s">
        <v>183</v>
      </c>
      <c r="B327" s="2" t="s">
        <v>185</v>
      </c>
      <c r="C327" s="6" t="s">
        <v>132</v>
      </c>
      <c r="D327" s="2" t="s">
        <v>106</v>
      </c>
      <c r="E327" s="2"/>
      <c r="F327" s="35">
        <v>0.29999999999999988</v>
      </c>
      <c r="G327" s="35">
        <v>26.306495763949322</v>
      </c>
      <c r="H327" s="35">
        <v>-22.500743546508385</v>
      </c>
      <c r="I327" s="35">
        <v>-2.2806952468356748E-3</v>
      </c>
      <c r="J327" s="35">
        <v>-1.4678043209548331E-3</v>
      </c>
      <c r="K327" s="35">
        <v>-3.2585919064122788E-2</v>
      </c>
      <c r="L327" s="35">
        <v>-46.294397031893958</v>
      </c>
      <c r="M327" s="58" t="s">
        <v>22</v>
      </c>
      <c r="N327" s="7">
        <v>11.333333333333334</v>
      </c>
      <c r="O327" s="7" t="s">
        <v>178</v>
      </c>
      <c r="P327" s="7" t="s">
        <v>178</v>
      </c>
    </row>
    <row r="328" spans="1:16" x14ac:dyDescent="0.25">
      <c r="A328" s="2" t="s">
        <v>183</v>
      </c>
      <c r="B328" s="2" t="s">
        <v>185</v>
      </c>
      <c r="C328" s="6" t="s">
        <v>132</v>
      </c>
      <c r="D328" s="2" t="s">
        <v>106</v>
      </c>
      <c r="E328" s="2"/>
      <c r="F328" s="35">
        <v>5.3</v>
      </c>
      <c r="G328" s="35">
        <v>29.038070763949321</v>
      </c>
      <c r="H328" s="35">
        <v>-5.4907435465083827</v>
      </c>
      <c r="I328" s="35">
        <v>-2.2806952468356748E-3</v>
      </c>
      <c r="J328" s="35">
        <v>-1.4678043209548331E-3</v>
      </c>
      <c r="K328" s="35">
        <v>-2.1182442829944418E-2</v>
      </c>
      <c r="L328" s="35">
        <v>23.684320700647959</v>
      </c>
      <c r="M328" s="58" t="s">
        <v>24</v>
      </c>
      <c r="N328" s="7">
        <v>11.333333333333334</v>
      </c>
      <c r="O328" s="7" t="s">
        <v>178</v>
      </c>
      <c r="P328" s="7" t="s">
        <v>178</v>
      </c>
    </row>
    <row r="329" spans="1:16" x14ac:dyDescent="0.25">
      <c r="A329" s="2" t="s">
        <v>183</v>
      </c>
      <c r="B329" s="2" t="s">
        <v>185</v>
      </c>
      <c r="C329" s="6" t="s">
        <v>132</v>
      </c>
      <c r="D329" s="2" t="s">
        <v>106</v>
      </c>
      <c r="E329" s="2"/>
      <c r="F329" s="35">
        <v>5.3</v>
      </c>
      <c r="G329" s="35">
        <v>22.006253012119377</v>
      </c>
      <c r="H329" s="35">
        <v>-9.2343495463299821</v>
      </c>
      <c r="I329" s="35">
        <v>-1.0705285323523795E-2</v>
      </c>
      <c r="J329" s="35">
        <v>2.1086671395146184E-3</v>
      </c>
      <c r="K329" s="35">
        <v>-2.1065134119834489E-2</v>
      </c>
      <c r="L329" s="35">
        <v>6.3003141630836152</v>
      </c>
      <c r="M329" s="58" t="s">
        <v>24</v>
      </c>
      <c r="N329" s="7">
        <v>11.333333333333334</v>
      </c>
      <c r="O329" s="7" t="s">
        <v>178</v>
      </c>
      <c r="P329" s="7" t="s">
        <v>178</v>
      </c>
    </row>
    <row r="330" spans="1:16" x14ac:dyDescent="0.25">
      <c r="A330" s="2" t="s">
        <v>183</v>
      </c>
      <c r="B330" s="2" t="s">
        <v>185</v>
      </c>
      <c r="C330" s="6" t="s">
        <v>132</v>
      </c>
      <c r="D330" s="2" t="s">
        <v>106</v>
      </c>
      <c r="E330" s="2"/>
      <c r="F330" s="35">
        <v>5.5393224575487361</v>
      </c>
      <c r="G330" s="35">
        <v>22.136998460515112</v>
      </c>
      <c r="H330" s="35">
        <v>-8.4201745457491821</v>
      </c>
      <c r="I330" s="35">
        <v>-1.0705285323523795E-2</v>
      </c>
      <c r="J330" s="35">
        <v>2.1086671395146184E-3</v>
      </c>
      <c r="K330" s="35">
        <v>-1.8503118927448364E-2</v>
      </c>
      <c r="L330" s="35">
        <v>8.4128762093684912</v>
      </c>
      <c r="M330" s="58" t="s">
        <v>24</v>
      </c>
      <c r="N330" s="7">
        <v>11.333333333333334</v>
      </c>
      <c r="O330" s="7" t="s">
        <v>178</v>
      </c>
      <c r="P330" s="7" t="s">
        <v>178</v>
      </c>
    </row>
    <row r="331" spans="1:16" x14ac:dyDescent="0.25">
      <c r="A331" s="2" t="s">
        <v>183</v>
      </c>
      <c r="B331" s="2" t="s">
        <v>185</v>
      </c>
      <c r="C331" s="6" t="s">
        <v>132</v>
      </c>
      <c r="D331" s="2" t="s">
        <v>106</v>
      </c>
      <c r="E331" s="2"/>
      <c r="F331" s="35">
        <v>11.078644915097472</v>
      </c>
      <c r="G331" s="35">
        <v>25.163213408910853</v>
      </c>
      <c r="H331" s="35">
        <v>10.424600454831623</v>
      </c>
      <c r="I331" s="35">
        <v>-1.0705285323523795E-2</v>
      </c>
      <c r="J331" s="35">
        <v>2.1086671395146184E-3</v>
      </c>
      <c r="K331" s="35">
        <v>4.0796908479613883E-2</v>
      </c>
      <c r="L331" s="35">
        <v>2.8612954830320336</v>
      </c>
      <c r="M331" s="58" t="s">
        <v>23</v>
      </c>
      <c r="N331" s="7">
        <v>11.333333333333334</v>
      </c>
      <c r="O331" s="7" t="s">
        <v>178</v>
      </c>
      <c r="P331" s="7" t="s">
        <v>178</v>
      </c>
    </row>
    <row r="332" spans="1:16" x14ac:dyDescent="0.25">
      <c r="A332" s="2" t="s">
        <v>183</v>
      </c>
      <c r="B332" s="2" t="s">
        <v>185</v>
      </c>
      <c r="C332" s="6" t="s">
        <v>132</v>
      </c>
      <c r="D332" s="2" t="s">
        <v>107</v>
      </c>
      <c r="E332" s="2"/>
      <c r="F332" s="35">
        <v>0</v>
      </c>
      <c r="G332" s="35">
        <v>-13.431251015863459</v>
      </c>
      <c r="H332" s="35">
        <v>-13.43909104552462</v>
      </c>
      <c r="I332" s="35">
        <v>-1.0142932781269279E-2</v>
      </c>
      <c r="J332" s="35">
        <v>-1.9323804812617917E-3</v>
      </c>
      <c r="K332" s="35">
        <v>-6.1561110282445396E-2</v>
      </c>
      <c r="L332" s="35">
        <v>-32.194075549793538</v>
      </c>
      <c r="M332" s="58" t="s">
        <v>22</v>
      </c>
      <c r="N332" s="7">
        <v>11.333333333333334</v>
      </c>
      <c r="O332" s="7" t="s">
        <v>178</v>
      </c>
      <c r="P332" s="7" t="s">
        <v>178</v>
      </c>
    </row>
    <row r="333" spans="1:16" x14ac:dyDescent="0.25">
      <c r="A333" s="2" t="s">
        <v>183</v>
      </c>
      <c r="B333" s="2" t="s">
        <v>185</v>
      </c>
      <c r="C333" s="6" t="s">
        <v>132</v>
      </c>
      <c r="D333" s="2" t="s">
        <v>107</v>
      </c>
      <c r="E333" s="2"/>
      <c r="F333" s="35">
        <v>0.29999999999999988</v>
      </c>
      <c r="G333" s="35">
        <v>-13.26735651586346</v>
      </c>
      <c r="H333" s="35">
        <v>-13.212291045524621</v>
      </c>
      <c r="I333" s="35">
        <v>-1.0142932781269279E-2</v>
      </c>
      <c r="J333" s="35">
        <v>-1.9323804812617917E-3</v>
      </c>
      <c r="K333" s="35">
        <v>-5.8518230448064611E-2</v>
      </c>
      <c r="L333" s="35">
        <v>-28.196368236136152</v>
      </c>
      <c r="M333" s="58" t="s">
        <v>22</v>
      </c>
      <c r="N333" s="7">
        <v>11.333333333333334</v>
      </c>
      <c r="O333" s="7" t="s">
        <v>178</v>
      </c>
      <c r="P333" s="7" t="s">
        <v>178</v>
      </c>
    </row>
    <row r="334" spans="1:16" x14ac:dyDescent="0.25">
      <c r="A334" s="2" t="s">
        <v>183</v>
      </c>
      <c r="B334" s="2" t="s">
        <v>185</v>
      </c>
      <c r="C334" s="6" t="s">
        <v>132</v>
      </c>
      <c r="D334" s="2" t="s">
        <v>107</v>
      </c>
      <c r="E334" s="2"/>
      <c r="F334" s="35">
        <v>0.29999999999999988</v>
      </c>
      <c r="G334" s="35">
        <v>3.5946728061249988</v>
      </c>
      <c r="H334" s="35">
        <v>-9.3734942394289771</v>
      </c>
      <c r="I334" s="35">
        <v>-6.4296397058001839E-3</v>
      </c>
      <c r="J334" s="35">
        <v>-5.8200153413448302E-4</v>
      </c>
      <c r="K334" s="35">
        <v>-3.9629241930992376E-2</v>
      </c>
      <c r="L334" s="35">
        <v>-22.865234217561358</v>
      </c>
      <c r="M334" s="58" t="s">
        <v>22</v>
      </c>
      <c r="N334" s="7">
        <v>11.333333333333334</v>
      </c>
      <c r="O334" s="7" t="s">
        <v>178</v>
      </c>
      <c r="P334" s="7" t="s">
        <v>178</v>
      </c>
    </row>
    <row r="335" spans="1:16" x14ac:dyDescent="0.25">
      <c r="A335" s="2" t="s">
        <v>183</v>
      </c>
      <c r="B335" s="2" t="s">
        <v>185</v>
      </c>
      <c r="C335" s="6" t="s">
        <v>132</v>
      </c>
      <c r="D335" s="2" t="s">
        <v>107</v>
      </c>
      <c r="E335" s="2"/>
      <c r="F335" s="35">
        <v>5.3</v>
      </c>
      <c r="G335" s="35">
        <v>6.3262478061249992</v>
      </c>
      <c r="H335" s="35">
        <v>-5.5934942394289786</v>
      </c>
      <c r="I335" s="35">
        <v>-6.4296397058001839E-3</v>
      </c>
      <c r="J335" s="35">
        <v>-5.8200153413448302E-4</v>
      </c>
      <c r="K335" s="35">
        <v>-7.4810434019914589E-3</v>
      </c>
      <c r="L335" s="35">
        <v>14.55223697958353</v>
      </c>
      <c r="M335" s="58" t="s">
        <v>24</v>
      </c>
      <c r="N335" s="7">
        <v>11.333333333333334</v>
      </c>
      <c r="O335" s="7" t="s">
        <v>178</v>
      </c>
      <c r="P335" s="7" t="s">
        <v>178</v>
      </c>
    </row>
    <row r="336" spans="1:16" x14ac:dyDescent="0.25">
      <c r="A336" s="2" t="s">
        <v>183</v>
      </c>
      <c r="B336" s="2" t="s">
        <v>185</v>
      </c>
      <c r="C336" s="6" t="s">
        <v>132</v>
      </c>
      <c r="D336" s="2" t="s">
        <v>107</v>
      </c>
      <c r="E336" s="2"/>
      <c r="F336" s="35">
        <v>5.3</v>
      </c>
      <c r="G336" s="35">
        <v>2.4445758468297187</v>
      </c>
      <c r="H336" s="35">
        <v>-1.3058407436072612</v>
      </c>
      <c r="I336" s="35">
        <v>-1.0842200000646552E-2</v>
      </c>
      <c r="J336" s="35">
        <v>1.7595422287533062E-3</v>
      </c>
      <c r="K336" s="35">
        <v>-7.4291074875931975E-3</v>
      </c>
      <c r="L336" s="35">
        <v>5.9761154278663398</v>
      </c>
      <c r="M336" s="58" t="s">
        <v>24</v>
      </c>
      <c r="N336" s="7">
        <v>11.333333333333334</v>
      </c>
      <c r="O336" s="7" t="s">
        <v>178</v>
      </c>
      <c r="P336" s="7" t="s">
        <v>178</v>
      </c>
    </row>
    <row r="337" spans="1:16" x14ac:dyDescent="0.25">
      <c r="A337" s="2" t="s">
        <v>183</v>
      </c>
      <c r="B337" s="2" t="s">
        <v>185</v>
      </c>
      <c r="C337" s="6" t="s">
        <v>132</v>
      </c>
      <c r="D337" s="2" t="s">
        <v>107</v>
      </c>
      <c r="E337" s="2"/>
      <c r="F337" s="35">
        <v>5.5393224575487361</v>
      </c>
      <c r="G337" s="35">
        <v>2.5753212952254558</v>
      </c>
      <c r="H337" s="35">
        <v>-1.1249129657004167</v>
      </c>
      <c r="I337" s="35">
        <v>-1.0842200000646552E-2</v>
      </c>
      <c r="J337" s="35">
        <v>1.7595422287533062E-3</v>
      </c>
      <c r="K337" s="35">
        <v>-4.8343255382035611E-3</v>
      </c>
      <c r="L337" s="35">
        <v>6.2669824035699495</v>
      </c>
      <c r="M337" s="58" t="s">
        <v>24</v>
      </c>
      <c r="N337" s="7">
        <v>11.333333333333334</v>
      </c>
      <c r="O337" s="7" t="s">
        <v>178</v>
      </c>
      <c r="P337" s="7" t="s">
        <v>178</v>
      </c>
    </row>
    <row r="338" spans="1:16" x14ac:dyDescent="0.25">
      <c r="A338" s="2" t="s">
        <v>183</v>
      </c>
      <c r="B338" s="2" t="s">
        <v>185</v>
      </c>
      <c r="C338" s="6" t="s">
        <v>132</v>
      </c>
      <c r="D338" s="2" t="s">
        <v>107</v>
      </c>
      <c r="E338" s="2"/>
      <c r="F338" s="35">
        <v>11.078644915097472</v>
      </c>
      <c r="G338" s="35">
        <v>5.6015362436211937</v>
      </c>
      <c r="H338" s="35">
        <v>3.0628148122064283</v>
      </c>
      <c r="I338" s="35">
        <v>-1.0842200000646552E-2</v>
      </c>
      <c r="J338" s="35">
        <v>1.7595422287533062E-3</v>
      </c>
      <c r="K338" s="35">
        <v>5.5224116414612813E-2</v>
      </c>
      <c r="L338" s="35">
        <v>0.89965079413199167</v>
      </c>
      <c r="M338" s="58" t="s">
        <v>23</v>
      </c>
      <c r="N338" s="7">
        <v>11.333333333333334</v>
      </c>
      <c r="O338" s="7" t="s">
        <v>178</v>
      </c>
      <c r="P338" s="7" t="s">
        <v>178</v>
      </c>
    </row>
    <row r="339" spans="1:16" x14ac:dyDescent="0.25">
      <c r="A339" s="2" t="s">
        <v>183</v>
      </c>
      <c r="B339" s="2" t="s">
        <v>185</v>
      </c>
      <c r="C339" s="6" t="s">
        <v>132</v>
      </c>
      <c r="D339" s="2" t="s">
        <v>108</v>
      </c>
      <c r="E339" s="2"/>
      <c r="F339" s="35">
        <v>0</v>
      </c>
      <c r="G339" s="35">
        <v>5.7937304018645399</v>
      </c>
      <c r="H339" s="35">
        <v>-43.664348793728543</v>
      </c>
      <c r="I339" s="35">
        <v>1.3796013573218326</v>
      </c>
      <c r="J339" s="35">
        <v>7.830437020907248E-2</v>
      </c>
      <c r="K339" s="35">
        <v>8.3458054244264019</v>
      </c>
      <c r="L339" s="35">
        <v>-85.383463276257231</v>
      </c>
      <c r="M339" s="58" t="s">
        <v>22</v>
      </c>
      <c r="N339" s="7">
        <v>11.333333333333334</v>
      </c>
      <c r="O339" s="7" t="s">
        <v>178</v>
      </c>
      <c r="P339" s="7" t="s">
        <v>178</v>
      </c>
    </row>
    <row r="340" spans="1:16" x14ac:dyDescent="0.25">
      <c r="A340" s="2" t="s">
        <v>183</v>
      </c>
      <c r="B340" s="2" t="s">
        <v>185</v>
      </c>
      <c r="C340" s="6" t="s">
        <v>132</v>
      </c>
      <c r="D340" s="2" t="s">
        <v>108</v>
      </c>
      <c r="E340" s="2"/>
      <c r="F340" s="35">
        <v>0.29999999999999988</v>
      </c>
      <c r="G340" s="35">
        <v>5.9576249018645386</v>
      </c>
      <c r="H340" s="35">
        <v>-41.679848793728546</v>
      </c>
      <c r="I340" s="35">
        <v>1.3796013573218326</v>
      </c>
      <c r="J340" s="35">
        <v>7.830437020907248E-2</v>
      </c>
      <c r="K340" s="35">
        <v>7.9319250172298528</v>
      </c>
      <c r="L340" s="35">
        <v>-72.581833638138647</v>
      </c>
      <c r="M340" s="58" t="s">
        <v>22</v>
      </c>
      <c r="N340" s="7">
        <v>11.333333333333334</v>
      </c>
      <c r="O340" s="7" t="s">
        <v>178</v>
      </c>
      <c r="P340" s="7" t="s">
        <v>178</v>
      </c>
    </row>
    <row r="341" spans="1:16" x14ac:dyDescent="0.25">
      <c r="A341" s="2" t="s">
        <v>183</v>
      </c>
      <c r="B341" s="2" t="s">
        <v>185</v>
      </c>
      <c r="C341" s="6" t="s">
        <v>132</v>
      </c>
      <c r="D341" s="2" t="s">
        <v>108</v>
      </c>
      <c r="E341" s="2"/>
      <c r="F341" s="35">
        <v>0.29999999999999988</v>
      </c>
      <c r="G341" s="35">
        <v>34.837270684373181</v>
      </c>
      <c r="H341" s="35">
        <v>-33.353177037992516</v>
      </c>
      <c r="I341" s="35">
        <v>1.0839724246973839</v>
      </c>
      <c r="J341" s="35">
        <v>-7.617898951661789E-3</v>
      </c>
      <c r="K341" s="35">
        <v>6.4491002583959816</v>
      </c>
      <c r="L341" s="35">
        <v>-60.603313668574316</v>
      </c>
      <c r="M341" s="58" t="s">
        <v>22</v>
      </c>
      <c r="N341" s="7">
        <v>11.333333333333334</v>
      </c>
      <c r="O341" s="7" t="s">
        <v>178</v>
      </c>
      <c r="P341" s="7" t="s">
        <v>178</v>
      </c>
    </row>
    <row r="342" spans="1:16" x14ac:dyDescent="0.25">
      <c r="A342" s="2" t="s">
        <v>183</v>
      </c>
      <c r="B342" s="2" t="s">
        <v>185</v>
      </c>
      <c r="C342" s="6" t="s">
        <v>132</v>
      </c>
      <c r="D342" s="2" t="s">
        <v>108</v>
      </c>
      <c r="E342" s="2"/>
      <c r="F342" s="35">
        <v>5.3</v>
      </c>
      <c r="G342" s="35">
        <v>37.568845684373187</v>
      </c>
      <c r="H342" s="35">
        <v>-0.27817703799251586</v>
      </c>
      <c r="I342" s="35">
        <v>1.0839724246973839</v>
      </c>
      <c r="J342" s="35">
        <v>-7.617898951661789E-3</v>
      </c>
      <c r="K342" s="35">
        <v>1.0292381349090622</v>
      </c>
      <c r="L342" s="35">
        <v>23.475071521388251</v>
      </c>
      <c r="M342" s="58" t="s">
        <v>24</v>
      </c>
      <c r="N342" s="7">
        <v>11.333333333333334</v>
      </c>
      <c r="O342" s="7" t="s">
        <v>178</v>
      </c>
      <c r="P342" s="7" t="s">
        <v>178</v>
      </c>
    </row>
    <row r="343" spans="1:16" x14ac:dyDescent="0.25">
      <c r="A343" s="2" t="s">
        <v>183</v>
      </c>
      <c r="B343" s="2" t="s">
        <v>185</v>
      </c>
      <c r="C343" s="6" t="s">
        <v>132</v>
      </c>
      <c r="D343" s="2" t="s">
        <v>108</v>
      </c>
      <c r="E343" s="2"/>
      <c r="F343" s="35">
        <v>5.3</v>
      </c>
      <c r="G343" s="35">
        <v>23.664002478673748</v>
      </c>
      <c r="H343" s="35">
        <v>-19.643015440156926</v>
      </c>
      <c r="I343" s="35">
        <v>1.375765017548233</v>
      </c>
      <c r="J343" s="35">
        <v>1.0250103176290075E-3</v>
      </c>
      <c r="K343" s="35">
        <v>1.0353427245586468</v>
      </c>
      <c r="L343" s="35">
        <v>1.9817089885850334</v>
      </c>
      <c r="M343" s="58" t="s">
        <v>24</v>
      </c>
      <c r="N343" s="7">
        <v>11.333333333333334</v>
      </c>
      <c r="O343" s="7" t="s">
        <v>178</v>
      </c>
      <c r="P343" s="7" t="s">
        <v>178</v>
      </c>
    </row>
    <row r="344" spans="1:16" x14ac:dyDescent="0.25">
      <c r="A344" s="2" t="s">
        <v>183</v>
      </c>
      <c r="B344" s="2" t="s">
        <v>185</v>
      </c>
      <c r="C344" s="6" t="s">
        <v>132</v>
      </c>
      <c r="D344" s="2" t="s">
        <v>108</v>
      </c>
      <c r="E344" s="2"/>
      <c r="F344" s="35">
        <v>5.5393224575487361</v>
      </c>
      <c r="G344" s="35">
        <v>23.794747927069483</v>
      </c>
      <c r="H344" s="35">
        <v>-18.059897383472034</v>
      </c>
      <c r="I344" s="35">
        <v>1.375765017548233</v>
      </c>
      <c r="J344" s="35">
        <v>1.0250103176290075E-3</v>
      </c>
      <c r="K344" s="35">
        <v>0.70609125954942376</v>
      </c>
      <c r="L344" s="35">
        <v>6.4932858654333536</v>
      </c>
      <c r="M344" s="58" t="s">
        <v>24</v>
      </c>
      <c r="N344" s="7">
        <v>11.333333333333334</v>
      </c>
      <c r="O344" s="7" t="s">
        <v>178</v>
      </c>
      <c r="P344" s="7" t="s">
        <v>178</v>
      </c>
    </row>
    <row r="345" spans="1:16" x14ac:dyDescent="0.25">
      <c r="A345" s="2" t="s">
        <v>183</v>
      </c>
      <c r="B345" s="2" t="s">
        <v>185</v>
      </c>
      <c r="C345" s="6" t="s">
        <v>132</v>
      </c>
      <c r="D345" s="2" t="s">
        <v>108</v>
      </c>
      <c r="E345" s="2"/>
      <c r="F345" s="35">
        <v>11.078644915097472</v>
      </c>
      <c r="G345" s="35">
        <v>26.820962875465224</v>
      </c>
      <c r="H345" s="35">
        <v>18.582720673212862</v>
      </c>
      <c r="I345" s="35">
        <v>1.375765017548233</v>
      </c>
      <c r="J345" s="35">
        <v>1.0250103176290075E-3</v>
      </c>
      <c r="K345" s="35">
        <v>-6.9147147984654351</v>
      </c>
      <c r="L345" s="35">
        <v>5.0452424703379188</v>
      </c>
      <c r="M345" s="58" t="s">
        <v>23</v>
      </c>
      <c r="N345" s="7">
        <v>11.333333333333334</v>
      </c>
      <c r="O345" s="7" t="s">
        <v>178</v>
      </c>
      <c r="P345" s="7" t="s">
        <v>178</v>
      </c>
    </row>
    <row r="346" spans="1:16" x14ac:dyDescent="0.25">
      <c r="A346" s="2" t="s">
        <v>183</v>
      </c>
      <c r="B346" s="2" t="s">
        <v>185</v>
      </c>
      <c r="C346" s="6" t="s">
        <v>132</v>
      </c>
      <c r="D346" s="2" t="s">
        <v>109</v>
      </c>
      <c r="E346" s="2"/>
      <c r="F346" s="35">
        <v>0</v>
      </c>
      <c r="G346" s="35">
        <v>-40.66031775280409</v>
      </c>
      <c r="H346" s="35">
        <v>-27.123368323256141</v>
      </c>
      <c r="I346" s="35">
        <v>2.8731203606078184</v>
      </c>
      <c r="J346" s="35">
        <v>0.17978844305992997</v>
      </c>
      <c r="K346" s="35">
        <v>17.949541731520316</v>
      </c>
      <c r="L346" s="35">
        <v>-53.000879690136813</v>
      </c>
      <c r="M346" s="58" t="s">
        <v>22</v>
      </c>
      <c r="N346" s="7">
        <v>11.333333333333334</v>
      </c>
      <c r="O346" s="7" t="s">
        <v>178</v>
      </c>
      <c r="P346" s="7" t="s">
        <v>178</v>
      </c>
    </row>
    <row r="347" spans="1:16" x14ac:dyDescent="0.25">
      <c r="A347" s="2" t="s">
        <v>183</v>
      </c>
      <c r="B347" s="2" t="s">
        <v>185</v>
      </c>
      <c r="C347" s="6" t="s">
        <v>132</v>
      </c>
      <c r="D347" s="2" t="s">
        <v>109</v>
      </c>
      <c r="E347" s="2"/>
      <c r="F347" s="35">
        <v>0.29999999999999988</v>
      </c>
      <c r="G347" s="35">
        <v>-40.496423252804092</v>
      </c>
      <c r="H347" s="35">
        <v>-25.932668323256141</v>
      </c>
      <c r="I347" s="35">
        <v>2.8731203606078184</v>
      </c>
      <c r="J347" s="35">
        <v>0.17978844305992997</v>
      </c>
      <c r="K347" s="35">
        <v>17.087605623337968</v>
      </c>
      <c r="L347" s="35">
        <v>-45.042474193159975</v>
      </c>
      <c r="M347" s="58" t="s">
        <v>22</v>
      </c>
      <c r="N347" s="7">
        <v>11.333333333333334</v>
      </c>
      <c r="O347" s="7" t="s">
        <v>178</v>
      </c>
      <c r="P347" s="7" t="s">
        <v>178</v>
      </c>
    </row>
    <row r="348" spans="1:16" x14ac:dyDescent="0.25">
      <c r="A348" s="2" t="s">
        <v>183</v>
      </c>
      <c r="B348" s="2" t="s">
        <v>185</v>
      </c>
      <c r="C348" s="6" t="s">
        <v>132</v>
      </c>
      <c r="D348" s="2" t="s">
        <v>109</v>
      </c>
      <c r="E348" s="2"/>
      <c r="F348" s="35">
        <v>0.29999999999999988</v>
      </c>
      <c r="G348" s="35">
        <v>-10.733551419893002</v>
      </c>
      <c r="H348" s="35">
        <v>-20.256964037708265</v>
      </c>
      <c r="I348" s="35">
        <v>2.2182160967185793</v>
      </c>
      <c r="J348" s="35">
        <v>-1.2445197051314427E-2</v>
      </c>
      <c r="K348" s="35">
        <v>13.798976354578244</v>
      </c>
      <c r="L348" s="35">
        <v>-37.698954189302789</v>
      </c>
      <c r="M348" s="58" t="s">
        <v>22</v>
      </c>
      <c r="N348" s="7">
        <v>11.333333333333334</v>
      </c>
      <c r="O348" s="7" t="s">
        <v>178</v>
      </c>
      <c r="P348" s="7" t="s">
        <v>178</v>
      </c>
    </row>
    <row r="349" spans="1:16" x14ac:dyDescent="0.25">
      <c r="A349" s="2" t="s">
        <v>183</v>
      </c>
      <c r="B349" s="2" t="s">
        <v>185</v>
      </c>
      <c r="C349" s="6" t="s">
        <v>132</v>
      </c>
      <c r="D349" s="2" t="s">
        <v>109</v>
      </c>
      <c r="E349" s="2"/>
      <c r="F349" s="35">
        <v>5.3</v>
      </c>
      <c r="G349" s="35">
        <v>-8.001976419893003</v>
      </c>
      <c r="H349" s="35">
        <v>-0.41196403770826334</v>
      </c>
      <c r="I349" s="35">
        <v>2.2182160967185793</v>
      </c>
      <c r="J349" s="35">
        <v>-1.2445197051314427E-2</v>
      </c>
      <c r="K349" s="35">
        <v>2.7078958709853476</v>
      </c>
      <c r="L349" s="35">
        <v>13.973365999238519</v>
      </c>
      <c r="M349" s="58" t="s">
        <v>24</v>
      </c>
      <c r="N349" s="7">
        <v>11.333333333333334</v>
      </c>
      <c r="O349" s="7" t="s">
        <v>178</v>
      </c>
      <c r="P349" s="7" t="s">
        <v>178</v>
      </c>
    </row>
    <row r="350" spans="1:16" x14ac:dyDescent="0.25">
      <c r="A350" s="2" t="s">
        <v>183</v>
      </c>
      <c r="B350" s="2" t="s">
        <v>185</v>
      </c>
      <c r="C350" s="6" t="s">
        <v>132</v>
      </c>
      <c r="D350" s="2" t="s">
        <v>109</v>
      </c>
      <c r="E350" s="2"/>
      <c r="F350" s="35">
        <v>5.3</v>
      </c>
      <c r="G350" s="35">
        <v>-26.842545525188427</v>
      </c>
      <c r="H350" s="35">
        <v>-11.348652972450367</v>
      </c>
      <c r="I350" s="35">
        <v>2.871143448259565</v>
      </c>
      <c r="J350" s="35">
        <v>1.6849589857752954E-5</v>
      </c>
      <c r="K350" s="35">
        <v>2.7226040251678656</v>
      </c>
      <c r="L350" s="35">
        <v>3.8648871655661092</v>
      </c>
      <c r="M350" s="58" t="s">
        <v>24</v>
      </c>
      <c r="N350" s="7">
        <v>11.333333333333334</v>
      </c>
      <c r="O350" s="7" t="s">
        <v>178</v>
      </c>
      <c r="P350" s="7" t="s">
        <v>178</v>
      </c>
    </row>
    <row r="351" spans="1:16" x14ac:dyDescent="0.25">
      <c r="A351" s="2" t="s">
        <v>183</v>
      </c>
      <c r="B351" s="2" t="s">
        <v>185</v>
      </c>
      <c r="C351" s="6" t="s">
        <v>132</v>
      </c>
      <c r="D351" s="2" t="s">
        <v>109</v>
      </c>
      <c r="E351" s="2"/>
      <c r="F351" s="35">
        <v>5.5393224575487361</v>
      </c>
      <c r="G351" s="35">
        <v>-26.711800076792695</v>
      </c>
      <c r="H351" s="35">
        <v>-10.398782138439433</v>
      </c>
      <c r="I351" s="35">
        <v>2.871143448259565</v>
      </c>
      <c r="J351" s="35">
        <v>1.6849589857752954E-5</v>
      </c>
      <c r="K351" s="35">
        <v>2.0354749191554342</v>
      </c>
      <c r="L351" s="35">
        <v>6.4672119736260179</v>
      </c>
      <c r="M351" s="58" t="s">
        <v>24</v>
      </c>
      <c r="N351" s="7">
        <v>11.333333333333334</v>
      </c>
      <c r="O351" s="7" t="s">
        <v>178</v>
      </c>
      <c r="P351" s="7" t="s">
        <v>178</v>
      </c>
    </row>
    <row r="352" spans="1:16" x14ac:dyDescent="0.25">
      <c r="A352" s="2" t="s">
        <v>183</v>
      </c>
      <c r="B352" s="2" t="s">
        <v>185</v>
      </c>
      <c r="C352" s="6" t="s">
        <v>132</v>
      </c>
      <c r="D352" s="2" t="s">
        <v>109</v>
      </c>
      <c r="E352" s="2"/>
      <c r="F352" s="35">
        <v>11.078644915097472</v>
      </c>
      <c r="G352" s="35">
        <v>-23.685585128396955</v>
      </c>
      <c r="H352" s="35">
        <v>11.586788695571503</v>
      </c>
      <c r="I352" s="35">
        <v>2.871143448259565</v>
      </c>
      <c r="J352" s="35">
        <v>1.6849589857752954E-5</v>
      </c>
      <c r="K352" s="35">
        <v>-13.868714462632692</v>
      </c>
      <c r="L352" s="35">
        <v>3.1768362728076096</v>
      </c>
      <c r="M352" s="58" t="s">
        <v>23</v>
      </c>
      <c r="N352" s="7">
        <v>11.333333333333334</v>
      </c>
      <c r="O352" s="7" t="s">
        <v>178</v>
      </c>
      <c r="P352" s="7" t="s">
        <v>178</v>
      </c>
    </row>
    <row r="353" spans="1:16" x14ac:dyDescent="0.25">
      <c r="A353" s="2" t="s">
        <v>183</v>
      </c>
      <c r="B353" s="2" t="s">
        <v>185</v>
      </c>
      <c r="C353" s="6" t="s">
        <v>132</v>
      </c>
      <c r="D353" s="2" t="s">
        <v>110</v>
      </c>
      <c r="E353" s="2"/>
      <c r="F353" s="35">
        <v>0</v>
      </c>
      <c r="G353" s="35">
        <v>7.8335618017824293</v>
      </c>
      <c r="H353" s="35">
        <v>-43.518690735615607</v>
      </c>
      <c r="I353" s="35">
        <v>-1.281928524417876</v>
      </c>
      <c r="J353" s="35">
        <v>-8.273079373323465E-2</v>
      </c>
      <c r="K353" s="35">
        <v>-8.0144024824993423</v>
      </c>
      <c r="L353" s="35">
        <v>-85.034128115118662</v>
      </c>
      <c r="M353" s="58" t="s">
        <v>22</v>
      </c>
      <c r="N353" s="7">
        <v>11.333333333333334</v>
      </c>
      <c r="O353" s="7" t="s">
        <v>178</v>
      </c>
      <c r="P353" s="7" t="s">
        <v>178</v>
      </c>
    </row>
    <row r="354" spans="1:16" x14ac:dyDescent="0.25">
      <c r="A354" s="2" t="s">
        <v>183</v>
      </c>
      <c r="B354" s="2" t="s">
        <v>185</v>
      </c>
      <c r="C354" s="6" t="s">
        <v>132</v>
      </c>
      <c r="D354" s="2" t="s">
        <v>110</v>
      </c>
      <c r="E354" s="2"/>
      <c r="F354" s="35">
        <v>0.29999999999999988</v>
      </c>
      <c r="G354" s="35">
        <v>7.9974563017824281</v>
      </c>
      <c r="H354" s="35">
        <v>-41.53419073561561</v>
      </c>
      <c r="I354" s="35">
        <v>-1.281928524417876</v>
      </c>
      <c r="J354" s="35">
        <v>-8.273079373323465E-2</v>
      </c>
      <c r="K354" s="35">
        <v>-7.6298239251739801</v>
      </c>
      <c r="L354" s="35">
        <v>-72.276195894433954</v>
      </c>
      <c r="M354" s="58" t="s">
        <v>22</v>
      </c>
      <c r="N354" s="7">
        <v>11.333333333333334</v>
      </c>
      <c r="O354" s="7" t="s">
        <v>178</v>
      </c>
      <c r="P354" s="7" t="s">
        <v>178</v>
      </c>
    </row>
    <row r="355" spans="1:16" x14ac:dyDescent="0.25">
      <c r="A355" s="2" t="s">
        <v>183</v>
      </c>
      <c r="B355" s="2" t="s">
        <v>185</v>
      </c>
      <c r="C355" s="6" t="s">
        <v>132</v>
      </c>
      <c r="D355" s="2" t="s">
        <v>110</v>
      </c>
      <c r="E355" s="2"/>
      <c r="F355" s="35">
        <v>0.29999999999999988</v>
      </c>
      <c r="G355" s="35">
        <v>36.178654894623712</v>
      </c>
      <c r="H355" s="35">
        <v>-33.27484002406144</v>
      </c>
      <c r="I355" s="35">
        <v>-0.98667945208988339</v>
      </c>
      <c r="J355" s="35">
        <v>4.4118938883537118E-3</v>
      </c>
      <c r="K355" s="35">
        <v>-6.1467547865403658</v>
      </c>
      <c r="L355" s="35">
        <v>-60.354694176877274</v>
      </c>
      <c r="M355" s="58" t="s">
        <v>22</v>
      </c>
      <c r="N355" s="7">
        <v>11.333333333333334</v>
      </c>
      <c r="O355" s="7" t="s">
        <v>178</v>
      </c>
      <c r="P355" s="7" t="s">
        <v>178</v>
      </c>
    </row>
    <row r="356" spans="1:16" x14ac:dyDescent="0.25">
      <c r="A356" s="2" t="s">
        <v>183</v>
      </c>
      <c r="B356" s="2" t="s">
        <v>185</v>
      </c>
      <c r="C356" s="6" t="s">
        <v>132</v>
      </c>
      <c r="D356" s="2" t="s">
        <v>110</v>
      </c>
      <c r="E356" s="2"/>
      <c r="F356" s="35">
        <v>5.3</v>
      </c>
      <c r="G356" s="35">
        <v>38.910229894623711</v>
      </c>
      <c r="H356" s="35">
        <v>-0.19984002406144474</v>
      </c>
      <c r="I356" s="35">
        <v>-0.98667945208988339</v>
      </c>
      <c r="J356" s="35">
        <v>4.4118938883537118E-3</v>
      </c>
      <c r="K356" s="35">
        <v>-1.213357526090949</v>
      </c>
      <c r="L356" s="35">
        <v>23.332005943429955</v>
      </c>
      <c r="M356" s="58" t="s">
        <v>24</v>
      </c>
      <c r="N356" s="7">
        <v>11.333333333333334</v>
      </c>
      <c r="O356" s="7" t="s">
        <v>178</v>
      </c>
      <c r="P356" s="7" t="s">
        <v>178</v>
      </c>
    </row>
    <row r="357" spans="1:16" x14ac:dyDescent="0.25">
      <c r="A357" s="2" t="s">
        <v>183</v>
      </c>
      <c r="B357" s="2" t="s">
        <v>185</v>
      </c>
      <c r="C357" s="6" t="s">
        <v>132</v>
      </c>
      <c r="D357" s="2" t="s">
        <v>110</v>
      </c>
      <c r="E357" s="2"/>
      <c r="F357" s="35">
        <v>5.3</v>
      </c>
      <c r="G357" s="35">
        <v>25.545052319809145</v>
      </c>
      <c r="H357" s="35">
        <v>-19.669031809117985</v>
      </c>
      <c r="I357" s="35">
        <v>-1.2831197561936909</v>
      </c>
      <c r="J357" s="35">
        <v>-9.2178462061989048E-4</v>
      </c>
      <c r="K357" s="35">
        <v>-1.2197826427458762</v>
      </c>
      <c r="L357" s="35">
        <v>1.8249075737508949</v>
      </c>
      <c r="M357" s="58" t="s">
        <v>24</v>
      </c>
      <c r="N357" s="7">
        <v>11.333333333333334</v>
      </c>
      <c r="O357" s="7" t="s">
        <v>178</v>
      </c>
      <c r="P357" s="7" t="s">
        <v>178</v>
      </c>
    </row>
    <row r="358" spans="1:16" x14ac:dyDescent="0.25">
      <c r="A358" s="2" t="s">
        <v>183</v>
      </c>
      <c r="B358" s="2" t="s">
        <v>185</v>
      </c>
      <c r="C358" s="6" t="s">
        <v>132</v>
      </c>
      <c r="D358" s="2" t="s">
        <v>110</v>
      </c>
      <c r="E358" s="2"/>
      <c r="F358" s="35">
        <v>5.5393224575487361</v>
      </c>
      <c r="G358" s="35">
        <v>25.675797768204884</v>
      </c>
      <c r="H358" s="35">
        <v>-18.085913752433093</v>
      </c>
      <c r="I358" s="35">
        <v>-1.2831197561936909</v>
      </c>
      <c r="J358" s="35">
        <v>-9.2178462061989048E-4</v>
      </c>
      <c r="K358" s="35">
        <v>-0.91270326936426704</v>
      </c>
      <c r="L358" s="35">
        <v>6.3427107519554706</v>
      </c>
      <c r="M358" s="58" t="s">
        <v>24</v>
      </c>
      <c r="N358" s="7">
        <v>11.333333333333334</v>
      </c>
      <c r="O358" s="7" t="s">
        <v>178</v>
      </c>
      <c r="P358" s="7" t="s">
        <v>178</v>
      </c>
    </row>
    <row r="359" spans="1:16" x14ac:dyDescent="0.25">
      <c r="A359" s="2" t="s">
        <v>183</v>
      </c>
      <c r="B359" s="2" t="s">
        <v>185</v>
      </c>
      <c r="C359" s="6" t="s">
        <v>132</v>
      </c>
      <c r="D359" s="2" t="s">
        <v>110</v>
      </c>
      <c r="E359" s="2"/>
      <c r="F359" s="35">
        <v>11.078644915097472</v>
      </c>
      <c r="G359" s="35">
        <v>28.70201271660062</v>
      </c>
      <c r="H359" s="35">
        <v>18.556704304251802</v>
      </c>
      <c r="I359" s="35">
        <v>-1.2831197561936909</v>
      </c>
      <c r="J359" s="35">
        <v>-9.2178462061989048E-4</v>
      </c>
      <c r="K359" s="35">
        <v>6.1949108118439042</v>
      </c>
      <c r="L359" s="35">
        <v>5.0387804137099037</v>
      </c>
      <c r="M359" s="58" t="s">
        <v>23</v>
      </c>
      <c r="N359" s="7">
        <v>11.333333333333334</v>
      </c>
      <c r="O359" s="7" t="s">
        <v>178</v>
      </c>
      <c r="P359" s="7" t="s">
        <v>178</v>
      </c>
    </row>
    <row r="360" spans="1:16" x14ac:dyDescent="0.25">
      <c r="A360" s="2" t="s">
        <v>183</v>
      </c>
      <c r="B360" s="2" t="s">
        <v>185</v>
      </c>
      <c r="C360" s="6" t="s">
        <v>132</v>
      </c>
      <c r="D360" s="2" t="s">
        <v>111</v>
      </c>
      <c r="E360" s="2"/>
      <c r="F360" s="35">
        <v>0</v>
      </c>
      <c r="G360" s="35">
        <v>-11.640554674379571</v>
      </c>
      <c r="H360" s="35">
        <v>-26.509341437457344</v>
      </c>
      <c r="I360" s="35">
        <v>-2.9714934111938596</v>
      </c>
      <c r="J360" s="35">
        <v>-0.18848964771935045</v>
      </c>
      <c r="K360" s="35">
        <v>-18.425600230451202</v>
      </c>
      <c r="L360" s="35">
        <v>-51.863080807434692</v>
      </c>
      <c r="M360" s="58" t="s">
        <v>22</v>
      </c>
      <c r="N360" s="7">
        <v>11.333333333333334</v>
      </c>
      <c r="O360" s="7" t="s">
        <v>178</v>
      </c>
      <c r="P360" s="7" t="s">
        <v>178</v>
      </c>
    </row>
    <row r="361" spans="1:16" x14ac:dyDescent="0.25">
      <c r="A361" s="2" t="s">
        <v>183</v>
      </c>
      <c r="B361" s="2" t="s">
        <v>185</v>
      </c>
      <c r="C361" s="6" t="s">
        <v>132</v>
      </c>
      <c r="D361" s="2" t="s">
        <v>111</v>
      </c>
      <c r="E361" s="2"/>
      <c r="F361" s="35">
        <v>0.29999999999999988</v>
      </c>
      <c r="G361" s="35">
        <v>-11.476660174379573</v>
      </c>
      <c r="H361" s="35">
        <v>-25.318641437457337</v>
      </c>
      <c r="I361" s="35">
        <v>-2.9714934111938596</v>
      </c>
      <c r="J361" s="35">
        <v>-0.18848964771935045</v>
      </c>
      <c r="K361" s="35">
        <v>-17.534152207093047</v>
      </c>
      <c r="L361" s="35">
        <v>-44.088883376197501</v>
      </c>
      <c r="M361" s="58" t="s">
        <v>22</v>
      </c>
      <c r="N361" s="7">
        <v>11.333333333333334</v>
      </c>
      <c r="O361" s="7" t="s">
        <v>178</v>
      </c>
      <c r="P361" s="7" t="s">
        <v>178</v>
      </c>
    </row>
    <row r="362" spans="1:16" x14ac:dyDescent="0.25">
      <c r="A362" s="2" t="s">
        <v>183</v>
      </c>
      <c r="B362" s="2" t="s">
        <v>185</v>
      </c>
      <c r="C362" s="6" t="s">
        <v>132</v>
      </c>
      <c r="D362" s="2" t="s">
        <v>111</v>
      </c>
      <c r="E362" s="2"/>
      <c r="F362" s="35">
        <v>0.29999999999999988</v>
      </c>
      <c r="G362" s="35">
        <v>10.15983573841137</v>
      </c>
      <c r="H362" s="35">
        <v>-20.097673427410648</v>
      </c>
      <c r="I362" s="35">
        <v>-2.2962514969585812</v>
      </c>
      <c r="J362" s="35">
        <v>1.0582978831082984E-2</v>
      </c>
      <c r="K362" s="35">
        <v>-14.143002961109</v>
      </c>
      <c r="L362" s="35">
        <v>-36.848886736595816</v>
      </c>
      <c r="M362" s="58" t="s">
        <v>22</v>
      </c>
      <c r="N362" s="7">
        <v>11.333333333333334</v>
      </c>
      <c r="O362" s="7" t="s">
        <v>178</v>
      </c>
      <c r="P362" s="7" t="s">
        <v>178</v>
      </c>
    </row>
    <row r="363" spans="1:16" x14ac:dyDescent="0.25">
      <c r="A363" s="2" t="s">
        <v>183</v>
      </c>
      <c r="B363" s="2" t="s">
        <v>185</v>
      </c>
      <c r="C363" s="6" t="s">
        <v>132</v>
      </c>
      <c r="D363" s="2" t="s">
        <v>111</v>
      </c>
      <c r="E363" s="2"/>
      <c r="F363" s="35">
        <v>5.3</v>
      </c>
      <c r="G363" s="35">
        <v>12.891410738411372</v>
      </c>
      <c r="H363" s="35">
        <v>-0.25267342741064652</v>
      </c>
      <c r="I363" s="35">
        <v>-2.2962514969585812</v>
      </c>
      <c r="J363" s="35">
        <v>1.0582978831082984E-2</v>
      </c>
      <c r="K363" s="35">
        <v>-2.6617454763160944</v>
      </c>
      <c r="L363" s="35">
        <v>14.026980400457408</v>
      </c>
      <c r="M363" s="58" t="s">
        <v>24</v>
      </c>
      <c r="N363" s="7">
        <v>11.333333333333334</v>
      </c>
      <c r="O363" s="7" t="s">
        <v>178</v>
      </c>
      <c r="P363" s="7" t="s">
        <v>178</v>
      </c>
    </row>
    <row r="364" spans="1:16" x14ac:dyDescent="0.25">
      <c r="A364" s="2" t="s">
        <v>183</v>
      </c>
      <c r="B364" s="2" t="s">
        <v>185</v>
      </c>
      <c r="C364" s="6" t="s">
        <v>132</v>
      </c>
      <c r="D364" s="2" t="s">
        <v>111</v>
      </c>
      <c r="E364" s="2"/>
      <c r="F364" s="35">
        <v>5.3</v>
      </c>
      <c r="G364" s="35">
        <v>1.5635366186190218</v>
      </c>
      <c r="H364" s="35">
        <v>-11.669897504466626</v>
      </c>
      <c r="I364" s="35">
        <v>-2.9734767995546432</v>
      </c>
      <c r="J364" s="35">
        <v>-7.2505101046383541E-4</v>
      </c>
      <c r="K364" s="35">
        <v>-2.6759177257314284</v>
      </c>
      <c r="L364" s="35">
        <v>1.9267595784404874</v>
      </c>
      <c r="M364" s="58" t="s">
        <v>24</v>
      </c>
      <c r="N364" s="7">
        <v>11.333333333333334</v>
      </c>
      <c r="O364" s="7" t="s">
        <v>178</v>
      </c>
      <c r="P364" s="7" t="s">
        <v>178</v>
      </c>
    </row>
    <row r="365" spans="1:16" x14ac:dyDescent="0.25">
      <c r="A365" s="2" t="s">
        <v>183</v>
      </c>
      <c r="B365" s="2" t="s">
        <v>185</v>
      </c>
      <c r="C365" s="6" t="s">
        <v>132</v>
      </c>
      <c r="D365" s="2" t="s">
        <v>111</v>
      </c>
      <c r="E365" s="2"/>
      <c r="F365" s="35">
        <v>5.5393224575487361</v>
      </c>
      <c r="G365" s="35">
        <v>1.6942820670147591</v>
      </c>
      <c r="H365" s="35">
        <v>-10.72002667045569</v>
      </c>
      <c r="I365" s="35">
        <v>-2.9734767995546432</v>
      </c>
      <c r="J365" s="35">
        <v>-7.2505101046383541E-4</v>
      </c>
      <c r="K365" s="35">
        <v>-1.9642979505978611</v>
      </c>
      <c r="L365" s="35">
        <v>4.6059654173766207</v>
      </c>
      <c r="M365" s="58" t="s">
        <v>24</v>
      </c>
      <c r="N365" s="7">
        <v>11.333333333333334</v>
      </c>
      <c r="O365" s="7" t="s">
        <v>178</v>
      </c>
      <c r="P365" s="7" t="s">
        <v>178</v>
      </c>
    </row>
    <row r="366" spans="1:16" x14ac:dyDescent="0.25">
      <c r="A366" s="2" t="s">
        <v>183</v>
      </c>
      <c r="B366" s="2" t="s">
        <v>185</v>
      </c>
      <c r="C366" s="6" t="s">
        <v>132</v>
      </c>
      <c r="D366" s="2" t="s">
        <v>111</v>
      </c>
      <c r="E366" s="2"/>
      <c r="F366" s="35">
        <v>11.078644915097472</v>
      </c>
      <c r="G366" s="35">
        <v>4.7204970154104968</v>
      </c>
      <c r="H366" s="35">
        <v>11.265544163555244</v>
      </c>
      <c r="I366" s="35">
        <v>-2.9734767995546432</v>
      </c>
      <c r="J366" s="35">
        <v>-7.2505101046383541E-4</v>
      </c>
      <c r="K366" s="35">
        <v>14.506748862175316</v>
      </c>
      <c r="L366" s="35">
        <v>3.0950667671206054</v>
      </c>
      <c r="M366" s="58" t="s">
        <v>23</v>
      </c>
      <c r="N366" s="7">
        <v>11.333333333333334</v>
      </c>
      <c r="O366" s="7" t="s">
        <v>178</v>
      </c>
      <c r="P366" s="7" t="s">
        <v>178</v>
      </c>
    </row>
    <row r="367" spans="1:16" x14ac:dyDescent="0.25">
      <c r="A367" s="2" t="s">
        <v>183</v>
      </c>
      <c r="B367" s="2" t="s">
        <v>185</v>
      </c>
      <c r="C367" s="6" t="s">
        <v>132</v>
      </c>
      <c r="D367" s="2" t="s">
        <v>112</v>
      </c>
      <c r="E367" s="2"/>
      <c r="F367" s="35">
        <v>0</v>
      </c>
      <c r="G367" s="35">
        <v>55.498591554582148</v>
      </c>
      <c r="H367" s="35">
        <v>27.319404366218006</v>
      </c>
      <c r="I367" s="35">
        <v>5.1566222333009358E-2</v>
      </c>
      <c r="J367" s="35">
        <v>-4.0001467693597647E-3</v>
      </c>
      <c r="K367" s="35">
        <v>0.18320521319713584</v>
      </c>
      <c r="L367" s="35">
        <v>57.401147467770684</v>
      </c>
      <c r="M367" s="58" t="s">
        <v>22</v>
      </c>
      <c r="N367" s="7">
        <v>11.333333333333334</v>
      </c>
      <c r="O367" s="7" t="s">
        <v>178</v>
      </c>
      <c r="P367" s="7" t="s">
        <v>178</v>
      </c>
    </row>
    <row r="368" spans="1:16" x14ac:dyDescent="0.25">
      <c r="A368" s="2" t="s">
        <v>183</v>
      </c>
      <c r="B368" s="2" t="s">
        <v>185</v>
      </c>
      <c r="C368" s="6" t="s">
        <v>132</v>
      </c>
      <c r="D368" s="2" t="s">
        <v>112</v>
      </c>
      <c r="E368" s="2"/>
      <c r="F368" s="35">
        <v>0.29999999999999988</v>
      </c>
      <c r="G368" s="35">
        <v>55.662486054582146</v>
      </c>
      <c r="H368" s="35">
        <v>26.400864366218006</v>
      </c>
      <c r="I368" s="35">
        <v>5.1566222333009358E-2</v>
      </c>
      <c r="J368" s="35">
        <v>-4.0001467693597647E-3</v>
      </c>
      <c r="K368" s="35">
        <v>0.16773534649723307</v>
      </c>
      <c r="L368" s="35">
        <v>49.343107157905287</v>
      </c>
      <c r="M368" s="58" t="s">
        <v>22</v>
      </c>
      <c r="N368" s="7">
        <v>11.333333333333334</v>
      </c>
      <c r="O368" s="7" t="s">
        <v>178</v>
      </c>
      <c r="P368" s="7" t="s">
        <v>178</v>
      </c>
    </row>
    <row r="369" spans="1:16" x14ac:dyDescent="0.25">
      <c r="A369" s="2" t="s">
        <v>183</v>
      </c>
      <c r="B369" s="2" t="s">
        <v>185</v>
      </c>
      <c r="C369" s="6" t="s">
        <v>132</v>
      </c>
      <c r="D369" s="2" t="s">
        <v>112</v>
      </c>
      <c r="E369" s="2"/>
      <c r="F369" s="35">
        <v>0.29999999999999988</v>
      </c>
      <c r="G369" s="35">
        <v>19.821007437404425</v>
      </c>
      <c r="H369" s="35">
        <v>19.714730561474653</v>
      </c>
      <c r="I369" s="35">
        <v>5.2944972442884722E-2</v>
      </c>
      <c r="J369" s="35">
        <v>-2.5416649309546869E-3</v>
      </c>
      <c r="K369" s="35">
        <v>0.17611908299583107</v>
      </c>
      <c r="L369" s="35">
        <v>40.800016410184853</v>
      </c>
      <c r="M369" s="58" t="s">
        <v>22</v>
      </c>
      <c r="N369" s="7">
        <v>11.333333333333334</v>
      </c>
      <c r="O369" s="7" t="s">
        <v>178</v>
      </c>
      <c r="P369" s="7" t="s">
        <v>178</v>
      </c>
    </row>
    <row r="370" spans="1:16" x14ac:dyDescent="0.25">
      <c r="A370" s="2" t="s">
        <v>183</v>
      </c>
      <c r="B370" s="2" t="s">
        <v>185</v>
      </c>
      <c r="C370" s="6" t="s">
        <v>132</v>
      </c>
      <c r="D370" s="2" t="s">
        <v>112</v>
      </c>
      <c r="E370" s="2"/>
      <c r="F370" s="35">
        <v>5.3</v>
      </c>
      <c r="G370" s="35">
        <v>22.552582437404428</v>
      </c>
      <c r="H370" s="35">
        <v>4.4057305614746491</v>
      </c>
      <c r="I370" s="35">
        <v>5.2944972442884722E-2</v>
      </c>
      <c r="J370" s="35">
        <v>-2.5416649309546869E-3</v>
      </c>
      <c r="K370" s="35">
        <v>-8.8605779218592501E-2</v>
      </c>
      <c r="L370" s="35">
        <v>-19.5011363971884</v>
      </c>
      <c r="M370" s="58" t="s">
        <v>24</v>
      </c>
      <c r="N370" s="7">
        <v>11.333333333333334</v>
      </c>
      <c r="O370" s="7" t="s">
        <v>178</v>
      </c>
      <c r="P370" s="7" t="s">
        <v>178</v>
      </c>
    </row>
    <row r="371" spans="1:16" x14ac:dyDescent="0.25">
      <c r="A371" s="2" t="s">
        <v>183</v>
      </c>
      <c r="B371" s="2" t="s">
        <v>185</v>
      </c>
      <c r="C371" s="6" t="s">
        <v>132</v>
      </c>
      <c r="D371" s="2" t="s">
        <v>112</v>
      </c>
      <c r="E371" s="2"/>
      <c r="F371" s="35">
        <v>5.3</v>
      </c>
      <c r="G371" s="35">
        <v>48.009151453729693</v>
      </c>
      <c r="H371" s="35">
        <v>7.4017420010931518</v>
      </c>
      <c r="I371" s="35">
        <v>4.7823721450863665E-2</v>
      </c>
      <c r="J371" s="35">
        <v>2.1220952868773249E-3</v>
      </c>
      <c r="K371" s="35">
        <v>-8.8566379450739544E-2</v>
      </c>
      <c r="L371" s="35">
        <v>-10.973959926977257</v>
      </c>
      <c r="M371" s="58" t="s">
        <v>24</v>
      </c>
      <c r="N371" s="7">
        <v>11.333333333333334</v>
      </c>
      <c r="O371" s="7" t="s">
        <v>178</v>
      </c>
      <c r="P371" s="7" t="s">
        <v>178</v>
      </c>
    </row>
    <row r="372" spans="1:16" x14ac:dyDescent="0.25">
      <c r="A372" s="2" t="s">
        <v>183</v>
      </c>
      <c r="B372" s="2" t="s">
        <v>185</v>
      </c>
      <c r="C372" s="6" t="s">
        <v>132</v>
      </c>
      <c r="D372" s="2" t="s">
        <v>112</v>
      </c>
      <c r="E372" s="2"/>
      <c r="F372" s="35">
        <v>5.5393224575487361</v>
      </c>
      <c r="G372" s="35">
        <v>48.139896902125436</v>
      </c>
      <c r="H372" s="35">
        <v>6.6689845005704322</v>
      </c>
      <c r="I372" s="35">
        <v>4.7823721450863665E-2</v>
      </c>
      <c r="J372" s="35">
        <v>2.1220952868773249E-3</v>
      </c>
      <c r="K372" s="35">
        <v>-0.10001166999748645</v>
      </c>
      <c r="L372" s="35">
        <v>-12.657680349914385</v>
      </c>
      <c r="M372" s="58" t="s">
        <v>24</v>
      </c>
      <c r="N372" s="7">
        <v>11.333333333333334</v>
      </c>
      <c r="O372" s="7" t="s">
        <v>178</v>
      </c>
      <c r="P372" s="7" t="s">
        <v>178</v>
      </c>
    </row>
    <row r="373" spans="1:16" x14ac:dyDescent="0.25">
      <c r="A373" s="2" t="s">
        <v>183</v>
      </c>
      <c r="B373" s="2" t="s">
        <v>185</v>
      </c>
      <c r="C373" s="6" t="s">
        <v>132</v>
      </c>
      <c r="D373" s="2" t="s">
        <v>112</v>
      </c>
      <c r="E373" s="2"/>
      <c r="F373" s="35">
        <v>11.078644915097472</v>
      </c>
      <c r="G373" s="35">
        <v>51.166111850521169</v>
      </c>
      <c r="H373" s="35">
        <v>-10.291312999952293</v>
      </c>
      <c r="I373" s="35">
        <v>4.7823721450863665E-2</v>
      </c>
      <c r="J373" s="35">
        <v>2.1220952868773249E-3</v>
      </c>
      <c r="K373" s="35">
        <v>-0.3649226842338108</v>
      </c>
      <c r="L373" s="35">
        <v>-2.6250575472920028</v>
      </c>
      <c r="M373" s="58" t="s">
        <v>23</v>
      </c>
      <c r="N373" s="7">
        <v>11.333333333333334</v>
      </c>
      <c r="O373" s="7" t="s">
        <v>178</v>
      </c>
      <c r="P373" s="7" t="s">
        <v>178</v>
      </c>
    </row>
    <row r="374" spans="1:16" x14ac:dyDescent="0.25">
      <c r="A374" s="2" t="s">
        <v>183</v>
      </c>
      <c r="B374" s="2" t="s">
        <v>185</v>
      </c>
      <c r="C374" s="6" t="s">
        <v>132</v>
      </c>
      <c r="D374" s="2" t="s">
        <v>113</v>
      </c>
      <c r="E374" s="2"/>
      <c r="F374" s="35">
        <v>0</v>
      </c>
      <c r="G374" s="35">
        <v>41.893345346087685</v>
      </c>
      <c r="H374" s="35">
        <v>42.594021879893958</v>
      </c>
      <c r="I374" s="35">
        <v>4.7300065257444554E-2</v>
      </c>
      <c r="J374" s="35">
        <v>-2.2190228498157609E-3</v>
      </c>
      <c r="K374" s="35">
        <v>0.17744603237230552</v>
      </c>
      <c r="L374" s="35">
        <v>87.118690563304355</v>
      </c>
      <c r="M374" s="58" t="s">
        <v>22</v>
      </c>
      <c r="N374" s="7">
        <v>11.333333333333334</v>
      </c>
      <c r="O374" s="7" t="s">
        <v>178</v>
      </c>
      <c r="P374" s="7" t="s">
        <v>178</v>
      </c>
    </row>
    <row r="375" spans="1:16" x14ac:dyDescent="0.25">
      <c r="A375" s="2" t="s">
        <v>183</v>
      </c>
      <c r="B375" s="2" t="s">
        <v>185</v>
      </c>
      <c r="C375" s="6" t="s">
        <v>132</v>
      </c>
      <c r="D375" s="2" t="s">
        <v>113</v>
      </c>
      <c r="E375" s="2"/>
      <c r="F375" s="35">
        <v>0.29999999999999988</v>
      </c>
      <c r="G375" s="35">
        <v>42.057239846087676</v>
      </c>
      <c r="H375" s="35">
        <v>40.961061879893961</v>
      </c>
      <c r="I375" s="35">
        <v>4.7300065257444554E-2</v>
      </c>
      <c r="J375" s="35">
        <v>-2.2190228498157609E-3</v>
      </c>
      <c r="K375" s="35">
        <v>0.16325601279507221</v>
      </c>
      <c r="L375" s="35">
        <v>74.585427999336176</v>
      </c>
      <c r="M375" s="58" t="s">
        <v>22</v>
      </c>
      <c r="N375" s="7">
        <v>11.333333333333334</v>
      </c>
      <c r="O375" s="7" t="s">
        <v>178</v>
      </c>
      <c r="P375" s="7" t="s">
        <v>178</v>
      </c>
    </row>
    <row r="376" spans="1:16" x14ac:dyDescent="0.25">
      <c r="A376" s="2" t="s">
        <v>183</v>
      </c>
      <c r="B376" s="2" t="s">
        <v>185</v>
      </c>
      <c r="C376" s="6" t="s">
        <v>132</v>
      </c>
      <c r="D376" s="2" t="s">
        <v>113</v>
      </c>
      <c r="E376" s="2"/>
      <c r="F376" s="35">
        <v>0.29999999999999988</v>
      </c>
      <c r="G376" s="35">
        <v>-0.59587938636179016</v>
      </c>
      <c r="H376" s="35">
        <v>31.524454197709872</v>
      </c>
      <c r="I376" s="35">
        <v>4.6589343935344404E-2</v>
      </c>
      <c r="J376" s="35">
        <v>-1.7211288716953025E-3</v>
      </c>
      <c r="K376" s="35">
        <v>0.16075278390086756</v>
      </c>
      <c r="L376" s="35">
        <v>61.872997190248505</v>
      </c>
      <c r="M376" s="58" t="s">
        <v>22</v>
      </c>
      <c r="N376" s="7">
        <v>11.333333333333334</v>
      </c>
      <c r="O376" s="7" t="s">
        <v>178</v>
      </c>
      <c r="P376" s="7" t="s">
        <v>178</v>
      </c>
    </row>
    <row r="377" spans="1:16" x14ac:dyDescent="0.25">
      <c r="A377" s="2" t="s">
        <v>183</v>
      </c>
      <c r="B377" s="2" t="s">
        <v>185</v>
      </c>
      <c r="C377" s="6" t="s">
        <v>132</v>
      </c>
      <c r="D377" s="2" t="s">
        <v>113</v>
      </c>
      <c r="E377" s="2"/>
      <c r="F377" s="35">
        <v>5.3</v>
      </c>
      <c r="G377" s="35">
        <v>2.1356956136382101</v>
      </c>
      <c r="H377" s="35">
        <v>4.3084541977098691</v>
      </c>
      <c r="I377" s="35">
        <v>4.6589343935344404E-2</v>
      </c>
      <c r="J377" s="35">
        <v>-1.7211288716953025E-3</v>
      </c>
      <c r="K377" s="35">
        <v>-7.2193935775854479E-2</v>
      </c>
      <c r="L377" s="35">
        <v>-27.709273798300842</v>
      </c>
      <c r="M377" s="58" t="s">
        <v>24</v>
      </c>
      <c r="N377" s="7">
        <v>11.333333333333334</v>
      </c>
      <c r="O377" s="7" t="s">
        <v>178</v>
      </c>
      <c r="P377" s="7" t="s">
        <v>178</v>
      </c>
    </row>
    <row r="378" spans="1:16" x14ac:dyDescent="0.25">
      <c r="A378" s="2" t="s">
        <v>183</v>
      </c>
      <c r="B378" s="2" t="s">
        <v>185</v>
      </c>
      <c r="C378" s="6" t="s">
        <v>132</v>
      </c>
      <c r="D378" s="2" t="s">
        <v>113</v>
      </c>
      <c r="E378" s="2"/>
      <c r="F378" s="35">
        <v>5.3</v>
      </c>
      <c r="G378" s="35">
        <v>30.432501816467418</v>
      </c>
      <c r="H378" s="35">
        <v>14.538366144143312</v>
      </c>
      <c r="I378" s="35">
        <v>4.4850639590171944E-2</v>
      </c>
      <c r="J378" s="35">
        <v>1.7935573213482155E-3</v>
      </c>
      <c r="K378" s="35">
        <v>-7.2200442267167514E-2</v>
      </c>
      <c r="L378" s="35">
        <v>-11.259908575598667</v>
      </c>
      <c r="M378" s="58" t="s">
        <v>24</v>
      </c>
      <c r="N378" s="7">
        <v>11.333333333333334</v>
      </c>
      <c r="O378" s="7" t="s">
        <v>178</v>
      </c>
      <c r="P378" s="7" t="s">
        <v>178</v>
      </c>
    </row>
    <row r="379" spans="1:16" x14ac:dyDescent="0.25">
      <c r="A379" s="2" t="s">
        <v>183</v>
      </c>
      <c r="B379" s="2" t="s">
        <v>185</v>
      </c>
      <c r="C379" s="6" t="s">
        <v>132</v>
      </c>
      <c r="D379" s="2" t="s">
        <v>113</v>
      </c>
      <c r="E379" s="2"/>
      <c r="F379" s="35">
        <v>5.5393224575487361</v>
      </c>
      <c r="G379" s="35">
        <v>30.563247264863161</v>
      </c>
      <c r="H379" s="35">
        <v>13.235686143214034</v>
      </c>
      <c r="I379" s="35">
        <v>4.4850639590171944E-2</v>
      </c>
      <c r="J379" s="35">
        <v>1.7935573213482155E-3</v>
      </c>
      <c r="K379" s="35">
        <v>-8.2934207556520104E-2</v>
      </c>
      <c r="L379" s="35">
        <v>-14.583385800347395</v>
      </c>
      <c r="M379" s="58" t="s">
        <v>24</v>
      </c>
      <c r="N379" s="7">
        <v>11.333333333333334</v>
      </c>
      <c r="O379" s="7" t="s">
        <v>178</v>
      </c>
      <c r="P379" s="7" t="s">
        <v>178</v>
      </c>
    </row>
    <row r="380" spans="1:16" x14ac:dyDescent="0.25">
      <c r="A380" s="2" t="s">
        <v>183</v>
      </c>
      <c r="B380" s="2" t="s">
        <v>185</v>
      </c>
      <c r="C380" s="6" t="s">
        <v>132</v>
      </c>
      <c r="D380" s="2" t="s">
        <v>113</v>
      </c>
      <c r="E380" s="2"/>
      <c r="F380" s="35">
        <v>11.078644915097472</v>
      </c>
      <c r="G380" s="35">
        <v>33.589462213258891</v>
      </c>
      <c r="H380" s="35">
        <v>-16.915953857715248</v>
      </c>
      <c r="I380" s="35">
        <v>4.4850639590171944E-2</v>
      </c>
      <c r="J380" s="35">
        <v>1.7935573213482155E-3</v>
      </c>
      <c r="K380" s="35">
        <v>-0.33137636267378406</v>
      </c>
      <c r="L380" s="35">
        <v>-4.3902909999833275</v>
      </c>
      <c r="M380" s="58" t="s">
        <v>23</v>
      </c>
      <c r="N380" s="7">
        <v>11.333333333333334</v>
      </c>
      <c r="O380" s="7" t="s">
        <v>178</v>
      </c>
      <c r="P380" s="7" t="s">
        <v>178</v>
      </c>
    </row>
    <row r="381" spans="1:16" x14ac:dyDescent="0.25">
      <c r="A381" s="2" t="s">
        <v>183</v>
      </c>
      <c r="B381" s="2" t="s">
        <v>185</v>
      </c>
      <c r="C381" s="6" t="s">
        <v>132</v>
      </c>
      <c r="D381" s="2" t="s">
        <v>114</v>
      </c>
      <c r="E381" s="2"/>
      <c r="F381" s="35">
        <v>0</v>
      </c>
      <c r="G381" s="35">
        <v>-14.104225909206367</v>
      </c>
      <c r="H381" s="35">
        <v>-27.66858565539723</v>
      </c>
      <c r="I381" s="35">
        <v>-3.1261357950022814E-2</v>
      </c>
      <c r="J381" s="35">
        <v>-3.305701643086302E-3</v>
      </c>
      <c r="K381" s="35">
        <v>-0.16481658924389606</v>
      </c>
      <c r="L381" s="35">
        <v>-59.240412207355398</v>
      </c>
      <c r="M381" s="58" t="s">
        <v>22</v>
      </c>
      <c r="N381" s="7">
        <v>11.333333333333334</v>
      </c>
      <c r="O381" s="7" t="s">
        <v>178</v>
      </c>
      <c r="P381" s="7" t="s">
        <v>178</v>
      </c>
    </row>
    <row r="382" spans="1:16" x14ac:dyDescent="0.25">
      <c r="A382" s="2" t="s">
        <v>183</v>
      </c>
      <c r="B382" s="2" t="s">
        <v>185</v>
      </c>
      <c r="C382" s="6" t="s">
        <v>132</v>
      </c>
      <c r="D382" s="2" t="s">
        <v>114</v>
      </c>
      <c r="E382" s="2"/>
      <c r="F382" s="35">
        <v>0.29999999999999988</v>
      </c>
      <c r="G382" s="35">
        <v>-13.940331409206367</v>
      </c>
      <c r="H382" s="35">
        <v>-26.750045655397233</v>
      </c>
      <c r="I382" s="35">
        <v>-3.1261357950022814E-2</v>
      </c>
      <c r="J382" s="35">
        <v>-3.305701643086302E-3</v>
      </c>
      <c r="K382" s="35">
        <v>-0.15543818185888919</v>
      </c>
      <c r="L382" s="35">
        <v>-51.077617510736232</v>
      </c>
      <c r="M382" s="58" t="s">
        <v>22</v>
      </c>
      <c r="N382" s="7">
        <v>11.333333333333334</v>
      </c>
      <c r="O382" s="7" t="s">
        <v>178</v>
      </c>
      <c r="P382" s="7" t="s">
        <v>178</v>
      </c>
    </row>
    <row r="383" spans="1:16" x14ac:dyDescent="0.25">
      <c r="A383" s="2" t="s">
        <v>183</v>
      </c>
      <c r="B383" s="2" t="s">
        <v>185</v>
      </c>
      <c r="C383" s="6" t="s">
        <v>132</v>
      </c>
      <c r="D383" s="2" t="s">
        <v>114</v>
      </c>
      <c r="E383" s="2"/>
      <c r="F383" s="35">
        <v>0.29999999999999988</v>
      </c>
      <c r="G383" s="35">
        <v>12.397488768698846</v>
      </c>
      <c r="H383" s="35">
        <v>-20.314142233064821</v>
      </c>
      <c r="I383" s="35">
        <v>-2.3701937866974714E-2</v>
      </c>
      <c r="J383" s="35">
        <v>-7.4018470856288584E-4</v>
      </c>
      <c r="K383" s="35">
        <v>-0.11724709527060517</v>
      </c>
      <c r="L383" s="35">
        <v>-42.069503640960221</v>
      </c>
      <c r="M383" s="58" t="s">
        <v>22</v>
      </c>
      <c r="N383" s="7">
        <v>11.333333333333334</v>
      </c>
      <c r="O383" s="7" t="s">
        <v>178</v>
      </c>
      <c r="P383" s="7" t="s">
        <v>178</v>
      </c>
    </row>
    <row r="384" spans="1:16" x14ac:dyDescent="0.25">
      <c r="A384" s="2" t="s">
        <v>183</v>
      </c>
      <c r="B384" s="2" t="s">
        <v>185</v>
      </c>
      <c r="C384" s="6" t="s">
        <v>132</v>
      </c>
      <c r="D384" s="2" t="s">
        <v>114</v>
      </c>
      <c r="E384" s="2"/>
      <c r="F384" s="35">
        <v>5.3</v>
      </c>
      <c r="G384" s="35">
        <v>15.129063768698845</v>
      </c>
      <c r="H384" s="35">
        <v>-5.0051422330648183</v>
      </c>
      <c r="I384" s="35">
        <v>-2.3701937866974714E-2</v>
      </c>
      <c r="J384" s="35">
        <v>-7.4018470856288584E-4</v>
      </c>
      <c r="K384" s="35">
        <v>1.2625940642683668E-3</v>
      </c>
      <c r="L384" s="35">
        <v>21.228707524363866</v>
      </c>
      <c r="M384" s="58" t="s">
        <v>24</v>
      </c>
      <c r="N384" s="7">
        <v>11.333333333333334</v>
      </c>
      <c r="O384" s="7" t="s">
        <v>178</v>
      </c>
      <c r="P384" s="7" t="s">
        <v>178</v>
      </c>
    </row>
    <row r="385" spans="1:16" x14ac:dyDescent="0.25">
      <c r="A385" s="2" t="s">
        <v>183</v>
      </c>
      <c r="B385" s="2" t="s">
        <v>185</v>
      </c>
      <c r="C385" s="6" t="s">
        <v>132</v>
      </c>
      <c r="D385" s="2" t="s">
        <v>114</v>
      </c>
      <c r="E385" s="2"/>
      <c r="F385" s="35">
        <v>5.3</v>
      </c>
      <c r="G385" s="35">
        <v>4.9886037607471687</v>
      </c>
      <c r="H385" s="35">
        <v>-8.1473574886431859</v>
      </c>
      <c r="I385" s="35">
        <v>-3.244414312154939E-2</v>
      </c>
      <c r="J385" s="35">
        <v>1.2245774644128544E-3</v>
      </c>
      <c r="K385" s="35">
        <v>1.3709598525244652E-3</v>
      </c>
      <c r="L385" s="35">
        <v>6.6667041211684124</v>
      </c>
      <c r="M385" s="58" t="s">
        <v>24</v>
      </c>
      <c r="N385" s="7">
        <v>11.333333333333334</v>
      </c>
      <c r="O385" s="7" t="s">
        <v>178</v>
      </c>
      <c r="P385" s="7" t="s">
        <v>178</v>
      </c>
    </row>
    <row r="386" spans="1:16" x14ac:dyDescent="0.25">
      <c r="A386" s="2" t="s">
        <v>183</v>
      </c>
      <c r="B386" s="2" t="s">
        <v>185</v>
      </c>
      <c r="C386" s="6" t="s">
        <v>132</v>
      </c>
      <c r="D386" s="2" t="s">
        <v>114</v>
      </c>
      <c r="E386" s="2"/>
      <c r="F386" s="35">
        <v>5.5393224575487361</v>
      </c>
      <c r="G386" s="35">
        <v>5.1193492091429098</v>
      </c>
      <c r="H386" s="35">
        <v>-7.4145999881204654</v>
      </c>
      <c r="I386" s="35">
        <v>-3.244414312154939E-2</v>
      </c>
      <c r="J386" s="35">
        <v>1.2245774644128544E-3</v>
      </c>
      <c r="K386" s="35">
        <v>9.1355719174365784E-3</v>
      </c>
      <c r="L386" s="35">
        <v>8.5288670749724158</v>
      </c>
      <c r="M386" s="58" t="s">
        <v>24</v>
      </c>
      <c r="N386" s="7">
        <v>11.333333333333334</v>
      </c>
      <c r="O386" s="7" t="s">
        <v>178</v>
      </c>
      <c r="P386" s="7" t="s">
        <v>178</v>
      </c>
    </row>
    <row r="387" spans="1:16" x14ac:dyDescent="0.25">
      <c r="A387" s="2" t="s">
        <v>183</v>
      </c>
      <c r="B387" s="2" t="s">
        <v>185</v>
      </c>
      <c r="C387" s="6" t="s">
        <v>132</v>
      </c>
      <c r="D387" s="2" t="s">
        <v>114</v>
      </c>
      <c r="E387" s="2"/>
      <c r="F387" s="35">
        <v>11.078644915097472</v>
      </c>
      <c r="G387" s="35">
        <v>8.1455641575386455</v>
      </c>
      <c r="H387" s="35">
        <v>9.5456975124022598</v>
      </c>
      <c r="I387" s="35">
        <v>-3.244414312154939E-2</v>
      </c>
      <c r="J387" s="35">
        <v>1.2245774644128544E-3</v>
      </c>
      <c r="K387" s="35">
        <v>0.18885414252656044</v>
      </c>
      <c r="L387" s="35">
        <v>2.6264488872320828</v>
      </c>
      <c r="M387" s="58" t="s">
        <v>23</v>
      </c>
      <c r="N387" s="7">
        <v>11.333333333333334</v>
      </c>
      <c r="O387" s="7" t="s">
        <v>178</v>
      </c>
      <c r="P387" s="7" t="s">
        <v>178</v>
      </c>
    </row>
    <row r="388" spans="1:16" x14ac:dyDescent="0.25">
      <c r="A388" s="2" t="s">
        <v>183</v>
      </c>
      <c r="B388" s="2" t="s">
        <v>185</v>
      </c>
      <c r="C388" s="6" t="s">
        <v>132</v>
      </c>
      <c r="D388" s="2" t="s">
        <v>115</v>
      </c>
      <c r="E388" s="2"/>
      <c r="F388" s="35">
        <v>0</v>
      </c>
      <c r="G388" s="35">
        <v>-27.731678469714939</v>
      </c>
      <c r="H388" s="35">
        <v>-12.38723585498165</v>
      </c>
      <c r="I388" s="35">
        <v>-3.2648505851061257E-2</v>
      </c>
      <c r="J388" s="35">
        <v>-1.4810957961031706E-3</v>
      </c>
      <c r="K388" s="35">
        <v>-0.15942276184695192</v>
      </c>
      <c r="L388" s="35">
        <v>-29.504238905804375</v>
      </c>
      <c r="M388" s="58" t="s">
        <v>22</v>
      </c>
      <c r="N388" s="7">
        <v>11.333333333333334</v>
      </c>
      <c r="O388" s="7" t="s">
        <v>178</v>
      </c>
      <c r="P388" s="7" t="s">
        <v>178</v>
      </c>
    </row>
    <row r="389" spans="1:16" x14ac:dyDescent="0.25">
      <c r="A389" s="2" t="s">
        <v>183</v>
      </c>
      <c r="B389" s="2" t="s">
        <v>185</v>
      </c>
      <c r="C389" s="6" t="s">
        <v>132</v>
      </c>
      <c r="D389" s="2" t="s">
        <v>115</v>
      </c>
      <c r="E389" s="2"/>
      <c r="F389" s="35">
        <v>0.29999999999999988</v>
      </c>
      <c r="G389" s="35">
        <v>-27.567783969714942</v>
      </c>
      <c r="H389" s="35">
        <v>-12.183115854981651</v>
      </c>
      <c r="I389" s="35">
        <v>-3.2648505851061257E-2</v>
      </c>
      <c r="J389" s="35">
        <v>-1.4810957961031706E-3</v>
      </c>
      <c r="K389" s="35">
        <v>-0.14962821009163355</v>
      </c>
      <c r="L389" s="35">
        <v>-25.81868614930988</v>
      </c>
      <c r="M389" s="58" t="s">
        <v>22</v>
      </c>
      <c r="N389" s="7">
        <v>11.333333333333334</v>
      </c>
      <c r="O389" s="7" t="s">
        <v>178</v>
      </c>
      <c r="P389" s="7" t="s">
        <v>178</v>
      </c>
    </row>
    <row r="390" spans="1:16" x14ac:dyDescent="0.25">
      <c r="A390" s="2" t="s">
        <v>183</v>
      </c>
      <c r="B390" s="2" t="s">
        <v>185</v>
      </c>
      <c r="C390" s="6" t="s">
        <v>132</v>
      </c>
      <c r="D390" s="2" t="s">
        <v>115</v>
      </c>
      <c r="E390" s="2"/>
      <c r="F390" s="35">
        <v>0.29999999999999988</v>
      </c>
      <c r="G390" s="35">
        <v>-8.0431518933430493</v>
      </c>
      <c r="H390" s="35">
        <v>-8.4996178566933533</v>
      </c>
      <c r="I390" s="35">
        <v>-2.743598788004277E-2</v>
      </c>
      <c r="J390" s="35">
        <v>5.7037799575429158E-5</v>
      </c>
      <c r="K390" s="35">
        <v>-0.12358608585078781</v>
      </c>
      <c r="L390" s="35">
        <v>-20.983257108060887</v>
      </c>
      <c r="M390" s="58" t="s">
        <v>22</v>
      </c>
      <c r="N390" s="7">
        <v>11.333333333333334</v>
      </c>
      <c r="O390" s="7" t="s">
        <v>178</v>
      </c>
      <c r="P390" s="7" t="s">
        <v>178</v>
      </c>
    </row>
    <row r="391" spans="1:16" x14ac:dyDescent="0.25">
      <c r="A391" s="2" t="s">
        <v>183</v>
      </c>
      <c r="B391" s="2" t="s">
        <v>185</v>
      </c>
      <c r="C391" s="6" t="s">
        <v>132</v>
      </c>
      <c r="D391" s="2" t="s">
        <v>115</v>
      </c>
      <c r="E391" s="2"/>
      <c r="F391" s="35">
        <v>5.3</v>
      </c>
      <c r="G391" s="35">
        <v>-5.3115768933430489</v>
      </c>
      <c r="H391" s="35">
        <v>-5.097617856693355</v>
      </c>
      <c r="I391" s="35">
        <v>-2.743598788004277E-2</v>
      </c>
      <c r="J391" s="35">
        <v>5.7037799575429158E-5</v>
      </c>
      <c r="K391" s="35">
        <v>1.3593853549426027E-2</v>
      </c>
      <c r="L391" s="35">
        <v>13.009832175405878</v>
      </c>
      <c r="M391" s="58" t="s">
        <v>24</v>
      </c>
      <c r="N391" s="7">
        <v>11.333333333333334</v>
      </c>
      <c r="O391" s="7" t="s">
        <v>178</v>
      </c>
      <c r="P391" s="7" t="s">
        <v>178</v>
      </c>
    </row>
    <row r="392" spans="1:16" x14ac:dyDescent="0.25">
      <c r="A392" s="2" t="s">
        <v>183</v>
      </c>
      <c r="B392" s="2" t="s">
        <v>185</v>
      </c>
      <c r="C392" s="6" t="s">
        <v>132</v>
      </c>
      <c r="D392" s="2" t="s">
        <v>115</v>
      </c>
      <c r="E392" s="2"/>
      <c r="F392" s="35">
        <v>5.3</v>
      </c>
      <c r="G392" s="35">
        <v>-12.616905688013523</v>
      </c>
      <c r="H392" s="35">
        <v>-1.0116995661927362</v>
      </c>
      <c r="I392" s="35">
        <v>-3.2567366330959871E-2</v>
      </c>
      <c r="J392" s="35">
        <v>9.1036504472767339E-4</v>
      </c>
      <c r="K392" s="35">
        <v>1.3643383821541623E-2</v>
      </c>
      <c r="L392" s="35">
        <v>6.3749252594728656</v>
      </c>
      <c r="M392" s="58" t="s">
        <v>24</v>
      </c>
      <c r="N392" s="7">
        <v>11.333333333333334</v>
      </c>
      <c r="O392" s="7" t="s">
        <v>178</v>
      </c>
      <c r="P392" s="7" t="s">
        <v>178</v>
      </c>
    </row>
    <row r="393" spans="1:16" x14ac:dyDescent="0.25">
      <c r="A393" s="2" t="s">
        <v>183</v>
      </c>
      <c r="B393" s="2" t="s">
        <v>185</v>
      </c>
      <c r="C393" s="6" t="s">
        <v>132</v>
      </c>
      <c r="D393" s="2" t="s">
        <v>115</v>
      </c>
      <c r="E393" s="2"/>
      <c r="F393" s="35">
        <v>5.5393224575487361</v>
      </c>
      <c r="G393" s="35">
        <v>-12.486160239617782</v>
      </c>
      <c r="H393" s="35">
        <v>-0.84886456607657612</v>
      </c>
      <c r="I393" s="35">
        <v>-3.2567366330959871E-2</v>
      </c>
      <c r="J393" s="35">
        <v>9.1036504472767339E-4</v>
      </c>
      <c r="K393" s="35">
        <v>2.1437485967756898E-2</v>
      </c>
      <c r="L393" s="35">
        <v>6.5975626497537272</v>
      </c>
      <c r="M393" s="58" t="s">
        <v>24</v>
      </c>
      <c r="N393" s="7">
        <v>11.333333333333334</v>
      </c>
      <c r="O393" s="7" t="s">
        <v>178</v>
      </c>
      <c r="P393" s="7" t="s">
        <v>178</v>
      </c>
    </row>
    <row r="394" spans="1:16" x14ac:dyDescent="0.25">
      <c r="A394" s="2" t="s">
        <v>183</v>
      </c>
      <c r="B394" s="2" t="s">
        <v>185</v>
      </c>
      <c r="C394" s="6" t="s">
        <v>132</v>
      </c>
      <c r="D394" s="2" t="s">
        <v>115</v>
      </c>
      <c r="E394" s="2"/>
      <c r="F394" s="35">
        <v>11.078644915097472</v>
      </c>
      <c r="G394" s="35">
        <v>-9.459945291222045</v>
      </c>
      <c r="H394" s="35">
        <v>2.9200904340395839</v>
      </c>
      <c r="I394" s="35">
        <v>-3.2567366330959871E-2</v>
      </c>
      <c r="J394" s="35">
        <v>9.1036504472767339E-4</v>
      </c>
      <c r="K394" s="35">
        <v>0.20183862966805946</v>
      </c>
      <c r="L394" s="35">
        <v>0.86096866722204501</v>
      </c>
      <c r="M394" s="58" t="s">
        <v>23</v>
      </c>
      <c r="N394" s="7">
        <v>11.333333333333334</v>
      </c>
      <c r="O394" s="7" t="s">
        <v>178</v>
      </c>
      <c r="P394" s="7" t="s">
        <v>178</v>
      </c>
    </row>
    <row r="395" spans="1:16" x14ac:dyDescent="0.25">
      <c r="A395" s="2" t="s">
        <v>183</v>
      </c>
      <c r="B395" s="2" t="s">
        <v>185</v>
      </c>
      <c r="C395" s="6" t="s">
        <v>132</v>
      </c>
      <c r="D395" s="2" t="s">
        <v>116</v>
      </c>
      <c r="E395" s="2"/>
      <c r="F395" s="35">
        <v>0</v>
      </c>
      <c r="G395" s="35">
        <v>-10.429195193759742</v>
      </c>
      <c r="H395" s="35">
        <v>-39.589967828365189</v>
      </c>
      <c r="I395" s="35">
        <v>1.2181213552417305</v>
      </c>
      <c r="J395" s="35">
        <v>7.0731979825197688E-2</v>
      </c>
      <c r="K395" s="35">
        <v>7.4072071193910123</v>
      </c>
      <c r="L395" s="35">
        <v>-77.374687859621687</v>
      </c>
      <c r="M395" s="58" t="s">
        <v>22</v>
      </c>
      <c r="N395" s="7">
        <v>11.333333333333334</v>
      </c>
      <c r="O395" s="7" t="s">
        <v>178</v>
      </c>
      <c r="P395" s="7" t="s">
        <v>178</v>
      </c>
    </row>
    <row r="396" spans="1:16" x14ac:dyDescent="0.25">
      <c r="A396" s="2" t="s">
        <v>183</v>
      </c>
      <c r="B396" s="2" t="s">
        <v>185</v>
      </c>
      <c r="C396" s="6" t="s">
        <v>132</v>
      </c>
      <c r="D396" s="2" t="s">
        <v>116</v>
      </c>
      <c r="E396" s="2"/>
      <c r="F396" s="35">
        <v>0.29999999999999988</v>
      </c>
      <c r="G396" s="35">
        <v>-10.265300693759743</v>
      </c>
      <c r="H396" s="35">
        <v>-37.803917828365186</v>
      </c>
      <c r="I396" s="35">
        <v>1.2181213552417305</v>
      </c>
      <c r="J396" s="35">
        <v>7.0731979825197688E-2</v>
      </c>
      <c r="K396" s="35">
        <v>7.0417707128184928</v>
      </c>
      <c r="L396" s="35">
        <v>-65.765605011112143</v>
      </c>
      <c r="M396" s="58" t="s">
        <v>22</v>
      </c>
      <c r="N396" s="7">
        <v>11.333333333333334</v>
      </c>
      <c r="O396" s="7" t="s">
        <v>178</v>
      </c>
      <c r="P396" s="7" t="s">
        <v>178</v>
      </c>
    </row>
    <row r="397" spans="1:16" x14ac:dyDescent="0.25">
      <c r="A397" s="2" t="s">
        <v>183</v>
      </c>
      <c r="B397" s="2" t="s">
        <v>185</v>
      </c>
      <c r="C397" s="6" t="s">
        <v>132</v>
      </c>
      <c r="D397" s="2" t="s">
        <v>116</v>
      </c>
      <c r="E397" s="2"/>
      <c r="F397" s="35">
        <v>0.29999999999999988</v>
      </c>
      <c r="G397" s="35">
        <v>20.07518619708032</v>
      </c>
      <c r="H397" s="35">
        <v>-30.081332375400542</v>
      </c>
      <c r="I397" s="35">
        <v>0.95392587008282292</v>
      </c>
      <c r="J397" s="35">
        <v>-6.2752698761991471E-3</v>
      </c>
      <c r="K397" s="35">
        <v>5.7162704644434887</v>
      </c>
      <c r="L397" s="35">
        <v>-54.947528613972558</v>
      </c>
      <c r="M397" s="58" t="s">
        <v>22</v>
      </c>
      <c r="N397" s="7">
        <v>11.333333333333334</v>
      </c>
      <c r="O397" s="7" t="s">
        <v>178</v>
      </c>
      <c r="P397" s="7" t="s">
        <v>178</v>
      </c>
    </row>
    <row r="398" spans="1:16" x14ac:dyDescent="0.25">
      <c r="A398" s="2" t="s">
        <v>183</v>
      </c>
      <c r="B398" s="2" t="s">
        <v>185</v>
      </c>
      <c r="C398" s="6" t="s">
        <v>132</v>
      </c>
      <c r="D398" s="2" t="s">
        <v>116</v>
      </c>
      <c r="E398" s="2"/>
      <c r="F398" s="35">
        <v>5.3</v>
      </c>
      <c r="G398" s="35">
        <v>22.806761197080323</v>
      </c>
      <c r="H398" s="35">
        <v>-0.31383237540053738</v>
      </c>
      <c r="I398" s="35">
        <v>0.95392587008282292</v>
      </c>
      <c r="J398" s="35">
        <v>-6.2752698761991471E-3</v>
      </c>
      <c r="K398" s="35">
        <v>0.94664111402937456</v>
      </c>
      <c r="L398" s="35">
        <v>21.04038326303013</v>
      </c>
      <c r="M398" s="58" t="s">
        <v>24</v>
      </c>
      <c r="N398" s="7">
        <v>11.333333333333334</v>
      </c>
      <c r="O398" s="7" t="s">
        <v>178</v>
      </c>
      <c r="P398" s="7" t="s">
        <v>178</v>
      </c>
    </row>
    <row r="399" spans="1:16" x14ac:dyDescent="0.25">
      <c r="A399" s="2" t="s">
        <v>183</v>
      </c>
      <c r="B399" s="2" t="s">
        <v>185</v>
      </c>
      <c r="C399" s="6" t="s">
        <v>132</v>
      </c>
      <c r="D399" s="2" t="s">
        <v>116</v>
      </c>
      <c r="E399" s="2"/>
      <c r="F399" s="35">
        <v>5.3</v>
      </c>
      <c r="G399" s="35">
        <v>6.480578280646105</v>
      </c>
      <c r="H399" s="35">
        <v>-17.515156793087435</v>
      </c>
      <c r="I399" s="35">
        <v>1.2153791294630316</v>
      </c>
      <c r="J399" s="35">
        <v>2.4928632471580447E-4</v>
      </c>
      <c r="K399" s="35">
        <v>0.95213803266315755</v>
      </c>
      <c r="L399" s="35">
        <v>2.7799594641196901</v>
      </c>
      <c r="M399" s="58" t="s">
        <v>24</v>
      </c>
      <c r="N399" s="7">
        <v>11.333333333333334</v>
      </c>
      <c r="O399" s="7" t="s">
        <v>178</v>
      </c>
      <c r="P399" s="7" t="s">
        <v>178</v>
      </c>
    </row>
    <row r="400" spans="1:16" x14ac:dyDescent="0.25">
      <c r="A400" s="2" t="s">
        <v>183</v>
      </c>
      <c r="B400" s="2" t="s">
        <v>185</v>
      </c>
      <c r="C400" s="6" t="s">
        <v>132</v>
      </c>
      <c r="D400" s="2" t="s">
        <v>116</v>
      </c>
      <c r="E400" s="2"/>
      <c r="F400" s="35">
        <v>5.5393224575487361</v>
      </c>
      <c r="G400" s="35">
        <v>6.6113237290418461</v>
      </c>
      <c r="H400" s="35">
        <v>-16.090350542071032</v>
      </c>
      <c r="I400" s="35">
        <v>1.2153791294630316</v>
      </c>
      <c r="J400" s="35">
        <v>2.4928632471580447E-4</v>
      </c>
      <c r="K400" s="35">
        <v>0.66127051254662139</v>
      </c>
      <c r="L400" s="35">
        <v>6.8012357654307918</v>
      </c>
      <c r="M400" s="58" t="s">
        <v>24</v>
      </c>
      <c r="N400" s="7">
        <v>11.333333333333334</v>
      </c>
      <c r="O400" s="7" t="s">
        <v>178</v>
      </c>
      <c r="P400" s="7" t="s">
        <v>178</v>
      </c>
    </row>
    <row r="401" spans="1:16" x14ac:dyDescent="0.25">
      <c r="A401" s="2" t="s">
        <v>183</v>
      </c>
      <c r="B401" s="2" t="s">
        <v>185</v>
      </c>
      <c r="C401" s="6" t="s">
        <v>132</v>
      </c>
      <c r="D401" s="2" t="s">
        <v>116</v>
      </c>
      <c r="E401" s="2"/>
      <c r="F401" s="35">
        <v>11.078644915097472</v>
      </c>
      <c r="G401" s="35">
        <v>9.6375386774375826</v>
      </c>
      <c r="H401" s="35">
        <v>16.888005708945375</v>
      </c>
      <c r="I401" s="35">
        <v>1.2153791294630316</v>
      </c>
      <c r="J401" s="35">
        <v>2.4928632471580447E-4</v>
      </c>
      <c r="K401" s="35">
        <v>-6.0711063937239835</v>
      </c>
      <c r="L401" s="35">
        <v>4.59200117580738</v>
      </c>
      <c r="M401" s="58" t="s">
        <v>23</v>
      </c>
      <c r="N401" s="7">
        <v>11.333333333333334</v>
      </c>
      <c r="O401" s="7" t="s">
        <v>178</v>
      </c>
      <c r="P401" s="7" t="s">
        <v>178</v>
      </c>
    </row>
    <row r="402" spans="1:16" x14ac:dyDescent="0.25">
      <c r="A402" s="2" t="s">
        <v>183</v>
      </c>
      <c r="B402" s="2" t="s">
        <v>185</v>
      </c>
      <c r="C402" s="6" t="s">
        <v>132</v>
      </c>
      <c r="D402" s="2" t="s">
        <v>117</v>
      </c>
      <c r="E402" s="2"/>
      <c r="F402" s="35">
        <v>0</v>
      </c>
      <c r="G402" s="35">
        <v>-52.237838532961518</v>
      </c>
      <c r="H402" s="35">
        <v>-24.703085404940019</v>
      </c>
      <c r="I402" s="35">
        <v>2.5622884581991174</v>
      </c>
      <c r="J402" s="35">
        <v>0.16206764539096943</v>
      </c>
      <c r="K402" s="35">
        <v>16.050569795775534</v>
      </c>
      <c r="L402" s="35">
        <v>-48.230362632113327</v>
      </c>
      <c r="M402" s="58" t="s">
        <v>22</v>
      </c>
      <c r="N402" s="7">
        <v>11.333333333333334</v>
      </c>
      <c r="O402" s="7" t="s">
        <v>178</v>
      </c>
      <c r="P402" s="7" t="s">
        <v>178</v>
      </c>
    </row>
    <row r="403" spans="1:16" x14ac:dyDescent="0.25">
      <c r="A403" s="2" t="s">
        <v>183</v>
      </c>
      <c r="B403" s="2" t="s">
        <v>185</v>
      </c>
      <c r="C403" s="6" t="s">
        <v>132</v>
      </c>
      <c r="D403" s="2" t="s">
        <v>117</v>
      </c>
      <c r="E403" s="2"/>
      <c r="F403" s="35">
        <v>0.29999999999999988</v>
      </c>
      <c r="G403" s="35">
        <v>-52.073944032961514</v>
      </c>
      <c r="H403" s="35">
        <v>-23.63145540494002</v>
      </c>
      <c r="I403" s="35">
        <v>2.5622884581991174</v>
      </c>
      <c r="J403" s="35">
        <v>0.16206764539096943</v>
      </c>
      <c r="K403" s="35">
        <v>15.2818832583158</v>
      </c>
      <c r="L403" s="35">
        <v>-40.980181510631326</v>
      </c>
      <c r="M403" s="58" t="s">
        <v>22</v>
      </c>
      <c r="N403" s="7">
        <v>11.333333333333334</v>
      </c>
      <c r="O403" s="7" t="s">
        <v>178</v>
      </c>
      <c r="P403" s="7" t="s">
        <v>178</v>
      </c>
    </row>
    <row r="404" spans="1:16" x14ac:dyDescent="0.25">
      <c r="A404" s="2" t="s">
        <v>183</v>
      </c>
      <c r="B404" s="2" t="s">
        <v>185</v>
      </c>
      <c r="C404" s="6" t="s">
        <v>132</v>
      </c>
      <c r="D404" s="2" t="s">
        <v>117</v>
      </c>
      <c r="E404" s="2"/>
      <c r="F404" s="35">
        <v>0.29999999999999988</v>
      </c>
      <c r="G404" s="35">
        <v>-20.938553696759254</v>
      </c>
      <c r="H404" s="35">
        <v>-18.294740675144709</v>
      </c>
      <c r="I404" s="35">
        <v>1.9747451749018989</v>
      </c>
      <c r="J404" s="35">
        <v>-1.0619838165886519E-2</v>
      </c>
      <c r="K404" s="35">
        <v>12.331158951007525</v>
      </c>
      <c r="L404" s="35">
        <v>-34.333605082628182</v>
      </c>
      <c r="M404" s="58" t="s">
        <v>22</v>
      </c>
      <c r="N404" s="7">
        <v>11.333333333333334</v>
      </c>
      <c r="O404" s="7" t="s">
        <v>178</v>
      </c>
      <c r="P404" s="7" t="s">
        <v>178</v>
      </c>
    </row>
    <row r="405" spans="1:16" x14ac:dyDescent="0.25">
      <c r="A405" s="2" t="s">
        <v>183</v>
      </c>
      <c r="B405" s="2" t="s">
        <v>185</v>
      </c>
      <c r="C405" s="6" t="s">
        <v>132</v>
      </c>
      <c r="D405" s="2" t="s">
        <v>117</v>
      </c>
      <c r="E405" s="2"/>
      <c r="F405" s="35">
        <v>5.3</v>
      </c>
      <c r="G405" s="35">
        <v>-18.206978696759251</v>
      </c>
      <c r="H405" s="35">
        <v>-0.43424067514471015</v>
      </c>
      <c r="I405" s="35">
        <v>1.9747451749018989</v>
      </c>
      <c r="J405" s="35">
        <v>-1.0619838165886519E-2</v>
      </c>
      <c r="K405" s="35">
        <v>2.457433076498031</v>
      </c>
      <c r="L405" s="35">
        <v>12.488848293095369</v>
      </c>
      <c r="M405" s="58" t="s">
        <v>24</v>
      </c>
      <c r="N405" s="7">
        <v>11.333333333333334</v>
      </c>
      <c r="O405" s="7" t="s">
        <v>178</v>
      </c>
      <c r="P405" s="7" t="s">
        <v>178</v>
      </c>
    </row>
    <row r="406" spans="1:16" x14ac:dyDescent="0.25">
      <c r="A406" s="2" t="s">
        <v>183</v>
      </c>
      <c r="B406" s="2" t="s">
        <v>185</v>
      </c>
      <c r="C406" s="6" t="s">
        <v>132</v>
      </c>
      <c r="D406" s="2" t="s">
        <v>117</v>
      </c>
      <c r="E406" s="2"/>
      <c r="F406" s="35">
        <v>5.3</v>
      </c>
      <c r="G406" s="35">
        <v>-38.97531492282986</v>
      </c>
      <c r="H406" s="35">
        <v>-10.050230572151531</v>
      </c>
      <c r="I406" s="35">
        <v>2.5612197171032305</v>
      </c>
      <c r="J406" s="35">
        <v>-6.5805833027832476E-4</v>
      </c>
      <c r="K406" s="35">
        <v>2.4706732032114544</v>
      </c>
      <c r="L406" s="35">
        <v>4.4748198234026582</v>
      </c>
      <c r="M406" s="58" t="s">
        <v>24</v>
      </c>
      <c r="N406" s="7">
        <v>11.333333333333334</v>
      </c>
      <c r="O406" s="7" t="s">
        <v>178</v>
      </c>
      <c r="P406" s="7" t="s">
        <v>178</v>
      </c>
    </row>
    <row r="407" spans="1:16" x14ac:dyDescent="0.25">
      <c r="A407" s="2" t="s">
        <v>183</v>
      </c>
      <c r="B407" s="2" t="s">
        <v>185</v>
      </c>
      <c r="C407" s="6" t="s">
        <v>132</v>
      </c>
      <c r="D407" s="2" t="s">
        <v>117</v>
      </c>
      <c r="E407" s="2"/>
      <c r="F407" s="35">
        <v>5.5393224575487361</v>
      </c>
      <c r="G407" s="35">
        <v>-38.844569474434117</v>
      </c>
      <c r="H407" s="35">
        <v>-9.1953468215416923</v>
      </c>
      <c r="I407" s="35">
        <v>2.5612197171032305</v>
      </c>
      <c r="J407" s="35">
        <v>-6.5805833027832476E-4</v>
      </c>
      <c r="K407" s="35">
        <v>1.8577158061920311</v>
      </c>
      <c r="L407" s="35">
        <v>6.7777692628041883</v>
      </c>
      <c r="M407" s="58" t="s">
        <v>24</v>
      </c>
      <c r="N407" s="7">
        <v>11.333333333333334</v>
      </c>
      <c r="O407" s="7" t="s">
        <v>178</v>
      </c>
      <c r="P407" s="7" t="s">
        <v>178</v>
      </c>
    </row>
    <row r="408" spans="1:16" x14ac:dyDescent="0.25">
      <c r="A408" s="2" t="s">
        <v>183</v>
      </c>
      <c r="B408" s="2" t="s">
        <v>185</v>
      </c>
      <c r="C408" s="6" t="s">
        <v>132</v>
      </c>
      <c r="D408" s="2" t="s">
        <v>117</v>
      </c>
      <c r="E408" s="2"/>
      <c r="F408" s="35">
        <v>11.078644915097472</v>
      </c>
      <c r="G408" s="35">
        <v>-35.818354526038384</v>
      </c>
      <c r="H408" s="35">
        <v>10.59166692906815</v>
      </c>
      <c r="I408" s="35">
        <v>2.5612197171032305</v>
      </c>
      <c r="J408" s="35">
        <v>-6.5805833027832476E-4</v>
      </c>
      <c r="K408" s="35">
        <v>-12.329706091474515</v>
      </c>
      <c r="L408" s="35">
        <v>2.9104355980301011</v>
      </c>
      <c r="M408" s="58" t="s">
        <v>23</v>
      </c>
      <c r="N408" s="7">
        <v>11.333333333333334</v>
      </c>
      <c r="O408" s="7" t="s">
        <v>178</v>
      </c>
      <c r="P408" s="7" t="s">
        <v>178</v>
      </c>
    </row>
    <row r="409" spans="1:16" x14ac:dyDescent="0.25">
      <c r="A409" s="2" t="s">
        <v>183</v>
      </c>
      <c r="B409" s="2" t="s">
        <v>185</v>
      </c>
      <c r="C409" s="6" t="s">
        <v>132</v>
      </c>
      <c r="D409" s="2" t="s">
        <v>118</v>
      </c>
      <c r="E409" s="2"/>
      <c r="F409" s="35">
        <v>0</v>
      </c>
      <c r="G409" s="35">
        <v>-8.5933469338336383</v>
      </c>
      <c r="H409" s="35">
        <v>-39.458875576063541</v>
      </c>
      <c r="I409" s="35">
        <v>-1.1772555383240071</v>
      </c>
      <c r="J409" s="35">
        <v>-7.419966772287874E-2</v>
      </c>
      <c r="K409" s="35">
        <v>-7.3169799968421598</v>
      </c>
      <c r="L409" s="35">
        <v>-77.060286214596985</v>
      </c>
      <c r="M409" s="58" t="s">
        <v>22</v>
      </c>
      <c r="N409" s="7">
        <v>11.333333333333334</v>
      </c>
      <c r="O409" s="7" t="s">
        <v>178</v>
      </c>
      <c r="P409" s="7" t="s">
        <v>178</v>
      </c>
    </row>
    <row r="410" spans="1:16" x14ac:dyDescent="0.25">
      <c r="A410" s="2" t="s">
        <v>183</v>
      </c>
      <c r="B410" s="2" t="s">
        <v>185</v>
      </c>
      <c r="C410" s="6" t="s">
        <v>132</v>
      </c>
      <c r="D410" s="2" t="s">
        <v>118</v>
      </c>
      <c r="E410" s="2"/>
      <c r="F410" s="35">
        <v>0.29999999999999988</v>
      </c>
      <c r="G410" s="35">
        <v>-8.4294524338336405</v>
      </c>
      <c r="H410" s="35">
        <v>-37.672825576063545</v>
      </c>
      <c r="I410" s="35">
        <v>-1.1772555383240071</v>
      </c>
      <c r="J410" s="35">
        <v>-7.419966772287874E-2</v>
      </c>
      <c r="K410" s="35">
        <v>-6.9638033353449575</v>
      </c>
      <c r="L410" s="35">
        <v>-65.490531041777913</v>
      </c>
      <c r="M410" s="58" t="s">
        <v>22</v>
      </c>
      <c r="N410" s="7">
        <v>11.333333333333334</v>
      </c>
      <c r="O410" s="7" t="s">
        <v>178</v>
      </c>
      <c r="P410" s="7" t="s">
        <v>178</v>
      </c>
    </row>
    <row r="411" spans="1:16" x14ac:dyDescent="0.25">
      <c r="A411" s="2" t="s">
        <v>183</v>
      </c>
      <c r="B411" s="2" t="s">
        <v>185</v>
      </c>
      <c r="C411" s="6" t="s">
        <v>132</v>
      </c>
      <c r="D411" s="2" t="s">
        <v>118</v>
      </c>
      <c r="E411" s="2"/>
      <c r="F411" s="35">
        <v>0.29999999999999988</v>
      </c>
      <c r="G411" s="35">
        <v>21.282431986305795</v>
      </c>
      <c r="H411" s="35">
        <v>-30.010829062862577</v>
      </c>
      <c r="I411" s="35">
        <v>-0.90966081902571772</v>
      </c>
      <c r="J411" s="35">
        <v>4.5515436798148042E-3</v>
      </c>
      <c r="K411" s="35">
        <v>-5.6199990759992247</v>
      </c>
      <c r="L411" s="35">
        <v>-54.723771071445213</v>
      </c>
      <c r="M411" s="58" t="s">
        <v>22</v>
      </c>
      <c r="N411" s="7">
        <v>11.333333333333334</v>
      </c>
      <c r="O411" s="7" t="s">
        <v>178</v>
      </c>
      <c r="P411" s="7" t="s">
        <v>178</v>
      </c>
    </row>
    <row r="412" spans="1:16" x14ac:dyDescent="0.25">
      <c r="A412" s="2" t="s">
        <v>183</v>
      </c>
      <c r="B412" s="2" t="s">
        <v>185</v>
      </c>
      <c r="C412" s="6" t="s">
        <v>132</v>
      </c>
      <c r="D412" s="2" t="s">
        <v>118</v>
      </c>
      <c r="E412" s="2"/>
      <c r="F412" s="35">
        <v>5.3</v>
      </c>
      <c r="G412" s="35">
        <v>24.014006986305798</v>
      </c>
      <c r="H412" s="35">
        <v>-0.24332906286257336</v>
      </c>
      <c r="I412" s="35">
        <v>-0.90966081902571772</v>
      </c>
      <c r="J412" s="35">
        <v>4.5515436798148042E-3</v>
      </c>
      <c r="K412" s="35">
        <v>-1.0716949808706357</v>
      </c>
      <c r="L412" s="35">
        <v>20.911624242867664</v>
      </c>
      <c r="M412" s="58" t="s">
        <v>24</v>
      </c>
      <c r="N412" s="7">
        <v>11.333333333333334</v>
      </c>
      <c r="O412" s="7" t="s">
        <v>178</v>
      </c>
      <c r="P412" s="7" t="s">
        <v>178</v>
      </c>
    </row>
    <row r="413" spans="1:16" x14ac:dyDescent="0.25">
      <c r="A413" s="2" t="s">
        <v>183</v>
      </c>
      <c r="B413" s="2" t="s">
        <v>185</v>
      </c>
      <c r="C413" s="6" t="s">
        <v>132</v>
      </c>
      <c r="D413" s="2" t="s">
        <v>118</v>
      </c>
      <c r="E413" s="2"/>
      <c r="F413" s="35">
        <v>5.3</v>
      </c>
      <c r="G413" s="35">
        <v>8.1735231376679565</v>
      </c>
      <c r="H413" s="35">
        <v>-17.538571525152392</v>
      </c>
      <c r="I413" s="35">
        <v>-1.1776171669046995</v>
      </c>
      <c r="J413" s="35">
        <v>-1.5028291197082039E-3</v>
      </c>
      <c r="K413" s="35">
        <v>-1.0774747979109132</v>
      </c>
      <c r="L413" s="35">
        <v>2.6388381907689653</v>
      </c>
      <c r="M413" s="58" t="s">
        <v>24</v>
      </c>
      <c r="N413" s="7">
        <v>11.333333333333334</v>
      </c>
      <c r="O413" s="7" t="s">
        <v>178</v>
      </c>
      <c r="P413" s="7" t="s">
        <v>178</v>
      </c>
    </row>
    <row r="414" spans="1:16" x14ac:dyDescent="0.25">
      <c r="A414" s="2" t="s">
        <v>183</v>
      </c>
      <c r="B414" s="2" t="s">
        <v>185</v>
      </c>
      <c r="C414" s="6" t="s">
        <v>132</v>
      </c>
      <c r="D414" s="2" t="s">
        <v>118</v>
      </c>
      <c r="E414" s="2"/>
      <c r="F414" s="35">
        <v>5.5393224575487361</v>
      </c>
      <c r="G414" s="35">
        <v>8.3042685860636976</v>
      </c>
      <c r="H414" s="35">
        <v>-16.113765274135986</v>
      </c>
      <c r="I414" s="35">
        <v>-1.1776171669046995</v>
      </c>
      <c r="J414" s="35">
        <v>-1.5028291197082039E-3</v>
      </c>
      <c r="K414" s="35">
        <v>-0.79564456347570023</v>
      </c>
      <c r="L414" s="35">
        <v>6.6657181633006966</v>
      </c>
      <c r="M414" s="58" t="s">
        <v>24</v>
      </c>
      <c r="N414" s="7">
        <v>11.333333333333334</v>
      </c>
      <c r="O414" s="7" t="s">
        <v>178</v>
      </c>
      <c r="P414" s="7" t="s">
        <v>178</v>
      </c>
    </row>
    <row r="415" spans="1:16" x14ac:dyDescent="0.25">
      <c r="A415" s="2" t="s">
        <v>183</v>
      </c>
      <c r="B415" s="2" t="s">
        <v>185</v>
      </c>
      <c r="C415" s="6" t="s">
        <v>132</v>
      </c>
      <c r="D415" s="2" t="s">
        <v>118</v>
      </c>
      <c r="E415" s="2"/>
      <c r="F415" s="35">
        <v>11.078644915097472</v>
      </c>
      <c r="G415" s="35">
        <v>11.330483534459434</v>
      </c>
      <c r="H415" s="35">
        <v>16.864590976880418</v>
      </c>
      <c r="I415" s="35">
        <v>-1.1776171669046995</v>
      </c>
      <c r="J415" s="35">
        <v>-1.5028291197082039E-3</v>
      </c>
      <c r="K415" s="35">
        <v>5.7275566555544222</v>
      </c>
      <c r="L415" s="35">
        <v>4.586185324842166</v>
      </c>
      <c r="M415" s="58" t="s">
        <v>23</v>
      </c>
      <c r="N415" s="7">
        <v>11.333333333333334</v>
      </c>
      <c r="O415" s="7" t="s">
        <v>178</v>
      </c>
      <c r="P415" s="7" t="s">
        <v>178</v>
      </c>
    </row>
    <row r="416" spans="1:16" x14ac:dyDescent="0.25">
      <c r="A416" s="2" t="s">
        <v>183</v>
      </c>
      <c r="B416" s="2" t="s">
        <v>185</v>
      </c>
      <c r="C416" s="6" t="s">
        <v>132</v>
      </c>
      <c r="D416" s="2" t="s">
        <v>119</v>
      </c>
      <c r="E416" s="2"/>
      <c r="F416" s="35">
        <v>0</v>
      </c>
      <c r="G416" s="35">
        <v>-26.12005176237944</v>
      </c>
      <c r="H416" s="35">
        <v>-24.150461207721097</v>
      </c>
      <c r="I416" s="35">
        <v>-2.6978639364223924</v>
      </c>
      <c r="J416" s="35">
        <v>-0.16938263631038294</v>
      </c>
      <c r="K416" s="35">
        <v>-16.687057969998833</v>
      </c>
      <c r="L416" s="35">
        <v>-47.206343637681421</v>
      </c>
      <c r="M416" s="58" t="s">
        <v>22</v>
      </c>
      <c r="N416" s="7">
        <v>11.333333333333334</v>
      </c>
      <c r="O416" s="7" t="s">
        <v>178</v>
      </c>
      <c r="P416" s="7" t="s">
        <v>178</v>
      </c>
    </row>
    <row r="417" spans="1:16" x14ac:dyDescent="0.25">
      <c r="A417" s="2" t="s">
        <v>183</v>
      </c>
      <c r="B417" s="2" t="s">
        <v>185</v>
      </c>
      <c r="C417" s="6" t="s">
        <v>132</v>
      </c>
      <c r="D417" s="2" t="s">
        <v>119</v>
      </c>
      <c r="E417" s="2"/>
      <c r="F417" s="35">
        <v>0.29999999999999988</v>
      </c>
      <c r="G417" s="35">
        <v>-25.956157262379442</v>
      </c>
      <c r="H417" s="35">
        <v>-23.078831207721102</v>
      </c>
      <c r="I417" s="35">
        <v>-2.6978639364223924</v>
      </c>
      <c r="J417" s="35">
        <v>-0.16938263631038294</v>
      </c>
      <c r="K417" s="35">
        <v>-15.877698789072118</v>
      </c>
      <c r="L417" s="35">
        <v>-40.121949775365088</v>
      </c>
      <c r="M417" s="58" t="s">
        <v>22</v>
      </c>
      <c r="N417" s="7">
        <v>11.333333333333334</v>
      </c>
      <c r="O417" s="7" t="s">
        <v>178</v>
      </c>
      <c r="P417" s="7" t="s">
        <v>178</v>
      </c>
    </row>
    <row r="418" spans="1:16" x14ac:dyDescent="0.25">
      <c r="A418" s="2" t="s">
        <v>183</v>
      </c>
      <c r="B418" s="2" t="s">
        <v>185</v>
      </c>
      <c r="C418" s="6" t="s">
        <v>132</v>
      </c>
      <c r="D418" s="2" t="s">
        <v>119</v>
      </c>
      <c r="E418" s="2"/>
      <c r="F418" s="35">
        <v>0.29999999999999988</v>
      </c>
      <c r="G418" s="35">
        <v>-2.1345052542853149</v>
      </c>
      <c r="H418" s="35">
        <v>-18.151379125876854</v>
      </c>
      <c r="I418" s="35">
        <v>-2.0882756594075453</v>
      </c>
      <c r="J418" s="35">
        <v>1.010552012827115E-2</v>
      </c>
      <c r="K418" s="35">
        <v>-12.816622433110993</v>
      </c>
      <c r="L418" s="35">
        <v>-33.568544375191905</v>
      </c>
      <c r="M418" s="58" t="s">
        <v>22</v>
      </c>
      <c r="N418" s="7">
        <v>11.333333333333334</v>
      </c>
      <c r="O418" s="7" t="s">
        <v>178</v>
      </c>
      <c r="P418" s="7" t="s">
        <v>178</v>
      </c>
    </row>
    <row r="419" spans="1:16" x14ac:dyDescent="0.25">
      <c r="A419" s="2" t="s">
        <v>183</v>
      </c>
      <c r="B419" s="2" t="s">
        <v>185</v>
      </c>
      <c r="C419" s="6" t="s">
        <v>132</v>
      </c>
      <c r="D419" s="2" t="s">
        <v>119</v>
      </c>
      <c r="E419" s="2"/>
      <c r="F419" s="35">
        <v>5.3</v>
      </c>
      <c r="G419" s="35">
        <v>0.59706974571468518</v>
      </c>
      <c r="H419" s="35">
        <v>-0.29087912587685499</v>
      </c>
      <c r="I419" s="35">
        <v>-2.0882756594075453</v>
      </c>
      <c r="J419" s="35">
        <v>1.010552012827115E-2</v>
      </c>
      <c r="K419" s="35">
        <v>-2.3752441360732663</v>
      </c>
      <c r="L419" s="35">
        <v>12.53710125419237</v>
      </c>
      <c r="M419" s="58" t="s">
        <v>24</v>
      </c>
      <c r="N419" s="7">
        <v>11.333333333333334</v>
      </c>
      <c r="O419" s="7" t="s">
        <v>178</v>
      </c>
      <c r="P419" s="7" t="s">
        <v>178</v>
      </c>
    </row>
    <row r="420" spans="1:16" x14ac:dyDescent="0.25">
      <c r="A420" s="2" t="s">
        <v>183</v>
      </c>
      <c r="B420" s="2" t="s">
        <v>185</v>
      </c>
      <c r="C420" s="6" t="s">
        <v>132</v>
      </c>
      <c r="D420" s="2" t="s">
        <v>119</v>
      </c>
      <c r="E420" s="2"/>
      <c r="F420" s="35">
        <v>5.3</v>
      </c>
      <c r="G420" s="35">
        <v>-13.409840993403149</v>
      </c>
      <c r="H420" s="35">
        <v>-10.339350650966164</v>
      </c>
      <c r="I420" s="35">
        <v>-2.698938505929557</v>
      </c>
      <c r="J420" s="35">
        <v>-1.3257688705677541E-3</v>
      </c>
      <c r="K420" s="35">
        <v>-2.3879963725979105</v>
      </c>
      <c r="L420" s="35">
        <v>2.7305049949895985</v>
      </c>
      <c r="M420" s="58" t="s">
        <v>24</v>
      </c>
      <c r="N420" s="7">
        <v>11.333333333333334</v>
      </c>
      <c r="O420" s="7" t="s">
        <v>178</v>
      </c>
      <c r="P420" s="7" t="s">
        <v>178</v>
      </c>
    </row>
    <row r="421" spans="1:16" x14ac:dyDescent="0.25">
      <c r="A421" s="2" t="s">
        <v>183</v>
      </c>
      <c r="B421" s="2" t="s">
        <v>185</v>
      </c>
      <c r="C421" s="6" t="s">
        <v>132</v>
      </c>
      <c r="D421" s="2" t="s">
        <v>119</v>
      </c>
      <c r="E421" s="2"/>
      <c r="F421" s="35">
        <v>5.5393224575487361</v>
      </c>
      <c r="G421" s="35">
        <v>-13.279095545007408</v>
      </c>
      <c r="H421" s="35">
        <v>-9.484466900356324</v>
      </c>
      <c r="I421" s="35">
        <v>-2.698938505929557</v>
      </c>
      <c r="J421" s="35">
        <v>-1.3257688705677541E-3</v>
      </c>
      <c r="K421" s="35">
        <v>-1.7420797765859348</v>
      </c>
      <c r="L421" s="35">
        <v>5.1026473621797317</v>
      </c>
      <c r="M421" s="58" t="s">
        <v>24</v>
      </c>
      <c r="N421" s="7">
        <v>11.333333333333334</v>
      </c>
      <c r="O421" s="7" t="s">
        <v>178</v>
      </c>
      <c r="P421" s="7" t="s">
        <v>178</v>
      </c>
    </row>
    <row r="422" spans="1:16" x14ac:dyDescent="0.25">
      <c r="A422" s="2" t="s">
        <v>183</v>
      </c>
      <c r="B422" s="2" t="s">
        <v>185</v>
      </c>
      <c r="C422" s="6" t="s">
        <v>132</v>
      </c>
      <c r="D422" s="2" t="s">
        <v>119</v>
      </c>
      <c r="E422" s="2"/>
      <c r="F422" s="35">
        <v>11.078644915097472</v>
      </c>
      <c r="G422" s="35">
        <v>-10.252880596611671</v>
      </c>
      <c r="H422" s="35">
        <v>10.302546850253519</v>
      </c>
      <c r="I422" s="35">
        <v>-2.698938505929557</v>
      </c>
      <c r="J422" s="35">
        <v>-1.3257688705677541E-3</v>
      </c>
      <c r="K422" s="35">
        <v>13.208210900852691</v>
      </c>
      <c r="L422" s="35">
        <v>2.8368430429117977</v>
      </c>
      <c r="M422" s="58" t="s">
        <v>23</v>
      </c>
      <c r="N422" s="7">
        <v>11.333333333333334</v>
      </c>
      <c r="O422" s="7" t="s">
        <v>178</v>
      </c>
      <c r="P422" s="7" t="s">
        <v>178</v>
      </c>
    </row>
    <row r="423" spans="1:16" x14ac:dyDescent="0.25">
      <c r="A423" s="2" t="s">
        <v>183</v>
      </c>
      <c r="B423" s="2" t="s">
        <v>185</v>
      </c>
      <c r="C423" s="6" t="s">
        <v>132</v>
      </c>
      <c r="D423" s="2" t="s">
        <v>120</v>
      </c>
      <c r="E423" s="2"/>
      <c r="F423" s="35">
        <v>0</v>
      </c>
      <c r="G423" s="35">
        <v>66.67264358024967</v>
      </c>
      <c r="H423" s="35">
        <v>30.488615216929379</v>
      </c>
      <c r="I423" s="35">
        <v>6.3731560001726029E-2</v>
      </c>
      <c r="J423" s="35">
        <v>-4.4609647734904154E-3</v>
      </c>
      <c r="K423" s="35">
        <v>0.23236773867293845</v>
      </c>
      <c r="L423" s="35">
        <v>64.061785083419608</v>
      </c>
      <c r="M423" s="58" t="s">
        <v>22</v>
      </c>
      <c r="N423" s="7">
        <v>11.333333333333334</v>
      </c>
      <c r="O423" s="7" t="s">
        <v>178</v>
      </c>
      <c r="P423" s="7" t="s">
        <v>178</v>
      </c>
    </row>
    <row r="424" spans="1:16" x14ac:dyDescent="0.25">
      <c r="A424" s="2" t="s">
        <v>183</v>
      </c>
      <c r="B424" s="2" t="s">
        <v>185</v>
      </c>
      <c r="C424" s="6" t="s">
        <v>132</v>
      </c>
      <c r="D424" s="2" t="s">
        <v>120</v>
      </c>
      <c r="E424" s="2"/>
      <c r="F424" s="35">
        <v>0.29999999999999988</v>
      </c>
      <c r="G424" s="35">
        <v>66.836538080249667</v>
      </c>
      <c r="H424" s="35">
        <v>29.468015216929381</v>
      </c>
      <c r="I424" s="35">
        <v>6.3731560001726029E-2</v>
      </c>
      <c r="J424" s="35">
        <v>-4.4609647734904154E-3</v>
      </c>
      <c r="K424" s="35">
        <v>0.21324827067242069</v>
      </c>
      <c r="L424" s="35">
        <v>55.068290518340795</v>
      </c>
      <c r="M424" s="58" t="s">
        <v>22</v>
      </c>
      <c r="N424" s="7">
        <v>11.333333333333334</v>
      </c>
      <c r="O424" s="7" t="s">
        <v>178</v>
      </c>
      <c r="P424" s="7" t="s">
        <v>178</v>
      </c>
    </row>
    <row r="425" spans="1:16" x14ac:dyDescent="0.25">
      <c r="A425" s="2" t="s">
        <v>183</v>
      </c>
      <c r="B425" s="2" t="s">
        <v>185</v>
      </c>
      <c r="C425" s="6" t="s">
        <v>132</v>
      </c>
      <c r="D425" s="2" t="s">
        <v>120</v>
      </c>
      <c r="E425" s="2"/>
      <c r="F425" s="35">
        <v>0.29999999999999988</v>
      </c>
      <c r="G425" s="35">
        <v>25.543602776098801</v>
      </c>
      <c r="H425" s="35">
        <v>21.952041959050121</v>
      </c>
      <c r="I425" s="35">
        <v>6.4678078816950049E-2</v>
      </c>
      <c r="J425" s="35">
        <v>-2.960118927112225E-3</v>
      </c>
      <c r="K425" s="35">
        <v>0.21970942943391775</v>
      </c>
      <c r="L425" s="35">
        <v>45.543398657192988</v>
      </c>
      <c r="M425" s="58" t="s">
        <v>22</v>
      </c>
      <c r="N425" s="7">
        <v>11.333333333333334</v>
      </c>
      <c r="O425" s="7" t="s">
        <v>178</v>
      </c>
      <c r="P425" s="7" t="s">
        <v>178</v>
      </c>
    </row>
    <row r="426" spans="1:16" x14ac:dyDescent="0.25">
      <c r="A426" s="2" t="s">
        <v>183</v>
      </c>
      <c r="B426" s="2" t="s">
        <v>185</v>
      </c>
      <c r="C426" s="6" t="s">
        <v>132</v>
      </c>
      <c r="D426" s="2" t="s">
        <v>120</v>
      </c>
      <c r="E426" s="2"/>
      <c r="F426" s="35">
        <v>5.3</v>
      </c>
      <c r="G426" s="35">
        <v>28.275177776098804</v>
      </c>
      <c r="H426" s="35">
        <v>4.9420419590501199</v>
      </c>
      <c r="I426" s="35">
        <v>6.4678078816950049E-2</v>
      </c>
      <c r="J426" s="35">
        <v>-2.960118927112225E-3</v>
      </c>
      <c r="K426" s="35">
        <v>-0.10368096465083247</v>
      </c>
      <c r="L426" s="35">
        <v>-21.691811138057609</v>
      </c>
      <c r="M426" s="58" t="s">
        <v>24</v>
      </c>
      <c r="N426" s="7">
        <v>11.333333333333334</v>
      </c>
      <c r="O426" s="7" t="s">
        <v>178</v>
      </c>
      <c r="P426" s="7" t="s">
        <v>178</v>
      </c>
    </row>
    <row r="427" spans="1:16" x14ac:dyDescent="0.25">
      <c r="A427" s="2" t="s">
        <v>183</v>
      </c>
      <c r="B427" s="2" t="s">
        <v>185</v>
      </c>
      <c r="C427" s="6" t="s">
        <v>132</v>
      </c>
      <c r="D427" s="2" t="s">
        <v>120</v>
      </c>
      <c r="E427" s="2"/>
      <c r="F427" s="35">
        <v>5.3</v>
      </c>
      <c r="G427" s="35">
        <v>57.599751718880704</v>
      </c>
      <c r="H427" s="35">
        <v>8.1876551975373548</v>
      </c>
      <c r="I427" s="35">
        <v>5.9413789582601566E-2</v>
      </c>
      <c r="J427" s="35">
        <v>2.5204633108614556E-3</v>
      </c>
      <c r="K427" s="35">
        <v>-0.10364039386183665</v>
      </c>
      <c r="L427" s="35">
        <v>-12.424173811360529</v>
      </c>
      <c r="M427" s="58" t="s">
        <v>24</v>
      </c>
      <c r="N427" s="7">
        <v>11.333333333333334</v>
      </c>
      <c r="O427" s="7" t="s">
        <v>178</v>
      </c>
      <c r="P427" s="7" t="s">
        <v>178</v>
      </c>
    </row>
    <row r="428" spans="1:16" x14ac:dyDescent="0.25">
      <c r="A428" s="2" t="s">
        <v>183</v>
      </c>
      <c r="B428" s="2" t="s">
        <v>185</v>
      </c>
      <c r="C428" s="6" t="s">
        <v>132</v>
      </c>
      <c r="D428" s="2" t="s">
        <v>120</v>
      </c>
      <c r="E428" s="2"/>
      <c r="F428" s="35">
        <v>5.5393224575487361</v>
      </c>
      <c r="G428" s="35">
        <v>57.73049716727644</v>
      </c>
      <c r="H428" s="35">
        <v>7.373480196956554</v>
      </c>
      <c r="I428" s="35">
        <v>5.9413789582601566E-2</v>
      </c>
      <c r="J428" s="35">
        <v>2.5204633108614556E-3</v>
      </c>
      <c r="K428" s="35">
        <v>-0.11785944799702838</v>
      </c>
      <c r="L428" s="35">
        <v>-14.286238393789981</v>
      </c>
      <c r="M428" s="58" t="s">
        <v>24</v>
      </c>
      <c r="N428" s="7">
        <v>11.333333333333334</v>
      </c>
      <c r="O428" s="7" t="s">
        <v>178</v>
      </c>
      <c r="P428" s="7" t="s">
        <v>178</v>
      </c>
    </row>
    <row r="429" spans="1:16" x14ac:dyDescent="0.25">
      <c r="A429" s="2" t="s">
        <v>183</v>
      </c>
      <c r="B429" s="2" t="s">
        <v>185</v>
      </c>
      <c r="C429" s="6" t="s">
        <v>132</v>
      </c>
      <c r="D429" s="2" t="s">
        <v>120</v>
      </c>
      <c r="E429" s="2"/>
      <c r="F429" s="35">
        <v>11.078644915097472</v>
      </c>
      <c r="G429" s="35">
        <v>60.75671211567218</v>
      </c>
      <c r="H429" s="35">
        <v>-11.471294803624252</v>
      </c>
      <c r="I429" s="35">
        <v>5.9413789582601566E-2</v>
      </c>
      <c r="J429" s="35">
        <v>2.5204633108614556E-3</v>
      </c>
      <c r="K429" s="35">
        <v>-0.44697158692000849</v>
      </c>
      <c r="L429" s="35">
        <v>-2.9366801549971635</v>
      </c>
      <c r="M429" s="58" t="s">
        <v>23</v>
      </c>
      <c r="N429" s="7">
        <v>11.333333333333334</v>
      </c>
      <c r="O429" s="7" t="s">
        <v>178</v>
      </c>
      <c r="P429" s="7" t="s">
        <v>178</v>
      </c>
    </row>
    <row r="430" spans="1:16" x14ac:dyDescent="0.25">
      <c r="A430" s="2" t="s">
        <v>183</v>
      </c>
      <c r="B430" s="2" t="s">
        <v>185</v>
      </c>
      <c r="C430" s="6" t="s">
        <v>132</v>
      </c>
      <c r="D430" s="2" t="s">
        <v>121</v>
      </c>
      <c r="E430" s="2"/>
      <c r="F430" s="35">
        <v>0</v>
      </c>
      <c r="G430" s="35">
        <v>51.555703348589127</v>
      </c>
      <c r="H430" s="35">
        <v>47.4604124543471</v>
      </c>
      <c r="I430" s="35">
        <v>5.8991385473320682E-2</v>
      </c>
      <c r="J430" s="35">
        <v>-2.4819381962193003E-3</v>
      </c>
      <c r="K430" s="35">
        <v>0.22596864886757145</v>
      </c>
      <c r="L430" s="35">
        <v>97.081277411790367</v>
      </c>
      <c r="M430" s="58" t="s">
        <v>22</v>
      </c>
      <c r="N430" s="7">
        <v>11.333333333333334</v>
      </c>
      <c r="O430" s="7" t="s">
        <v>178</v>
      </c>
      <c r="P430" s="7" t="s">
        <v>178</v>
      </c>
    </row>
    <row r="431" spans="1:16" x14ac:dyDescent="0.25">
      <c r="A431" s="2" t="s">
        <v>183</v>
      </c>
      <c r="B431" s="2" t="s">
        <v>185</v>
      </c>
      <c r="C431" s="6" t="s">
        <v>132</v>
      </c>
      <c r="D431" s="2" t="s">
        <v>121</v>
      </c>
      <c r="E431" s="2"/>
      <c r="F431" s="35">
        <v>0.29999999999999988</v>
      </c>
      <c r="G431" s="35">
        <v>51.719597848589132</v>
      </c>
      <c r="H431" s="35">
        <v>45.646012454347101</v>
      </c>
      <c r="I431" s="35">
        <v>5.8991385473320682E-2</v>
      </c>
      <c r="J431" s="35">
        <v>-2.4819381962193003E-3</v>
      </c>
      <c r="K431" s="35">
        <v>0.20827123322557531</v>
      </c>
      <c r="L431" s="35">
        <v>83.115313675486235</v>
      </c>
      <c r="M431" s="58" t="s">
        <v>22</v>
      </c>
      <c r="N431" s="7">
        <v>11.333333333333334</v>
      </c>
      <c r="O431" s="7" t="s">
        <v>178</v>
      </c>
      <c r="P431" s="7" t="s">
        <v>178</v>
      </c>
    </row>
    <row r="432" spans="1:16" x14ac:dyDescent="0.25">
      <c r="A432" s="2" t="s">
        <v>183</v>
      </c>
      <c r="B432" s="2" t="s">
        <v>185</v>
      </c>
      <c r="C432" s="6" t="s">
        <v>132</v>
      </c>
      <c r="D432" s="2" t="s">
        <v>121</v>
      </c>
      <c r="E432" s="2"/>
      <c r="F432" s="35">
        <v>0.29999999999999988</v>
      </c>
      <c r="G432" s="35">
        <v>2.8581729719141142</v>
      </c>
      <c r="H432" s="35">
        <v>35.073957110422583</v>
      </c>
      <c r="I432" s="35">
        <v>5.761626936412749E-2</v>
      </c>
      <c r="J432" s="35">
        <v>-2.0484121946017981E-3</v>
      </c>
      <c r="K432" s="35">
        <v>0.2026357637728472</v>
      </c>
      <c r="L432" s="35">
        <v>68.957821746152604</v>
      </c>
      <c r="M432" s="58" t="s">
        <v>22</v>
      </c>
      <c r="N432" s="7">
        <v>11.333333333333334</v>
      </c>
      <c r="O432" s="7" t="s">
        <v>178</v>
      </c>
      <c r="P432" s="7" t="s">
        <v>178</v>
      </c>
    </row>
    <row r="433" spans="1:16" x14ac:dyDescent="0.25">
      <c r="A433" s="2" t="s">
        <v>183</v>
      </c>
      <c r="B433" s="2" t="s">
        <v>185</v>
      </c>
      <c r="C433" s="6" t="s">
        <v>132</v>
      </c>
      <c r="D433" s="2" t="s">
        <v>121</v>
      </c>
      <c r="E433" s="2"/>
      <c r="F433" s="35">
        <v>5.3</v>
      </c>
      <c r="G433" s="35">
        <v>5.5897479719141145</v>
      </c>
      <c r="H433" s="35">
        <v>4.8339571104225865</v>
      </c>
      <c r="I433" s="35">
        <v>5.761626936412749E-2</v>
      </c>
      <c r="J433" s="35">
        <v>-2.0484121946017981E-3</v>
      </c>
      <c r="K433" s="35">
        <v>-8.5445583047790208E-2</v>
      </c>
      <c r="L433" s="35">
        <v>-30.811963805960325</v>
      </c>
      <c r="M433" s="58" t="s">
        <v>24</v>
      </c>
      <c r="N433" s="7">
        <v>11.333333333333334</v>
      </c>
      <c r="O433" s="7" t="s">
        <v>178</v>
      </c>
      <c r="P433" s="7" t="s">
        <v>178</v>
      </c>
    </row>
    <row r="434" spans="1:16" x14ac:dyDescent="0.25">
      <c r="A434" s="2" t="s">
        <v>183</v>
      </c>
      <c r="B434" s="2" t="s">
        <v>185</v>
      </c>
      <c r="C434" s="6" t="s">
        <v>132</v>
      </c>
      <c r="D434" s="2" t="s">
        <v>121</v>
      </c>
      <c r="E434" s="2"/>
      <c r="F434" s="35">
        <v>5.3</v>
      </c>
      <c r="G434" s="35">
        <v>38.070141010811511</v>
      </c>
      <c r="H434" s="35">
        <v>16.117237578704199</v>
      </c>
      <c r="I434" s="35">
        <v>5.6110365292944116E-2</v>
      </c>
      <c r="J434" s="35">
        <v>2.155421126940222E-3</v>
      </c>
      <c r="K434" s="35">
        <v>-8.5456019213423301E-2</v>
      </c>
      <c r="L434" s="35">
        <v>-12.741894532050987</v>
      </c>
      <c r="M434" s="58" t="s">
        <v>24</v>
      </c>
      <c r="N434" s="7">
        <v>11.333333333333334</v>
      </c>
      <c r="O434" s="7" t="s">
        <v>178</v>
      </c>
      <c r="P434" s="7" t="s">
        <v>178</v>
      </c>
    </row>
    <row r="435" spans="1:16" x14ac:dyDescent="0.25">
      <c r="A435" s="2" t="s">
        <v>183</v>
      </c>
      <c r="B435" s="2" t="s">
        <v>185</v>
      </c>
      <c r="C435" s="6" t="s">
        <v>132</v>
      </c>
      <c r="D435" s="2" t="s">
        <v>121</v>
      </c>
      <c r="E435" s="2"/>
      <c r="F435" s="35">
        <v>5.5393224575487361</v>
      </c>
      <c r="G435" s="35">
        <v>38.20088645920724</v>
      </c>
      <c r="H435" s="35">
        <v>14.669815355449442</v>
      </c>
      <c r="I435" s="35">
        <v>5.6110365292944116E-2</v>
      </c>
      <c r="J435" s="35">
        <v>2.155421126940222E-3</v>
      </c>
      <c r="K435" s="35">
        <v>-9.8884489729288011E-2</v>
      </c>
      <c r="L435" s="35">
        <v>-16.425911116493324</v>
      </c>
      <c r="M435" s="58" t="s">
        <v>24</v>
      </c>
      <c r="N435" s="7">
        <v>11.333333333333334</v>
      </c>
      <c r="O435" s="7" t="s">
        <v>178</v>
      </c>
      <c r="P435" s="7" t="s">
        <v>178</v>
      </c>
    </row>
    <row r="436" spans="1:16" x14ac:dyDescent="0.25">
      <c r="A436" s="2" t="s">
        <v>183</v>
      </c>
      <c r="B436" s="2" t="s">
        <v>185</v>
      </c>
      <c r="C436" s="6" t="s">
        <v>132</v>
      </c>
      <c r="D436" s="2" t="s">
        <v>121</v>
      </c>
      <c r="E436" s="2"/>
      <c r="F436" s="35">
        <v>11.078644915097472</v>
      </c>
      <c r="G436" s="35">
        <v>41.22710140760298</v>
      </c>
      <c r="H436" s="35">
        <v>-18.832006867805315</v>
      </c>
      <c r="I436" s="35">
        <v>5.6110365292944116E-2</v>
      </c>
      <c r="J436" s="35">
        <v>2.155421126940222E-3</v>
      </c>
      <c r="K436" s="35">
        <v>-0.40969789629775655</v>
      </c>
      <c r="L436" s="35">
        <v>-4.8980506579875245</v>
      </c>
      <c r="M436" s="58" t="s">
        <v>23</v>
      </c>
      <c r="N436" s="7">
        <v>11.333333333333334</v>
      </c>
      <c r="O436" s="7" t="s">
        <v>178</v>
      </c>
      <c r="P436" s="7" t="s">
        <v>178</v>
      </c>
    </row>
    <row r="437" spans="1:16" x14ac:dyDescent="0.25">
      <c r="A437" s="2" t="s">
        <v>183</v>
      </c>
      <c r="B437" s="2" t="s">
        <v>185</v>
      </c>
      <c r="C437" s="6" t="s">
        <v>132</v>
      </c>
      <c r="D437" s="2" t="s">
        <v>122</v>
      </c>
      <c r="E437" s="2"/>
      <c r="F437" s="35">
        <v>0</v>
      </c>
      <c r="G437" s="35">
        <v>-10.663820268404249</v>
      </c>
      <c r="H437" s="35">
        <v>-30.609151473754217</v>
      </c>
      <c r="I437" s="35">
        <v>-2.8299084757198608E-2</v>
      </c>
      <c r="J437" s="35">
        <v>-3.689359077631012E-3</v>
      </c>
      <c r="K437" s="35">
        <v>-0.15432315292820806</v>
      </c>
      <c r="L437" s="35">
        <v>-65.539947888942706</v>
      </c>
      <c r="M437" s="58" t="s">
        <v>22</v>
      </c>
      <c r="N437" s="7">
        <v>11.333333333333334</v>
      </c>
      <c r="O437" s="7" t="s">
        <v>178</v>
      </c>
      <c r="P437" s="7" t="s">
        <v>178</v>
      </c>
    </row>
    <row r="438" spans="1:16" x14ac:dyDescent="0.25">
      <c r="A438" s="2" t="s">
        <v>183</v>
      </c>
      <c r="B438" s="2" t="s">
        <v>185</v>
      </c>
      <c r="C438" s="6" t="s">
        <v>132</v>
      </c>
      <c r="D438" s="2" t="s">
        <v>122</v>
      </c>
      <c r="E438" s="2"/>
      <c r="F438" s="35">
        <v>0.29999999999999988</v>
      </c>
      <c r="G438" s="35">
        <v>-10.499925768404248</v>
      </c>
      <c r="H438" s="35">
        <v>-29.588551473754219</v>
      </c>
      <c r="I438" s="35">
        <v>-2.8299084757198608E-2</v>
      </c>
      <c r="J438" s="35">
        <v>-3.689359077631012E-3</v>
      </c>
      <c r="K438" s="35">
        <v>-0.14583342750104847</v>
      </c>
      <c r="L438" s="35">
        <v>-56.510292446816436</v>
      </c>
      <c r="M438" s="58" t="s">
        <v>22</v>
      </c>
      <c r="N438" s="7">
        <v>11.333333333333334</v>
      </c>
      <c r="O438" s="7" t="s">
        <v>178</v>
      </c>
      <c r="P438" s="7" t="s">
        <v>178</v>
      </c>
    </row>
    <row r="439" spans="1:16" x14ac:dyDescent="0.25">
      <c r="A439" s="2" t="s">
        <v>183</v>
      </c>
      <c r="B439" s="2" t="s">
        <v>185</v>
      </c>
      <c r="C439" s="6" t="s">
        <v>132</v>
      </c>
      <c r="D439" s="2" t="s">
        <v>122</v>
      </c>
      <c r="E439" s="2"/>
      <c r="F439" s="35">
        <v>0.29999999999999988</v>
      </c>
      <c r="G439" s="35">
        <v>17.295248699759259</v>
      </c>
      <c r="H439" s="35">
        <v>-22.524483368215957</v>
      </c>
      <c r="I439" s="35">
        <v>-2.0485154860671539E-2</v>
      </c>
      <c r="J439" s="35">
        <v>-9.584742355657793E-4</v>
      </c>
      <c r="K439" s="35">
        <v>-0.10625299086212253</v>
      </c>
      <c r="L439" s="35">
        <v>-46.533845844079309</v>
      </c>
      <c r="M439" s="58" t="s">
        <v>22</v>
      </c>
      <c r="N439" s="7">
        <v>11.333333333333334</v>
      </c>
      <c r="O439" s="7" t="s">
        <v>178</v>
      </c>
      <c r="P439" s="7" t="s">
        <v>178</v>
      </c>
    </row>
    <row r="440" spans="1:16" x14ac:dyDescent="0.25">
      <c r="A440" s="2" t="s">
        <v>183</v>
      </c>
      <c r="B440" s="2" t="s">
        <v>185</v>
      </c>
      <c r="C440" s="6" t="s">
        <v>132</v>
      </c>
      <c r="D440" s="2" t="s">
        <v>122</v>
      </c>
      <c r="E440" s="2"/>
      <c r="F440" s="35">
        <v>5.3</v>
      </c>
      <c r="G440" s="35">
        <v>20.026823699759262</v>
      </c>
      <c r="H440" s="35">
        <v>-5.5144833682159549</v>
      </c>
      <c r="I440" s="35">
        <v>-2.0485154860671539E-2</v>
      </c>
      <c r="J440" s="35">
        <v>-9.584742355657793E-4</v>
      </c>
      <c r="K440" s="35">
        <v>-3.8272165587648331E-3</v>
      </c>
      <c r="L440" s="35">
        <v>23.563570997000461</v>
      </c>
      <c r="M440" s="58" t="s">
        <v>24</v>
      </c>
      <c r="N440" s="7">
        <v>11.333333333333334</v>
      </c>
      <c r="O440" s="7" t="s">
        <v>178</v>
      </c>
      <c r="P440" s="7" t="s">
        <v>178</v>
      </c>
    </row>
    <row r="441" spans="1:16" x14ac:dyDescent="0.25">
      <c r="A441" s="2" t="s">
        <v>183</v>
      </c>
      <c r="B441" s="2" t="s">
        <v>185</v>
      </c>
      <c r="C441" s="6" t="s">
        <v>132</v>
      </c>
      <c r="D441" s="2" t="s">
        <v>122</v>
      </c>
      <c r="E441" s="2"/>
      <c r="F441" s="35">
        <v>5.3</v>
      </c>
      <c r="G441" s="35">
        <v>9.7991431711223473</v>
      </c>
      <c r="H441" s="35">
        <v>-9.0891220132808002</v>
      </c>
      <c r="I441" s="35">
        <v>-2.9772726608968476E-2</v>
      </c>
      <c r="J441" s="35">
        <v>1.523221285900932E-3</v>
      </c>
      <c r="K441" s="35">
        <v>-3.7100168582099931E-3</v>
      </c>
      <c r="L441" s="35">
        <v>7.176564019912437</v>
      </c>
      <c r="M441" s="58" t="s">
        <v>24</v>
      </c>
      <c r="N441" s="7">
        <v>11.333333333333334</v>
      </c>
      <c r="O441" s="7" t="s">
        <v>178</v>
      </c>
      <c r="P441" s="7" t="s">
        <v>178</v>
      </c>
    </row>
    <row r="442" spans="1:16" x14ac:dyDescent="0.25">
      <c r="A442" s="2" t="s">
        <v>183</v>
      </c>
      <c r="B442" s="2" t="s">
        <v>185</v>
      </c>
      <c r="C442" s="6" t="s">
        <v>132</v>
      </c>
      <c r="D442" s="2" t="s">
        <v>122</v>
      </c>
      <c r="E442" s="2"/>
      <c r="F442" s="35">
        <v>5.5393224575487361</v>
      </c>
      <c r="G442" s="35">
        <v>9.9298886195180796</v>
      </c>
      <c r="H442" s="35">
        <v>-8.2749470126999984</v>
      </c>
      <c r="I442" s="35">
        <v>-2.9772726608968476E-2</v>
      </c>
      <c r="J442" s="35">
        <v>1.523221285900932E-3</v>
      </c>
      <c r="K442" s="35">
        <v>3.4152652417749844E-3</v>
      </c>
      <c r="L442" s="35">
        <v>9.2543698560842422</v>
      </c>
      <c r="M442" s="58" t="s">
        <v>24</v>
      </c>
      <c r="N442" s="7">
        <v>11.333333333333334</v>
      </c>
      <c r="O442" s="7" t="s">
        <v>178</v>
      </c>
      <c r="P442" s="7" t="s">
        <v>178</v>
      </c>
    </row>
    <row r="443" spans="1:16" x14ac:dyDescent="0.25">
      <c r="A443" s="2" t="s">
        <v>183</v>
      </c>
      <c r="B443" s="2" t="s">
        <v>185</v>
      </c>
      <c r="C443" s="6" t="s">
        <v>132</v>
      </c>
      <c r="D443" s="2" t="s">
        <v>122</v>
      </c>
      <c r="E443" s="2"/>
      <c r="F443" s="35">
        <v>11.078644915097472</v>
      </c>
      <c r="G443" s="35">
        <v>12.95610356791382</v>
      </c>
      <c r="H443" s="35">
        <v>10.569827987880807</v>
      </c>
      <c r="I443" s="35">
        <v>-2.9772726608968476E-2</v>
      </c>
      <c r="J443" s="35">
        <v>1.523221285900932E-3</v>
      </c>
      <c r="K443" s="35">
        <v>0.16833599836929292</v>
      </c>
      <c r="L443" s="35">
        <v>2.8983269944740422</v>
      </c>
      <c r="M443" s="58" t="s">
        <v>23</v>
      </c>
      <c r="N443" s="7">
        <v>11.333333333333334</v>
      </c>
      <c r="O443" s="7" t="s">
        <v>178</v>
      </c>
      <c r="P443" s="7" t="s">
        <v>178</v>
      </c>
    </row>
    <row r="444" spans="1:16" x14ac:dyDescent="0.25">
      <c r="A444" s="2" t="s">
        <v>183</v>
      </c>
      <c r="B444" s="2" t="s">
        <v>185</v>
      </c>
      <c r="C444" s="6" t="s">
        <v>132</v>
      </c>
      <c r="D444" s="2" t="s">
        <v>123</v>
      </c>
      <c r="E444" s="2"/>
      <c r="F444" s="35">
        <v>0</v>
      </c>
      <c r="G444" s="35">
        <v>-25.805434224524888</v>
      </c>
      <c r="H444" s="35">
        <v>-13.629873917736907</v>
      </c>
      <c r="I444" s="35">
        <v>-2.984036020279688E-2</v>
      </c>
      <c r="J444" s="35">
        <v>-1.6620192476497556E-3</v>
      </c>
      <c r="K444" s="35">
        <v>-0.1483300113760479</v>
      </c>
      <c r="L444" s="35">
        <v>-32.499755331663792</v>
      </c>
      <c r="M444" s="58" t="s">
        <v>22</v>
      </c>
      <c r="N444" s="7">
        <v>11.333333333333334</v>
      </c>
      <c r="O444" s="7" t="s">
        <v>178</v>
      </c>
      <c r="P444" s="7" t="s">
        <v>178</v>
      </c>
    </row>
    <row r="445" spans="1:16" x14ac:dyDescent="0.25">
      <c r="A445" s="2" t="s">
        <v>183</v>
      </c>
      <c r="B445" s="2" t="s">
        <v>185</v>
      </c>
      <c r="C445" s="6" t="s">
        <v>132</v>
      </c>
      <c r="D445" s="2" t="s">
        <v>123</v>
      </c>
      <c r="E445" s="2"/>
      <c r="F445" s="35">
        <v>0.29999999999999988</v>
      </c>
      <c r="G445" s="35">
        <v>-25.641539724524886</v>
      </c>
      <c r="H445" s="35">
        <v>-13.403073917736908</v>
      </c>
      <c r="I445" s="35">
        <v>-2.984036020279688E-2</v>
      </c>
      <c r="J445" s="35">
        <v>-1.6620192476497556E-3</v>
      </c>
      <c r="K445" s="35">
        <v>-0.13937790331520886</v>
      </c>
      <c r="L445" s="35">
        <v>-28.444813156342722</v>
      </c>
      <c r="M445" s="58" t="s">
        <v>22</v>
      </c>
      <c r="N445" s="7">
        <v>11.333333333333334</v>
      </c>
      <c r="O445" s="7" t="s">
        <v>178</v>
      </c>
      <c r="P445" s="7" t="s">
        <v>178</v>
      </c>
    </row>
    <row r="446" spans="1:16" x14ac:dyDescent="0.25">
      <c r="A446" s="2" t="s">
        <v>183</v>
      </c>
      <c r="B446" s="2" t="s">
        <v>185</v>
      </c>
      <c r="C446" s="6" t="s">
        <v>132</v>
      </c>
      <c r="D446" s="2" t="s">
        <v>123</v>
      </c>
      <c r="E446" s="2"/>
      <c r="F446" s="35">
        <v>0.29999999999999988</v>
      </c>
      <c r="G446" s="35">
        <v>-5.4165742580650615</v>
      </c>
      <c r="H446" s="35">
        <v>-9.3972340611365492</v>
      </c>
      <c r="I446" s="35">
        <v>-2.4634099319636046E-2</v>
      </c>
      <c r="J446" s="35">
        <v>-7.267144874542928E-5</v>
      </c>
      <c r="K446" s="35">
        <v>-0.11329631372899213</v>
      </c>
      <c r="L446" s="35">
        <v>-23.104683029746717</v>
      </c>
      <c r="M446" s="58" t="s">
        <v>22</v>
      </c>
      <c r="N446" s="7">
        <v>11.333333333333334</v>
      </c>
      <c r="O446" s="7" t="s">
        <v>178</v>
      </c>
      <c r="P446" s="7" t="s">
        <v>178</v>
      </c>
    </row>
    <row r="447" spans="1:16" x14ac:dyDescent="0.25">
      <c r="A447" s="2" t="s">
        <v>183</v>
      </c>
      <c r="B447" s="2" t="s">
        <v>185</v>
      </c>
      <c r="C447" s="6" t="s">
        <v>132</v>
      </c>
      <c r="D447" s="2" t="s">
        <v>123</v>
      </c>
      <c r="E447" s="2"/>
      <c r="F447" s="35">
        <v>5.3</v>
      </c>
      <c r="G447" s="35">
        <v>-2.6849992580650608</v>
      </c>
      <c r="H447" s="35">
        <v>-5.6172340611365517</v>
      </c>
      <c r="I447" s="35">
        <v>-2.4634099319636046E-2</v>
      </c>
      <c r="J447" s="35">
        <v>-7.267144874542928E-5</v>
      </c>
      <c r="K447" s="35">
        <v>9.8741828691881247E-3</v>
      </c>
      <c r="L447" s="35">
        <v>14.431487275936034</v>
      </c>
      <c r="M447" s="58" t="s">
        <v>24</v>
      </c>
      <c r="N447" s="7">
        <v>11.333333333333334</v>
      </c>
      <c r="O447" s="7" t="s">
        <v>178</v>
      </c>
      <c r="P447" s="7" t="s">
        <v>178</v>
      </c>
    </row>
    <row r="448" spans="1:16" x14ac:dyDescent="0.25">
      <c r="A448" s="2" t="s">
        <v>183</v>
      </c>
      <c r="B448" s="2" t="s">
        <v>185</v>
      </c>
      <c r="C448" s="6" t="s">
        <v>132</v>
      </c>
      <c r="D448" s="2" t="s">
        <v>123</v>
      </c>
      <c r="E448" s="2"/>
      <c r="F448" s="35">
        <v>5.3</v>
      </c>
      <c r="G448" s="35">
        <v>-9.7625339941673115</v>
      </c>
      <c r="H448" s="35">
        <v>-1.1606132105580775</v>
      </c>
      <c r="I448" s="35">
        <v>-2.9909641286091238E-2</v>
      </c>
      <c r="J448" s="35">
        <v>1.1740963751396196E-3</v>
      </c>
      <c r="K448" s="35">
        <v>9.9260097740312969E-3</v>
      </c>
      <c r="L448" s="35">
        <v>6.8523652846951633</v>
      </c>
      <c r="M448" s="58" t="s">
        <v>24</v>
      </c>
      <c r="N448" s="7">
        <v>11.333333333333334</v>
      </c>
      <c r="O448" s="7" t="s">
        <v>178</v>
      </c>
      <c r="P448" s="7" t="s">
        <v>178</v>
      </c>
    </row>
    <row r="449" spans="1:16" x14ac:dyDescent="0.25">
      <c r="A449" s="2" t="s">
        <v>183</v>
      </c>
      <c r="B449" s="2" t="s">
        <v>185</v>
      </c>
      <c r="C449" s="6" t="s">
        <v>132</v>
      </c>
      <c r="D449" s="2" t="s">
        <v>123</v>
      </c>
      <c r="E449" s="2"/>
      <c r="F449" s="35">
        <v>5.5393224575487361</v>
      </c>
      <c r="G449" s="35">
        <v>-9.6317885457715775</v>
      </c>
      <c r="H449" s="35">
        <v>-0.97968543265123309</v>
      </c>
      <c r="I449" s="35">
        <v>-2.9909641286091238E-2</v>
      </c>
      <c r="J449" s="35">
        <v>1.1740963751396196E-3</v>
      </c>
      <c r="K449" s="35">
        <v>1.7084058631019788E-2</v>
      </c>
      <c r="L449" s="35">
        <v>7.1084760502857005</v>
      </c>
      <c r="M449" s="58" t="s">
        <v>24</v>
      </c>
      <c r="N449" s="7">
        <v>11.333333333333334</v>
      </c>
      <c r="O449" s="7" t="s">
        <v>178</v>
      </c>
      <c r="P449" s="7" t="s">
        <v>178</v>
      </c>
    </row>
    <row r="450" spans="1:16" x14ac:dyDescent="0.25">
      <c r="A450" s="2" t="s">
        <v>183</v>
      </c>
      <c r="B450" s="2" t="s">
        <v>185</v>
      </c>
      <c r="C450" s="6" t="s">
        <v>132</v>
      </c>
      <c r="D450" s="2" t="s">
        <v>123</v>
      </c>
      <c r="E450" s="2"/>
      <c r="F450" s="35">
        <v>11.078644915097472</v>
      </c>
      <c r="G450" s="35">
        <v>-6.6055735973758392</v>
      </c>
      <c r="H450" s="35">
        <v>3.2080423452556119</v>
      </c>
      <c r="I450" s="35">
        <v>-2.9909641286091238E-2</v>
      </c>
      <c r="J450" s="35">
        <v>1.1740963751396196E-3</v>
      </c>
      <c r="K450" s="35">
        <v>0.18276320630429185</v>
      </c>
      <c r="L450" s="35">
        <v>0.93668230557400012</v>
      </c>
      <c r="M450" s="58" t="s">
        <v>23</v>
      </c>
      <c r="N450" s="7">
        <v>11.333333333333334</v>
      </c>
      <c r="O450" s="7" t="s">
        <v>178</v>
      </c>
      <c r="P450" s="7" t="s">
        <v>178</v>
      </c>
    </row>
    <row r="451" spans="1:16" x14ac:dyDescent="0.25">
      <c r="A451" s="2" t="s">
        <v>183</v>
      </c>
      <c r="B451" s="2" t="s">
        <v>185</v>
      </c>
      <c r="C451" s="6" t="s">
        <v>132</v>
      </c>
      <c r="D451" s="2" t="s">
        <v>124</v>
      </c>
      <c r="E451" s="2"/>
      <c r="F451" s="35">
        <v>0</v>
      </c>
      <c r="G451" s="35">
        <v>-6.5804528067968882</v>
      </c>
      <c r="H451" s="35">
        <v>-43.855131665940831</v>
      </c>
      <c r="I451" s="35">
        <v>1.3599039299003051</v>
      </c>
      <c r="J451" s="35">
        <v>7.8574731442684523E-2</v>
      </c>
      <c r="K451" s="35">
        <v>8.2590365233328011</v>
      </c>
      <c r="L451" s="35">
        <v>-85.68914305812747</v>
      </c>
      <c r="M451" s="58" t="s">
        <v>22</v>
      </c>
      <c r="N451" s="7">
        <v>11.333333333333334</v>
      </c>
      <c r="O451" s="7" t="s">
        <v>178</v>
      </c>
      <c r="P451" s="7" t="s">
        <v>178</v>
      </c>
    </row>
    <row r="452" spans="1:16" x14ac:dyDescent="0.25">
      <c r="A452" s="2" t="s">
        <v>183</v>
      </c>
      <c r="B452" s="2" t="s">
        <v>185</v>
      </c>
      <c r="C452" s="6" t="s">
        <v>132</v>
      </c>
      <c r="D452" s="2" t="s">
        <v>124</v>
      </c>
      <c r="E452" s="2"/>
      <c r="F452" s="35">
        <v>0.29999999999999988</v>
      </c>
      <c r="G452" s="35">
        <v>-6.4165583067968859</v>
      </c>
      <c r="H452" s="35">
        <v>-41.870631665940834</v>
      </c>
      <c r="I452" s="35">
        <v>1.3599039299003051</v>
      </c>
      <c r="J452" s="35">
        <v>7.8574731442684523E-2</v>
      </c>
      <c r="K452" s="35">
        <v>7.8510653443627083</v>
      </c>
      <c r="L452" s="35">
        <v>-72.830278558345228</v>
      </c>
      <c r="M452" s="58" t="s">
        <v>22</v>
      </c>
      <c r="N452" s="7">
        <v>11.333333333333334</v>
      </c>
      <c r="O452" s="7" t="s">
        <v>178</v>
      </c>
      <c r="P452" s="7" t="s">
        <v>178</v>
      </c>
    </row>
    <row r="453" spans="1:16" x14ac:dyDescent="0.25">
      <c r="A453" s="2" t="s">
        <v>183</v>
      </c>
      <c r="B453" s="2" t="s">
        <v>185</v>
      </c>
      <c r="C453" s="6" t="s">
        <v>132</v>
      </c>
      <c r="D453" s="2" t="s">
        <v>124</v>
      </c>
      <c r="E453" s="2"/>
      <c r="F453" s="35">
        <v>0.29999999999999988</v>
      </c>
      <c r="G453" s="35">
        <v>25.826023620183122</v>
      </c>
      <c r="H453" s="35">
        <v>-33.376916859700088</v>
      </c>
      <c r="I453" s="35">
        <v>1.0657679650835481</v>
      </c>
      <c r="J453" s="35">
        <v>-7.1085688662727358E-3</v>
      </c>
      <c r="K453" s="35">
        <v>6.3754331865979808</v>
      </c>
      <c r="L453" s="35">
        <v>-60.842762480759681</v>
      </c>
      <c r="M453" s="58" t="s">
        <v>22</v>
      </c>
      <c r="N453" s="7">
        <v>11.333333333333334</v>
      </c>
      <c r="O453" s="7" t="s">
        <v>178</v>
      </c>
      <c r="P453" s="7" t="s">
        <v>178</v>
      </c>
    </row>
    <row r="454" spans="1:16" x14ac:dyDescent="0.25">
      <c r="A454" s="2" t="s">
        <v>183</v>
      </c>
      <c r="B454" s="2" t="s">
        <v>185</v>
      </c>
      <c r="C454" s="6" t="s">
        <v>132</v>
      </c>
      <c r="D454" s="2" t="s">
        <v>124</v>
      </c>
      <c r="E454" s="2"/>
      <c r="F454" s="35">
        <v>5.3</v>
      </c>
      <c r="G454" s="35">
        <v>28.557598620183125</v>
      </c>
      <c r="H454" s="35">
        <v>-0.30191685970008802</v>
      </c>
      <c r="I454" s="35">
        <v>1.0657679650835481</v>
      </c>
      <c r="J454" s="35">
        <v>-7.1085688662727358E-3</v>
      </c>
      <c r="K454" s="35">
        <v>1.0465933611802418</v>
      </c>
      <c r="L454" s="35">
        <v>23.354321817740754</v>
      </c>
      <c r="M454" s="58" t="s">
        <v>24</v>
      </c>
      <c r="N454" s="7">
        <v>11.333333333333334</v>
      </c>
      <c r="O454" s="7" t="s">
        <v>178</v>
      </c>
      <c r="P454" s="7" t="s">
        <v>178</v>
      </c>
    </row>
    <row r="455" spans="1:16" x14ac:dyDescent="0.25">
      <c r="A455" s="2" t="s">
        <v>183</v>
      </c>
      <c r="B455" s="2" t="s">
        <v>185</v>
      </c>
      <c r="C455" s="6" t="s">
        <v>132</v>
      </c>
      <c r="D455" s="2" t="s">
        <v>124</v>
      </c>
      <c r="E455" s="2"/>
      <c r="F455" s="35">
        <v>5.3</v>
      </c>
      <c r="G455" s="35">
        <v>11.456892637676717</v>
      </c>
      <c r="H455" s="35">
        <v>-19.497787907107742</v>
      </c>
      <c r="I455" s="35">
        <v>1.3566975762627882</v>
      </c>
      <c r="J455" s="35">
        <v>4.3956446401532094E-4</v>
      </c>
      <c r="K455" s="35">
        <v>1.0526978418202713</v>
      </c>
      <c r="L455" s="35">
        <v>2.8579588454138558</v>
      </c>
      <c r="M455" s="58" t="s">
        <v>24</v>
      </c>
      <c r="N455" s="7">
        <v>11.333333333333334</v>
      </c>
      <c r="O455" s="7" t="s">
        <v>178</v>
      </c>
      <c r="P455" s="7" t="s">
        <v>178</v>
      </c>
    </row>
    <row r="456" spans="1:16" x14ac:dyDescent="0.25">
      <c r="A456" s="2" t="s">
        <v>183</v>
      </c>
      <c r="B456" s="2" t="s">
        <v>185</v>
      </c>
      <c r="C456" s="6" t="s">
        <v>132</v>
      </c>
      <c r="D456" s="2" t="s">
        <v>124</v>
      </c>
      <c r="E456" s="2"/>
      <c r="F456" s="35">
        <v>5.5393224575487361</v>
      </c>
      <c r="G456" s="35">
        <v>11.587638086072451</v>
      </c>
      <c r="H456" s="35">
        <v>-17.91466985042285</v>
      </c>
      <c r="I456" s="35">
        <v>1.3566975762627882</v>
      </c>
      <c r="J456" s="35">
        <v>4.3956446401532094E-4</v>
      </c>
      <c r="K456" s="35">
        <v>0.72800964371864707</v>
      </c>
      <c r="L456" s="35">
        <v>7.3347795121491046</v>
      </c>
      <c r="M456" s="58" t="s">
        <v>24</v>
      </c>
      <c r="N456" s="7">
        <v>11.333333333333334</v>
      </c>
      <c r="O456" s="7" t="s">
        <v>178</v>
      </c>
      <c r="P456" s="7" t="s">
        <v>178</v>
      </c>
    </row>
    <row r="457" spans="1:16" x14ac:dyDescent="0.25">
      <c r="A457" s="2" t="s">
        <v>183</v>
      </c>
      <c r="B457" s="2" t="s">
        <v>185</v>
      </c>
      <c r="C457" s="6" t="s">
        <v>132</v>
      </c>
      <c r="D457" s="2" t="s">
        <v>124</v>
      </c>
      <c r="E457" s="2"/>
      <c r="F457" s="35">
        <v>11.078644915097472</v>
      </c>
      <c r="G457" s="35">
        <v>14.613853034468191</v>
      </c>
      <c r="H457" s="35">
        <v>18.727948206262045</v>
      </c>
      <c r="I457" s="35">
        <v>1.3566975762627882</v>
      </c>
      <c r="J457" s="35">
        <v>4.3956446401532094E-4</v>
      </c>
      <c r="K457" s="35">
        <v>-6.7871757085757567</v>
      </c>
      <c r="L457" s="35">
        <v>5.0822739817799274</v>
      </c>
      <c r="M457" s="58" t="s">
        <v>23</v>
      </c>
      <c r="N457" s="7">
        <v>11.333333333333334</v>
      </c>
      <c r="O457" s="7" t="s">
        <v>178</v>
      </c>
      <c r="P457" s="7" t="s">
        <v>178</v>
      </c>
    </row>
    <row r="458" spans="1:16" x14ac:dyDescent="0.25">
      <c r="A458" s="2" t="s">
        <v>183</v>
      </c>
      <c r="B458" s="2" t="s">
        <v>185</v>
      </c>
      <c r="C458" s="6" t="s">
        <v>132</v>
      </c>
      <c r="D458" s="2" t="s">
        <v>125</v>
      </c>
      <c r="E458" s="2"/>
      <c r="F458" s="35">
        <v>0</v>
      </c>
      <c r="G458" s="35">
        <v>-53.034500961465518</v>
      </c>
      <c r="H458" s="35">
        <v>-27.314151195468426</v>
      </c>
      <c r="I458" s="35">
        <v>2.8534229331862906</v>
      </c>
      <c r="J458" s="35">
        <v>0.18005880429354201</v>
      </c>
      <c r="K458" s="35">
        <v>17.862772830426714</v>
      </c>
      <c r="L458" s="35">
        <v>-53.306559472007073</v>
      </c>
      <c r="M458" s="58" t="s">
        <v>22</v>
      </c>
      <c r="N458" s="7">
        <v>11.333333333333334</v>
      </c>
      <c r="O458" s="7" t="s">
        <v>178</v>
      </c>
      <c r="P458" s="7" t="s">
        <v>178</v>
      </c>
    </row>
    <row r="459" spans="1:16" x14ac:dyDescent="0.25">
      <c r="A459" s="2" t="s">
        <v>183</v>
      </c>
      <c r="B459" s="2" t="s">
        <v>185</v>
      </c>
      <c r="C459" s="6" t="s">
        <v>132</v>
      </c>
      <c r="D459" s="2" t="s">
        <v>125</v>
      </c>
      <c r="E459" s="2"/>
      <c r="F459" s="35">
        <v>0.29999999999999988</v>
      </c>
      <c r="G459" s="35">
        <v>-52.87060646146552</v>
      </c>
      <c r="H459" s="35">
        <v>-26.123451195468427</v>
      </c>
      <c r="I459" s="35">
        <v>2.8534229331862906</v>
      </c>
      <c r="J459" s="35">
        <v>0.18005880429354201</v>
      </c>
      <c r="K459" s="35">
        <v>17.006745950470826</v>
      </c>
      <c r="L459" s="35">
        <v>-45.290919113366549</v>
      </c>
      <c r="M459" s="58" t="s">
        <v>22</v>
      </c>
      <c r="N459" s="7">
        <v>11.333333333333334</v>
      </c>
      <c r="O459" s="7" t="s">
        <v>178</v>
      </c>
      <c r="P459" s="7" t="s">
        <v>178</v>
      </c>
    </row>
    <row r="460" spans="1:16" x14ac:dyDescent="0.25">
      <c r="A460" s="2" t="s">
        <v>183</v>
      </c>
      <c r="B460" s="2" t="s">
        <v>185</v>
      </c>
      <c r="C460" s="6" t="s">
        <v>132</v>
      </c>
      <c r="D460" s="2" t="s">
        <v>125</v>
      </c>
      <c r="E460" s="2"/>
      <c r="F460" s="35">
        <v>0.29999999999999988</v>
      </c>
      <c r="G460" s="35">
        <v>-19.744798484083063</v>
      </c>
      <c r="H460" s="35">
        <v>-20.280703859415837</v>
      </c>
      <c r="I460" s="35">
        <v>2.2000116371047436</v>
      </c>
      <c r="J460" s="35">
        <v>-1.1935866965925373E-2</v>
      </c>
      <c r="K460" s="35">
        <v>13.725309282780245</v>
      </c>
      <c r="L460" s="35">
        <v>-37.938403001488155</v>
      </c>
      <c r="M460" s="58" t="s">
        <v>22</v>
      </c>
      <c r="N460" s="7">
        <v>11.333333333333334</v>
      </c>
      <c r="O460" s="7" t="s">
        <v>178</v>
      </c>
      <c r="P460" s="7" t="s">
        <v>178</v>
      </c>
    </row>
    <row r="461" spans="1:16" x14ac:dyDescent="0.25">
      <c r="A461" s="2" t="s">
        <v>183</v>
      </c>
      <c r="B461" s="2" t="s">
        <v>185</v>
      </c>
      <c r="C461" s="6" t="s">
        <v>132</v>
      </c>
      <c r="D461" s="2" t="s">
        <v>125</v>
      </c>
      <c r="E461" s="2"/>
      <c r="F461" s="35">
        <v>5.3</v>
      </c>
      <c r="G461" s="35">
        <v>-17.01322348408306</v>
      </c>
      <c r="H461" s="35">
        <v>-0.4357038594158355</v>
      </c>
      <c r="I461" s="35">
        <v>2.2000116371047436</v>
      </c>
      <c r="J461" s="35">
        <v>-1.1935866965925373E-2</v>
      </c>
      <c r="K461" s="35">
        <v>2.7252510972565269</v>
      </c>
      <c r="L461" s="35">
        <v>13.852616295591023</v>
      </c>
      <c r="M461" s="58" t="s">
        <v>24</v>
      </c>
      <c r="N461" s="7">
        <v>11.333333333333334</v>
      </c>
      <c r="O461" s="7" t="s">
        <v>178</v>
      </c>
      <c r="P461" s="7" t="s">
        <v>178</v>
      </c>
    </row>
    <row r="462" spans="1:16" x14ac:dyDescent="0.25">
      <c r="A462" s="2" t="s">
        <v>183</v>
      </c>
      <c r="B462" s="2" t="s">
        <v>185</v>
      </c>
      <c r="C462" s="6" t="s">
        <v>132</v>
      </c>
      <c r="D462" s="2" t="s">
        <v>125</v>
      </c>
      <c r="E462" s="2"/>
      <c r="F462" s="35">
        <v>5.3</v>
      </c>
      <c r="G462" s="35">
        <v>-39.049655366185462</v>
      </c>
      <c r="H462" s="35">
        <v>-11.203425439401183</v>
      </c>
      <c r="I462" s="35">
        <v>2.8520760069741202</v>
      </c>
      <c r="J462" s="35">
        <v>-5.6859626375593375E-4</v>
      </c>
      <c r="K462" s="35">
        <v>2.7399591424294898</v>
      </c>
      <c r="L462" s="35">
        <v>4.7411370223949314</v>
      </c>
      <c r="M462" s="58" t="s">
        <v>24</v>
      </c>
      <c r="N462" s="7">
        <v>11.333333333333334</v>
      </c>
      <c r="O462" s="7" t="s">
        <v>178</v>
      </c>
      <c r="P462" s="7" t="s">
        <v>178</v>
      </c>
    </row>
    <row r="463" spans="1:16" x14ac:dyDescent="0.25">
      <c r="A463" s="2" t="s">
        <v>183</v>
      </c>
      <c r="B463" s="2" t="s">
        <v>185</v>
      </c>
      <c r="C463" s="6" t="s">
        <v>132</v>
      </c>
      <c r="D463" s="2" t="s">
        <v>125</v>
      </c>
      <c r="E463" s="2"/>
      <c r="F463" s="35">
        <v>5.5393224575487361</v>
      </c>
      <c r="G463" s="35">
        <v>-38.918909917789726</v>
      </c>
      <c r="H463" s="35">
        <v>-10.253554605390251</v>
      </c>
      <c r="I463" s="35">
        <v>2.8520760069741202</v>
      </c>
      <c r="J463" s="35">
        <v>-5.6859626375593375E-4</v>
      </c>
      <c r="K463" s="35">
        <v>2.0573933033246576</v>
      </c>
      <c r="L463" s="35">
        <v>7.3087056203417697</v>
      </c>
      <c r="M463" s="58" t="s">
        <v>24</v>
      </c>
      <c r="N463" s="7">
        <v>11.333333333333334</v>
      </c>
      <c r="O463" s="7" t="s">
        <v>178</v>
      </c>
      <c r="P463" s="7" t="s">
        <v>178</v>
      </c>
    </row>
    <row r="464" spans="1:16" x14ac:dyDescent="0.25">
      <c r="A464" s="2" t="s">
        <v>183</v>
      </c>
      <c r="B464" s="2" t="s">
        <v>185</v>
      </c>
      <c r="C464" s="6" t="s">
        <v>132</v>
      </c>
      <c r="D464" s="2" t="s">
        <v>125</v>
      </c>
      <c r="E464" s="2"/>
      <c r="F464" s="35">
        <v>11.078644915097472</v>
      </c>
      <c r="G464" s="35">
        <v>-35.892694969393993</v>
      </c>
      <c r="H464" s="35">
        <v>11.732016228620687</v>
      </c>
      <c r="I464" s="35">
        <v>2.8520760069741202</v>
      </c>
      <c r="J464" s="35">
        <v>-5.6859626375593375E-4</v>
      </c>
      <c r="K464" s="35">
        <v>-13.741175372743012</v>
      </c>
      <c r="L464" s="35">
        <v>3.2138677842496177</v>
      </c>
      <c r="M464" s="58" t="s">
        <v>23</v>
      </c>
      <c r="N464" s="7">
        <v>11.333333333333334</v>
      </c>
      <c r="O464" s="7" t="s">
        <v>178</v>
      </c>
      <c r="P464" s="7" t="s">
        <v>178</v>
      </c>
    </row>
    <row r="465" spans="1:16" x14ac:dyDescent="0.25">
      <c r="A465" s="2" t="s">
        <v>183</v>
      </c>
      <c r="B465" s="2" t="s">
        <v>185</v>
      </c>
      <c r="C465" s="6" t="s">
        <v>132</v>
      </c>
      <c r="D465" s="2" t="s">
        <v>126</v>
      </c>
      <c r="E465" s="2"/>
      <c r="F465" s="35">
        <v>0</v>
      </c>
      <c r="G465" s="35">
        <v>-4.5406214068789987</v>
      </c>
      <c r="H465" s="35">
        <v>-43.709473607827896</v>
      </c>
      <c r="I465" s="35">
        <v>-1.3016259518394035</v>
      </c>
      <c r="J465" s="35">
        <v>-8.2460432499622607E-2</v>
      </c>
      <c r="K465" s="35">
        <v>-8.1011713835929449</v>
      </c>
      <c r="L465" s="35">
        <v>-85.339807896988901</v>
      </c>
      <c r="M465" s="58" t="s">
        <v>22</v>
      </c>
      <c r="N465" s="7">
        <v>11.333333333333334</v>
      </c>
      <c r="O465" s="7" t="s">
        <v>178</v>
      </c>
      <c r="P465" s="7" t="s">
        <v>178</v>
      </c>
    </row>
    <row r="466" spans="1:16" x14ac:dyDescent="0.25">
      <c r="A466" s="2" t="s">
        <v>183</v>
      </c>
      <c r="B466" s="2" t="s">
        <v>185</v>
      </c>
      <c r="C466" s="6" t="s">
        <v>132</v>
      </c>
      <c r="D466" s="2" t="s">
        <v>126</v>
      </c>
      <c r="E466" s="2"/>
      <c r="F466" s="35">
        <v>0.29999999999999988</v>
      </c>
      <c r="G466" s="35">
        <v>-4.3767269068789965</v>
      </c>
      <c r="H466" s="35">
        <v>-41.724973607827891</v>
      </c>
      <c r="I466" s="35">
        <v>-1.3016259518394035</v>
      </c>
      <c r="J466" s="35">
        <v>-8.2460432499622607E-2</v>
      </c>
      <c r="K466" s="35">
        <v>-7.7106835980411246</v>
      </c>
      <c r="L466" s="35">
        <v>-72.524640814640534</v>
      </c>
      <c r="M466" s="58" t="s">
        <v>22</v>
      </c>
      <c r="N466" s="7">
        <v>11.333333333333334</v>
      </c>
      <c r="O466" s="7" t="s">
        <v>178</v>
      </c>
      <c r="P466" s="7" t="s">
        <v>178</v>
      </c>
    </row>
    <row r="467" spans="1:16" x14ac:dyDescent="0.25">
      <c r="A467" s="2" t="s">
        <v>183</v>
      </c>
      <c r="B467" s="2" t="s">
        <v>185</v>
      </c>
      <c r="C467" s="6" t="s">
        <v>132</v>
      </c>
      <c r="D467" s="2" t="s">
        <v>126</v>
      </c>
      <c r="E467" s="2"/>
      <c r="F467" s="35">
        <v>0.29999999999999988</v>
      </c>
      <c r="G467" s="35">
        <v>27.167407830433653</v>
      </c>
      <c r="H467" s="35">
        <v>-33.298579845769019</v>
      </c>
      <c r="I467" s="35">
        <v>-1.0048839117037194</v>
      </c>
      <c r="J467" s="35">
        <v>4.921223973742765E-3</v>
      </c>
      <c r="K467" s="35">
        <v>-6.2204218583383666</v>
      </c>
      <c r="L467" s="35">
        <v>-60.594142989062632</v>
      </c>
      <c r="M467" s="58" t="s">
        <v>22</v>
      </c>
      <c r="N467" s="7">
        <v>11.333333333333334</v>
      </c>
      <c r="O467" s="7" t="s">
        <v>178</v>
      </c>
      <c r="P467" s="7" t="s">
        <v>178</v>
      </c>
    </row>
    <row r="468" spans="1:16" x14ac:dyDescent="0.25">
      <c r="A468" s="2" t="s">
        <v>183</v>
      </c>
      <c r="B468" s="2" t="s">
        <v>185</v>
      </c>
      <c r="C468" s="6" t="s">
        <v>132</v>
      </c>
      <c r="D468" s="2" t="s">
        <v>126</v>
      </c>
      <c r="E468" s="2"/>
      <c r="F468" s="35">
        <v>5.3</v>
      </c>
      <c r="G468" s="35">
        <v>29.898982830433653</v>
      </c>
      <c r="H468" s="35">
        <v>-0.2235798457690169</v>
      </c>
      <c r="I468" s="35">
        <v>-1.0048839117037194</v>
      </c>
      <c r="J468" s="35">
        <v>4.921223973742765E-3</v>
      </c>
      <c r="K468" s="35">
        <v>-1.1960022998197695</v>
      </c>
      <c r="L468" s="35">
        <v>23.211256239782458</v>
      </c>
      <c r="M468" s="58" t="s">
        <v>24</v>
      </c>
      <c r="N468" s="7">
        <v>11.333333333333334</v>
      </c>
      <c r="O468" s="7" t="s">
        <v>178</v>
      </c>
      <c r="P468" s="7" t="s">
        <v>178</v>
      </c>
    </row>
    <row r="469" spans="1:16" x14ac:dyDescent="0.25">
      <c r="A469" s="2" t="s">
        <v>183</v>
      </c>
      <c r="B469" s="2" t="s">
        <v>185</v>
      </c>
      <c r="C469" s="6" t="s">
        <v>132</v>
      </c>
      <c r="D469" s="2" t="s">
        <v>126</v>
      </c>
      <c r="E469" s="2"/>
      <c r="F469" s="35">
        <v>5.3</v>
      </c>
      <c r="G469" s="35">
        <v>13.337942478812115</v>
      </c>
      <c r="H469" s="35">
        <v>-19.523804276068805</v>
      </c>
      <c r="I469" s="35">
        <v>-1.3021871974791357</v>
      </c>
      <c r="J469" s="35">
        <v>-1.5072304742335771E-3</v>
      </c>
      <c r="K469" s="35">
        <v>-1.2024275254842518</v>
      </c>
      <c r="L469" s="35">
        <v>2.7011574305797175</v>
      </c>
      <c r="M469" s="58" t="s">
        <v>24</v>
      </c>
      <c r="N469" s="7">
        <v>11.333333333333334</v>
      </c>
      <c r="O469" s="7" t="s">
        <v>178</v>
      </c>
      <c r="P469" s="7" t="s">
        <v>178</v>
      </c>
    </row>
    <row r="470" spans="1:16" x14ac:dyDescent="0.25">
      <c r="A470" s="2" t="s">
        <v>183</v>
      </c>
      <c r="B470" s="2" t="s">
        <v>185</v>
      </c>
      <c r="C470" s="6" t="s">
        <v>132</v>
      </c>
      <c r="D470" s="2" t="s">
        <v>126</v>
      </c>
      <c r="E470" s="2"/>
      <c r="F470" s="35">
        <v>5.5393224575487361</v>
      </c>
      <c r="G470" s="35">
        <v>13.468687927207849</v>
      </c>
      <c r="H470" s="35">
        <v>-17.940686219383913</v>
      </c>
      <c r="I470" s="35">
        <v>-1.3021871974791357</v>
      </c>
      <c r="J470" s="35">
        <v>-1.5072304742335771E-3</v>
      </c>
      <c r="K470" s="35">
        <v>-0.89078488519504362</v>
      </c>
      <c r="L470" s="35">
        <v>7.1842043986712216</v>
      </c>
      <c r="M470" s="58" t="s">
        <v>24</v>
      </c>
      <c r="N470" s="7">
        <v>11.333333333333334</v>
      </c>
      <c r="O470" s="7" t="s">
        <v>178</v>
      </c>
      <c r="P470" s="7" t="s">
        <v>178</v>
      </c>
    </row>
    <row r="471" spans="1:16" x14ac:dyDescent="0.25">
      <c r="A471" s="2" t="s">
        <v>183</v>
      </c>
      <c r="B471" s="2" t="s">
        <v>185</v>
      </c>
      <c r="C471" s="6" t="s">
        <v>132</v>
      </c>
      <c r="D471" s="2" t="s">
        <v>126</v>
      </c>
      <c r="E471" s="2"/>
      <c r="F471" s="35">
        <v>11.078644915097472</v>
      </c>
      <c r="G471" s="35">
        <v>16.494902875603589</v>
      </c>
      <c r="H471" s="35">
        <v>18.701931837300986</v>
      </c>
      <c r="I471" s="35">
        <v>-1.3021871974791357</v>
      </c>
      <c r="J471" s="35">
        <v>-1.5072304742335771E-3</v>
      </c>
      <c r="K471" s="35">
        <v>6.3224499017335827</v>
      </c>
      <c r="L471" s="35">
        <v>5.0758119251519123</v>
      </c>
      <c r="M471" s="58" t="s">
        <v>23</v>
      </c>
      <c r="N471" s="7">
        <v>11.333333333333334</v>
      </c>
      <c r="O471" s="7" t="s">
        <v>178</v>
      </c>
      <c r="P471" s="7" t="s">
        <v>178</v>
      </c>
    </row>
    <row r="472" spans="1:16" x14ac:dyDescent="0.25">
      <c r="A472" s="2" t="s">
        <v>183</v>
      </c>
      <c r="B472" s="2" t="s">
        <v>185</v>
      </c>
      <c r="C472" s="6" t="s">
        <v>132</v>
      </c>
      <c r="D472" s="2" t="s">
        <v>127</v>
      </c>
      <c r="E472" s="2"/>
      <c r="F472" s="35">
        <v>0</v>
      </c>
      <c r="G472" s="35">
        <v>-24.014737883040997</v>
      </c>
      <c r="H472" s="35">
        <v>-26.700124309669626</v>
      </c>
      <c r="I472" s="35">
        <v>-2.9911908386153874</v>
      </c>
      <c r="J472" s="35">
        <v>-0.18821928648573844</v>
      </c>
      <c r="K472" s="35">
        <v>-18.512369131544805</v>
      </c>
      <c r="L472" s="35">
        <v>-52.168760589304952</v>
      </c>
      <c r="M472" s="58" t="s">
        <v>22</v>
      </c>
      <c r="N472" s="7">
        <v>11.333333333333334</v>
      </c>
      <c r="O472" s="7" t="s">
        <v>178</v>
      </c>
      <c r="P472" s="7" t="s">
        <v>178</v>
      </c>
    </row>
    <row r="473" spans="1:16" x14ac:dyDescent="0.25">
      <c r="A473" s="2" t="s">
        <v>183</v>
      </c>
      <c r="B473" s="2" t="s">
        <v>185</v>
      </c>
      <c r="C473" s="6" t="s">
        <v>132</v>
      </c>
      <c r="D473" s="2" t="s">
        <v>127</v>
      </c>
      <c r="E473" s="2"/>
      <c r="F473" s="35">
        <v>0.29999999999999988</v>
      </c>
      <c r="G473" s="35">
        <v>-23.850843383040996</v>
      </c>
      <c r="H473" s="35">
        <v>-25.509424309669626</v>
      </c>
      <c r="I473" s="35">
        <v>-2.9911908386153874</v>
      </c>
      <c r="J473" s="35">
        <v>-0.18821928648573844</v>
      </c>
      <c r="K473" s="35">
        <v>-17.615011879960189</v>
      </c>
      <c r="L473" s="35">
        <v>-44.337328296404067</v>
      </c>
      <c r="M473" s="58" t="s">
        <v>22</v>
      </c>
      <c r="N473" s="7">
        <v>11.333333333333334</v>
      </c>
      <c r="O473" s="7" t="s">
        <v>178</v>
      </c>
      <c r="P473" s="7" t="s">
        <v>178</v>
      </c>
    </row>
    <row r="474" spans="1:16" x14ac:dyDescent="0.25">
      <c r="A474" s="2" t="s">
        <v>183</v>
      </c>
      <c r="B474" s="2" t="s">
        <v>185</v>
      </c>
      <c r="C474" s="6" t="s">
        <v>132</v>
      </c>
      <c r="D474" s="2" t="s">
        <v>127</v>
      </c>
      <c r="E474" s="2"/>
      <c r="F474" s="35">
        <v>0.29999999999999988</v>
      </c>
      <c r="G474" s="35">
        <v>1.1485886742213114</v>
      </c>
      <c r="H474" s="35">
        <v>-20.12141324911822</v>
      </c>
      <c r="I474" s="35">
        <v>-2.314455956572417</v>
      </c>
      <c r="J474" s="35">
        <v>1.1092308916472038E-2</v>
      </c>
      <c r="K474" s="35">
        <v>-14.216670032906999</v>
      </c>
      <c r="L474" s="35">
        <v>-37.088335548781174</v>
      </c>
      <c r="M474" s="58" t="s">
        <v>22</v>
      </c>
      <c r="N474" s="7">
        <v>11.333333333333334</v>
      </c>
      <c r="O474" s="7" t="s">
        <v>178</v>
      </c>
      <c r="P474" s="7" t="s">
        <v>178</v>
      </c>
    </row>
    <row r="475" spans="1:16" x14ac:dyDescent="0.25">
      <c r="A475" s="2" t="s">
        <v>183</v>
      </c>
      <c r="B475" s="2" t="s">
        <v>185</v>
      </c>
      <c r="C475" s="6" t="s">
        <v>132</v>
      </c>
      <c r="D475" s="2" t="s">
        <v>127</v>
      </c>
      <c r="E475" s="2"/>
      <c r="F475" s="35">
        <v>5.3</v>
      </c>
      <c r="G475" s="35">
        <v>3.8801636742213117</v>
      </c>
      <c r="H475" s="35">
        <v>-0.27641324911821868</v>
      </c>
      <c r="I475" s="35">
        <v>-2.314455956572417</v>
      </c>
      <c r="J475" s="35">
        <v>1.1092308916472038E-2</v>
      </c>
      <c r="K475" s="35">
        <v>-2.6443902500449146</v>
      </c>
      <c r="L475" s="35">
        <v>13.906230696809912</v>
      </c>
      <c r="M475" s="58" t="s">
        <v>24</v>
      </c>
      <c r="N475" s="7">
        <v>11.333333333333334</v>
      </c>
      <c r="O475" s="7" t="s">
        <v>178</v>
      </c>
      <c r="P475" s="7" t="s">
        <v>178</v>
      </c>
    </row>
    <row r="476" spans="1:16" x14ac:dyDescent="0.25">
      <c r="A476" s="2" t="s">
        <v>183</v>
      </c>
      <c r="B476" s="2" t="s">
        <v>185</v>
      </c>
      <c r="C476" s="6" t="s">
        <v>132</v>
      </c>
      <c r="D476" s="2" t="s">
        <v>127</v>
      </c>
      <c r="E476" s="2"/>
      <c r="F476" s="35">
        <v>5.3</v>
      </c>
      <c r="G476" s="35">
        <v>-10.643573222378009</v>
      </c>
      <c r="H476" s="35">
        <v>-11.524669971417442</v>
      </c>
      <c r="I476" s="35">
        <v>-2.9925442408400875</v>
      </c>
      <c r="J476" s="35">
        <v>-1.310496864077522E-3</v>
      </c>
      <c r="K476" s="35">
        <v>-2.6585626084698042</v>
      </c>
      <c r="L476" s="35">
        <v>2.8030094352693098</v>
      </c>
      <c r="M476" s="58" t="s">
        <v>24</v>
      </c>
      <c r="N476" s="7">
        <v>11.333333333333334</v>
      </c>
      <c r="O476" s="7" t="s">
        <v>178</v>
      </c>
      <c r="P476" s="7" t="s">
        <v>178</v>
      </c>
    </row>
    <row r="477" spans="1:16" x14ac:dyDescent="0.25">
      <c r="A477" s="2" t="s">
        <v>183</v>
      </c>
      <c r="B477" s="2" t="s">
        <v>185</v>
      </c>
      <c r="C477" s="6" t="s">
        <v>132</v>
      </c>
      <c r="D477" s="2" t="s">
        <v>127</v>
      </c>
      <c r="E477" s="2"/>
      <c r="F477" s="35">
        <v>5.5393224575487361</v>
      </c>
      <c r="G477" s="35">
        <v>-10.512827773982275</v>
      </c>
      <c r="H477" s="35">
        <v>-10.574799137406508</v>
      </c>
      <c r="I477" s="35">
        <v>-2.9925442408400875</v>
      </c>
      <c r="J477" s="35">
        <v>-1.310496864077522E-3</v>
      </c>
      <c r="K477" s="35">
        <v>-1.9423795664286378</v>
      </c>
      <c r="L477" s="35">
        <v>5.4474590640923717</v>
      </c>
      <c r="M477" s="58" t="s">
        <v>24</v>
      </c>
      <c r="N477" s="7">
        <v>11.333333333333334</v>
      </c>
      <c r="O477" s="7" t="s">
        <v>178</v>
      </c>
      <c r="P477" s="7" t="s">
        <v>178</v>
      </c>
    </row>
    <row r="478" spans="1:16" x14ac:dyDescent="0.25">
      <c r="A478" s="2" t="s">
        <v>183</v>
      </c>
      <c r="B478" s="2" t="s">
        <v>185</v>
      </c>
      <c r="C478" s="6" t="s">
        <v>132</v>
      </c>
      <c r="D478" s="2" t="s">
        <v>127</v>
      </c>
      <c r="E478" s="2"/>
      <c r="F478" s="35">
        <v>11.078644915097472</v>
      </c>
      <c r="G478" s="35">
        <v>-7.4866128255865352</v>
      </c>
      <c r="H478" s="35">
        <v>11.410771696604428</v>
      </c>
      <c r="I478" s="35">
        <v>-2.9925442408400875</v>
      </c>
      <c r="J478" s="35">
        <v>-1.310496864077522E-3</v>
      </c>
      <c r="K478" s="35">
        <v>14.634287952064994</v>
      </c>
      <c r="L478" s="35">
        <v>3.1320982785626139</v>
      </c>
      <c r="M478" s="58" t="s">
        <v>23</v>
      </c>
      <c r="N478" s="7">
        <v>11.333333333333334</v>
      </c>
      <c r="O478" s="7" t="s">
        <v>178</v>
      </c>
      <c r="P478" s="7" t="s">
        <v>178</v>
      </c>
    </row>
    <row r="479" spans="1:16" x14ac:dyDescent="0.25">
      <c r="A479" s="2" t="s">
        <v>183</v>
      </c>
      <c r="B479" s="2" t="s">
        <v>186</v>
      </c>
      <c r="C479" s="6" t="s">
        <v>133</v>
      </c>
      <c r="D479" s="2" t="s">
        <v>105</v>
      </c>
      <c r="E479" s="2"/>
      <c r="F479" s="35">
        <v>0</v>
      </c>
      <c r="G479" s="35">
        <v>-34.071829179430786</v>
      </c>
      <c r="H479" s="35">
        <v>4.3735015528569399E-2</v>
      </c>
      <c r="I479" s="35">
        <v>-7.2458814740787754E-4</v>
      </c>
      <c r="J479" s="35">
        <v>9.9121003991157375E-6</v>
      </c>
      <c r="K479" s="35">
        <v>-4.3520954731304925E-3</v>
      </c>
      <c r="L479" s="35">
        <v>0.64135771511923578</v>
      </c>
      <c r="M479" s="58" t="s">
        <v>22</v>
      </c>
      <c r="N479" s="7">
        <v>12.25</v>
      </c>
      <c r="O479" s="7" t="s">
        <v>178</v>
      </c>
      <c r="P479" s="7" t="s">
        <v>178</v>
      </c>
    </row>
    <row r="480" spans="1:16" x14ac:dyDescent="0.25">
      <c r="A480" s="2" t="s">
        <v>183</v>
      </c>
      <c r="B480" s="2" t="s">
        <v>186</v>
      </c>
      <c r="C480" s="6" t="s">
        <v>133</v>
      </c>
      <c r="D480" s="2" t="s">
        <v>105</v>
      </c>
      <c r="E480" s="2"/>
      <c r="F480" s="35">
        <v>5.99765579088207</v>
      </c>
      <c r="G480" s="35">
        <v>-30.795219856035054</v>
      </c>
      <c r="H480" s="35">
        <v>4.3735015528569399E-2</v>
      </c>
      <c r="I480" s="35">
        <v>-7.2458814740787754E-4</v>
      </c>
      <c r="J480" s="35">
        <v>9.9121003991157375E-6</v>
      </c>
      <c r="K480" s="35">
        <v>-6.2651748251261505E-6</v>
      </c>
      <c r="L480" s="35">
        <v>0.37905014596999426</v>
      </c>
      <c r="M480" s="58" t="s">
        <v>24</v>
      </c>
      <c r="N480" s="7">
        <v>12.25</v>
      </c>
      <c r="O480" s="7" t="s">
        <v>178</v>
      </c>
      <c r="P480" s="7" t="s">
        <v>178</v>
      </c>
    </row>
    <row r="481" spans="1:16" x14ac:dyDescent="0.25">
      <c r="A481" s="2" t="s">
        <v>183</v>
      </c>
      <c r="B481" s="2" t="s">
        <v>186</v>
      </c>
      <c r="C481" s="6" t="s">
        <v>133</v>
      </c>
      <c r="D481" s="2" t="s">
        <v>105</v>
      </c>
      <c r="E481" s="2"/>
      <c r="F481" s="35">
        <v>11.99531158176414</v>
      </c>
      <c r="G481" s="35">
        <v>-27.518610532639318</v>
      </c>
      <c r="H481" s="35">
        <v>4.3735015528569399E-2</v>
      </c>
      <c r="I481" s="35">
        <v>-7.2458814740787754E-4</v>
      </c>
      <c r="J481" s="35">
        <v>9.9121003991157375E-6</v>
      </c>
      <c r="K481" s="35">
        <v>4.3395651234802409E-3</v>
      </c>
      <c r="L481" s="35">
        <v>0.11674257682075274</v>
      </c>
      <c r="M481" s="58" t="s">
        <v>23</v>
      </c>
      <c r="N481" s="7">
        <v>12.25</v>
      </c>
      <c r="O481" s="7" t="s">
        <v>178</v>
      </c>
      <c r="P481" s="7" t="s">
        <v>178</v>
      </c>
    </row>
    <row r="482" spans="1:16" x14ac:dyDescent="0.25">
      <c r="A482" s="2" t="s">
        <v>183</v>
      </c>
      <c r="B482" s="2" t="s">
        <v>186</v>
      </c>
      <c r="C482" s="6" t="s">
        <v>133</v>
      </c>
      <c r="D482" s="2" t="s">
        <v>15</v>
      </c>
      <c r="E482" s="2"/>
      <c r="F482" s="35">
        <v>0</v>
      </c>
      <c r="G482" s="35">
        <v>62.118069880460816</v>
      </c>
      <c r="H482" s="35">
        <v>26.574235617907366</v>
      </c>
      <c r="I482" s="35">
        <v>2.734785605909749E-3</v>
      </c>
      <c r="J482" s="35">
        <v>-2.1862137482901866E-4</v>
      </c>
      <c r="K482" s="35">
        <v>2.1755760950181453E-2</v>
      </c>
      <c r="L482" s="35">
        <v>70.382062744173936</v>
      </c>
      <c r="M482" s="58" t="s">
        <v>22</v>
      </c>
      <c r="N482" s="7">
        <v>12.25</v>
      </c>
      <c r="O482" s="7" t="s">
        <v>178</v>
      </c>
      <c r="P482" s="7" t="s">
        <v>178</v>
      </c>
    </row>
    <row r="483" spans="1:16" x14ac:dyDescent="0.25">
      <c r="A483" s="2" t="s">
        <v>183</v>
      </c>
      <c r="B483" s="2" t="s">
        <v>186</v>
      </c>
      <c r="C483" s="6" t="s">
        <v>133</v>
      </c>
      <c r="D483" s="2" t="s">
        <v>15</v>
      </c>
      <c r="E483" s="2"/>
      <c r="F483" s="35">
        <v>5.99765579088207</v>
      </c>
      <c r="G483" s="35">
        <v>65.394679203856555</v>
      </c>
      <c r="H483" s="35">
        <v>6.1702106173265596</v>
      </c>
      <c r="I483" s="35">
        <v>2.734785605909749E-3</v>
      </c>
      <c r="J483" s="35">
        <v>-2.1862137482901866E-4</v>
      </c>
      <c r="K483" s="35">
        <v>5.3534582240759186E-3</v>
      </c>
      <c r="L483" s="35">
        <v>-27.812896046814725</v>
      </c>
      <c r="M483" s="58" t="s">
        <v>24</v>
      </c>
      <c r="N483" s="7">
        <v>12.25</v>
      </c>
      <c r="O483" s="7" t="s">
        <v>178</v>
      </c>
      <c r="P483" s="7" t="s">
        <v>178</v>
      </c>
    </row>
    <row r="484" spans="1:16" x14ac:dyDescent="0.25">
      <c r="A484" s="2" t="s">
        <v>183</v>
      </c>
      <c r="B484" s="2" t="s">
        <v>186</v>
      </c>
      <c r="C484" s="6" t="s">
        <v>133</v>
      </c>
      <c r="D484" s="2" t="s">
        <v>15</v>
      </c>
      <c r="E484" s="2"/>
      <c r="F484" s="35">
        <v>11.99531158176414</v>
      </c>
      <c r="G484" s="35">
        <v>68.671288527252287</v>
      </c>
      <c r="H484" s="35">
        <v>-14.233814383254245</v>
      </c>
      <c r="I484" s="35">
        <v>2.734785605909749E-3</v>
      </c>
      <c r="J484" s="35">
        <v>-2.1862137482901866E-4</v>
      </c>
      <c r="K484" s="35">
        <v>-1.1048844502029616E-2</v>
      </c>
      <c r="L484" s="35">
        <v>-3.6315361357674067</v>
      </c>
      <c r="M484" s="58" t="s">
        <v>23</v>
      </c>
      <c r="N484" s="7">
        <v>12.25</v>
      </c>
      <c r="O484" s="7" t="s">
        <v>178</v>
      </c>
      <c r="P484" s="7" t="s">
        <v>178</v>
      </c>
    </row>
    <row r="485" spans="1:16" x14ac:dyDescent="0.25">
      <c r="A485" s="2" t="s">
        <v>183</v>
      </c>
      <c r="B485" s="2" t="s">
        <v>186</v>
      </c>
      <c r="C485" s="6" t="s">
        <v>133</v>
      </c>
      <c r="D485" s="2" t="s">
        <v>16</v>
      </c>
      <c r="E485" s="2"/>
      <c r="F485" s="35">
        <v>0</v>
      </c>
      <c r="G485" s="35">
        <v>41.717459842717147</v>
      </c>
      <c r="H485" s="35">
        <v>46.883104314287671</v>
      </c>
      <c r="I485" s="35">
        <v>1.4150419594626275E-3</v>
      </c>
      <c r="J485" s="35">
        <v>-3.0934674816983728E-4</v>
      </c>
      <c r="K485" s="35">
        <v>1.6690146075281461E-2</v>
      </c>
      <c r="L485" s="35">
        <v>120.62451182605805</v>
      </c>
      <c r="M485" s="58" t="s">
        <v>22</v>
      </c>
      <c r="N485" s="7">
        <v>12.25</v>
      </c>
      <c r="O485" s="7" t="s">
        <v>178</v>
      </c>
      <c r="P485" s="7" t="s">
        <v>178</v>
      </c>
    </row>
    <row r="486" spans="1:16" x14ac:dyDescent="0.25">
      <c r="A486" s="2" t="s">
        <v>183</v>
      </c>
      <c r="B486" s="2" t="s">
        <v>186</v>
      </c>
      <c r="C486" s="6" t="s">
        <v>133</v>
      </c>
      <c r="D486" s="2" t="s">
        <v>16</v>
      </c>
      <c r="E486" s="2"/>
      <c r="F486" s="35">
        <v>5.99765579088207</v>
      </c>
      <c r="G486" s="35">
        <v>44.994069166112894</v>
      </c>
      <c r="H486" s="35">
        <v>10.609282091032918</v>
      </c>
      <c r="I486" s="35">
        <v>1.4150419594626275E-3</v>
      </c>
      <c r="J486" s="35">
        <v>-3.0934674816983728E-4</v>
      </c>
      <c r="K486" s="35">
        <v>8.2032114727693204E-3</v>
      </c>
      <c r="L486" s="35">
        <v>-51.785260301692254</v>
      </c>
      <c r="M486" s="58" t="s">
        <v>24</v>
      </c>
      <c r="N486" s="7">
        <v>12.25</v>
      </c>
      <c r="O486" s="7" t="s">
        <v>178</v>
      </c>
      <c r="P486" s="7" t="s">
        <v>178</v>
      </c>
    </row>
    <row r="487" spans="1:16" x14ac:dyDescent="0.25">
      <c r="A487" s="2" t="s">
        <v>183</v>
      </c>
      <c r="B487" s="2" t="s">
        <v>186</v>
      </c>
      <c r="C487" s="6" t="s">
        <v>133</v>
      </c>
      <c r="D487" s="2" t="s">
        <v>16</v>
      </c>
      <c r="E487" s="2"/>
      <c r="F487" s="35">
        <v>11.99531158176414</v>
      </c>
      <c r="G487" s="35">
        <v>48.270678489508626</v>
      </c>
      <c r="H487" s="35">
        <v>-25.664540132221838</v>
      </c>
      <c r="I487" s="35">
        <v>1.4150419594626275E-3</v>
      </c>
      <c r="J487" s="35">
        <v>-3.0934674816983728E-4</v>
      </c>
      <c r="K487" s="35">
        <v>-2.8372312974281696E-4</v>
      </c>
      <c r="L487" s="35">
        <v>-6.6371325147119817</v>
      </c>
      <c r="M487" s="58" t="s">
        <v>23</v>
      </c>
      <c r="N487" s="7">
        <v>12.25</v>
      </c>
      <c r="O487" s="7" t="s">
        <v>178</v>
      </c>
      <c r="P487" s="7" t="s">
        <v>178</v>
      </c>
    </row>
    <row r="488" spans="1:16" x14ac:dyDescent="0.25">
      <c r="A488" s="2" t="s">
        <v>183</v>
      </c>
      <c r="B488" s="2" t="s">
        <v>186</v>
      </c>
      <c r="C488" s="6" t="s">
        <v>133</v>
      </c>
      <c r="D488" s="2" t="s">
        <v>106</v>
      </c>
      <c r="E488" s="2"/>
      <c r="F488" s="35">
        <v>0</v>
      </c>
      <c r="G488" s="35">
        <v>21.378259228450087</v>
      </c>
      <c r="H488" s="35">
        <v>-26.717241055378452</v>
      </c>
      <c r="I488" s="35">
        <v>2.4262135239770952E-3</v>
      </c>
      <c r="J488" s="35">
        <v>1.8773824110609417E-4</v>
      </c>
      <c r="K488" s="35">
        <v>8.6994050039006891E-3</v>
      </c>
      <c r="L488" s="35">
        <v>-71.958264882093118</v>
      </c>
      <c r="M488" s="58" t="s">
        <v>22</v>
      </c>
      <c r="N488" s="7">
        <v>12.25</v>
      </c>
      <c r="O488" s="7" t="s">
        <v>178</v>
      </c>
      <c r="P488" s="7" t="s">
        <v>178</v>
      </c>
    </row>
    <row r="489" spans="1:16" x14ac:dyDescent="0.25">
      <c r="A489" s="2" t="s">
        <v>183</v>
      </c>
      <c r="B489" s="2" t="s">
        <v>186</v>
      </c>
      <c r="C489" s="6" t="s">
        <v>133</v>
      </c>
      <c r="D489" s="2" t="s">
        <v>106</v>
      </c>
      <c r="E489" s="2"/>
      <c r="F489" s="35">
        <v>5.99765579088207</v>
      </c>
      <c r="G489" s="35">
        <v>24.654868551845826</v>
      </c>
      <c r="H489" s="35">
        <v>-6.3132160547976488</v>
      </c>
      <c r="I489" s="35">
        <v>2.4262135239770952E-3</v>
      </c>
      <c r="J489" s="35">
        <v>1.8773824110609417E-4</v>
      </c>
      <c r="K489" s="35">
        <v>-5.8521885880969291E-3</v>
      </c>
      <c r="L489" s="35">
        <v>27.09439129907166</v>
      </c>
      <c r="M489" s="58" t="s">
        <v>24</v>
      </c>
      <c r="N489" s="7">
        <v>12.25</v>
      </c>
      <c r="O489" s="7" t="s">
        <v>178</v>
      </c>
      <c r="P489" s="7" t="s">
        <v>178</v>
      </c>
    </row>
    <row r="490" spans="1:16" x14ac:dyDescent="0.25">
      <c r="A490" s="2" t="s">
        <v>183</v>
      </c>
      <c r="B490" s="2" t="s">
        <v>186</v>
      </c>
      <c r="C490" s="6" t="s">
        <v>133</v>
      </c>
      <c r="D490" s="2" t="s">
        <v>106</v>
      </c>
      <c r="E490" s="2"/>
      <c r="F490" s="35">
        <v>11.99531158176414</v>
      </c>
      <c r="G490" s="35">
        <v>27.931477875241562</v>
      </c>
      <c r="H490" s="35">
        <v>14.090808945783156</v>
      </c>
      <c r="I490" s="35">
        <v>2.4262135239770952E-3</v>
      </c>
      <c r="J490" s="35">
        <v>1.8773824110609417E-4</v>
      </c>
      <c r="K490" s="35">
        <v>-2.0403782180094549E-2</v>
      </c>
      <c r="L490" s="35">
        <v>3.7707287782004455</v>
      </c>
      <c r="M490" s="58" t="s">
        <v>23</v>
      </c>
      <c r="N490" s="7">
        <v>12.25</v>
      </c>
      <c r="O490" s="7" t="s">
        <v>178</v>
      </c>
      <c r="P490" s="7" t="s">
        <v>178</v>
      </c>
    </row>
    <row r="491" spans="1:16" x14ac:dyDescent="0.25">
      <c r="A491" s="2" t="s">
        <v>183</v>
      </c>
      <c r="B491" s="2" t="s">
        <v>186</v>
      </c>
      <c r="C491" s="6" t="s">
        <v>133</v>
      </c>
      <c r="D491" s="2" t="s">
        <v>107</v>
      </c>
      <c r="E491" s="2"/>
      <c r="F491" s="35">
        <v>0</v>
      </c>
      <c r="G491" s="35">
        <v>0.96256554047967424</v>
      </c>
      <c r="H491" s="35">
        <v>-6.4075324716945312</v>
      </c>
      <c r="I491" s="35">
        <v>1.1132579031689267E-3</v>
      </c>
      <c r="J491" s="35">
        <v>9.694253818219802E-5</v>
      </c>
      <c r="K491" s="35">
        <v>3.6759551567216659E-3</v>
      </c>
      <c r="L491" s="35">
        <v>-21.705451027273142</v>
      </c>
      <c r="M491" s="58" t="s">
        <v>22</v>
      </c>
      <c r="N491" s="7">
        <v>12.25</v>
      </c>
      <c r="O491" s="7" t="s">
        <v>178</v>
      </c>
      <c r="P491" s="7" t="s">
        <v>178</v>
      </c>
    </row>
    <row r="492" spans="1:16" x14ac:dyDescent="0.25">
      <c r="A492" s="2" t="s">
        <v>183</v>
      </c>
      <c r="B492" s="2" t="s">
        <v>186</v>
      </c>
      <c r="C492" s="6" t="s">
        <v>133</v>
      </c>
      <c r="D492" s="2" t="s">
        <v>107</v>
      </c>
      <c r="E492" s="2"/>
      <c r="F492" s="35">
        <v>5.99765579088207</v>
      </c>
      <c r="G492" s="35">
        <v>4.2391748638754132</v>
      </c>
      <c r="H492" s="35">
        <v>-1.8733046937876867</v>
      </c>
      <c r="I492" s="35">
        <v>1.1132579031689267E-3</v>
      </c>
      <c r="J492" s="35">
        <v>9.694253818219802E-5</v>
      </c>
      <c r="K492" s="35">
        <v>-3.0009825529646759E-3</v>
      </c>
      <c r="L492" s="35">
        <v>3.1273544621797993</v>
      </c>
      <c r="M492" s="58" t="s">
        <v>24</v>
      </c>
      <c r="N492" s="7">
        <v>12.25</v>
      </c>
      <c r="O492" s="7" t="s">
        <v>178</v>
      </c>
      <c r="P492" s="7" t="s">
        <v>178</v>
      </c>
    </row>
    <row r="493" spans="1:16" x14ac:dyDescent="0.25">
      <c r="A493" s="2" t="s">
        <v>183</v>
      </c>
      <c r="B493" s="2" t="s">
        <v>186</v>
      </c>
      <c r="C493" s="6" t="s">
        <v>133</v>
      </c>
      <c r="D493" s="2" t="s">
        <v>107</v>
      </c>
      <c r="E493" s="2"/>
      <c r="F493" s="35">
        <v>11.99531158176414</v>
      </c>
      <c r="G493" s="35">
        <v>7.5157841872711488</v>
      </c>
      <c r="H493" s="35">
        <v>2.6609230841191578</v>
      </c>
      <c r="I493" s="35">
        <v>1.1132579031689267E-3</v>
      </c>
      <c r="J493" s="35">
        <v>9.694253818219802E-5</v>
      </c>
      <c r="K493" s="35">
        <v>-9.6779202626510186E-3</v>
      </c>
      <c r="L493" s="35">
        <v>0.7654224622914203</v>
      </c>
      <c r="M493" s="58" t="s">
        <v>23</v>
      </c>
      <c r="N493" s="7">
        <v>12.25</v>
      </c>
      <c r="O493" s="7" t="s">
        <v>178</v>
      </c>
      <c r="P493" s="7" t="s">
        <v>178</v>
      </c>
    </row>
    <row r="494" spans="1:16" x14ac:dyDescent="0.25">
      <c r="A494" s="2" t="s">
        <v>183</v>
      </c>
      <c r="B494" s="2" t="s">
        <v>186</v>
      </c>
      <c r="C494" s="6" t="s">
        <v>133</v>
      </c>
      <c r="D494" s="2" t="s">
        <v>108</v>
      </c>
      <c r="E494" s="2"/>
      <c r="F494" s="35">
        <v>0</v>
      </c>
      <c r="G494" s="35">
        <v>26.320334441285194</v>
      </c>
      <c r="H494" s="35">
        <v>-50.7547586850865</v>
      </c>
      <c r="I494" s="35">
        <v>1.0370118795693375</v>
      </c>
      <c r="J494" s="35">
        <v>2.2374800385056333E-4</v>
      </c>
      <c r="K494" s="35">
        <v>6.4470204038065964</v>
      </c>
      <c r="L494" s="35">
        <v>-125.289304581377</v>
      </c>
      <c r="M494" s="58" t="s">
        <v>22</v>
      </c>
      <c r="N494" s="7">
        <v>12.25</v>
      </c>
      <c r="O494" s="7" t="s">
        <v>178</v>
      </c>
      <c r="P494" s="7" t="s">
        <v>178</v>
      </c>
    </row>
    <row r="495" spans="1:16" x14ac:dyDescent="0.25">
      <c r="A495" s="2" t="s">
        <v>183</v>
      </c>
      <c r="B495" s="2" t="s">
        <v>186</v>
      </c>
      <c r="C495" s="6" t="s">
        <v>133</v>
      </c>
      <c r="D495" s="2" t="s">
        <v>108</v>
      </c>
      <c r="E495" s="2"/>
      <c r="F495" s="35">
        <v>5.99765579088207</v>
      </c>
      <c r="G495" s="35">
        <v>29.596943764680933</v>
      </c>
      <c r="H495" s="35">
        <v>-11.080265628401605</v>
      </c>
      <c r="I495" s="35">
        <v>1.0370118795693375</v>
      </c>
      <c r="J495" s="35">
        <v>2.2374800385056333E-4</v>
      </c>
      <c r="K495" s="35">
        <v>0.2273800990940614</v>
      </c>
      <c r="L495" s="35">
        <v>60.14329124518575</v>
      </c>
      <c r="M495" s="58" t="s">
        <v>24</v>
      </c>
      <c r="N495" s="7">
        <v>12.25</v>
      </c>
      <c r="O495" s="7" t="s">
        <v>178</v>
      </c>
      <c r="P495" s="7" t="s">
        <v>178</v>
      </c>
    </row>
    <row r="496" spans="1:16" x14ac:dyDescent="0.25">
      <c r="A496" s="2" t="s">
        <v>183</v>
      </c>
      <c r="B496" s="2" t="s">
        <v>186</v>
      </c>
      <c r="C496" s="6" t="s">
        <v>133</v>
      </c>
      <c r="D496" s="2" t="s">
        <v>108</v>
      </c>
      <c r="E496" s="2"/>
      <c r="F496" s="35">
        <v>11.99531158176414</v>
      </c>
      <c r="G496" s="35">
        <v>32.873553088076669</v>
      </c>
      <c r="H496" s="35">
        <v>28.59422742828329</v>
      </c>
      <c r="I496" s="35">
        <v>1.0370118795693375</v>
      </c>
      <c r="J496" s="35">
        <v>2.2374800385056333E-4</v>
      </c>
      <c r="K496" s="35">
        <v>-5.9922602056184742</v>
      </c>
      <c r="L496" s="35">
        <v>7.6219340400118689</v>
      </c>
      <c r="M496" s="58" t="s">
        <v>23</v>
      </c>
      <c r="N496" s="7">
        <v>12.25</v>
      </c>
      <c r="O496" s="7" t="s">
        <v>178</v>
      </c>
      <c r="P496" s="7" t="s">
        <v>178</v>
      </c>
    </row>
    <row r="497" spans="1:16" x14ac:dyDescent="0.25">
      <c r="A497" s="2" t="s">
        <v>183</v>
      </c>
      <c r="B497" s="2" t="s">
        <v>186</v>
      </c>
      <c r="C497" s="6" t="s">
        <v>133</v>
      </c>
      <c r="D497" s="2" t="s">
        <v>109</v>
      </c>
      <c r="E497" s="2"/>
      <c r="F497" s="35">
        <v>0</v>
      </c>
      <c r="G497" s="35">
        <v>-27.758024019027257</v>
      </c>
      <c r="H497" s="35">
        <v>-30.363245066025609</v>
      </c>
      <c r="I497" s="35">
        <v>2.5902712353935713</v>
      </c>
      <c r="J497" s="35">
        <v>1.3422302328549047E-4</v>
      </c>
      <c r="K497" s="35">
        <v>15.594187052233128</v>
      </c>
      <c r="L497" s="35">
        <v>-74.023795049120437</v>
      </c>
      <c r="M497" s="58" t="s">
        <v>22</v>
      </c>
      <c r="N497" s="7">
        <v>12.25</v>
      </c>
      <c r="O497" s="7" t="s">
        <v>178</v>
      </c>
      <c r="P497" s="7" t="s">
        <v>178</v>
      </c>
    </row>
    <row r="498" spans="1:16" x14ac:dyDescent="0.25">
      <c r="A498" s="2" t="s">
        <v>183</v>
      </c>
      <c r="B498" s="2" t="s">
        <v>186</v>
      </c>
      <c r="C498" s="6" t="s">
        <v>133</v>
      </c>
      <c r="D498" s="2" t="s">
        <v>109</v>
      </c>
      <c r="E498" s="2"/>
      <c r="F498" s="35">
        <v>5.99765579088207</v>
      </c>
      <c r="G498" s="35">
        <v>-24.481414695631518</v>
      </c>
      <c r="H498" s="35">
        <v>-6.5585492320146761</v>
      </c>
      <c r="I498" s="35">
        <v>2.5902712353935713</v>
      </c>
      <c r="J498" s="35">
        <v>1.3422302328549047E-4</v>
      </c>
      <c r="K498" s="35">
        <v>5.8631777319622914E-2</v>
      </c>
      <c r="L498" s="35">
        <v>36.69831164157852</v>
      </c>
      <c r="M498" s="58" t="s">
        <v>24</v>
      </c>
      <c r="N498" s="7">
        <v>12.25</v>
      </c>
      <c r="O498" s="7" t="s">
        <v>178</v>
      </c>
      <c r="P498" s="7" t="s">
        <v>178</v>
      </c>
    </row>
    <row r="499" spans="1:16" x14ac:dyDescent="0.25">
      <c r="A499" s="2" t="s">
        <v>183</v>
      </c>
      <c r="B499" s="2" t="s">
        <v>186</v>
      </c>
      <c r="C499" s="6" t="s">
        <v>133</v>
      </c>
      <c r="D499" s="2" t="s">
        <v>109</v>
      </c>
      <c r="E499" s="2"/>
      <c r="F499" s="35">
        <v>11.99531158176414</v>
      </c>
      <c r="G499" s="35">
        <v>-21.204805372235782</v>
      </c>
      <c r="H499" s="35">
        <v>17.246146601996262</v>
      </c>
      <c r="I499" s="35">
        <v>2.5902712353935713</v>
      </c>
      <c r="J499" s="35">
        <v>1.3422302328549047E-4</v>
      </c>
      <c r="K499" s="35">
        <v>-15.476923497593882</v>
      </c>
      <c r="L499" s="35">
        <v>4.6480465132355091</v>
      </c>
      <c r="M499" s="58" t="s">
        <v>23</v>
      </c>
      <c r="N499" s="7">
        <v>12.25</v>
      </c>
      <c r="O499" s="7" t="s">
        <v>178</v>
      </c>
      <c r="P499" s="7" t="s">
        <v>178</v>
      </c>
    </row>
    <row r="500" spans="1:16" x14ac:dyDescent="0.25">
      <c r="A500" s="2" t="s">
        <v>183</v>
      </c>
      <c r="B500" s="2" t="s">
        <v>186</v>
      </c>
      <c r="C500" s="6" t="s">
        <v>133</v>
      </c>
      <c r="D500" s="2" t="s">
        <v>110</v>
      </c>
      <c r="E500" s="2"/>
      <c r="F500" s="35">
        <v>0</v>
      </c>
      <c r="G500" s="35">
        <v>26.389017914258154</v>
      </c>
      <c r="H500" s="35">
        <v>-50.755279455426944</v>
      </c>
      <c r="I500" s="35">
        <v>-1.0320311080965945</v>
      </c>
      <c r="J500" s="35">
        <v>2.493884964485006E-4</v>
      </c>
      <c r="K500" s="35">
        <v>-6.4319753259692449</v>
      </c>
      <c r="L500" s="35">
        <v>-125.29561737788431</v>
      </c>
      <c r="M500" s="58" t="s">
        <v>22</v>
      </c>
      <c r="N500" s="7">
        <v>12.25</v>
      </c>
      <c r="O500" s="7" t="s">
        <v>178</v>
      </c>
      <c r="P500" s="7" t="s">
        <v>178</v>
      </c>
    </row>
    <row r="501" spans="1:16" x14ac:dyDescent="0.25">
      <c r="A501" s="2" t="s">
        <v>183</v>
      </c>
      <c r="B501" s="2" t="s">
        <v>186</v>
      </c>
      <c r="C501" s="6" t="s">
        <v>133</v>
      </c>
      <c r="D501" s="2" t="s">
        <v>110</v>
      </c>
      <c r="E501" s="2"/>
      <c r="F501" s="35">
        <v>5.99765579088207</v>
      </c>
      <c r="G501" s="35">
        <v>29.665627237653894</v>
      </c>
      <c r="H501" s="35">
        <v>-11.080786398742047</v>
      </c>
      <c r="I501" s="35">
        <v>-1.0320311080965945</v>
      </c>
      <c r="J501" s="35">
        <v>2.493884964485006E-4</v>
      </c>
      <c r="K501" s="35">
        <v>-0.2422079741232647</v>
      </c>
      <c r="L501" s="35">
        <v>60.140101849926495</v>
      </c>
      <c r="M501" s="58" t="s">
        <v>24</v>
      </c>
      <c r="N501" s="7">
        <v>12.25</v>
      </c>
      <c r="O501" s="7" t="s">
        <v>178</v>
      </c>
      <c r="P501" s="7" t="s">
        <v>178</v>
      </c>
    </row>
    <row r="502" spans="1:16" x14ac:dyDescent="0.25">
      <c r="A502" s="2" t="s">
        <v>183</v>
      </c>
      <c r="B502" s="2" t="s">
        <v>186</v>
      </c>
      <c r="C502" s="6" t="s">
        <v>133</v>
      </c>
      <c r="D502" s="2" t="s">
        <v>110</v>
      </c>
      <c r="E502" s="2"/>
      <c r="F502" s="35">
        <v>11.99531158176414</v>
      </c>
      <c r="G502" s="35">
        <v>32.942236561049626</v>
      </c>
      <c r="H502" s="35">
        <v>28.59370665794285</v>
      </c>
      <c r="I502" s="35">
        <v>-1.0320311080965945</v>
      </c>
      <c r="J502" s="35">
        <v>2.493884964485006E-4</v>
      </c>
      <c r="K502" s="35">
        <v>5.9475593777227145</v>
      </c>
      <c r="L502" s="35">
        <v>7.6218680460007002</v>
      </c>
      <c r="M502" s="58" t="s">
        <v>23</v>
      </c>
      <c r="N502" s="7">
        <v>12.25</v>
      </c>
      <c r="O502" s="7" t="s">
        <v>178</v>
      </c>
      <c r="P502" s="7" t="s">
        <v>178</v>
      </c>
    </row>
    <row r="503" spans="1:16" x14ac:dyDescent="0.25">
      <c r="A503" s="2" t="s">
        <v>183</v>
      </c>
      <c r="B503" s="2" t="s">
        <v>186</v>
      </c>
      <c r="C503" s="6" t="s">
        <v>133</v>
      </c>
      <c r="D503" s="2" t="s">
        <v>111</v>
      </c>
      <c r="E503" s="2"/>
      <c r="F503" s="35">
        <v>0</v>
      </c>
      <c r="G503" s="35">
        <v>-27.607891680264359</v>
      </c>
      <c r="H503" s="35">
        <v>-30.366369780742549</v>
      </c>
      <c r="I503" s="35">
        <v>-2.5881648842718254</v>
      </c>
      <c r="J503" s="35">
        <v>1.7389529145398006E-4</v>
      </c>
      <c r="K503" s="35">
        <v>-15.589502474377369</v>
      </c>
      <c r="L503" s="35">
        <v>-74.061747860938951</v>
      </c>
      <c r="M503" s="58" t="s">
        <v>22</v>
      </c>
      <c r="N503" s="7">
        <v>12.25</v>
      </c>
      <c r="O503" s="7" t="s">
        <v>178</v>
      </c>
      <c r="P503" s="7" t="s">
        <v>178</v>
      </c>
    </row>
    <row r="504" spans="1:16" x14ac:dyDescent="0.25">
      <c r="A504" s="2" t="s">
        <v>183</v>
      </c>
      <c r="B504" s="2" t="s">
        <v>186</v>
      </c>
      <c r="C504" s="6" t="s">
        <v>133</v>
      </c>
      <c r="D504" s="2" t="s">
        <v>111</v>
      </c>
      <c r="E504" s="2"/>
      <c r="F504" s="35">
        <v>5.99765579088207</v>
      </c>
      <c r="G504" s="35">
        <v>-24.331282356868623</v>
      </c>
      <c r="H504" s="35">
        <v>-6.5616739467316147</v>
      </c>
      <c r="I504" s="35">
        <v>-2.5881648842718254</v>
      </c>
      <c r="J504" s="35">
        <v>1.7389529145398006E-4</v>
      </c>
      <c r="K504" s="35">
        <v>-6.6580368466835599E-2</v>
      </c>
      <c r="L504" s="35">
        <v>36.679099793076894</v>
      </c>
      <c r="M504" s="58" t="s">
        <v>24</v>
      </c>
      <c r="N504" s="7">
        <v>12.25</v>
      </c>
      <c r="O504" s="7" t="s">
        <v>178</v>
      </c>
      <c r="P504" s="7" t="s">
        <v>178</v>
      </c>
    </row>
    <row r="505" spans="1:16" x14ac:dyDescent="0.25">
      <c r="A505" s="2" t="s">
        <v>183</v>
      </c>
      <c r="B505" s="2" t="s">
        <v>186</v>
      </c>
      <c r="C505" s="6" t="s">
        <v>133</v>
      </c>
      <c r="D505" s="2" t="s">
        <v>111</v>
      </c>
      <c r="E505" s="2"/>
      <c r="F505" s="35">
        <v>11.99531158176414</v>
      </c>
      <c r="G505" s="35">
        <v>-21.054673033472888</v>
      </c>
      <c r="H505" s="35">
        <v>17.243021887279323</v>
      </c>
      <c r="I505" s="35">
        <v>-2.5881648842718254</v>
      </c>
      <c r="J505" s="35">
        <v>1.7389529145398006E-4</v>
      </c>
      <c r="K505" s="35">
        <v>15.456341737443699</v>
      </c>
      <c r="L505" s="35">
        <v>4.6475756280507881</v>
      </c>
      <c r="M505" s="58" t="s">
        <v>23</v>
      </c>
      <c r="N505" s="7">
        <v>12.25</v>
      </c>
      <c r="O505" s="7" t="s">
        <v>178</v>
      </c>
      <c r="P505" s="7" t="s">
        <v>178</v>
      </c>
    </row>
    <row r="506" spans="1:16" x14ac:dyDescent="0.25">
      <c r="A506" s="2" t="s">
        <v>183</v>
      </c>
      <c r="B506" s="2" t="s">
        <v>186</v>
      </c>
      <c r="C506" s="6" t="s">
        <v>133</v>
      </c>
      <c r="D506" s="2" t="s">
        <v>112</v>
      </c>
      <c r="E506" s="2"/>
      <c r="F506" s="35">
        <v>0</v>
      </c>
      <c r="G506" s="35">
        <v>37.888949801620996</v>
      </c>
      <c r="H506" s="35">
        <v>23.948507014543253</v>
      </c>
      <c r="I506" s="35">
        <v>1.8124359155820798E-3</v>
      </c>
      <c r="J506" s="35">
        <v>-1.9070677027258119E-4</v>
      </c>
      <c r="K506" s="35">
        <v>1.576597170685869E-2</v>
      </c>
      <c r="L506" s="35">
        <v>63.74653135973324</v>
      </c>
      <c r="M506" s="58" t="s">
        <v>22</v>
      </c>
      <c r="N506" s="7">
        <v>12.25</v>
      </c>
      <c r="O506" s="7" t="s">
        <v>178</v>
      </c>
      <c r="P506" s="7" t="s">
        <v>178</v>
      </c>
    </row>
    <row r="507" spans="1:16" x14ac:dyDescent="0.25">
      <c r="A507" s="2" t="s">
        <v>183</v>
      </c>
      <c r="B507" s="2" t="s">
        <v>186</v>
      </c>
      <c r="C507" s="6" t="s">
        <v>133</v>
      </c>
      <c r="D507" s="2" t="s">
        <v>112</v>
      </c>
      <c r="E507" s="2"/>
      <c r="F507" s="35">
        <v>5.99765579088207</v>
      </c>
      <c r="G507" s="35">
        <v>41.165559125016735</v>
      </c>
      <c r="H507" s="35">
        <v>5.5848845140205308</v>
      </c>
      <c r="I507" s="35">
        <v>1.8124359155820798E-3</v>
      </c>
      <c r="J507" s="35">
        <v>-1.9070677027258119E-4</v>
      </c>
      <c r="K507" s="35">
        <v>4.8956049421651797E-3</v>
      </c>
      <c r="L507" s="35">
        <v>-24.819027003105784</v>
      </c>
      <c r="M507" s="58" t="s">
        <v>24</v>
      </c>
      <c r="N507" s="7">
        <v>12.25</v>
      </c>
      <c r="O507" s="7" t="s">
        <v>178</v>
      </c>
      <c r="P507" s="7" t="s">
        <v>178</v>
      </c>
    </row>
    <row r="508" spans="1:16" x14ac:dyDescent="0.25">
      <c r="A508" s="2" t="s">
        <v>183</v>
      </c>
      <c r="B508" s="2" t="s">
        <v>186</v>
      </c>
      <c r="C508" s="6" t="s">
        <v>133</v>
      </c>
      <c r="D508" s="2" t="s">
        <v>112</v>
      </c>
      <c r="E508" s="2"/>
      <c r="F508" s="35">
        <v>11.99531158176414</v>
      </c>
      <c r="G508" s="35">
        <v>44.442168448412467</v>
      </c>
      <c r="H508" s="35">
        <v>-12.778737986502193</v>
      </c>
      <c r="I508" s="35">
        <v>1.8124359155820798E-3</v>
      </c>
      <c r="J508" s="35">
        <v>-1.9070677027258119E-4</v>
      </c>
      <c r="K508" s="35">
        <v>-5.974761822528327E-3</v>
      </c>
      <c r="L508" s="35">
        <v>-3.2458985341124209</v>
      </c>
      <c r="M508" s="58" t="s">
        <v>23</v>
      </c>
      <c r="N508" s="7">
        <v>12.25</v>
      </c>
      <c r="O508" s="7" t="s">
        <v>178</v>
      </c>
      <c r="P508" s="7" t="s">
        <v>178</v>
      </c>
    </row>
    <row r="509" spans="1:16" x14ac:dyDescent="0.25">
      <c r="A509" s="2" t="s">
        <v>183</v>
      </c>
      <c r="B509" s="2" t="s">
        <v>186</v>
      </c>
      <c r="C509" s="6" t="s">
        <v>133</v>
      </c>
      <c r="D509" s="2" t="s">
        <v>113</v>
      </c>
      <c r="E509" s="2"/>
      <c r="F509" s="35">
        <v>0</v>
      </c>
      <c r="G509" s="35">
        <v>19.528400767651711</v>
      </c>
      <c r="H509" s="35">
        <v>42.226488841285537</v>
      </c>
      <c r="I509" s="35">
        <v>6.2466663377967052E-4</v>
      </c>
      <c r="J509" s="35">
        <v>-2.7235960627931794E-4</v>
      </c>
      <c r="K509" s="35">
        <v>1.1206918319448693E-2</v>
      </c>
      <c r="L509" s="35">
        <v>108.96473553342895</v>
      </c>
      <c r="M509" s="58" t="s">
        <v>22</v>
      </c>
      <c r="N509" s="7">
        <v>12.25</v>
      </c>
      <c r="O509" s="7" t="s">
        <v>178</v>
      </c>
      <c r="P509" s="7" t="s">
        <v>178</v>
      </c>
    </row>
    <row r="510" spans="1:16" x14ac:dyDescent="0.25">
      <c r="A510" s="2" t="s">
        <v>183</v>
      </c>
      <c r="B510" s="2" t="s">
        <v>186</v>
      </c>
      <c r="C510" s="6" t="s">
        <v>133</v>
      </c>
      <c r="D510" s="2" t="s">
        <v>113</v>
      </c>
      <c r="E510" s="2"/>
      <c r="F510" s="35">
        <v>5.99765579088207</v>
      </c>
      <c r="G510" s="35">
        <v>22.805010091047446</v>
      </c>
      <c r="H510" s="35">
        <v>9.5800488403562536</v>
      </c>
      <c r="I510" s="35">
        <v>6.2466663377967052E-4</v>
      </c>
      <c r="J510" s="35">
        <v>-2.7235960627931794E-4</v>
      </c>
      <c r="K510" s="35">
        <v>7.460382865989241E-3</v>
      </c>
      <c r="L510" s="35">
        <v>-46.394154832495566</v>
      </c>
      <c r="M510" s="58" t="s">
        <v>24</v>
      </c>
      <c r="N510" s="7">
        <v>12.25</v>
      </c>
      <c r="O510" s="7" t="s">
        <v>178</v>
      </c>
      <c r="P510" s="7" t="s">
        <v>178</v>
      </c>
    </row>
    <row r="511" spans="1:16" x14ac:dyDescent="0.25">
      <c r="A511" s="2" t="s">
        <v>183</v>
      </c>
      <c r="B511" s="2" t="s">
        <v>186</v>
      </c>
      <c r="C511" s="6" t="s">
        <v>133</v>
      </c>
      <c r="D511" s="2" t="s">
        <v>113</v>
      </c>
      <c r="E511" s="2"/>
      <c r="F511" s="35">
        <v>11.99531158176414</v>
      </c>
      <c r="G511" s="35">
        <v>26.081619414443182</v>
      </c>
      <c r="H511" s="35">
        <v>-23.06639116057303</v>
      </c>
      <c r="I511" s="35">
        <v>6.2466663377967052E-4</v>
      </c>
      <c r="J511" s="35">
        <v>-2.7235960627931794E-4</v>
      </c>
      <c r="K511" s="35">
        <v>3.7138474125297913E-3</v>
      </c>
      <c r="L511" s="35">
        <v>-5.9509352751625393</v>
      </c>
      <c r="M511" s="58" t="s">
        <v>23</v>
      </c>
      <c r="N511" s="7">
        <v>12.25</v>
      </c>
      <c r="O511" s="7" t="s">
        <v>178</v>
      </c>
      <c r="P511" s="7" t="s">
        <v>178</v>
      </c>
    </row>
    <row r="512" spans="1:16" x14ac:dyDescent="0.25">
      <c r="A512" s="2" t="s">
        <v>183</v>
      </c>
      <c r="B512" s="2" t="s">
        <v>186</v>
      </c>
      <c r="C512" s="6" t="s">
        <v>133</v>
      </c>
      <c r="D512" s="2" t="s">
        <v>114</v>
      </c>
      <c r="E512" s="2"/>
      <c r="F512" s="35">
        <v>0</v>
      </c>
      <c r="G512" s="35">
        <v>1.2231202148113514</v>
      </c>
      <c r="H512" s="35">
        <v>-24.013821991413984</v>
      </c>
      <c r="I512" s="35">
        <v>1.5347210418426914E-3</v>
      </c>
      <c r="J512" s="35">
        <v>1.7501688406902031E-4</v>
      </c>
      <c r="K512" s="35">
        <v>4.0152513552060001E-3</v>
      </c>
      <c r="L512" s="35">
        <v>-64.359763503907104</v>
      </c>
      <c r="M512" s="58" t="s">
        <v>22</v>
      </c>
      <c r="N512" s="7">
        <v>12.25</v>
      </c>
      <c r="O512" s="7" t="s">
        <v>178</v>
      </c>
      <c r="P512" s="7" t="s">
        <v>178</v>
      </c>
    </row>
    <row r="513" spans="1:16" x14ac:dyDescent="0.25">
      <c r="A513" s="2" t="s">
        <v>183</v>
      </c>
      <c r="B513" s="2" t="s">
        <v>186</v>
      </c>
      <c r="C513" s="6" t="s">
        <v>133</v>
      </c>
      <c r="D513" s="2" t="s">
        <v>114</v>
      </c>
      <c r="E513" s="2"/>
      <c r="F513" s="35">
        <v>5.99765579088207</v>
      </c>
      <c r="G513" s="35">
        <v>4.4997295382070872</v>
      </c>
      <c r="H513" s="35">
        <v>-5.6501994908912572</v>
      </c>
      <c r="I513" s="35">
        <v>1.5347210418426914E-3</v>
      </c>
      <c r="J513" s="35">
        <v>1.7501688406902031E-4</v>
      </c>
      <c r="K513" s="35">
        <v>-5.189477188790384E-3</v>
      </c>
      <c r="L513" s="35">
        <v>24.597531608191968</v>
      </c>
      <c r="M513" s="58" t="s">
        <v>24</v>
      </c>
      <c r="N513" s="7">
        <v>12.25</v>
      </c>
      <c r="O513" s="7" t="s">
        <v>178</v>
      </c>
      <c r="P513" s="7" t="s">
        <v>178</v>
      </c>
    </row>
    <row r="514" spans="1:16" x14ac:dyDescent="0.25">
      <c r="A514" s="2" t="s">
        <v>183</v>
      </c>
      <c r="B514" s="2" t="s">
        <v>186</v>
      </c>
      <c r="C514" s="6" t="s">
        <v>133</v>
      </c>
      <c r="D514" s="2" t="s">
        <v>114</v>
      </c>
      <c r="E514" s="2"/>
      <c r="F514" s="35">
        <v>11.99531158176414</v>
      </c>
      <c r="G514" s="35">
        <v>7.7763388616028228</v>
      </c>
      <c r="H514" s="35">
        <v>12.71342300963147</v>
      </c>
      <c r="I514" s="35">
        <v>1.5347210418426914E-3</v>
      </c>
      <c r="J514" s="35">
        <v>1.7501688406902031E-4</v>
      </c>
      <c r="K514" s="35">
        <v>-1.4394205732786765E-2</v>
      </c>
      <c r="L514" s="35">
        <v>3.4161398884586465</v>
      </c>
      <c r="M514" s="58" t="s">
        <v>23</v>
      </c>
      <c r="N514" s="7">
        <v>12.25</v>
      </c>
      <c r="O514" s="7" t="s">
        <v>178</v>
      </c>
      <c r="P514" s="7" t="s">
        <v>178</v>
      </c>
    </row>
    <row r="515" spans="1:16" x14ac:dyDescent="0.25">
      <c r="A515" s="2" t="s">
        <v>183</v>
      </c>
      <c r="B515" s="2" t="s">
        <v>186</v>
      </c>
      <c r="C515" s="6" t="s">
        <v>133</v>
      </c>
      <c r="D515" s="2" t="s">
        <v>115</v>
      </c>
      <c r="E515" s="2"/>
      <c r="F515" s="35">
        <v>0</v>
      </c>
      <c r="G515" s="35">
        <v>-17.151004104362023</v>
      </c>
      <c r="H515" s="35">
        <v>-5.7350842660984513</v>
      </c>
      <c r="I515" s="35">
        <v>3.5306098311533988E-4</v>
      </c>
      <c r="J515" s="35">
        <v>9.3300751437513821E-5</v>
      </c>
      <c r="K515" s="35">
        <v>-5.0585350725512116E-4</v>
      </c>
      <c r="L515" s="35">
        <v>-19.132231034569131</v>
      </c>
      <c r="M515" s="58" t="s">
        <v>22</v>
      </c>
      <c r="N515" s="7">
        <v>12.25</v>
      </c>
      <c r="O515" s="7" t="s">
        <v>178</v>
      </c>
      <c r="P515" s="7" t="s">
        <v>178</v>
      </c>
    </row>
    <row r="516" spans="1:16" x14ac:dyDescent="0.25">
      <c r="A516" s="2" t="s">
        <v>183</v>
      </c>
      <c r="B516" s="2" t="s">
        <v>186</v>
      </c>
      <c r="C516" s="6" t="s">
        <v>133</v>
      </c>
      <c r="D516" s="2" t="s">
        <v>115</v>
      </c>
      <c r="E516" s="2"/>
      <c r="F516" s="35">
        <v>5.99765579088207</v>
      </c>
      <c r="G516" s="35">
        <v>-13.874394780966286</v>
      </c>
      <c r="H516" s="35">
        <v>-1.6542792659822911</v>
      </c>
      <c r="I516" s="35">
        <v>3.5306098311533988E-4</v>
      </c>
      <c r="J516" s="35">
        <v>9.3300751437513821E-5</v>
      </c>
      <c r="K516" s="35">
        <v>-2.6233917571713561E-3</v>
      </c>
      <c r="L516" s="35">
        <v>3.027198454989291</v>
      </c>
      <c r="M516" s="58" t="s">
        <v>24</v>
      </c>
      <c r="N516" s="7">
        <v>12.25</v>
      </c>
      <c r="O516" s="7" t="s">
        <v>178</v>
      </c>
      <c r="P516" s="7" t="s">
        <v>178</v>
      </c>
    </row>
    <row r="517" spans="1:16" x14ac:dyDescent="0.25">
      <c r="A517" s="2" t="s">
        <v>183</v>
      </c>
      <c r="B517" s="2" t="s">
        <v>186</v>
      </c>
      <c r="C517" s="6" t="s">
        <v>133</v>
      </c>
      <c r="D517" s="2" t="s">
        <v>115</v>
      </c>
      <c r="E517" s="2"/>
      <c r="F517" s="35">
        <v>11.99531158176414</v>
      </c>
      <c r="G517" s="35">
        <v>-10.59778545757055</v>
      </c>
      <c r="H517" s="35">
        <v>2.4265257341338691</v>
      </c>
      <c r="I517" s="35">
        <v>3.5306098311533988E-4</v>
      </c>
      <c r="J517" s="35">
        <v>9.3300751437513821E-5</v>
      </c>
      <c r="K517" s="35">
        <v>-4.74093000708759E-3</v>
      </c>
      <c r="L517" s="35">
        <v>0.7113642041405237</v>
      </c>
      <c r="M517" s="58" t="s">
        <v>23</v>
      </c>
      <c r="N517" s="7">
        <v>12.25</v>
      </c>
      <c r="O517" s="7" t="s">
        <v>178</v>
      </c>
      <c r="P517" s="7" t="s">
        <v>178</v>
      </c>
    </row>
    <row r="518" spans="1:16" x14ac:dyDescent="0.25">
      <c r="A518" s="2" t="s">
        <v>183</v>
      </c>
      <c r="B518" s="2" t="s">
        <v>186</v>
      </c>
      <c r="C518" s="6" t="s">
        <v>133</v>
      </c>
      <c r="D518" s="2" t="s">
        <v>116</v>
      </c>
      <c r="E518" s="2"/>
      <c r="F518" s="35">
        <v>0</v>
      </c>
      <c r="G518" s="35">
        <v>5.6709879063629405</v>
      </c>
      <c r="H518" s="35">
        <v>-45.647587858151226</v>
      </c>
      <c r="I518" s="35">
        <v>0.93266182048266699</v>
      </c>
      <c r="J518" s="35">
        <v>2.0742567053904257E-4</v>
      </c>
      <c r="K518" s="35">
        <v>5.7985041502776324</v>
      </c>
      <c r="L518" s="35">
        <v>-112.35769923326259</v>
      </c>
      <c r="M518" s="58" t="s">
        <v>22</v>
      </c>
      <c r="N518" s="7">
        <v>12.25</v>
      </c>
      <c r="O518" s="7" t="s">
        <v>178</v>
      </c>
      <c r="P518" s="7" t="s">
        <v>178</v>
      </c>
    </row>
    <row r="519" spans="1:16" x14ac:dyDescent="0.25">
      <c r="A519" s="2" t="s">
        <v>183</v>
      </c>
      <c r="B519" s="2" t="s">
        <v>186</v>
      </c>
      <c r="C519" s="6" t="s">
        <v>133</v>
      </c>
      <c r="D519" s="2" t="s">
        <v>116</v>
      </c>
      <c r="E519" s="2"/>
      <c r="F519" s="35">
        <v>5.99765579088207</v>
      </c>
      <c r="G519" s="35">
        <v>8.9475972297586761</v>
      </c>
      <c r="H519" s="35">
        <v>-9.9405441071348175</v>
      </c>
      <c r="I519" s="35">
        <v>0.93266182048266699</v>
      </c>
      <c r="J519" s="35">
        <v>2.0742567053904257E-4</v>
      </c>
      <c r="K519" s="35">
        <v>0.20471958172515212</v>
      </c>
      <c r="L519" s="35">
        <v>54.341541559694647</v>
      </c>
      <c r="M519" s="58" t="s">
        <v>24</v>
      </c>
      <c r="N519" s="7">
        <v>12.25</v>
      </c>
      <c r="O519" s="7" t="s">
        <v>178</v>
      </c>
      <c r="P519" s="7" t="s">
        <v>178</v>
      </c>
    </row>
    <row r="520" spans="1:16" x14ac:dyDescent="0.25">
      <c r="A520" s="2" t="s">
        <v>183</v>
      </c>
      <c r="B520" s="2" t="s">
        <v>186</v>
      </c>
      <c r="C520" s="6" t="s">
        <v>133</v>
      </c>
      <c r="D520" s="2" t="s">
        <v>116</v>
      </c>
      <c r="E520" s="2"/>
      <c r="F520" s="35">
        <v>11.99531158176414</v>
      </c>
      <c r="G520" s="35">
        <v>12.224206553154412</v>
      </c>
      <c r="H520" s="35">
        <v>25.766499643881584</v>
      </c>
      <c r="I520" s="35">
        <v>0.93266182048266699</v>
      </c>
      <c r="J520" s="35">
        <v>2.0742567053904257E-4</v>
      </c>
      <c r="K520" s="35">
        <v>-5.3890649868273295</v>
      </c>
      <c r="L520" s="35">
        <v>6.8822246240889271</v>
      </c>
      <c r="M520" s="58" t="s">
        <v>23</v>
      </c>
      <c r="N520" s="7">
        <v>12.25</v>
      </c>
      <c r="O520" s="7" t="s">
        <v>178</v>
      </c>
      <c r="P520" s="7" t="s">
        <v>178</v>
      </c>
    </row>
    <row r="521" spans="1:16" x14ac:dyDescent="0.25">
      <c r="A521" s="2" t="s">
        <v>183</v>
      </c>
      <c r="B521" s="2" t="s">
        <v>186</v>
      </c>
      <c r="C521" s="6" t="s">
        <v>133</v>
      </c>
      <c r="D521" s="2" t="s">
        <v>117</v>
      </c>
      <c r="E521" s="2"/>
      <c r="F521" s="35">
        <v>0</v>
      </c>
      <c r="G521" s="35">
        <v>-42.999534707918258</v>
      </c>
      <c r="H521" s="35">
        <v>-27.295225600996424</v>
      </c>
      <c r="I521" s="35">
        <v>2.3305952407244779</v>
      </c>
      <c r="J521" s="35">
        <v>1.2685318803047703E-4</v>
      </c>
      <c r="K521" s="35">
        <v>14.030954133861508</v>
      </c>
      <c r="L521" s="35">
        <v>-66.218740654231695</v>
      </c>
      <c r="M521" s="58" t="s">
        <v>22</v>
      </c>
      <c r="N521" s="7">
        <v>12.25</v>
      </c>
      <c r="O521" s="7" t="s">
        <v>178</v>
      </c>
      <c r="P521" s="7" t="s">
        <v>178</v>
      </c>
    </row>
    <row r="522" spans="1:16" x14ac:dyDescent="0.25">
      <c r="A522" s="2" t="s">
        <v>183</v>
      </c>
      <c r="B522" s="2" t="s">
        <v>186</v>
      </c>
      <c r="C522" s="6" t="s">
        <v>133</v>
      </c>
      <c r="D522" s="2" t="s">
        <v>117</v>
      </c>
      <c r="E522" s="2"/>
      <c r="F522" s="35">
        <v>5.99765579088207</v>
      </c>
      <c r="G522" s="35">
        <v>-39.722925384522526</v>
      </c>
      <c r="H522" s="35">
        <v>-5.8709993503865814</v>
      </c>
      <c r="I522" s="35">
        <v>2.3305952407244779</v>
      </c>
      <c r="J522" s="35">
        <v>1.2685318803047703E-4</v>
      </c>
      <c r="K522" s="35">
        <v>5.2846092128157489E-2</v>
      </c>
      <c r="L522" s="35">
        <v>33.241059916448137</v>
      </c>
      <c r="M522" s="58" t="s">
        <v>24</v>
      </c>
      <c r="N522" s="7">
        <v>12.25</v>
      </c>
      <c r="O522" s="7" t="s">
        <v>178</v>
      </c>
      <c r="P522" s="7" t="s">
        <v>178</v>
      </c>
    </row>
    <row r="523" spans="1:16" x14ac:dyDescent="0.25">
      <c r="A523" s="2" t="s">
        <v>183</v>
      </c>
      <c r="B523" s="2" t="s">
        <v>186</v>
      </c>
      <c r="C523" s="6" t="s">
        <v>133</v>
      </c>
      <c r="D523" s="2" t="s">
        <v>117</v>
      </c>
      <c r="E523" s="2"/>
      <c r="F523" s="35">
        <v>11.99531158176414</v>
      </c>
      <c r="G523" s="35">
        <v>-36.446316061126787</v>
      </c>
      <c r="H523" s="35">
        <v>15.553226900223262</v>
      </c>
      <c r="I523" s="35">
        <v>2.3305952407244779</v>
      </c>
      <c r="J523" s="35">
        <v>1.2685318803047703E-4</v>
      </c>
      <c r="K523" s="35">
        <v>-13.925261949605195</v>
      </c>
      <c r="L523" s="35">
        <v>4.2057258499902037</v>
      </c>
      <c r="M523" s="58" t="s">
        <v>23</v>
      </c>
      <c r="N523" s="7">
        <v>12.25</v>
      </c>
      <c r="O523" s="7" t="s">
        <v>178</v>
      </c>
      <c r="P523" s="7" t="s">
        <v>178</v>
      </c>
    </row>
    <row r="524" spans="1:16" x14ac:dyDescent="0.25">
      <c r="A524" s="2" t="s">
        <v>183</v>
      </c>
      <c r="B524" s="2" t="s">
        <v>186</v>
      </c>
      <c r="C524" s="6" t="s">
        <v>133</v>
      </c>
      <c r="D524" s="2" t="s">
        <v>118</v>
      </c>
      <c r="E524" s="2"/>
      <c r="F524" s="35">
        <v>0</v>
      </c>
      <c r="G524" s="35">
        <v>5.7328030320386087</v>
      </c>
      <c r="H524" s="35">
        <v>-45.648056551457621</v>
      </c>
      <c r="I524" s="35">
        <v>-0.92947686841667188</v>
      </c>
      <c r="J524" s="35">
        <v>2.3050211387718616E-4</v>
      </c>
      <c r="K524" s="35">
        <v>-5.792592006520624</v>
      </c>
      <c r="L524" s="35">
        <v>-112.36338075011918</v>
      </c>
      <c r="M524" s="58" t="s">
        <v>22</v>
      </c>
      <c r="N524" s="7">
        <v>12.25</v>
      </c>
      <c r="O524" s="7" t="s">
        <v>178</v>
      </c>
      <c r="P524" s="7" t="s">
        <v>178</v>
      </c>
    </row>
    <row r="525" spans="1:16" x14ac:dyDescent="0.25">
      <c r="A525" s="2" t="s">
        <v>183</v>
      </c>
      <c r="B525" s="2" t="s">
        <v>186</v>
      </c>
      <c r="C525" s="6" t="s">
        <v>133</v>
      </c>
      <c r="D525" s="2" t="s">
        <v>118</v>
      </c>
      <c r="E525" s="2"/>
      <c r="F525" s="35">
        <v>5.99765579088207</v>
      </c>
      <c r="G525" s="35">
        <v>9.0094123554343444</v>
      </c>
      <c r="H525" s="35">
        <v>-9.9410128004412162</v>
      </c>
      <c r="I525" s="35">
        <v>-0.92947686841667188</v>
      </c>
      <c r="J525" s="35">
        <v>2.3050211387718616E-4</v>
      </c>
      <c r="K525" s="35">
        <v>-0.21790968417044138</v>
      </c>
      <c r="L525" s="35">
        <v>54.33867110396131</v>
      </c>
      <c r="M525" s="58" t="s">
        <v>24</v>
      </c>
      <c r="N525" s="7">
        <v>12.25</v>
      </c>
      <c r="O525" s="7" t="s">
        <v>178</v>
      </c>
      <c r="P525" s="7" t="s">
        <v>178</v>
      </c>
    </row>
    <row r="526" spans="1:16" x14ac:dyDescent="0.25">
      <c r="A526" s="2" t="s">
        <v>183</v>
      </c>
      <c r="B526" s="2" t="s">
        <v>186</v>
      </c>
      <c r="C526" s="6" t="s">
        <v>133</v>
      </c>
      <c r="D526" s="2" t="s">
        <v>118</v>
      </c>
      <c r="E526" s="2"/>
      <c r="F526" s="35">
        <v>11.99531158176414</v>
      </c>
      <c r="G526" s="35">
        <v>12.28602167883008</v>
      </c>
      <c r="H526" s="35">
        <v>25.766030950575189</v>
      </c>
      <c r="I526" s="35">
        <v>-0.92947686841667188</v>
      </c>
      <c r="J526" s="35">
        <v>2.3050211387718616E-4</v>
      </c>
      <c r="K526" s="35">
        <v>5.3567726381797405</v>
      </c>
      <c r="L526" s="35">
        <v>6.8821652294788755</v>
      </c>
      <c r="M526" s="58" t="s">
        <v>23</v>
      </c>
      <c r="N526" s="7">
        <v>12.25</v>
      </c>
      <c r="O526" s="7" t="s">
        <v>178</v>
      </c>
      <c r="P526" s="7" t="s">
        <v>178</v>
      </c>
    </row>
    <row r="527" spans="1:16" x14ac:dyDescent="0.25">
      <c r="A527" s="2" t="s">
        <v>183</v>
      </c>
      <c r="B527" s="2" t="s">
        <v>186</v>
      </c>
      <c r="C527" s="6" t="s">
        <v>133</v>
      </c>
      <c r="D527" s="2" t="s">
        <v>119</v>
      </c>
      <c r="E527" s="2"/>
      <c r="F527" s="35">
        <v>0</v>
      </c>
      <c r="G527" s="35">
        <v>-42.864415603031659</v>
      </c>
      <c r="H527" s="35">
        <v>-27.298037844241669</v>
      </c>
      <c r="I527" s="35">
        <v>-2.3299972669743791</v>
      </c>
      <c r="J527" s="35">
        <v>1.6255822938211767E-4</v>
      </c>
      <c r="K527" s="35">
        <v>-14.034366440087938</v>
      </c>
      <c r="L527" s="35">
        <v>-66.252898184868357</v>
      </c>
      <c r="M527" s="58" t="s">
        <v>22</v>
      </c>
      <c r="N527" s="7">
        <v>12.25</v>
      </c>
      <c r="O527" s="7" t="s">
        <v>178</v>
      </c>
      <c r="P527" s="7" t="s">
        <v>178</v>
      </c>
    </row>
    <row r="528" spans="1:16" x14ac:dyDescent="0.25">
      <c r="A528" s="2" t="s">
        <v>183</v>
      </c>
      <c r="B528" s="2" t="s">
        <v>186</v>
      </c>
      <c r="C528" s="6" t="s">
        <v>133</v>
      </c>
      <c r="D528" s="2" t="s">
        <v>119</v>
      </c>
      <c r="E528" s="2"/>
      <c r="F528" s="35">
        <v>5.99765579088207</v>
      </c>
      <c r="G528" s="35">
        <v>-39.58780627963592</v>
      </c>
      <c r="H528" s="35">
        <v>-5.8738115936318263</v>
      </c>
      <c r="I528" s="35">
        <v>-2.3299972669743791</v>
      </c>
      <c r="J528" s="35">
        <v>1.6255822938211767E-4</v>
      </c>
      <c r="K528" s="35">
        <v>-5.9844839079655175E-2</v>
      </c>
      <c r="L528" s="35">
        <v>33.223769252796671</v>
      </c>
      <c r="M528" s="58" t="s">
        <v>24</v>
      </c>
      <c r="N528" s="7">
        <v>12.25</v>
      </c>
      <c r="O528" s="7" t="s">
        <v>178</v>
      </c>
      <c r="P528" s="7" t="s">
        <v>178</v>
      </c>
    </row>
    <row r="529" spans="1:16" x14ac:dyDescent="0.25">
      <c r="A529" s="2" t="s">
        <v>183</v>
      </c>
      <c r="B529" s="2" t="s">
        <v>186</v>
      </c>
      <c r="C529" s="6" t="s">
        <v>133</v>
      </c>
      <c r="D529" s="2" t="s">
        <v>119</v>
      </c>
      <c r="E529" s="2"/>
      <c r="F529" s="35">
        <v>11.99531158176414</v>
      </c>
      <c r="G529" s="35">
        <v>-36.311196956240188</v>
      </c>
      <c r="H529" s="35">
        <v>15.550414656978017</v>
      </c>
      <c r="I529" s="35">
        <v>-2.3299972669743791</v>
      </c>
      <c r="J529" s="35">
        <v>1.6255822938211767E-4</v>
      </c>
      <c r="K529" s="35">
        <v>13.914676761928627</v>
      </c>
      <c r="L529" s="35">
        <v>4.2053020533239538</v>
      </c>
      <c r="M529" s="58" t="s">
        <v>23</v>
      </c>
      <c r="N529" s="7">
        <v>12.25</v>
      </c>
      <c r="O529" s="7" t="s">
        <v>178</v>
      </c>
      <c r="P529" s="7" t="s">
        <v>178</v>
      </c>
    </row>
    <row r="530" spans="1:16" x14ac:dyDescent="0.25">
      <c r="A530" s="2" t="s">
        <v>183</v>
      </c>
      <c r="B530" s="2" t="s">
        <v>186</v>
      </c>
      <c r="C530" s="6" t="s">
        <v>133</v>
      </c>
      <c r="D530" s="2" t="s">
        <v>120</v>
      </c>
      <c r="E530" s="2"/>
      <c r="F530" s="35">
        <v>0</v>
      </c>
      <c r="G530" s="35">
        <v>47.507939707610156</v>
      </c>
      <c r="H530" s="35">
        <v>26.601557074781137</v>
      </c>
      <c r="I530" s="35">
        <v>2.1583732909138424E-3</v>
      </c>
      <c r="J530" s="35">
        <v>-2.1356011779539465E-4</v>
      </c>
      <c r="K530" s="35">
        <v>1.8376757349189879E-2</v>
      </c>
      <c r="L530" s="35">
        <v>70.720601862638702</v>
      </c>
      <c r="M530" s="58" t="s">
        <v>22</v>
      </c>
      <c r="N530" s="7">
        <v>12.25</v>
      </c>
      <c r="O530" s="7" t="s">
        <v>178</v>
      </c>
      <c r="P530" s="7" t="s">
        <v>178</v>
      </c>
    </row>
    <row r="531" spans="1:16" x14ac:dyDescent="0.25">
      <c r="A531" s="2" t="s">
        <v>183</v>
      </c>
      <c r="B531" s="2" t="s">
        <v>186</v>
      </c>
      <c r="C531" s="6" t="s">
        <v>133</v>
      </c>
      <c r="D531" s="2" t="s">
        <v>120</v>
      </c>
      <c r="E531" s="2"/>
      <c r="F531" s="35">
        <v>5.99765579088207</v>
      </c>
      <c r="G531" s="35">
        <v>50.784549031005895</v>
      </c>
      <c r="H531" s="35">
        <v>6.1975320742003301</v>
      </c>
      <c r="I531" s="35">
        <v>2.1583732909138424E-3</v>
      </c>
      <c r="J531" s="35">
        <v>-2.1356011779539465E-4</v>
      </c>
      <c r="K531" s="35">
        <v>5.4315772820552844E-3</v>
      </c>
      <c r="L531" s="35">
        <v>-27.638221622384251</v>
      </c>
      <c r="M531" s="58" t="s">
        <v>24</v>
      </c>
      <c r="N531" s="7">
        <v>12.25</v>
      </c>
      <c r="O531" s="7" t="s">
        <v>178</v>
      </c>
      <c r="P531" s="7" t="s">
        <v>178</v>
      </c>
    </row>
    <row r="532" spans="1:16" x14ac:dyDescent="0.25">
      <c r="A532" s="2" t="s">
        <v>183</v>
      </c>
      <c r="B532" s="2" t="s">
        <v>186</v>
      </c>
      <c r="C532" s="6" t="s">
        <v>133</v>
      </c>
      <c r="D532" s="2" t="s">
        <v>120</v>
      </c>
      <c r="E532" s="2"/>
      <c r="F532" s="35">
        <v>11.99531158176414</v>
      </c>
      <c r="G532" s="35">
        <v>54.061158354401627</v>
      </c>
      <c r="H532" s="35">
        <v>-14.206492926380475</v>
      </c>
      <c r="I532" s="35">
        <v>2.1583732909138424E-3</v>
      </c>
      <c r="J532" s="35">
        <v>-2.1356011779539465E-4</v>
      </c>
      <c r="K532" s="35">
        <v>-7.5136027850793126E-3</v>
      </c>
      <c r="L532" s="35">
        <v>-3.6207264053712365</v>
      </c>
      <c r="M532" s="58" t="s">
        <v>23</v>
      </c>
      <c r="N532" s="7">
        <v>12.25</v>
      </c>
      <c r="O532" s="7" t="s">
        <v>178</v>
      </c>
      <c r="P532" s="7" t="s">
        <v>178</v>
      </c>
    </row>
    <row r="533" spans="1:16" x14ac:dyDescent="0.25">
      <c r="A533" s="2" t="s">
        <v>183</v>
      </c>
      <c r="B533" s="2" t="s">
        <v>186</v>
      </c>
      <c r="C533" s="6" t="s">
        <v>133</v>
      </c>
      <c r="D533" s="2" t="s">
        <v>121</v>
      </c>
      <c r="E533" s="2"/>
      <c r="F533" s="35">
        <v>0</v>
      </c>
      <c r="G533" s="35">
        <v>27.107329669866502</v>
      </c>
      <c r="H533" s="35">
        <v>46.910425771161449</v>
      </c>
      <c r="I533" s="35">
        <v>8.3862964446672101E-4</v>
      </c>
      <c r="J533" s="35">
        <v>-3.042854911362133E-4</v>
      </c>
      <c r="K533" s="35">
        <v>1.3311142474289887E-2</v>
      </c>
      <c r="L533" s="35">
        <v>120.96305094452282</v>
      </c>
      <c r="M533" s="58" t="s">
        <v>22</v>
      </c>
      <c r="N533" s="7">
        <v>12.25</v>
      </c>
      <c r="O533" s="7" t="s">
        <v>178</v>
      </c>
      <c r="P533" s="7" t="s">
        <v>178</v>
      </c>
    </row>
    <row r="534" spans="1:16" x14ac:dyDescent="0.25">
      <c r="A534" s="2" t="s">
        <v>183</v>
      </c>
      <c r="B534" s="2" t="s">
        <v>186</v>
      </c>
      <c r="C534" s="6" t="s">
        <v>133</v>
      </c>
      <c r="D534" s="2" t="s">
        <v>121</v>
      </c>
      <c r="E534" s="2"/>
      <c r="F534" s="35">
        <v>5.99765579088207</v>
      </c>
      <c r="G534" s="35">
        <v>30.383938993262237</v>
      </c>
      <c r="H534" s="35">
        <v>10.636603547906688</v>
      </c>
      <c r="I534" s="35">
        <v>8.3862964446672101E-4</v>
      </c>
      <c r="J534" s="35">
        <v>-3.042854911362133E-4</v>
      </c>
      <c r="K534" s="35">
        <v>8.2813305307486863E-3</v>
      </c>
      <c r="L534" s="35">
        <v>-51.610585877261791</v>
      </c>
      <c r="M534" s="58" t="s">
        <v>24</v>
      </c>
      <c r="N534" s="7">
        <v>12.25</v>
      </c>
      <c r="O534" s="7" t="s">
        <v>178</v>
      </c>
      <c r="P534" s="7" t="s">
        <v>178</v>
      </c>
    </row>
    <row r="535" spans="1:16" x14ac:dyDescent="0.25">
      <c r="A535" s="2" t="s">
        <v>183</v>
      </c>
      <c r="B535" s="2" t="s">
        <v>186</v>
      </c>
      <c r="C535" s="6" t="s">
        <v>133</v>
      </c>
      <c r="D535" s="2" t="s">
        <v>121</v>
      </c>
      <c r="E535" s="2"/>
      <c r="F535" s="35">
        <v>11.99531158176414</v>
      </c>
      <c r="G535" s="35">
        <v>33.660548316657973</v>
      </c>
      <c r="H535" s="35">
        <v>-25.637218675348066</v>
      </c>
      <c r="I535" s="35">
        <v>8.3862964446672101E-4</v>
      </c>
      <c r="J535" s="35">
        <v>-3.042854911362133E-4</v>
      </c>
      <c r="K535" s="35">
        <v>3.2515185872074859E-3</v>
      </c>
      <c r="L535" s="35">
        <v>-6.6263227843158115</v>
      </c>
      <c r="M535" s="58" t="s">
        <v>23</v>
      </c>
      <c r="N535" s="7">
        <v>12.25</v>
      </c>
      <c r="O535" s="7" t="s">
        <v>178</v>
      </c>
      <c r="P535" s="7" t="s">
        <v>178</v>
      </c>
    </row>
    <row r="536" spans="1:16" x14ac:dyDescent="0.25">
      <c r="A536" s="2" t="s">
        <v>183</v>
      </c>
      <c r="B536" s="2" t="s">
        <v>186</v>
      </c>
      <c r="C536" s="6" t="s">
        <v>133</v>
      </c>
      <c r="D536" s="2" t="s">
        <v>122</v>
      </c>
      <c r="E536" s="2"/>
      <c r="F536" s="35">
        <v>0</v>
      </c>
      <c r="G536" s="35">
        <v>6.7681290555994336</v>
      </c>
      <c r="H536" s="35">
        <v>-26.68991959850468</v>
      </c>
      <c r="I536" s="35">
        <v>1.8498012089811888E-3</v>
      </c>
      <c r="J536" s="35">
        <v>1.9279949813971818E-4</v>
      </c>
      <c r="K536" s="35">
        <v>5.3204014029091164E-3</v>
      </c>
      <c r="L536" s="35">
        <v>-71.619725763628338</v>
      </c>
      <c r="M536" s="58" t="s">
        <v>22</v>
      </c>
      <c r="N536" s="7">
        <v>12.25</v>
      </c>
      <c r="O536" s="7" t="s">
        <v>178</v>
      </c>
      <c r="P536" s="7" t="s">
        <v>178</v>
      </c>
    </row>
    <row r="537" spans="1:16" x14ac:dyDescent="0.25">
      <c r="A537" s="2" t="s">
        <v>183</v>
      </c>
      <c r="B537" s="2" t="s">
        <v>186</v>
      </c>
      <c r="C537" s="6" t="s">
        <v>133</v>
      </c>
      <c r="D537" s="2" t="s">
        <v>122</v>
      </c>
      <c r="E537" s="2"/>
      <c r="F537" s="35">
        <v>5.99765579088207</v>
      </c>
      <c r="G537" s="35">
        <v>10.044738378995168</v>
      </c>
      <c r="H537" s="35">
        <v>-6.2858945979238783</v>
      </c>
      <c r="I537" s="35">
        <v>1.8498012089811888E-3</v>
      </c>
      <c r="J537" s="35">
        <v>1.9279949813971818E-4</v>
      </c>
      <c r="K537" s="35">
        <v>-5.7740695301175633E-3</v>
      </c>
      <c r="L537" s="35">
        <v>27.269065723502134</v>
      </c>
      <c r="M537" s="58" t="s">
        <v>24</v>
      </c>
      <c r="N537" s="7">
        <v>12.25</v>
      </c>
      <c r="O537" s="7" t="s">
        <v>178</v>
      </c>
      <c r="P537" s="7" t="s">
        <v>178</v>
      </c>
    </row>
    <row r="538" spans="1:16" x14ac:dyDescent="0.25">
      <c r="A538" s="2" t="s">
        <v>183</v>
      </c>
      <c r="B538" s="2" t="s">
        <v>186</v>
      </c>
      <c r="C538" s="6" t="s">
        <v>133</v>
      </c>
      <c r="D538" s="2" t="s">
        <v>122</v>
      </c>
      <c r="E538" s="2"/>
      <c r="F538" s="35">
        <v>11.99531158176414</v>
      </c>
      <c r="G538" s="35">
        <v>13.321347702390904</v>
      </c>
      <c r="H538" s="35">
        <v>14.118130402656925</v>
      </c>
      <c r="I538" s="35">
        <v>1.8498012089811888E-3</v>
      </c>
      <c r="J538" s="35">
        <v>1.9279949813971818E-4</v>
      </c>
      <c r="K538" s="35">
        <v>-1.6868540463144243E-2</v>
      </c>
      <c r="L538" s="35">
        <v>3.7815385085966158</v>
      </c>
      <c r="M538" s="58" t="s">
        <v>23</v>
      </c>
      <c r="N538" s="7">
        <v>12.25</v>
      </c>
      <c r="O538" s="7" t="s">
        <v>178</v>
      </c>
      <c r="P538" s="7" t="s">
        <v>178</v>
      </c>
    </row>
    <row r="539" spans="1:16" x14ac:dyDescent="0.25">
      <c r="A539" s="2" t="s">
        <v>183</v>
      </c>
      <c r="B539" s="2" t="s">
        <v>186</v>
      </c>
      <c r="C539" s="6" t="s">
        <v>133</v>
      </c>
      <c r="D539" s="2" t="s">
        <v>123</v>
      </c>
      <c r="E539" s="2"/>
      <c r="F539" s="35">
        <v>0</v>
      </c>
      <c r="G539" s="35">
        <v>-13.647564632370978</v>
      </c>
      <c r="H539" s="35">
        <v>-6.3802110148207607</v>
      </c>
      <c r="I539" s="35">
        <v>5.3684558817302015E-4</v>
      </c>
      <c r="J539" s="35">
        <v>1.0200379521582204E-4</v>
      </c>
      <c r="K539" s="35">
        <v>2.9695155573009323E-4</v>
      </c>
      <c r="L539" s="35">
        <v>-21.366911908808369</v>
      </c>
      <c r="M539" s="58" t="s">
        <v>22</v>
      </c>
      <c r="N539" s="7">
        <v>12.25</v>
      </c>
      <c r="O539" s="7" t="s">
        <v>178</v>
      </c>
      <c r="P539" s="7" t="s">
        <v>178</v>
      </c>
    </row>
    <row r="540" spans="1:16" x14ac:dyDescent="0.25">
      <c r="A540" s="2" t="s">
        <v>183</v>
      </c>
      <c r="B540" s="2" t="s">
        <v>186</v>
      </c>
      <c r="C540" s="6" t="s">
        <v>133</v>
      </c>
      <c r="D540" s="2" t="s">
        <v>123</v>
      </c>
      <c r="E540" s="2"/>
      <c r="F540" s="35">
        <v>5.99765579088207</v>
      </c>
      <c r="G540" s="35">
        <v>-10.370955308975242</v>
      </c>
      <c r="H540" s="35">
        <v>-1.8459832369139166</v>
      </c>
      <c r="I540" s="35">
        <v>5.3684558817302015E-4</v>
      </c>
      <c r="J540" s="35">
        <v>1.0200379521582204E-4</v>
      </c>
      <c r="K540" s="35">
        <v>-2.9228634949853109E-3</v>
      </c>
      <c r="L540" s="35">
        <v>3.3020288866102709</v>
      </c>
      <c r="M540" s="58" t="s">
        <v>24</v>
      </c>
      <c r="N540" s="7">
        <v>12.25</v>
      </c>
      <c r="O540" s="7" t="s">
        <v>178</v>
      </c>
      <c r="P540" s="7" t="s">
        <v>178</v>
      </c>
    </row>
    <row r="541" spans="1:16" x14ac:dyDescent="0.25">
      <c r="A541" s="2" t="s">
        <v>183</v>
      </c>
      <c r="B541" s="2" t="s">
        <v>186</v>
      </c>
      <c r="C541" s="6" t="s">
        <v>133</v>
      </c>
      <c r="D541" s="2" t="s">
        <v>123</v>
      </c>
      <c r="E541" s="2"/>
      <c r="F541" s="35">
        <v>11.99531158176414</v>
      </c>
      <c r="G541" s="35">
        <v>-7.0943459855795066</v>
      </c>
      <c r="H541" s="35">
        <v>2.6882445409929279</v>
      </c>
      <c r="I541" s="35">
        <v>5.3684558817302015E-4</v>
      </c>
      <c r="J541" s="35">
        <v>1.0200379521582204E-4</v>
      </c>
      <c r="K541" s="35">
        <v>-6.1426785457007159E-3</v>
      </c>
      <c r="L541" s="35">
        <v>0.77623219268759036</v>
      </c>
      <c r="M541" s="58" t="s">
        <v>23</v>
      </c>
      <c r="N541" s="7">
        <v>12.25</v>
      </c>
      <c r="O541" s="7" t="s">
        <v>178</v>
      </c>
      <c r="P541" s="7" t="s">
        <v>178</v>
      </c>
    </row>
    <row r="542" spans="1:16" x14ac:dyDescent="0.25">
      <c r="A542" s="2" t="s">
        <v>183</v>
      </c>
      <c r="B542" s="2" t="s">
        <v>186</v>
      </c>
      <c r="C542" s="6" t="s">
        <v>133</v>
      </c>
      <c r="D542" s="2" t="s">
        <v>124</v>
      </c>
      <c r="E542" s="2"/>
      <c r="F542" s="35">
        <v>0</v>
      </c>
      <c r="G542" s="35">
        <v>11.710204268434541</v>
      </c>
      <c r="H542" s="35">
        <v>-50.727437228212729</v>
      </c>
      <c r="I542" s="35">
        <v>1.0364354672543417</v>
      </c>
      <c r="J542" s="35">
        <v>2.2880926088418731E-4</v>
      </c>
      <c r="K542" s="35">
        <v>6.4436414002056051</v>
      </c>
      <c r="L542" s="35">
        <v>-124.95076546291223</v>
      </c>
      <c r="M542" s="58" t="s">
        <v>22</v>
      </c>
      <c r="N542" s="7">
        <v>12.25</v>
      </c>
      <c r="O542" s="7" t="s">
        <v>178</v>
      </c>
      <c r="P542" s="7" t="s">
        <v>178</v>
      </c>
    </row>
    <row r="543" spans="1:16" x14ac:dyDescent="0.25">
      <c r="A543" s="2" t="s">
        <v>183</v>
      </c>
      <c r="B543" s="2" t="s">
        <v>186</v>
      </c>
      <c r="C543" s="6" t="s">
        <v>133</v>
      </c>
      <c r="D543" s="2" t="s">
        <v>124</v>
      </c>
      <c r="E543" s="2"/>
      <c r="F543" s="35">
        <v>5.99765579088207</v>
      </c>
      <c r="G543" s="35">
        <v>14.986813591830277</v>
      </c>
      <c r="H543" s="35">
        <v>-11.052944171527836</v>
      </c>
      <c r="I543" s="35">
        <v>1.0364354672543417</v>
      </c>
      <c r="J543" s="35">
        <v>2.2880926088418731E-4</v>
      </c>
      <c r="K543" s="35">
        <v>0.22745821815204079</v>
      </c>
      <c r="L543" s="35">
        <v>60.317965669616214</v>
      </c>
      <c r="M543" s="58" t="s">
        <v>24</v>
      </c>
      <c r="N543" s="7">
        <v>12.25</v>
      </c>
      <c r="O543" s="7" t="s">
        <v>178</v>
      </c>
      <c r="P543" s="7" t="s">
        <v>178</v>
      </c>
    </row>
    <row r="544" spans="1:16" x14ac:dyDescent="0.25">
      <c r="A544" s="2" t="s">
        <v>183</v>
      </c>
      <c r="B544" s="2" t="s">
        <v>186</v>
      </c>
      <c r="C544" s="6" t="s">
        <v>133</v>
      </c>
      <c r="D544" s="2" t="s">
        <v>124</v>
      </c>
      <c r="E544" s="2"/>
      <c r="F544" s="35">
        <v>11.99531158176414</v>
      </c>
      <c r="G544" s="35">
        <v>18.263422915226013</v>
      </c>
      <c r="H544" s="35">
        <v>28.621548885157061</v>
      </c>
      <c r="I544" s="35">
        <v>1.0364354672543417</v>
      </c>
      <c r="J544" s="35">
        <v>2.2880926088418731E-4</v>
      </c>
      <c r="K544" s="35">
        <v>-5.9887249639015234</v>
      </c>
      <c r="L544" s="35">
        <v>7.6327437704080392</v>
      </c>
      <c r="M544" s="58" t="s">
        <v>23</v>
      </c>
      <c r="N544" s="7">
        <v>12.25</v>
      </c>
      <c r="O544" s="7" t="s">
        <v>178</v>
      </c>
      <c r="P544" s="7" t="s">
        <v>178</v>
      </c>
    </row>
    <row r="545" spans="1:16" x14ac:dyDescent="0.25">
      <c r="A545" s="2" t="s">
        <v>183</v>
      </c>
      <c r="B545" s="2" t="s">
        <v>186</v>
      </c>
      <c r="C545" s="6" t="s">
        <v>133</v>
      </c>
      <c r="D545" s="2" t="s">
        <v>125</v>
      </c>
      <c r="E545" s="2"/>
      <c r="F545" s="35">
        <v>0</v>
      </c>
      <c r="G545" s="35">
        <v>-42.368154191877913</v>
      </c>
      <c r="H545" s="35">
        <v>-30.335923609151838</v>
      </c>
      <c r="I545" s="35">
        <v>2.5896948230785757</v>
      </c>
      <c r="J545" s="35">
        <v>1.3928428031911448E-4</v>
      </c>
      <c r="K545" s="35">
        <v>15.590808048632136</v>
      </c>
      <c r="L545" s="35">
        <v>-73.685255930655671</v>
      </c>
      <c r="M545" s="58" t="s">
        <v>22</v>
      </c>
      <c r="N545" s="7">
        <v>12.25</v>
      </c>
      <c r="O545" s="7" t="s">
        <v>178</v>
      </c>
      <c r="P545" s="7" t="s">
        <v>178</v>
      </c>
    </row>
    <row r="546" spans="1:16" x14ac:dyDescent="0.25">
      <c r="A546" s="2" t="s">
        <v>183</v>
      </c>
      <c r="B546" s="2" t="s">
        <v>186</v>
      </c>
      <c r="C546" s="6" t="s">
        <v>133</v>
      </c>
      <c r="D546" s="2" t="s">
        <v>125</v>
      </c>
      <c r="E546" s="2"/>
      <c r="F546" s="35">
        <v>5.99765579088207</v>
      </c>
      <c r="G546" s="35">
        <v>-39.091544868482174</v>
      </c>
      <c r="H546" s="35">
        <v>-6.5312277751409065</v>
      </c>
      <c r="I546" s="35">
        <v>2.5896948230785757</v>
      </c>
      <c r="J546" s="35">
        <v>1.3928428031911448E-4</v>
      </c>
      <c r="K546" s="35">
        <v>5.8709896377602287E-2</v>
      </c>
      <c r="L546" s="35">
        <v>36.872986066008991</v>
      </c>
      <c r="M546" s="58" t="s">
        <v>24</v>
      </c>
      <c r="N546" s="7">
        <v>12.25</v>
      </c>
      <c r="O546" s="7" t="s">
        <v>178</v>
      </c>
      <c r="P546" s="7" t="s">
        <v>178</v>
      </c>
    </row>
    <row r="547" spans="1:16" x14ac:dyDescent="0.25">
      <c r="A547" s="2" t="s">
        <v>183</v>
      </c>
      <c r="B547" s="2" t="s">
        <v>186</v>
      </c>
      <c r="C547" s="6" t="s">
        <v>133</v>
      </c>
      <c r="D547" s="2" t="s">
        <v>125</v>
      </c>
      <c r="E547" s="2"/>
      <c r="F547" s="35">
        <v>11.99531158176414</v>
      </c>
      <c r="G547" s="35">
        <v>-35.814935545086442</v>
      </c>
      <c r="H547" s="35">
        <v>17.273468058870034</v>
      </c>
      <c r="I547" s="35">
        <v>2.5896948230785757</v>
      </c>
      <c r="J547" s="35">
        <v>1.3928428031911448E-4</v>
      </c>
      <c r="K547" s="35">
        <v>-15.47338825587693</v>
      </c>
      <c r="L547" s="35">
        <v>4.6588562436316794</v>
      </c>
      <c r="M547" s="58" t="s">
        <v>23</v>
      </c>
      <c r="N547" s="7">
        <v>12.25</v>
      </c>
      <c r="O547" s="7" t="s">
        <v>178</v>
      </c>
      <c r="P547" s="7" t="s">
        <v>178</v>
      </c>
    </row>
    <row r="548" spans="1:16" x14ac:dyDescent="0.25">
      <c r="A548" s="2" t="s">
        <v>183</v>
      </c>
      <c r="B548" s="2" t="s">
        <v>186</v>
      </c>
      <c r="C548" s="6" t="s">
        <v>133</v>
      </c>
      <c r="D548" s="2" t="s">
        <v>126</v>
      </c>
      <c r="E548" s="2"/>
      <c r="F548" s="35">
        <v>0</v>
      </c>
      <c r="G548" s="35">
        <v>11.778887741407502</v>
      </c>
      <c r="H548" s="35">
        <v>-50.727957998553173</v>
      </c>
      <c r="I548" s="35">
        <v>-1.0326075204115903</v>
      </c>
      <c r="J548" s="35">
        <v>2.5444975348212464E-4</v>
      </c>
      <c r="K548" s="35">
        <v>-6.4353543295702362</v>
      </c>
      <c r="L548" s="35">
        <v>-124.95707825941955</v>
      </c>
      <c r="M548" s="58" t="s">
        <v>22</v>
      </c>
      <c r="N548" s="7">
        <v>12.25</v>
      </c>
      <c r="O548" s="7" t="s">
        <v>178</v>
      </c>
      <c r="P548" s="7" t="s">
        <v>178</v>
      </c>
    </row>
    <row r="549" spans="1:16" x14ac:dyDescent="0.25">
      <c r="A549" s="2" t="s">
        <v>183</v>
      </c>
      <c r="B549" s="2" t="s">
        <v>186</v>
      </c>
      <c r="C549" s="6" t="s">
        <v>133</v>
      </c>
      <c r="D549" s="2" t="s">
        <v>126</v>
      </c>
      <c r="E549" s="2"/>
      <c r="F549" s="35">
        <v>5.99765579088207</v>
      </c>
      <c r="G549" s="35">
        <v>15.055497064803237</v>
      </c>
      <c r="H549" s="35">
        <v>-11.053464941868278</v>
      </c>
      <c r="I549" s="35">
        <v>-1.0326075204115903</v>
      </c>
      <c r="J549" s="35">
        <v>2.5444975348212464E-4</v>
      </c>
      <c r="K549" s="35">
        <v>-0.24212985506528531</v>
      </c>
      <c r="L549" s="35">
        <v>60.314776274356959</v>
      </c>
      <c r="M549" s="58" t="s">
        <v>24</v>
      </c>
      <c r="N549" s="7">
        <v>12.25</v>
      </c>
      <c r="O549" s="7" t="s">
        <v>178</v>
      </c>
      <c r="P549" s="7" t="s">
        <v>178</v>
      </c>
    </row>
    <row r="550" spans="1:16" x14ac:dyDescent="0.25">
      <c r="A550" s="2" t="s">
        <v>183</v>
      </c>
      <c r="B550" s="2" t="s">
        <v>186</v>
      </c>
      <c r="C550" s="6" t="s">
        <v>133</v>
      </c>
      <c r="D550" s="2" t="s">
        <v>126</v>
      </c>
      <c r="E550" s="2"/>
      <c r="F550" s="35">
        <v>11.99531158176414</v>
      </c>
      <c r="G550" s="35">
        <v>18.332106388198973</v>
      </c>
      <c r="H550" s="35">
        <v>28.621028114816621</v>
      </c>
      <c r="I550" s="35">
        <v>-1.0326075204115903</v>
      </c>
      <c r="J550" s="35">
        <v>2.5444975348212464E-4</v>
      </c>
      <c r="K550" s="35">
        <v>5.9510946194396643</v>
      </c>
      <c r="L550" s="35">
        <v>7.6326777763968705</v>
      </c>
      <c r="M550" s="58" t="s">
        <v>23</v>
      </c>
      <c r="N550" s="7">
        <v>12.25</v>
      </c>
      <c r="O550" s="7" t="s">
        <v>178</v>
      </c>
      <c r="P550" s="7" t="s">
        <v>178</v>
      </c>
    </row>
    <row r="551" spans="1:16" x14ac:dyDescent="0.25">
      <c r="A551" s="2" t="s">
        <v>183</v>
      </c>
      <c r="B551" s="2" t="s">
        <v>186</v>
      </c>
      <c r="C551" s="6" t="s">
        <v>133</v>
      </c>
      <c r="D551" s="2" t="s">
        <v>127</v>
      </c>
      <c r="E551" s="2"/>
      <c r="F551" s="35">
        <v>0</v>
      </c>
      <c r="G551" s="35">
        <v>-42.218021853115019</v>
      </c>
      <c r="H551" s="35">
        <v>-30.339048323868777</v>
      </c>
      <c r="I551" s="35">
        <v>-2.5887412965868211</v>
      </c>
      <c r="J551" s="35">
        <v>1.7895654848760408E-4</v>
      </c>
      <c r="K551" s="35">
        <v>-15.592881477978361</v>
      </c>
      <c r="L551" s="35">
        <v>-73.723208742474185</v>
      </c>
      <c r="M551" s="58" t="s">
        <v>22</v>
      </c>
      <c r="N551" s="7">
        <v>12.25</v>
      </c>
      <c r="O551" s="7" t="s">
        <v>178</v>
      </c>
      <c r="P551" s="7" t="s">
        <v>178</v>
      </c>
    </row>
    <row r="552" spans="1:16" x14ac:dyDescent="0.25">
      <c r="A552" s="2" t="s">
        <v>183</v>
      </c>
      <c r="B552" s="2" t="s">
        <v>186</v>
      </c>
      <c r="C552" s="6" t="s">
        <v>133</v>
      </c>
      <c r="D552" s="2" t="s">
        <v>127</v>
      </c>
      <c r="E552" s="2"/>
      <c r="F552" s="35">
        <v>5.99765579088207</v>
      </c>
      <c r="G552" s="35">
        <v>-38.94141252971928</v>
      </c>
      <c r="H552" s="35">
        <v>-6.5343524898578442</v>
      </c>
      <c r="I552" s="35">
        <v>-2.5887412965868211</v>
      </c>
      <c r="J552" s="35">
        <v>1.7895654848760408E-4</v>
      </c>
      <c r="K552" s="35">
        <v>-6.650224940885624E-2</v>
      </c>
      <c r="L552" s="35">
        <v>36.853774217507357</v>
      </c>
      <c r="M552" s="58" t="s">
        <v>24</v>
      </c>
      <c r="N552" s="7">
        <v>12.25</v>
      </c>
      <c r="O552" s="7" t="s">
        <v>178</v>
      </c>
      <c r="P552" s="7" t="s">
        <v>178</v>
      </c>
    </row>
    <row r="553" spans="1:16" x14ac:dyDescent="0.25">
      <c r="A553" s="2" t="s">
        <v>183</v>
      </c>
      <c r="B553" s="2" t="s">
        <v>186</v>
      </c>
      <c r="C553" s="6" t="s">
        <v>133</v>
      </c>
      <c r="D553" s="2" t="s">
        <v>127</v>
      </c>
      <c r="E553" s="2"/>
      <c r="F553" s="35">
        <v>11.99531158176414</v>
      </c>
      <c r="G553" s="35">
        <v>-35.664803206323548</v>
      </c>
      <c r="H553" s="35">
        <v>17.270343344153094</v>
      </c>
      <c r="I553" s="35">
        <v>-2.5887412965868211</v>
      </c>
      <c r="J553" s="35">
        <v>1.7895654848760408E-4</v>
      </c>
      <c r="K553" s="35">
        <v>15.459876979160649</v>
      </c>
      <c r="L553" s="35">
        <v>4.6583853584469583</v>
      </c>
      <c r="M553" s="58" t="s">
        <v>23</v>
      </c>
      <c r="N553" s="7">
        <v>12.25</v>
      </c>
      <c r="O553" s="7" t="s">
        <v>178</v>
      </c>
      <c r="P553" s="7" t="s">
        <v>178</v>
      </c>
    </row>
    <row r="554" spans="1:16" x14ac:dyDescent="0.25">
      <c r="A554" s="2" t="s">
        <v>183</v>
      </c>
      <c r="B554" s="2" t="s">
        <v>187</v>
      </c>
      <c r="C554" s="6" t="s">
        <v>134</v>
      </c>
      <c r="D554" s="2" t="s">
        <v>105</v>
      </c>
      <c r="E554" s="2"/>
      <c r="F554" s="35">
        <v>0</v>
      </c>
      <c r="G554" s="35">
        <v>-32.324096809290651</v>
      </c>
      <c r="H554" s="35">
        <v>-1.1429729602144614</v>
      </c>
      <c r="I554" s="35">
        <v>3.4930516308639505E-2</v>
      </c>
      <c r="J554" s="35">
        <v>-1.3887739338888294E-4</v>
      </c>
      <c r="K554" s="35">
        <v>0.15081502009546049</v>
      </c>
      <c r="L554" s="35">
        <v>-2.7538340337037019</v>
      </c>
      <c r="M554" s="58" t="s">
        <v>22</v>
      </c>
      <c r="N554" s="7">
        <v>11.333333333333334</v>
      </c>
      <c r="O554" s="7" t="s">
        <v>178</v>
      </c>
      <c r="P554" s="7" t="s">
        <v>178</v>
      </c>
    </row>
    <row r="555" spans="1:16" x14ac:dyDescent="0.25">
      <c r="A555" s="2" t="s">
        <v>183</v>
      </c>
      <c r="B555" s="2" t="s">
        <v>187</v>
      </c>
      <c r="C555" s="6" t="s">
        <v>134</v>
      </c>
      <c r="D555" s="2" t="s">
        <v>105</v>
      </c>
      <c r="E555" s="2"/>
      <c r="F555" s="35">
        <v>0.29999999999999988</v>
      </c>
      <c r="G555" s="35">
        <v>-32.160202309290646</v>
      </c>
      <c r="H555" s="35">
        <v>-1.1429729602144614</v>
      </c>
      <c r="I555" s="35">
        <v>3.4930516308639505E-2</v>
      </c>
      <c r="J555" s="35">
        <v>-1.3887739338888294E-4</v>
      </c>
      <c r="K555" s="35">
        <v>0.14033586520286864</v>
      </c>
      <c r="L555" s="35">
        <v>-2.4109421456393636</v>
      </c>
      <c r="M555" s="58" t="s">
        <v>22</v>
      </c>
      <c r="N555" s="7">
        <v>11.333333333333334</v>
      </c>
      <c r="O555" s="7" t="s">
        <v>178</v>
      </c>
      <c r="P555" s="7" t="s">
        <v>178</v>
      </c>
    </row>
    <row r="556" spans="1:16" x14ac:dyDescent="0.25">
      <c r="A556" s="2" t="s">
        <v>183</v>
      </c>
      <c r="B556" s="2" t="s">
        <v>187</v>
      </c>
      <c r="C556" s="6" t="s">
        <v>134</v>
      </c>
      <c r="D556" s="2" t="s">
        <v>105</v>
      </c>
      <c r="E556" s="2"/>
      <c r="F556" s="35">
        <v>0.29999999999999988</v>
      </c>
      <c r="G556" s="35">
        <v>-24.479734727466649</v>
      </c>
      <c r="H556" s="35">
        <v>-0.72911915133576799</v>
      </c>
      <c r="I556" s="35">
        <v>3.4930516308639685E-2</v>
      </c>
      <c r="J556" s="35">
        <v>1.3573316139932107E-4</v>
      </c>
      <c r="K556" s="35">
        <v>0.1403193885695814</v>
      </c>
      <c r="L556" s="35">
        <v>-2.4109421456393667</v>
      </c>
      <c r="M556" s="58" t="s">
        <v>22</v>
      </c>
      <c r="N556" s="7">
        <v>11.333333333333334</v>
      </c>
      <c r="O556" s="7" t="s">
        <v>178</v>
      </c>
      <c r="P556" s="7" t="s">
        <v>178</v>
      </c>
    </row>
    <row r="557" spans="1:16" x14ac:dyDescent="0.25">
      <c r="A557" s="2" t="s">
        <v>183</v>
      </c>
      <c r="B557" s="2" t="s">
        <v>187</v>
      </c>
      <c r="C557" s="6" t="s">
        <v>134</v>
      </c>
      <c r="D557" s="2" t="s">
        <v>105</v>
      </c>
      <c r="E557" s="2"/>
      <c r="F557" s="35">
        <v>5.3</v>
      </c>
      <c r="G557" s="35">
        <v>-21.748159727466653</v>
      </c>
      <c r="H557" s="35">
        <v>-0.72911915133576799</v>
      </c>
      <c r="I557" s="35">
        <v>3.4930516308639685E-2</v>
      </c>
      <c r="J557" s="35">
        <v>1.3573316139932107E-4</v>
      </c>
      <c r="K557" s="35">
        <v>-3.4333192973617012E-2</v>
      </c>
      <c r="L557" s="35">
        <v>1.2346536110394728</v>
      </c>
      <c r="M557" s="58" t="s">
        <v>24</v>
      </c>
      <c r="N557" s="7">
        <v>11.333333333333334</v>
      </c>
      <c r="O557" s="7" t="s">
        <v>178</v>
      </c>
      <c r="P557" s="7" t="s">
        <v>178</v>
      </c>
    </row>
    <row r="558" spans="1:16" x14ac:dyDescent="0.25">
      <c r="A558" s="2" t="s">
        <v>183</v>
      </c>
      <c r="B558" s="2" t="s">
        <v>187</v>
      </c>
      <c r="C558" s="6" t="s">
        <v>134</v>
      </c>
      <c r="D558" s="2" t="s">
        <v>105</v>
      </c>
      <c r="E558" s="2"/>
      <c r="F558" s="35">
        <v>5.3</v>
      </c>
      <c r="G558" s="35">
        <v>-26.014403229275416</v>
      </c>
      <c r="H558" s="35">
        <v>0.18876785613678659</v>
      </c>
      <c r="I558" s="35">
        <v>3.503925753183533E-2</v>
      </c>
      <c r="J558" s="35">
        <v>1.9500127959318312E-4</v>
      </c>
      <c r="K558" s="35">
        <v>-3.4205503979522336E-2</v>
      </c>
      <c r="L558" s="35">
        <v>1.2346536110394724</v>
      </c>
      <c r="M558" s="58" t="s">
        <v>24</v>
      </c>
      <c r="N558" s="7">
        <v>11.333333333333334</v>
      </c>
      <c r="O558" s="7" t="s">
        <v>178</v>
      </c>
      <c r="P558" s="7" t="s">
        <v>178</v>
      </c>
    </row>
    <row r="559" spans="1:16" x14ac:dyDescent="0.25">
      <c r="A559" s="2" t="s">
        <v>183</v>
      </c>
      <c r="B559" s="2" t="s">
        <v>187</v>
      </c>
      <c r="C559" s="6" t="s">
        <v>134</v>
      </c>
      <c r="D559" s="2" t="s">
        <v>105</v>
      </c>
      <c r="E559" s="2"/>
      <c r="F559" s="35">
        <v>5.5393224575487361</v>
      </c>
      <c r="G559" s="35">
        <v>-25.883657780879673</v>
      </c>
      <c r="H559" s="35">
        <v>0.18876785613678659</v>
      </c>
      <c r="I559" s="35">
        <v>3.503925753183533E-2</v>
      </c>
      <c r="J559" s="35">
        <v>1.9500127959318312E-4</v>
      </c>
      <c r="K559" s="35">
        <v>-4.2591185202724223E-2</v>
      </c>
      <c r="L559" s="35">
        <v>1.1894772238026106</v>
      </c>
      <c r="M559" s="58" t="s">
        <v>24</v>
      </c>
      <c r="N559" s="7">
        <v>11.333333333333334</v>
      </c>
      <c r="O559" s="7" t="s">
        <v>178</v>
      </c>
      <c r="P559" s="7" t="s">
        <v>178</v>
      </c>
    </row>
    <row r="560" spans="1:16" x14ac:dyDescent="0.25">
      <c r="A560" s="2" t="s">
        <v>183</v>
      </c>
      <c r="B560" s="2" t="s">
        <v>187</v>
      </c>
      <c r="C560" s="6" t="s">
        <v>134</v>
      </c>
      <c r="D560" s="2" t="s">
        <v>105</v>
      </c>
      <c r="E560" s="2"/>
      <c r="F560" s="35">
        <v>11.078644915097472</v>
      </c>
      <c r="G560" s="35">
        <v>-22.857442832483933</v>
      </c>
      <c r="H560" s="35">
        <v>0.18876785613678659</v>
      </c>
      <c r="I560" s="35">
        <v>3.503925753183533E-2</v>
      </c>
      <c r="J560" s="35">
        <v>1.9500127959318312E-4</v>
      </c>
      <c r="K560" s="35">
        <v>-0.23668493134465335</v>
      </c>
      <c r="L560" s="35">
        <v>0.14383119904077932</v>
      </c>
      <c r="M560" s="58" t="s">
        <v>23</v>
      </c>
      <c r="N560" s="7">
        <v>11.333333333333334</v>
      </c>
      <c r="O560" s="7" t="s">
        <v>178</v>
      </c>
      <c r="P560" s="7" t="s">
        <v>178</v>
      </c>
    </row>
    <row r="561" spans="1:16" x14ac:dyDescent="0.25">
      <c r="A561" s="2" t="s">
        <v>183</v>
      </c>
      <c r="B561" s="2" t="s">
        <v>187</v>
      </c>
      <c r="C561" s="6" t="s">
        <v>134</v>
      </c>
      <c r="D561" s="2" t="s">
        <v>15</v>
      </c>
      <c r="E561" s="2"/>
      <c r="F561" s="35">
        <v>0</v>
      </c>
      <c r="G561" s="35">
        <v>71.817990570567588</v>
      </c>
      <c r="H561" s="35">
        <v>30.184347590588256</v>
      </c>
      <c r="I561" s="35">
        <v>-6.9942997206963689E-2</v>
      </c>
      <c r="J561" s="35">
        <v>1.4893069383798373E-3</v>
      </c>
      <c r="K561" s="35">
        <v>-0.25071279576182537</v>
      </c>
      <c r="L561" s="35">
        <v>66.007298262302939</v>
      </c>
      <c r="M561" s="58" t="s">
        <v>22</v>
      </c>
      <c r="N561" s="7">
        <v>11.333333333333334</v>
      </c>
      <c r="O561" s="7" t="s">
        <v>178</v>
      </c>
      <c r="P561" s="7" t="s">
        <v>178</v>
      </c>
    </row>
    <row r="562" spans="1:16" x14ac:dyDescent="0.25">
      <c r="A562" s="2" t="s">
        <v>183</v>
      </c>
      <c r="B562" s="2" t="s">
        <v>187</v>
      </c>
      <c r="C562" s="6" t="s">
        <v>134</v>
      </c>
      <c r="D562" s="2" t="s">
        <v>15</v>
      </c>
      <c r="E562" s="2"/>
      <c r="F562" s="35">
        <v>0.29999999999999988</v>
      </c>
      <c r="G562" s="35">
        <v>71.981885070567586</v>
      </c>
      <c r="H562" s="35">
        <v>29.163747590588258</v>
      </c>
      <c r="I562" s="35">
        <v>-6.9942997206963689E-2</v>
      </c>
      <c r="J562" s="35">
        <v>1.4893069383798373E-3</v>
      </c>
      <c r="K562" s="35">
        <v>-0.22972989659973631</v>
      </c>
      <c r="L562" s="35">
        <v>57.105083985126456</v>
      </c>
      <c r="M562" s="58" t="s">
        <v>22</v>
      </c>
      <c r="N562" s="7">
        <v>11.333333333333334</v>
      </c>
      <c r="O562" s="7" t="s">
        <v>178</v>
      </c>
      <c r="P562" s="7" t="s">
        <v>178</v>
      </c>
    </row>
    <row r="563" spans="1:16" x14ac:dyDescent="0.25">
      <c r="A563" s="2" t="s">
        <v>183</v>
      </c>
      <c r="B563" s="2" t="s">
        <v>187</v>
      </c>
      <c r="C563" s="6" t="s">
        <v>134</v>
      </c>
      <c r="D563" s="2" t="s">
        <v>15</v>
      </c>
      <c r="E563" s="2"/>
      <c r="F563" s="35">
        <v>0.29999999999999988</v>
      </c>
      <c r="G563" s="35">
        <v>1.5835871657100666</v>
      </c>
      <c r="H563" s="35">
        <v>24.892875470266034</v>
      </c>
      <c r="I563" s="35">
        <v>-6.9942997206964508E-2</v>
      </c>
      <c r="J563" s="35">
        <v>5.4861735046096068E-5</v>
      </c>
      <c r="K563" s="35">
        <v>-0.22964382988753607</v>
      </c>
      <c r="L563" s="35">
        <v>57.105083985126484</v>
      </c>
      <c r="M563" s="58" t="s">
        <v>22</v>
      </c>
      <c r="N563" s="7">
        <v>11.333333333333334</v>
      </c>
      <c r="O563" s="7" t="s">
        <v>178</v>
      </c>
      <c r="P563" s="7" t="s">
        <v>178</v>
      </c>
    </row>
    <row r="564" spans="1:16" x14ac:dyDescent="0.25">
      <c r="A564" s="2" t="s">
        <v>183</v>
      </c>
      <c r="B564" s="2" t="s">
        <v>187</v>
      </c>
      <c r="C564" s="6" t="s">
        <v>134</v>
      </c>
      <c r="D564" s="2" t="s">
        <v>15</v>
      </c>
      <c r="E564" s="2"/>
      <c r="F564" s="35">
        <v>5.3</v>
      </c>
      <c r="G564" s="35">
        <v>4.3151621657100652</v>
      </c>
      <c r="H564" s="35">
        <v>7.88287547026603</v>
      </c>
      <c r="I564" s="35">
        <v>-6.9942997206964508E-2</v>
      </c>
      <c r="J564" s="35">
        <v>5.4861735046096068E-5</v>
      </c>
      <c r="K564" s="35">
        <v>0.12007115614728643</v>
      </c>
      <c r="L564" s="35">
        <v>-24.834293366203681</v>
      </c>
      <c r="M564" s="58" t="s">
        <v>24</v>
      </c>
      <c r="N564" s="7">
        <v>11.333333333333334</v>
      </c>
      <c r="O564" s="7" t="s">
        <v>178</v>
      </c>
      <c r="P564" s="7" t="s">
        <v>178</v>
      </c>
    </row>
    <row r="565" spans="1:16" x14ac:dyDescent="0.25">
      <c r="A565" s="2" t="s">
        <v>183</v>
      </c>
      <c r="B565" s="2" t="s">
        <v>187</v>
      </c>
      <c r="C565" s="6" t="s">
        <v>134</v>
      </c>
      <c r="D565" s="2" t="s">
        <v>15</v>
      </c>
      <c r="E565" s="2"/>
      <c r="F565" s="35">
        <v>5.3</v>
      </c>
      <c r="G565" s="35">
        <v>68.502870156695977</v>
      </c>
      <c r="H565" s="35">
        <v>6.1306245243771</v>
      </c>
      <c r="I565" s="35">
        <v>-7.0416171533457333E-2</v>
      </c>
      <c r="J565" s="35">
        <v>-1.6741899813378874E-4</v>
      </c>
      <c r="K565" s="35">
        <v>0.11886013820131837</v>
      </c>
      <c r="L565" s="35">
        <v>-24.834293366203624</v>
      </c>
      <c r="M565" s="58" t="s">
        <v>24</v>
      </c>
      <c r="N565" s="7">
        <v>11.333333333333334</v>
      </c>
      <c r="O565" s="7" t="s">
        <v>178</v>
      </c>
      <c r="P565" s="7" t="s">
        <v>178</v>
      </c>
    </row>
    <row r="566" spans="1:16" x14ac:dyDescent="0.25">
      <c r="A566" s="2" t="s">
        <v>183</v>
      </c>
      <c r="B566" s="2" t="s">
        <v>187</v>
      </c>
      <c r="C566" s="6" t="s">
        <v>134</v>
      </c>
      <c r="D566" s="2" t="s">
        <v>15</v>
      </c>
      <c r="E566" s="2"/>
      <c r="F566" s="35">
        <v>5.5393224575487361</v>
      </c>
      <c r="G566" s="35">
        <v>68.63361560509172</v>
      </c>
      <c r="H566" s="35">
        <v>5.3164495237962992</v>
      </c>
      <c r="I566" s="35">
        <v>-7.0416171533457333E-2</v>
      </c>
      <c r="J566" s="35">
        <v>-1.6741899813378874E-4</v>
      </c>
      <c r="K566" s="35">
        <v>0.13571230942387874</v>
      </c>
      <c r="L566" s="35">
        <v>-26.204064312679233</v>
      </c>
      <c r="M566" s="58" t="s">
        <v>24</v>
      </c>
      <c r="N566" s="7">
        <v>11.333333333333334</v>
      </c>
      <c r="O566" s="7" t="s">
        <v>178</v>
      </c>
      <c r="P566" s="7" t="s">
        <v>178</v>
      </c>
    </row>
    <row r="567" spans="1:16" x14ac:dyDescent="0.25">
      <c r="A567" s="2" t="s">
        <v>183</v>
      </c>
      <c r="B567" s="2" t="s">
        <v>187</v>
      </c>
      <c r="C567" s="6" t="s">
        <v>134</v>
      </c>
      <c r="D567" s="2" t="s">
        <v>15</v>
      </c>
      <c r="E567" s="2"/>
      <c r="F567" s="35">
        <v>11.078644915097472</v>
      </c>
      <c r="G567" s="35">
        <v>71.659830553487453</v>
      </c>
      <c r="H567" s="35">
        <v>-13.528325476784506</v>
      </c>
      <c r="I567" s="35">
        <v>-7.0416171533457333E-2</v>
      </c>
      <c r="J567" s="35">
        <v>-1.6741899813378874E-4</v>
      </c>
      <c r="K567" s="35">
        <v>0.52577018977376289</v>
      </c>
      <c r="L567" s="35">
        <v>-3.4599498701832267</v>
      </c>
      <c r="M567" s="58" t="s">
        <v>23</v>
      </c>
      <c r="N567" s="7">
        <v>11.333333333333334</v>
      </c>
      <c r="O567" s="7" t="s">
        <v>178</v>
      </c>
      <c r="P567" s="7" t="s">
        <v>178</v>
      </c>
    </row>
    <row r="568" spans="1:16" x14ac:dyDescent="0.25">
      <c r="A568" s="2" t="s">
        <v>183</v>
      </c>
      <c r="B568" s="2" t="s">
        <v>187</v>
      </c>
      <c r="C568" s="6" t="s">
        <v>134</v>
      </c>
      <c r="D568" s="2" t="s">
        <v>16</v>
      </c>
      <c r="E568" s="2"/>
      <c r="F568" s="35">
        <v>0</v>
      </c>
      <c r="G568" s="35">
        <v>53.852474537361786</v>
      </c>
      <c r="H568" s="35">
        <v>46.332139691460938</v>
      </c>
      <c r="I568" s="35">
        <v>-6.5537428907034567E-2</v>
      </c>
      <c r="J568" s="35">
        <v>8.1370183984535744E-4</v>
      </c>
      <c r="K568" s="35">
        <v>-0.24124828640833945</v>
      </c>
      <c r="L568" s="35">
        <v>97.791011063615372</v>
      </c>
      <c r="M568" s="58" t="s">
        <v>22</v>
      </c>
      <c r="N568" s="7">
        <v>11.333333333333334</v>
      </c>
      <c r="O568" s="7" t="s">
        <v>178</v>
      </c>
      <c r="P568" s="7" t="s">
        <v>178</v>
      </c>
    </row>
    <row r="569" spans="1:16" x14ac:dyDescent="0.25">
      <c r="A569" s="2" t="s">
        <v>183</v>
      </c>
      <c r="B569" s="2" t="s">
        <v>187</v>
      </c>
      <c r="C569" s="6" t="s">
        <v>134</v>
      </c>
      <c r="D569" s="2" t="s">
        <v>16</v>
      </c>
      <c r="E569" s="2"/>
      <c r="F569" s="35">
        <v>0.29999999999999988</v>
      </c>
      <c r="G569" s="35">
        <v>54.016369037361791</v>
      </c>
      <c r="H569" s="35">
        <v>44.517739691460939</v>
      </c>
      <c r="I569" s="35">
        <v>-6.5537428907034567E-2</v>
      </c>
      <c r="J569" s="35">
        <v>8.1370183984535744E-4</v>
      </c>
      <c r="K569" s="35">
        <v>-0.22158705773622903</v>
      </c>
      <c r="L569" s="35">
        <v>84.163529156177091</v>
      </c>
      <c r="M569" s="58" t="s">
        <v>22</v>
      </c>
      <c r="N569" s="7">
        <v>11.333333333333334</v>
      </c>
      <c r="O569" s="7" t="s">
        <v>178</v>
      </c>
      <c r="P569" s="7" t="s">
        <v>178</v>
      </c>
    </row>
    <row r="570" spans="1:16" x14ac:dyDescent="0.25">
      <c r="A570" s="2" t="s">
        <v>183</v>
      </c>
      <c r="B570" s="2" t="s">
        <v>187</v>
      </c>
      <c r="C570" s="6" t="s">
        <v>134</v>
      </c>
      <c r="D570" s="2" t="s">
        <v>16</v>
      </c>
      <c r="E570" s="2"/>
      <c r="F570" s="35">
        <v>0.29999999999999988</v>
      </c>
      <c r="G570" s="35">
        <v>-47.738017494870107</v>
      </c>
      <c r="H570" s="35">
        <v>38.365502253496373</v>
      </c>
      <c r="I570" s="35">
        <v>-6.5537428907034692E-2</v>
      </c>
      <c r="J570" s="35">
        <v>-2.2781178557670893E-4</v>
      </c>
      <c r="K570" s="35">
        <v>-0.22152456691870362</v>
      </c>
      <c r="L570" s="35">
        <v>84.16352915617712</v>
      </c>
      <c r="M570" s="58" t="s">
        <v>22</v>
      </c>
      <c r="N570" s="7">
        <v>11.333333333333334</v>
      </c>
      <c r="O570" s="7" t="s">
        <v>178</v>
      </c>
      <c r="P570" s="7" t="s">
        <v>178</v>
      </c>
    </row>
    <row r="571" spans="1:16" x14ac:dyDescent="0.25">
      <c r="A571" s="2" t="s">
        <v>183</v>
      </c>
      <c r="B571" s="2" t="s">
        <v>187</v>
      </c>
      <c r="C571" s="6" t="s">
        <v>134</v>
      </c>
      <c r="D571" s="2" t="s">
        <v>16</v>
      </c>
      <c r="E571" s="2"/>
      <c r="F571" s="35">
        <v>5.3</v>
      </c>
      <c r="G571" s="35">
        <v>-45.006442494870115</v>
      </c>
      <c r="H571" s="35">
        <v>8.1255022534963732</v>
      </c>
      <c r="I571" s="35">
        <v>-6.5537428907034692E-2</v>
      </c>
      <c r="J571" s="35">
        <v>-2.2781178557670893E-4</v>
      </c>
      <c r="K571" s="35">
        <v>0.10616257761646986</v>
      </c>
      <c r="L571" s="35">
        <v>-32.063982111304732</v>
      </c>
      <c r="M571" s="58" t="s">
        <v>24</v>
      </c>
      <c r="N571" s="7">
        <v>11.333333333333334</v>
      </c>
      <c r="O571" s="7" t="s">
        <v>178</v>
      </c>
      <c r="P571" s="7" t="s">
        <v>178</v>
      </c>
    </row>
    <row r="572" spans="1:16" x14ac:dyDescent="0.25">
      <c r="A572" s="2" t="s">
        <v>183</v>
      </c>
      <c r="B572" s="2" t="s">
        <v>187</v>
      </c>
      <c r="C572" s="6" t="s">
        <v>134</v>
      </c>
      <c r="D572" s="2" t="s">
        <v>16</v>
      </c>
      <c r="E572" s="2"/>
      <c r="F572" s="35">
        <v>5.3</v>
      </c>
      <c r="G572" s="35">
        <v>48.551209620708427</v>
      </c>
      <c r="H572" s="35">
        <v>12.914553794123556</v>
      </c>
      <c r="I572" s="35">
        <v>-6.5875838062410208E-2</v>
      </c>
      <c r="J572" s="35">
        <v>-3.8360172221421629E-4</v>
      </c>
      <c r="K572" s="35">
        <v>0.10524928329094611</v>
      </c>
      <c r="L572" s="35">
        <v>-32.063982111304675</v>
      </c>
      <c r="M572" s="58" t="s">
        <v>24</v>
      </c>
      <c r="N572" s="7">
        <v>11.333333333333334</v>
      </c>
      <c r="O572" s="7" t="s">
        <v>178</v>
      </c>
      <c r="P572" s="7" t="s">
        <v>178</v>
      </c>
    </row>
    <row r="573" spans="1:16" x14ac:dyDescent="0.25">
      <c r="A573" s="2" t="s">
        <v>183</v>
      </c>
      <c r="B573" s="2" t="s">
        <v>187</v>
      </c>
      <c r="C573" s="6" t="s">
        <v>134</v>
      </c>
      <c r="D573" s="2" t="s">
        <v>16</v>
      </c>
      <c r="E573" s="2"/>
      <c r="F573" s="35">
        <v>5.5393224575487361</v>
      </c>
      <c r="G573" s="35">
        <v>48.68195506910417</v>
      </c>
      <c r="H573" s="35">
        <v>11.4671315708688</v>
      </c>
      <c r="I573" s="35">
        <v>-6.5875838062410208E-2</v>
      </c>
      <c r="J573" s="35">
        <v>-3.8360172221421629E-4</v>
      </c>
      <c r="K573" s="35">
        <v>0.12101485074912471</v>
      </c>
      <c r="L573" s="35">
        <v>-34.981524541669685</v>
      </c>
      <c r="M573" s="58" t="s">
        <v>24</v>
      </c>
      <c r="N573" s="7">
        <v>11.333333333333334</v>
      </c>
      <c r="O573" s="7" t="s">
        <v>178</v>
      </c>
      <c r="P573" s="7" t="s">
        <v>178</v>
      </c>
    </row>
    <row r="574" spans="1:16" x14ac:dyDescent="0.25">
      <c r="A574" s="2" t="s">
        <v>183</v>
      </c>
      <c r="B574" s="2" t="s">
        <v>187</v>
      </c>
      <c r="C574" s="6" t="s">
        <v>134</v>
      </c>
      <c r="D574" s="2" t="s">
        <v>16</v>
      </c>
      <c r="E574" s="2"/>
      <c r="F574" s="35">
        <v>11.078644915097472</v>
      </c>
      <c r="G574" s="35">
        <v>51.70817001749991</v>
      </c>
      <c r="H574" s="35">
        <v>-22.034690652385962</v>
      </c>
      <c r="I574" s="35">
        <v>-6.5875838062410208E-2</v>
      </c>
      <c r="J574" s="35">
        <v>-3.8360172221421629E-4</v>
      </c>
      <c r="K574" s="35">
        <v>0.48592235993807736</v>
      </c>
      <c r="L574" s="35">
        <v>-5.7129658708091311</v>
      </c>
      <c r="M574" s="58" t="s">
        <v>23</v>
      </c>
      <c r="N574" s="7">
        <v>11.333333333333334</v>
      </c>
      <c r="O574" s="7" t="s">
        <v>178</v>
      </c>
      <c r="P574" s="7" t="s">
        <v>178</v>
      </c>
    </row>
    <row r="575" spans="1:16" x14ac:dyDescent="0.25">
      <c r="A575" s="2" t="s">
        <v>183</v>
      </c>
      <c r="B575" s="2" t="s">
        <v>187</v>
      </c>
      <c r="C575" s="6" t="s">
        <v>134</v>
      </c>
      <c r="D575" s="2" t="s">
        <v>106</v>
      </c>
      <c r="E575" s="2"/>
      <c r="F575" s="35">
        <v>0</v>
      </c>
      <c r="G575" s="35">
        <v>7.5779199401048558</v>
      </c>
      <c r="H575" s="35">
        <v>-28.70750088271468</v>
      </c>
      <c r="I575" s="35">
        <v>7.6549381308175807E-3</v>
      </c>
      <c r="J575" s="35">
        <v>3.4976843816599939E-4</v>
      </c>
      <c r="K575" s="35">
        <v>5.1651660196680632E-2</v>
      </c>
      <c r="L575" s="35">
        <v>-62.565645886950676</v>
      </c>
      <c r="M575" s="58" t="s">
        <v>22</v>
      </c>
      <c r="N575" s="7">
        <v>11.333333333333334</v>
      </c>
      <c r="O575" s="7" t="s">
        <v>178</v>
      </c>
      <c r="P575" s="7" t="s">
        <v>178</v>
      </c>
    </row>
    <row r="576" spans="1:16" x14ac:dyDescent="0.25">
      <c r="A576" s="2" t="s">
        <v>183</v>
      </c>
      <c r="B576" s="2" t="s">
        <v>187</v>
      </c>
      <c r="C576" s="6" t="s">
        <v>134</v>
      </c>
      <c r="D576" s="2" t="s">
        <v>106</v>
      </c>
      <c r="E576" s="2"/>
      <c r="F576" s="35">
        <v>0.29999999999999988</v>
      </c>
      <c r="G576" s="35">
        <v>7.7418144401048581</v>
      </c>
      <c r="H576" s="35">
        <v>-27.686900882714678</v>
      </c>
      <c r="I576" s="35">
        <v>7.6549381308175807E-3</v>
      </c>
      <c r="J576" s="35">
        <v>3.4976843816599939E-4</v>
      </c>
      <c r="K576" s="35">
        <v>4.935517875743535E-2</v>
      </c>
      <c r="L576" s="35">
        <v>-54.106485622136283</v>
      </c>
      <c r="M576" s="58" t="s">
        <v>22</v>
      </c>
      <c r="N576" s="7">
        <v>11.333333333333334</v>
      </c>
      <c r="O576" s="7" t="s">
        <v>178</v>
      </c>
      <c r="P576" s="7" t="s">
        <v>178</v>
      </c>
    </row>
    <row r="577" spans="1:16" x14ac:dyDescent="0.25">
      <c r="A577" s="2" t="s">
        <v>183</v>
      </c>
      <c r="B577" s="2" t="s">
        <v>187</v>
      </c>
      <c r="C577" s="6" t="s">
        <v>134</v>
      </c>
      <c r="D577" s="2" t="s">
        <v>106</v>
      </c>
      <c r="E577" s="2"/>
      <c r="F577" s="35">
        <v>0.29999999999999988</v>
      </c>
      <c r="G577" s="35">
        <v>80.252393703727975</v>
      </c>
      <c r="H577" s="35">
        <v>-23.383240372928068</v>
      </c>
      <c r="I577" s="35">
        <v>7.654938130817854E-3</v>
      </c>
      <c r="J577" s="35">
        <v>-3.2224119426965659E-4</v>
      </c>
      <c r="K577" s="35">
        <v>4.9395499335381517E-2</v>
      </c>
      <c r="L577" s="35">
        <v>-54.106485622136304</v>
      </c>
      <c r="M577" s="58" t="s">
        <v>22</v>
      </c>
      <c r="N577" s="7">
        <v>11.333333333333334</v>
      </c>
      <c r="O577" s="7" t="s">
        <v>178</v>
      </c>
      <c r="P577" s="7" t="s">
        <v>178</v>
      </c>
    </row>
    <row r="578" spans="1:16" x14ac:dyDescent="0.25">
      <c r="A578" s="2" t="s">
        <v>183</v>
      </c>
      <c r="B578" s="2" t="s">
        <v>187</v>
      </c>
      <c r="C578" s="6" t="s">
        <v>134</v>
      </c>
      <c r="D578" s="2" t="s">
        <v>106</v>
      </c>
      <c r="E578" s="2"/>
      <c r="F578" s="35">
        <v>5.3</v>
      </c>
      <c r="G578" s="35">
        <v>82.983968703727982</v>
      </c>
      <c r="H578" s="35">
        <v>-6.3732403729280662</v>
      </c>
      <c r="I578" s="35">
        <v>7.654938130817854E-3</v>
      </c>
      <c r="J578" s="35">
        <v>-3.2224119426965659E-4</v>
      </c>
      <c r="K578" s="35">
        <v>1.1120808681292242E-2</v>
      </c>
      <c r="L578" s="35">
        <v>20.284716242504022</v>
      </c>
      <c r="M578" s="58" t="s">
        <v>24</v>
      </c>
      <c r="N578" s="7">
        <v>11.333333333333334</v>
      </c>
      <c r="O578" s="7" t="s">
        <v>178</v>
      </c>
      <c r="P578" s="7" t="s">
        <v>178</v>
      </c>
    </row>
    <row r="579" spans="1:16" x14ac:dyDescent="0.25">
      <c r="A579" s="2" t="s">
        <v>183</v>
      </c>
      <c r="B579" s="2" t="s">
        <v>187</v>
      </c>
      <c r="C579" s="6" t="s">
        <v>134</v>
      </c>
      <c r="D579" s="2" t="s">
        <v>106</v>
      </c>
      <c r="E579" s="2"/>
      <c r="F579" s="35">
        <v>5.3</v>
      </c>
      <c r="G579" s="35">
        <v>22.889032291502225</v>
      </c>
      <c r="H579" s="35">
        <v>-6.9164538693772615</v>
      </c>
      <c r="I579" s="35">
        <v>7.4191438469213417E-3</v>
      </c>
      <c r="J579" s="35">
        <v>-4.554816057190038E-4</v>
      </c>
      <c r="K579" s="35">
        <v>1.064483336933301E-2</v>
      </c>
      <c r="L579" s="35">
        <v>20.284716242504015</v>
      </c>
      <c r="M579" s="58" t="s">
        <v>24</v>
      </c>
      <c r="N579" s="7">
        <v>11.333333333333334</v>
      </c>
      <c r="O579" s="7" t="s">
        <v>178</v>
      </c>
      <c r="P579" s="7" t="s">
        <v>178</v>
      </c>
    </row>
    <row r="580" spans="1:16" x14ac:dyDescent="0.25">
      <c r="A580" s="2" t="s">
        <v>183</v>
      </c>
      <c r="B580" s="2" t="s">
        <v>187</v>
      </c>
      <c r="C580" s="6" t="s">
        <v>134</v>
      </c>
      <c r="D580" s="2" t="s">
        <v>106</v>
      </c>
      <c r="E580" s="2"/>
      <c r="F580" s="35">
        <v>5.5393224575487361</v>
      </c>
      <c r="G580" s="35">
        <v>23.019777739897961</v>
      </c>
      <c r="H580" s="35">
        <v>-6.1022788687964615</v>
      </c>
      <c r="I580" s="35">
        <v>7.4191438469213417E-3</v>
      </c>
      <c r="J580" s="35">
        <v>-4.554816057190038E-4</v>
      </c>
      <c r="K580" s="35">
        <v>8.8692656309802085E-3</v>
      </c>
      <c r="L580" s="35">
        <v>21.842553799038974</v>
      </c>
      <c r="M580" s="58" t="s">
        <v>24</v>
      </c>
      <c r="N580" s="7">
        <v>11.333333333333334</v>
      </c>
      <c r="O580" s="7" t="s">
        <v>178</v>
      </c>
      <c r="P580" s="7" t="s">
        <v>178</v>
      </c>
    </row>
    <row r="581" spans="1:16" x14ac:dyDescent="0.25">
      <c r="A581" s="2" t="s">
        <v>183</v>
      </c>
      <c r="B581" s="2" t="s">
        <v>187</v>
      </c>
      <c r="C581" s="6" t="s">
        <v>134</v>
      </c>
      <c r="D581" s="2" t="s">
        <v>106</v>
      </c>
      <c r="E581" s="2"/>
      <c r="F581" s="35">
        <v>11.078644915097472</v>
      </c>
      <c r="G581" s="35">
        <v>26.045992688293701</v>
      </c>
      <c r="H581" s="35">
        <v>12.742496131784344</v>
      </c>
      <c r="I581" s="35">
        <v>7.4191438469213417E-3</v>
      </c>
      <c r="J581" s="35">
        <v>-4.554816057190038E-4</v>
      </c>
      <c r="K581" s="35">
        <v>-3.2227764496055689E-2</v>
      </c>
      <c r="L581" s="35">
        <v>3.4514014951031795</v>
      </c>
      <c r="M581" s="58" t="s">
        <v>23</v>
      </c>
      <c r="N581" s="7">
        <v>11.333333333333334</v>
      </c>
      <c r="O581" s="7" t="s">
        <v>178</v>
      </c>
      <c r="P581" s="7" t="s">
        <v>178</v>
      </c>
    </row>
    <row r="582" spans="1:16" x14ac:dyDescent="0.25">
      <c r="A582" s="2" t="s">
        <v>183</v>
      </c>
      <c r="B582" s="2" t="s">
        <v>187</v>
      </c>
      <c r="C582" s="6" t="s">
        <v>134</v>
      </c>
      <c r="D582" s="2" t="s">
        <v>107</v>
      </c>
      <c r="E582" s="2"/>
      <c r="F582" s="35">
        <v>0</v>
      </c>
      <c r="G582" s="35">
        <v>-10.414903559679013</v>
      </c>
      <c r="H582" s="35">
        <v>-12.552687214145827</v>
      </c>
      <c r="I582" s="35">
        <v>8.9937438909533235E-3</v>
      </c>
      <c r="J582" s="35">
        <v>-3.1551365443397816E-4</v>
      </c>
      <c r="K582" s="35">
        <v>4.9735791448661838E-2</v>
      </c>
      <c r="L582" s="35">
        <v>-30.761419038664222</v>
      </c>
      <c r="M582" s="58" t="s">
        <v>22</v>
      </c>
      <c r="N582" s="7">
        <v>11.333333333333334</v>
      </c>
      <c r="O582" s="7" t="s">
        <v>178</v>
      </c>
      <c r="P582" s="7" t="s">
        <v>178</v>
      </c>
    </row>
    <row r="583" spans="1:16" x14ac:dyDescent="0.25">
      <c r="A583" s="2" t="s">
        <v>183</v>
      </c>
      <c r="B583" s="2" t="s">
        <v>187</v>
      </c>
      <c r="C583" s="6" t="s">
        <v>134</v>
      </c>
      <c r="D583" s="2" t="s">
        <v>107</v>
      </c>
      <c r="E583" s="2"/>
      <c r="F583" s="35">
        <v>0.29999999999999988</v>
      </c>
      <c r="G583" s="35">
        <v>-10.25100905967901</v>
      </c>
      <c r="H583" s="35">
        <v>-12.325887214145828</v>
      </c>
      <c r="I583" s="35">
        <v>8.9937438909533235E-3</v>
      </c>
      <c r="J583" s="35">
        <v>-3.1551365443397816E-4</v>
      </c>
      <c r="K583" s="35">
        <v>4.7037668281375837E-2</v>
      </c>
      <c r="L583" s="35">
        <v>-27.029632874420475</v>
      </c>
      <c r="M583" s="58" t="s">
        <v>22</v>
      </c>
      <c r="N583" s="7">
        <v>11.333333333333334</v>
      </c>
      <c r="O583" s="7" t="s">
        <v>178</v>
      </c>
      <c r="P583" s="7" t="s">
        <v>178</v>
      </c>
    </row>
    <row r="584" spans="1:16" x14ac:dyDescent="0.25">
      <c r="A584" s="2" t="s">
        <v>183</v>
      </c>
      <c r="B584" s="2" t="s">
        <v>187</v>
      </c>
      <c r="C584" s="6" t="s">
        <v>134</v>
      </c>
      <c r="D584" s="2" t="s">
        <v>107</v>
      </c>
      <c r="E584" s="2"/>
      <c r="F584" s="35">
        <v>0.29999999999999988</v>
      </c>
      <c r="G584" s="35">
        <v>30.886715559478429</v>
      </c>
      <c r="H584" s="35">
        <v>-9.9045979830271094</v>
      </c>
      <c r="I584" s="35">
        <v>8.9937438909535369E-3</v>
      </c>
      <c r="J584" s="35">
        <v>-6.0332550912797691E-4</v>
      </c>
      <c r="K584" s="35">
        <v>4.7054936992657531E-2</v>
      </c>
      <c r="L584" s="35">
        <v>-27.029632874420482</v>
      </c>
      <c r="M584" s="58" t="s">
        <v>22</v>
      </c>
      <c r="N584" s="7">
        <v>11.333333333333334</v>
      </c>
      <c r="O584" s="7" t="s">
        <v>178</v>
      </c>
      <c r="P584" s="7" t="s">
        <v>178</v>
      </c>
    </row>
    <row r="585" spans="1:16" x14ac:dyDescent="0.25">
      <c r="A585" s="2" t="s">
        <v>183</v>
      </c>
      <c r="B585" s="2" t="s">
        <v>187</v>
      </c>
      <c r="C585" s="6" t="s">
        <v>134</v>
      </c>
      <c r="D585" s="2" t="s">
        <v>107</v>
      </c>
      <c r="E585" s="2"/>
      <c r="F585" s="35">
        <v>5.3</v>
      </c>
      <c r="G585" s="35">
        <v>33.618290559478424</v>
      </c>
      <c r="H585" s="35">
        <v>-6.1245979830271109</v>
      </c>
      <c r="I585" s="35">
        <v>8.9937438909535369E-3</v>
      </c>
      <c r="J585" s="35">
        <v>-6.0332550912797691E-4</v>
      </c>
      <c r="K585" s="35">
        <v>2.0862175378898512E-3</v>
      </c>
      <c r="L585" s="35">
        <v>13.043357040715062</v>
      </c>
      <c r="M585" s="58" t="s">
        <v>24</v>
      </c>
      <c r="N585" s="7">
        <v>11.333333333333334</v>
      </c>
      <c r="O585" s="7" t="s">
        <v>178</v>
      </c>
      <c r="P585" s="7" t="s">
        <v>178</v>
      </c>
    </row>
    <row r="586" spans="1:16" x14ac:dyDescent="0.25">
      <c r="A586" s="2" t="s">
        <v>183</v>
      </c>
      <c r="B586" s="2" t="s">
        <v>187</v>
      </c>
      <c r="C586" s="6" t="s">
        <v>134</v>
      </c>
      <c r="D586" s="2" t="s">
        <v>107</v>
      </c>
      <c r="E586" s="2"/>
      <c r="F586" s="35">
        <v>5.3</v>
      </c>
      <c r="G586" s="35">
        <v>2.9048786618318148</v>
      </c>
      <c r="H586" s="35">
        <v>-0.134459119497608</v>
      </c>
      <c r="I586" s="35">
        <v>8.8902543353655099E-3</v>
      </c>
      <c r="J586" s="35">
        <v>-6.7043807638272554E-4</v>
      </c>
      <c r="K586" s="35">
        <v>1.8979959148269822E-3</v>
      </c>
      <c r="L586" s="35">
        <v>13.043357040715039</v>
      </c>
      <c r="M586" s="58" t="s">
        <v>24</v>
      </c>
      <c r="N586" s="7">
        <v>11.333333333333334</v>
      </c>
      <c r="O586" s="7" t="s">
        <v>178</v>
      </c>
      <c r="P586" s="7" t="s">
        <v>178</v>
      </c>
    </row>
    <row r="587" spans="1:16" x14ac:dyDescent="0.25">
      <c r="A587" s="2" t="s">
        <v>183</v>
      </c>
      <c r="B587" s="2" t="s">
        <v>187</v>
      </c>
      <c r="C587" s="6" t="s">
        <v>134</v>
      </c>
      <c r="D587" s="2" t="s">
        <v>107</v>
      </c>
      <c r="E587" s="2"/>
      <c r="F587" s="35">
        <v>5.5393224575487361</v>
      </c>
      <c r="G587" s="35">
        <v>3.0356241102275519</v>
      </c>
      <c r="H587" s="35">
        <v>4.6468658409236502E-2</v>
      </c>
      <c r="I587" s="35">
        <v>8.8902543353655099E-3</v>
      </c>
      <c r="J587" s="35">
        <v>-6.7043807638272554E-4</v>
      </c>
      <c r="K587" s="35">
        <v>-2.2964160094599714E-4</v>
      </c>
      <c r="L587" s="35">
        <v>13.053886087409298</v>
      </c>
      <c r="M587" s="58" t="s">
        <v>24</v>
      </c>
      <c r="N587" s="7">
        <v>11.333333333333334</v>
      </c>
      <c r="O587" s="7" t="s">
        <v>178</v>
      </c>
      <c r="P587" s="7" t="s">
        <v>178</v>
      </c>
    </row>
    <row r="588" spans="1:16" x14ac:dyDescent="0.25">
      <c r="A588" s="2" t="s">
        <v>183</v>
      </c>
      <c r="B588" s="2" t="s">
        <v>187</v>
      </c>
      <c r="C588" s="6" t="s">
        <v>134</v>
      </c>
      <c r="D588" s="2" t="s">
        <v>107</v>
      </c>
      <c r="E588" s="2"/>
      <c r="F588" s="35">
        <v>11.078644915097472</v>
      </c>
      <c r="G588" s="35">
        <v>6.0618390586232911</v>
      </c>
      <c r="H588" s="35">
        <v>4.2341964363160818</v>
      </c>
      <c r="I588" s="35">
        <v>8.8902543353655099E-3</v>
      </c>
      <c r="J588" s="35">
        <v>-6.7043807638272554E-4</v>
      </c>
      <c r="K588" s="35">
        <v>-4.947562709415617E-2</v>
      </c>
      <c r="L588" s="35">
        <v>1.1978939411808263</v>
      </c>
      <c r="M588" s="58" t="s">
        <v>23</v>
      </c>
      <c r="N588" s="7">
        <v>11.333333333333334</v>
      </c>
      <c r="O588" s="7" t="s">
        <v>178</v>
      </c>
      <c r="P588" s="7" t="s">
        <v>178</v>
      </c>
    </row>
    <row r="589" spans="1:16" x14ac:dyDescent="0.25">
      <c r="A589" s="2" t="s">
        <v>183</v>
      </c>
      <c r="B589" s="2" t="s">
        <v>187</v>
      </c>
      <c r="C589" s="6" t="s">
        <v>134</v>
      </c>
      <c r="D589" s="2" t="s">
        <v>108</v>
      </c>
      <c r="E589" s="2"/>
      <c r="F589" s="35">
        <v>0</v>
      </c>
      <c r="G589" s="35">
        <v>15.309590192870337</v>
      </c>
      <c r="H589" s="35">
        <v>-41.534326568392608</v>
      </c>
      <c r="I589" s="35">
        <v>1.1782462857833733</v>
      </c>
      <c r="J589" s="35">
        <v>1.0475691284849808E-3</v>
      </c>
      <c r="K589" s="35">
        <v>7.0797284058936061</v>
      </c>
      <c r="L589" s="35">
        <v>-82.277463250552316</v>
      </c>
      <c r="M589" s="58" t="s">
        <v>22</v>
      </c>
      <c r="N589" s="7">
        <v>11.333333333333334</v>
      </c>
      <c r="O589" s="7" t="s">
        <v>178</v>
      </c>
      <c r="P589" s="7" t="s">
        <v>178</v>
      </c>
    </row>
    <row r="590" spans="1:16" x14ac:dyDescent="0.25">
      <c r="A590" s="2" t="s">
        <v>183</v>
      </c>
      <c r="B590" s="2" t="s">
        <v>187</v>
      </c>
      <c r="C590" s="6" t="s">
        <v>134</v>
      </c>
      <c r="D590" s="2" t="s">
        <v>108</v>
      </c>
      <c r="E590" s="2"/>
      <c r="F590" s="35">
        <v>0.29999999999999988</v>
      </c>
      <c r="G590" s="35">
        <v>15.473484692870338</v>
      </c>
      <c r="H590" s="35">
        <v>-39.549826568392604</v>
      </c>
      <c r="I590" s="35">
        <v>1.1782462857833733</v>
      </c>
      <c r="J590" s="35">
        <v>1.0475691284849808E-3</v>
      </c>
      <c r="K590" s="35">
        <v>6.7262545201585944</v>
      </c>
      <c r="L590" s="35">
        <v>-70.114840280034542</v>
      </c>
      <c r="M590" s="58" t="s">
        <v>22</v>
      </c>
      <c r="N590" s="7">
        <v>11.333333333333334</v>
      </c>
      <c r="O590" s="7" t="s">
        <v>178</v>
      </c>
      <c r="P590" s="7" t="s">
        <v>178</v>
      </c>
    </row>
    <row r="591" spans="1:16" x14ac:dyDescent="0.25">
      <c r="A591" s="2" t="s">
        <v>183</v>
      </c>
      <c r="B591" s="2" t="s">
        <v>187</v>
      </c>
      <c r="C591" s="6" t="s">
        <v>134</v>
      </c>
      <c r="D591" s="2" t="s">
        <v>108</v>
      </c>
      <c r="E591" s="2"/>
      <c r="F591" s="35">
        <v>0.29999999999999988</v>
      </c>
      <c r="G591" s="35">
        <v>101.89432404964765</v>
      </c>
      <c r="H591" s="35">
        <v>-34.411550453016687</v>
      </c>
      <c r="I591" s="35">
        <v>1.1782462857833758</v>
      </c>
      <c r="J591" s="35">
        <v>8.3477414708681933E-4</v>
      </c>
      <c r="K591" s="35">
        <v>6.7262672878574756</v>
      </c>
      <c r="L591" s="35">
        <v>-70.114840280034613</v>
      </c>
      <c r="M591" s="58" t="s">
        <v>22</v>
      </c>
      <c r="N591" s="7">
        <v>11.333333333333334</v>
      </c>
      <c r="O591" s="7" t="s">
        <v>178</v>
      </c>
      <c r="P591" s="7" t="s">
        <v>178</v>
      </c>
    </row>
    <row r="592" spans="1:16" x14ac:dyDescent="0.25">
      <c r="A592" s="2" t="s">
        <v>183</v>
      </c>
      <c r="B592" s="2" t="s">
        <v>187</v>
      </c>
      <c r="C592" s="6" t="s">
        <v>134</v>
      </c>
      <c r="D592" s="2" t="s">
        <v>108</v>
      </c>
      <c r="E592" s="2"/>
      <c r="F592" s="35">
        <v>5.3</v>
      </c>
      <c r="G592" s="35">
        <v>104.62589904964764</v>
      </c>
      <c r="H592" s="35">
        <v>-1.3365504530166807</v>
      </c>
      <c r="I592" s="35">
        <v>1.1782462857833758</v>
      </c>
      <c r="J592" s="35">
        <v>8.3477414708681933E-4</v>
      </c>
      <c r="K592" s="35">
        <v>0.83503585894059773</v>
      </c>
      <c r="L592" s="35">
        <v>19.255411985048806</v>
      </c>
      <c r="M592" s="58" t="s">
        <v>24</v>
      </c>
      <c r="N592" s="7">
        <v>11.333333333333334</v>
      </c>
      <c r="O592" s="7" t="s">
        <v>178</v>
      </c>
      <c r="P592" s="7" t="s">
        <v>178</v>
      </c>
    </row>
    <row r="593" spans="1:16" x14ac:dyDescent="0.25">
      <c r="A593" s="2" t="s">
        <v>183</v>
      </c>
      <c r="B593" s="2" t="s">
        <v>187</v>
      </c>
      <c r="C593" s="6" t="s">
        <v>134</v>
      </c>
      <c r="D593" s="2" t="s">
        <v>108</v>
      </c>
      <c r="E593" s="2"/>
      <c r="F593" s="35">
        <v>5.3</v>
      </c>
      <c r="G593" s="35">
        <v>26.689280502901607</v>
      </c>
      <c r="H593" s="35">
        <v>-16.779909575141279</v>
      </c>
      <c r="I593" s="35">
        <v>1.1780686125200257</v>
      </c>
      <c r="J593" s="35">
        <v>6.3940446450216144E-4</v>
      </c>
      <c r="K593" s="35">
        <v>0.83500143709957975</v>
      </c>
      <c r="L593" s="35">
        <v>19.255411985048791</v>
      </c>
      <c r="M593" s="58" t="s">
        <v>24</v>
      </c>
      <c r="N593" s="7">
        <v>11.333333333333334</v>
      </c>
      <c r="O593" s="7" t="s">
        <v>178</v>
      </c>
      <c r="P593" s="7" t="s">
        <v>178</v>
      </c>
    </row>
    <row r="594" spans="1:16" x14ac:dyDescent="0.25">
      <c r="A594" s="2" t="s">
        <v>183</v>
      </c>
      <c r="B594" s="2" t="s">
        <v>187</v>
      </c>
      <c r="C594" s="6" t="s">
        <v>134</v>
      </c>
      <c r="D594" s="2" t="s">
        <v>108</v>
      </c>
      <c r="E594" s="2"/>
      <c r="F594" s="35">
        <v>5.5393224575487361</v>
      </c>
      <c r="G594" s="35">
        <v>26.820025951297346</v>
      </c>
      <c r="H594" s="35">
        <v>-15.19679151845639</v>
      </c>
      <c r="I594" s="35">
        <v>1.1780686125200257</v>
      </c>
      <c r="J594" s="35">
        <v>6.3940446450216144E-4</v>
      </c>
      <c r="K594" s="35">
        <v>0.55306316159025759</v>
      </c>
      <c r="L594" s="35">
        <v>23.081783330059373</v>
      </c>
      <c r="M594" s="58" t="s">
        <v>24</v>
      </c>
      <c r="N594" s="7">
        <v>11.333333333333334</v>
      </c>
      <c r="O594" s="7" t="s">
        <v>178</v>
      </c>
      <c r="P594" s="7" t="s">
        <v>178</v>
      </c>
    </row>
    <row r="595" spans="1:16" x14ac:dyDescent="0.25">
      <c r="A595" s="2" t="s">
        <v>183</v>
      </c>
      <c r="B595" s="2" t="s">
        <v>187</v>
      </c>
      <c r="C595" s="6" t="s">
        <v>134</v>
      </c>
      <c r="D595" s="2" t="s">
        <v>108</v>
      </c>
      <c r="E595" s="2"/>
      <c r="F595" s="35">
        <v>11.078644915097472</v>
      </c>
      <c r="G595" s="35">
        <v>29.846240899693083</v>
      </c>
      <c r="H595" s="35">
        <v>21.445826538228502</v>
      </c>
      <c r="I595" s="35">
        <v>1.1780686125200257</v>
      </c>
      <c r="J595" s="35">
        <v>6.3940446450216144E-4</v>
      </c>
      <c r="K595" s="35">
        <v>-5.9726387602752</v>
      </c>
      <c r="L595" s="35">
        <v>5.774073318543274</v>
      </c>
      <c r="M595" s="58" t="s">
        <v>23</v>
      </c>
      <c r="N595" s="7">
        <v>11.333333333333334</v>
      </c>
      <c r="O595" s="7" t="s">
        <v>178</v>
      </c>
      <c r="P595" s="7" t="s">
        <v>178</v>
      </c>
    </row>
    <row r="596" spans="1:16" x14ac:dyDescent="0.25">
      <c r="A596" s="2" t="s">
        <v>183</v>
      </c>
      <c r="B596" s="2" t="s">
        <v>187</v>
      </c>
      <c r="C596" s="6" t="s">
        <v>134</v>
      </c>
      <c r="D596" s="2" t="s">
        <v>109</v>
      </c>
      <c r="E596" s="2"/>
      <c r="F596" s="35">
        <v>0</v>
      </c>
      <c r="G596" s="35">
        <v>-6.8416140385222741</v>
      </c>
      <c r="H596" s="35">
        <v>-25.415295048888478</v>
      </c>
      <c r="I596" s="35">
        <v>2.7359065706250867</v>
      </c>
      <c r="J596" s="35">
        <v>1.198349565648556E-3</v>
      </c>
      <c r="K596" s="35">
        <v>16.296036249535383</v>
      </c>
      <c r="L596" s="35">
        <v>-50.608073874123377</v>
      </c>
      <c r="M596" s="58" t="s">
        <v>22</v>
      </c>
      <c r="N596" s="7">
        <v>11.333333333333334</v>
      </c>
      <c r="O596" s="7" t="s">
        <v>178</v>
      </c>
      <c r="P596" s="7" t="s">
        <v>178</v>
      </c>
    </row>
    <row r="597" spans="1:16" x14ac:dyDescent="0.25">
      <c r="A597" s="2" t="s">
        <v>183</v>
      </c>
      <c r="B597" s="2" t="s">
        <v>187</v>
      </c>
      <c r="C597" s="6" t="s">
        <v>134</v>
      </c>
      <c r="D597" s="2" t="s">
        <v>109</v>
      </c>
      <c r="E597" s="2"/>
      <c r="F597" s="35">
        <v>0.29999999999999988</v>
      </c>
      <c r="G597" s="35">
        <v>-6.6777195385222718</v>
      </c>
      <c r="H597" s="35">
        <v>-24.224595048888474</v>
      </c>
      <c r="I597" s="35">
        <v>2.7359065706250867</v>
      </c>
      <c r="J597" s="35">
        <v>1.198349565648556E-3</v>
      </c>
      <c r="K597" s="35">
        <v>15.475264278347858</v>
      </c>
      <c r="L597" s="35">
        <v>-43.162090359456833</v>
      </c>
      <c r="M597" s="58" t="s">
        <v>22</v>
      </c>
      <c r="N597" s="7">
        <v>11.333333333333334</v>
      </c>
      <c r="O597" s="7" t="s">
        <v>178</v>
      </c>
      <c r="P597" s="7" t="s">
        <v>178</v>
      </c>
    </row>
    <row r="598" spans="1:16" x14ac:dyDescent="0.25">
      <c r="A598" s="2" t="s">
        <v>183</v>
      </c>
      <c r="B598" s="2" t="s">
        <v>187</v>
      </c>
      <c r="C598" s="6" t="s">
        <v>134</v>
      </c>
      <c r="D598" s="2" t="s">
        <v>109</v>
      </c>
      <c r="E598" s="2"/>
      <c r="F598" s="35">
        <v>0.29999999999999988</v>
      </c>
      <c r="G598" s="35">
        <v>47.710070587284029</v>
      </c>
      <c r="H598" s="35">
        <v>-21.008301887370845</v>
      </c>
      <c r="I598" s="35">
        <v>2.7359065706250689</v>
      </c>
      <c r="J598" s="35">
        <v>9.0289098797773949E-4</v>
      </c>
      <c r="K598" s="35">
        <v>15.475282005862518</v>
      </c>
      <c r="L598" s="35">
        <v>-43.162090359456833</v>
      </c>
      <c r="M598" s="58" t="s">
        <v>22</v>
      </c>
      <c r="N598" s="7">
        <v>11.333333333333334</v>
      </c>
      <c r="O598" s="7" t="s">
        <v>178</v>
      </c>
      <c r="P598" s="7" t="s">
        <v>178</v>
      </c>
    </row>
    <row r="599" spans="1:16" x14ac:dyDescent="0.25">
      <c r="A599" s="2" t="s">
        <v>183</v>
      </c>
      <c r="B599" s="2" t="s">
        <v>187</v>
      </c>
      <c r="C599" s="6" t="s">
        <v>134</v>
      </c>
      <c r="D599" s="2" t="s">
        <v>109</v>
      </c>
      <c r="E599" s="2"/>
      <c r="F599" s="35">
        <v>5.3</v>
      </c>
      <c r="G599" s="35">
        <v>50.441645587284029</v>
      </c>
      <c r="H599" s="35">
        <v>-1.1633018873708481</v>
      </c>
      <c r="I599" s="35">
        <v>2.7359065706250689</v>
      </c>
      <c r="J599" s="35">
        <v>9.0289098797773949E-4</v>
      </c>
      <c r="K599" s="35">
        <v>1.7957491527371743</v>
      </c>
      <c r="L599" s="35">
        <v>12.266919077397395</v>
      </c>
      <c r="M599" s="58" t="s">
        <v>24</v>
      </c>
      <c r="N599" s="7">
        <v>11.333333333333334</v>
      </c>
      <c r="O599" s="7" t="s">
        <v>178</v>
      </c>
      <c r="P599" s="7" t="s">
        <v>178</v>
      </c>
    </row>
    <row r="600" spans="1:16" x14ac:dyDescent="0.25">
      <c r="A600" s="2" t="s">
        <v>183</v>
      </c>
      <c r="B600" s="2" t="s">
        <v>187</v>
      </c>
      <c r="C600" s="6" t="s">
        <v>134</v>
      </c>
      <c r="D600" s="2" t="s">
        <v>109</v>
      </c>
      <c r="E600" s="2"/>
      <c r="F600" s="35">
        <v>5.3</v>
      </c>
      <c r="G600" s="35">
        <v>2.3498031875883019</v>
      </c>
      <c r="H600" s="35">
        <v>-9.9560057177148344</v>
      </c>
      <c r="I600" s="35">
        <v>2.7356356453910613</v>
      </c>
      <c r="J600" s="35">
        <v>5.3462390034189058E-4</v>
      </c>
      <c r="K600" s="35">
        <v>1.7954334306485717</v>
      </c>
      <c r="L600" s="35">
        <v>12.266919077397375</v>
      </c>
      <c r="M600" s="58" t="s">
        <v>24</v>
      </c>
      <c r="N600" s="7">
        <v>11.333333333333334</v>
      </c>
      <c r="O600" s="7" t="s">
        <v>178</v>
      </c>
      <c r="P600" s="7" t="s">
        <v>178</v>
      </c>
    </row>
    <row r="601" spans="1:16" x14ac:dyDescent="0.25">
      <c r="A601" s="2" t="s">
        <v>183</v>
      </c>
      <c r="B601" s="2" t="s">
        <v>187</v>
      </c>
      <c r="C601" s="6" t="s">
        <v>134</v>
      </c>
      <c r="D601" s="2" t="s">
        <v>109</v>
      </c>
      <c r="E601" s="2"/>
      <c r="F601" s="35">
        <v>5.5393224575487361</v>
      </c>
      <c r="G601" s="35">
        <v>2.4805486359840394</v>
      </c>
      <c r="H601" s="35">
        <v>-9.0061348837038988</v>
      </c>
      <c r="I601" s="35">
        <v>2.7356356453910613</v>
      </c>
      <c r="J601" s="35">
        <v>5.3462390034189058E-4</v>
      </c>
      <c r="K601" s="35">
        <v>1.1407343850356604</v>
      </c>
      <c r="L601" s="35">
        <v>14.535952121955475</v>
      </c>
      <c r="M601" s="58" t="s">
        <v>24</v>
      </c>
      <c r="N601" s="7">
        <v>11.333333333333334</v>
      </c>
      <c r="O601" s="7" t="s">
        <v>178</v>
      </c>
      <c r="P601" s="7" t="s">
        <v>178</v>
      </c>
    </row>
    <row r="602" spans="1:16" x14ac:dyDescent="0.25">
      <c r="A602" s="2" t="s">
        <v>183</v>
      </c>
      <c r="B602" s="2" t="s">
        <v>187</v>
      </c>
      <c r="C602" s="6" t="s">
        <v>134</v>
      </c>
      <c r="D602" s="2" t="s">
        <v>109</v>
      </c>
      <c r="E602" s="2"/>
      <c r="F602" s="35">
        <v>11.078644915097472</v>
      </c>
      <c r="G602" s="35">
        <v>5.5067635843797786</v>
      </c>
      <c r="H602" s="35">
        <v>12.979435950307037</v>
      </c>
      <c r="I602" s="35">
        <v>2.7356356453910613</v>
      </c>
      <c r="J602" s="35">
        <v>5.3462390034189058E-4</v>
      </c>
      <c r="K602" s="35">
        <v>-14.012833581149874</v>
      </c>
      <c r="L602" s="35">
        <v>3.5312542075369282</v>
      </c>
      <c r="M602" s="58" t="s">
        <v>23</v>
      </c>
      <c r="N602" s="7">
        <v>11.333333333333334</v>
      </c>
      <c r="O602" s="7" t="s">
        <v>178</v>
      </c>
      <c r="P602" s="7" t="s">
        <v>178</v>
      </c>
    </row>
    <row r="603" spans="1:16" x14ac:dyDescent="0.25">
      <c r="A603" s="2" t="s">
        <v>183</v>
      </c>
      <c r="B603" s="2" t="s">
        <v>187</v>
      </c>
      <c r="C603" s="6" t="s">
        <v>134</v>
      </c>
      <c r="D603" s="2" t="s">
        <v>110</v>
      </c>
      <c r="E603" s="2"/>
      <c r="F603" s="35">
        <v>0</v>
      </c>
      <c r="G603" s="35">
        <v>13.26678608228675</v>
      </c>
      <c r="H603" s="35">
        <v>-41.689808795687931</v>
      </c>
      <c r="I603" s="35">
        <v>-1.2754362430021693</v>
      </c>
      <c r="J603" s="35">
        <v>1.8021863123706186E-3</v>
      </c>
      <c r="K603" s="35">
        <v>-7.415908241201036</v>
      </c>
      <c r="L603" s="35">
        <v>-82.666938408738517</v>
      </c>
      <c r="M603" s="58" t="s">
        <v>22</v>
      </c>
      <c r="N603" s="7">
        <v>11.333333333333334</v>
      </c>
      <c r="O603" s="7" t="s">
        <v>178</v>
      </c>
      <c r="P603" s="7" t="s">
        <v>178</v>
      </c>
    </row>
    <row r="604" spans="1:16" x14ac:dyDescent="0.25">
      <c r="A604" s="2" t="s">
        <v>183</v>
      </c>
      <c r="B604" s="2" t="s">
        <v>187</v>
      </c>
      <c r="C604" s="6" t="s">
        <v>134</v>
      </c>
      <c r="D604" s="2" t="s">
        <v>110</v>
      </c>
      <c r="E604" s="2"/>
      <c r="F604" s="35">
        <v>0.29999999999999988</v>
      </c>
      <c r="G604" s="35">
        <v>13.430680582286751</v>
      </c>
      <c r="H604" s="35">
        <v>-39.705308795687934</v>
      </c>
      <c r="I604" s="35">
        <v>-1.2754362430021693</v>
      </c>
      <c r="J604" s="35">
        <v>1.8021863123706186E-3</v>
      </c>
      <c r="K604" s="35">
        <v>-7.033277368300384</v>
      </c>
      <c r="L604" s="35">
        <v>-70.457670770032138</v>
      </c>
      <c r="M604" s="58" t="s">
        <v>22</v>
      </c>
      <c r="N604" s="7">
        <v>11.333333333333334</v>
      </c>
      <c r="O604" s="7" t="s">
        <v>178</v>
      </c>
      <c r="P604" s="7" t="s">
        <v>178</v>
      </c>
    </row>
    <row r="605" spans="1:16" x14ac:dyDescent="0.25">
      <c r="A605" s="2" t="s">
        <v>183</v>
      </c>
      <c r="B605" s="2" t="s">
        <v>187</v>
      </c>
      <c r="C605" s="6" t="s">
        <v>134</v>
      </c>
      <c r="D605" s="2" t="s">
        <v>110</v>
      </c>
      <c r="E605" s="2"/>
      <c r="F605" s="35">
        <v>0.29999999999999988</v>
      </c>
      <c r="G605" s="35">
        <v>100.60899479972173</v>
      </c>
      <c r="H605" s="35">
        <v>-34.52158418867262</v>
      </c>
      <c r="I605" s="35">
        <v>-1.2754362430021697</v>
      </c>
      <c r="J605" s="35">
        <v>7.0249674163666857E-4</v>
      </c>
      <c r="K605" s="35">
        <v>-7.0332113869261441</v>
      </c>
      <c r="L605" s="35">
        <v>-70.457670770032166</v>
      </c>
      <c r="M605" s="58" t="s">
        <v>22</v>
      </c>
      <c r="N605" s="7">
        <v>11.333333333333334</v>
      </c>
      <c r="O605" s="7" t="s">
        <v>178</v>
      </c>
      <c r="P605" s="7" t="s">
        <v>178</v>
      </c>
    </row>
    <row r="606" spans="1:16" x14ac:dyDescent="0.25">
      <c r="A606" s="2" t="s">
        <v>183</v>
      </c>
      <c r="B606" s="2" t="s">
        <v>187</v>
      </c>
      <c r="C606" s="6" t="s">
        <v>134</v>
      </c>
      <c r="D606" s="2" t="s">
        <v>110</v>
      </c>
      <c r="E606" s="2"/>
      <c r="F606" s="35">
        <v>5.3</v>
      </c>
      <c r="G606" s="35">
        <v>103.34056979972173</v>
      </c>
      <c r="H606" s="35">
        <v>-1.4465841886726132</v>
      </c>
      <c r="I606" s="35">
        <v>-1.2754362430021697</v>
      </c>
      <c r="J606" s="35">
        <v>7.0249674163666857E-4</v>
      </c>
      <c r="K606" s="35">
        <v>-0.65603017191529722</v>
      </c>
      <c r="L606" s="35">
        <v>19.462750173330917</v>
      </c>
      <c r="M606" s="58" t="s">
        <v>24</v>
      </c>
      <c r="N606" s="7">
        <v>11.333333333333334</v>
      </c>
      <c r="O606" s="7" t="s">
        <v>178</v>
      </c>
      <c r="P606" s="7" t="s">
        <v>178</v>
      </c>
    </row>
    <row r="607" spans="1:16" x14ac:dyDescent="0.25">
      <c r="A607" s="2" t="s">
        <v>183</v>
      </c>
      <c r="B607" s="2" t="s">
        <v>187</v>
      </c>
      <c r="C607" s="6" t="s">
        <v>134</v>
      </c>
      <c r="D607" s="2" t="s">
        <v>110</v>
      </c>
      <c r="E607" s="2"/>
      <c r="F607" s="35">
        <v>5.3</v>
      </c>
      <c r="G607" s="35">
        <v>24.782656016236583</v>
      </c>
      <c r="H607" s="35">
        <v>-16.745550485446618</v>
      </c>
      <c r="I607" s="35">
        <v>-1.275698494855539</v>
      </c>
      <c r="J607" s="35">
        <v>7.1062724876852501E-4</v>
      </c>
      <c r="K607" s="35">
        <v>-0.65704628388470698</v>
      </c>
      <c r="L607" s="35">
        <v>19.462750173330921</v>
      </c>
      <c r="M607" s="58" t="s">
        <v>24</v>
      </c>
      <c r="N607" s="7">
        <v>11.333333333333334</v>
      </c>
      <c r="O607" s="7" t="s">
        <v>178</v>
      </c>
      <c r="P607" s="7" t="s">
        <v>178</v>
      </c>
    </row>
    <row r="608" spans="1:16" x14ac:dyDescent="0.25">
      <c r="A608" s="2" t="s">
        <v>183</v>
      </c>
      <c r="B608" s="2" t="s">
        <v>187</v>
      </c>
      <c r="C608" s="6" t="s">
        <v>134</v>
      </c>
      <c r="D608" s="2" t="s">
        <v>110</v>
      </c>
      <c r="E608" s="2"/>
      <c r="F608" s="35">
        <v>5.5393224575487361</v>
      </c>
      <c r="G608" s="35">
        <v>24.913401464632322</v>
      </c>
      <c r="H608" s="35">
        <v>-15.162432428761726</v>
      </c>
      <c r="I608" s="35">
        <v>-1.275698494855539</v>
      </c>
      <c r="J608" s="35">
        <v>7.1062724876852501E-4</v>
      </c>
      <c r="K608" s="35">
        <v>-0.35174298500465573</v>
      </c>
      <c r="L608" s="35">
        <v>23.280898616556634</v>
      </c>
      <c r="M608" s="58" t="s">
        <v>24</v>
      </c>
      <c r="N608" s="7">
        <v>11.333333333333334</v>
      </c>
      <c r="O608" s="7" t="s">
        <v>178</v>
      </c>
      <c r="P608" s="7" t="s">
        <v>178</v>
      </c>
    </row>
    <row r="609" spans="1:16" x14ac:dyDescent="0.25">
      <c r="A609" s="2" t="s">
        <v>183</v>
      </c>
      <c r="B609" s="2" t="s">
        <v>187</v>
      </c>
      <c r="C609" s="6" t="s">
        <v>134</v>
      </c>
      <c r="D609" s="2" t="s">
        <v>110</v>
      </c>
      <c r="E609" s="2"/>
      <c r="F609" s="35">
        <v>11.078644915097472</v>
      </c>
      <c r="G609" s="35">
        <v>27.939616413028062</v>
      </c>
      <c r="H609" s="35">
        <v>21.48018562792317</v>
      </c>
      <c r="I609" s="35">
        <v>-1.275698494855539</v>
      </c>
      <c r="J609" s="35">
        <v>7.1062724876852501E-4</v>
      </c>
      <c r="K609" s="35">
        <v>6.714762336609752</v>
      </c>
      <c r="L609" s="35">
        <v>5.7828625278739647</v>
      </c>
      <c r="M609" s="58" t="s">
        <v>23</v>
      </c>
      <c r="N609" s="7">
        <v>11.333333333333334</v>
      </c>
      <c r="O609" s="7" t="s">
        <v>178</v>
      </c>
      <c r="P609" s="7" t="s">
        <v>178</v>
      </c>
    </row>
    <row r="610" spans="1:16" x14ac:dyDescent="0.25">
      <c r="A610" s="2" t="s">
        <v>183</v>
      </c>
      <c r="B610" s="2" t="s">
        <v>187</v>
      </c>
      <c r="C610" s="6" t="s">
        <v>134</v>
      </c>
      <c r="D610" s="2" t="s">
        <v>111</v>
      </c>
      <c r="E610" s="2"/>
      <c r="F610" s="35">
        <v>0</v>
      </c>
      <c r="G610" s="35">
        <v>-35.571090151061824</v>
      </c>
      <c r="H610" s="35">
        <v>-26.358654616996805</v>
      </c>
      <c r="I610" s="35">
        <v>-2.6444762032584288</v>
      </c>
      <c r="J610" s="35">
        <v>1.1504331628079691E-3</v>
      </c>
      <c r="K610" s="35">
        <v>-15.889434364868116</v>
      </c>
      <c r="L610" s="35">
        <v>-52.905646269371402</v>
      </c>
      <c r="M610" s="58" t="s">
        <v>22</v>
      </c>
      <c r="N610" s="7">
        <v>11.333333333333334</v>
      </c>
      <c r="O610" s="7" t="s">
        <v>178</v>
      </c>
      <c r="P610" s="7" t="s">
        <v>178</v>
      </c>
    </row>
    <row r="611" spans="1:16" x14ac:dyDescent="0.25">
      <c r="A611" s="2" t="s">
        <v>183</v>
      </c>
      <c r="B611" s="2" t="s">
        <v>187</v>
      </c>
      <c r="C611" s="6" t="s">
        <v>134</v>
      </c>
      <c r="D611" s="2" t="s">
        <v>111</v>
      </c>
      <c r="E611" s="2"/>
      <c r="F611" s="35">
        <v>0.29999999999999988</v>
      </c>
      <c r="G611" s="35">
        <v>-35.407195651061826</v>
      </c>
      <c r="H611" s="35">
        <v>-25.167954616996806</v>
      </c>
      <c r="I611" s="35">
        <v>-2.6444762032584288</v>
      </c>
      <c r="J611" s="35">
        <v>1.1504331628079691E-3</v>
      </c>
      <c r="K611" s="35">
        <v>-15.096091503890587</v>
      </c>
      <c r="L611" s="35">
        <v>-45.176654884272367</v>
      </c>
      <c r="M611" s="58" t="s">
        <v>22</v>
      </c>
      <c r="N611" s="7">
        <v>11.333333333333334</v>
      </c>
      <c r="O611" s="7" t="s">
        <v>178</v>
      </c>
      <c r="P611" s="7" t="s">
        <v>178</v>
      </c>
    </row>
    <row r="612" spans="1:16" x14ac:dyDescent="0.25">
      <c r="A612" s="2" t="s">
        <v>183</v>
      </c>
      <c r="B612" s="2" t="s">
        <v>187</v>
      </c>
      <c r="C612" s="6" t="s">
        <v>134</v>
      </c>
      <c r="D612" s="2" t="s">
        <v>111</v>
      </c>
      <c r="E612" s="2"/>
      <c r="F612" s="35">
        <v>0.29999999999999988</v>
      </c>
      <c r="G612" s="35">
        <v>22.497405148030328</v>
      </c>
      <c r="H612" s="35">
        <v>-21.740652815081997</v>
      </c>
      <c r="I612" s="35">
        <v>-2.644476203258419</v>
      </c>
      <c r="J612" s="35">
        <v>5.4987925191068586E-4</v>
      </c>
      <c r="K612" s="35">
        <v>-15.096055470655937</v>
      </c>
      <c r="L612" s="35">
        <v>-45.176654884272395</v>
      </c>
      <c r="M612" s="58" t="s">
        <v>22</v>
      </c>
      <c r="N612" s="7">
        <v>11.333333333333334</v>
      </c>
      <c r="O612" s="7" t="s">
        <v>178</v>
      </c>
      <c r="P612" s="7" t="s">
        <v>178</v>
      </c>
    </row>
    <row r="613" spans="1:16" x14ac:dyDescent="0.25">
      <c r="A613" s="2" t="s">
        <v>183</v>
      </c>
      <c r="B613" s="2" t="s">
        <v>187</v>
      </c>
      <c r="C613" s="6" t="s">
        <v>134</v>
      </c>
      <c r="D613" s="2" t="s">
        <v>111</v>
      </c>
      <c r="E613" s="2"/>
      <c r="F613" s="35">
        <v>5.3</v>
      </c>
      <c r="G613" s="35">
        <v>25.228980148030324</v>
      </c>
      <c r="H613" s="35">
        <v>-1.8956528150819969</v>
      </c>
      <c r="I613" s="35">
        <v>-2.644476203258419</v>
      </c>
      <c r="J613" s="35">
        <v>5.4987925191068586E-4</v>
      </c>
      <c r="K613" s="35">
        <v>-1.8736744543638399</v>
      </c>
      <c r="L613" s="35">
        <v>13.914109191137586</v>
      </c>
      <c r="M613" s="58" t="s">
        <v>24</v>
      </c>
      <c r="N613" s="7">
        <v>11.333333333333334</v>
      </c>
      <c r="O613" s="7" t="s">
        <v>178</v>
      </c>
      <c r="P613" s="7" t="s">
        <v>178</v>
      </c>
    </row>
    <row r="614" spans="1:16" x14ac:dyDescent="0.25">
      <c r="A614" s="2" t="s">
        <v>183</v>
      </c>
      <c r="B614" s="2" t="s">
        <v>187</v>
      </c>
      <c r="C614" s="6" t="s">
        <v>134</v>
      </c>
      <c r="D614" s="2" t="s">
        <v>111</v>
      </c>
      <c r="E614" s="2"/>
      <c r="F614" s="35">
        <v>5.3</v>
      </c>
      <c r="G614" s="35">
        <v>-26.035643731000111</v>
      </c>
      <c r="H614" s="35">
        <v>-9.6829992179630118</v>
      </c>
      <c r="I614" s="35">
        <v>-2.6444228546656872</v>
      </c>
      <c r="J614" s="35">
        <v>8.4433530898191057E-4</v>
      </c>
      <c r="K614" s="35">
        <v>-1.8745257646862341</v>
      </c>
      <c r="L614" s="35">
        <v>13.914109191137557</v>
      </c>
      <c r="M614" s="58" t="s">
        <v>24</v>
      </c>
      <c r="N614" s="7">
        <v>11.333333333333334</v>
      </c>
      <c r="O614" s="7" t="s">
        <v>178</v>
      </c>
      <c r="P614" s="7" t="s">
        <v>178</v>
      </c>
    </row>
    <row r="615" spans="1:16" x14ac:dyDescent="0.25">
      <c r="A615" s="2" t="s">
        <v>183</v>
      </c>
      <c r="B615" s="2" t="s">
        <v>187</v>
      </c>
      <c r="C615" s="6" t="s">
        <v>134</v>
      </c>
      <c r="D615" s="2" t="s">
        <v>111</v>
      </c>
      <c r="E615" s="2"/>
      <c r="F615" s="35">
        <v>5.5393224575487361</v>
      </c>
      <c r="G615" s="35">
        <v>-25.904898282604375</v>
      </c>
      <c r="H615" s="35">
        <v>-8.7331283839520779</v>
      </c>
      <c r="I615" s="35">
        <v>-2.6444228546656872</v>
      </c>
      <c r="J615" s="35">
        <v>8.4433530898191057E-4</v>
      </c>
      <c r="K615" s="35">
        <v>-1.2416559883095977</v>
      </c>
      <c r="L615" s="35">
        <v>16.117805649248272</v>
      </c>
      <c r="M615" s="58" t="s">
        <v>24</v>
      </c>
      <c r="N615" s="7">
        <v>11.333333333333334</v>
      </c>
      <c r="O615" s="7" t="s">
        <v>178</v>
      </c>
      <c r="P615" s="7" t="s">
        <v>178</v>
      </c>
    </row>
    <row r="616" spans="1:16" x14ac:dyDescent="0.25">
      <c r="A616" s="2" t="s">
        <v>183</v>
      </c>
      <c r="B616" s="2" t="s">
        <v>187</v>
      </c>
      <c r="C616" s="6" t="s">
        <v>134</v>
      </c>
      <c r="D616" s="2" t="s">
        <v>111</v>
      </c>
      <c r="E616" s="2"/>
      <c r="F616" s="35">
        <v>11.078644915097472</v>
      </c>
      <c r="G616" s="35">
        <v>-22.878683334208635</v>
      </c>
      <c r="H616" s="35">
        <v>13.252442450058858</v>
      </c>
      <c r="I616" s="35">
        <v>-2.6444228546656872</v>
      </c>
      <c r="J616" s="35">
        <v>8.4433530898191057E-4</v>
      </c>
      <c r="K616" s="35">
        <v>13.406654917795182</v>
      </c>
      <c r="L616" s="35">
        <v>3.6008366996976844</v>
      </c>
      <c r="M616" s="58" t="s">
        <v>23</v>
      </c>
      <c r="N616" s="7">
        <v>11.333333333333334</v>
      </c>
      <c r="O616" s="7" t="s">
        <v>178</v>
      </c>
      <c r="P616" s="7" t="s">
        <v>178</v>
      </c>
    </row>
    <row r="617" spans="1:16" x14ac:dyDescent="0.25">
      <c r="A617" s="2" t="s">
        <v>183</v>
      </c>
      <c r="B617" s="2" t="s">
        <v>187</v>
      </c>
      <c r="C617" s="6" t="s">
        <v>134</v>
      </c>
      <c r="D617" s="2" t="s">
        <v>112</v>
      </c>
      <c r="E617" s="2"/>
      <c r="F617" s="35">
        <v>0</v>
      </c>
      <c r="G617" s="35">
        <v>49.236670558255348</v>
      </c>
      <c r="H617" s="35">
        <v>26.721443933475015</v>
      </c>
      <c r="I617" s="35">
        <v>-4.1771797860455498E-2</v>
      </c>
      <c r="J617" s="35">
        <v>1.1911041694069051E-3</v>
      </c>
      <c r="K617" s="35">
        <v>-0.13590518190241152</v>
      </c>
      <c r="L617" s="35">
        <v>58.314172444620255</v>
      </c>
      <c r="M617" s="58" t="s">
        <v>22</v>
      </c>
      <c r="N617" s="7">
        <v>11.333333333333334</v>
      </c>
      <c r="O617" s="7" t="s">
        <v>178</v>
      </c>
      <c r="P617" s="7" t="s">
        <v>178</v>
      </c>
    </row>
    <row r="618" spans="1:16" x14ac:dyDescent="0.25">
      <c r="A618" s="2" t="s">
        <v>183</v>
      </c>
      <c r="B618" s="2" t="s">
        <v>187</v>
      </c>
      <c r="C618" s="6" t="s">
        <v>134</v>
      </c>
      <c r="D618" s="2" t="s">
        <v>112</v>
      </c>
      <c r="E618" s="2"/>
      <c r="F618" s="35">
        <v>0.29999999999999988</v>
      </c>
      <c r="G618" s="35">
        <v>49.400565058255346</v>
      </c>
      <c r="H618" s="35">
        <v>25.802903933475015</v>
      </c>
      <c r="I618" s="35">
        <v>-4.1771797860455498E-2</v>
      </c>
      <c r="J618" s="35">
        <v>1.1911041694069051E-3</v>
      </c>
      <c r="K618" s="35">
        <v>-0.12337364254427485</v>
      </c>
      <c r="L618" s="35">
        <v>50.43552026457774</v>
      </c>
      <c r="M618" s="58" t="s">
        <v>22</v>
      </c>
      <c r="N618" s="7">
        <v>11.333333333333334</v>
      </c>
      <c r="O618" s="7" t="s">
        <v>178</v>
      </c>
      <c r="P618" s="7" t="s">
        <v>178</v>
      </c>
    </row>
    <row r="619" spans="1:16" x14ac:dyDescent="0.25">
      <c r="A619" s="2" t="s">
        <v>183</v>
      </c>
      <c r="B619" s="2" t="s">
        <v>187</v>
      </c>
      <c r="C619" s="6" t="s">
        <v>134</v>
      </c>
      <c r="D619" s="2" t="s">
        <v>112</v>
      </c>
      <c r="E619" s="2"/>
      <c r="F619" s="35">
        <v>0.29999999999999988</v>
      </c>
      <c r="G619" s="35">
        <v>-12.310957289016727</v>
      </c>
      <c r="H619" s="35">
        <v>22.05323834660792</v>
      </c>
      <c r="I619" s="35">
        <v>-4.1771797860456261E-2</v>
      </c>
      <c r="J619" s="35">
        <v>1.31009518096285E-4</v>
      </c>
      <c r="K619" s="35">
        <v>-0.12331003686519598</v>
      </c>
      <c r="L619" s="35">
        <v>50.435520264577761</v>
      </c>
      <c r="M619" s="58" t="s">
        <v>22</v>
      </c>
      <c r="N619" s="7">
        <v>11.333333333333334</v>
      </c>
      <c r="O619" s="7" t="s">
        <v>178</v>
      </c>
      <c r="P619" s="7" t="s">
        <v>178</v>
      </c>
    </row>
    <row r="620" spans="1:16" x14ac:dyDescent="0.25">
      <c r="A620" s="2" t="s">
        <v>183</v>
      </c>
      <c r="B620" s="2" t="s">
        <v>187</v>
      </c>
      <c r="C620" s="6" t="s">
        <v>134</v>
      </c>
      <c r="D620" s="2" t="s">
        <v>112</v>
      </c>
      <c r="E620" s="2"/>
      <c r="F620" s="35">
        <v>5.3</v>
      </c>
      <c r="G620" s="35">
        <v>-9.5793822890167295</v>
      </c>
      <c r="H620" s="35">
        <v>6.7442383466079168</v>
      </c>
      <c r="I620" s="35">
        <v>-4.1771797860456261E-2</v>
      </c>
      <c r="J620" s="35">
        <v>1.31009518096285E-4</v>
      </c>
      <c r="K620" s="35">
        <v>8.5548952437085254E-2</v>
      </c>
      <c r="L620" s="35">
        <v>-21.558171468461822</v>
      </c>
      <c r="M620" s="58" t="s">
        <v>24</v>
      </c>
      <c r="N620" s="7">
        <v>11.333333333333334</v>
      </c>
      <c r="O620" s="7" t="s">
        <v>178</v>
      </c>
      <c r="P620" s="7" t="s">
        <v>178</v>
      </c>
    </row>
    <row r="621" spans="1:16" x14ac:dyDescent="0.25">
      <c r="A621" s="2" t="s">
        <v>183</v>
      </c>
      <c r="B621" s="2" t="s">
        <v>187</v>
      </c>
      <c r="C621" s="6" t="s">
        <v>134</v>
      </c>
      <c r="D621" s="2" t="s">
        <v>112</v>
      </c>
      <c r="E621" s="2"/>
      <c r="F621" s="35">
        <v>5.3</v>
      </c>
      <c r="G621" s="35">
        <v>46.900582491126286</v>
      </c>
      <c r="H621" s="35">
        <v>5.6473612031624629</v>
      </c>
      <c r="I621" s="35">
        <v>-4.2111903268198032E-2</v>
      </c>
      <c r="J621" s="35">
        <v>-2.3713279227592801E-5</v>
      </c>
      <c r="K621" s="35">
        <v>8.459736990604344E-2</v>
      </c>
      <c r="L621" s="35">
        <v>-21.558171468461776</v>
      </c>
      <c r="M621" s="58" t="s">
        <v>24</v>
      </c>
      <c r="N621" s="7">
        <v>11.333333333333334</v>
      </c>
      <c r="O621" s="7" t="s">
        <v>178</v>
      </c>
      <c r="P621" s="7" t="s">
        <v>178</v>
      </c>
    </row>
    <row r="622" spans="1:16" x14ac:dyDescent="0.25">
      <c r="A622" s="2" t="s">
        <v>183</v>
      </c>
      <c r="B622" s="2" t="s">
        <v>187</v>
      </c>
      <c r="C622" s="6" t="s">
        <v>134</v>
      </c>
      <c r="D622" s="2" t="s">
        <v>112</v>
      </c>
      <c r="E622" s="2"/>
      <c r="F622" s="35">
        <v>5.5393224575487361</v>
      </c>
      <c r="G622" s="35">
        <v>47.031327939522029</v>
      </c>
      <c r="H622" s="35">
        <v>4.9146037026397424</v>
      </c>
      <c r="I622" s="35">
        <v>-4.2111903268198032E-2</v>
      </c>
      <c r="J622" s="35">
        <v>-2.3713279227592801E-5</v>
      </c>
      <c r="K622" s="35">
        <v>9.4675694088243251E-2</v>
      </c>
      <c r="L622" s="35">
        <v>-22.822029167361819</v>
      </c>
      <c r="M622" s="58" t="s">
        <v>24</v>
      </c>
      <c r="N622" s="7">
        <v>11.333333333333334</v>
      </c>
      <c r="O622" s="7" t="s">
        <v>178</v>
      </c>
      <c r="P622" s="7" t="s">
        <v>178</v>
      </c>
    </row>
    <row r="623" spans="1:16" x14ac:dyDescent="0.25">
      <c r="A623" s="2" t="s">
        <v>183</v>
      </c>
      <c r="B623" s="2" t="s">
        <v>187</v>
      </c>
      <c r="C623" s="6" t="s">
        <v>134</v>
      </c>
      <c r="D623" s="2" t="s">
        <v>112</v>
      </c>
      <c r="E623" s="2"/>
      <c r="F623" s="35">
        <v>11.078644915097472</v>
      </c>
      <c r="G623" s="35">
        <v>50.057542887917769</v>
      </c>
      <c r="H623" s="35">
        <v>-12.045693797882983</v>
      </c>
      <c r="I623" s="35">
        <v>-4.2111903268198032E-2</v>
      </c>
      <c r="J623" s="35">
        <v>-2.3713279227592801E-5</v>
      </c>
      <c r="K623" s="35">
        <v>0.32794710559189261</v>
      </c>
      <c r="L623" s="35">
        <v>-3.0713254116696986</v>
      </c>
      <c r="M623" s="58" t="s">
        <v>23</v>
      </c>
      <c r="N623" s="7">
        <v>11.333333333333334</v>
      </c>
      <c r="O623" s="7" t="s">
        <v>178</v>
      </c>
      <c r="P623" s="7" t="s">
        <v>178</v>
      </c>
    </row>
    <row r="624" spans="1:16" x14ac:dyDescent="0.25">
      <c r="A624" s="2" t="s">
        <v>183</v>
      </c>
      <c r="B624" s="2" t="s">
        <v>187</v>
      </c>
      <c r="C624" s="6" t="s">
        <v>134</v>
      </c>
      <c r="D624" s="2" t="s">
        <v>113</v>
      </c>
      <c r="E624" s="2"/>
      <c r="F624" s="35">
        <v>0</v>
      </c>
      <c r="G624" s="35">
        <v>33.067706128370126</v>
      </c>
      <c r="H624" s="35">
        <v>41.254456824260437</v>
      </c>
      <c r="I624" s="35">
        <v>-3.7806786390519299E-2</v>
      </c>
      <c r="J624" s="35">
        <v>5.8305958072587313E-4</v>
      </c>
      <c r="K624" s="35">
        <v>-0.12738712348427417</v>
      </c>
      <c r="L624" s="35">
        <v>86.919513965801443</v>
      </c>
      <c r="M624" s="58" t="s">
        <v>22</v>
      </c>
      <c r="N624" s="7">
        <v>11.333333333333334</v>
      </c>
      <c r="O624" s="7" t="s">
        <v>178</v>
      </c>
      <c r="P624" s="7" t="s">
        <v>178</v>
      </c>
    </row>
    <row r="625" spans="1:16" x14ac:dyDescent="0.25">
      <c r="A625" s="2" t="s">
        <v>183</v>
      </c>
      <c r="B625" s="2" t="s">
        <v>187</v>
      </c>
      <c r="C625" s="6" t="s">
        <v>134</v>
      </c>
      <c r="D625" s="2" t="s">
        <v>113</v>
      </c>
      <c r="E625" s="2"/>
      <c r="F625" s="35">
        <v>0.29999999999999988</v>
      </c>
      <c r="G625" s="35">
        <v>33.231600628370131</v>
      </c>
      <c r="H625" s="35">
        <v>39.621496824260433</v>
      </c>
      <c r="I625" s="35">
        <v>-3.7806786390519299E-2</v>
      </c>
      <c r="J625" s="35">
        <v>5.8305958072587313E-4</v>
      </c>
      <c r="K625" s="35">
        <v>-0.11604508756711834</v>
      </c>
      <c r="L625" s="35">
        <v>74.788120918523319</v>
      </c>
      <c r="M625" s="58" t="s">
        <v>22</v>
      </c>
      <c r="N625" s="7">
        <v>11.333333333333334</v>
      </c>
      <c r="O625" s="7" t="s">
        <v>178</v>
      </c>
      <c r="P625" s="7" t="s">
        <v>178</v>
      </c>
    </row>
    <row r="626" spans="1:16" x14ac:dyDescent="0.25">
      <c r="A626" s="2" t="s">
        <v>183</v>
      </c>
      <c r="B626" s="2" t="s">
        <v>187</v>
      </c>
      <c r="C626" s="6" t="s">
        <v>134</v>
      </c>
      <c r="D626" s="2" t="s">
        <v>113</v>
      </c>
      <c r="E626" s="2"/>
      <c r="F626" s="35">
        <v>0.29999999999999988</v>
      </c>
      <c r="G626" s="35">
        <v>-56.700401483538883</v>
      </c>
      <c r="H626" s="35">
        <v>34.178602451515225</v>
      </c>
      <c r="I626" s="35">
        <v>-3.7806786390519431E-2</v>
      </c>
      <c r="J626" s="35">
        <v>-1.233966504642395E-4</v>
      </c>
      <c r="K626" s="35">
        <v>-0.11600270019324677</v>
      </c>
      <c r="L626" s="35">
        <v>74.788120918523347</v>
      </c>
      <c r="M626" s="58" t="s">
        <v>22</v>
      </c>
      <c r="N626" s="7">
        <v>11.333333333333334</v>
      </c>
      <c r="O626" s="7" t="s">
        <v>178</v>
      </c>
      <c r="P626" s="7" t="s">
        <v>178</v>
      </c>
    </row>
    <row r="627" spans="1:16" x14ac:dyDescent="0.25">
      <c r="A627" s="2" t="s">
        <v>183</v>
      </c>
      <c r="B627" s="2" t="s">
        <v>187</v>
      </c>
      <c r="C627" s="6" t="s">
        <v>134</v>
      </c>
      <c r="D627" s="2" t="s">
        <v>113</v>
      </c>
      <c r="E627" s="2"/>
      <c r="F627" s="35">
        <v>5.3</v>
      </c>
      <c r="G627" s="35">
        <v>-53.968826483538891</v>
      </c>
      <c r="H627" s="35">
        <v>6.9626024515152265</v>
      </c>
      <c r="I627" s="35">
        <v>-3.7806786390519431E-2</v>
      </c>
      <c r="J627" s="35">
        <v>-1.233966504642395E-4</v>
      </c>
      <c r="K627" s="35">
        <v>7.3031231759350348E-2</v>
      </c>
      <c r="L627" s="35">
        <v>-28.064891339052767</v>
      </c>
      <c r="M627" s="58" t="s">
        <v>24</v>
      </c>
      <c r="N627" s="7">
        <v>11.333333333333334</v>
      </c>
      <c r="O627" s="7" t="s">
        <v>178</v>
      </c>
      <c r="P627" s="7" t="s">
        <v>178</v>
      </c>
    </row>
    <row r="628" spans="1:16" x14ac:dyDescent="0.25">
      <c r="A628" s="2" t="s">
        <v>183</v>
      </c>
      <c r="B628" s="2" t="s">
        <v>187</v>
      </c>
      <c r="C628" s="6" t="s">
        <v>134</v>
      </c>
      <c r="D628" s="2" t="s">
        <v>113</v>
      </c>
      <c r="E628" s="2"/>
      <c r="F628" s="35">
        <v>5.3</v>
      </c>
      <c r="G628" s="35">
        <v>28.944088008737484</v>
      </c>
      <c r="H628" s="35">
        <v>11.752897545934273</v>
      </c>
      <c r="I628" s="35">
        <v>-3.8025603144255626E-2</v>
      </c>
      <c r="J628" s="35">
        <v>-2.1827773089997762E-4</v>
      </c>
      <c r="K628" s="35">
        <v>7.2347600486708408E-2</v>
      </c>
      <c r="L628" s="35">
        <v>-28.064891339052721</v>
      </c>
      <c r="M628" s="58" t="s">
        <v>24</v>
      </c>
      <c r="N628" s="7">
        <v>11.333333333333334</v>
      </c>
      <c r="O628" s="7" t="s">
        <v>178</v>
      </c>
      <c r="P628" s="7" t="s">
        <v>178</v>
      </c>
    </row>
    <row r="629" spans="1:16" x14ac:dyDescent="0.25">
      <c r="A629" s="2" t="s">
        <v>183</v>
      </c>
      <c r="B629" s="2" t="s">
        <v>187</v>
      </c>
      <c r="C629" s="6" t="s">
        <v>134</v>
      </c>
      <c r="D629" s="2" t="s">
        <v>113</v>
      </c>
      <c r="E629" s="2"/>
      <c r="F629" s="35">
        <v>5.5393224575487361</v>
      </c>
      <c r="G629" s="35">
        <v>29.074833457133224</v>
      </c>
      <c r="H629" s="35">
        <v>10.450217545004993</v>
      </c>
      <c r="I629" s="35">
        <v>-3.8025603144255626E-2</v>
      </c>
      <c r="J629" s="35">
        <v>-2.1827773089997762E-4</v>
      </c>
      <c r="K629" s="35">
        <v>8.1447981280964601E-2</v>
      </c>
      <c r="L629" s="35">
        <v>-30.721743373453229</v>
      </c>
      <c r="M629" s="58" t="s">
        <v>24</v>
      </c>
      <c r="N629" s="7">
        <v>11.333333333333334</v>
      </c>
      <c r="O629" s="7" t="s">
        <v>178</v>
      </c>
      <c r="P629" s="7" t="s">
        <v>178</v>
      </c>
    </row>
    <row r="630" spans="1:16" x14ac:dyDescent="0.25">
      <c r="A630" s="2" t="s">
        <v>183</v>
      </c>
      <c r="B630" s="2" t="s">
        <v>187</v>
      </c>
      <c r="C630" s="6" t="s">
        <v>134</v>
      </c>
      <c r="D630" s="2" t="s">
        <v>113</v>
      </c>
      <c r="E630" s="2"/>
      <c r="F630" s="35">
        <v>11.078644915097472</v>
      </c>
      <c r="G630" s="35">
        <v>32.101048405528964</v>
      </c>
      <c r="H630" s="35">
        <v>-19.701422455924295</v>
      </c>
      <c r="I630" s="35">
        <v>-3.8025603144255626E-2</v>
      </c>
      <c r="J630" s="35">
        <v>-2.1827773089997762E-4</v>
      </c>
      <c r="K630" s="35">
        <v>0.29208405873977555</v>
      </c>
      <c r="L630" s="35">
        <v>-5.0990398122330127</v>
      </c>
      <c r="M630" s="58" t="s">
        <v>23</v>
      </c>
      <c r="N630" s="7">
        <v>11.333333333333334</v>
      </c>
      <c r="O630" s="7" t="s">
        <v>178</v>
      </c>
      <c r="P630" s="7" t="s">
        <v>178</v>
      </c>
    </row>
    <row r="631" spans="1:16" x14ac:dyDescent="0.25">
      <c r="A631" s="2" t="s">
        <v>183</v>
      </c>
      <c r="B631" s="2" t="s">
        <v>187</v>
      </c>
      <c r="C631" s="6" t="s">
        <v>134</v>
      </c>
      <c r="D631" s="2" t="s">
        <v>114</v>
      </c>
      <c r="E631" s="2"/>
      <c r="F631" s="35">
        <v>0</v>
      </c>
      <c r="G631" s="35">
        <v>-8.5793930091611124</v>
      </c>
      <c r="H631" s="35">
        <v>-26.281219692497629</v>
      </c>
      <c r="I631" s="35">
        <v>2.8066343943547633E-2</v>
      </c>
      <c r="J631" s="35">
        <v>1.655195192144508E-4</v>
      </c>
      <c r="K631" s="35">
        <v>0.13622282846024392</v>
      </c>
      <c r="L631" s="35">
        <v>-57.401477289708005</v>
      </c>
      <c r="M631" s="58" t="s">
        <v>22</v>
      </c>
      <c r="N631" s="7">
        <v>11.333333333333334</v>
      </c>
      <c r="O631" s="7" t="s">
        <v>178</v>
      </c>
      <c r="P631" s="7" t="s">
        <v>178</v>
      </c>
    </row>
    <row r="632" spans="1:16" x14ac:dyDescent="0.25">
      <c r="A632" s="2" t="s">
        <v>183</v>
      </c>
      <c r="B632" s="2" t="s">
        <v>187</v>
      </c>
      <c r="C632" s="6" t="s">
        <v>134</v>
      </c>
      <c r="D632" s="2" t="s">
        <v>114</v>
      </c>
      <c r="E632" s="2"/>
      <c r="F632" s="35">
        <v>0.29999999999999988</v>
      </c>
      <c r="G632" s="35">
        <v>-8.415498509161111</v>
      </c>
      <c r="H632" s="35">
        <v>-25.362679692497629</v>
      </c>
      <c r="I632" s="35">
        <v>2.8066343943547633E-2</v>
      </c>
      <c r="J632" s="35">
        <v>1.655195192144508E-4</v>
      </c>
      <c r="K632" s="35">
        <v>0.12780292527717962</v>
      </c>
      <c r="L632" s="35">
        <v>-49.654892381958724</v>
      </c>
      <c r="M632" s="58" t="s">
        <v>22</v>
      </c>
      <c r="N632" s="7">
        <v>11.333333333333334</v>
      </c>
      <c r="O632" s="7" t="s">
        <v>178</v>
      </c>
      <c r="P632" s="7" t="s">
        <v>178</v>
      </c>
    </row>
    <row r="633" spans="1:16" x14ac:dyDescent="0.25">
      <c r="A633" s="2" t="s">
        <v>183</v>
      </c>
      <c r="B633" s="2" t="s">
        <v>187</v>
      </c>
      <c r="C633" s="6" t="s">
        <v>134</v>
      </c>
      <c r="D633" s="2" t="s">
        <v>114</v>
      </c>
      <c r="E633" s="2"/>
      <c r="F633" s="35">
        <v>0.29999999999999988</v>
      </c>
      <c r="G633" s="35">
        <v>58.490968595199391</v>
      </c>
      <c r="H633" s="35">
        <v>-21.395265912266776</v>
      </c>
      <c r="I633" s="35">
        <v>2.8066343943547858E-2</v>
      </c>
      <c r="J633" s="35">
        <v>-2.0838311828789245E-4</v>
      </c>
      <c r="K633" s="35">
        <v>0.1278253594354298</v>
      </c>
      <c r="L633" s="35">
        <v>-49.654892381958746</v>
      </c>
      <c r="M633" s="58" t="s">
        <v>22</v>
      </c>
      <c r="N633" s="7">
        <v>11.333333333333334</v>
      </c>
      <c r="O633" s="7" t="s">
        <v>178</v>
      </c>
      <c r="P633" s="7" t="s">
        <v>178</v>
      </c>
    </row>
    <row r="634" spans="1:16" x14ac:dyDescent="0.25">
      <c r="A634" s="2" t="s">
        <v>183</v>
      </c>
      <c r="B634" s="2" t="s">
        <v>187</v>
      </c>
      <c r="C634" s="6" t="s">
        <v>134</v>
      </c>
      <c r="D634" s="2" t="s">
        <v>114</v>
      </c>
      <c r="E634" s="2"/>
      <c r="F634" s="35">
        <v>5.3</v>
      </c>
      <c r="G634" s="35">
        <v>61.22254359519939</v>
      </c>
      <c r="H634" s="35">
        <v>-6.0862659122667715</v>
      </c>
      <c r="I634" s="35">
        <v>2.8066343943547858E-2</v>
      </c>
      <c r="J634" s="35">
        <v>-2.0838311828789245E-4</v>
      </c>
      <c r="K634" s="35">
        <v>-1.25063602823095E-2</v>
      </c>
      <c r="L634" s="35">
        <v>19.048937179375113</v>
      </c>
      <c r="M634" s="58" t="s">
        <v>24</v>
      </c>
      <c r="N634" s="7">
        <v>11.333333333333334</v>
      </c>
      <c r="O634" s="7" t="s">
        <v>178</v>
      </c>
      <c r="P634" s="7" t="s">
        <v>178</v>
      </c>
    </row>
    <row r="635" spans="1:16" x14ac:dyDescent="0.25">
      <c r="A635" s="2" t="s">
        <v>183</v>
      </c>
      <c r="B635" s="2" t="s">
        <v>187</v>
      </c>
      <c r="C635" s="6" t="s">
        <v>134</v>
      </c>
      <c r="D635" s="2" t="s">
        <v>114</v>
      </c>
      <c r="E635" s="2"/>
      <c r="F635" s="35">
        <v>5.3</v>
      </c>
      <c r="G635" s="35">
        <v>5.8481284124518922</v>
      </c>
      <c r="H635" s="35">
        <v>-6.0950093512164631</v>
      </c>
      <c r="I635" s="35">
        <v>2.7939880574142779E-2</v>
      </c>
      <c r="J635" s="35">
        <v>-2.8296962605428648E-4</v>
      </c>
      <c r="K635" s="35">
        <v>-1.2796404442743388E-2</v>
      </c>
      <c r="L635" s="35">
        <v>19.048937179375098</v>
      </c>
      <c r="M635" s="58" t="s">
        <v>24</v>
      </c>
      <c r="N635" s="7">
        <v>11.333333333333334</v>
      </c>
      <c r="O635" s="7" t="s">
        <v>178</v>
      </c>
      <c r="P635" s="7" t="s">
        <v>178</v>
      </c>
    </row>
    <row r="636" spans="1:16" x14ac:dyDescent="0.25">
      <c r="A636" s="2" t="s">
        <v>183</v>
      </c>
      <c r="B636" s="2" t="s">
        <v>187</v>
      </c>
      <c r="C636" s="6" t="s">
        <v>134</v>
      </c>
      <c r="D636" s="2" t="s">
        <v>114</v>
      </c>
      <c r="E636" s="2"/>
      <c r="F636" s="35">
        <v>5.5393224575487361</v>
      </c>
      <c r="G636" s="35">
        <v>5.9788738608476333</v>
      </c>
      <c r="H636" s="35">
        <v>-5.3622518506937418</v>
      </c>
      <c r="I636" s="35">
        <v>2.7939880574142779E-2</v>
      </c>
      <c r="J636" s="35">
        <v>-2.8296962605428648E-4</v>
      </c>
      <c r="K636" s="35">
        <v>-1.9483045325365426E-2</v>
      </c>
      <c r="L636" s="35">
        <v>20.419927133184569</v>
      </c>
      <c r="M636" s="58" t="s">
        <v>24</v>
      </c>
      <c r="N636" s="7">
        <v>11.333333333333334</v>
      </c>
      <c r="O636" s="7" t="s">
        <v>178</v>
      </c>
      <c r="P636" s="7" t="s">
        <v>178</v>
      </c>
    </row>
    <row r="637" spans="1:16" x14ac:dyDescent="0.25">
      <c r="A637" s="2" t="s">
        <v>183</v>
      </c>
      <c r="B637" s="2" t="s">
        <v>187</v>
      </c>
      <c r="C637" s="6" t="s">
        <v>134</v>
      </c>
      <c r="D637" s="2" t="s">
        <v>114</v>
      </c>
      <c r="E637" s="2"/>
      <c r="F637" s="35">
        <v>11.078644915097472</v>
      </c>
      <c r="G637" s="35">
        <v>9.0050888092433716</v>
      </c>
      <c r="H637" s="35">
        <v>11.598045649828984</v>
      </c>
      <c r="I637" s="35">
        <v>2.7939880574142779E-2</v>
      </c>
      <c r="J637" s="35">
        <v>-2.8296962605428648E-4</v>
      </c>
      <c r="K637" s="35">
        <v>-0.17425105325094417</v>
      </c>
      <c r="L637" s="35">
        <v>3.1488908170880672</v>
      </c>
      <c r="M637" s="58" t="s">
        <v>23</v>
      </c>
      <c r="N637" s="7">
        <v>11.333333333333334</v>
      </c>
      <c r="O637" s="7" t="s">
        <v>178</v>
      </c>
      <c r="P637" s="7" t="s">
        <v>178</v>
      </c>
    </row>
    <row r="638" spans="1:16" x14ac:dyDescent="0.25">
      <c r="A638" s="2" t="s">
        <v>183</v>
      </c>
      <c r="B638" s="2" t="s">
        <v>187</v>
      </c>
      <c r="C638" s="6" t="s">
        <v>134</v>
      </c>
      <c r="D638" s="2" t="s">
        <v>115</v>
      </c>
      <c r="E638" s="2"/>
      <c r="F638" s="35">
        <v>0</v>
      </c>
      <c r="G638" s="35">
        <v>-24.772934158966596</v>
      </c>
      <c r="H638" s="35">
        <v>-11.741887390785664</v>
      </c>
      <c r="I638" s="35">
        <v>2.9271269127669804E-2</v>
      </c>
      <c r="J638" s="35">
        <v>-4.33234364125529E-4</v>
      </c>
      <c r="K638" s="35">
        <v>0.13449854658702698</v>
      </c>
      <c r="L638" s="35">
        <v>-28.777673126250196</v>
      </c>
      <c r="M638" s="58" t="s">
        <v>22</v>
      </c>
      <c r="N638" s="7">
        <v>11.333333333333334</v>
      </c>
      <c r="O638" s="7" t="s">
        <v>178</v>
      </c>
      <c r="P638" s="7" t="s">
        <v>178</v>
      </c>
    </row>
    <row r="639" spans="1:16" x14ac:dyDescent="0.25">
      <c r="A639" s="2" t="s">
        <v>183</v>
      </c>
      <c r="B639" s="2" t="s">
        <v>187</v>
      </c>
      <c r="C639" s="6" t="s">
        <v>134</v>
      </c>
      <c r="D639" s="2" t="s">
        <v>115</v>
      </c>
      <c r="E639" s="2"/>
      <c r="F639" s="35">
        <v>0.29999999999999988</v>
      </c>
      <c r="G639" s="35">
        <v>-24.609039658966594</v>
      </c>
      <c r="H639" s="35">
        <v>-11.537767390785664</v>
      </c>
      <c r="I639" s="35">
        <v>2.9271269127669804E-2</v>
      </c>
      <c r="J639" s="35">
        <v>-4.33234364125529E-4</v>
      </c>
      <c r="K639" s="35">
        <v>0.12571716584872605</v>
      </c>
      <c r="L639" s="35">
        <v>-25.285724909014498</v>
      </c>
      <c r="M639" s="58" t="s">
        <v>22</v>
      </c>
      <c r="N639" s="7">
        <v>11.333333333333334</v>
      </c>
      <c r="O639" s="7" t="s">
        <v>178</v>
      </c>
      <c r="P639" s="7" t="s">
        <v>178</v>
      </c>
    </row>
    <row r="640" spans="1:16" x14ac:dyDescent="0.25">
      <c r="A640" s="2" t="s">
        <v>183</v>
      </c>
      <c r="B640" s="2" t="s">
        <v>187</v>
      </c>
      <c r="C640" s="6" t="s">
        <v>134</v>
      </c>
      <c r="D640" s="2" t="s">
        <v>115</v>
      </c>
      <c r="E640" s="2"/>
      <c r="F640" s="35">
        <v>0.29999999999999988</v>
      </c>
      <c r="G640" s="35">
        <v>14.061858265374806</v>
      </c>
      <c r="H640" s="35">
        <v>-9.2644877613559107</v>
      </c>
      <c r="I640" s="35">
        <v>2.9271269127669971E-2</v>
      </c>
      <c r="J640" s="35">
        <v>-4.6135900166038054E-4</v>
      </c>
      <c r="K640" s="35">
        <v>0.12571885332697821</v>
      </c>
      <c r="L640" s="35">
        <v>-25.285724909014508</v>
      </c>
      <c r="M640" s="58" t="s">
        <v>22</v>
      </c>
      <c r="N640" s="7">
        <v>11.333333333333334</v>
      </c>
      <c r="O640" s="7" t="s">
        <v>178</v>
      </c>
      <c r="P640" s="7" t="s">
        <v>178</v>
      </c>
    </row>
    <row r="641" spans="1:16" x14ac:dyDescent="0.25">
      <c r="A641" s="2" t="s">
        <v>183</v>
      </c>
      <c r="B641" s="2" t="s">
        <v>187</v>
      </c>
      <c r="C641" s="6" t="s">
        <v>134</v>
      </c>
      <c r="D641" s="2" t="s">
        <v>115</v>
      </c>
      <c r="E641" s="2"/>
      <c r="F641" s="35">
        <v>5.3</v>
      </c>
      <c r="G641" s="35">
        <v>16.793433265374802</v>
      </c>
      <c r="H641" s="35">
        <v>-5.8624877613559105</v>
      </c>
      <c r="I641" s="35">
        <v>2.9271269127669971E-2</v>
      </c>
      <c r="J641" s="35">
        <v>-4.6135900166038054E-4</v>
      </c>
      <c r="K641" s="35">
        <v>-2.0637492311371651E-2</v>
      </c>
      <c r="L641" s="35">
        <v>12.531713897765043</v>
      </c>
      <c r="M641" s="58" t="s">
        <v>24</v>
      </c>
      <c r="N641" s="7">
        <v>11.333333333333334</v>
      </c>
      <c r="O641" s="7" t="s">
        <v>178</v>
      </c>
      <c r="P641" s="7" t="s">
        <v>178</v>
      </c>
    </row>
    <row r="642" spans="1:16" x14ac:dyDescent="0.25">
      <c r="A642" s="2" t="s">
        <v>183</v>
      </c>
      <c r="B642" s="2" t="s">
        <v>187</v>
      </c>
      <c r="C642" s="6" t="s">
        <v>134</v>
      </c>
      <c r="D642" s="2" t="s">
        <v>115</v>
      </c>
      <c r="E642" s="2"/>
      <c r="F642" s="35">
        <v>5.3</v>
      </c>
      <c r="G642" s="35">
        <v>-12.137609854251476</v>
      </c>
      <c r="H642" s="35">
        <v>8.7859236752260844E-3</v>
      </c>
      <c r="I642" s="35">
        <v>2.926388001374253E-2</v>
      </c>
      <c r="J642" s="35">
        <v>-4.7643044965163598E-4</v>
      </c>
      <c r="K642" s="35">
        <v>-2.0668558151798813E-2</v>
      </c>
      <c r="L642" s="35">
        <v>12.531713897765023</v>
      </c>
      <c r="M642" s="58" t="s">
        <v>24</v>
      </c>
      <c r="N642" s="7">
        <v>11.333333333333334</v>
      </c>
      <c r="O642" s="7" t="s">
        <v>178</v>
      </c>
      <c r="P642" s="7" t="s">
        <v>178</v>
      </c>
    </row>
    <row r="643" spans="1:16" x14ac:dyDescent="0.25">
      <c r="A643" s="2" t="s">
        <v>183</v>
      </c>
      <c r="B643" s="2" t="s">
        <v>187</v>
      </c>
      <c r="C643" s="6" t="s">
        <v>134</v>
      </c>
      <c r="D643" s="2" t="s">
        <v>115</v>
      </c>
      <c r="E643" s="2"/>
      <c r="F643" s="35">
        <v>5.5393224575487361</v>
      </c>
      <c r="G643" s="35">
        <v>-12.006864405855737</v>
      </c>
      <c r="H643" s="35">
        <v>0.1716209237913861</v>
      </c>
      <c r="I643" s="35">
        <v>2.926388001374253E-2</v>
      </c>
      <c r="J643" s="35">
        <v>-4.7643044965163598E-4</v>
      </c>
      <c r="K643" s="35">
        <v>-2.767206183409901E-2</v>
      </c>
      <c r="L643" s="35">
        <v>12.510126192717857</v>
      </c>
      <c r="M643" s="58" t="s">
        <v>24</v>
      </c>
      <c r="N643" s="7">
        <v>11.333333333333334</v>
      </c>
      <c r="O643" s="7" t="s">
        <v>178</v>
      </c>
      <c r="P643" s="7" t="s">
        <v>178</v>
      </c>
    </row>
    <row r="644" spans="1:16" x14ac:dyDescent="0.25">
      <c r="A644" s="2" t="s">
        <v>183</v>
      </c>
      <c r="B644" s="2" t="s">
        <v>187</v>
      </c>
      <c r="C644" s="6" t="s">
        <v>134</v>
      </c>
      <c r="D644" s="2" t="s">
        <v>115</v>
      </c>
      <c r="E644" s="2"/>
      <c r="F644" s="35">
        <v>11.078644915097472</v>
      </c>
      <c r="G644" s="35">
        <v>-8.9806494574599967</v>
      </c>
      <c r="H644" s="35">
        <v>3.9405759239075464</v>
      </c>
      <c r="I644" s="35">
        <v>2.926388001374253E-2</v>
      </c>
      <c r="J644" s="35">
        <v>-4.7643044965163598E-4</v>
      </c>
      <c r="K644" s="35">
        <v>-0.18977412958923459</v>
      </c>
      <c r="L644" s="35">
        <v>1.1207340185579493</v>
      </c>
      <c r="M644" s="58" t="s">
        <v>23</v>
      </c>
      <c r="N644" s="7">
        <v>11.333333333333334</v>
      </c>
      <c r="O644" s="7" t="s">
        <v>178</v>
      </c>
      <c r="P644" s="7" t="s">
        <v>178</v>
      </c>
    </row>
    <row r="645" spans="1:16" x14ac:dyDescent="0.25">
      <c r="A645" s="2" t="s">
        <v>183</v>
      </c>
      <c r="B645" s="2" t="s">
        <v>187</v>
      </c>
      <c r="C645" s="6" t="s">
        <v>134</v>
      </c>
      <c r="D645" s="2" t="s">
        <v>116</v>
      </c>
      <c r="E645" s="2"/>
      <c r="F645" s="35">
        <v>0</v>
      </c>
      <c r="G645" s="35">
        <v>-1.6208897816721834</v>
      </c>
      <c r="H645" s="35">
        <v>-37.825362809607768</v>
      </c>
      <c r="I645" s="35">
        <v>1.0815985568308479</v>
      </c>
      <c r="J645" s="35">
        <v>7.9354014050153415E-4</v>
      </c>
      <c r="K645" s="35">
        <v>6.4614918995874771</v>
      </c>
      <c r="L645" s="35">
        <v>-75.142112916949472</v>
      </c>
      <c r="M645" s="58" t="s">
        <v>22</v>
      </c>
      <c r="N645" s="7">
        <v>11.333333333333334</v>
      </c>
      <c r="O645" s="7" t="s">
        <v>178</v>
      </c>
      <c r="P645" s="7" t="s">
        <v>178</v>
      </c>
    </row>
    <row r="646" spans="1:16" x14ac:dyDescent="0.25">
      <c r="A646" s="2" t="s">
        <v>183</v>
      </c>
      <c r="B646" s="2" t="s">
        <v>187</v>
      </c>
      <c r="C646" s="6" t="s">
        <v>134</v>
      </c>
      <c r="D646" s="2" t="s">
        <v>116</v>
      </c>
      <c r="E646" s="2"/>
      <c r="F646" s="35">
        <v>0.29999999999999988</v>
      </c>
      <c r="G646" s="35">
        <v>-1.4569952816721814</v>
      </c>
      <c r="H646" s="35">
        <v>-36.039312809607765</v>
      </c>
      <c r="I646" s="35">
        <v>1.0815985568308479</v>
      </c>
      <c r="J646" s="35">
        <v>7.9354014050153415E-4</v>
      </c>
      <c r="K646" s="35">
        <v>6.1370123325382222</v>
      </c>
      <c r="L646" s="35">
        <v>-64.062411574067156</v>
      </c>
      <c r="M646" s="58" t="s">
        <v>22</v>
      </c>
      <c r="N646" s="7">
        <v>11.333333333333334</v>
      </c>
      <c r="O646" s="7" t="s">
        <v>178</v>
      </c>
      <c r="P646" s="7" t="s">
        <v>178</v>
      </c>
    </row>
    <row r="647" spans="1:16" x14ac:dyDescent="0.25">
      <c r="A647" s="2" t="s">
        <v>183</v>
      </c>
      <c r="B647" s="2" t="s">
        <v>187</v>
      </c>
      <c r="C647" s="6" t="s">
        <v>134</v>
      </c>
      <c r="D647" s="2" t="s">
        <v>116</v>
      </c>
      <c r="E647" s="2"/>
      <c r="F647" s="35">
        <v>0.29999999999999988</v>
      </c>
      <c r="G647" s="35">
        <v>77.968705906527106</v>
      </c>
      <c r="H647" s="35">
        <v>-31.320744984346529</v>
      </c>
      <c r="I647" s="35">
        <v>1.0815985568308499</v>
      </c>
      <c r="J647" s="35">
        <v>8.3293068893293594E-4</v>
      </c>
      <c r="K647" s="35">
        <v>6.137009969105315</v>
      </c>
      <c r="L647" s="35">
        <v>-64.062411574067212</v>
      </c>
      <c r="M647" s="58" t="s">
        <v>22</v>
      </c>
      <c r="N647" s="7">
        <v>11.333333333333334</v>
      </c>
      <c r="O647" s="7" t="s">
        <v>178</v>
      </c>
      <c r="P647" s="7" t="s">
        <v>178</v>
      </c>
    </row>
    <row r="648" spans="1:16" x14ac:dyDescent="0.25">
      <c r="A648" s="2" t="s">
        <v>183</v>
      </c>
      <c r="B648" s="2" t="s">
        <v>187</v>
      </c>
      <c r="C648" s="6" t="s">
        <v>134</v>
      </c>
      <c r="D648" s="2" t="s">
        <v>116</v>
      </c>
      <c r="E648" s="2"/>
      <c r="F648" s="35">
        <v>5.3</v>
      </c>
      <c r="G648" s="35">
        <v>80.700280906527098</v>
      </c>
      <c r="H648" s="35">
        <v>-1.5532449843465244</v>
      </c>
      <c r="I648" s="35">
        <v>1.0815985568308499</v>
      </c>
      <c r="J648" s="35">
        <v>8.3293068893293594E-4</v>
      </c>
      <c r="K648" s="35">
        <v>0.72901718495106549</v>
      </c>
      <c r="L648" s="35">
        <v>18.122563347665416</v>
      </c>
      <c r="M648" s="58" t="s">
        <v>24</v>
      </c>
      <c r="N648" s="7">
        <v>11.333333333333334</v>
      </c>
      <c r="O648" s="7" t="s">
        <v>178</v>
      </c>
      <c r="P648" s="7" t="s">
        <v>178</v>
      </c>
    </row>
    <row r="649" spans="1:16" x14ac:dyDescent="0.25">
      <c r="A649" s="2" t="s">
        <v>183</v>
      </c>
      <c r="B649" s="2" t="s">
        <v>187</v>
      </c>
      <c r="C649" s="6" t="s">
        <v>134</v>
      </c>
      <c r="D649" s="2" t="s">
        <v>116</v>
      </c>
      <c r="E649" s="2"/>
      <c r="F649" s="35">
        <v>5.3</v>
      </c>
      <c r="G649" s="35">
        <v>9.2683518027113365</v>
      </c>
      <c r="H649" s="35">
        <v>-14.972119486404079</v>
      </c>
      <c r="I649" s="35">
        <v>1.0815244023799366</v>
      </c>
      <c r="J649" s="35">
        <v>7.0242783714476241E-4</v>
      </c>
      <c r="K649" s="35">
        <v>0.7291245389144787</v>
      </c>
      <c r="L649" s="35">
        <v>18.122563347665402</v>
      </c>
      <c r="M649" s="58" t="s">
        <v>24</v>
      </c>
      <c r="N649" s="7">
        <v>11.333333333333334</v>
      </c>
      <c r="O649" s="7" t="s">
        <v>178</v>
      </c>
      <c r="P649" s="7" t="s">
        <v>178</v>
      </c>
    </row>
    <row r="650" spans="1:16" x14ac:dyDescent="0.25">
      <c r="A650" s="2" t="s">
        <v>183</v>
      </c>
      <c r="B650" s="2" t="s">
        <v>187</v>
      </c>
      <c r="C650" s="6" t="s">
        <v>134</v>
      </c>
      <c r="D650" s="2" t="s">
        <v>116</v>
      </c>
      <c r="E650" s="2"/>
      <c r="F650" s="35">
        <v>5.5393224575487361</v>
      </c>
      <c r="G650" s="35">
        <v>9.3990972511070776</v>
      </c>
      <c r="H650" s="35">
        <v>-13.547313235387678</v>
      </c>
      <c r="I650" s="35">
        <v>1.0815244023799366</v>
      </c>
      <c r="J650" s="35">
        <v>7.0242783714476241E-4</v>
      </c>
      <c r="K650" s="35">
        <v>0.47029146103798419</v>
      </c>
      <c r="L650" s="35">
        <v>21.535233711102926</v>
      </c>
      <c r="M650" s="58" t="s">
        <v>24</v>
      </c>
      <c r="N650" s="7">
        <v>11.333333333333334</v>
      </c>
      <c r="O650" s="7" t="s">
        <v>178</v>
      </c>
      <c r="P650" s="7" t="s">
        <v>178</v>
      </c>
    </row>
    <row r="651" spans="1:16" x14ac:dyDescent="0.25">
      <c r="A651" s="2" t="s">
        <v>183</v>
      </c>
      <c r="B651" s="2" t="s">
        <v>187</v>
      </c>
      <c r="C651" s="6" t="s">
        <v>134</v>
      </c>
      <c r="D651" s="2" t="s">
        <v>116</v>
      </c>
      <c r="E651" s="2"/>
      <c r="F651" s="35">
        <v>11.078644915097472</v>
      </c>
      <c r="G651" s="35">
        <v>12.425312199502818</v>
      </c>
      <c r="H651" s="35">
        <v>19.431043015628727</v>
      </c>
      <c r="I651" s="35">
        <v>1.0815244023799366</v>
      </c>
      <c r="J651" s="35">
        <v>7.0242783714476241E-4</v>
      </c>
      <c r="K651" s="35">
        <v>-5.5206209494521756</v>
      </c>
      <c r="L651" s="35">
        <v>5.2392954581841513</v>
      </c>
      <c r="M651" s="58" t="s">
        <v>23</v>
      </c>
      <c r="N651" s="7">
        <v>11.333333333333334</v>
      </c>
      <c r="O651" s="7" t="s">
        <v>178</v>
      </c>
      <c r="P651" s="7" t="s">
        <v>178</v>
      </c>
    </row>
    <row r="652" spans="1:16" x14ac:dyDescent="0.25">
      <c r="A652" s="2" t="s">
        <v>183</v>
      </c>
      <c r="B652" s="2" t="s">
        <v>187</v>
      </c>
      <c r="C652" s="6" t="s">
        <v>134</v>
      </c>
      <c r="D652" s="2" t="s">
        <v>117</v>
      </c>
      <c r="E652" s="2"/>
      <c r="F652" s="35">
        <v>0</v>
      </c>
      <c r="G652" s="35">
        <v>-21.556973589925526</v>
      </c>
      <c r="H652" s="35">
        <v>-23.318234442054045</v>
      </c>
      <c r="I652" s="35">
        <v>2.4834928131883904</v>
      </c>
      <c r="J652" s="35">
        <v>9.292425339487519E-4</v>
      </c>
      <c r="K652" s="35">
        <v>14.756168958865077</v>
      </c>
      <c r="L652" s="35">
        <v>-46.63966247816343</v>
      </c>
      <c r="M652" s="58" t="s">
        <v>22</v>
      </c>
      <c r="N652" s="7">
        <v>11.333333333333334</v>
      </c>
      <c r="O652" s="7" t="s">
        <v>178</v>
      </c>
      <c r="P652" s="7" t="s">
        <v>178</v>
      </c>
    </row>
    <row r="653" spans="1:16" x14ac:dyDescent="0.25">
      <c r="A653" s="2" t="s">
        <v>183</v>
      </c>
      <c r="B653" s="2" t="s">
        <v>187</v>
      </c>
      <c r="C653" s="6" t="s">
        <v>134</v>
      </c>
      <c r="D653" s="2" t="s">
        <v>117</v>
      </c>
      <c r="E653" s="2"/>
      <c r="F653" s="35">
        <v>0.29999999999999988</v>
      </c>
      <c r="G653" s="35">
        <v>-21.393079089925525</v>
      </c>
      <c r="H653" s="35">
        <v>-22.24660444205405</v>
      </c>
      <c r="I653" s="35">
        <v>2.4834928131883904</v>
      </c>
      <c r="J653" s="35">
        <v>9.292425339487519E-4</v>
      </c>
      <c r="K653" s="35">
        <v>14.01112111490856</v>
      </c>
      <c r="L653" s="35">
        <v>-39.804936645547222</v>
      </c>
      <c r="M653" s="58" t="s">
        <v>22</v>
      </c>
      <c r="N653" s="7">
        <v>11.333333333333334</v>
      </c>
      <c r="O653" s="7" t="s">
        <v>178</v>
      </c>
      <c r="P653" s="7" t="s">
        <v>178</v>
      </c>
    </row>
    <row r="654" spans="1:16" x14ac:dyDescent="0.25">
      <c r="A654" s="2" t="s">
        <v>183</v>
      </c>
      <c r="B654" s="2" t="s">
        <v>187</v>
      </c>
      <c r="C654" s="6" t="s">
        <v>134</v>
      </c>
      <c r="D654" s="2" t="s">
        <v>117</v>
      </c>
      <c r="E654" s="2"/>
      <c r="F654" s="35">
        <v>0.29999999999999988</v>
      </c>
      <c r="G654" s="35">
        <v>29.202877790399842</v>
      </c>
      <c r="H654" s="35">
        <v>-19.257821275265275</v>
      </c>
      <c r="I654" s="35">
        <v>2.483492813188374</v>
      </c>
      <c r="J654" s="35">
        <v>8.9423584573476407E-4</v>
      </c>
      <c r="K654" s="35">
        <v>14.011123215309853</v>
      </c>
      <c r="L654" s="35">
        <v>-39.804936645547222</v>
      </c>
      <c r="M654" s="58" t="s">
        <v>22</v>
      </c>
      <c r="N654" s="7">
        <v>11.333333333333334</v>
      </c>
      <c r="O654" s="7" t="s">
        <v>178</v>
      </c>
      <c r="P654" s="7" t="s">
        <v>178</v>
      </c>
    </row>
    <row r="655" spans="1:16" x14ac:dyDescent="0.25">
      <c r="A655" s="2" t="s">
        <v>183</v>
      </c>
      <c r="B655" s="2" t="s">
        <v>187</v>
      </c>
      <c r="C655" s="6" t="s">
        <v>134</v>
      </c>
      <c r="D655" s="2" t="s">
        <v>117</v>
      </c>
      <c r="E655" s="2"/>
      <c r="F655" s="35">
        <v>5.3</v>
      </c>
      <c r="G655" s="35">
        <v>31.934452790399838</v>
      </c>
      <c r="H655" s="35">
        <v>-1.3973212752652751</v>
      </c>
      <c r="I655" s="35">
        <v>2.483492813188374</v>
      </c>
      <c r="J655" s="35">
        <v>8.9423584573476407E-4</v>
      </c>
      <c r="K655" s="35">
        <v>1.5936591493679841</v>
      </c>
      <c r="L655" s="35">
        <v>11.832919730779144</v>
      </c>
      <c r="M655" s="58" t="s">
        <v>24</v>
      </c>
      <c r="N655" s="7">
        <v>11.333333333333334</v>
      </c>
      <c r="O655" s="7" t="s">
        <v>178</v>
      </c>
      <c r="P655" s="7" t="s">
        <v>178</v>
      </c>
    </row>
    <row r="656" spans="1:16" x14ac:dyDescent="0.25">
      <c r="A656" s="2" t="s">
        <v>183</v>
      </c>
      <c r="B656" s="2" t="s">
        <v>187</v>
      </c>
      <c r="C656" s="6" t="s">
        <v>134</v>
      </c>
      <c r="D656" s="2" t="s">
        <v>117</v>
      </c>
      <c r="E656" s="2"/>
      <c r="F656" s="35">
        <v>5.3</v>
      </c>
      <c r="G656" s="35">
        <v>-12.637177781070637</v>
      </c>
      <c r="H656" s="35">
        <v>-8.8306060147202778</v>
      </c>
      <c r="I656" s="35">
        <v>2.4833347319638683</v>
      </c>
      <c r="J656" s="35">
        <v>6.0812532940051852E-4</v>
      </c>
      <c r="K656" s="35">
        <v>1.5935133331085716</v>
      </c>
      <c r="L656" s="35">
        <v>11.832919730779125</v>
      </c>
      <c r="M656" s="58" t="s">
        <v>24</v>
      </c>
      <c r="N656" s="7">
        <v>11.333333333333334</v>
      </c>
      <c r="O656" s="7" t="s">
        <v>178</v>
      </c>
      <c r="P656" s="7" t="s">
        <v>178</v>
      </c>
    </row>
    <row r="657" spans="1:16" x14ac:dyDescent="0.25">
      <c r="A657" s="2" t="s">
        <v>183</v>
      </c>
      <c r="B657" s="2" t="s">
        <v>187</v>
      </c>
      <c r="C657" s="6" t="s">
        <v>134</v>
      </c>
      <c r="D657" s="2" t="s">
        <v>117</v>
      </c>
      <c r="E657" s="2"/>
      <c r="F657" s="35">
        <v>5.5393224575487361</v>
      </c>
      <c r="G657" s="35">
        <v>-12.506432332674896</v>
      </c>
      <c r="H657" s="35">
        <v>-7.9757222641104377</v>
      </c>
      <c r="I657" s="35">
        <v>2.4833347319638683</v>
      </c>
      <c r="J657" s="35">
        <v>6.0812532940051852E-4</v>
      </c>
      <c r="K657" s="35">
        <v>0.99919556213884686</v>
      </c>
      <c r="L657" s="35">
        <v>13.843985623809418</v>
      </c>
      <c r="M657" s="58" t="s">
        <v>24</v>
      </c>
      <c r="N657" s="7">
        <v>11.333333333333334</v>
      </c>
      <c r="O657" s="7" t="s">
        <v>178</v>
      </c>
      <c r="P657" s="7" t="s">
        <v>178</v>
      </c>
    </row>
    <row r="658" spans="1:16" x14ac:dyDescent="0.25">
      <c r="A658" s="2" t="s">
        <v>183</v>
      </c>
      <c r="B658" s="2" t="s">
        <v>187</v>
      </c>
      <c r="C658" s="6" t="s">
        <v>134</v>
      </c>
      <c r="D658" s="2" t="s">
        <v>117</v>
      </c>
      <c r="E658" s="2"/>
      <c r="F658" s="35">
        <v>11.078644915097472</v>
      </c>
      <c r="G658" s="35">
        <v>-9.4802173842791557</v>
      </c>
      <c r="H658" s="35">
        <v>11.811291486499405</v>
      </c>
      <c r="I658" s="35">
        <v>2.4833347319638683</v>
      </c>
      <c r="J658" s="35">
        <v>6.0812532940051852E-4</v>
      </c>
      <c r="K658" s="35">
        <v>-12.75679628823938</v>
      </c>
      <c r="L658" s="35">
        <v>3.2207582582784413</v>
      </c>
      <c r="M658" s="58" t="s">
        <v>23</v>
      </c>
      <c r="N658" s="7">
        <v>11.333333333333334</v>
      </c>
      <c r="O658" s="7" t="s">
        <v>178</v>
      </c>
      <c r="P658" s="7" t="s">
        <v>178</v>
      </c>
    </row>
    <row r="659" spans="1:16" x14ac:dyDescent="0.25">
      <c r="A659" s="2" t="s">
        <v>183</v>
      </c>
      <c r="B659" s="2" t="s">
        <v>187</v>
      </c>
      <c r="C659" s="6" t="s">
        <v>134</v>
      </c>
      <c r="D659" s="2" t="s">
        <v>118</v>
      </c>
      <c r="E659" s="2"/>
      <c r="F659" s="35">
        <v>0</v>
      </c>
      <c r="G659" s="35">
        <v>-3.45941348119741</v>
      </c>
      <c r="H659" s="35">
        <v>-37.965296814173556</v>
      </c>
      <c r="I659" s="35">
        <v>-1.1267157190761408</v>
      </c>
      <c r="J659" s="35">
        <v>1.4726956059986083E-3</v>
      </c>
      <c r="K659" s="35">
        <v>-6.5845810827977003</v>
      </c>
      <c r="L659" s="35">
        <v>-75.492640559317067</v>
      </c>
      <c r="M659" s="58" t="s">
        <v>22</v>
      </c>
      <c r="N659" s="7">
        <v>11.333333333333334</v>
      </c>
      <c r="O659" s="7" t="s">
        <v>178</v>
      </c>
      <c r="P659" s="7" t="s">
        <v>178</v>
      </c>
    </row>
    <row r="660" spans="1:16" x14ac:dyDescent="0.25">
      <c r="A660" s="2" t="s">
        <v>183</v>
      </c>
      <c r="B660" s="2" t="s">
        <v>187</v>
      </c>
      <c r="C660" s="6" t="s">
        <v>134</v>
      </c>
      <c r="D660" s="2" t="s">
        <v>118</v>
      </c>
      <c r="E660" s="2"/>
      <c r="F660" s="35">
        <v>0.29999999999999988</v>
      </c>
      <c r="G660" s="35">
        <v>-3.2955189811974082</v>
      </c>
      <c r="H660" s="35">
        <v>-36.179246814173553</v>
      </c>
      <c r="I660" s="35">
        <v>-1.1267157190761408</v>
      </c>
      <c r="J660" s="35">
        <v>1.4726956059986083E-3</v>
      </c>
      <c r="K660" s="35">
        <v>-6.246566367074859</v>
      </c>
      <c r="L660" s="35">
        <v>-64.370959015065011</v>
      </c>
      <c r="M660" s="58" t="s">
        <v>22</v>
      </c>
      <c r="N660" s="7">
        <v>11.333333333333334</v>
      </c>
      <c r="O660" s="7" t="s">
        <v>178</v>
      </c>
      <c r="P660" s="7" t="s">
        <v>178</v>
      </c>
    </row>
    <row r="661" spans="1:16" x14ac:dyDescent="0.25">
      <c r="A661" s="2" t="s">
        <v>183</v>
      </c>
      <c r="B661" s="2" t="s">
        <v>187</v>
      </c>
      <c r="C661" s="6" t="s">
        <v>134</v>
      </c>
      <c r="D661" s="2" t="s">
        <v>118</v>
      </c>
      <c r="E661" s="2"/>
      <c r="F661" s="35">
        <v>0.29999999999999988</v>
      </c>
      <c r="G661" s="35">
        <v>76.811909581593781</v>
      </c>
      <c r="H661" s="35">
        <v>-31.419775346436872</v>
      </c>
      <c r="I661" s="35">
        <v>-1.126715719076141</v>
      </c>
      <c r="J661" s="35">
        <v>7.1388102402780013E-4</v>
      </c>
      <c r="K661" s="35">
        <v>-6.2465208381999435</v>
      </c>
      <c r="L661" s="35">
        <v>-64.370959015065011</v>
      </c>
      <c r="M661" s="58" t="s">
        <v>22</v>
      </c>
      <c r="N661" s="7">
        <v>11.333333333333334</v>
      </c>
      <c r="O661" s="7" t="s">
        <v>178</v>
      </c>
      <c r="P661" s="7" t="s">
        <v>178</v>
      </c>
    </row>
    <row r="662" spans="1:16" x14ac:dyDescent="0.25">
      <c r="A662" s="2" t="s">
        <v>183</v>
      </c>
      <c r="B662" s="2" t="s">
        <v>187</v>
      </c>
      <c r="C662" s="6" t="s">
        <v>134</v>
      </c>
      <c r="D662" s="2" t="s">
        <v>118</v>
      </c>
      <c r="E662" s="2"/>
      <c r="F662" s="35">
        <v>5.3</v>
      </c>
      <c r="G662" s="35">
        <v>79.543484581593773</v>
      </c>
      <c r="H662" s="35">
        <v>-1.6522753464368636</v>
      </c>
      <c r="I662" s="35">
        <v>-1.126715719076141</v>
      </c>
      <c r="J662" s="35">
        <v>7.1388102402780013E-4</v>
      </c>
      <c r="K662" s="35">
        <v>-0.61294224281924004</v>
      </c>
      <c r="L662" s="35">
        <v>18.309167717119315</v>
      </c>
      <c r="M662" s="58" t="s">
        <v>24</v>
      </c>
      <c r="N662" s="7">
        <v>11.333333333333334</v>
      </c>
      <c r="O662" s="7" t="s">
        <v>178</v>
      </c>
      <c r="P662" s="7" t="s">
        <v>178</v>
      </c>
    </row>
    <row r="663" spans="1:16" x14ac:dyDescent="0.25">
      <c r="A663" s="2" t="s">
        <v>183</v>
      </c>
      <c r="B663" s="2" t="s">
        <v>187</v>
      </c>
      <c r="C663" s="6" t="s">
        <v>134</v>
      </c>
      <c r="D663" s="2" t="s">
        <v>118</v>
      </c>
      <c r="E663" s="2"/>
      <c r="F663" s="35">
        <v>5.3</v>
      </c>
      <c r="G663" s="35">
        <v>7.5523897647128164</v>
      </c>
      <c r="H663" s="35">
        <v>-14.941196305678881</v>
      </c>
      <c r="I663" s="35">
        <v>-1.1268659942580714</v>
      </c>
      <c r="J663" s="35">
        <v>7.665283429844896E-4</v>
      </c>
      <c r="K663" s="35">
        <v>-0.61371840997137939</v>
      </c>
      <c r="L663" s="35">
        <v>18.309167717119315</v>
      </c>
      <c r="M663" s="58" t="s">
        <v>24</v>
      </c>
      <c r="N663" s="7">
        <v>11.333333333333334</v>
      </c>
      <c r="O663" s="7" t="s">
        <v>178</v>
      </c>
      <c r="P663" s="7" t="s">
        <v>178</v>
      </c>
    </row>
    <row r="664" spans="1:16" x14ac:dyDescent="0.25">
      <c r="A664" s="2" t="s">
        <v>183</v>
      </c>
      <c r="B664" s="2" t="s">
        <v>187</v>
      </c>
      <c r="C664" s="6" t="s">
        <v>134</v>
      </c>
      <c r="D664" s="2" t="s">
        <v>118</v>
      </c>
      <c r="E664" s="2"/>
      <c r="F664" s="35">
        <v>5.5393224575487361</v>
      </c>
      <c r="G664" s="35">
        <v>7.6831352131085575</v>
      </c>
      <c r="H664" s="35">
        <v>-13.516390054662482</v>
      </c>
      <c r="I664" s="35">
        <v>-1.1268659942580714</v>
      </c>
      <c r="J664" s="35">
        <v>7.665283429844896E-4</v>
      </c>
      <c r="K664" s="35">
        <v>-0.34403407089743776</v>
      </c>
      <c r="L664" s="35">
        <v>21.714437468950464</v>
      </c>
      <c r="M664" s="58" t="s">
        <v>24</v>
      </c>
      <c r="N664" s="7">
        <v>11.333333333333334</v>
      </c>
      <c r="O664" s="7" t="s">
        <v>178</v>
      </c>
      <c r="P664" s="7" t="s">
        <v>178</v>
      </c>
    </row>
    <row r="665" spans="1:16" x14ac:dyDescent="0.25">
      <c r="A665" s="2" t="s">
        <v>183</v>
      </c>
      <c r="B665" s="2" t="s">
        <v>187</v>
      </c>
      <c r="C665" s="6" t="s">
        <v>134</v>
      </c>
      <c r="D665" s="2" t="s">
        <v>118</v>
      </c>
      <c r="E665" s="2"/>
      <c r="F665" s="35">
        <v>11.078644915097472</v>
      </c>
      <c r="G665" s="35">
        <v>10.709350161504297</v>
      </c>
      <c r="H665" s="35">
        <v>19.461966196353927</v>
      </c>
      <c r="I665" s="35">
        <v>-1.1268659942580714</v>
      </c>
      <c r="J665" s="35">
        <v>7.665283429844896E-4</v>
      </c>
      <c r="K665" s="35">
        <v>5.8980400377442832</v>
      </c>
      <c r="L665" s="35">
        <v>5.2472057465817734</v>
      </c>
      <c r="M665" s="58" t="s">
        <v>23</v>
      </c>
      <c r="N665" s="7">
        <v>11.333333333333334</v>
      </c>
      <c r="O665" s="7" t="s">
        <v>178</v>
      </c>
      <c r="P665" s="7" t="s">
        <v>178</v>
      </c>
    </row>
    <row r="666" spans="1:16" x14ac:dyDescent="0.25">
      <c r="A666" s="2" t="s">
        <v>183</v>
      </c>
      <c r="B666" s="2" t="s">
        <v>187</v>
      </c>
      <c r="C666" s="6" t="s">
        <v>134</v>
      </c>
      <c r="D666" s="2" t="s">
        <v>119</v>
      </c>
      <c r="E666" s="2"/>
      <c r="F666" s="35">
        <v>0</v>
      </c>
      <c r="G666" s="35">
        <v>-47.413502091211129</v>
      </c>
      <c r="H666" s="35">
        <v>-24.167258053351542</v>
      </c>
      <c r="I666" s="35">
        <v>-2.3588516833067743</v>
      </c>
      <c r="J666" s="35">
        <v>8.8611777139222349E-4</v>
      </c>
      <c r="K666" s="35">
        <v>-14.210754594098075</v>
      </c>
      <c r="L666" s="35">
        <v>-48.707477633886661</v>
      </c>
      <c r="M666" s="58" t="s">
        <v>22</v>
      </c>
      <c r="N666" s="7">
        <v>11.333333333333334</v>
      </c>
      <c r="O666" s="7" t="s">
        <v>178</v>
      </c>
      <c r="P666" s="7" t="s">
        <v>178</v>
      </c>
    </row>
    <row r="667" spans="1:16" x14ac:dyDescent="0.25">
      <c r="A667" s="2" t="s">
        <v>183</v>
      </c>
      <c r="B667" s="2" t="s">
        <v>187</v>
      </c>
      <c r="C667" s="6" t="s">
        <v>134</v>
      </c>
      <c r="D667" s="2" t="s">
        <v>119</v>
      </c>
      <c r="E667" s="2"/>
      <c r="F667" s="35">
        <v>0.29999999999999988</v>
      </c>
      <c r="G667" s="35">
        <v>-47.249607591211124</v>
      </c>
      <c r="H667" s="35">
        <v>-23.09562805335154</v>
      </c>
      <c r="I667" s="35">
        <v>-2.3588516833067743</v>
      </c>
      <c r="J667" s="35">
        <v>8.8611777139222349E-4</v>
      </c>
      <c r="K667" s="35">
        <v>-13.503099089106042</v>
      </c>
      <c r="L667" s="35">
        <v>-41.618044717881197</v>
      </c>
      <c r="M667" s="58" t="s">
        <v>22</v>
      </c>
      <c r="N667" s="7">
        <v>11.333333333333334</v>
      </c>
      <c r="O667" s="7" t="s">
        <v>178</v>
      </c>
      <c r="P667" s="7" t="s">
        <v>178</v>
      </c>
    </row>
    <row r="668" spans="1:16" x14ac:dyDescent="0.25">
      <c r="A668" s="2" t="s">
        <v>183</v>
      </c>
      <c r="B668" s="2" t="s">
        <v>187</v>
      </c>
      <c r="C668" s="6" t="s">
        <v>134</v>
      </c>
      <c r="D668" s="2" t="s">
        <v>119</v>
      </c>
      <c r="E668" s="2"/>
      <c r="F668" s="35">
        <v>0.29999999999999988</v>
      </c>
      <c r="G668" s="35">
        <v>6.5114788950715106</v>
      </c>
      <c r="H668" s="35">
        <v>-19.916937110205311</v>
      </c>
      <c r="I668" s="35">
        <v>-2.3588516833067654</v>
      </c>
      <c r="J668" s="35">
        <v>5.7652528327441568E-4</v>
      </c>
      <c r="K668" s="35">
        <v>-13.503080513556755</v>
      </c>
      <c r="L668" s="35">
        <v>-41.618044717881219</v>
      </c>
      <c r="M668" s="58" t="s">
        <v>22</v>
      </c>
      <c r="N668" s="7">
        <v>11.333333333333334</v>
      </c>
      <c r="O668" s="7" t="s">
        <v>178</v>
      </c>
      <c r="P668" s="7" t="s">
        <v>178</v>
      </c>
    </row>
    <row r="669" spans="1:16" x14ac:dyDescent="0.25">
      <c r="A669" s="2" t="s">
        <v>183</v>
      </c>
      <c r="B669" s="2" t="s">
        <v>187</v>
      </c>
      <c r="C669" s="6" t="s">
        <v>134</v>
      </c>
      <c r="D669" s="2" t="s">
        <v>119</v>
      </c>
      <c r="E669" s="2"/>
      <c r="F669" s="35">
        <v>5.3</v>
      </c>
      <c r="G669" s="35">
        <v>9.2430538950715064</v>
      </c>
      <c r="H669" s="35">
        <v>-2.0564371102053087</v>
      </c>
      <c r="I669" s="35">
        <v>-2.3588516833067654</v>
      </c>
      <c r="J669" s="35">
        <v>5.7652528327441568E-4</v>
      </c>
      <c r="K669" s="35">
        <v>-1.7088220970229284</v>
      </c>
      <c r="L669" s="35">
        <v>13.315390833145315</v>
      </c>
      <c r="M669" s="58" t="s">
        <v>24</v>
      </c>
      <c r="N669" s="7">
        <v>11.333333333333334</v>
      </c>
      <c r="O669" s="7" t="s">
        <v>178</v>
      </c>
      <c r="P669" s="7" t="s">
        <v>178</v>
      </c>
    </row>
    <row r="670" spans="1:16" x14ac:dyDescent="0.25">
      <c r="A670" s="2" t="s">
        <v>183</v>
      </c>
      <c r="B670" s="2" t="s">
        <v>187</v>
      </c>
      <c r="C670" s="6" t="s">
        <v>134</v>
      </c>
      <c r="D670" s="2" t="s">
        <v>119</v>
      </c>
      <c r="E670" s="2"/>
      <c r="F670" s="35">
        <v>5.3</v>
      </c>
      <c r="G670" s="35">
        <v>-38.184080007800212</v>
      </c>
      <c r="H670" s="35">
        <v>-8.5849001649436385</v>
      </c>
      <c r="I670" s="35">
        <v>-2.3587179180872049</v>
      </c>
      <c r="J670" s="35">
        <v>8.8686559717653666E-4</v>
      </c>
      <c r="K670" s="35">
        <v>-1.7094499426927536</v>
      </c>
      <c r="L670" s="35">
        <v>13.315390833145289</v>
      </c>
      <c r="M670" s="58" t="s">
        <v>24</v>
      </c>
      <c r="N670" s="7">
        <v>11.333333333333334</v>
      </c>
      <c r="O670" s="7" t="s">
        <v>178</v>
      </c>
      <c r="P670" s="7" t="s">
        <v>178</v>
      </c>
    </row>
    <row r="671" spans="1:16" x14ac:dyDescent="0.25">
      <c r="A671" s="2" t="s">
        <v>183</v>
      </c>
      <c r="B671" s="2" t="s">
        <v>187</v>
      </c>
      <c r="C671" s="6" t="s">
        <v>134</v>
      </c>
      <c r="D671" s="2" t="s">
        <v>119</v>
      </c>
      <c r="E671" s="2"/>
      <c r="F671" s="35">
        <v>5.5393224575487361</v>
      </c>
      <c r="G671" s="35">
        <v>-38.053334559404476</v>
      </c>
      <c r="H671" s="35">
        <v>-7.7300164143337975</v>
      </c>
      <c r="I671" s="35">
        <v>-2.3587179180872049</v>
      </c>
      <c r="J671" s="35">
        <v>8.8686559717653666E-4</v>
      </c>
      <c r="K671" s="35">
        <v>-1.1449557738718856</v>
      </c>
      <c r="L671" s="35">
        <v>15.267653798372935</v>
      </c>
      <c r="M671" s="58" t="s">
        <v>24</v>
      </c>
      <c r="N671" s="7">
        <v>11.333333333333334</v>
      </c>
      <c r="O671" s="7" t="s">
        <v>178</v>
      </c>
      <c r="P671" s="7" t="s">
        <v>178</v>
      </c>
    </row>
    <row r="672" spans="1:16" x14ac:dyDescent="0.25">
      <c r="A672" s="2" t="s">
        <v>183</v>
      </c>
      <c r="B672" s="2" t="s">
        <v>187</v>
      </c>
      <c r="C672" s="6" t="s">
        <v>134</v>
      </c>
      <c r="D672" s="2" t="s">
        <v>119</v>
      </c>
      <c r="E672" s="2"/>
      <c r="F672" s="35">
        <v>11.078644915097472</v>
      </c>
      <c r="G672" s="35">
        <v>-35.027119611008729</v>
      </c>
      <c r="H672" s="35">
        <v>12.056997336276046</v>
      </c>
      <c r="I672" s="35">
        <v>-2.3587179180872049</v>
      </c>
      <c r="J672" s="35">
        <v>8.8686559717653666E-4</v>
      </c>
      <c r="K672" s="35">
        <v>11.920743360811171</v>
      </c>
      <c r="L672" s="35">
        <v>3.2833825012231217</v>
      </c>
      <c r="M672" s="58" t="s">
        <v>23</v>
      </c>
      <c r="N672" s="7">
        <v>11.333333333333334</v>
      </c>
      <c r="O672" s="7" t="s">
        <v>178</v>
      </c>
      <c r="P672" s="7" t="s">
        <v>178</v>
      </c>
    </row>
    <row r="673" spans="1:16" x14ac:dyDescent="0.25">
      <c r="A673" s="2" t="s">
        <v>183</v>
      </c>
      <c r="B673" s="2" t="s">
        <v>187</v>
      </c>
      <c r="C673" s="6" t="s">
        <v>134</v>
      </c>
      <c r="D673" s="2" t="s">
        <v>120</v>
      </c>
      <c r="E673" s="2"/>
      <c r="F673" s="35">
        <v>0</v>
      </c>
      <c r="G673" s="35">
        <v>59.650879296241172</v>
      </c>
      <c r="H673" s="35">
        <v>29.854175988555284</v>
      </c>
      <c r="I673" s="35">
        <v>-5.2259149212015812E-2</v>
      </c>
      <c r="J673" s="35">
        <v>1.353922602583777E-3</v>
      </c>
      <c r="K673" s="35">
        <v>-0.1760579634881401</v>
      </c>
      <c r="L673" s="35">
        <v>65.190285674220917</v>
      </c>
      <c r="M673" s="58" t="s">
        <v>22</v>
      </c>
      <c r="N673" s="7">
        <v>11.333333333333334</v>
      </c>
      <c r="O673" s="7" t="s">
        <v>178</v>
      </c>
      <c r="P673" s="7" t="s">
        <v>178</v>
      </c>
    </row>
    <row r="674" spans="1:16" x14ac:dyDescent="0.25">
      <c r="A674" s="2" t="s">
        <v>183</v>
      </c>
      <c r="B674" s="2" t="s">
        <v>187</v>
      </c>
      <c r="C674" s="6" t="s">
        <v>134</v>
      </c>
      <c r="D674" s="2" t="s">
        <v>120</v>
      </c>
      <c r="E674" s="2"/>
      <c r="F674" s="35">
        <v>0.29999999999999988</v>
      </c>
      <c r="G674" s="35">
        <v>59.814773796241163</v>
      </c>
      <c r="H674" s="35">
        <v>28.833575988555285</v>
      </c>
      <c r="I674" s="35">
        <v>-5.2259149212015812E-2</v>
      </c>
      <c r="J674" s="35">
        <v>1.353922602583777E-3</v>
      </c>
      <c r="K674" s="35">
        <v>-0.16038021872453537</v>
      </c>
      <c r="L674" s="35">
        <v>56.387122877654328</v>
      </c>
      <c r="M674" s="58" t="s">
        <v>22</v>
      </c>
      <c r="N674" s="7">
        <v>11.333333333333334</v>
      </c>
      <c r="O674" s="7" t="s">
        <v>178</v>
      </c>
      <c r="P674" s="7" t="s">
        <v>178</v>
      </c>
    </row>
    <row r="675" spans="1:16" x14ac:dyDescent="0.25">
      <c r="A675" s="2" t="s">
        <v>183</v>
      </c>
      <c r="B675" s="2" t="s">
        <v>187</v>
      </c>
      <c r="C675" s="6" t="s">
        <v>134</v>
      </c>
      <c r="D675" s="2" t="s">
        <v>120</v>
      </c>
      <c r="E675" s="2"/>
      <c r="F675" s="35">
        <v>0.29999999999999988</v>
      </c>
      <c r="G675" s="35">
        <v>-9.7046250996990562</v>
      </c>
      <c r="H675" s="35">
        <v>24.6154378087681</v>
      </c>
      <c r="I675" s="35">
        <v>-5.225914921201668E-2</v>
      </c>
      <c r="J675" s="35">
        <v>1.229223754609625E-4</v>
      </c>
      <c r="K675" s="35">
        <v>-0.16030635871090773</v>
      </c>
      <c r="L675" s="35">
        <v>56.387122877654342</v>
      </c>
      <c r="M675" s="58" t="s">
        <v>22</v>
      </c>
      <c r="N675" s="7">
        <v>11.333333333333334</v>
      </c>
      <c r="O675" s="7" t="s">
        <v>178</v>
      </c>
      <c r="P675" s="7" t="s">
        <v>178</v>
      </c>
    </row>
    <row r="676" spans="1:16" x14ac:dyDescent="0.25">
      <c r="A676" s="2" t="s">
        <v>183</v>
      </c>
      <c r="B676" s="2" t="s">
        <v>187</v>
      </c>
      <c r="C676" s="6" t="s">
        <v>134</v>
      </c>
      <c r="D676" s="2" t="s">
        <v>120</v>
      </c>
      <c r="E676" s="2"/>
      <c r="F676" s="35">
        <v>5.3</v>
      </c>
      <c r="G676" s="35">
        <v>-6.9730500996990568</v>
      </c>
      <c r="H676" s="35">
        <v>7.6054378087680954</v>
      </c>
      <c r="I676" s="35">
        <v>-5.225914921201668E-2</v>
      </c>
      <c r="J676" s="35">
        <v>1.229223754609625E-4</v>
      </c>
      <c r="K676" s="35">
        <v>0.10098938734917562</v>
      </c>
      <c r="L676" s="35">
        <v>-24.16506616618614</v>
      </c>
      <c r="M676" s="58" t="s">
        <v>24</v>
      </c>
      <c r="N676" s="7">
        <v>11.333333333333334</v>
      </c>
      <c r="O676" s="7" t="s">
        <v>178</v>
      </c>
      <c r="P676" s="7" t="s">
        <v>178</v>
      </c>
    </row>
    <row r="677" spans="1:16" x14ac:dyDescent="0.25">
      <c r="A677" s="2" t="s">
        <v>183</v>
      </c>
      <c r="B677" s="2" t="s">
        <v>187</v>
      </c>
      <c r="C677" s="6" t="s">
        <v>134</v>
      </c>
      <c r="D677" s="2" t="s">
        <v>120</v>
      </c>
      <c r="E677" s="2"/>
      <c r="F677" s="35">
        <v>5.3</v>
      </c>
      <c r="G677" s="35">
        <v>56.352309829723417</v>
      </c>
      <c r="H677" s="35">
        <v>6.2415468699864949</v>
      </c>
      <c r="I677" s="35">
        <v>-5.2657446174727299E-2</v>
      </c>
      <c r="J677" s="35">
        <v>-5.9955307000289974E-5</v>
      </c>
      <c r="K677" s="35">
        <v>9.9903934124127514E-2</v>
      </c>
      <c r="L677" s="35">
        <v>-24.165066166186083</v>
      </c>
      <c r="M677" s="58" t="s">
        <v>24</v>
      </c>
      <c r="N677" s="7">
        <v>11.333333333333334</v>
      </c>
      <c r="O677" s="7" t="s">
        <v>178</v>
      </c>
      <c r="P677" s="7" t="s">
        <v>178</v>
      </c>
    </row>
    <row r="678" spans="1:16" x14ac:dyDescent="0.25">
      <c r="A678" s="2" t="s">
        <v>183</v>
      </c>
      <c r="B678" s="2" t="s">
        <v>187</v>
      </c>
      <c r="C678" s="6" t="s">
        <v>134</v>
      </c>
      <c r="D678" s="2" t="s">
        <v>120</v>
      </c>
      <c r="E678" s="2"/>
      <c r="F678" s="35">
        <v>5.5393224575487361</v>
      </c>
      <c r="G678" s="35">
        <v>56.483055278119153</v>
      </c>
      <c r="H678" s="35">
        <v>5.427371869405694</v>
      </c>
      <c r="I678" s="35">
        <v>-5.2657446174727299E-2</v>
      </c>
      <c r="J678" s="35">
        <v>-5.9955307000289974E-5</v>
      </c>
      <c r="K678" s="35">
        <v>0.11250604355090356</v>
      </c>
      <c r="L678" s="35">
        <v>-25.561383321010002</v>
      </c>
      <c r="M678" s="58" t="s">
        <v>24</v>
      </c>
      <c r="N678" s="7">
        <v>11.333333333333334</v>
      </c>
      <c r="O678" s="7" t="s">
        <v>178</v>
      </c>
      <c r="P678" s="7" t="s">
        <v>178</v>
      </c>
    </row>
    <row r="679" spans="1:16" x14ac:dyDescent="0.25">
      <c r="A679" s="2" t="s">
        <v>183</v>
      </c>
      <c r="B679" s="2" t="s">
        <v>187</v>
      </c>
      <c r="C679" s="6" t="s">
        <v>134</v>
      </c>
      <c r="D679" s="2" t="s">
        <v>120</v>
      </c>
      <c r="E679" s="2"/>
      <c r="F679" s="35">
        <v>11.078644915097472</v>
      </c>
      <c r="G679" s="35">
        <v>59.509270226514893</v>
      </c>
      <c r="H679" s="35">
        <v>-13.417403131175112</v>
      </c>
      <c r="I679" s="35">
        <v>-5.2657446174727299E-2</v>
      </c>
      <c r="J679" s="35">
        <v>-5.9955307000289974E-5</v>
      </c>
      <c r="K679" s="35">
        <v>0.40419261770373421</v>
      </c>
      <c r="L679" s="35">
        <v>-3.4317035185920992</v>
      </c>
      <c r="M679" s="58" t="s">
        <v>23</v>
      </c>
      <c r="N679" s="7">
        <v>11.333333333333334</v>
      </c>
      <c r="O679" s="7" t="s">
        <v>178</v>
      </c>
      <c r="P679" s="7" t="s">
        <v>178</v>
      </c>
    </row>
    <row r="680" spans="1:16" x14ac:dyDescent="0.25">
      <c r="A680" s="2" t="s">
        <v>183</v>
      </c>
      <c r="B680" s="2" t="s">
        <v>187</v>
      </c>
      <c r="C680" s="6" t="s">
        <v>134</v>
      </c>
      <c r="D680" s="2" t="s">
        <v>121</v>
      </c>
      <c r="E680" s="2"/>
      <c r="F680" s="35">
        <v>0</v>
      </c>
      <c r="G680" s="35">
        <v>41.685363263035377</v>
      </c>
      <c r="H680" s="35">
        <v>46.001968089427962</v>
      </c>
      <c r="I680" s="35">
        <v>-4.7853580912086698E-2</v>
      </c>
      <c r="J680" s="35">
        <v>6.7831750404929699E-4</v>
      </c>
      <c r="K680" s="35">
        <v>-0.16659345413465415</v>
      </c>
      <c r="L680" s="35">
        <v>96.97399847553335</v>
      </c>
      <c r="M680" s="58" t="s">
        <v>22</v>
      </c>
      <c r="N680" s="7">
        <v>11.333333333333334</v>
      </c>
      <c r="O680" s="7" t="s">
        <v>178</v>
      </c>
      <c r="P680" s="7" t="s">
        <v>178</v>
      </c>
    </row>
    <row r="681" spans="1:16" x14ac:dyDescent="0.25">
      <c r="A681" s="2" t="s">
        <v>183</v>
      </c>
      <c r="B681" s="2" t="s">
        <v>187</v>
      </c>
      <c r="C681" s="6" t="s">
        <v>134</v>
      </c>
      <c r="D681" s="2" t="s">
        <v>121</v>
      </c>
      <c r="E681" s="2"/>
      <c r="F681" s="35">
        <v>0.29999999999999988</v>
      </c>
      <c r="G681" s="35">
        <v>41.849257763035368</v>
      </c>
      <c r="H681" s="35">
        <v>44.187568089427963</v>
      </c>
      <c r="I681" s="35">
        <v>-4.7853580912086698E-2</v>
      </c>
      <c r="J681" s="35">
        <v>6.7831750404929699E-4</v>
      </c>
      <c r="K681" s="35">
        <v>-0.15223737986102809</v>
      </c>
      <c r="L681" s="35">
        <v>83.445568048704956</v>
      </c>
      <c r="M681" s="58" t="s">
        <v>22</v>
      </c>
      <c r="N681" s="7">
        <v>11.333333333333334</v>
      </c>
      <c r="O681" s="7" t="s">
        <v>178</v>
      </c>
      <c r="P681" s="7" t="s">
        <v>178</v>
      </c>
    </row>
    <row r="682" spans="1:16" x14ac:dyDescent="0.25">
      <c r="A682" s="2" t="s">
        <v>183</v>
      </c>
      <c r="B682" s="2" t="s">
        <v>187</v>
      </c>
      <c r="C682" s="6" t="s">
        <v>134</v>
      </c>
      <c r="D682" s="2" t="s">
        <v>121</v>
      </c>
      <c r="E682" s="2"/>
      <c r="F682" s="35">
        <v>0.29999999999999988</v>
      </c>
      <c r="G682" s="35">
        <v>-59.026229760279229</v>
      </c>
      <c r="H682" s="35">
        <v>38.088064591998439</v>
      </c>
      <c r="I682" s="35">
        <v>-4.7853580912086864E-2</v>
      </c>
      <c r="J682" s="35">
        <v>-1.597511451618425E-4</v>
      </c>
      <c r="K682" s="35">
        <v>-0.15218709574207528</v>
      </c>
      <c r="L682" s="35">
        <v>83.445568048704999</v>
      </c>
      <c r="M682" s="58" t="s">
        <v>22</v>
      </c>
      <c r="N682" s="7">
        <v>11.333333333333334</v>
      </c>
      <c r="O682" s="7" t="s">
        <v>178</v>
      </c>
      <c r="P682" s="7" t="s">
        <v>178</v>
      </c>
    </row>
    <row r="683" spans="1:16" x14ac:dyDescent="0.25">
      <c r="A683" s="2" t="s">
        <v>183</v>
      </c>
      <c r="B683" s="2" t="s">
        <v>187</v>
      </c>
      <c r="C683" s="6" t="s">
        <v>134</v>
      </c>
      <c r="D683" s="2" t="s">
        <v>121</v>
      </c>
      <c r="E683" s="2"/>
      <c r="F683" s="35">
        <v>5.3</v>
      </c>
      <c r="G683" s="35">
        <v>-56.294654760279229</v>
      </c>
      <c r="H683" s="35">
        <v>7.8480645919984395</v>
      </c>
      <c r="I683" s="35">
        <v>-4.7853580912086864E-2</v>
      </c>
      <c r="J683" s="35">
        <v>-1.597511451618425E-4</v>
      </c>
      <c r="K683" s="35">
        <v>8.7080808818359015E-2</v>
      </c>
      <c r="L683" s="35">
        <v>-31.394754911287187</v>
      </c>
      <c r="M683" s="58" t="s">
        <v>24</v>
      </c>
      <c r="N683" s="7">
        <v>11.333333333333334</v>
      </c>
      <c r="O683" s="7" t="s">
        <v>178</v>
      </c>
      <c r="P683" s="7" t="s">
        <v>178</v>
      </c>
    </row>
    <row r="684" spans="1:16" x14ac:dyDescent="0.25">
      <c r="A684" s="2" t="s">
        <v>183</v>
      </c>
      <c r="B684" s="2" t="s">
        <v>187</v>
      </c>
      <c r="C684" s="6" t="s">
        <v>134</v>
      </c>
      <c r="D684" s="2" t="s">
        <v>121</v>
      </c>
      <c r="E684" s="2"/>
      <c r="F684" s="35">
        <v>5.3</v>
      </c>
      <c r="G684" s="35">
        <v>36.40064929373586</v>
      </c>
      <c r="H684" s="35">
        <v>13.025476139732948</v>
      </c>
      <c r="I684" s="35">
        <v>-4.8117112703680166E-2</v>
      </c>
      <c r="J684" s="35">
        <v>-2.7613803108071753E-4</v>
      </c>
      <c r="K684" s="35">
        <v>8.6293079213755258E-2</v>
      </c>
      <c r="L684" s="35">
        <v>-31.394754911287137</v>
      </c>
      <c r="M684" s="58" t="s">
        <v>24</v>
      </c>
      <c r="N684" s="7">
        <v>11.333333333333334</v>
      </c>
      <c r="O684" s="7" t="s">
        <v>178</v>
      </c>
      <c r="P684" s="7" t="s">
        <v>178</v>
      </c>
    </row>
    <row r="685" spans="1:16" x14ac:dyDescent="0.25">
      <c r="A685" s="2" t="s">
        <v>183</v>
      </c>
      <c r="B685" s="2" t="s">
        <v>187</v>
      </c>
      <c r="C685" s="6" t="s">
        <v>134</v>
      </c>
      <c r="D685" s="2" t="s">
        <v>121</v>
      </c>
      <c r="E685" s="2"/>
      <c r="F685" s="35">
        <v>5.5393224575487361</v>
      </c>
      <c r="G685" s="35">
        <v>36.531394742131603</v>
      </c>
      <c r="H685" s="35">
        <v>11.578053916478193</v>
      </c>
      <c r="I685" s="35">
        <v>-4.8117112703680166E-2</v>
      </c>
      <c r="J685" s="35">
        <v>-2.7613803108071753E-4</v>
      </c>
      <c r="K685" s="35">
        <v>9.7808584876149518E-2</v>
      </c>
      <c r="L685" s="35">
        <v>-34.338843550000455</v>
      </c>
      <c r="M685" s="58" t="s">
        <v>24</v>
      </c>
      <c r="N685" s="7">
        <v>11.333333333333334</v>
      </c>
      <c r="O685" s="7" t="s">
        <v>178</v>
      </c>
      <c r="P685" s="7" t="s">
        <v>178</v>
      </c>
    </row>
    <row r="686" spans="1:16" x14ac:dyDescent="0.25">
      <c r="A686" s="2" t="s">
        <v>183</v>
      </c>
      <c r="B686" s="2" t="s">
        <v>187</v>
      </c>
      <c r="C686" s="6" t="s">
        <v>134</v>
      </c>
      <c r="D686" s="2" t="s">
        <v>121</v>
      </c>
      <c r="E686" s="2"/>
      <c r="F686" s="35">
        <v>11.078644915097472</v>
      </c>
      <c r="G686" s="35">
        <v>39.557609690527343</v>
      </c>
      <c r="H686" s="35">
        <v>-21.923768306776562</v>
      </c>
      <c r="I686" s="35">
        <v>-4.8117112703680166E-2</v>
      </c>
      <c r="J686" s="35">
        <v>-2.7613803108071753E-4</v>
      </c>
      <c r="K686" s="35">
        <v>0.36434478786804869</v>
      </c>
      <c r="L686" s="35">
        <v>-5.6847195192180031</v>
      </c>
      <c r="M686" s="58" t="s">
        <v>23</v>
      </c>
      <c r="N686" s="7">
        <v>11.333333333333334</v>
      </c>
      <c r="O686" s="7" t="s">
        <v>178</v>
      </c>
      <c r="P686" s="7" t="s">
        <v>178</v>
      </c>
    </row>
    <row r="687" spans="1:16" x14ac:dyDescent="0.25">
      <c r="A687" s="2" t="s">
        <v>183</v>
      </c>
      <c r="B687" s="2" t="s">
        <v>187</v>
      </c>
      <c r="C687" s="6" t="s">
        <v>134</v>
      </c>
      <c r="D687" s="2" t="s">
        <v>122</v>
      </c>
      <c r="E687" s="2"/>
      <c r="F687" s="35">
        <v>0</v>
      </c>
      <c r="G687" s="35">
        <v>-4.589191334221562</v>
      </c>
      <c r="H687" s="35">
        <v>-29.037672484747652</v>
      </c>
      <c r="I687" s="35">
        <v>2.5338786125765449E-2</v>
      </c>
      <c r="J687" s="35">
        <v>2.1438410236993905E-4</v>
      </c>
      <c r="K687" s="35">
        <v>0.12630649247036593</v>
      </c>
      <c r="L687" s="35">
        <v>-63.382658475032706</v>
      </c>
      <c r="M687" s="58" t="s">
        <v>22</v>
      </c>
      <c r="N687" s="7">
        <v>11.333333333333334</v>
      </c>
      <c r="O687" s="7" t="s">
        <v>178</v>
      </c>
      <c r="P687" s="7" t="s">
        <v>178</v>
      </c>
    </row>
    <row r="688" spans="1:16" x14ac:dyDescent="0.25">
      <c r="A688" s="2" t="s">
        <v>183</v>
      </c>
      <c r="B688" s="2" t="s">
        <v>187</v>
      </c>
      <c r="C688" s="6" t="s">
        <v>134</v>
      </c>
      <c r="D688" s="2" t="s">
        <v>122</v>
      </c>
      <c r="E688" s="2"/>
      <c r="F688" s="35">
        <v>0.29999999999999988</v>
      </c>
      <c r="G688" s="35">
        <v>-4.4252968342215597</v>
      </c>
      <c r="H688" s="35">
        <v>-28.017072484747651</v>
      </c>
      <c r="I688" s="35">
        <v>2.5338786125765449E-2</v>
      </c>
      <c r="J688" s="35">
        <v>2.1438410236993905E-4</v>
      </c>
      <c r="K688" s="35">
        <v>0.1187048566326363</v>
      </c>
      <c r="L688" s="35">
        <v>-54.824446729608411</v>
      </c>
      <c r="M688" s="58" t="s">
        <v>22</v>
      </c>
      <c r="N688" s="7">
        <v>11.333333333333334</v>
      </c>
      <c r="O688" s="7" t="s">
        <v>178</v>
      </c>
      <c r="P688" s="7" t="s">
        <v>178</v>
      </c>
    </row>
    <row r="689" spans="1:16" x14ac:dyDescent="0.25">
      <c r="A689" s="2" t="s">
        <v>183</v>
      </c>
      <c r="B689" s="2" t="s">
        <v>187</v>
      </c>
      <c r="C689" s="6" t="s">
        <v>134</v>
      </c>
      <c r="D689" s="2" t="s">
        <v>122</v>
      </c>
      <c r="E689" s="2"/>
      <c r="F689" s="35">
        <v>0.29999999999999988</v>
      </c>
      <c r="G689" s="35">
        <v>68.96418143831886</v>
      </c>
      <c r="H689" s="35">
        <v>-23.660678034426006</v>
      </c>
      <c r="I689" s="35">
        <v>2.5338786125765681E-2</v>
      </c>
      <c r="J689" s="35">
        <v>-2.5418055385479016E-4</v>
      </c>
      <c r="K689" s="35">
        <v>0.11873297051200982</v>
      </c>
      <c r="L689" s="35">
        <v>-54.824446729608439</v>
      </c>
      <c r="M689" s="58" t="s">
        <v>22</v>
      </c>
      <c r="N689" s="7">
        <v>11.333333333333334</v>
      </c>
      <c r="O689" s="7" t="s">
        <v>178</v>
      </c>
      <c r="P689" s="7" t="s">
        <v>178</v>
      </c>
    </row>
    <row r="690" spans="1:16" x14ac:dyDescent="0.25">
      <c r="A690" s="2" t="s">
        <v>183</v>
      </c>
      <c r="B690" s="2" t="s">
        <v>187</v>
      </c>
      <c r="C690" s="6" t="s">
        <v>134</v>
      </c>
      <c r="D690" s="2" t="s">
        <v>122</v>
      </c>
      <c r="E690" s="2"/>
      <c r="F690" s="35">
        <v>5.3</v>
      </c>
      <c r="G690" s="35">
        <v>71.695756438318853</v>
      </c>
      <c r="H690" s="35">
        <v>-6.6506780344260008</v>
      </c>
      <c r="I690" s="35">
        <v>2.5338786125765681E-2</v>
      </c>
      <c r="J690" s="35">
        <v>-2.5418055385479016E-4</v>
      </c>
      <c r="K690" s="35">
        <v>-7.9609601168185735E-3</v>
      </c>
      <c r="L690" s="35">
        <v>20.953943442521563</v>
      </c>
      <c r="M690" s="58" t="s">
        <v>24</v>
      </c>
      <c r="N690" s="7">
        <v>11.333333333333334</v>
      </c>
      <c r="O690" s="7" t="s">
        <v>178</v>
      </c>
      <c r="P690" s="7" t="s">
        <v>178</v>
      </c>
    </row>
    <row r="691" spans="1:16" x14ac:dyDescent="0.25">
      <c r="A691" s="2" t="s">
        <v>183</v>
      </c>
      <c r="B691" s="2" t="s">
        <v>187</v>
      </c>
      <c r="C691" s="6" t="s">
        <v>134</v>
      </c>
      <c r="D691" s="2" t="s">
        <v>122</v>
      </c>
      <c r="E691" s="2"/>
      <c r="F691" s="35">
        <v>5.3</v>
      </c>
      <c r="G691" s="35">
        <v>10.738471964529658</v>
      </c>
      <c r="H691" s="35">
        <v>-6.8055315237678666</v>
      </c>
      <c r="I691" s="35">
        <v>2.517786920565138E-2</v>
      </c>
      <c r="J691" s="35">
        <v>-3.4801791458550504E-4</v>
      </c>
      <c r="K691" s="35">
        <v>-8.3113707078578489E-3</v>
      </c>
      <c r="L691" s="35">
        <v>20.953943442521556</v>
      </c>
      <c r="M691" s="58" t="s">
        <v>24</v>
      </c>
      <c r="N691" s="7">
        <v>11.333333333333334</v>
      </c>
      <c r="O691" s="7" t="s">
        <v>178</v>
      </c>
      <c r="P691" s="7" t="s">
        <v>178</v>
      </c>
    </row>
    <row r="692" spans="1:16" x14ac:dyDescent="0.25">
      <c r="A692" s="2" t="s">
        <v>183</v>
      </c>
      <c r="B692" s="2" t="s">
        <v>187</v>
      </c>
      <c r="C692" s="6" t="s">
        <v>134</v>
      </c>
      <c r="D692" s="2" t="s">
        <v>122</v>
      </c>
      <c r="E692" s="2"/>
      <c r="F692" s="35">
        <v>5.5393224575487361</v>
      </c>
      <c r="G692" s="35">
        <v>10.869217412925396</v>
      </c>
      <c r="H692" s="35">
        <v>-5.9913565231870667</v>
      </c>
      <c r="I692" s="35">
        <v>2.517786920565138E-2</v>
      </c>
      <c r="J692" s="35">
        <v>-3.4801791458550504E-4</v>
      </c>
      <c r="K692" s="35">
        <v>-1.4337000241994982E-2</v>
      </c>
      <c r="L692" s="35">
        <v>22.485234790708205</v>
      </c>
      <c r="M692" s="58" t="s">
        <v>24</v>
      </c>
      <c r="N692" s="7">
        <v>11.333333333333334</v>
      </c>
      <c r="O692" s="7" t="s">
        <v>178</v>
      </c>
      <c r="P692" s="7" t="s">
        <v>178</v>
      </c>
    </row>
    <row r="693" spans="1:16" x14ac:dyDescent="0.25">
      <c r="A693" s="2" t="s">
        <v>183</v>
      </c>
      <c r="B693" s="2" t="s">
        <v>187</v>
      </c>
      <c r="C693" s="6" t="s">
        <v>134</v>
      </c>
      <c r="D693" s="2" t="s">
        <v>122</v>
      </c>
      <c r="E693" s="2"/>
      <c r="F693" s="35">
        <v>11.078644915097472</v>
      </c>
      <c r="G693" s="35">
        <v>13.895432361321136</v>
      </c>
      <c r="H693" s="35">
        <v>12.853418477393737</v>
      </c>
      <c r="I693" s="35">
        <v>2.517786920565138E-2</v>
      </c>
      <c r="J693" s="35">
        <v>-3.4801791458550504E-4</v>
      </c>
      <c r="K693" s="35">
        <v>-0.15380533656608444</v>
      </c>
      <c r="L693" s="35">
        <v>3.479647846694307</v>
      </c>
      <c r="M693" s="58" t="s">
        <v>23</v>
      </c>
      <c r="N693" s="7">
        <v>11.333333333333334</v>
      </c>
      <c r="O693" s="7" t="s">
        <v>178</v>
      </c>
      <c r="P693" s="7" t="s">
        <v>178</v>
      </c>
    </row>
    <row r="694" spans="1:16" x14ac:dyDescent="0.25">
      <c r="A694" s="2" t="s">
        <v>183</v>
      </c>
      <c r="B694" s="2" t="s">
        <v>187</v>
      </c>
      <c r="C694" s="6" t="s">
        <v>134</v>
      </c>
      <c r="D694" s="2" t="s">
        <v>123</v>
      </c>
      <c r="E694" s="2"/>
      <c r="F694" s="35">
        <v>0</v>
      </c>
      <c r="G694" s="35">
        <v>-22.582014834005431</v>
      </c>
      <c r="H694" s="35">
        <v>-12.882858816178798</v>
      </c>
      <c r="I694" s="35">
        <v>2.667759188590119E-2</v>
      </c>
      <c r="J694" s="35">
        <v>-4.508979902300385E-4</v>
      </c>
      <c r="K694" s="35">
        <v>0.12439062372234715</v>
      </c>
      <c r="L694" s="35">
        <v>-31.578431626746244</v>
      </c>
      <c r="M694" s="58" t="s">
        <v>22</v>
      </c>
      <c r="N694" s="7">
        <v>11.333333333333334</v>
      </c>
      <c r="O694" s="7" t="s">
        <v>178</v>
      </c>
      <c r="P694" s="7" t="s">
        <v>178</v>
      </c>
    </row>
    <row r="695" spans="1:16" x14ac:dyDescent="0.25">
      <c r="A695" s="2" t="s">
        <v>183</v>
      </c>
      <c r="B695" s="2" t="s">
        <v>187</v>
      </c>
      <c r="C695" s="6" t="s">
        <v>134</v>
      </c>
      <c r="D695" s="2" t="s">
        <v>123</v>
      </c>
      <c r="E695" s="2"/>
      <c r="F695" s="35">
        <v>0.29999999999999988</v>
      </c>
      <c r="G695" s="35">
        <v>-22.41812033400543</v>
      </c>
      <c r="H695" s="35">
        <v>-12.656058816178799</v>
      </c>
      <c r="I695" s="35">
        <v>2.667759188590119E-2</v>
      </c>
      <c r="J695" s="35">
        <v>-4.508979902300385E-4</v>
      </c>
      <c r="K695" s="35">
        <v>0.1163873461565768</v>
      </c>
      <c r="L695" s="35">
        <v>-27.74759398189261</v>
      </c>
      <c r="M695" s="58" t="s">
        <v>22</v>
      </c>
      <c r="N695" s="7">
        <v>11.333333333333334</v>
      </c>
      <c r="O695" s="7" t="s">
        <v>178</v>
      </c>
      <c r="P695" s="7" t="s">
        <v>178</v>
      </c>
    </row>
    <row r="696" spans="1:16" x14ac:dyDescent="0.25">
      <c r="A696" s="2" t="s">
        <v>183</v>
      </c>
      <c r="B696" s="2" t="s">
        <v>187</v>
      </c>
      <c r="C696" s="6" t="s">
        <v>134</v>
      </c>
      <c r="D696" s="2" t="s">
        <v>123</v>
      </c>
      <c r="E696" s="2"/>
      <c r="F696" s="35">
        <v>0.29999999999999988</v>
      </c>
      <c r="G696" s="35">
        <v>19.598503294069307</v>
      </c>
      <c r="H696" s="35">
        <v>-10.182035644525044</v>
      </c>
      <c r="I696" s="35">
        <v>2.6677591885901363E-2</v>
      </c>
      <c r="J696" s="35">
        <v>-5.3526486871311037E-4</v>
      </c>
      <c r="K696" s="35">
        <v>0.11639240816928584</v>
      </c>
      <c r="L696" s="35">
        <v>-27.747593981892621</v>
      </c>
      <c r="M696" s="58" t="s">
        <v>22</v>
      </c>
      <c r="N696" s="7">
        <v>11.333333333333334</v>
      </c>
      <c r="O696" s="7" t="s">
        <v>178</v>
      </c>
      <c r="P696" s="7" t="s">
        <v>178</v>
      </c>
    </row>
    <row r="697" spans="1:16" x14ac:dyDescent="0.25">
      <c r="A697" s="2" t="s">
        <v>183</v>
      </c>
      <c r="B697" s="2" t="s">
        <v>187</v>
      </c>
      <c r="C697" s="6" t="s">
        <v>134</v>
      </c>
      <c r="D697" s="2" t="s">
        <v>123</v>
      </c>
      <c r="E697" s="2"/>
      <c r="F697" s="35">
        <v>5.3</v>
      </c>
      <c r="G697" s="35">
        <v>22.330078294069306</v>
      </c>
      <c r="H697" s="35">
        <v>-6.4020356445250455</v>
      </c>
      <c r="I697" s="35">
        <v>2.6677591885901363E-2</v>
      </c>
      <c r="J697" s="35">
        <v>-5.3526486871311037E-4</v>
      </c>
      <c r="K697" s="35">
        <v>-1.6995551260220967E-2</v>
      </c>
      <c r="L697" s="35">
        <v>13.712584240732602</v>
      </c>
      <c r="M697" s="58" t="s">
        <v>24</v>
      </c>
      <c r="N697" s="7">
        <v>11.333333333333334</v>
      </c>
      <c r="O697" s="7" t="s">
        <v>178</v>
      </c>
      <c r="P697" s="7" t="s">
        <v>178</v>
      </c>
    </row>
    <row r="698" spans="1:16" x14ac:dyDescent="0.25">
      <c r="A698" s="2" t="s">
        <v>183</v>
      </c>
      <c r="B698" s="2" t="s">
        <v>187</v>
      </c>
      <c r="C698" s="6" t="s">
        <v>134</v>
      </c>
      <c r="D698" s="2" t="s">
        <v>123</v>
      </c>
      <c r="E698" s="2"/>
      <c r="F698" s="35">
        <v>5.3</v>
      </c>
      <c r="G698" s="35">
        <v>-9.2456816651407525</v>
      </c>
      <c r="H698" s="35">
        <v>-2.3536773888213385E-2</v>
      </c>
      <c r="I698" s="35">
        <v>2.6648979694095545E-2</v>
      </c>
      <c r="J698" s="35">
        <v>-5.6297438524922688E-4</v>
      </c>
      <c r="K698" s="35">
        <v>-1.7058208162363878E-2</v>
      </c>
      <c r="L698" s="35">
        <v>13.712584240732578</v>
      </c>
      <c r="M698" s="58" t="s">
        <v>24</v>
      </c>
      <c r="N698" s="7">
        <v>11.333333333333334</v>
      </c>
      <c r="O698" s="7" t="s">
        <v>178</v>
      </c>
      <c r="P698" s="7" t="s">
        <v>178</v>
      </c>
    </row>
    <row r="699" spans="1:16" x14ac:dyDescent="0.25">
      <c r="A699" s="2" t="s">
        <v>183</v>
      </c>
      <c r="B699" s="2" t="s">
        <v>187</v>
      </c>
      <c r="C699" s="6" t="s">
        <v>134</v>
      </c>
      <c r="D699" s="2" t="s">
        <v>123</v>
      </c>
      <c r="E699" s="2"/>
      <c r="F699" s="35">
        <v>5.5393224575487361</v>
      </c>
      <c r="G699" s="35">
        <v>-9.114936216745015</v>
      </c>
      <c r="H699" s="35">
        <v>0.1573910040186311</v>
      </c>
      <c r="I699" s="35">
        <v>2.6648979694095545E-2</v>
      </c>
      <c r="J699" s="35">
        <v>-5.6297438524922688E-4</v>
      </c>
      <c r="K699" s="35">
        <v>-2.3435907473921189E-2</v>
      </c>
      <c r="L699" s="35">
        <v>13.696567079078525</v>
      </c>
      <c r="M699" s="58" t="s">
        <v>24</v>
      </c>
      <c r="N699" s="7">
        <v>11.333333333333334</v>
      </c>
      <c r="O699" s="7" t="s">
        <v>178</v>
      </c>
      <c r="P699" s="7" t="s">
        <v>178</v>
      </c>
    </row>
    <row r="700" spans="1:16" x14ac:dyDescent="0.25">
      <c r="A700" s="2" t="s">
        <v>183</v>
      </c>
      <c r="B700" s="2" t="s">
        <v>187</v>
      </c>
      <c r="C700" s="6" t="s">
        <v>134</v>
      </c>
      <c r="D700" s="2" t="s">
        <v>123</v>
      </c>
      <c r="E700" s="2"/>
      <c r="F700" s="35">
        <v>11.078644915097472</v>
      </c>
      <c r="G700" s="35">
        <v>-6.0887212683492749</v>
      </c>
      <c r="H700" s="35">
        <v>4.3451187819254766</v>
      </c>
      <c r="I700" s="35">
        <v>2.6648979694095545E-2</v>
      </c>
      <c r="J700" s="35">
        <v>-5.6297438524922688E-4</v>
      </c>
      <c r="K700" s="35">
        <v>-0.17105319916418493</v>
      </c>
      <c r="L700" s="35">
        <v>1.226140292771954</v>
      </c>
      <c r="M700" s="58" t="s">
        <v>23</v>
      </c>
      <c r="N700" s="7">
        <v>11.333333333333334</v>
      </c>
      <c r="O700" s="7" t="s">
        <v>178</v>
      </c>
      <c r="P700" s="7" t="s">
        <v>178</v>
      </c>
    </row>
    <row r="701" spans="1:16" x14ac:dyDescent="0.25">
      <c r="A701" s="2" t="s">
        <v>183</v>
      </c>
      <c r="B701" s="2" t="s">
        <v>187</v>
      </c>
      <c r="C701" s="6" t="s">
        <v>134</v>
      </c>
      <c r="D701" s="2" t="s">
        <v>124</v>
      </c>
      <c r="E701" s="2"/>
      <c r="F701" s="35">
        <v>0</v>
      </c>
      <c r="G701" s="35">
        <v>3.1424789185439179</v>
      </c>
      <c r="H701" s="35">
        <v>-41.864498170425584</v>
      </c>
      <c r="I701" s="35">
        <v>1.1959301337783212</v>
      </c>
      <c r="J701" s="35">
        <v>9.1218479268892038E-4</v>
      </c>
      <c r="K701" s="35">
        <v>7.1543832381672914</v>
      </c>
      <c r="L701" s="35">
        <v>-83.094475838634338</v>
      </c>
      <c r="M701" s="58" t="s">
        <v>22</v>
      </c>
      <c r="N701" s="7">
        <v>11.333333333333334</v>
      </c>
      <c r="O701" s="7" t="s">
        <v>178</v>
      </c>
      <c r="P701" s="7" t="s">
        <v>178</v>
      </c>
    </row>
    <row r="702" spans="1:16" x14ac:dyDescent="0.25">
      <c r="A702" s="2" t="s">
        <v>183</v>
      </c>
      <c r="B702" s="2" t="s">
        <v>187</v>
      </c>
      <c r="C702" s="6" t="s">
        <v>134</v>
      </c>
      <c r="D702" s="2" t="s">
        <v>124</v>
      </c>
      <c r="E702" s="2"/>
      <c r="F702" s="35">
        <v>0.29999999999999988</v>
      </c>
      <c r="G702" s="35">
        <v>3.3063734185439202</v>
      </c>
      <c r="H702" s="35">
        <v>-39.879998170425587</v>
      </c>
      <c r="I702" s="35">
        <v>1.1959301337783212</v>
      </c>
      <c r="J702" s="35">
        <v>9.1218479268892038E-4</v>
      </c>
      <c r="K702" s="35">
        <v>6.7956041980337947</v>
      </c>
      <c r="L702" s="35">
        <v>-70.832801387506677</v>
      </c>
      <c r="M702" s="58" t="s">
        <v>22</v>
      </c>
      <c r="N702" s="7">
        <v>11.333333333333334</v>
      </c>
      <c r="O702" s="7" t="s">
        <v>178</v>
      </c>
      <c r="P702" s="7" t="s">
        <v>178</v>
      </c>
    </row>
    <row r="703" spans="1:16" x14ac:dyDescent="0.25">
      <c r="A703" s="2" t="s">
        <v>183</v>
      </c>
      <c r="B703" s="2" t="s">
        <v>187</v>
      </c>
      <c r="C703" s="6" t="s">
        <v>134</v>
      </c>
      <c r="D703" s="2" t="s">
        <v>124</v>
      </c>
      <c r="E703" s="2"/>
      <c r="F703" s="35">
        <v>0.29999999999999988</v>
      </c>
      <c r="G703" s="35">
        <v>90.606111784238522</v>
      </c>
      <c r="H703" s="35">
        <v>-34.688988114514622</v>
      </c>
      <c r="I703" s="35">
        <v>1.1959301337783235</v>
      </c>
      <c r="J703" s="35">
        <v>9.0283478750168575E-4</v>
      </c>
      <c r="K703" s="35">
        <v>6.7956047590341049</v>
      </c>
      <c r="L703" s="35">
        <v>-70.832801387506734</v>
      </c>
      <c r="M703" s="58" t="s">
        <v>22</v>
      </c>
      <c r="N703" s="7">
        <v>11.333333333333334</v>
      </c>
      <c r="O703" s="7" t="s">
        <v>178</v>
      </c>
      <c r="P703" s="7" t="s">
        <v>178</v>
      </c>
    </row>
    <row r="704" spans="1:16" x14ac:dyDescent="0.25">
      <c r="A704" s="2" t="s">
        <v>183</v>
      </c>
      <c r="B704" s="2" t="s">
        <v>187</v>
      </c>
      <c r="C704" s="6" t="s">
        <v>134</v>
      </c>
      <c r="D704" s="2" t="s">
        <v>124</v>
      </c>
      <c r="E704" s="2"/>
      <c r="F704" s="35">
        <v>5.3</v>
      </c>
      <c r="G704" s="35">
        <v>93.337686784238528</v>
      </c>
      <c r="H704" s="35">
        <v>-1.6139881145146155</v>
      </c>
      <c r="I704" s="35">
        <v>1.1959301337783235</v>
      </c>
      <c r="J704" s="35">
        <v>9.0283478750168575E-4</v>
      </c>
      <c r="K704" s="35">
        <v>0.81595409014248688</v>
      </c>
      <c r="L704" s="35">
        <v>19.924639185066347</v>
      </c>
      <c r="M704" s="58" t="s">
        <v>24</v>
      </c>
      <c r="N704" s="7">
        <v>11.333333333333334</v>
      </c>
      <c r="O704" s="7" t="s">
        <v>178</v>
      </c>
      <c r="P704" s="7" t="s">
        <v>178</v>
      </c>
    </row>
    <row r="705" spans="1:16" x14ac:dyDescent="0.25">
      <c r="A705" s="2" t="s">
        <v>183</v>
      </c>
      <c r="B705" s="2" t="s">
        <v>187</v>
      </c>
      <c r="C705" s="6" t="s">
        <v>134</v>
      </c>
      <c r="D705" s="2" t="s">
        <v>124</v>
      </c>
      <c r="E705" s="2"/>
      <c r="F705" s="35">
        <v>5.3</v>
      </c>
      <c r="G705" s="35">
        <v>14.538720175929042</v>
      </c>
      <c r="H705" s="35">
        <v>-16.668987229531883</v>
      </c>
      <c r="I705" s="35">
        <v>1.1958273378787558</v>
      </c>
      <c r="J705" s="35">
        <v>7.4686815563566032E-4</v>
      </c>
      <c r="K705" s="35">
        <v>0.81604523302238896</v>
      </c>
      <c r="L705" s="35">
        <v>19.924639185066333</v>
      </c>
      <c r="M705" s="58" t="s">
        <v>24</v>
      </c>
      <c r="N705" s="7">
        <v>11.333333333333334</v>
      </c>
      <c r="O705" s="7" t="s">
        <v>178</v>
      </c>
      <c r="P705" s="7" t="s">
        <v>178</v>
      </c>
    </row>
    <row r="706" spans="1:16" x14ac:dyDescent="0.25">
      <c r="A706" s="2" t="s">
        <v>183</v>
      </c>
      <c r="B706" s="2" t="s">
        <v>187</v>
      </c>
      <c r="C706" s="6" t="s">
        <v>134</v>
      </c>
      <c r="D706" s="2" t="s">
        <v>124</v>
      </c>
      <c r="E706" s="2"/>
      <c r="F706" s="35">
        <v>5.5393224575487361</v>
      </c>
      <c r="G706" s="35">
        <v>14.669465624324777</v>
      </c>
      <c r="H706" s="35">
        <v>-15.085869172846998</v>
      </c>
      <c r="I706" s="35">
        <v>1.1958273378787558</v>
      </c>
      <c r="J706" s="35">
        <v>7.4686815563566032E-4</v>
      </c>
      <c r="K706" s="35">
        <v>0.52985689571728245</v>
      </c>
      <c r="L706" s="35">
        <v>23.724464321728604</v>
      </c>
      <c r="M706" s="58" t="s">
        <v>24</v>
      </c>
      <c r="N706" s="7">
        <v>11.333333333333334</v>
      </c>
      <c r="O706" s="7" t="s">
        <v>178</v>
      </c>
      <c r="P706" s="7" t="s">
        <v>178</v>
      </c>
    </row>
    <row r="707" spans="1:16" x14ac:dyDescent="0.25">
      <c r="A707" s="2" t="s">
        <v>183</v>
      </c>
      <c r="B707" s="2" t="s">
        <v>187</v>
      </c>
      <c r="C707" s="6" t="s">
        <v>134</v>
      </c>
      <c r="D707" s="2" t="s">
        <v>124</v>
      </c>
      <c r="E707" s="2"/>
      <c r="F707" s="35">
        <v>11.078644915097472</v>
      </c>
      <c r="G707" s="35">
        <v>17.695680572720519</v>
      </c>
      <c r="H707" s="35">
        <v>21.556748883837898</v>
      </c>
      <c r="I707" s="35">
        <v>1.1958273378787558</v>
      </c>
      <c r="J707" s="35">
        <v>7.4686815563566032E-4</v>
      </c>
      <c r="K707" s="35">
        <v>-6.094216332345229</v>
      </c>
      <c r="L707" s="35">
        <v>5.802319670134402</v>
      </c>
      <c r="M707" s="58" t="s">
        <v>23</v>
      </c>
      <c r="N707" s="7">
        <v>11.333333333333334</v>
      </c>
      <c r="O707" s="7" t="s">
        <v>178</v>
      </c>
      <c r="P707" s="7" t="s">
        <v>178</v>
      </c>
    </row>
    <row r="708" spans="1:16" x14ac:dyDescent="0.25">
      <c r="A708" s="2" t="s">
        <v>183</v>
      </c>
      <c r="B708" s="2" t="s">
        <v>187</v>
      </c>
      <c r="C708" s="6" t="s">
        <v>134</v>
      </c>
      <c r="D708" s="2" t="s">
        <v>125</v>
      </c>
      <c r="E708" s="2"/>
      <c r="F708" s="35">
        <v>0</v>
      </c>
      <c r="G708" s="35">
        <v>-19.008725312848693</v>
      </c>
      <c r="H708" s="35">
        <v>-25.74546665092145</v>
      </c>
      <c r="I708" s="35">
        <v>2.7535904186200346</v>
      </c>
      <c r="J708" s="35">
        <v>1.0629652298524957E-3</v>
      </c>
      <c r="K708" s="35">
        <v>16.370691081809071</v>
      </c>
      <c r="L708" s="35">
        <v>-51.425086462205407</v>
      </c>
      <c r="M708" s="58" t="s">
        <v>22</v>
      </c>
      <c r="N708" s="7">
        <v>11.333333333333334</v>
      </c>
      <c r="O708" s="7" t="s">
        <v>178</v>
      </c>
      <c r="P708" s="7" t="s">
        <v>178</v>
      </c>
    </row>
    <row r="709" spans="1:16" x14ac:dyDescent="0.25">
      <c r="A709" s="2" t="s">
        <v>183</v>
      </c>
      <c r="B709" s="2" t="s">
        <v>187</v>
      </c>
      <c r="C709" s="6" t="s">
        <v>134</v>
      </c>
      <c r="D709" s="2" t="s">
        <v>125</v>
      </c>
      <c r="E709" s="2"/>
      <c r="F709" s="35">
        <v>0.29999999999999988</v>
      </c>
      <c r="G709" s="35">
        <v>-18.844830812848688</v>
      </c>
      <c r="H709" s="35">
        <v>-24.554766650921451</v>
      </c>
      <c r="I709" s="35">
        <v>2.7535904186200346</v>
      </c>
      <c r="J709" s="35">
        <v>1.0629652298524957E-3</v>
      </c>
      <c r="K709" s="35">
        <v>15.544613956223058</v>
      </c>
      <c r="L709" s="35">
        <v>-43.880051466928961</v>
      </c>
      <c r="M709" s="58" t="s">
        <v>22</v>
      </c>
      <c r="N709" s="7">
        <v>11.333333333333334</v>
      </c>
      <c r="O709" s="7" t="s">
        <v>178</v>
      </c>
      <c r="P709" s="7" t="s">
        <v>178</v>
      </c>
    </row>
    <row r="710" spans="1:16" x14ac:dyDescent="0.25">
      <c r="A710" s="2" t="s">
        <v>183</v>
      </c>
      <c r="B710" s="2" t="s">
        <v>187</v>
      </c>
      <c r="C710" s="6" t="s">
        <v>134</v>
      </c>
      <c r="D710" s="2" t="s">
        <v>125</v>
      </c>
      <c r="E710" s="2"/>
      <c r="F710" s="35">
        <v>0.29999999999999988</v>
      </c>
      <c r="G710" s="35">
        <v>36.421858321874907</v>
      </c>
      <c r="H710" s="35">
        <v>-21.285739548868783</v>
      </c>
      <c r="I710" s="35">
        <v>2.7535904186200169</v>
      </c>
      <c r="J710" s="35">
        <v>9.7095162839260592E-4</v>
      </c>
      <c r="K710" s="35">
        <v>15.544619477039145</v>
      </c>
      <c r="L710" s="35">
        <v>-43.880051466928968</v>
      </c>
      <c r="M710" s="58" t="s">
        <v>22</v>
      </c>
      <c r="N710" s="7">
        <v>11.333333333333334</v>
      </c>
      <c r="O710" s="7" t="s">
        <v>178</v>
      </c>
      <c r="P710" s="7" t="s">
        <v>178</v>
      </c>
    </row>
    <row r="711" spans="1:16" x14ac:dyDescent="0.25">
      <c r="A711" s="2" t="s">
        <v>183</v>
      </c>
      <c r="B711" s="2" t="s">
        <v>187</v>
      </c>
      <c r="C711" s="6" t="s">
        <v>134</v>
      </c>
      <c r="D711" s="2" t="s">
        <v>125</v>
      </c>
      <c r="E711" s="2"/>
      <c r="F711" s="35">
        <v>5.3</v>
      </c>
      <c r="G711" s="35">
        <v>39.153433321874907</v>
      </c>
      <c r="H711" s="35">
        <v>-1.4407395488687829</v>
      </c>
      <c r="I711" s="35">
        <v>2.7535904186200169</v>
      </c>
      <c r="J711" s="35">
        <v>9.7095162839260592E-4</v>
      </c>
      <c r="K711" s="35">
        <v>1.7766673839390634</v>
      </c>
      <c r="L711" s="35">
        <v>12.936146277414935</v>
      </c>
      <c r="M711" s="58" t="s">
        <v>24</v>
      </c>
      <c r="N711" s="7">
        <v>11.333333333333334</v>
      </c>
      <c r="O711" s="7" t="s">
        <v>178</v>
      </c>
      <c r="P711" s="7" t="s">
        <v>178</v>
      </c>
    </row>
    <row r="712" spans="1:16" x14ac:dyDescent="0.25">
      <c r="A712" s="2" t="s">
        <v>183</v>
      </c>
      <c r="B712" s="2" t="s">
        <v>187</v>
      </c>
      <c r="C712" s="6" t="s">
        <v>134</v>
      </c>
      <c r="D712" s="2" t="s">
        <v>125</v>
      </c>
      <c r="E712" s="2"/>
      <c r="F712" s="35">
        <v>5.3</v>
      </c>
      <c r="G712" s="35">
        <v>-9.800757139384265</v>
      </c>
      <c r="H712" s="35">
        <v>-9.8450833721054405</v>
      </c>
      <c r="I712" s="35">
        <v>2.753394370749791</v>
      </c>
      <c r="J712" s="35">
        <v>6.4208759147538924E-4</v>
      </c>
      <c r="K712" s="35">
        <v>1.7764772265713811</v>
      </c>
      <c r="L712" s="35">
        <v>12.936146277414915</v>
      </c>
      <c r="M712" s="58" t="s">
        <v>24</v>
      </c>
      <c r="N712" s="7">
        <v>11.333333333333334</v>
      </c>
      <c r="O712" s="7" t="s">
        <v>178</v>
      </c>
      <c r="P712" s="7" t="s">
        <v>178</v>
      </c>
    </row>
    <row r="713" spans="1:16" x14ac:dyDescent="0.25">
      <c r="A713" s="2" t="s">
        <v>183</v>
      </c>
      <c r="B713" s="2" t="s">
        <v>187</v>
      </c>
      <c r="C713" s="6" t="s">
        <v>134</v>
      </c>
      <c r="D713" s="2" t="s">
        <v>125</v>
      </c>
      <c r="E713" s="2"/>
      <c r="F713" s="35">
        <v>5.5393224575487361</v>
      </c>
      <c r="G713" s="35">
        <v>-9.6700116909885274</v>
      </c>
      <c r="H713" s="35">
        <v>-8.8952125380945049</v>
      </c>
      <c r="I713" s="35">
        <v>2.753394370749791</v>
      </c>
      <c r="J713" s="35">
        <v>6.4208759147538924E-4</v>
      </c>
      <c r="K713" s="35">
        <v>1.1175281191626851</v>
      </c>
      <c r="L713" s="35">
        <v>15.178633113624702</v>
      </c>
      <c r="M713" s="58" t="s">
        <v>24</v>
      </c>
      <c r="N713" s="7">
        <v>11.333333333333334</v>
      </c>
      <c r="O713" s="7" t="s">
        <v>178</v>
      </c>
      <c r="P713" s="7" t="s">
        <v>178</v>
      </c>
    </row>
    <row r="714" spans="1:16" x14ac:dyDescent="0.25">
      <c r="A714" s="2" t="s">
        <v>183</v>
      </c>
      <c r="B714" s="2" t="s">
        <v>187</v>
      </c>
      <c r="C714" s="6" t="s">
        <v>134</v>
      </c>
      <c r="D714" s="2" t="s">
        <v>125</v>
      </c>
      <c r="E714" s="2"/>
      <c r="F714" s="35">
        <v>11.078644915097472</v>
      </c>
      <c r="G714" s="35">
        <v>-6.6437967425927882</v>
      </c>
      <c r="H714" s="35">
        <v>13.090358295916429</v>
      </c>
      <c r="I714" s="35">
        <v>2.753394370749791</v>
      </c>
      <c r="J714" s="35">
        <v>6.4208759147538924E-4</v>
      </c>
      <c r="K714" s="35">
        <v>-14.134411153219903</v>
      </c>
      <c r="L714" s="35">
        <v>3.5595005591280557</v>
      </c>
      <c r="M714" s="58" t="s">
        <v>23</v>
      </c>
      <c r="N714" s="7">
        <v>11.333333333333334</v>
      </c>
      <c r="O714" s="7" t="s">
        <v>178</v>
      </c>
      <c r="P714" s="7" t="s">
        <v>178</v>
      </c>
    </row>
    <row r="715" spans="1:16" x14ac:dyDescent="0.25">
      <c r="A715" s="2" t="s">
        <v>183</v>
      </c>
      <c r="B715" s="2" t="s">
        <v>187</v>
      </c>
      <c r="C715" s="6" t="s">
        <v>134</v>
      </c>
      <c r="D715" s="2" t="s">
        <v>126</v>
      </c>
      <c r="E715" s="2"/>
      <c r="F715" s="35">
        <v>0</v>
      </c>
      <c r="G715" s="35">
        <v>1.0996748079603311</v>
      </c>
      <c r="H715" s="35">
        <v>-42.019980397720907</v>
      </c>
      <c r="I715" s="35">
        <v>-1.2577523950072214</v>
      </c>
      <c r="J715" s="35">
        <v>1.6668019765745583E-3</v>
      </c>
      <c r="K715" s="35">
        <v>-7.3412534089273507</v>
      </c>
      <c r="L715" s="35">
        <v>-83.483950996820539</v>
      </c>
      <c r="M715" s="58" t="s">
        <v>22</v>
      </c>
      <c r="N715" s="7">
        <v>11.333333333333334</v>
      </c>
      <c r="O715" s="7" t="s">
        <v>178</v>
      </c>
      <c r="P715" s="7" t="s">
        <v>178</v>
      </c>
    </row>
    <row r="716" spans="1:16" x14ac:dyDescent="0.25">
      <c r="A716" s="2" t="s">
        <v>183</v>
      </c>
      <c r="B716" s="2" t="s">
        <v>187</v>
      </c>
      <c r="C716" s="6" t="s">
        <v>134</v>
      </c>
      <c r="D716" s="2" t="s">
        <v>126</v>
      </c>
      <c r="E716" s="2"/>
      <c r="F716" s="35">
        <v>0.29999999999999988</v>
      </c>
      <c r="G716" s="35">
        <v>1.2635693079603332</v>
      </c>
      <c r="H716" s="35">
        <v>-40.03548039772091</v>
      </c>
      <c r="I716" s="35">
        <v>-1.2577523950072214</v>
      </c>
      <c r="J716" s="35">
        <v>1.6668019765745583E-3</v>
      </c>
      <c r="K716" s="35">
        <v>-6.9639276904251837</v>
      </c>
      <c r="L716" s="35">
        <v>-71.175631877504273</v>
      </c>
      <c r="M716" s="58" t="s">
        <v>22</v>
      </c>
      <c r="N716" s="7">
        <v>11.333333333333334</v>
      </c>
      <c r="O716" s="7" t="s">
        <v>178</v>
      </c>
      <c r="P716" s="7" t="s">
        <v>178</v>
      </c>
    </row>
    <row r="717" spans="1:16" x14ac:dyDescent="0.25">
      <c r="A717" s="2" t="s">
        <v>183</v>
      </c>
      <c r="B717" s="2" t="s">
        <v>187</v>
      </c>
      <c r="C717" s="6" t="s">
        <v>134</v>
      </c>
      <c r="D717" s="2" t="s">
        <v>126</v>
      </c>
      <c r="E717" s="2"/>
      <c r="F717" s="35">
        <v>0.29999999999999988</v>
      </c>
      <c r="G717" s="35">
        <v>89.320782534312613</v>
      </c>
      <c r="H717" s="35">
        <v>-34.799021850170554</v>
      </c>
      <c r="I717" s="35">
        <v>-1.2577523950072218</v>
      </c>
      <c r="J717" s="35">
        <v>7.70557382051535E-4</v>
      </c>
      <c r="K717" s="35">
        <v>-6.9638739157495158</v>
      </c>
      <c r="L717" s="35">
        <v>-71.175631877504287</v>
      </c>
      <c r="M717" s="58" t="s">
        <v>22</v>
      </c>
      <c r="N717" s="7">
        <v>11.333333333333334</v>
      </c>
      <c r="O717" s="7" t="s">
        <v>178</v>
      </c>
      <c r="P717" s="7" t="s">
        <v>178</v>
      </c>
    </row>
    <row r="718" spans="1:16" x14ac:dyDescent="0.25">
      <c r="A718" s="2" t="s">
        <v>183</v>
      </c>
      <c r="B718" s="2" t="s">
        <v>187</v>
      </c>
      <c r="C718" s="6" t="s">
        <v>134</v>
      </c>
      <c r="D718" s="2" t="s">
        <v>126</v>
      </c>
      <c r="E718" s="2"/>
      <c r="F718" s="35">
        <v>5.3</v>
      </c>
      <c r="G718" s="35">
        <v>92.052357534312605</v>
      </c>
      <c r="H718" s="35">
        <v>-1.7240218501705482</v>
      </c>
      <c r="I718" s="35">
        <v>-1.2577523950072218</v>
      </c>
      <c r="J718" s="35">
        <v>7.70557382051535E-4</v>
      </c>
      <c r="K718" s="35">
        <v>-0.67511194071340808</v>
      </c>
      <c r="L718" s="35">
        <v>20.131977373348459</v>
      </c>
      <c r="M718" s="58" t="s">
        <v>24</v>
      </c>
      <c r="N718" s="7">
        <v>11.333333333333334</v>
      </c>
      <c r="O718" s="7" t="s">
        <v>178</v>
      </c>
      <c r="P718" s="7" t="s">
        <v>178</v>
      </c>
    </row>
    <row r="719" spans="1:16" x14ac:dyDescent="0.25">
      <c r="A719" s="2" t="s">
        <v>183</v>
      </c>
      <c r="B719" s="2" t="s">
        <v>187</v>
      </c>
      <c r="C719" s="6" t="s">
        <v>134</v>
      </c>
      <c r="D719" s="2" t="s">
        <v>126</v>
      </c>
      <c r="E719" s="2"/>
      <c r="F719" s="35">
        <v>5.3</v>
      </c>
      <c r="G719" s="35">
        <v>12.632095689264018</v>
      </c>
      <c r="H719" s="35">
        <v>-16.634628139837218</v>
      </c>
      <c r="I719" s="35">
        <v>-1.2579397694968089</v>
      </c>
      <c r="J719" s="35">
        <v>8.1809093990202388E-4</v>
      </c>
      <c r="K719" s="35">
        <v>-0.67600248796189777</v>
      </c>
      <c r="L719" s="35">
        <v>20.131977373348462</v>
      </c>
      <c r="M719" s="58" t="s">
        <v>24</v>
      </c>
      <c r="N719" s="7">
        <v>11.333333333333334</v>
      </c>
      <c r="O719" s="7" t="s">
        <v>178</v>
      </c>
      <c r="P719" s="7" t="s">
        <v>178</v>
      </c>
    </row>
    <row r="720" spans="1:16" x14ac:dyDescent="0.25">
      <c r="A720" s="2" t="s">
        <v>183</v>
      </c>
      <c r="B720" s="2" t="s">
        <v>187</v>
      </c>
      <c r="C720" s="6" t="s">
        <v>134</v>
      </c>
      <c r="D720" s="2" t="s">
        <v>126</v>
      </c>
      <c r="E720" s="2"/>
      <c r="F720" s="35">
        <v>5.5393224575487361</v>
      </c>
      <c r="G720" s="35">
        <v>12.762841137659755</v>
      </c>
      <c r="H720" s="35">
        <v>-15.051510083152333</v>
      </c>
      <c r="I720" s="35">
        <v>-1.2579397694968089</v>
      </c>
      <c r="J720" s="35">
        <v>8.1809093990202388E-4</v>
      </c>
      <c r="K720" s="35">
        <v>-0.37494925087763092</v>
      </c>
      <c r="L720" s="35">
        <v>23.923579608225864</v>
      </c>
      <c r="M720" s="58" t="s">
        <v>24</v>
      </c>
      <c r="N720" s="7">
        <v>11.333333333333334</v>
      </c>
      <c r="O720" s="7" t="s">
        <v>178</v>
      </c>
      <c r="P720" s="7" t="s">
        <v>178</v>
      </c>
    </row>
    <row r="721" spans="1:16" x14ac:dyDescent="0.25">
      <c r="A721" s="2" t="s">
        <v>183</v>
      </c>
      <c r="B721" s="2" t="s">
        <v>187</v>
      </c>
      <c r="C721" s="6" t="s">
        <v>134</v>
      </c>
      <c r="D721" s="2" t="s">
        <v>126</v>
      </c>
      <c r="E721" s="2"/>
      <c r="F721" s="35">
        <v>11.078644915097472</v>
      </c>
      <c r="G721" s="35">
        <v>15.789056086055496</v>
      </c>
      <c r="H721" s="35">
        <v>21.591107973532566</v>
      </c>
      <c r="I721" s="35">
        <v>-1.2579397694968089</v>
      </c>
      <c r="J721" s="35">
        <v>8.1809093990202388E-4</v>
      </c>
      <c r="K721" s="35">
        <v>6.5931847645397221</v>
      </c>
      <c r="L721" s="35">
        <v>5.8111088794650927</v>
      </c>
      <c r="M721" s="58" t="s">
        <v>23</v>
      </c>
      <c r="N721" s="7">
        <v>11.333333333333334</v>
      </c>
      <c r="O721" s="7" t="s">
        <v>178</v>
      </c>
      <c r="P721" s="7" t="s">
        <v>178</v>
      </c>
    </row>
    <row r="722" spans="1:16" x14ac:dyDescent="0.25">
      <c r="A722" s="2" t="s">
        <v>183</v>
      </c>
      <c r="B722" s="2" t="s">
        <v>187</v>
      </c>
      <c r="C722" s="6" t="s">
        <v>134</v>
      </c>
      <c r="D722" s="2" t="s">
        <v>127</v>
      </c>
      <c r="E722" s="2"/>
      <c r="F722" s="35">
        <v>0</v>
      </c>
      <c r="G722" s="35">
        <v>-47.73820142538824</v>
      </c>
      <c r="H722" s="35">
        <v>-26.688826219029778</v>
      </c>
      <c r="I722" s="35">
        <v>-2.6267923552634809</v>
      </c>
      <c r="J722" s="35">
        <v>1.0150488270119088E-3</v>
      </c>
      <c r="K722" s="35">
        <v>-15.814779532594429</v>
      </c>
      <c r="L722" s="35">
        <v>-53.722658857453432</v>
      </c>
      <c r="M722" s="58" t="s">
        <v>22</v>
      </c>
      <c r="N722" s="7">
        <v>11.333333333333334</v>
      </c>
      <c r="O722" s="7" t="s">
        <v>178</v>
      </c>
      <c r="P722" s="7" t="s">
        <v>178</v>
      </c>
    </row>
    <row r="723" spans="1:16" x14ac:dyDescent="0.25">
      <c r="A723" s="2" t="s">
        <v>183</v>
      </c>
      <c r="B723" s="2" t="s">
        <v>187</v>
      </c>
      <c r="C723" s="6" t="s">
        <v>134</v>
      </c>
      <c r="D723" s="2" t="s">
        <v>127</v>
      </c>
      <c r="E723" s="2"/>
      <c r="F723" s="35">
        <v>0.29999999999999988</v>
      </c>
      <c r="G723" s="35">
        <v>-47.574306925388242</v>
      </c>
      <c r="H723" s="35">
        <v>-25.498126219029778</v>
      </c>
      <c r="I723" s="35">
        <v>-2.6267923552634809</v>
      </c>
      <c r="J723" s="35">
        <v>1.0150488270119088E-3</v>
      </c>
      <c r="K723" s="35">
        <v>-15.026741826015387</v>
      </c>
      <c r="L723" s="35">
        <v>-45.894615991744502</v>
      </c>
      <c r="M723" s="58" t="s">
        <v>22</v>
      </c>
      <c r="N723" s="7">
        <v>11.333333333333334</v>
      </c>
      <c r="O723" s="7" t="s">
        <v>178</v>
      </c>
      <c r="P723" s="7" t="s">
        <v>178</v>
      </c>
    </row>
    <row r="724" spans="1:16" x14ac:dyDescent="0.25">
      <c r="A724" s="2" t="s">
        <v>183</v>
      </c>
      <c r="B724" s="2" t="s">
        <v>187</v>
      </c>
      <c r="C724" s="6" t="s">
        <v>134</v>
      </c>
      <c r="D724" s="2" t="s">
        <v>127</v>
      </c>
      <c r="E724" s="2"/>
      <c r="F724" s="35">
        <v>0.29999999999999988</v>
      </c>
      <c r="G724" s="35">
        <v>11.209192882621204</v>
      </c>
      <c r="H724" s="35">
        <v>-22.018090476579935</v>
      </c>
      <c r="I724" s="35">
        <v>-2.6267923552634711</v>
      </c>
      <c r="J724" s="35">
        <v>6.1793989232555217E-4</v>
      </c>
      <c r="K724" s="35">
        <v>-15.026717999479308</v>
      </c>
      <c r="L724" s="35">
        <v>-45.89461599174453</v>
      </c>
      <c r="M724" s="58" t="s">
        <v>22</v>
      </c>
      <c r="N724" s="7">
        <v>11.333333333333334</v>
      </c>
      <c r="O724" s="7" t="s">
        <v>178</v>
      </c>
      <c r="P724" s="7" t="s">
        <v>178</v>
      </c>
    </row>
    <row r="725" spans="1:16" x14ac:dyDescent="0.25">
      <c r="A725" s="2" t="s">
        <v>183</v>
      </c>
      <c r="B725" s="2" t="s">
        <v>187</v>
      </c>
      <c r="C725" s="6" t="s">
        <v>134</v>
      </c>
      <c r="D725" s="2" t="s">
        <v>127</v>
      </c>
      <c r="E725" s="2"/>
      <c r="F725" s="35">
        <v>5.3</v>
      </c>
      <c r="G725" s="35">
        <v>13.940767882621204</v>
      </c>
      <c r="H725" s="35">
        <v>-2.1730904765799313</v>
      </c>
      <c r="I725" s="35">
        <v>-2.6267923552634711</v>
      </c>
      <c r="J725" s="35">
        <v>6.1793989232555217E-4</v>
      </c>
      <c r="K725" s="35">
        <v>-1.8927562231619506</v>
      </c>
      <c r="L725" s="35">
        <v>14.583336391155125</v>
      </c>
      <c r="M725" s="58" t="s">
        <v>24</v>
      </c>
      <c r="N725" s="7">
        <v>11.333333333333334</v>
      </c>
      <c r="O725" s="7" t="s">
        <v>178</v>
      </c>
      <c r="P725" s="7" t="s">
        <v>178</v>
      </c>
    </row>
    <row r="726" spans="1:16" x14ac:dyDescent="0.25">
      <c r="A726" s="2" t="s">
        <v>183</v>
      </c>
      <c r="B726" s="2" t="s">
        <v>187</v>
      </c>
      <c r="C726" s="6" t="s">
        <v>134</v>
      </c>
      <c r="D726" s="2" t="s">
        <v>127</v>
      </c>
      <c r="E726" s="2"/>
      <c r="F726" s="35">
        <v>5.3</v>
      </c>
      <c r="G726" s="35">
        <v>-38.186204057972681</v>
      </c>
      <c r="H726" s="35">
        <v>-9.5720768723536178</v>
      </c>
      <c r="I726" s="35">
        <v>-2.6266641293069575</v>
      </c>
      <c r="J726" s="35">
        <v>9.5179900011540934E-4</v>
      </c>
      <c r="K726" s="35">
        <v>-1.8934819687634248</v>
      </c>
      <c r="L726" s="35">
        <v>14.583336391155097</v>
      </c>
      <c r="M726" s="58" t="s">
        <v>24</v>
      </c>
      <c r="N726" s="7">
        <v>11.333333333333334</v>
      </c>
      <c r="O726" s="7" t="s">
        <v>178</v>
      </c>
      <c r="P726" s="7" t="s">
        <v>178</v>
      </c>
    </row>
    <row r="727" spans="1:16" x14ac:dyDescent="0.25">
      <c r="A727" s="2" t="s">
        <v>183</v>
      </c>
      <c r="B727" s="2" t="s">
        <v>187</v>
      </c>
      <c r="C727" s="6" t="s">
        <v>134</v>
      </c>
      <c r="D727" s="2" t="s">
        <v>127</v>
      </c>
      <c r="E727" s="2"/>
      <c r="F727" s="35">
        <v>5.5393224575487361</v>
      </c>
      <c r="G727" s="35">
        <v>-38.055458609576938</v>
      </c>
      <c r="H727" s="35">
        <v>-8.6222060383426857</v>
      </c>
      <c r="I727" s="35">
        <v>-2.6266641293069575</v>
      </c>
      <c r="J727" s="35">
        <v>9.5179900011540934E-4</v>
      </c>
      <c r="K727" s="35">
        <v>-1.2648622541825729</v>
      </c>
      <c r="L727" s="35">
        <v>16.760486640917502</v>
      </c>
      <c r="M727" s="58" t="s">
        <v>24</v>
      </c>
      <c r="N727" s="7">
        <v>11.333333333333334</v>
      </c>
      <c r="O727" s="7" t="s">
        <v>178</v>
      </c>
      <c r="P727" s="7" t="s">
        <v>178</v>
      </c>
    </row>
    <row r="728" spans="1:16" x14ac:dyDescent="0.25">
      <c r="A728" s="2" t="s">
        <v>183</v>
      </c>
      <c r="B728" s="2" t="s">
        <v>187</v>
      </c>
      <c r="C728" s="6" t="s">
        <v>134</v>
      </c>
      <c r="D728" s="2" t="s">
        <v>127</v>
      </c>
      <c r="E728" s="2"/>
      <c r="F728" s="35">
        <v>11.078644915097472</v>
      </c>
      <c r="G728" s="35">
        <v>-35.029243661181198</v>
      </c>
      <c r="H728" s="35">
        <v>13.363364795668252</v>
      </c>
      <c r="I728" s="35">
        <v>-2.6266641293069575</v>
      </c>
      <c r="J728" s="35">
        <v>9.5179900011540934E-4</v>
      </c>
      <c r="K728" s="35">
        <v>13.285077345725153</v>
      </c>
      <c r="L728" s="35">
        <v>3.6290830512888119</v>
      </c>
      <c r="M728" s="58" t="s">
        <v>23</v>
      </c>
      <c r="N728" s="7">
        <v>11.333333333333334</v>
      </c>
      <c r="O728" s="7" t="s">
        <v>178</v>
      </c>
      <c r="P728" s="7" t="s">
        <v>178</v>
      </c>
    </row>
    <row r="729" spans="1:16" x14ac:dyDescent="0.25">
      <c r="A729" s="2" t="s">
        <v>183</v>
      </c>
      <c r="B729" s="2" t="s">
        <v>188</v>
      </c>
      <c r="C729" s="6" t="s">
        <v>135</v>
      </c>
      <c r="D729" s="2" t="s">
        <v>105</v>
      </c>
      <c r="E729" s="2"/>
      <c r="F729" s="35">
        <v>0</v>
      </c>
      <c r="G729" s="35">
        <v>-31.768274257917319</v>
      </c>
      <c r="H729" s="35">
        <v>5.1008943566661066E-2</v>
      </c>
      <c r="I729" s="35">
        <v>-0.17626163346431153</v>
      </c>
      <c r="J729" s="35">
        <v>-5.7890838050024306E-3</v>
      </c>
      <c r="K729" s="35">
        <v>-0.57591780768172207</v>
      </c>
      <c r="L729" s="35">
        <v>-0.35129559224087864</v>
      </c>
      <c r="M729" s="58" t="s">
        <v>22</v>
      </c>
      <c r="N729" s="7">
        <v>10.416666666666666</v>
      </c>
      <c r="O729" s="7" t="s">
        <v>178</v>
      </c>
      <c r="P729" s="7" t="s">
        <v>178</v>
      </c>
    </row>
    <row r="730" spans="1:16" x14ac:dyDescent="0.25">
      <c r="A730" s="2" t="s">
        <v>183</v>
      </c>
      <c r="B730" s="2" t="s">
        <v>188</v>
      </c>
      <c r="C730" s="6" t="s">
        <v>135</v>
      </c>
      <c r="D730" s="2" t="s">
        <v>105</v>
      </c>
      <c r="E730" s="2"/>
      <c r="F730" s="35">
        <v>4.5</v>
      </c>
      <c r="G730" s="35">
        <v>-29.30985675791732</v>
      </c>
      <c r="H730" s="35">
        <v>5.1008943566661066E-2</v>
      </c>
      <c r="I730" s="35">
        <v>-0.17626163346431153</v>
      </c>
      <c r="J730" s="35">
        <v>-5.7890838050024306E-3</v>
      </c>
      <c r="K730" s="35">
        <v>0.21725954290767963</v>
      </c>
      <c r="L730" s="35">
        <v>-0.5808358382908535</v>
      </c>
      <c r="M730" s="58" t="s">
        <v>24</v>
      </c>
      <c r="N730" s="7">
        <v>10.416666666666666</v>
      </c>
      <c r="O730" s="7" t="s">
        <v>178</v>
      </c>
      <c r="P730" s="7" t="s">
        <v>178</v>
      </c>
    </row>
    <row r="731" spans="1:16" x14ac:dyDescent="0.25">
      <c r="A731" s="2" t="s">
        <v>183</v>
      </c>
      <c r="B731" s="2" t="s">
        <v>188</v>
      </c>
      <c r="C731" s="6" t="s">
        <v>135</v>
      </c>
      <c r="D731" s="2" t="s">
        <v>105</v>
      </c>
      <c r="E731" s="2"/>
      <c r="F731" s="35">
        <v>4.5</v>
      </c>
      <c r="G731" s="35">
        <v>-28.523721255113614</v>
      </c>
      <c r="H731" s="35">
        <v>5.1077610226316565E-2</v>
      </c>
      <c r="I731" s="35">
        <v>-0.18507063552811812</v>
      </c>
      <c r="J731" s="35">
        <v>4.4065622016202484E-3</v>
      </c>
      <c r="K731" s="35">
        <v>0.21725943101689016</v>
      </c>
      <c r="L731" s="35">
        <v>0.40183443833781535</v>
      </c>
      <c r="M731" s="58" t="s">
        <v>24</v>
      </c>
      <c r="N731" s="7">
        <v>10.416666666666666</v>
      </c>
      <c r="O731" s="7" t="s">
        <v>178</v>
      </c>
      <c r="P731" s="7" t="s">
        <v>178</v>
      </c>
    </row>
    <row r="732" spans="1:16" x14ac:dyDescent="0.25">
      <c r="A732" s="2" t="s">
        <v>183</v>
      </c>
      <c r="B732" s="2" t="s">
        <v>188</v>
      </c>
      <c r="C732" s="6" t="s">
        <v>135</v>
      </c>
      <c r="D732" s="2" t="s">
        <v>105</v>
      </c>
      <c r="E732" s="2"/>
      <c r="F732" s="35">
        <v>5.0809891242154022</v>
      </c>
      <c r="G732" s="35">
        <v>-28.206318181717876</v>
      </c>
      <c r="H732" s="35">
        <v>5.1077610226316565E-2</v>
      </c>
      <c r="I732" s="35">
        <v>-0.18507063552811812</v>
      </c>
      <c r="J732" s="35">
        <v>4.4065622016202484E-3</v>
      </c>
      <c r="K732" s="35">
        <v>0.3247834574703593</v>
      </c>
      <c r="L732" s="35">
        <v>0.37215890230541199</v>
      </c>
      <c r="M732" s="58" t="s">
        <v>24</v>
      </c>
      <c r="N732" s="7">
        <v>10.416666666666666</v>
      </c>
      <c r="O732" s="7" t="s">
        <v>178</v>
      </c>
      <c r="P732" s="7" t="s">
        <v>178</v>
      </c>
    </row>
    <row r="733" spans="1:16" x14ac:dyDescent="0.25">
      <c r="A733" s="2" t="s">
        <v>183</v>
      </c>
      <c r="B733" s="2" t="s">
        <v>188</v>
      </c>
      <c r="C733" s="6" t="s">
        <v>135</v>
      </c>
      <c r="D733" s="2" t="s">
        <v>105</v>
      </c>
      <c r="E733" s="2"/>
      <c r="F733" s="35">
        <v>10.161978248430804</v>
      </c>
      <c r="G733" s="35">
        <v>-25.430497608322138</v>
      </c>
      <c r="H733" s="35">
        <v>5.1077610226316565E-2</v>
      </c>
      <c r="I733" s="35">
        <v>-0.18507063552811812</v>
      </c>
      <c r="J733" s="35">
        <v>4.4065622016202484E-3</v>
      </c>
      <c r="K733" s="35">
        <v>1.26512534380036</v>
      </c>
      <c r="L733" s="35">
        <v>0.11263412025458416</v>
      </c>
      <c r="M733" s="58" t="s">
        <v>23</v>
      </c>
      <c r="N733" s="7">
        <v>10.416666666666666</v>
      </c>
      <c r="O733" s="7" t="s">
        <v>178</v>
      </c>
      <c r="P733" s="7" t="s">
        <v>178</v>
      </c>
    </row>
    <row r="734" spans="1:16" x14ac:dyDescent="0.25">
      <c r="A734" s="2" t="s">
        <v>183</v>
      </c>
      <c r="B734" s="2" t="s">
        <v>188</v>
      </c>
      <c r="C734" s="6" t="s">
        <v>135</v>
      </c>
      <c r="D734" s="2" t="s">
        <v>15</v>
      </c>
      <c r="E734" s="2"/>
      <c r="F734" s="35">
        <v>0</v>
      </c>
      <c r="G734" s="35">
        <v>70.027485114380454</v>
      </c>
      <c r="H734" s="35">
        <v>23.368101087274127</v>
      </c>
      <c r="I734" s="35">
        <v>0.65405107859463196</v>
      </c>
      <c r="J734" s="35">
        <v>-6.4691570058338071E-3</v>
      </c>
      <c r="K734" s="35">
        <v>2.2660290205338591</v>
      </c>
      <c r="L734" s="35">
        <v>57.964766793772966</v>
      </c>
      <c r="M734" s="58" t="s">
        <v>22</v>
      </c>
      <c r="N734" s="7">
        <v>10.416666666666666</v>
      </c>
      <c r="O734" s="7" t="s">
        <v>178</v>
      </c>
      <c r="P734" s="7" t="s">
        <v>178</v>
      </c>
    </row>
    <row r="735" spans="1:16" x14ac:dyDescent="0.25">
      <c r="A735" s="2" t="s">
        <v>183</v>
      </c>
      <c r="B735" s="2" t="s">
        <v>188</v>
      </c>
      <c r="C735" s="6" t="s">
        <v>135</v>
      </c>
      <c r="D735" s="2" t="s">
        <v>15</v>
      </c>
      <c r="E735" s="2"/>
      <c r="F735" s="35">
        <v>4.5</v>
      </c>
      <c r="G735" s="35">
        <v>72.48590261438045</v>
      </c>
      <c r="H735" s="35">
        <v>8.0591010872741258</v>
      </c>
      <c r="I735" s="35">
        <v>0.65405107859463196</v>
      </c>
      <c r="J735" s="35">
        <v>-6.4691570058338071E-3</v>
      </c>
      <c r="K735" s="35">
        <v>-0.67720083314198498</v>
      </c>
      <c r="L735" s="35">
        <v>-12.746438098960599</v>
      </c>
      <c r="M735" s="58" t="s">
        <v>24</v>
      </c>
      <c r="N735" s="7">
        <v>10.416666666666666</v>
      </c>
      <c r="O735" s="7" t="s">
        <v>178</v>
      </c>
      <c r="P735" s="7" t="s">
        <v>178</v>
      </c>
    </row>
    <row r="736" spans="1:16" x14ac:dyDescent="0.25">
      <c r="A736" s="2" t="s">
        <v>183</v>
      </c>
      <c r="B736" s="2" t="s">
        <v>188</v>
      </c>
      <c r="C736" s="6" t="s">
        <v>135</v>
      </c>
      <c r="D736" s="2" t="s">
        <v>15</v>
      </c>
      <c r="E736" s="2"/>
      <c r="F736" s="35">
        <v>4.5</v>
      </c>
      <c r="G736" s="35">
        <v>73.272039020538116</v>
      </c>
      <c r="H736" s="35">
        <v>8.0593898691598262</v>
      </c>
      <c r="I736" s="35">
        <v>0.64224395641163834</v>
      </c>
      <c r="J736" s="35">
        <v>6.2734816688391351E-3</v>
      </c>
      <c r="K736" s="35">
        <v>-0.67719785883861694</v>
      </c>
      <c r="L736" s="35">
        <v>-11.76369885711067</v>
      </c>
      <c r="M736" s="58" t="s">
        <v>24</v>
      </c>
      <c r="N736" s="7">
        <v>10.416666666666666</v>
      </c>
      <c r="O736" s="7" t="s">
        <v>178</v>
      </c>
      <c r="P736" s="7" t="s">
        <v>178</v>
      </c>
    </row>
    <row r="737" spans="1:16" x14ac:dyDescent="0.25">
      <c r="A737" s="2" t="s">
        <v>183</v>
      </c>
      <c r="B737" s="2" t="s">
        <v>188</v>
      </c>
      <c r="C737" s="6" t="s">
        <v>135</v>
      </c>
      <c r="D737" s="2" t="s">
        <v>15</v>
      </c>
      <c r="E737" s="2"/>
      <c r="F737" s="35">
        <v>5.0809891242154022</v>
      </c>
      <c r="G737" s="35">
        <v>73.589442093933854</v>
      </c>
      <c r="H737" s="35">
        <v>6.082864868579029</v>
      </c>
      <c r="I737" s="35">
        <v>0.64224395641163834</v>
      </c>
      <c r="J737" s="35">
        <v>6.2734816688391351E-3</v>
      </c>
      <c r="K737" s="35">
        <v>-1.0503346126068493</v>
      </c>
      <c r="L737" s="35">
        <v>-15.871946954365677</v>
      </c>
      <c r="M737" s="58" t="s">
        <v>24</v>
      </c>
      <c r="N737" s="7">
        <v>10.416666666666666</v>
      </c>
      <c r="O737" s="7" t="s">
        <v>178</v>
      </c>
      <c r="P737" s="7" t="s">
        <v>178</v>
      </c>
    </row>
    <row r="738" spans="1:16" x14ac:dyDescent="0.25">
      <c r="A738" s="2" t="s">
        <v>183</v>
      </c>
      <c r="B738" s="2" t="s">
        <v>188</v>
      </c>
      <c r="C738" s="6" t="s">
        <v>135</v>
      </c>
      <c r="D738" s="2" t="s">
        <v>15</v>
      </c>
      <c r="E738" s="2"/>
      <c r="F738" s="35">
        <v>10.161978248430804</v>
      </c>
      <c r="G738" s="35">
        <v>76.365262667329588</v>
      </c>
      <c r="H738" s="35">
        <v>-11.202660132001773</v>
      </c>
      <c r="I738" s="35">
        <v>0.64224395641163834</v>
      </c>
      <c r="J738" s="35">
        <v>6.2734816688391351E-3</v>
      </c>
      <c r="K738" s="35">
        <v>-4.3135691702274537</v>
      </c>
      <c r="L738" s="35">
        <v>-2.8651349285354346</v>
      </c>
      <c r="M738" s="58" t="s">
        <v>23</v>
      </c>
      <c r="N738" s="7">
        <v>10.416666666666666</v>
      </c>
      <c r="O738" s="7" t="s">
        <v>178</v>
      </c>
      <c r="P738" s="7" t="s">
        <v>178</v>
      </c>
    </row>
    <row r="739" spans="1:16" x14ac:dyDescent="0.25">
      <c r="A739" s="2" t="s">
        <v>183</v>
      </c>
      <c r="B739" s="2" t="s">
        <v>188</v>
      </c>
      <c r="C739" s="6" t="s">
        <v>135</v>
      </c>
      <c r="D739" s="2" t="s">
        <v>16</v>
      </c>
      <c r="E739" s="2"/>
      <c r="F739" s="35">
        <v>0</v>
      </c>
      <c r="G739" s="35">
        <v>48.421519306781128</v>
      </c>
      <c r="H739" s="35">
        <v>41.001004167365458</v>
      </c>
      <c r="I739" s="35">
        <v>0.53564813368560849</v>
      </c>
      <c r="J739" s="35">
        <v>-1.318709027253295E-3</v>
      </c>
      <c r="K739" s="35">
        <v>1.8363875493709165</v>
      </c>
      <c r="L739" s="35">
        <v>98.087853262300072</v>
      </c>
      <c r="M739" s="58" t="s">
        <v>22</v>
      </c>
      <c r="N739" s="7">
        <v>10.416666666666666</v>
      </c>
      <c r="O739" s="7" t="s">
        <v>178</v>
      </c>
      <c r="P739" s="7" t="s">
        <v>178</v>
      </c>
    </row>
    <row r="740" spans="1:16" x14ac:dyDescent="0.25">
      <c r="A740" s="2" t="s">
        <v>183</v>
      </c>
      <c r="B740" s="2" t="s">
        <v>188</v>
      </c>
      <c r="C740" s="6" t="s">
        <v>135</v>
      </c>
      <c r="D740" s="2" t="s">
        <v>16</v>
      </c>
      <c r="E740" s="2"/>
      <c r="F740" s="35">
        <v>4.5</v>
      </c>
      <c r="G740" s="35">
        <v>50.879936806781132</v>
      </c>
      <c r="H740" s="35">
        <v>13.785004167365452</v>
      </c>
      <c r="I740" s="35">
        <v>0.53564813368560849</v>
      </c>
      <c r="J740" s="35">
        <v>-1.318709027253295E-3</v>
      </c>
      <c r="K740" s="35">
        <v>-0.57402905221432166</v>
      </c>
      <c r="L740" s="35">
        <v>-25.180665490844451</v>
      </c>
      <c r="M740" s="58" t="s">
        <v>24</v>
      </c>
      <c r="N740" s="7">
        <v>10.416666666666666</v>
      </c>
      <c r="O740" s="7" t="s">
        <v>178</v>
      </c>
      <c r="P740" s="7" t="s">
        <v>178</v>
      </c>
    </row>
    <row r="741" spans="1:16" x14ac:dyDescent="0.25">
      <c r="A741" s="2" t="s">
        <v>183</v>
      </c>
      <c r="B741" s="2" t="s">
        <v>188</v>
      </c>
      <c r="C741" s="6" t="s">
        <v>135</v>
      </c>
      <c r="D741" s="2" t="s">
        <v>16</v>
      </c>
      <c r="E741" s="2"/>
      <c r="F741" s="35">
        <v>4.5</v>
      </c>
      <c r="G741" s="35">
        <v>51.666073395117756</v>
      </c>
      <c r="H741" s="35">
        <v>13.785539518881349</v>
      </c>
      <c r="I741" s="35">
        <v>0.52925574378989815</v>
      </c>
      <c r="J741" s="35">
        <v>3.8374428157168022E-3</v>
      </c>
      <c r="K741" s="35">
        <v>-0.57402763559305525</v>
      </c>
      <c r="L741" s="35">
        <v>-24.19787119374217</v>
      </c>
      <c r="M741" s="58" t="s">
        <v>24</v>
      </c>
      <c r="N741" s="7">
        <v>10.416666666666666</v>
      </c>
      <c r="O741" s="7" t="s">
        <v>178</v>
      </c>
      <c r="P741" s="7" t="s">
        <v>178</v>
      </c>
    </row>
    <row r="742" spans="1:16" x14ac:dyDescent="0.25">
      <c r="A742" s="2" t="s">
        <v>183</v>
      </c>
      <c r="B742" s="2" t="s">
        <v>188</v>
      </c>
      <c r="C742" s="6" t="s">
        <v>135</v>
      </c>
      <c r="D742" s="2" t="s">
        <v>16</v>
      </c>
      <c r="E742" s="2"/>
      <c r="F742" s="35">
        <v>5.0809891242154022</v>
      </c>
      <c r="G742" s="35">
        <v>51.983476468513494</v>
      </c>
      <c r="H742" s="35">
        <v>10.271717295626598</v>
      </c>
      <c r="I742" s="35">
        <v>0.52925574378989815</v>
      </c>
      <c r="J742" s="35">
        <v>3.8374428157168022E-3</v>
      </c>
      <c r="K742" s="35">
        <v>-0.88151946666351921</v>
      </c>
      <c r="L742" s="35">
        <v>-31.18637347758516</v>
      </c>
      <c r="M742" s="58" t="s">
        <v>24</v>
      </c>
      <c r="N742" s="7">
        <v>10.416666666666666</v>
      </c>
      <c r="O742" s="7" t="s">
        <v>178</v>
      </c>
      <c r="P742" s="7" t="s">
        <v>178</v>
      </c>
    </row>
    <row r="743" spans="1:16" x14ac:dyDescent="0.25">
      <c r="A743" s="2" t="s">
        <v>183</v>
      </c>
      <c r="B743" s="2" t="s">
        <v>188</v>
      </c>
      <c r="C743" s="6" t="s">
        <v>135</v>
      </c>
      <c r="D743" s="2" t="s">
        <v>16</v>
      </c>
      <c r="E743" s="2"/>
      <c r="F743" s="35">
        <v>10.161978248430804</v>
      </c>
      <c r="G743" s="35">
        <v>54.759297041909235</v>
      </c>
      <c r="H743" s="35">
        <v>-20.458104927628153</v>
      </c>
      <c r="I743" s="35">
        <v>0.52925574378989815</v>
      </c>
      <c r="J743" s="35">
        <v>3.8374428157168022E-3</v>
      </c>
      <c r="K743" s="35">
        <v>-3.5706621447885247</v>
      </c>
      <c r="L743" s="35">
        <v>-5.3079110909640761</v>
      </c>
      <c r="M743" s="58" t="s">
        <v>23</v>
      </c>
      <c r="N743" s="7">
        <v>10.416666666666666</v>
      </c>
      <c r="O743" s="7" t="s">
        <v>178</v>
      </c>
      <c r="P743" s="7" t="s">
        <v>178</v>
      </c>
    </row>
    <row r="744" spans="1:16" x14ac:dyDescent="0.25">
      <c r="A744" s="2" t="s">
        <v>183</v>
      </c>
      <c r="B744" s="2" t="s">
        <v>188</v>
      </c>
      <c r="C744" s="6" t="s">
        <v>135</v>
      </c>
      <c r="D744" s="2" t="s">
        <v>106</v>
      </c>
      <c r="E744" s="2"/>
      <c r="F744" s="35">
        <v>0</v>
      </c>
      <c r="G744" s="35">
        <v>26.35747511631762</v>
      </c>
      <c r="H744" s="35">
        <v>-23.096978860107498</v>
      </c>
      <c r="I744" s="35">
        <v>0.14269158340937416</v>
      </c>
      <c r="J744" s="35">
        <v>-9.3735244968581252E-3</v>
      </c>
      <c r="K744" s="35">
        <v>0.53942274624764708</v>
      </c>
      <c r="L744" s="35">
        <v>-56.907775106313821</v>
      </c>
      <c r="M744" s="58" t="s">
        <v>22</v>
      </c>
      <c r="N744" s="7">
        <v>10.416666666666666</v>
      </c>
      <c r="O744" s="7" t="s">
        <v>178</v>
      </c>
      <c r="P744" s="7" t="s">
        <v>178</v>
      </c>
    </row>
    <row r="745" spans="1:16" x14ac:dyDescent="0.25">
      <c r="A745" s="2" t="s">
        <v>183</v>
      </c>
      <c r="B745" s="2" t="s">
        <v>188</v>
      </c>
      <c r="C745" s="6" t="s">
        <v>135</v>
      </c>
      <c r="D745" s="2" t="s">
        <v>106</v>
      </c>
      <c r="E745" s="2"/>
      <c r="F745" s="35">
        <v>4.5</v>
      </c>
      <c r="G745" s="35">
        <v>28.815892616317619</v>
      </c>
      <c r="H745" s="35">
        <v>-7.7879788601074935</v>
      </c>
      <c r="I745" s="35">
        <v>0.14269158340937416</v>
      </c>
      <c r="J745" s="35">
        <v>-9.3735244968581252E-3</v>
      </c>
      <c r="K745" s="35">
        <v>-0.10268937909453663</v>
      </c>
      <c r="L745" s="35">
        <v>12.583379764169905</v>
      </c>
      <c r="M745" s="58" t="s">
        <v>24</v>
      </c>
      <c r="N745" s="7">
        <v>10.416666666666666</v>
      </c>
      <c r="O745" s="7" t="s">
        <v>178</v>
      </c>
      <c r="P745" s="7" t="s">
        <v>178</v>
      </c>
    </row>
    <row r="746" spans="1:16" x14ac:dyDescent="0.25">
      <c r="A746" s="2" t="s">
        <v>183</v>
      </c>
      <c r="B746" s="2" t="s">
        <v>188</v>
      </c>
      <c r="C746" s="6" t="s">
        <v>135</v>
      </c>
      <c r="D746" s="2" t="s">
        <v>106</v>
      </c>
      <c r="E746" s="2"/>
      <c r="F746" s="35">
        <v>4.5</v>
      </c>
      <c r="G746" s="35">
        <v>29.60202826468748</v>
      </c>
      <c r="H746" s="35">
        <v>-7.788153083228508</v>
      </c>
      <c r="I746" s="35">
        <v>0.13073619011286799</v>
      </c>
      <c r="J746" s="35">
        <v>5.7046705342643916E-3</v>
      </c>
      <c r="K746" s="35">
        <v>-0.10268674140139972</v>
      </c>
      <c r="L746" s="35">
        <v>13.56598221868235</v>
      </c>
      <c r="M746" s="58" t="s">
        <v>24</v>
      </c>
      <c r="N746" s="7">
        <v>10.416666666666666</v>
      </c>
      <c r="O746" s="7" t="s">
        <v>178</v>
      </c>
      <c r="P746" s="7" t="s">
        <v>178</v>
      </c>
    </row>
    <row r="747" spans="1:16" x14ac:dyDescent="0.25">
      <c r="A747" s="2" t="s">
        <v>183</v>
      </c>
      <c r="B747" s="2" t="s">
        <v>188</v>
      </c>
      <c r="C747" s="6" t="s">
        <v>135</v>
      </c>
      <c r="D747" s="2" t="s">
        <v>106</v>
      </c>
      <c r="E747" s="2"/>
      <c r="F747" s="35">
        <v>5.0809891242154022</v>
      </c>
      <c r="G747" s="35">
        <v>29.919431338083214</v>
      </c>
      <c r="H747" s="35">
        <v>-5.8116280826477116</v>
      </c>
      <c r="I747" s="35">
        <v>0.13073619011286799</v>
      </c>
      <c r="J747" s="35">
        <v>5.7046705342643916E-3</v>
      </c>
      <c r="K747" s="35">
        <v>-0.17864304599833314</v>
      </c>
      <c r="L747" s="35">
        <v>17.516644693224119</v>
      </c>
      <c r="M747" s="58" t="s">
        <v>24</v>
      </c>
      <c r="N747" s="7">
        <v>10.416666666666666</v>
      </c>
      <c r="O747" s="7" t="s">
        <v>178</v>
      </c>
      <c r="P747" s="7" t="s">
        <v>178</v>
      </c>
    </row>
    <row r="748" spans="1:16" x14ac:dyDescent="0.25">
      <c r="A748" s="2" t="s">
        <v>183</v>
      </c>
      <c r="B748" s="2" t="s">
        <v>188</v>
      </c>
      <c r="C748" s="6" t="s">
        <v>135</v>
      </c>
      <c r="D748" s="2" t="s">
        <v>106</v>
      </c>
      <c r="E748" s="2"/>
      <c r="F748" s="35">
        <v>10.161978248430804</v>
      </c>
      <c r="G748" s="35">
        <v>32.695251911478948</v>
      </c>
      <c r="H748" s="35">
        <v>11.473896917933088</v>
      </c>
      <c r="I748" s="35">
        <v>0.13073619011286799</v>
      </c>
      <c r="J748" s="35">
        <v>5.7046705342643916E-3</v>
      </c>
      <c r="K748" s="35">
        <v>-0.84291220610317252</v>
      </c>
      <c r="L748" s="35">
        <v>3.1316815079897182</v>
      </c>
      <c r="M748" s="58" t="s">
        <v>23</v>
      </c>
      <c r="N748" s="7">
        <v>10.416666666666666</v>
      </c>
      <c r="O748" s="7" t="s">
        <v>178</v>
      </c>
      <c r="P748" s="7" t="s">
        <v>178</v>
      </c>
    </row>
    <row r="749" spans="1:16" x14ac:dyDescent="0.25">
      <c r="A749" s="2" t="s">
        <v>183</v>
      </c>
      <c r="B749" s="2" t="s">
        <v>188</v>
      </c>
      <c r="C749" s="6" t="s">
        <v>135</v>
      </c>
      <c r="D749" s="2" t="s">
        <v>107</v>
      </c>
      <c r="E749" s="2"/>
      <c r="F749" s="35">
        <v>0</v>
      </c>
      <c r="G749" s="35">
        <v>4.9803156445617853</v>
      </c>
      <c r="H749" s="35">
        <v>-5.4640703445173129</v>
      </c>
      <c r="I749" s="35">
        <v>4.4523508834186466E-2</v>
      </c>
      <c r="J749" s="35">
        <v>-3.9637716314975882E-3</v>
      </c>
      <c r="K749" s="35">
        <v>0.1802360700197623</v>
      </c>
      <c r="L749" s="35">
        <v>-16.784676904547315</v>
      </c>
      <c r="M749" s="58" t="s">
        <v>22</v>
      </c>
      <c r="N749" s="7">
        <v>10.416666666666666</v>
      </c>
      <c r="O749" s="7" t="s">
        <v>178</v>
      </c>
      <c r="P749" s="7" t="s">
        <v>178</v>
      </c>
    </row>
    <row r="750" spans="1:16" x14ac:dyDescent="0.25">
      <c r="A750" s="2" t="s">
        <v>183</v>
      </c>
      <c r="B750" s="2" t="s">
        <v>188</v>
      </c>
      <c r="C750" s="6" t="s">
        <v>135</v>
      </c>
      <c r="D750" s="2" t="s">
        <v>107</v>
      </c>
      <c r="E750" s="2"/>
      <c r="F750" s="35">
        <v>4.5</v>
      </c>
      <c r="G750" s="35">
        <v>7.4387331445617839</v>
      </c>
      <c r="H750" s="35">
        <v>-2.0620703445173127</v>
      </c>
      <c r="I750" s="35">
        <v>4.4523508834186466E-2</v>
      </c>
      <c r="J750" s="35">
        <v>-3.9637716314975882E-3</v>
      </c>
      <c r="K750" s="35">
        <v>-2.0119719734076769E-2</v>
      </c>
      <c r="L750" s="35">
        <v>0.14913964578059247</v>
      </c>
      <c r="M750" s="58" t="s">
        <v>24</v>
      </c>
      <c r="N750" s="7">
        <v>10.416666666666666</v>
      </c>
      <c r="O750" s="7" t="s">
        <v>178</v>
      </c>
      <c r="P750" s="7" t="s">
        <v>178</v>
      </c>
    </row>
    <row r="751" spans="1:16" x14ac:dyDescent="0.25">
      <c r="A751" s="2" t="s">
        <v>183</v>
      </c>
      <c r="B751" s="2" t="s">
        <v>188</v>
      </c>
      <c r="C751" s="6" t="s">
        <v>135</v>
      </c>
      <c r="D751" s="2" t="s">
        <v>107</v>
      </c>
      <c r="E751" s="2"/>
      <c r="F751" s="35">
        <v>4.5</v>
      </c>
      <c r="G751" s="35">
        <v>8.2248689802389325</v>
      </c>
      <c r="H751" s="35">
        <v>-2.0620018941784446</v>
      </c>
      <c r="I751" s="35">
        <v>3.837777369007396E-2</v>
      </c>
      <c r="J751" s="35">
        <v>3.0744700126314238E-3</v>
      </c>
      <c r="K751" s="35">
        <v>-2.0118534639174068E-2</v>
      </c>
      <c r="L751" s="35">
        <v>1.1317971969771476</v>
      </c>
      <c r="M751" s="58" t="s">
        <v>24</v>
      </c>
      <c r="N751" s="7">
        <v>10.416666666666666</v>
      </c>
      <c r="O751" s="7" t="s">
        <v>178</v>
      </c>
      <c r="P751" s="7" t="s">
        <v>178</v>
      </c>
    </row>
    <row r="752" spans="1:16" x14ac:dyDescent="0.25">
      <c r="A752" s="2" t="s">
        <v>183</v>
      </c>
      <c r="B752" s="2" t="s">
        <v>188</v>
      </c>
      <c r="C752" s="6" t="s">
        <v>135</v>
      </c>
      <c r="D752" s="2" t="s">
        <v>107</v>
      </c>
      <c r="E752" s="2"/>
      <c r="F752" s="35">
        <v>5.0809891242154022</v>
      </c>
      <c r="G752" s="35">
        <v>8.5422720536346706</v>
      </c>
      <c r="H752" s="35">
        <v>-1.6227741162716007</v>
      </c>
      <c r="I752" s="35">
        <v>3.837777369007396E-2</v>
      </c>
      <c r="J752" s="35">
        <v>3.0744700126314238E-3</v>
      </c>
      <c r="K752" s="35">
        <v>-4.2415603764707009E-2</v>
      </c>
      <c r="L752" s="35">
        <v>2.2022045905977943</v>
      </c>
      <c r="M752" s="58" t="s">
        <v>24</v>
      </c>
      <c r="N752" s="7">
        <v>10.416666666666666</v>
      </c>
      <c r="O752" s="7" t="s">
        <v>178</v>
      </c>
      <c r="P752" s="7" t="s">
        <v>178</v>
      </c>
    </row>
    <row r="753" spans="1:16" x14ac:dyDescent="0.25">
      <c r="A753" s="2" t="s">
        <v>183</v>
      </c>
      <c r="B753" s="2" t="s">
        <v>188</v>
      </c>
      <c r="C753" s="6" t="s">
        <v>135</v>
      </c>
      <c r="D753" s="2" t="s">
        <v>107</v>
      </c>
      <c r="E753" s="2"/>
      <c r="F753" s="35">
        <v>10.161978248430804</v>
      </c>
      <c r="G753" s="35">
        <v>11.318092627030406</v>
      </c>
      <c r="H753" s="35">
        <v>2.2184536616352424</v>
      </c>
      <c r="I753" s="35">
        <v>3.837777369007396E-2</v>
      </c>
      <c r="J753" s="35">
        <v>3.0744700126314238E-3</v>
      </c>
      <c r="K753" s="35">
        <v>-0.23741265449557272</v>
      </c>
      <c r="L753" s="35">
        <v>0.68888394484267279</v>
      </c>
      <c r="M753" s="58" t="s">
        <v>23</v>
      </c>
      <c r="N753" s="7">
        <v>10.416666666666666</v>
      </c>
      <c r="O753" s="7" t="s">
        <v>178</v>
      </c>
      <c r="P753" s="7" t="s">
        <v>178</v>
      </c>
    </row>
    <row r="754" spans="1:16" x14ac:dyDescent="0.25">
      <c r="A754" s="2" t="s">
        <v>183</v>
      </c>
      <c r="B754" s="2" t="s">
        <v>188</v>
      </c>
      <c r="C754" s="6" t="s">
        <v>135</v>
      </c>
      <c r="D754" s="2" t="s">
        <v>108</v>
      </c>
      <c r="E754" s="2"/>
      <c r="F754" s="35">
        <v>0</v>
      </c>
      <c r="G754" s="35">
        <v>26.326732751870065</v>
      </c>
      <c r="H754" s="35">
        <v>-44.024898107057936</v>
      </c>
      <c r="I754" s="35">
        <v>1.7898358026666781</v>
      </c>
      <c r="J754" s="35">
        <v>-8.9828163957142836E-3</v>
      </c>
      <c r="K754" s="35">
        <v>9.3197629663709431</v>
      </c>
      <c r="L754" s="35">
        <v>-100.59449478017814</v>
      </c>
      <c r="M754" s="58" t="s">
        <v>22</v>
      </c>
      <c r="N754" s="7">
        <v>10.416666666666666</v>
      </c>
      <c r="O754" s="7" t="s">
        <v>178</v>
      </c>
      <c r="P754" s="7" t="s">
        <v>178</v>
      </c>
    </row>
    <row r="755" spans="1:16" x14ac:dyDescent="0.25">
      <c r="A755" s="2" t="s">
        <v>183</v>
      </c>
      <c r="B755" s="2" t="s">
        <v>188</v>
      </c>
      <c r="C755" s="6" t="s">
        <v>135</v>
      </c>
      <c r="D755" s="2" t="s">
        <v>108</v>
      </c>
      <c r="E755" s="2"/>
      <c r="F755" s="35">
        <v>4.5</v>
      </c>
      <c r="G755" s="35">
        <v>28.785150251870064</v>
      </c>
      <c r="H755" s="35">
        <v>-14.257398107057934</v>
      </c>
      <c r="I755" s="35">
        <v>1.7898358026666781</v>
      </c>
      <c r="J755" s="35">
        <v>-8.9828163957142836E-3</v>
      </c>
      <c r="K755" s="35">
        <v>1.2655018543708942</v>
      </c>
      <c r="L755" s="35">
        <v>30.540671701582571</v>
      </c>
      <c r="M755" s="58" t="s">
        <v>24</v>
      </c>
      <c r="N755" s="7">
        <v>10.416666666666666</v>
      </c>
      <c r="O755" s="7" t="s">
        <v>178</v>
      </c>
      <c r="P755" s="7" t="s">
        <v>178</v>
      </c>
    </row>
    <row r="756" spans="1:16" x14ac:dyDescent="0.25">
      <c r="A756" s="2" t="s">
        <v>183</v>
      </c>
      <c r="B756" s="2" t="s">
        <v>188</v>
      </c>
      <c r="C756" s="6" t="s">
        <v>135</v>
      </c>
      <c r="D756" s="2" t="s">
        <v>108</v>
      </c>
      <c r="E756" s="2"/>
      <c r="F756" s="35">
        <v>4.5</v>
      </c>
      <c r="G756" s="35">
        <v>29.571281075097367</v>
      </c>
      <c r="H756" s="35">
        <v>-14.258087655809852</v>
      </c>
      <c r="I756" s="35">
        <v>1.7823085746500908</v>
      </c>
      <c r="J756" s="35">
        <v>3.1462072649474497E-3</v>
      </c>
      <c r="K756" s="35">
        <v>1.2655265000717797</v>
      </c>
      <c r="L756" s="35">
        <v>31.523198133151759</v>
      </c>
      <c r="M756" s="58" t="s">
        <v>24</v>
      </c>
      <c r="N756" s="7">
        <v>10.416666666666666</v>
      </c>
      <c r="O756" s="7" t="s">
        <v>178</v>
      </c>
      <c r="P756" s="7" t="s">
        <v>178</v>
      </c>
    </row>
    <row r="757" spans="1:16" x14ac:dyDescent="0.25">
      <c r="A757" s="2" t="s">
        <v>183</v>
      </c>
      <c r="B757" s="2" t="s">
        <v>188</v>
      </c>
      <c r="C757" s="6" t="s">
        <v>135</v>
      </c>
      <c r="D757" s="2" t="s">
        <v>108</v>
      </c>
      <c r="E757" s="2"/>
      <c r="F757" s="35">
        <v>5.0809891242154022</v>
      </c>
      <c r="G757" s="35">
        <v>29.888684148493105</v>
      </c>
      <c r="H757" s="35">
        <v>-10.414844599124971</v>
      </c>
      <c r="I757" s="35">
        <v>1.7823085746500908</v>
      </c>
      <c r="J757" s="35">
        <v>3.1462072649474497E-3</v>
      </c>
      <c r="K757" s="35">
        <v>0.23002460220422219</v>
      </c>
      <c r="L757" s="35">
        <v>38.690550784462019</v>
      </c>
      <c r="M757" s="58" t="s">
        <v>24</v>
      </c>
      <c r="N757" s="7">
        <v>10.416666666666666</v>
      </c>
      <c r="O757" s="7" t="s">
        <v>178</v>
      </c>
      <c r="P757" s="7" t="s">
        <v>178</v>
      </c>
    </row>
    <row r="758" spans="1:16" x14ac:dyDescent="0.25">
      <c r="A758" s="2" t="s">
        <v>183</v>
      </c>
      <c r="B758" s="2" t="s">
        <v>188</v>
      </c>
      <c r="C758" s="6" t="s">
        <v>135</v>
      </c>
      <c r="D758" s="2" t="s">
        <v>108</v>
      </c>
      <c r="E758" s="2"/>
      <c r="F758" s="35">
        <v>10.161978248430804</v>
      </c>
      <c r="G758" s="35">
        <v>32.664504721888839</v>
      </c>
      <c r="H758" s="35">
        <v>23.19589845755992</v>
      </c>
      <c r="I758" s="35">
        <v>1.7823085746500908</v>
      </c>
      <c r="J758" s="35">
        <v>3.1462072649474497E-3</v>
      </c>
      <c r="K758" s="35">
        <v>-8.8258658815887454</v>
      </c>
      <c r="L758" s="35">
        <v>6.2203529591023914</v>
      </c>
      <c r="M758" s="58" t="s">
        <v>23</v>
      </c>
      <c r="N758" s="7">
        <v>10.416666666666666</v>
      </c>
      <c r="O758" s="7" t="s">
        <v>178</v>
      </c>
      <c r="P758" s="7" t="s">
        <v>178</v>
      </c>
    </row>
    <row r="759" spans="1:16" x14ac:dyDescent="0.25">
      <c r="A759" s="2" t="s">
        <v>183</v>
      </c>
      <c r="B759" s="2" t="s">
        <v>188</v>
      </c>
      <c r="C759" s="6" t="s">
        <v>135</v>
      </c>
      <c r="D759" s="2" t="s">
        <v>109</v>
      </c>
      <c r="E759" s="2"/>
      <c r="F759" s="35">
        <v>0</v>
      </c>
      <c r="G759" s="35">
        <v>0.63245680209886257</v>
      </c>
      <c r="H759" s="35">
        <v>-26.42826266958069</v>
      </c>
      <c r="I759" s="35">
        <v>3.712824476418735</v>
      </c>
      <c r="J759" s="35">
        <v>-5.3251457582567637E-3</v>
      </c>
      <c r="K759" s="35">
        <v>19.898081356038176</v>
      </c>
      <c r="L759" s="35">
        <v>-60.848864491690726</v>
      </c>
      <c r="M759" s="58" t="s">
        <v>22</v>
      </c>
      <c r="N759" s="7">
        <v>10.416666666666666</v>
      </c>
      <c r="O759" s="7" t="s">
        <v>178</v>
      </c>
      <c r="P759" s="7" t="s">
        <v>178</v>
      </c>
    </row>
    <row r="760" spans="1:16" x14ac:dyDescent="0.25">
      <c r="A760" s="2" t="s">
        <v>183</v>
      </c>
      <c r="B760" s="2" t="s">
        <v>188</v>
      </c>
      <c r="C760" s="6" t="s">
        <v>135</v>
      </c>
      <c r="D760" s="2" t="s">
        <v>109</v>
      </c>
      <c r="E760" s="2"/>
      <c r="F760" s="35">
        <v>4.5</v>
      </c>
      <c r="G760" s="35">
        <v>3.0908743020988618</v>
      </c>
      <c r="H760" s="35">
        <v>-8.5677626695806861</v>
      </c>
      <c r="I760" s="35">
        <v>3.712824476418735</v>
      </c>
      <c r="J760" s="35">
        <v>-5.3251457582567637E-3</v>
      </c>
      <c r="K760" s="35">
        <v>3.1903712121538739</v>
      </c>
      <c r="L760" s="35">
        <v>17.892192521422363</v>
      </c>
      <c r="M760" s="58" t="s">
        <v>24</v>
      </c>
      <c r="N760" s="7">
        <v>10.416666666666666</v>
      </c>
      <c r="O760" s="7" t="s">
        <v>178</v>
      </c>
      <c r="P760" s="7" t="s">
        <v>178</v>
      </c>
    </row>
    <row r="761" spans="1:16" x14ac:dyDescent="0.25">
      <c r="A761" s="2" t="s">
        <v>183</v>
      </c>
      <c r="B761" s="2" t="s">
        <v>188</v>
      </c>
      <c r="C761" s="6" t="s">
        <v>135</v>
      </c>
      <c r="D761" s="2" t="s">
        <v>109</v>
      </c>
      <c r="E761" s="2"/>
      <c r="F761" s="35">
        <v>4.5</v>
      </c>
      <c r="G761" s="35">
        <v>3.8769992301567684</v>
      </c>
      <c r="H761" s="35">
        <v>-8.5681736934918131</v>
      </c>
      <c r="I761" s="35">
        <v>3.7083213168019404</v>
      </c>
      <c r="J761" s="35">
        <v>1.9231639159766961E-3</v>
      </c>
      <c r="K761" s="35">
        <v>3.1904206686678878</v>
      </c>
      <c r="L761" s="35">
        <v>18.874768462365616</v>
      </c>
      <c r="M761" s="58" t="s">
        <v>24</v>
      </c>
      <c r="N761" s="7">
        <v>10.416666666666666</v>
      </c>
      <c r="O761" s="7" t="s">
        <v>178</v>
      </c>
      <c r="P761" s="7" t="s">
        <v>178</v>
      </c>
    </row>
    <row r="762" spans="1:16" x14ac:dyDescent="0.25">
      <c r="A762" s="2" t="s">
        <v>183</v>
      </c>
      <c r="B762" s="2" t="s">
        <v>188</v>
      </c>
      <c r="C762" s="6" t="s">
        <v>135</v>
      </c>
      <c r="D762" s="2" t="s">
        <v>109</v>
      </c>
      <c r="E762" s="2"/>
      <c r="F762" s="35">
        <v>5.0809891242154022</v>
      </c>
      <c r="G762" s="35">
        <v>4.1944023035525051</v>
      </c>
      <c r="H762" s="35">
        <v>-6.2622278594808822</v>
      </c>
      <c r="I762" s="35">
        <v>3.7083213168019404</v>
      </c>
      <c r="J762" s="35">
        <v>1.9231639159766961E-3</v>
      </c>
      <c r="K762" s="35">
        <v>1.0359263145098234</v>
      </c>
      <c r="L762" s="35">
        <v>23.18291946737779</v>
      </c>
      <c r="M762" s="58" t="s">
        <v>24</v>
      </c>
      <c r="N762" s="7">
        <v>10.416666666666666</v>
      </c>
      <c r="O762" s="7" t="s">
        <v>178</v>
      </c>
      <c r="P762" s="7" t="s">
        <v>178</v>
      </c>
    </row>
    <row r="763" spans="1:16" x14ac:dyDescent="0.25">
      <c r="A763" s="2" t="s">
        <v>183</v>
      </c>
      <c r="B763" s="2" t="s">
        <v>188</v>
      </c>
      <c r="C763" s="6" t="s">
        <v>135</v>
      </c>
      <c r="D763" s="2" t="s">
        <v>109</v>
      </c>
      <c r="E763" s="2"/>
      <c r="F763" s="35">
        <v>10.161978248430804</v>
      </c>
      <c r="G763" s="35">
        <v>6.9702228769482408</v>
      </c>
      <c r="H763" s="35">
        <v>13.904217974530047</v>
      </c>
      <c r="I763" s="35">
        <v>3.7083213168019404</v>
      </c>
      <c r="J763" s="35">
        <v>1.9231639159766961E-3</v>
      </c>
      <c r="K763" s="35">
        <v>-17.806013965256973</v>
      </c>
      <c r="L763" s="35">
        <v>3.7684851364145908</v>
      </c>
      <c r="M763" s="58" t="s">
        <v>23</v>
      </c>
      <c r="N763" s="7">
        <v>10.416666666666666</v>
      </c>
      <c r="O763" s="7" t="s">
        <v>178</v>
      </c>
      <c r="P763" s="7" t="s">
        <v>178</v>
      </c>
    </row>
    <row r="764" spans="1:16" x14ac:dyDescent="0.25">
      <c r="A764" s="2" t="s">
        <v>183</v>
      </c>
      <c r="B764" s="2" t="s">
        <v>188</v>
      </c>
      <c r="C764" s="6" t="s">
        <v>135</v>
      </c>
      <c r="D764" s="2" t="s">
        <v>110</v>
      </c>
      <c r="E764" s="2"/>
      <c r="F764" s="35">
        <v>0</v>
      </c>
      <c r="G764" s="35">
        <v>29.284712361492453</v>
      </c>
      <c r="H764" s="35">
        <v>-44.050657165546113</v>
      </c>
      <c r="I764" s="35">
        <v>-0.96368870358228398</v>
      </c>
      <c r="J764" s="35">
        <v>2.0588676765863553E-2</v>
      </c>
      <c r="K764" s="35">
        <v>-6.3322868506944578</v>
      </c>
      <c r="L764" s="35">
        <v>-100.86526232580445</v>
      </c>
      <c r="M764" s="58" t="s">
        <v>22</v>
      </c>
      <c r="N764" s="7">
        <v>10.416666666666666</v>
      </c>
      <c r="O764" s="7" t="s">
        <v>178</v>
      </c>
      <c r="P764" s="7" t="s">
        <v>178</v>
      </c>
    </row>
    <row r="765" spans="1:16" x14ac:dyDescent="0.25">
      <c r="A765" s="2" t="s">
        <v>183</v>
      </c>
      <c r="B765" s="2" t="s">
        <v>188</v>
      </c>
      <c r="C765" s="6" t="s">
        <v>135</v>
      </c>
      <c r="D765" s="2" t="s">
        <v>110</v>
      </c>
      <c r="E765" s="2"/>
      <c r="F765" s="35">
        <v>4.5</v>
      </c>
      <c r="G765" s="35">
        <v>31.743129861492449</v>
      </c>
      <c r="H765" s="35">
        <v>-14.283157165546118</v>
      </c>
      <c r="I765" s="35">
        <v>-0.96368870358228398</v>
      </c>
      <c r="J765" s="35">
        <v>2.0588676765863553E-2</v>
      </c>
      <c r="K765" s="35">
        <v>-1.9956876845741809</v>
      </c>
      <c r="L765" s="35">
        <v>30.385819919153086</v>
      </c>
      <c r="M765" s="58" t="s">
        <v>24</v>
      </c>
      <c r="N765" s="7">
        <v>10.416666666666666</v>
      </c>
      <c r="O765" s="7" t="s">
        <v>178</v>
      </c>
      <c r="P765" s="7" t="s">
        <v>178</v>
      </c>
    </row>
    <row r="766" spans="1:16" x14ac:dyDescent="0.25">
      <c r="A766" s="2" t="s">
        <v>183</v>
      </c>
      <c r="B766" s="2" t="s">
        <v>188</v>
      </c>
      <c r="C766" s="6" t="s">
        <v>135</v>
      </c>
      <c r="D766" s="2" t="s">
        <v>110</v>
      </c>
      <c r="E766" s="2"/>
      <c r="F766" s="35">
        <v>4.5</v>
      </c>
      <c r="G766" s="35">
        <v>32.529271146720404</v>
      </c>
      <c r="H766" s="35">
        <v>-14.283917838746813</v>
      </c>
      <c r="I766" s="35">
        <v>-0.92749920697971577</v>
      </c>
      <c r="J766" s="35">
        <v>-1.9088632312271338E-2</v>
      </c>
      <c r="K766" s="35">
        <v>-1.995702080541623</v>
      </c>
      <c r="L766" s="35">
        <v>31.368371585985749</v>
      </c>
      <c r="M766" s="58" t="s">
        <v>24</v>
      </c>
      <c r="N766" s="7">
        <v>10.416666666666666</v>
      </c>
      <c r="O766" s="7" t="s">
        <v>178</v>
      </c>
      <c r="P766" s="7" t="s">
        <v>178</v>
      </c>
    </row>
    <row r="767" spans="1:16" x14ac:dyDescent="0.25">
      <c r="A767" s="2" t="s">
        <v>183</v>
      </c>
      <c r="B767" s="2" t="s">
        <v>188</v>
      </c>
      <c r="C767" s="6" t="s">
        <v>135</v>
      </c>
      <c r="D767" s="2" t="s">
        <v>110</v>
      </c>
      <c r="E767" s="2"/>
      <c r="F767" s="35">
        <v>5.0809891242154022</v>
      </c>
      <c r="G767" s="35">
        <v>32.846674220116149</v>
      </c>
      <c r="H767" s="35">
        <v>-10.440674782061931</v>
      </c>
      <c r="I767" s="35">
        <v>-0.92749920697971577</v>
      </c>
      <c r="J767" s="35">
        <v>-1.9088632312271338E-2</v>
      </c>
      <c r="K767" s="35">
        <v>-1.4568351285679983</v>
      </c>
      <c r="L767" s="35">
        <v>38.550731292658881</v>
      </c>
      <c r="M767" s="58" t="s">
        <v>24</v>
      </c>
      <c r="N767" s="7">
        <v>10.416666666666666</v>
      </c>
      <c r="O767" s="7" t="s">
        <v>178</v>
      </c>
      <c r="P767" s="7" t="s">
        <v>178</v>
      </c>
    </row>
    <row r="768" spans="1:16" x14ac:dyDescent="0.25">
      <c r="A768" s="2" t="s">
        <v>183</v>
      </c>
      <c r="B768" s="2" t="s">
        <v>188</v>
      </c>
      <c r="C768" s="6" t="s">
        <v>135</v>
      </c>
      <c r="D768" s="2" t="s">
        <v>110</v>
      </c>
      <c r="E768" s="2"/>
      <c r="F768" s="35">
        <v>10.161978248430804</v>
      </c>
      <c r="G768" s="35">
        <v>35.622494793511876</v>
      </c>
      <c r="H768" s="35">
        <v>23.170068274622956</v>
      </c>
      <c r="I768" s="35">
        <v>-0.92749920697971577</v>
      </c>
      <c r="J768" s="35">
        <v>-1.9088632312271338E-2</v>
      </c>
      <c r="K768" s="35">
        <v>3.2557782548143464</v>
      </c>
      <c r="L768" s="35">
        <v>6.2117763458784543</v>
      </c>
      <c r="M768" s="58" t="s">
        <v>23</v>
      </c>
      <c r="N768" s="7">
        <v>10.416666666666666</v>
      </c>
      <c r="O768" s="7" t="s">
        <v>178</v>
      </c>
      <c r="P768" s="7" t="s">
        <v>178</v>
      </c>
    </row>
    <row r="769" spans="1:16" x14ac:dyDescent="0.25">
      <c r="A769" s="2" t="s">
        <v>183</v>
      </c>
      <c r="B769" s="2" t="s">
        <v>188</v>
      </c>
      <c r="C769" s="6" t="s">
        <v>135</v>
      </c>
      <c r="D769" s="2" t="s">
        <v>111</v>
      </c>
      <c r="E769" s="2"/>
      <c r="F769" s="35">
        <v>0</v>
      </c>
      <c r="G769" s="35">
        <v>-29.400238845064941</v>
      </c>
      <c r="H769" s="35">
        <v>-26.464266218956936</v>
      </c>
      <c r="I769" s="35">
        <v>-3.6220346836708388</v>
      </c>
      <c r="J769" s="35">
        <v>1.3656910922617142E-2</v>
      </c>
      <c r="K769" s="35">
        <v>-19.421808671126282</v>
      </c>
      <c r="L769" s="35">
        <v>-61.224020351111463</v>
      </c>
      <c r="M769" s="58" t="s">
        <v>22</v>
      </c>
      <c r="N769" s="7">
        <v>10.416666666666666</v>
      </c>
      <c r="O769" s="7" t="s">
        <v>178</v>
      </c>
      <c r="P769" s="7" t="s">
        <v>178</v>
      </c>
    </row>
    <row r="770" spans="1:16" x14ac:dyDescent="0.25">
      <c r="A770" s="2" t="s">
        <v>183</v>
      </c>
      <c r="B770" s="2" t="s">
        <v>188</v>
      </c>
      <c r="C770" s="6" t="s">
        <v>135</v>
      </c>
      <c r="D770" s="2" t="s">
        <v>111</v>
      </c>
      <c r="E770" s="2"/>
      <c r="F770" s="35">
        <v>4.5</v>
      </c>
      <c r="G770" s="35">
        <v>-26.941821345064938</v>
      </c>
      <c r="H770" s="35">
        <v>-8.6037662189569346</v>
      </c>
      <c r="I770" s="35">
        <v>-3.6220346836708388</v>
      </c>
      <c r="J770" s="35">
        <v>1.3656910922617142E-2</v>
      </c>
      <c r="K770" s="35">
        <v>-3.1226525946075094</v>
      </c>
      <c r="L770" s="35">
        <v>17.679052634194747</v>
      </c>
      <c r="M770" s="58" t="s">
        <v>24</v>
      </c>
      <c r="N770" s="7">
        <v>10.416666666666666</v>
      </c>
      <c r="O770" s="7" t="s">
        <v>178</v>
      </c>
      <c r="P770" s="7" t="s">
        <v>178</v>
      </c>
    </row>
    <row r="771" spans="1:16" x14ac:dyDescent="0.25">
      <c r="A771" s="2" t="s">
        <v>183</v>
      </c>
      <c r="B771" s="2" t="s">
        <v>188</v>
      </c>
      <c r="C771" s="6" t="s">
        <v>135</v>
      </c>
      <c r="D771" s="2" t="s">
        <v>111</v>
      </c>
      <c r="E771" s="2"/>
      <c r="F771" s="35">
        <v>4.5</v>
      </c>
      <c r="G771" s="35">
        <v>-26.155674771050599</v>
      </c>
      <c r="H771" s="35">
        <v>-8.6040800356595302</v>
      </c>
      <c r="I771" s="35">
        <v>-3.5990012143488297</v>
      </c>
      <c r="J771" s="35">
        <v>-1.2362265333341876E-2</v>
      </c>
      <c r="K771" s="35">
        <v>-3.1226972475602057</v>
      </c>
      <c r="L771" s="35">
        <v>18.661666420261039</v>
      </c>
      <c r="M771" s="58" t="s">
        <v>24</v>
      </c>
      <c r="N771" s="7">
        <v>10.416666666666666</v>
      </c>
      <c r="O771" s="7" t="s">
        <v>178</v>
      </c>
      <c r="P771" s="7" t="s">
        <v>178</v>
      </c>
    </row>
    <row r="772" spans="1:16" x14ac:dyDescent="0.25">
      <c r="A772" s="2" t="s">
        <v>183</v>
      </c>
      <c r="B772" s="2" t="s">
        <v>188</v>
      </c>
      <c r="C772" s="6" t="s">
        <v>135</v>
      </c>
      <c r="D772" s="2" t="s">
        <v>111</v>
      </c>
      <c r="E772" s="2"/>
      <c r="F772" s="35">
        <v>5.0809891242154022</v>
      </c>
      <c r="G772" s="35">
        <v>-25.838271697654861</v>
      </c>
      <c r="H772" s="35">
        <v>-6.2981342016485993</v>
      </c>
      <c r="I772" s="35">
        <v>-3.5990012143488297</v>
      </c>
      <c r="J772" s="35">
        <v>-1.2362265333341876E-2</v>
      </c>
      <c r="K772" s="35">
        <v>-1.0317166839855112</v>
      </c>
      <c r="L772" s="35">
        <v>22.99067861956301</v>
      </c>
      <c r="M772" s="58" t="s">
        <v>24</v>
      </c>
      <c r="N772" s="7">
        <v>10.416666666666666</v>
      </c>
      <c r="O772" s="7" t="s">
        <v>178</v>
      </c>
      <c r="P772" s="7" t="s">
        <v>178</v>
      </c>
    </row>
    <row r="773" spans="1:16" x14ac:dyDescent="0.25">
      <c r="A773" s="2" t="s">
        <v>183</v>
      </c>
      <c r="B773" s="2" t="s">
        <v>188</v>
      </c>
      <c r="C773" s="6" t="s">
        <v>135</v>
      </c>
      <c r="D773" s="2" t="s">
        <v>111</v>
      </c>
      <c r="E773" s="2"/>
      <c r="F773" s="35">
        <v>10.161978248430804</v>
      </c>
      <c r="G773" s="35">
        <v>-23.062451124259123</v>
      </c>
      <c r="H773" s="35">
        <v>13.86831163236233</v>
      </c>
      <c r="I773" s="35">
        <v>-3.5990012143488297</v>
      </c>
      <c r="J773" s="35">
        <v>-1.2362265333341876E-2</v>
      </c>
      <c r="K773" s="35">
        <v>17.254769344158913</v>
      </c>
      <c r="L773" s="35">
        <v>3.7586840226443377</v>
      </c>
      <c r="M773" s="58" t="s">
        <v>23</v>
      </c>
      <c r="N773" s="7">
        <v>10.416666666666666</v>
      </c>
      <c r="O773" s="7" t="s">
        <v>178</v>
      </c>
      <c r="P773" s="7" t="s">
        <v>178</v>
      </c>
    </row>
    <row r="774" spans="1:16" x14ac:dyDescent="0.25">
      <c r="A774" s="2" t="s">
        <v>183</v>
      </c>
      <c r="B774" s="2" t="s">
        <v>188</v>
      </c>
      <c r="C774" s="6" t="s">
        <v>135</v>
      </c>
      <c r="D774" s="2" t="s">
        <v>112</v>
      </c>
      <c r="E774" s="2"/>
      <c r="F774" s="35">
        <v>0</v>
      </c>
      <c r="G774" s="35">
        <v>46.167087300101414</v>
      </c>
      <c r="H774" s="35">
        <v>21.019453605600912</v>
      </c>
      <c r="I774" s="35">
        <v>0.47097598473405311</v>
      </c>
      <c r="J774" s="35">
        <v>-9.6173590030994831E-3</v>
      </c>
      <c r="K774" s="35">
        <v>1.6485056450172622</v>
      </c>
      <c r="L774" s="35">
        <v>51.957493976583585</v>
      </c>
      <c r="M774" s="58" t="s">
        <v>22</v>
      </c>
      <c r="N774" s="7">
        <v>10.416666666666666</v>
      </c>
      <c r="O774" s="7" t="s">
        <v>178</v>
      </c>
      <c r="P774" s="7" t="s">
        <v>178</v>
      </c>
    </row>
    <row r="775" spans="1:16" x14ac:dyDescent="0.25">
      <c r="A775" s="2" t="s">
        <v>183</v>
      </c>
      <c r="B775" s="2" t="s">
        <v>188</v>
      </c>
      <c r="C775" s="6" t="s">
        <v>135</v>
      </c>
      <c r="D775" s="2" t="s">
        <v>112</v>
      </c>
      <c r="E775" s="2"/>
      <c r="F775" s="35">
        <v>4.5</v>
      </c>
      <c r="G775" s="35">
        <v>48.62550480010141</v>
      </c>
      <c r="H775" s="35">
        <v>7.24135360560091</v>
      </c>
      <c r="I775" s="35">
        <v>0.47097598473405311</v>
      </c>
      <c r="J775" s="35">
        <v>-9.6173590030994831E-3</v>
      </c>
      <c r="K775" s="35">
        <v>-0.4708862862859769</v>
      </c>
      <c r="L775" s="35">
        <v>-11.629322248620507</v>
      </c>
      <c r="M775" s="58" t="s">
        <v>24</v>
      </c>
      <c r="N775" s="7">
        <v>10.416666666666666</v>
      </c>
      <c r="O775" s="7" t="s">
        <v>178</v>
      </c>
      <c r="P775" s="7" t="s">
        <v>178</v>
      </c>
    </row>
    <row r="776" spans="1:16" x14ac:dyDescent="0.25">
      <c r="A776" s="2" t="s">
        <v>183</v>
      </c>
      <c r="B776" s="2" t="s">
        <v>188</v>
      </c>
      <c r="C776" s="6" t="s">
        <v>135</v>
      </c>
      <c r="D776" s="2" t="s">
        <v>112</v>
      </c>
      <c r="E776" s="2"/>
      <c r="F776" s="35">
        <v>4.5</v>
      </c>
      <c r="G776" s="35">
        <v>49.411640868832436</v>
      </c>
      <c r="H776" s="35">
        <v>7.2416753167783394</v>
      </c>
      <c r="I776" s="35">
        <v>0.45451757329755382</v>
      </c>
      <c r="J776" s="35">
        <v>8.5276133329113893E-3</v>
      </c>
      <c r="K776" s="35">
        <v>-0.47088408395168768</v>
      </c>
      <c r="L776" s="35">
        <v>-10.646589984762306</v>
      </c>
      <c r="M776" s="58" t="s">
        <v>24</v>
      </c>
      <c r="N776" s="7">
        <v>10.416666666666666</v>
      </c>
      <c r="O776" s="7" t="s">
        <v>178</v>
      </c>
      <c r="P776" s="7" t="s">
        <v>178</v>
      </c>
    </row>
    <row r="777" spans="1:16" x14ac:dyDescent="0.25">
      <c r="A777" s="2" t="s">
        <v>183</v>
      </c>
      <c r="B777" s="2" t="s">
        <v>188</v>
      </c>
      <c r="C777" s="6" t="s">
        <v>135</v>
      </c>
      <c r="D777" s="2" t="s">
        <v>112</v>
      </c>
      <c r="E777" s="2"/>
      <c r="F777" s="35">
        <v>5.0809891242154022</v>
      </c>
      <c r="G777" s="35">
        <v>49.729043942228166</v>
      </c>
      <c r="H777" s="35">
        <v>5.4628028162556221</v>
      </c>
      <c r="I777" s="35">
        <v>0.45451757329755382</v>
      </c>
      <c r="J777" s="35">
        <v>8.5276133329113893E-3</v>
      </c>
      <c r="K777" s="35">
        <v>-0.73495385080234299</v>
      </c>
      <c r="L777" s="35">
        <v>-14.337171796824869</v>
      </c>
      <c r="M777" s="58" t="s">
        <v>24</v>
      </c>
      <c r="N777" s="7">
        <v>10.416666666666666</v>
      </c>
      <c r="O777" s="7" t="s">
        <v>178</v>
      </c>
      <c r="P777" s="7" t="s">
        <v>178</v>
      </c>
    </row>
    <row r="778" spans="1:16" x14ac:dyDescent="0.25">
      <c r="A778" s="2" t="s">
        <v>183</v>
      </c>
      <c r="B778" s="2" t="s">
        <v>188</v>
      </c>
      <c r="C778" s="6" t="s">
        <v>135</v>
      </c>
      <c r="D778" s="2" t="s">
        <v>112</v>
      </c>
      <c r="E778" s="2"/>
      <c r="F778" s="35">
        <v>10.161978248430804</v>
      </c>
      <c r="G778" s="35">
        <v>52.504864515623915</v>
      </c>
      <c r="H778" s="35">
        <v>-10.094169684267099</v>
      </c>
      <c r="I778" s="35">
        <v>0.45451757329755382</v>
      </c>
      <c r="J778" s="35">
        <v>8.5276133329113893E-3</v>
      </c>
      <c r="K778" s="35">
        <v>-3.0443526974919894</v>
      </c>
      <c r="L778" s="35">
        <v>-2.5712094535159418</v>
      </c>
      <c r="M778" s="58" t="s">
        <v>23</v>
      </c>
      <c r="N778" s="7">
        <v>10.416666666666666</v>
      </c>
      <c r="O778" s="7" t="s">
        <v>178</v>
      </c>
      <c r="P778" s="7" t="s">
        <v>178</v>
      </c>
    </row>
    <row r="779" spans="1:16" x14ac:dyDescent="0.25">
      <c r="A779" s="2" t="s">
        <v>183</v>
      </c>
      <c r="B779" s="2" t="s">
        <v>188</v>
      </c>
      <c r="C779" s="6" t="s">
        <v>135</v>
      </c>
      <c r="D779" s="2" t="s">
        <v>113</v>
      </c>
      <c r="E779" s="2"/>
      <c r="F779" s="35">
        <v>0</v>
      </c>
      <c r="G779" s="35">
        <v>26.721718073262025</v>
      </c>
      <c r="H779" s="35">
        <v>36.8890663776831</v>
      </c>
      <c r="I779" s="35">
        <v>0.36441333431593187</v>
      </c>
      <c r="J779" s="35">
        <v>-4.9819558223770221E-3</v>
      </c>
      <c r="K779" s="35">
        <v>1.2618283209706136</v>
      </c>
      <c r="L779" s="35">
        <v>88.068271798257982</v>
      </c>
      <c r="M779" s="58" t="s">
        <v>22</v>
      </c>
      <c r="N779" s="7">
        <v>10.416666666666666</v>
      </c>
      <c r="O779" s="7" t="s">
        <v>178</v>
      </c>
      <c r="P779" s="7" t="s">
        <v>178</v>
      </c>
    </row>
    <row r="780" spans="1:16" x14ac:dyDescent="0.25">
      <c r="A780" s="2" t="s">
        <v>183</v>
      </c>
      <c r="B780" s="2" t="s">
        <v>188</v>
      </c>
      <c r="C780" s="6" t="s">
        <v>135</v>
      </c>
      <c r="D780" s="2" t="s">
        <v>113</v>
      </c>
      <c r="E780" s="2"/>
      <c r="F780" s="35">
        <v>4.5</v>
      </c>
      <c r="G780" s="35">
        <v>29.180135573262024</v>
      </c>
      <c r="H780" s="35">
        <v>12.394666377683103</v>
      </c>
      <c r="I780" s="35">
        <v>0.36441333431593187</v>
      </c>
      <c r="J780" s="35">
        <v>-4.9819558223770221E-3</v>
      </c>
      <c r="K780" s="35">
        <v>-0.3780316834510799</v>
      </c>
      <c r="L780" s="35">
        <v>-22.820126901315973</v>
      </c>
      <c r="M780" s="58" t="s">
        <v>24</v>
      </c>
      <c r="N780" s="7">
        <v>10.416666666666666</v>
      </c>
      <c r="O780" s="7" t="s">
        <v>178</v>
      </c>
      <c r="P780" s="7" t="s">
        <v>178</v>
      </c>
    </row>
    <row r="781" spans="1:16" x14ac:dyDescent="0.25">
      <c r="A781" s="2" t="s">
        <v>183</v>
      </c>
      <c r="B781" s="2" t="s">
        <v>188</v>
      </c>
      <c r="C781" s="6" t="s">
        <v>135</v>
      </c>
      <c r="D781" s="2" t="s">
        <v>113</v>
      </c>
      <c r="E781" s="2"/>
      <c r="F781" s="35">
        <v>4.5</v>
      </c>
      <c r="G781" s="35">
        <v>29.966271805954115</v>
      </c>
      <c r="H781" s="35">
        <v>12.395210001527712</v>
      </c>
      <c r="I781" s="35">
        <v>0.35282818193798759</v>
      </c>
      <c r="J781" s="35">
        <v>6.3351783651012889E-3</v>
      </c>
      <c r="K781" s="35">
        <v>-0.37803088303068211</v>
      </c>
      <c r="L781" s="35">
        <v>-21.837345087730657</v>
      </c>
      <c r="M781" s="58" t="s">
        <v>24</v>
      </c>
      <c r="N781" s="7">
        <v>10.416666666666666</v>
      </c>
      <c r="O781" s="7" t="s">
        <v>178</v>
      </c>
      <c r="P781" s="7" t="s">
        <v>178</v>
      </c>
    </row>
    <row r="782" spans="1:16" x14ac:dyDescent="0.25">
      <c r="A782" s="2" t="s">
        <v>183</v>
      </c>
      <c r="B782" s="2" t="s">
        <v>188</v>
      </c>
      <c r="C782" s="6" t="s">
        <v>135</v>
      </c>
      <c r="D782" s="2" t="s">
        <v>113</v>
      </c>
      <c r="E782" s="2"/>
      <c r="F782" s="35">
        <v>5.0809891242154022</v>
      </c>
      <c r="G782" s="35">
        <v>30.283674879349853</v>
      </c>
      <c r="H782" s="35">
        <v>9.2327700005984354</v>
      </c>
      <c r="I782" s="35">
        <v>0.35282818193798759</v>
      </c>
      <c r="J782" s="35">
        <v>6.3351783651012889E-3</v>
      </c>
      <c r="K782" s="35">
        <v>-0.58302021945334592</v>
      </c>
      <c r="L782" s="35">
        <v>-28.120155667722404</v>
      </c>
      <c r="M782" s="58" t="s">
        <v>24</v>
      </c>
      <c r="N782" s="7">
        <v>10.416666666666666</v>
      </c>
      <c r="O782" s="7" t="s">
        <v>178</v>
      </c>
      <c r="P782" s="7" t="s">
        <v>178</v>
      </c>
    </row>
    <row r="783" spans="1:16" x14ac:dyDescent="0.25">
      <c r="A783" s="2" t="s">
        <v>183</v>
      </c>
      <c r="B783" s="2" t="s">
        <v>188</v>
      </c>
      <c r="C783" s="6" t="s">
        <v>135</v>
      </c>
      <c r="D783" s="2" t="s">
        <v>113</v>
      </c>
      <c r="E783" s="2"/>
      <c r="F783" s="35">
        <v>10.161978248430804</v>
      </c>
      <c r="G783" s="35">
        <v>33.059495452745594</v>
      </c>
      <c r="H783" s="35">
        <v>-18.42407000033084</v>
      </c>
      <c r="I783" s="35">
        <v>0.35282818193798759</v>
      </c>
      <c r="J783" s="35">
        <v>6.3351783651012889E-3</v>
      </c>
      <c r="K783" s="35">
        <v>-2.3757363745969537</v>
      </c>
      <c r="L783" s="35">
        <v>-4.7697079997017173</v>
      </c>
      <c r="M783" s="58" t="s">
        <v>23</v>
      </c>
      <c r="N783" s="7">
        <v>10.416666666666666</v>
      </c>
      <c r="O783" s="7" t="s">
        <v>178</v>
      </c>
      <c r="P783" s="7" t="s">
        <v>178</v>
      </c>
    </row>
    <row r="784" spans="1:16" x14ac:dyDescent="0.25">
      <c r="A784" s="2" t="s">
        <v>183</v>
      </c>
      <c r="B784" s="2" t="s">
        <v>188</v>
      </c>
      <c r="C784" s="6" t="s">
        <v>135</v>
      </c>
      <c r="D784" s="2" t="s">
        <v>114</v>
      </c>
      <c r="E784" s="2"/>
      <c r="F784" s="35">
        <v>0</v>
      </c>
      <c r="G784" s="35">
        <v>6.8640783018448586</v>
      </c>
      <c r="H784" s="35">
        <v>-20.799118347042551</v>
      </c>
      <c r="I784" s="35">
        <v>1.0752439067320976E-2</v>
      </c>
      <c r="J784" s="35">
        <v>-1.2231289745021369E-2</v>
      </c>
      <c r="K784" s="35">
        <v>9.455999815967106E-2</v>
      </c>
      <c r="L784" s="35">
        <v>-51.427793733494518</v>
      </c>
      <c r="M784" s="58" t="s">
        <v>22</v>
      </c>
      <c r="N784" s="7">
        <v>10.416666666666666</v>
      </c>
      <c r="O784" s="7" t="s">
        <v>178</v>
      </c>
      <c r="P784" s="7" t="s">
        <v>178</v>
      </c>
    </row>
    <row r="785" spans="1:16" x14ac:dyDescent="0.25">
      <c r="A785" s="2" t="s">
        <v>183</v>
      </c>
      <c r="B785" s="2" t="s">
        <v>188</v>
      </c>
      <c r="C785" s="6" t="s">
        <v>135</v>
      </c>
      <c r="D785" s="2" t="s">
        <v>114</v>
      </c>
      <c r="E785" s="2"/>
      <c r="F785" s="35">
        <v>4.5</v>
      </c>
      <c r="G785" s="35">
        <v>9.3224958018448572</v>
      </c>
      <c r="H785" s="35">
        <v>-7.0210183470425473</v>
      </c>
      <c r="I785" s="35">
        <v>1.0752439067320976E-2</v>
      </c>
      <c r="J785" s="35">
        <v>-1.2231289745021369E-2</v>
      </c>
      <c r="K785" s="35">
        <v>4.6174022356726623E-2</v>
      </c>
      <c r="L785" s="35">
        <v>11.167513828196949</v>
      </c>
      <c r="M785" s="58" t="s">
        <v>24</v>
      </c>
      <c r="N785" s="7">
        <v>10.416666666666666</v>
      </c>
      <c r="O785" s="7" t="s">
        <v>178</v>
      </c>
      <c r="P785" s="7" t="s">
        <v>178</v>
      </c>
    </row>
    <row r="786" spans="1:16" x14ac:dyDescent="0.25">
      <c r="A786" s="2" t="s">
        <v>183</v>
      </c>
      <c r="B786" s="2" t="s">
        <v>188</v>
      </c>
      <c r="C786" s="6" t="s">
        <v>135</v>
      </c>
      <c r="D786" s="2" t="s">
        <v>114</v>
      </c>
      <c r="E786" s="2"/>
      <c r="F786" s="35">
        <v>4.5</v>
      </c>
      <c r="G786" s="35">
        <v>10.108631188566868</v>
      </c>
      <c r="H786" s="35">
        <v>-7.0211133403711621</v>
      </c>
      <c r="I786" s="35">
        <v>-5.839416371339552E-3</v>
      </c>
      <c r="J786" s="35">
        <v>8.0156833117941192E-3</v>
      </c>
      <c r="K786" s="35">
        <v>4.6175921741807881E-2</v>
      </c>
      <c r="L786" s="35">
        <v>12.150122983451412</v>
      </c>
      <c r="M786" s="58" t="s">
        <v>24</v>
      </c>
      <c r="N786" s="7">
        <v>10.416666666666666</v>
      </c>
      <c r="O786" s="7" t="s">
        <v>178</v>
      </c>
      <c r="P786" s="7" t="s">
        <v>178</v>
      </c>
    </row>
    <row r="787" spans="1:16" x14ac:dyDescent="0.25">
      <c r="A787" s="2" t="s">
        <v>183</v>
      </c>
      <c r="B787" s="2" t="s">
        <v>188</v>
      </c>
      <c r="C787" s="6" t="s">
        <v>135</v>
      </c>
      <c r="D787" s="2" t="s">
        <v>114</v>
      </c>
      <c r="E787" s="2"/>
      <c r="F787" s="35">
        <v>5.0809891242154022</v>
      </c>
      <c r="G787" s="35">
        <v>10.426034261962604</v>
      </c>
      <c r="H787" s="35">
        <v>-5.2422408398484448</v>
      </c>
      <c r="I787" s="35">
        <v>-5.839416371339552E-3</v>
      </c>
      <c r="J787" s="35">
        <v>8.0156833117941192E-3</v>
      </c>
      <c r="K787" s="35">
        <v>4.9568559145321531E-2</v>
      </c>
      <c r="L787" s="35">
        <v>15.712560686005949</v>
      </c>
      <c r="M787" s="58" t="s">
        <v>24</v>
      </c>
      <c r="N787" s="7">
        <v>10.416666666666666</v>
      </c>
      <c r="O787" s="7" t="s">
        <v>178</v>
      </c>
      <c r="P787" s="7" t="s">
        <v>178</v>
      </c>
    </row>
    <row r="788" spans="1:16" x14ac:dyDescent="0.25">
      <c r="A788" s="2" t="s">
        <v>183</v>
      </c>
      <c r="B788" s="2" t="s">
        <v>188</v>
      </c>
      <c r="C788" s="6" t="s">
        <v>135</v>
      </c>
      <c r="D788" s="2" t="s">
        <v>114</v>
      </c>
      <c r="E788" s="2"/>
      <c r="F788" s="35">
        <v>10.161978248430804</v>
      </c>
      <c r="G788" s="35">
        <v>13.20185483535834</v>
      </c>
      <c r="H788" s="35">
        <v>10.314731660674276</v>
      </c>
      <c r="I788" s="35">
        <v>-5.839416371339552E-3</v>
      </c>
      <c r="J788" s="35">
        <v>8.0156833117941192E-3</v>
      </c>
      <c r="K788" s="35">
        <v>7.9238570219863413E-2</v>
      </c>
      <c r="L788" s="35">
        <v>2.8259253393566963</v>
      </c>
      <c r="M788" s="58" t="s">
        <v>23</v>
      </c>
      <c r="N788" s="7">
        <v>10.416666666666666</v>
      </c>
      <c r="O788" s="7" t="s">
        <v>178</v>
      </c>
      <c r="P788" s="7" t="s">
        <v>178</v>
      </c>
    </row>
    <row r="789" spans="1:16" x14ac:dyDescent="0.25">
      <c r="A789" s="2" t="s">
        <v>183</v>
      </c>
      <c r="B789" s="2" t="s">
        <v>188</v>
      </c>
      <c r="C789" s="6" t="s">
        <v>135</v>
      </c>
      <c r="D789" s="2" t="s">
        <v>115</v>
      </c>
      <c r="E789" s="2"/>
      <c r="F789" s="35">
        <v>0</v>
      </c>
      <c r="G789" s="35">
        <v>-12.37536522273539</v>
      </c>
      <c r="H789" s="35">
        <v>-4.9295006830113843</v>
      </c>
      <c r="I789" s="35">
        <v>-7.7598828050347957E-2</v>
      </c>
      <c r="J789" s="35">
        <v>-7.3625121661968869E-3</v>
      </c>
      <c r="K789" s="35">
        <v>-0.22870801044542516</v>
      </c>
      <c r="L789" s="35">
        <v>-15.317005351904664</v>
      </c>
      <c r="M789" s="58" t="s">
        <v>22</v>
      </c>
      <c r="N789" s="7">
        <v>10.416666666666666</v>
      </c>
      <c r="O789" s="7" t="s">
        <v>178</v>
      </c>
      <c r="P789" s="7" t="s">
        <v>178</v>
      </c>
    </row>
    <row r="790" spans="1:16" x14ac:dyDescent="0.25">
      <c r="A790" s="2" t="s">
        <v>183</v>
      </c>
      <c r="B790" s="2" t="s">
        <v>188</v>
      </c>
      <c r="C790" s="6" t="s">
        <v>135</v>
      </c>
      <c r="D790" s="2" t="s">
        <v>115</v>
      </c>
      <c r="E790" s="2"/>
      <c r="F790" s="35">
        <v>4.5</v>
      </c>
      <c r="G790" s="35">
        <v>-9.9169477227353902</v>
      </c>
      <c r="H790" s="35">
        <v>-1.8677006830113845</v>
      </c>
      <c r="I790" s="35">
        <v>-7.7598828050347957E-2</v>
      </c>
      <c r="J790" s="35">
        <v>-7.3625121661968869E-3</v>
      </c>
      <c r="K790" s="35">
        <v>0.12048671578114048</v>
      </c>
      <c r="L790" s="35">
        <v>-2.3302278353433702E-2</v>
      </c>
      <c r="M790" s="58" t="s">
        <v>24</v>
      </c>
      <c r="N790" s="7">
        <v>10.416666666666666</v>
      </c>
      <c r="O790" s="7" t="s">
        <v>178</v>
      </c>
      <c r="P790" s="7" t="s">
        <v>178</v>
      </c>
    </row>
    <row r="791" spans="1:16" x14ac:dyDescent="0.25">
      <c r="A791" s="2" t="s">
        <v>183</v>
      </c>
      <c r="B791" s="2" t="s">
        <v>188</v>
      </c>
      <c r="C791" s="6" t="s">
        <v>135</v>
      </c>
      <c r="D791" s="2" t="s">
        <v>115</v>
      </c>
      <c r="E791" s="2"/>
      <c r="F791" s="35">
        <v>4.5</v>
      </c>
      <c r="G791" s="35">
        <v>-9.1308121674368241</v>
      </c>
      <c r="H791" s="35">
        <v>-1.8675772702261035</v>
      </c>
      <c r="I791" s="35">
        <v>-8.89619911518542E-2</v>
      </c>
      <c r="J791" s="35">
        <v>5.6485028423244477E-3</v>
      </c>
      <c r="K791" s="35">
        <v>0.12048730782781097</v>
      </c>
      <c r="L791" s="35">
        <v>0.95935646391672968</v>
      </c>
      <c r="M791" s="58" t="s">
        <v>24</v>
      </c>
      <c r="N791" s="7">
        <v>10.416666666666666</v>
      </c>
      <c r="O791" s="7" t="s">
        <v>178</v>
      </c>
      <c r="P791" s="7" t="s">
        <v>178</v>
      </c>
    </row>
    <row r="792" spans="1:16" x14ac:dyDescent="0.25">
      <c r="A792" s="2" t="s">
        <v>183</v>
      </c>
      <c r="B792" s="2" t="s">
        <v>188</v>
      </c>
      <c r="C792" s="6" t="s">
        <v>135</v>
      </c>
      <c r="D792" s="2" t="s">
        <v>115</v>
      </c>
      <c r="E792" s="2"/>
      <c r="F792" s="35">
        <v>5.0809891242154022</v>
      </c>
      <c r="G792" s="35">
        <v>-8.8134090940410879</v>
      </c>
      <c r="H792" s="35">
        <v>-1.472272270109944</v>
      </c>
      <c r="I792" s="35">
        <v>-8.89619911518542E-2</v>
      </c>
      <c r="J792" s="35">
        <v>5.6485028423244477E-3</v>
      </c>
      <c r="K792" s="35">
        <v>0.17217325715558507</v>
      </c>
      <c r="L792" s="35">
        <v>1.9295645936422556</v>
      </c>
      <c r="M792" s="58" t="s">
        <v>24</v>
      </c>
      <c r="N792" s="7">
        <v>10.416666666666666</v>
      </c>
      <c r="O792" s="7" t="s">
        <v>178</v>
      </c>
      <c r="P792" s="7" t="s">
        <v>178</v>
      </c>
    </row>
    <row r="793" spans="1:16" x14ac:dyDescent="0.25">
      <c r="A793" s="2" t="s">
        <v>183</v>
      </c>
      <c r="B793" s="2" t="s">
        <v>188</v>
      </c>
      <c r="C793" s="6" t="s">
        <v>135</v>
      </c>
      <c r="D793" s="2" t="s">
        <v>115</v>
      </c>
      <c r="E793" s="2"/>
      <c r="F793" s="35">
        <v>10.161978248430804</v>
      </c>
      <c r="G793" s="35">
        <v>-6.0375885206453521</v>
      </c>
      <c r="H793" s="35">
        <v>1.9848327300062152</v>
      </c>
      <c r="I793" s="35">
        <v>-8.89619911518542E-2</v>
      </c>
      <c r="J793" s="35">
        <v>5.6485028423244477E-3</v>
      </c>
      <c r="K793" s="35">
        <v>0.62418816666670329</v>
      </c>
      <c r="L793" s="35">
        <v>0.62740753252435577</v>
      </c>
      <c r="M793" s="58" t="s">
        <v>23</v>
      </c>
      <c r="N793" s="7">
        <v>10.416666666666666</v>
      </c>
      <c r="O793" s="7" t="s">
        <v>178</v>
      </c>
      <c r="P793" s="7" t="s">
        <v>178</v>
      </c>
    </row>
    <row r="794" spans="1:16" x14ac:dyDescent="0.25">
      <c r="A794" s="2" t="s">
        <v>183</v>
      </c>
      <c r="B794" s="2" t="s">
        <v>188</v>
      </c>
      <c r="C794" s="6" t="s">
        <v>135</v>
      </c>
      <c r="D794" s="2" t="s">
        <v>116</v>
      </c>
      <c r="E794" s="2"/>
      <c r="F794" s="35">
        <v>0</v>
      </c>
      <c r="G794" s="35">
        <v>6.8364101738420597</v>
      </c>
      <c r="H794" s="35">
        <v>-39.634245669297954</v>
      </c>
      <c r="I794" s="35">
        <v>1.4931822363988947</v>
      </c>
      <c r="J794" s="35">
        <v>-1.1879652453991913E-2</v>
      </c>
      <c r="K794" s="35">
        <v>7.9968661962706387</v>
      </c>
      <c r="L794" s="35">
        <v>-90.745841439972409</v>
      </c>
      <c r="M794" s="58" t="s">
        <v>22</v>
      </c>
      <c r="N794" s="7">
        <v>10.416666666666666</v>
      </c>
      <c r="O794" s="7" t="s">
        <v>178</v>
      </c>
      <c r="P794" s="7" t="s">
        <v>178</v>
      </c>
    </row>
    <row r="795" spans="1:16" x14ac:dyDescent="0.25">
      <c r="A795" s="2" t="s">
        <v>183</v>
      </c>
      <c r="B795" s="2" t="s">
        <v>188</v>
      </c>
      <c r="C795" s="6" t="s">
        <v>135</v>
      </c>
      <c r="D795" s="2" t="s">
        <v>116</v>
      </c>
      <c r="E795" s="2"/>
      <c r="F795" s="35">
        <v>4.5</v>
      </c>
      <c r="G795" s="35">
        <v>9.2948276738420592</v>
      </c>
      <c r="H795" s="35">
        <v>-12.843495669297944</v>
      </c>
      <c r="I795" s="35">
        <v>1.4931822363988947</v>
      </c>
      <c r="J795" s="35">
        <v>-1.1879652453991913E-2</v>
      </c>
      <c r="K795" s="35">
        <v>1.2775461324756145</v>
      </c>
      <c r="L795" s="35">
        <v>27.329076571868349</v>
      </c>
      <c r="M795" s="58" t="s">
        <v>24</v>
      </c>
      <c r="N795" s="7">
        <v>10.416666666666666</v>
      </c>
      <c r="O795" s="7" t="s">
        <v>178</v>
      </c>
      <c r="P795" s="7" t="s">
        <v>178</v>
      </c>
    </row>
    <row r="796" spans="1:16" x14ac:dyDescent="0.25">
      <c r="A796" s="2" t="s">
        <v>183</v>
      </c>
      <c r="B796" s="2" t="s">
        <v>188</v>
      </c>
      <c r="C796" s="6" t="s">
        <v>135</v>
      </c>
      <c r="D796" s="2" t="s">
        <v>116</v>
      </c>
      <c r="E796" s="2"/>
      <c r="F796" s="35">
        <v>4.5</v>
      </c>
      <c r="G796" s="35">
        <v>10.080958717935767</v>
      </c>
      <c r="H796" s="35">
        <v>-12.844054455694371</v>
      </c>
      <c r="I796" s="35">
        <v>1.4805757297121613</v>
      </c>
      <c r="J796" s="35">
        <v>5.7130663694088717E-3</v>
      </c>
      <c r="K796" s="35">
        <v>1.2775678390676692</v>
      </c>
      <c r="L796" s="35">
        <v>28.311617306473877</v>
      </c>
      <c r="M796" s="58" t="s">
        <v>24</v>
      </c>
      <c r="N796" s="7">
        <v>10.416666666666666</v>
      </c>
      <c r="O796" s="7" t="s">
        <v>178</v>
      </c>
      <c r="P796" s="7" t="s">
        <v>178</v>
      </c>
    </row>
    <row r="797" spans="1:16" x14ac:dyDescent="0.25">
      <c r="A797" s="2" t="s">
        <v>183</v>
      </c>
      <c r="B797" s="2" t="s">
        <v>188</v>
      </c>
      <c r="C797" s="6" t="s">
        <v>135</v>
      </c>
      <c r="D797" s="2" t="s">
        <v>116</v>
      </c>
      <c r="E797" s="2"/>
      <c r="F797" s="35">
        <v>5.0809891242154022</v>
      </c>
      <c r="G797" s="35">
        <v>10.398361791331505</v>
      </c>
      <c r="H797" s="35">
        <v>-9.3851357046779764</v>
      </c>
      <c r="I797" s="35">
        <v>1.4805757297121613</v>
      </c>
      <c r="J797" s="35">
        <v>5.7130663694088717E-3</v>
      </c>
      <c r="K797" s="35">
        <v>0.41736944252762137</v>
      </c>
      <c r="L797" s="35">
        <v>34.769076168120058</v>
      </c>
      <c r="M797" s="58" t="s">
        <v>24</v>
      </c>
      <c r="N797" s="7">
        <v>10.416666666666666</v>
      </c>
      <c r="O797" s="7" t="s">
        <v>178</v>
      </c>
      <c r="P797" s="7" t="s">
        <v>178</v>
      </c>
    </row>
    <row r="798" spans="1:16" x14ac:dyDescent="0.25">
      <c r="A798" s="2" t="s">
        <v>183</v>
      </c>
      <c r="B798" s="2" t="s">
        <v>188</v>
      </c>
      <c r="C798" s="6" t="s">
        <v>135</v>
      </c>
      <c r="D798" s="2" t="s">
        <v>116</v>
      </c>
      <c r="E798" s="2"/>
      <c r="F798" s="35">
        <v>10.161978248430804</v>
      </c>
      <c r="G798" s="35">
        <v>13.17418236472724</v>
      </c>
      <c r="H798" s="35">
        <v>20.864533046338419</v>
      </c>
      <c r="I798" s="35">
        <v>1.4805757297121613</v>
      </c>
      <c r="J798" s="35">
        <v>5.7130663694088717E-3</v>
      </c>
      <c r="K798" s="35">
        <v>-7.1054197377171517</v>
      </c>
      <c r="L798" s="35">
        <v>5.605729645358104</v>
      </c>
      <c r="M798" s="58" t="s">
        <v>23</v>
      </c>
      <c r="N798" s="7">
        <v>10.416666666666666</v>
      </c>
      <c r="O798" s="7" t="s">
        <v>178</v>
      </c>
      <c r="P798" s="7" t="s">
        <v>178</v>
      </c>
    </row>
    <row r="799" spans="1:16" x14ac:dyDescent="0.25">
      <c r="A799" s="2" t="s">
        <v>183</v>
      </c>
      <c r="B799" s="2" t="s">
        <v>188</v>
      </c>
      <c r="C799" s="6" t="s">
        <v>135</v>
      </c>
      <c r="D799" s="2" t="s">
        <v>117</v>
      </c>
      <c r="E799" s="2"/>
      <c r="F799" s="35">
        <v>0</v>
      </c>
      <c r="G799" s="35">
        <v>-16.288438180952021</v>
      </c>
      <c r="H799" s="35">
        <v>-23.797273775568424</v>
      </c>
      <c r="I799" s="35">
        <v>3.2238720427757452</v>
      </c>
      <c r="J799" s="35">
        <v>-8.5877488802801449E-3</v>
      </c>
      <c r="K799" s="35">
        <v>17.517352746971152</v>
      </c>
      <c r="L799" s="35">
        <v>-54.974774180333732</v>
      </c>
      <c r="M799" s="58" t="s">
        <v>22</v>
      </c>
      <c r="N799" s="7">
        <v>10.416666666666666</v>
      </c>
      <c r="O799" s="7" t="s">
        <v>178</v>
      </c>
      <c r="P799" s="7" t="s">
        <v>178</v>
      </c>
    </row>
    <row r="800" spans="1:16" x14ac:dyDescent="0.25">
      <c r="A800" s="2" t="s">
        <v>183</v>
      </c>
      <c r="B800" s="2" t="s">
        <v>188</v>
      </c>
      <c r="C800" s="6" t="s">
        <v>135</v>
      </c>
      <c r="D800" s="2" t="s">
        <v>117</v>
      </c>
      <c r="E800" s="2"/>
      <c r="F800" s="35">
        <v>4.5</v>
      </c>
      <c r="G800" s="35">
        <v>-13.830020680952021</v>
      </c>
      <c r="H800" s="35">
        <v>-7.7228237755684219</v>
      </c>
      <c r="I800" s="35">
        <v>3.2238720427757452</v>
      </c>
      <c r="J800" s="35">
        <v>-8.5877488802801449E-3</v>
      </c>
      <c r="K800" s="35">
        <v>3.0099285544802958</v>
      </c>
      <c r="L800" s="35">
        <v>15.945445309724159</v>
      </c>
      <c r="M800" s="58" t="s">
        <v>24</v>
      </c>
      <c r="N800" s="7">
        <v>10.416666666666666</v>
      </c>
      <c r="O800" s="7" t="s">
        <v>178</v>
      </c>
      <c r="P800" s="7" t="s">
        <v>178</v>
      </c>
    </row>
    <row r="801" spans="1:16" x14ac:dyDescent="0.25">
      <c r="A801" s="2" t="s">
        <v>183</v>
      </c>
      <c r="B801" s="2" t="s">
        <v>188</v>
      </c>
      <c r="C801" s="6" t="s">
        <v>135</v>
      </c>
      <c r="D801" s="2" t="s">
        <v>117</v>
      </c>
      <c r="E801" s="2"/>
      <c r="F801" s="35">
        <v>4.5</v>
      </c>
      <c r="G801" s="35">
        <v>-13.043894942510773</v>
      </c>
      <c r="H801" s="35">
        <v>-7.723131889608136</v>
      </c>
      <c r="I801" s="35">
        <v>3.2139871976488257</v>
      </c>
      <c r="J801" s="35">
        <v>4.6123273553351938E-3</v>
      </c>
      <c r="K801" s="35">
        <v>3.0099725908041672</v>
      </c>
      <c r="L801" s="35">
        <v>16.928030602766352</v>
      </c>
      <c r="M801" s="58" t="s">
        <v>24</v>
      </c>
      <c r="N801" s="7">
        <v>10.416666666666666</v>
      </c>
      <c r="O801" s="7" t="s">
        <v>178</v>
      </c>
      <c r="P801" s="7" t="s">
        <v>178</v>
      </c>
    </row>
    <row r="802" spans="1:16" x14ac:dyDescent="0.25">
      <c r="A802" s="2" t="s">
        <v>183</v>
      </c>
      <c r="B802" s="2" t="s">
        <v>188</v>
      </c>
      <c r="C802" s="6" t="s">
        <v>135</v>
      </c>
      <c r="D802" s="2" t="s">
        <v>117</v>
      </c>
      <c r="E802" s="2"/>
      <c r="F802" s="35">
        <v>5.0809891242154022</v>
      </c>
      <c r="G802" s="35">
        <v>-12.726491869115037</v>
      </c>
      <c r="H802" s="35">
        <v>-5.6477806389982987</v>
      </c>
      <c r="I802" s="35">
        <v>3.2139871976488257</v>
      </c>
      <c r="J802" s="35">
        <v>4.6123273553351938E-3</v>
      </c>
      <c r="K802" s="35">
        <v>1.1426809836026626</v>
      </c>
      <c r="L802" s="35">
        <v>20.812207982744251</v>
      </c>
      <c r="M802" s="58" t="s">
        <v>24</v>
      </c>
      <c r="N802" s="7">
        <v>10.416666666666666</v>
      </c>
      <c r="O802" s="7" t="s">
        <v>178</v>
      </c>
      <c r="P802" s="7" t="s">
        <v>178</v>
      </c>
    </row>
    <row r="803" spans="1:16" x14ac:dyDescent="0.25">
      <c r="A803" s="2" t="s">
        <v>183</v>
      </c>
      <c r="B803" s="2" t="s">
        <v>188</v>
      </c>
      <c r="C803" s="6" t="s">
        <v>135</v>
      </c>
      <c r="D803" s="2" t="s">
        <v>117</v>
      </c>
      <c r="E803" s="2"/>
      <c r="F803" s="35">
        <v>10.161978248430804</v>
      </c>
      <c r="G803" s="35">
        <v>-9.9506712957193013</v>
      </c>
      <c r="H803" s="35">
        <v>12.50202061161154</v>
      </c>
      <c r="I803" s="35">
        <v>3.2139871976488257</v>
      </c>
      <c r="J803" s="35">
        <v>4.6123273553351938E-3</v>
      </c>
      <c r="K803" s="35">
        <v>-15.187553013018558</v>
      </c>
      <c r="L803" s="35">
        <v>3.3990486049390811</v>
      </c>
      <c r="M803" s="58" t="s">
        <v>23</v>
      </c>
      <c r="N803" s="7">
        <v>10.416666666666666</v>
      </c>
      <c r="O803" s="7" t="s">
        <v>178</v>
      </c>
      <c r="P803" s="7" t="s">
        <v>178</v>
      </c>
    </row>
    <row r="804" spans="1:16" x14ac:dyDescent="0.25">
      <c r="A804" s="2" t="s">
        <v>183</v>
      </c>
      <c r="B804" s="2" t="s">
        <v>188</v>
      </c>
      <c r="C804" s="6" t="s">
        <v>135</v>
      </c>
      <c r="D804" s="2" t="s">
        <v>118</v>
      </c>
      <c r="E804" s="2"/>
      <c r="F804" s="35">
        <v>0</v>
      </c>
      <c r="G804" s="35">
        <v>9.4985918225022115</v>
      </c>
      <c r="H804" s="35">
        <v>-39.657428821937309</v>
      </c>
      <c r="I804" s="35">
        <v>-0.98498981922517126</v>
      </c>
      <c r="J804" s="35">
        <v>1.4734691391428139E-2</v>
      </c>
      <c r="K804" s="35">
        <v>-6.0899786390882236</v>
      </c>
      <c r="L804" s="35">
        <v>-90.989532231036094</v>
      </c>
      <c r="M804" s="58" t="s">
        <v>22</v>
      </c>
      <c r="N804" s="7">
        <v>10.416666666666666</v>
      </c>
      <c r="O804" s="7" t="s">
        <v>178</v>
      </c>
      <c r="P804" s="7" t="s">
        <v>178</v>
      </c>
    </row>
    <row r="805" spans="1:16" x14ac:dyDescent="0.25">
      <c r="A805" s="2" t="s">
        <v>183</v>
      </c>
      <c r="B805" s="2" t="s">
        <v>188</v>
      </c>
      <c r="C805" s="6" t="s">
        <v>135</v>
      </c>
      <c r="D805" s="2" t="s">
        <v>118</v>
      </c>
      <c r="E805" s="2"/>
      <c r="F805" s="35">
        <v>4.5</v>
      </c>
      <c r="G805" s="35">
        <v>11.957009322502211</v>
      </c>
      <c r="H805" s="35">
        <v>-12.86667882193731</v>
      </c>
      <c r="I805" s="35">
        <v>-0.98498981922517126</v>
      </c>
      <c r="J805" s="35">
        <v>1.4734691391428139E-2</v>
      </c>
      <c r="K805" s="35">
        <v>-1.6575244525749533</v>
      </c>
      <c r="L805" s="35">
        <v>27.189709967681811</v>
      </c>
      <c r="M805" s="58" t="s">
        <v>24</v>
      </c>
      <c r="N805" s="7">
        <v>10.416666666666666</v>
      </c>
      <c r="O805" s="7" t="s">
        <v>178</v>
      </c>
      <c r="P805" s="7" t="s">
        <v>178</v>
      </c>
    </row>
    <row r="806" spans="1:16" x14ac:dyDescent="0.25">
      <c r="A806" s="2" t="s">
        <v>183</v>
      </c>
      <c r="B806" s="2" t="s">
        <v>188</v>
      </c>
      <c r="C806" s="6" t="s">
        <v>135</v>
      </c>
      <c r="D806" s="2" t="s">
        <v>118</v>
      </c>
      <c r="E806" s="2"/>
      <c r="F806" s="35">
        <v>4.5</v>
      </c>
      <c r="G806" s="35">
        <v>12.743149782396502</v>
      </c>
      <c r="H806" s="35">
        <v>-12.867301620337635</v>
      </c>
      <c r="I806" s="35">
        <v>-0.9582512737546649</v>
      </c>
      <c r="J806" s="35">
        <v>-1.4298289250088038E-2</v>
      </c>
      <c r="K806" s="35">
        <v>-1.657537883484393</v>
      </c>
      <c r="L806" s="35">
        <v>28.17227341402447</v>
      </c>
      <c r="M806" s="58" t="s">
        <v>24</v>
      </c>
      <c r="N806" s="7">
        <v>10.416666666666666</v>
      </c>
      <c r="O806" s="7" t="s">
        <v>178</v>
      </c>
      <c r="P806" s="7" t="s">
        <v>178</v>
      </c>
    </row>
    <row r="807" spans="1:16" x14ac:dyDescent="0.25">
      <c r="A807" s="2" t="s">
        <v>183</v>
      </c>
      <c r="B807" s="2" t="s">
        <v>188</v>
      </c>
      <c r="C807" s="6" t="s">
        <v>135</v>
      </c>
      <c r="D807" s="2" t="s">
        <v>118</v>
      </c>
      <c r="E807" s="2"/>
      <c r="F807" s="35">
        <v>5.0809891242154022</v>
      </c>
      <c r="G807" s="35">
        <v>13.060552855792238</v>
      </c>
      <c r="H807" s="35">
        <v>-9.4083828693212421</v>
      </c>
      <c r="I807" s="35">
        <v>-0.9582512737546649</v>
      </c>
      <c r="J807" s="35">
        <v>-1.4298289250088038E-2</v>
      </c>
      <c r="K807" s="35">
        <v>-1.1008043151673774</v>
      </c>
      <c r="L807" s="35">
        <v>34.643238625497233</v>
      </c>
      <c r="M807" s="58" t="s">
        <v>24</v>
      </c>
      <c r="N807" s="7">
        <v>10.416666666666666</v>
      </c>
      <c r="O807" s="7" t="s">
        <v>178</v>
      </c>
      <c r="P807" s="7" t="s">
        <v>178</v>
      </c>
    </row>
    <row r="808" spans="1:16" x14ac:dyDescent="0.25">
      <c r="A808" s="2" t="s">
        <v>183</v>
      </c>
      <c r="B808" s="2" t="s">
        <v>188</v>
      </c>
      <c r="C808" s="6" t="s">
        <v>135</v>
      </c>
      <c r="D808" s="2" t="s">
        <v>118</v>
      </c>
      <c r="E808" s="2"/>
      <c r="F808" s="35">
        <v>10.161978248430804</v>
      </c>
      <c r="G808" s="35">
        <v>15.836373429187974</v>
      </c>
      <c r="H808" s="35">
        <v>20.841285881695157</v>
      </c>
      <c r="I808" s="35">
        <v>-0.9582512737546649</v>
      </c>
      <c r="J808" s="35">
        <v>-1.4298289250088038E-2</v>
      </c>
      <c r="K808" s="35">
        <v>3.7680599850456304</v>
      </c>
      <c r="L808" s="35">
        <v>5.5980106934565592</v>
      </c>
      <c r="M808" s="58" t="s">
        <v>23</v>
      </c>
      <c r="N808" s="7">
        <v>10.416666666666666</v>
      </c>
      <c r="O808" s="7" t="s">
        <v>178</v>
      </c>
      <c r="P808" s="7" t="s">
        <v>178</v>
      </c>
    </row>
    <row r="809" spans="1:16" x14ac:dyDescent="0.25">
      <c r="A809" s="2" t="s">
        <v>183</v>
      </c>
      <c r="B809" s="2" t="s">
        <v>188</v>
      </c>
      <c r="C809" s="6" t="s">
        <v>135</v>
      </c>
      <c r="D809" s="2" t="s">
        <v>119</v>
      </c>
      <c r="E809" s="2"/>
      <c r="F809" s="35">
        <v>0</v>
      </c>
      <c r="G809" s="35">
        <v>-43.317864263399436</v>
      </c>
      <c r="H809" s="35">
        <v>-23.82967697000705</v>
      </c>
      <c r="I809" s="35">
        <v>-3.3775012013048711</v>
      </c>
      <c r="J809" s="35">
        <v>8.4961021325063724E-3</v>
      </c>
      <c r="K809" s="35">
        <v>-17.870548277476864</v>
      </c>
      <c r="L809" s="35">
        <v>-55.312414453812401</v>
      </c>
      <c r="M809" s="58" t="s">
        <v>22</v>
      </c>
      <c r="N809" s="7">
        <v>10.416666666666666</v>
      </c>
      <c r="O809" s="7" t="s">
        <v>178</v>
      </c>
      <c r="P809" s="7" t="s">
        <v>178</v>
      </c>
    </row>
    <row r="810" spans="1:16" x14ac:dyDescent="0.25">
      <c r="A810" s="2" t="s">
        <v>183</v>
      </c>
      <c r="B810" s="2" t="s">
        <v>188</v>
      </c>
      <c r="C810" s="6" t="s">
        <v>135</v>
      </c>
      <c r="D810" s="2" t="s">
        <v>119</v>
      </c>
      <c r="E810" s="2"/>
      <c r="F810" s="35">
        <v>4.5</v>
      </c>
      <c r="G810" s="35">
        <v>-40.85944676339944</v>
      </c>
      <c r="H810" s="35">
        <v>-7.7552269700070449</v>
      </c>
      <c r="I810" s="35">
        <v>-3.3775012013048711</v>
      </c>
      <c r="J810" s="35">
        <v>8.4961021325063724E-3</v>
      </c>
      <c r="K810" s="35">
        <v>-2.6717928716049495</v>
      </c>
      <c r="L810" s="35">
        <v>15.753619411219306</v>
      </c>
      <c r="M810" s="58" t="s">
        <v>24</v>
      </c>
      <c r="N810" s="7">
        <v>10.416666666666666</v>
      </c>
      <c r="O810" s="7" t="s">
        <v>178</v>
      </c>
      <c r="P810" s="7" t="s">
        <v>178</v>
      </c>
    </row>
    <row r="811" spans="1:16" x14ac:dyDescent="0.25">
      <c r="A811" s="2" t="s">
        <v>183</v>
      </c>
      <c r="B811" s="2" t="s">
        <v>188</v>
      </c>
      <c r="C811" s="6" t="s">
        <v>135</v>
      </c>
      <c r="D811" s="2" t="s">
        <v>119</v>
      </c>
      <c r="E811" s="2"/>
      <c r="F811" s="35">
        <v>4.5</v>
      </c>
      <c r="G811" s="35">
        <v>-40.073301543597402</v>
      </c>
      <c r="H811" s="35">
        <v>-7.7554475975590806</v>
      </c>
      <c r="I811" s="35">
        <v>-3.3626030803868674</v>
      </c>
      <c r="J811" s="35">
        <v>-8.2445589690515204E-3</v>
      </c>
      <c r="K811" s="35">
        <v>-2.6718335338011174</v>
      </c>
      <c r="L811" s="35">
        <v>16.736238764872233</v>
      </c>
      <c r="M811" s="58" t="s">
        <v>24</v>
      </c>
      <c r="N811" s="7">
        <v>10.416666666666666</v>
      </c>
      <c r="O811" s="7" t="s">
        <v>178</v>
      </c>
      <c r="P811" s="7" t="s">
        <v>178</v>
      </c>
    </row>
    <row r="812" spans="1:16" x14ac:dyDescent="0.25">
      <c r="A812" s="2" t="s">
        <v>183</v>
      </c>
      <c r="B812" s="2" t="s">
        <v>188</v>
      </c>
      <c r="C812" s="6" t="s">
        <v>135</v>
      </c>
      <c r="D812" s="2" t="s">
        <v>119</v>
      </c>
      <c r="E812" s="2"/>
      <c r="F812" s="35">
        <v>5.0809891242154022</v>
      </c>
      <c r="G812" s="35">
        <v>-39.755898470201664</v>
      </c>
      <c r="H812" s="35">
        <v>-5.6800963469492434</v>
      </c>
      <c r="I812" s="35">
        <v>-3.3626030803868674</v>
      </c>
      <c r="J812" s="35">
        <v>-8.2445589690515204E-3</v>
      </c>
      <c r="K812" s="35">
        <v>-0.7181977150431389</v>
      </c>
      <c r="L812" s="35">
        <v>20.639191219710952</v>
      </c>
      <c r="M812" s="58" t="s">
        <v>24</v>
      </c>
      <c r="N812" s="7">
        <v>10.416666666666666</v>
      </c>
      <c r="O812" s="7" t="s">
        <v>178</v>
      </c>
      <c r="P812" s="7" t="s">
        <v>178</v>
      </c>
    </row>
    <row r="813" spans="1:16" x14ac:dyDescent="0.25">
      <c r="A813" s="2" t="s">
        <v>183</v>
      </c>
      <c r="B813" s="2" t="s">
        <v>188</v>
      </c>
      <c r="C813" s="6" t="s">
        <v>135</v>
      </c>
      <c r="D813" s="2" t="s">
        <v>119</v>
      </c>
      <c r="E813" s="2"/>
      <c r="F813" s="35">
        <v>10.161978248430804</v>
      </c>
      <c r="G813" s="35">
        <v>-36.98007789680593</v>
      </c>
      <c r="H813" s="35">
        <v>12.469704903660594</v>
      </c>
      <c r="I813" s="35">
        <v>-3.3626030803868674</v>
      </c>
      <c r="J813" s="35">
        <v>-8.2445589690515204E-3</v>
      </c>
      <c r="K813" s="35">
        <v>16.367151965455744</v>
      </c>
      <c r="L813" s="35">
        <v>3.390227602545854</v>
      </c>
      <c r="M813" s="58" t="s">
        <v>23</v>
      </c>
      <c r="N813" s="7">
        <v>10.416666666666666</v>
      </c>
      <c r="O813" s="7" t="s">
        <v>178</v>
      </c>
      <c r="P813" s="7" t="s">
        <v>178</v>
      </c>
    </row>
    <row r="814" spans="1:16" x14ac:dyDescent="0.25">
      <c r="A814" s="2" t="s">
        <v>183</v>
      </c>
      <c r="B814" s="2" t="s">
        <v>188</v>
      </c>
      <c r="C814" s="6" t="s">
        <v>135</v>
      </c>
      <c r="D814" s="2" t="s">
        <v>120</v>
      </c>
      <c r="E814" s="2"/>
      <c r="F814" s="35">
        <v>0</v>
      </c>
      <c r="G814" s="35">
        <v>56.346663237331192</v>
      </c>
      <c r="H814" s="35">
        <v>23.351162819971655</v>
      </c>
      <c r="I814" s="35">
        <v>0.55400725593994737</v>
      </c>
      <c r="J814" s="35">
        <v>-9.6853663231826204E-3</v>
      </c>
      <c r="K814" s="35">
        <v>1.93270032783882</v>
      </c>
      <c r="L814" s="35">
        <v>57.789100215184973</v>
      </c>
      <c r="M814" s="58" t="s">
        <v>22</v>
      </c>
      <c r="N814" s="7">
        <v>10.416666666666666</v>
      </c>
      <c r="O814" s="7" t="s">
        <v>178</v>
      </c>
      <c r="P814" s="7" t="s">
        <v>178</v>
      </c>
    </row>
    <row r="815" spans="1:16" x14ac:dyDescent="0.25">
      <c r="A815" s="2" t="s">
        <v>183</v>
      </c>
      <c r="B815" s="2" t="s">
        <v>188</v>
      </c>
      <c r="C815" s="6" t="s">
        <v>135</v>
      </c>
      <c r="D815" s="2" t="s">
        <v>120</v>
      </c>
      <c r="E815" s="2"/>
      <c r="F815" s="35">
        <v>4.5</v>
      </c>
      <c r="G815" s="35">
        <v>58.805080737331188</v>
      </c>
      <c r="H815" s="35">
        <v>8.0421628199716562</v>
      </c>
      <c r="I815" s="35">
        <v>0.55400725593994737</v>
      </c>
      <c r="J815" s="35">
        <v>-9.6853663231826204E-3</v>
      </c>
      <c r="K815" s="35">
        <v>-0.56033232389094334</v>
      </c>
      <c r="L815" s="35">
        <v>-12.845882474687482</v>
      </c>
      <c r="M815" s="58" t="s">
        <v>24</v>
      </c>
      <c r="N815" s="7">
        <v>10.416666666666666</v>
      </c>
      <c r="O815" s="7" t="s">
        <v>178</v>
      </c>
      <c r="P815" s="7" t="s">
        <v>178</v>
      </c>
    </row>
    <row r="816" spans="1:16" x14ac:dyDescent="0.25">
      <c r="A816" s="2" t="s">
        <v>183</v>
      </c>
      <c r="B816" s="2" t="s">
        <v>188</v>
      </c>
      <c r="C816" s="6" t="s">
        <v>135</v>
      </c>
      <c r="D816" s="2" t="s">
        <v>120</v>
      </c>
      <c r="E816" s="2"/>
      <c r="F816" s="35">
        <v>4.5</v>
      </c>
      <c r="G816" s="35">
        <v>59.591216896397611</v>
      </c>
      <c r="H816" s="35">
        <v>8.042506542671692</v>
      </c>
      <c r="I816" s="35">
        <v>0.53724903249152944</v>
      </c>
      <c r="J816" s="35">
        <v>8.7143052796332769E-3</v>
      </c>
      <c r="K816" s="35">
        <v>-0.56032981293723838</v>
      </c>
      <c r="L816" s="35">
        <v>-11.863143314307155</v>
      </c>
      <c r="M816" s="58" t="s">
        <v>24</v>
      </c>
      <c r="N816" s="7">
        <v>10.416666666666666</v>
      </c>
      <c r="O816" s="7" t="s">
        <v>178</v>
      </c>
      <c r="P816" s="7" t="s">
        <v>178</v>
      </c>
    </row>
    <row r="817" spans="1:16" x14ac:dyDescent="0.25">
      <c r="A817" s="2" t="s">
        <v>183</v>
      </c>
      <c r="B817" s="2" t="s">
        <v>188</v>
      </c>
      <c r="C817" s="6" t="s">
        <v>135</v>
      </c>
      <c r="D817" s="2" t="s">
        <v>120</v>
      </c>
      <c r="E817" s="2"/>
      <c r="F817" s="35">
        <v>5.0809891242154022</v>
      </c>
      <c r="G817" s="35">
        <v>59.908619969793349</v>
      </c>
      <c r="H817" s="35">
        <v>6.0659815420908938</v>
      </c>
      <c r="I817" s="35">
        <v>0.53724903249152944</v>
      </c>
      <c r="J817" s="35">
        <v>8.7143052796332769E-3</v>
      </c>
      <c r="K817" s="35">
        <v>-0.8724656578100638</v>
      </c>
      <c r="L817" s="35">
        <v>-15.961582382491979</v>
      </c>
      <c r="M817" s="58" t="s">
        <v>24</v>
      </c>
      <c r="N817" s="7">
        <v>10.416666666666666</v>
      </c>
      <c r="O817" s="7" t="s">
        <v>178</v>
      </c>
      <c r="P817" s="7" t="s">
        <v>178</v>
      </c>
    </row>
    <row r="818" spans="1:16" x14ac:dyDescent="0.25">
      <c r="A818" s="2" t="s">
        <v>183</v>
      </c>
      <c r="B818" s="2" t="s">
        <v>188</v>
      </c>
      <c r="C818" s="6" t="s">
        <v>135</v>
      </c>
      <c r="D818" s="2" t="s">
        <v>120</v>
      </c>
      <c r="E818" s="2"/>
      <c r="F818" s="35">
        <v>10.161978248430804</v>
      </c>
      <c r="G818" s="35">
        <v>62.684440543189083</v>
      </c>
      <c r="H818" s="35">
        <v>-11.219543458489907</v>
      </c>
      <c r="I818" s="35">
        <v>0.53724903249152944</v>
      </c>
      <c r="J818" s="35">
        <v>8.7143052796332769E-3</v>
      </c>
      <c r="K818" s="35">
        <v>-3.602222148894771</v>
      </c>
      <c r="L818" s="35">
        <v>-2.8689863583949431</v>
      </c>
      <c r="M818" s="58" t="s">
        <v>23</v>
      </c>
      <c r="N818" s="7">
        <v>10.416666666666666</v>
      </c>
      <c r="O818" s="7" t="s">
        <v>178</v>
      </c>
      <c r="P818" s="7" t="s">
        <v>178</v>
      </c>
    </row>
    <row r="819" spans="1:16" x14ac:dyDescent="0.25">
      <c r="A819" s="2" t="s">
        <v>183</v>
      </c>
      <c r="B819" s="2" t="s">
        <v>188</v>
      </c>
      <c r="C819" s="6" t="s">
        <v>135</v>
      </c>
      <c r="D819" s="2" t="s">
        <v>121</v>
      </c>
      <c r="E819" s="2"/>
      <c r="F819" s="35">
        <v>0</v>
      </c>
      <c r="G819" s="35">
        <v>34.740697429731867</v>
      </c>
      <c r="H819" s="35">
        <v>40.98406590006298</v>
      </c>
      <c r="I819" s="35">
        <v>0.4356043110309239</v>
      </c>
      <c r="J819" s="35">
        <v>-4.5349183446021088E-3</v>
      </c>
      <c r="K819" s="35">
        <v>1.5030588566758776</v>
      </c>
      <c r="L819" s="35">
        <v>97.912186683712079</v>
      </c>
      <c r="M819" s="58" t="s">
        <v>22</v>
      </c>
      <c r="N819" s="7">
        <v>10.416666666666666</v>
      </c>
      <c r="O819" s="7" t="s">
        <v>178</v>
      </c>
      <c r="P819" s="7" t="s">
        <v>178</v>
      </c>
    </row>
    <row r="820" spans="1:16" x14ac:dyDescent="0.25">
      <c r="A820" s="2" t="s">
        <v>183</v>
      </c>
      <c r="B820" s="2" t="s">
        <v>188</v>
      </c>
      <c r="C820" s="6" t="s">
        <v>135</v>
      </c>
      <c r="D820" s="2" t="s">
        <v>121</v>
      </c>
      <c r="E820" s="2"/>
      <c r="F820" s="35">
        <v>4.5</v>
      </c>
      <c r="G820" s="35">
        <v>37.199114929731863</v>
      </c>
      <c r="H820" s="35">
        <v>13.768065900062982</v>
      </c>
      <c r="I820" s="35">
        <v>0.4356043110309239</v>
      </c>
      <c r="J820" s="35">
        <v>-4.5349183446021088E-3</v>
      </c>
      <c r="K820" s="35">
        <v>-0.45716054296328001</v>
      </c>
      <c r="L820" s="35">
        <v>-25.28010986657133</v>
      </c>
      <c r="M820" s="58" t="s">
        <v>24</v>
      </c>
      <c r="N820" s="7">
        <v>10.416666666666666</v>
      </c>
      <c r="O820" s="7" t="s">
        <v>178</v>
      </c>
      <c r="P820" s="7" t="s">
        <v>178</v>
      </c>
    </row>
    <row r="821" spans="1:16" x14ac:dyDescent="0.25">
      <c r="A821" s="2" t="s">
        <v>183</v>
      </c>
      <c r="B821" s="2" t="s">
        <v>188</v>
      </c>
      <c r="C821" s="6" t="s">
        <v>135</v>
      </c>
      <c r="D821" s="2" t="s">
        <v>121</v>
      </c>
      <c r="E821" s="2"/>
      <c r="F821" s="35">
        <v>4.5</v>
      </c>
      <c r="G821" s="35">
        <v>37.985251270977251</v>
      </c>
      <c r="H821" s="35">
        <v>13.768656192393214</v>
      </c>
      <c r="I821" s="35">
        <v>0.4242608198697892</v>
      </c>
      <c r="J821" s="35">
        <v>6.2782664265109457E-3</v>
      </c>
      <c r="K821" s="35">
        <v>-0.45715958969167664</v>
      </c>
      <c r="L821" s="35">
        <v>-24.297315650938653</v>
      </c>
      <c r="M821" s="58" t="s">
        <v>24</v>
      </c>
      <c r="N821" s="7">
        <v>10.416666666666666</v>
      </c>
      <c r="O821" s="7" t="s">
        <v>178</v>
      </c>
      <c r="P821" s="7" t="s">
        <v>178</v>
      </c>
    </row>
    <row r="822" spans="1:16" x14ac:dyDescent="0.25">
      <c r="A822" s="2" t="s">
        <v>183</v>
      </c>
      <c r="B822" s="2" t="s">
        <v>188</v>
      </c>
      <c r="C822" s="6" t="s">
        <v>135</v>
      </c>
      <c r="D822" s="2" t="s">
        <v>121</v>
      </c>
      <c r="E822" s="2"/>
      <c r="F822" s="35">
        <v>5.0809891242154022</v>
      </c>
      <c r="G822" s="35">
        <v>38.302654344372989</v>
      </c>
      <c r="H822" s="35">
        <v>10.254833969138465</v>
      </c>
      <c r="I822" s="35">
        <v>0.4242608198697892</v>
      </c>
      <c r="J822" s="35">
        <v>6.2782664265109457E-3</v>
      </c>
      <c r="K822" s="35">
        <v>-0.70365051186673366</v>
      </c>
      <c r="L822" s="35">
        <v>-31.276008905711461</v>
      </c>
      <c r="M822" s="58" t="s">
        <v>24</v>
      </c>
      <c r="N822" s="7">
        <v>10.416666666666666</v>
      </c>
      <c r="O822" s="7" t="s">
        <v>178</v>
      </c>
      <c r="P822" s="7" t="s">
        <v>178</v>
      </c>
    </row>
    <row r="823" spans="1:16" x14ac:dyDescent="0.25">
      <c r="A823" s="2" t="s">
        <v>183</v>
      </c>
      <c r="B823" s="2" t="s">
        <v>188</v>
      </c>
      <c r="C823" s="6" t="s">
        <v>135</v>
      </c>
      <c r="D823" s="2" t="s">
        <v>121</v>
      </c>
      <c r="E823" s="2"/>
      <c r="F823" s="35">
        <v>10.161978248430804</v>
      </c>
      <c r="G823" s="35">
        <v>41.078474917768723</v>
      </c>
      <c r="H823" s="35">
        <v>-20.474988254116287</v>
      </c>
      <c r="I823" s="35">
        <v>0.4242608198697892</v>
      </c>
      <c r="J823" s="35">
        <v>6.2782664265109457E-3</v>
      </c>
      <c r="K823" s="35">
        <v>-2.859315123455842</v>
      </c>
      <c r="L823" s="35">
        <v>-5.3117625208235841</v>
      </c>
      <c r="M823" s="58" t="s">
        <v>23</v>
      </c>
      <c r="N823" s="7">
        <v>10.416666666666666</v>
      </c>
      <c r="O823" s="7" t="s">
        <v>178</v>
      </c>
      <c r="P823" s="7" t="s">
        <v>178</v>
      </c>
    </row>
    <row r="824" spans="1:16" x14ac:dyDescent="0.25">
      <c r="A824" s="2" t="s">
        <v>183</v>
      </c>
      <c r="B824" s="2" t="s">
        <v>188</v>
      </c>
      <c r="C824" s="6" t="s">
        <v>135</v>
      </c>
      <c r="D824" s="2" t="s">
        <v>122</v>
      </c>
      <c r="E824" s="2"/>
      <c r="F824" s="35">
        <v>0</v>
      </c>
      <c r="G824" s="35">
        <v>12.676653239268356</v>
      </c>
      <c r="H824" s="35">
        <v>-23.113917127409966</v>
      </c>
      <c r="I824" s="35">
        <v>4.2647760754689547E-2</v>
      </c>
      <c r="J824" s="35">
        <v>-1.2589733814206939E-2</v>
      </c>
      <c r="K824" s="35">
        <v>0.20609405355260796</v>
      </c>
      <c r="L824" s="35">
        <v>-57.083441684901814</v>
      </c>
      <c r="M824" s="58" t="s">
        <v>22</v>
      </c>
      <c r="N824" s="7">
        <v>10.416666666666666</v>
      </c>
      <c r="O824" s="7" t="s">
        <v>178</v>
      </c>
      <c r="P824" s="7" t="s">
        <v>178</v>
      </c>
    </row>
    <row r="825" spans="1:16" x14ac:dyDescent="0.25">
      <c r="A825" s="2" t="s">
        <v>183</v>
      </c>
      <c r="B825" s="2" t="s">
        <v>188</v>
      </c>
      <c r="C825" s="6" t="s">
        <v>135</v>
      </c>
      <c r="D825" s="2" t="s">
        <v>122</v>
      </c>
      <c r="E825" s="2"/>
      <c r="F825" s="35">
        <v>4.5</v>
      </c>
      <c r="G825" s="35">
        <v>15.135070739268352</v>
      </c>
      <c r="H825" s="35">
        <v>-7.8049171274099631</v>
      </c>
      <c r="I825" s="35">
        <v>4.2647760754689547E-2</v>
      </c>
      <c r="J825" s="35">
        <v>-1.2589733814206939E-2</v>
      </c>
      <c r="K825" s="35">
        <v>1.4179130156505005E-2</v>
      </c>
      <c r="L825" s="35">
        <v>12.483935388443024</v>
      </c>
      <c r="M825" s="58" t="s">
        <v>24</v>
      </c>
      <c r="N825" s="7">
        <v>10.416666666666666</v>
      </c>
      <c r="O825" s="7" t="s">
        <v>178</v>
      </c>
      <c r="P825" s="7" t="s">
        <v>178</v>
      </c>
    </row>
    <row r="826" spans="1:16" x14ac:dyDescent="0.25">
      <c r="A826" s="2" t="s">
        <v>183</v>
      </c>
      <c r="B826" s="2" t="s">
        <v>188</v>
      </c>
      <c r="C826" s="6" t="s">
        <v>135</v>
      </c>
      <c r="D826" s="2" t="s">
        <v>122</v>
      </c>
      <c r="E826" s="2"/>
      <c r="F826" s="35">
        <v>4.5</v>
      </c>
      <c r="G826" s="35">
        <v>15.921206140546969</v>
      </c>
      <c r="H826" s="35">
        <v>-7.8050364097166431</v>
      </c>
      <c r="I826" s="35">
        <v>2.5741266192759009E-2</v>
      </c>
      <c r="J826" s="35">
        <v>8.1454941450585343E-3</v>
      </c>
      <c r="K826" s="35">
        <v>1.4181304499978923E-2</v>
      </c>
      <c r="L826" s="35">
        <v>13.466537761485865</v>
      </c>
      <c r="M826" s="58" t="s">
        <v>24</v>
      </c>
      <c r="N826" s="7">
        <v>10.416666666666666</v>
      </c>
      <c r="O826" s="7" t="s">
        <v>178</v>
      </c>
      <c r="P826" s="7" t="s">
        <v>178</v>
      </c>
    </row>
    <row r="827" spans="1:16" x14ac:dyDescent="0.25">
      <c r="A827" s="2" t="s">
        <v>183</v>
      </c>
      <c r="B827" s="2" t="s">
        <v>188</v>
      </c>
      <c r="C827" s="6" t="s">
        <v>135</v>
      </c>
      <c r="D827" s="2" t="s">
        <v>122</v>
      </c>
      <c r="E827" s="2"/>
      <c r="F827" s="35">
        <v>5.0809891242154022</v>
      </c>
      <c r="G827" s="35">
        <v>16.238609213942709</v>
      </c>
      <c r="H827" s="35">
        <v>-5.8285114091358459</v>
      </c>
      <c r="I827" s="35">
        <v>2.5741266192759009E-2</v>
      </c>
      <c r="J827" s="35">
        <v>8.1454941450585343E-3</v>
      </c>
      <c r="K827" s="35">
        <v>-7.7409120154764953E-4</v>
      </c>
      <c r="L827" s="35">
        <v>17.427009265097819</v>
      </c>
      <c r="M827" s="58" t="s">
        <v>24</v>
      </c>
      <c r="N827" s="7">
        <v>10.416666666666666</v>
      </c>
      <c r="O827" s="7" t="s">
        <v>178</v>
      </c>
      <c r="P827" s="7" t="s">
        <v>178</v>
      </c>
    </row>
    <row r="828" spans="1:16" x14ac:dyDescent="0.25">
      <c r="A828" s="2" t="s">
        <v>183</v>
      </c>
      <c r="B828" s="2" t="s">
        <v>188</v>
      </c>
      <c r="C828" s="6" t="s">
        <v>135</v>
      </c>
      <c r="D828" s="2" t="s">
        <v>122</v>
      </c>
      <c r="E828" s="2"/>
      <c r="F828" s="35">
        <v>10.161978248430804</v>
      </c>
      <c r="G828" s="35">
        <v>19.014429787338447</v>
      </c>
      <c r="H828" s="35">
        <v>11.457013591444955</v>
      </c>
      <c r="I828" s="35">
        <v>2.5741266192759009E-2</v>
      </c>
      <c r="J828" s="35">
        <v>8.1454941450585343E-3</v>
      </c>
      <c r="K828" s="35">
        <v>-0.13156518477048978</v>
      </c>
      <c r="L828" s="35">
        <v>3.1278300781302097</v>
      </c>
      <c r="M828" s="58" t="s">
        <v>23</v>
      </c>
      <c r="N828" s="7">
        <v>10.416666666666666</v>
      </c>
      <c r="O828" s="7" t="s">
        <v>178</v>
      </c>
      <c r="P828" s="7" t="s">
        <v>178</v>
      </c>
    </row>
    <row r="829" spans="1:16" x14ac:dyDescent="0.25">
      <c r="A829" s="2" t="s">
        <v>183</v>
      </c>
      <c r="B829" s="2" t="s">
        <v>188</v>
      </c>
      <c r="C829" s="6" t="s">
        <v>135</v>
      </c>
      <c r="D829" s="2" t="s">
        <v>123</v>
      </c>
      <c r="E829" s="2"/>
      <c r="F829" s="35">
        <v>0</v>
      </c>
      <c r="G829" s="35">
        <v>-8.7005062324874807</v>
      </c>
      <c r="H829" s="35">
        <v>-5.4810086118197825</v>
      </c>
      <c r="I829" s="35">
        <v>-5.552031382049815E-2</v>
      </c>
      <c r="J829" s="35">
        <v>-7.1799809488464024E-3</v>
      </c>
      <c r="K829" s="35">
        <v>-0.15309262267527679</v>
      </c>
      <c r="L829" s="35">
        <v>-16.960343483135308</v>
      </c>
      <c r="M829" s="58" t="s">
        <v>22</v>
      </c>
      <c r="N829" s="7">
        <v>10.416666666666666</v>
      </c>
      <c r="O829" s="7" t="s">
        <v>178</v>
      </c>
      <c r="P829" s="7" t="s">
        <v>178</v>
      </c>
    </row>
    <row r="830" spans="1:16" x14ac:dyDescent="0.25">
      <c r="A830" s="2" t="s">
        <v>183</v>
      </c>
      <c r="B830" s="2" t="s">
        <v>188</v>
      </c>
      <c r="C830" s="6" t="s">
        <v>135</v>
      </c>
      <c r="D830" s="2" t="s">
        <v>123</v>
      </c>
      <c r="E830" s="2"/>
      <c r="F830" s="35">
        <v>4.5</v>
      </c>
      <c r="G830" s="35">
        <v>-6.2420887324874847</v>
      </c>
      <c r="H830" s="35">
        <v>-2.0790086118197819</v>
      </c>
      <c r="I830" s="35">
        <v>-5.552031382049815E-2</v>
      </c>
      <c r="J830" s="35">
        <v>-7.1799809488464024E-3</v>
      </c>
      <c r="K830" s="35">
        <v>9.6748789516964862E-2</v>
      </c>
      <c r="L830" s="35">
        <v>4.969527005371089E-2</v>
      </c>
      <c r="M830" s="58" t="s">
        <v>24</v>
      </c>
      <c r="N830" s="7">
        <v>10.416666666666666</v>
      </c>
      <c r="O830" s="7" t="s">
        <v>178</v>
      </c>
      <c r="P830" s="7" t="s">
        <v>178</v>
      </c>
    </row>
    <row r="831" spans="1:16" x14ac:dyDescent="0.25">
      <c r="A831" s="2" t="s">
        <v>183</v>
      </c>
      <c r="B831" s="2" t="s">
        <v>188</v>
      </c>
      <c r="C831" s="6" t="s">
        <v>135</v>
      </c>
      <c r="D831" s="2" t="s">
        <v>123</v>
      </c>
      <c r="E831" s="2"/>
      <c r="F831" s="35">
        <v>4.5</v>
      </c>
      <c r="G831" s="35">
        <v>-5.455953143901576</v>
      </c>
      <c r="H831" s="35">
        <v>-2.0788852206665798</v>
      </c>
      <c r="I831" s="35">
        <v>-6.6617150230035033E-2</v>
      </c>
      <c r="J831" s="35">
        <v>5.5152936234255665E-3</v>
      </c>
      <c r="K831" s="35">
        <v>9.6749511262204574E-2</v>
      </c>
      <c r="L831" s="35">
        <v>1.0323527397806629</v>
      </c>
      <c r="M831" s="58" t="s">
        <v>24</v>
      </c>
      <c r="N831" s="7">
        <v>10.416666666666666</v>
      </c>
      <c r="O831" s="7" t="s">
        <v>178</v>
      </c>
      <c r="P831" s="7" t="s">
        <v>178</v>
      </c>
    </row>
    <row r="832" spans="1:16" x14ac:dyDescent="0.25">
      <c r="A832" s="2" t="s">
        <v>183</v>
      </c>
      <c r="B832" s="2" t="s">
        <v>188</v>
      </c>
      <c r="C832" s="6" t="s">
        <v>135</v>
      </c>
      <c r="D832" s="2" t="s">
        <v>123</v>
      </c>
      <c r="E832" s="2"/>
      <c r="F832" s="35">
        <v>5.0809891242154022</v>
      </c>
      <c r="G832" s="35">
        <v>-5.1385500705058353</v>
      </c>
      <c r="H832" s="35">
        <v>-1.6396574427597357</v>
      </c>
      <c r="I832" s="35">
        <v>-6.6617150230035033E-2</v>
      </c>
      <c r="J832" s="35">
        <v>5.5152936234255665E-3</v>
      </c>
      <c r="K832" s="35">
        <v>0.13545335103207851</v>
      </c>
      <c r="L832" s="35">
        <v>2.1125691624714942</v>
      </c>
      <c r="M832" s="58" t="s">
        <v>24</v>
      </c>
      <c r="N832" s="7">
        <v>10.416666666666666</v>
      </c>
      <c r="O832" s="7" t="s">
        <v>178</v>
      </c>
      <c r="P832" s="7" t="s">
        <v>178</v>
      </c>
    </row>
    <row r="833" spans="1:16" x14ac:dyDescent="0.25">
      <c r="A833" s="2" t="s">
        <v>183</v>
      </c>
      <c r="B833" s="2" t="s">
        <v>188</v>
      </c>
      <c r="C833" s="6" t="s">
        <v>135</v>
      </c>
      <c r="D833" s="2" t="s">
        <v>123</v>
      </c>
      <c r="E833" s="2"/>
      <c r="F833" s="35">
        <v>10.161978248430804</v>
      </c>
      <c r="G833" s="35">
        <v>-2.3627294971100996</v>
      </c>
      <c r="H833" s="35">
        <v>2.2015703351471076</v>
      </c>
      <c r="I833" s="35">
        <v>-6.6617150230035033E-2</v>
      </c>
      <c r="J833" s="35">
        <v>5.5152936234255665E-3</v>
      </c>
      <c r="K833" s="35">
        <v>0.47393436683710999</v>
      </c>
      <c r="L833" s="35">
        <v>0.68503251498316453</v>
      </c>
      <c r="M833" s="58" t="s">
        <v>23</v>
      </c>
      <c r="N833" s="7">
        <v>10.416666666666666</v>
      </c>
      <c r="O833" s="7" t="s">
        <v>178</v>
      </c>
      <c r="P833" s="7" t="s">
        <v>178</v>
      </c>
    </row>
    <row r="834" spans="1:16" x14ac:dyDescent="0.25">
      <c r="A834" s="2" t="s">
        <v>183</v>
      </c>
      <c r="B834" s="2" t="s">
        <v>188</v>
      </c>
      <c r="C834" s="6" t="s">
        <v>135</v>
      </c>
      <c r="D834" s="2" t="s">
        <v>124</v>
      </c>
      <c r="E834" s="2"/>
      <c r="F834" s="35">
        <v>0</v>
      </c>
      <c r="G834" s="35">
        <v>12.6459108748208</v>
      </c>
      <c r="H834" s="35">
        <v>-44.041836374360415</v>
      </c>
      <c r="I834" s="35">
        <v>1.6897919800119934</v>
      </c>
      <c r="J834" s="35">
        <v>-1.2199025713063097E-2</v>
      </c>
      <c r="K834" s="35">
        <v>8.986434273675906</v>
      </c>
      <c r="L834" s="35">
        <v>-100.77016135876613</v>
      </c>
      <c r="M834" s="58" t="s">
        <v>22</v>
      </c>
      <c r="N834" s="7">
        <v>10.416666666666666</v>
      </c>
      <c r="O834" s="7" t="s">
        <v>178</v>
      </c>
      <c r="P834" s="7" t="s">
        <v>178</v>
      </c>
    </row>
    <row r="835" spans="1:16" x14ac:dyDescent="0.25">
      <c r="A835" s="2" t="s">
        <v>183</v>
      </c>
      <c r="B835" s="2" t="s">
        <v>188</v>
      </c>
      <c r="C835" s="6" t="s">
        <v>135</v>
      </c>
      <c r="D835" s="2" t="s">
        <v>124</v>
      </c>
      <c r="E835" s="2"/>
      <c r="F835" s="35">
        <v>4.5</v>
      </c>
      <c r="G835" s="35">
        <v>15.104328374820795</v>
      </c>
      <c r="H835" s="35">
        <v>-14.274336374360404</v>
      </c>
      <c r="I835" s="35">
        <v>1.6897919800119934</v>
      </c>
      <c r="J835" s="35">
        <v>-1.2199025713063097E-2</v>
      </c>
      <c r="K835" s="35">
        <v>1.3823703636219358</v>
      </c>
      <c r="L835" s="35">
        <v>30.441227325855696</v>
      </c>
      <c r="M835" s="58" t="s">
        <v>24</v>
      </c>
      <c r="N835" s="7">
        <v>10.416666666666666</v>
      </c>
      <c r="O835" s="7" t="s">
        <v>178</v>
      </c>
      <c r="P835" s="7" t="s">
        <v>178</v>
      </c>
    </row>
    <row r="836" spans="1:16" x14ac:dyDescent="0.25">
      <c r="A836" s="2" t="s">
        <v>183</v>
      </c>
      <c r="B836" s="2" t="s">
        <v>188</v>
      </c>
      <c r="C836" s="6" t="s">
        <v>135</v>
      </c>
      <c r="D836" s="2" t="s">
        <v>124</v>
      </c>
      <c r="E836" s="2"/>
      <c r="F836" s="35">
        <v>4.5</v>
      </c>
      <c r="G836" s="35">
        <v>15.890458950956859</v>
      </c>
      <c r="H836" s="35">
        <v>-14.274970982297987</v>
      </c>
      <c r="I836" s="35">
        <v>1.677313650729982</v>
      </c>
      <c r="J836" s="35">
        <v>5.5870308757415919E-3</v>
      </c>
      <c r="K836" s="35">
        <v>1.3823945459731584</v>
      </c>
      <c r="L836" s="35">
        <v>31.423753675955272</v>
      </c>
      <c r="M836" s="58" t="s">
        <v>24</v>
      </c>
      <c r="N836" s="7">
        <v>10.416666666666666</v>
      </c>
      <c r="O836" s="7" t="s">
        <v>178</v>
      </c>
      <c r="P836" s="7" t="s">
        <v>178</v>
      </c>
    </row>
    <row r="837" spans="1:16" x14ac:dyDescent="0.25">
      <c r="A837" s="2" t="s">
        <v>183</v>
      </c>
      <c r="B837" s="2" t="s">
        <v>188</v>
      </c>
      <c r="C837" s="6" t="s">
        <v>135</v>
      </c>
      <c r="D837" s="2" t="s">
        <v>124</v>
      </c>
      <c r="E837" s="2"/>
      <c r="F837" s="35">
        <v>5.0809891242154022</v>
      </c>
      <c r="G837" s="35">
        <v>16.2078620243526</v>
      </c>
      <c r="H837" s="35">
        <v>-10.431727925613105</v>
      </c>
      <c r="I837" s="35">
        <v>1.677313650729982</v>
      </c>
      <c r="J837" s="35">
        <v>5.5870308757415919E-3</v>
      </c>
      <c r="K837" s="35">
        <v>0.40789355700100771</v>
      </c>
      <c r="L837" s="35">
        <v>38.600915356335719</v>
      </c>
      <c r="M837" s="58" t="s">
        <v>24</v>
      </c>
      <c r="N837" s="7">
        <v>10.416666666666666</v>
      </c>
      <c r="O837" s="7" t="s">
        <v>178</v>
      </c>
      <c r="P837" s="7" t="s">
        <v>178</v>
      </c>
    </row>
    <row r="838" spans="1:16" x14ac:dyDescent="0.25">
      <c r="A838" s="2" t="s">
        <v>183</v>
      </c>
      <c r="B838" s="2" t="s">
        <v>188</v>
      </c>
      <c r="C838" s="6" t="s">
        <v>135</v>
      </c>
      <c r="D838" s="2" t="s">
        <v>124</v>
      </c>
      <c r="E838" s="2"/>
      <c r="F838" s="35">
        <v>10.161978248430804</v>
      </c>
      <c r="G838" s="35">
        <v>18.983682597748334</v>
      </c>
      <c r="H838" s="35">
        <v>23.179015131071782</v>
      </c>
      <c r="I838" s="35">
        <v>1.677313650729982</v>
      </c>
      <c r="J838" s="35">
        <v>5.5870308757415919E-3</v>
      </c>
      <c r="K838" s="35">
        <v>-8.1145188602560623</v>
      </c>
      <c r="L838" s="35">
        <v>6.2165015292428825</v>
      </c>
      <c r="M838" s="58" t="s">
        <v>23</v>
      </c>
      <c r="N838" s="7">
        <v>10.416666666666666</v>
      </c>
      <c r="O838" s="7" t="s">
        <v>178</v>
      </c>
      <c r="P838" s="7" t="s">
        <v>178</v>
      </c>
    </row>
    <row r="839" spans="1:16" x14ac:dyDescent="0.25">
      <c r="A839" s="2" t="s">
        <v>183</v>
      </c>
      <c r="B839" s="2" t="s">
        <v>188</v>
      </c>
      <c r="C839" s="6" t="s">
        <v>135</v>
      </c>
      <c r="D839" s="2" t="s">
        <v>125</v>
      </c>
      <c r="E839" s="2"/>
      <c r="F839" s="35">
        <v>0</v>
      </c>
      <c r="G839" s="35">
        <v>-13.048365074950402</v>
      </c>
      <c r="H839" s="35">
        <v>-26.445200936883158</v>
      </c>
      <c r="I839" s="35">
        <v>3.6127806537640503</v>
      </c>
      <c r="J839" s="35">
        <v>-8.5413550756055796E-3</v>
      </c>
      <c r="K839" s="35">
        <v>19.564752663343139</v>
      </c>
      <c r="L839" s="35">
        <v>-61.024531070278719</v>
      </c>
      <c r="M839" s="58" t="s">
        <v>22</v>
      </c>
      <c r="N839" s="7">
        <v>10.416666666666666</v>
      </c>
      <c r="O839" s="7" t="s">
        <v>178</v>
      </c>
      <c r="P839" s="7" t="s">
        <v>178</v>
      </c>
    </row>
    <row r="840" spans="1:16" x14ac:dyDescent="0.25">
      <c r="A840" s="2" t="s">
        <v>183</v>
      </c>
      <c r="B840" s="2" t="s">
        <v>188</v>
      </c>
      <c r="C840" s="6" t="s">
        <v>135</v>
      </c>
      <c r="D840" s="2" t="s">
        <v>125</v>
      </c>
      <c r="E840" s="2"/>
      <c r="F840" s="35">
        <v>4.5</v>
      </c>
      <c r="G840" s="35">
        <v>-10.589947574950408</v>
      </c>
      <c r="H840" s="35">
        <v>-8.5847009368831557</v>
      </c>
      <c r="I840" s="35">
        <v>3.6127806537640503</v>
      </c>
      <c r="J840" s="35">
        <v>-8.5413550756055796E-3</v>
      </c>
      <c r="K840" s="35">
        <v>3.3072397214049154</v>
      </c>
      <c r="L840" s="35">
        <v>17.792748145695484</v>
      </c>
      <c r="M840" s="58" t="s">
        <v>24</v>
      </c>
      <c r="N840" s="7">
        <v>10.416666666666666</v>
      </c>
      <c r="O840" s="7" t="s">
        <v>178</v>
      </c>
      <c r="P840" s="7" t="s">
        <v>178</v>
      </c>
    </row>
    <row r="841" spans="1:16" x14ac:dyDescent="0.25">
      <c r="A841" s="2" t="s">
        <v>183</v>
      </c>
      <c r="B841" s="2" t="s">
        <v>188</v>
      </c>
      <c r="C841" s="6" t="s">
        <v>135</v>
      </c>
      <c r="D841" s="2" t="s">
        <v>125</v>
      </c>
      <c r="E841" s="2"/>
      <c r="F841" s="35">
        <v>4.5</v>
      </c>
      <c r="G841" s="35">
        <v>-9.8038228939837406</v>
      </c>
      <c r="H841" s="35">
        <v>-8.5850570199799474</v>
      </c>
      <c r="I841" s="35">
        <v>3.6033263928818311</v>
      </c>
      <c r="J841" s="35">
        <v>4.3639875267708385E-3</v>
      </c>
      <c r="K841" s="35">
        <v>3.3072887145692671</v>
      </c>
      <c r="L841" s="35">
        <v>18.775324005169129</v>
      </c>
      <c r="M841" s="58" t="s">
        <v>24</v>
      </c>
      <c r="N841" s="7">
        <v>10.416666666666666</v>
      </c>
      <c r="O841" s="7" t="s">
        <v>178</v>
      </c>
      <c r="P841" s="7" t="s">
        <v>178</v>
      </c>
    </row>
    <row r="842" spans="1:16" x14ac:dyDescent="0.25">
      <c r="A842" s="2" t="s">
        <v>183</v>
      </c>
      <c r="B842" s="2" t="s">
        <v>188</v>
      </c>
      <c r="C842" s="6" t="s">
        <v>135</v>
      </c>
      <c r="D842" s="2" t="s">
        <v>125</v>
      </c>
      <c r="E842" s="2"/>
      <c r="F842" s="35">
        <v>5.0809891242154022</v>
      </c>
      <c r="G842" s="35">
        <v>-9.4864198205880008</v>
      </c>
      <c r="H842" s="35">
        <v>-6.2791111859690165</v>
      </c>
      <c r="I842" s="35">
        <v>3.6033263928818311</v>
      </c>
      <c r="J842" s="35">
        <v>4.3639875267708385E-3</v>
      </c>
      <c r="K842" s="35">
        <v>1.2137952693066092</v>
      </c>
      <c r="L842" s="35">
        <v>23.09328403925149</v>
      </c>
      <c r="M842" s="58" t="s">
        <v>24</v>
      </c>
      <c r="N842" s="7">
        <v>10.416666666666666</v>
      </c>
      <c r="O842" s="7" t="s">
        <v>178</v>
      </c>
      <c r="P842" s="7" t="s">
        <v>178</v>
      </c>
    </row>
    <row r="843" spans="1:16" x14ac:dyDescent="0.25">
      <c r="A843" s="2" t="s">
        <v>183</v>
      </c>
      <c r="B843" s="2" t="s">
        <v>188</v>
      </c>
      <c r="C843" s="6" t="s">
        <v>135</v>
      </c>
      <c r="D843" s="2" t="s">
        <v>125</v>
      </c>
      <c r="E843" s="2"/>
      <c r="F843" s="35">
        <v>10.161978248430804</v>
      </c>
      <c r="G843" s="35">
        <v>-6.7105992471922642</v>
      </c>
      <c r="H843" s="35">
        <v>13.887334648041913</v>
      </c>
      <c r="I843" s="35">
        <v>3.6033263928818311</v>
      </c>
      <c r="J843" s="35">
        <v>4.3639875267708385E-3</v>
      </c>
      <c r="K843" s="35">
        <v>-17.094666943924288</v>
      </c>
      <c r="L843" s="35">
        <v>3.7646337065550823</v>
      </c>
      <c r="M843" s="58" t="s">
        <v>23</v>
      </c>
      <c r="N843" s="7">
        <v>10.416666666666666</v>
      </c>
      <c r="O843" s="7" t="s">
        <v>178</v>
      </c>
      <c r="P843" s="7" t="s">
        <v>178</v>
      </c>
    </row>
    <row r="844" spans="1:16" x14ac:dyDescent="0.25">
      <c r="A844" s="2" t="s">
        <v>183</v>
      </c>
      <c r="B844" s="2" t="s">
        <v>188</v>
      </c>
      <c r="C844" s="6" t="s">
        <v>135</v>
      </c>
      <c r="D844" s="2" t="s">
        <v>126</v>
      </c>
      <c r="E844" s="2"/>
      <c r="F844" s="35">
        <v>0</v>
      </c>
      <c r="G844" s="35">
        <v>15.603890484443186</v>
      </c>
      <c r="H844" s="35">
        <v>-44.067595432848591</v>
      </c>
      <c r="I844" s="35">
        <v>-1.0637325262369683</v>
      </c>
      <c r="J844" s="35">
        <v>1.7372467448514735E-2</v>
      </c>
      <c r="K844" s="35">
        <v>-6.6656155433894977</v>
      </c>
      <c r="L844" s="35">
        <v>-101.04092890439244</v>
      </c>
      <c r="M844" s="58" t="s">
        <v>22</v>
      </c>
      <c r="N844" s="7">
        <v>10.416666666666666</v>
      </c>
      <c r="O844" s="7" t="s">
        <v>178</v>
      </c>
      <c r="P844" s="7" t="s">
        <v>178</v>
      </c>
    </row>
    <row r="845" spans="1:16" x14ac:dyDescent="0.25">
      <c r="A845" s="2" t="s">
        <v>183</v>
      </c>
      <c r="B845" s="2" t="s">
        <v>188</v>
      </c>
      <c r="C845" s="6" t="s">
        <v>135</v>
      </c>
      <c r="D845" s="2" t="s">
        <v>126</v>
      </c>
      <c r="E845" s="2"/>
      <c r="F845" s="35">
        <v>4.5</v>
      </c>
      <c r="G845" s="35">
        <v>18.06230798444318</v>
      </c>
      <c r="H845" s="35">
        <v>-14.300095432848586</v>
      </c>
      <c r="I845" s="35">
        <v>-1.0637325262369683</v>
      </c>
      <c r="J845" s="35">
        <v>1.7372467448514735E-2</v>
      </c>
      <c r="K845" s="35">
        <v>-1.8788191753231394</v>
      </c>
      <c r="L845" s="35">
        <v>30.286375543426207</v>
      </c>
      <c r="M845" s="58" t="s">
        <v>24</v>
      </c>
      <c r="N845" s="7">
        <v>10.416666666666666</v>
      </c>
      <c r="O845" s="7" t="s">
        <v>178</v>
      </c>
      <c r="P845" s="7" t="s">
        <v>178</v>
      </c>
    </row>
    <row r="846" spans="1:16" x14ac:dyDescent="0.25">
      <c r="A846" s="2" t="s">
        <v>183</v>
      </c>
      <c r="B846" s="2" t="s">
        <v>188</v>
      </c>
      <c r="C846" s="6" t="s">
        <v>135</v>
      </c>
      <c r="D846" s="2" t="s">
        <v>126</v>
      </c>
      <c r="E846" s="2"/>
      <c r="F846" s="35">
        <v>4.5</v>
      </c>
      <c r="G846" s="35">
        <v>18.848449022579899</v>
      </c>
      <c r="H846" s="35">
        <v>-14.300801165234947</v>
      </c>
      <c r="I846" s="35">
        <v>-1.0324941308998248</v>
      </c>
      <c r="J846" s="35">
        <v>-1.6647808701477199E-2</v>
      </c>
      <c r="K846" s="35">
        <v>-1.8788340346402443</v>
      </c>
      <c r="L846" s="35">
        <v>31.268927128789265</v>
      </c>
      <c r="M846" s="58" t="s">
        <v>24</v>
      </c>
      <c r="N846" s="7">
        <v>10.416666666666666</v>
      </c>
      <c r="O846" s="7" t="s">
        <v>178</v>
      </c>
      <c r="P846" s="7" t="s">
        <v>178</v>
      </c>
    </row>
    <row r="847" spans="1:16" x14ac:dyDescent="0.25">
      <c r="A847" s="2" t="s">
        <v>183</v>
      </c>
      <c r="B847" s="2" t="s">
        <v>188</v>
      </c>
      <c r="C847" s="6" t="s">
        <v>135</v>
      </c>
      <c r="D847" s="2" t="s">
        <v>126</v>
      </c>
      <c r="E847" s="2"/>
      <c r="F847" s="35">
        <v>5.0809891242154022</v>
      </c>
      <c r="G847" s="35">
        <v>19.165852095975637</v>
      </c>
      <c r="H847" s="35">
        <v>-10.457558108550066</v>
      </c>
      <c r="I847" s="35">
        <v>-1.0324941308998248</v>
      </c>
      <c r="J847" s="35">
        <v>-1.6647808701477199E-2</v>
      </c>
      <c r="K847" s="35">
        <v>-1.278966173771213</v>
      </c>
      <c r="L847" s="35">
        <v>38.461095864532581</v>
      </c>
      <c r="M847" s="58" t="s">
        <v>24</v>
      </c>
      <c r="N847" s="7">
        <v>10.416666666666666</v>
      </c>
      <c r="O847" s="7" t="s">
        <v>178</v>
      </c>
      <c r="P847" s="7" t="s">
        <v>178</v>
      </c>
    </row>
    <row r="848" spans="1:16" x14ac:dyDescent="0.25">
      <c r="A848" s="2" t="s">
        <v>183</v>
      </c>
      <c r="B848" s="2" t="s">
        <v>188</v>
      </c>
      <c r="C848" s="6" t="s">
        <v>135</v>
      </c>
      <c r="D848" s="2" t="s">
        <v>126</v>
      </c>
      <c r="E848" s="2"/>
      <c r="F848" s="35">
        <v>10.161978248430804</v>
      </c>
      <c r="G848" s="35">
        <v>21.941672669371375</v>
      </c>
      <c r="H848" s="35">
        <v>23.153184948134822</v>
      </c>
      <c r="I848" s="35">
        <v>-1.0324941308998248</v>
      </c>
      <c r="J848" s="35">
        <v>-1.6647808701477199E-2</v>
      </c>
      <c r="K848" s="35">
        <v>3.9671252761470295</v>
      </c>
      <c r="L848" s="35">
        <v>6.2079249160189454</v>
      </c>
      <c r="M848" s="58" t="s">
        <v>23</v>
      </c>
      <c r="N848" s="7">
        <v>10.416666666666666</v>
      </c>
      <c r="O848" s="7" t="s">
        <v>178</v>
      </c>
      <c r="P848" s="7" t="s">
        <v>178</v>
      </c>
    </row>
    <row r="849" spans="1:16" x14ac:dyDescent="0.25">
      <c r="A849" s="2" t="s">
        <v>183</v>
      </c>
      <c r="B849" s="2" t="s">
        <v>188</v>
      </c>
      <c r="C849" s="6" t="s">
        <v>135</v>
      </c>
      <c r="D849" s="2" t="s">
        <v>127</v>
      </c>
      <c r="E849" s="2"/>
      <c r="F849" s="35">
        <v>0</v>
      </c>
      <c r="G849" s="35">
        <v>-43.081060722114202</v>
      </c>
      <c r="H849" s="35">
        <v>-26.481204486259408</v>
      </c>
      <c r="I849" s="35">
        <v>-3.7220785063255235</v>
      </c>
      <c r="J849" s="35">
        <v>1.0440701605268329E-2</v>
      </c>
      <c r="K849" s="35">
        <v>-19.755137363821323</v>
      </c>
      <c r="L849" s="35">
        <v>-61.399686929699456</v>
      </c>
      <c r="M849" s="58" t="s">
        <v>22</v>
      </c>
      <c r="N849" s="7">
        <v>10.416666666666666</v>
      </c>
      <c r="O849" s="7" t="s">
        <v>178</v>
      </c>
      <c r="P849" s="7" t="s">
        <v>178</v>
      </c>
    </row>
    <row r="850" spans="1:16" x14ac:dyDescent="0.25">
      <c r="A850" s="2" t="s">
        <v>183</v>
      </c>
      <c r="B850" s="2" t="s">
        <v>188</v>
      </c>
      <c r="C850" s="6" t="s">
        <v>135</v>
      </c>
      <c r="D850" s="2" t="s">
        <v>127</v>
      </c>
      <c r="E850" s="2"/>
      <c r="F850" s="35">
        <v>4.5</v>
      </c>
      <c r="G850" s="35">
        <v>-40.622643222114206</v>
      </c>
      <c r="H850" s="35">
        <v>-8.6207044862594024</v>
      </c>
      <c r="I850" s="35">
        <v>-3.7220785063255235</v>
      </c>
      <c r="J850" s="35">
        <v>1.0440701605268329E-2</v>
      </c>
      <c r="K850" s="35">
        <v>-3.0057840853564679</v>
      </c>
      <c r="L850" s="35">
        <v>17.579608258467868</v>
      </c>
      <c r="M850" s="58" t="s">
        <v>24</v>
      </c>
      <c r="N850" s="7">
        <v>10.416666666666666</v>
      </c>
      <c r="O850" s="7" t="s">
        <v>178</v>
      </c>
      <c r="P850" s="7" t="s">
        <v>178</v>
      </c>
    </row>
    <row r="851" spans="1:16" x14ac:dyDescent="0.25">
      <c r="A851" s="2" t="s">
        <v>183</v>
      </c>
      <c r="B851" s="2" t="s">
        <v>188</v>
      </c>
      <c r="C851" s="6" t="s">
        <v>135</v>
      </c>
      <c r="D851" s="2" t="s">
        <v>127</v>
      </c>
      <c r="E851" s="2"/>
      <c r="F851" s="35">
        <v>4.5</v>
      </c>
      <c r="G851" s="35">
        <v>-39.836496895191104</v>
      </c>
      <c r="H851" s="35">
        <v>-8.6209633621476645</v>
      </c>
      <c r="I851" s="35">
        <v>-3.7039961382689386</v>
      </c>
      <c r="J851" s="35">
        <v>-9.921441722547733E-3</v>
      </c>
      <c r="K851" s="35">
        <v>-3.0058292016588264</v>
      </c>
      <c r="L851" s="35">
        <v>18.562221963064555</v>
      </c>
      <c r="M851" s="58" t="s">
        <v>24</v>
      </c>
      <c r="N851" s="7">
        <v>10.416666666666666</v>
      </c>
      <c r="O851" s="7" t="s">
        <v>178</v>
      </c>
      <c r="P851" s="7" t="s">
        <v>178</v>
      </c>
    </row>
    <row r="852" spans="1:16" x14ac:dyDescent="0.25">
      <c r="A852" s="2" t="s">
        <v>183</v>
      </c>
      <c r="B852" s="2" t="s">
        <v>188</v>
      </c>
      <c r="C852" s="6" t="s">
        <v>135</v>
      </c>
      <c r="D852" s="2" t="s">
        <v>127</v>
      </c>
      <c r="E852" s="2"/>
      <c r="F852" s="35">
        <v>5.0809891242154022</v>
      </c>
      <c r="G852" s="35">
        <v>-39.519093821795366</v>
      </c>
      <c r="H852" s="35">
        <v>-6.3150175281367344</v>
      </c>
      <c r="I852" s="35">
        <v>-3.7039961382689386</v>
      </c>
      <c r="J852" s="35">
        <v>-9.921441722547733E-3</v>
      </c>
      <c r="K852" s="35">
        <v>-0.85384772918872587</v>
      </c>
      <c r="L852" s="35">
        <v>22.90104319143671</v>
      </c>
      <c r="M852" s="58" t="s">
        <v>24</v>
      </c>
      <c r="N852" s="7">
        <v>10.416666666666666</v>
      </c>
      <c r="O852" s="7" t="s">
        <v>178</v>
      </c>
      <c r="P852" s="7" t="s">
        <v>178</v>
      </c>
    </row>
    <row r="853" spans="1:16" x14ac:dyDescent="0.25">
      <c r="A853" s="2" t="s">
        <v>183</v>
      </c>
      <c r="B853" s="2" t="s">
        <v>188</v>
      </c>
      <c r="C853" s="6" t="s">
        <v>135</v>
      </c>
      <c r="D853" s="2" t="s">
        <v>127</v>
      </c>
      <c r="E853" s="2"/>
      <c r="F853" s="35">
        <v>10.161978248430804</v>
      </c>
      <c r="G853" s="35">
        <v>-36.743273248399632</v>
      </c>
      <c r="H853" s="35">
        <v>13.851428305874196</v>
      </c>
      <c r="I853" s="35">
        <v>-3.7039961382689386</v>
      </c>
      <c r="J853" s="35">
        <v>-9.921441722547733E-3</v>
      </c>
      <c r="K853" s="35">
        <v>17.966116365491597</v>
      </c>
      <c r="L853" s="35">
        <v>3.7548325927848296</v>
      </c>
      <c r="M853" s="58" t="s">
        <v>23</v>
      </c>
      <c r="N853" s="7">
        <v>10.416666666666666</v>
      </c>
      <c r="O853" s="7" t="s">
        <v>178</v>
      </c>
      <c r="P853" s="7" t="s">
        <v>178</v>
      </c>
    </row>
    <row r="854" spans="1:16" x14ac:dyDescent="0.25">
      <c r="A854" s="2" t="s">
        <v>181</v>
      </c>
      <c r="B854" s="2" t="s">
        <v>189</v>
      </c>
      <c r="C854" s="6" t="s">
        <v>136</v>
      </c>
      <c r="D854" s="2" t="s">
        <v>105</v>
      </c>
      <c r="E854" s="2"/>
      <c r="F854" s="35">
        <v>0</v>
      </c>
      <c r="G854" s="35">
        <v>-18.035545228206146</v>
      </c>
      <c r="H854" s="35">
        <v>-1.0325580284896863</v>
      </c>
      <c r="I854" s="35">
        <v>1.2547005287319388</v>
      </c>
      <c r="J854" s="35">
        <v>5.7682530236266814E-3</v>
      </c>
      <c r="K854" s="35">
        <v>4.0553275468942722</v>
      </c>
      <c r="L854" s="35">
        <v>-2.7177841589066296</v>
      </c>
      <c r="M854" s="58" t="s">
        <v>22</v>
      </c>
      <c r="N854" s="7">
        <v>9.5</v>
      </c>
      <c r="O854" s="7" t="s">
        <v>178</v>
      </c>
      <c r="P854" s="7" t="s">
        <v>178</v>
      </c>
    </row>
    <row r="855" spans="1:16" x14ac:dyDescent="0.25">
      <c r="A855" s="2" t="s">
        <v>181</v>
      </c>
      <c r="B855" s="2" t="s">
        <v>189</v>
      </c>
      <c r="C855" s="6" t="s">
        <v>136</v>
      </c>
      <c r="D855" s="2" t="s">
        <v>105</v>
      </c>
      <c r="E855" s="2"/>
      <c r="F855" s="35">
        <v>2</v>
      </c>
      <c r="G855" s="35">
        <v>-16.942915228206143</v>
      </c>
      <c r="H855" s="35">
        <v>-1.0325580284896863</v>
      </c>
      <c r="I855" s="35">
        <v>1.2547005287319388</v>
      </c>
      <c r="J855" s="35">
        <v>5.7682530236266814E-3</v>
      </c>
      <c r="K855" s="35">
        <v>1.5459264894303946</v>
      </c>
      <c r="L855" s="35">
        <v>-0.6526681019272571</v>
      </c>
      <c r="M855" s="58" t="s">
        <v>22</v>
      </c>
      <c r="N855" s="7">
        <v>9.5</v>
      </c>
      <c r="O855" s="7" t="s">
        <v>178</v>
      </c>
      <c r="P855" s="7" t="s">
        <v>178</v>
      </c>
    </row>
    <row r="856" spans="1:16" x14ac:dyDescent="0.25">
      <c r="A856" s="2" t="s">
        <v>181</v>
      </c>
      <c r="B856" s="2" t="s">
        <v>189</v>
      </c>
      <c r="C856" s="6" t="s">
        <v>136</v>
      </c>
      <c r="D856" s="2" t="s">
        <v>105</v>
      </c>
      <c r="E856" s="2"/>
      <c r="F856" s="35">
        <v>2</v>
      </c>
      <c r="G856" s="35">
        <v>-15.925199682245649</v>
      </c>
      <c r="H856" s="35">
        <v>3.1997077508207093E-2</v>
      </c>
      <c r="I856" s="35">
        <v>1.2546987211040701</v>
      </c>
      <c r="J856" s="35">
        <v>5.7441074485290377E-3</v>
      </c>
      <c r="K856" s="35">
        <v>1.5459522447105072</v>
      </c>
      <c r="L856" s="35">
        <v>-0.6526681019272571</v>
      </c>
      <c r="M856" s="58" t="s">
        <v>22</v>
      </c>
      <c r="N856" s="7">
        <v>9.5</v>
      </c>
      <c r="O856" s="7" t="s">
        <v>178</v>
      </c>
      <c r="P856" s="7" t="s">
        <v>178</v>
      </c>
    </row>
    <row r="857" spans="1:16" x14ac:dyDescent="0.25">
      <c r="A857" s="2" t="s">
        <v>181</v>
      </c>
      <c r="B857" s="2" t="s">
        <v>189</v>
      </c>
      <c r="C857" s="6" t="s">
        <v>136</v>
      </c>
      <c r="D857" s="2" t="s">
        <v>105</v>
      </c>
      <c r="E857" s="2"/>
      <c r="F857" s="35">
        <v>4.5</v>
      </c>
      <c r="G857" s="35">
        <v>-14.55941218224565</v>
      </c>
      <c r="H857" s="35">
        <v>3.1997077508207093E-2</v>
      </c>
      <c r="I857" s="35">
        <v>1.2546987211040701</v>
      </c>
      <c r="J857" s="35">
        <v>5.7441074485290377E-3</v>
      </c>
      <c r="K857" s="35">
        <v>-1.5907945580496676</v>
      </c>
      <c r="L857" s="35">
        <v>-0.73266079569777465</v>
      </c>
      <c r="M857" s="58" t="s">
        <v>24</v>
      </c>
      <c r="N857" s="7">
        <v>9.5</v>
      </c>
      <c r="O857" s="7" t="s">
        <v>178</v>
      </c>
      <c r="P857" s="7" t="s">
        <v>178</v>
      </c>
    </row>
    <row r="858" spans="1:16" x14ac:dyDescent="0.25">
      <c r="A858" s="2" t="s">
        <v>181</v>
      </c>
      <c r="B858" s="2" t="s">
        <v>189</v>
      </c>
      <c r="C858" s="6" t="s">
        <v>136</v>
      </c>
      <c r="D858" s="2" t="s">
        <v>105</v>
      </c>
      <c r="E858" s="2"/>
      <c r="F858" s="35">
        <v>4.5</v>
      </c>
      <c r="G858" s="35">
        <v>-13.773275764763268</v>
      </c>
      <c r="H858" s="35">
        <v>3.1928410848567533E-2</v>
      </c>
      <c r="I858" s="35">
        <v>1.2635077231678777</v>
      </c>
      <c r="J858" s="35">
        <v>-5.0695384949086498E-3</v>
      </c>
      <c r="K858" s="35">
        <v>-1.5907903301048019</v>
      </c>
      <c r="L858" s="35">
        <v>0.25000882803117075</v>
      </c>
      <c r="M858" s="58" t="s">
        <v>24</v>
      </c>
      <c r="N858" s="7">
        <v>9.5</v>
      </c>
      <c r="O858" s="7" t="s">
        <v>178</v>
      </c>
      <c r="P858" s="7" t="s">
        <v>178</v>
      </c>
    </row>
    <row r="859" spans="1:16" x14ac:dyDescent="0.25">
      <c r="A859" s="2" t="s">
        <v>181</v>
      </c>
      <c r="B859" s="2" t="s">
        <v>189</v>
      </c>
      <c r="C859" s="6" t="s">
        <v>136</v>
      </c>
      <c r="D859" s="2" t="s">
        <v>105</v>
      </c>
      <c r="E859" s="2"/>
      <c r="F859" s="35">
        <v>4.6226557908820691</v>
      </c>
      <c r="G859" s="35">
        <v>-13.706267066367531</v>
      </c>
      <c r="H859" s="35">
        <v>3.1928410848567533E-2</v>
      </c>
      <c r="I859" s="35">
        <v>1.2635077231678777</v>
      </c>
      <c r="J859" s="35">
        <v>-5.0695384949086498E-3</v>
      </c>
      <c r="K859" s="35">
        <v>-1.7457668691755603</v>
      </c>
      <c r="L859" s="35">
        <v>0.24609262354693207</v>
      </c>
      <c r="M859" s="58" t="s">
        <v>24</v>
      </c>
      <c r="N859" s="7">
        <v>9.5</v>
      </c>
      <c r="O859" s="7" t="s">
        <v>178</v>
      </c>
      <c r="P859" s="7" t="s">
        <v>178</v>
      </c>
    </row>
    <row r="860" spans="1:16" x14ac:dyDescent="0.25">
      <c r="A860" s="2" t="s">
        <v>181</v>
      </c>
      <c r="B860" s="2" t="s">
        <v>189</v>
      </c>
      <c r="C860" s="6" t="s">
        <v>136</v>
      </c>
      <c r="D860" s="2" t="s">
        <v>105</v>
      </c>
      <c r="E860" s="2"/>
      <c r="F860" s="35">
        <v>9.2453115817641383</v>
      </c>
      <c r="G860" s="35">
        <v>-11.180840867971792</v>
      </c>
      <c r="H860" s="35">
        <v>3.1928410848567533E-2</v>
      </c>
      <c r="I860" s="35">
        <v>1.2635077231678777</v>
      </c>
      <c r="J860" s="35">
        <v>-5.0695384949086498E-3</v>
      </c>
      <c r="K860" s="35">
        <v>-7.5865281625017671</v>
      </c>
      <c r="L860" s="35">
        <v>9.8498570244139522E-2</v>
      </c>
      <c r="M860" s="58" t="s">
        <v>23</v>
      </c>
      <c r="N860" s="7">
        <v>9.5</v>
      </c>
      <c r="O860" s="7" t="s">
        <v>178</v>
      </c>
      <c r="P860" s="7" t="s">
        <v>178</v>
      </c>
    </row>
    <row r="861" spans="1:16" x14ac:dyDescent="0.25">
      <c r="A861" s="2" t="s">
        <v>181</v>
      </c>
      <c r="B861" s="2" t="s">
        <v>189</v>
      </c>
      <c r="C861" s="6" t="s">
        <v>136</v>
      </c>
      <c r="D861" s="2" t="s">
        <v>15</v>
      </c>
      <c r="E861" s="2"/>
      <c r="F861" s="35">
        <v>0</v>
      </c>
      <c r="G861" s="35">
        <v>47.900974653972909</v>
      </c>
      <c r="H861" s="35">
        <v>18.725774472616923</v>
      </c>
      <c r="I861" s="35">
        <v>17.176866938605929</v>
      </c>
      <c r="J861" s="35">
        <v>9.8847043571122437E-3</v>
      </c>
      <c r="K861" s="35">
        <v>23.46562759516922</v>
      </c>
      <c r="L861" s="35">
        <v>35.863144498130289</v>
      </c>
      <c r="M861" s="58" t="s">
        <v>22</v>
      </c>
      <c r="N861" s="7">
        <v>9.5</v>
      </c>
      <c r="O861" s="7" t="s">
        <v>178</v>
      </c>
      <c r="P861" s="7" t="s">
        <v>178</v>
      </c>
    </row>
    <row r="862" spans="1:16" x14ac:dyDescent="0.25">
      <c r="A862" s="2" t="s">
        <v>181</v>
      </c>
      <c r="B862" s="2" t="s">
        <v>189</v>
      </c>
      <c r="C862" s="6" t="s">
        <v>136</v>
      </c>
      <c r="D862" s="2" t="s">
        <v>15</v>
      </c>
      <c r="E862" s="2"/>
      <c r="F862" s="35">
        <v>2</v>
      </c>
      <c r="G862" s="35">
        <v>48.993604653972902</v>
      </c>
      <c r="H862" s="35">
        <v>15.323774472616918</v>
      </c>
      <c r="I862" s="35">
        <v>8.9448669386059301</v>
      </c>
      <c r="J862" s="35">
        <v>9.8847043571122437E-3</v>
      </c>
      <c r="K862" s="35">
        <v>-2.6561062820426375</v>
      </c>
      <c r="L862" s="35">
        <v>1.8135955528964463</v>
      </c>
      <c r="M862" s="58" t="s">
        <v>22</v>
      </c>
      <c r="N862" s="7">
        <v>9.5</v>
      </c>
      <c r="O862" s="7" t="s">
        <v>178</v>
      </c>
      <c r="P862" s="7" t="s">
        <v>178</v>
      </c>
    </row>
    <row r="863" spans="1:16" x14ac:dyDescent="0.25">
      <c r="A863" s="2" t="s">
        <v>181</v>
      </c>
      <c r="B863" s="2" t="s">
        <v>189</v>
      </c>
      <c r="C863" s="6" t="s">
        <v>136</v>
      </c>
      <c r="D863" s="2" t="s">
        <v>15</v>
      </c>
      <c r="E863" s="2"/>
      <c r="F863" s="35">
        <v>2</v>
      </c>
      <c r="G863" s="35">
        <v>40.965790821241001</v>
      </c>
      <c r="H863" s="35">
        <v>6.7397563591690339</v>
      </c>
      <c r="I863" s="35">
        <v>8.9448842793940599</v>
      </c>
      <c r="J863" s="35">
        <v>9.9030565977409266E-3</v>
      </c>
      <c r="K863" s="35">
        <v>-2.6561258577659541</v>
      </c>
      <c r="L863" s="35">
        <v>1.8135955528964871</v>
      </c>
      <c r="M863" s="58" t="s">
        <v>22</v>
      </c>
      <c r="N863" s="7">
        <v>9.5</v>
      </c>
      <c r="O863" s="7" t="s">
        <v>178</v>
      </c>
      <c r="P863" s="7" t="s">
        <v>178</v>
      </c>
    </row>
    <row r="864" spans="1:16" x14ac:dyDescent="0.25">
      <c r="A864" s="2" t="s">
        <v>181</v>
      </c>
      <c r="B864" s="2" t="s">
        <v>189</v>
      </c>
      <c r="C864" s="6" t="s">
        <v>136</v>
      </c>
      <c r="D864" s="2" t="s">
        <v>15</v>
      </c>
      <c r="E864" s="2"/>
      <c r="F864" s="35">
        <v>4.5</v>
      </c>
      <c r="G864" s="35">
        <v>42.331578321241004</v>
      </c>
      <c r="H864" s="35">
        <v>2.4872563591690322</v>
      </c>
      <c r="I864" s="35">
        <v>-1.3451157206059416</v>
      </c>
      <c r="J864" s="35">
        <v>9.9030565977409266E-3</v>
      </c>
      <c r="K864" s="35">
        <v>-12.155836556251099</v>
      </c>
      <c r="L864" s="35">
        <v>-9.7201703450260943</v>
      </c>
      <c r="M864" s="58" t="s">
        <v>24</v>
      </c>
      <c r="N864" s="7">
        <v>9.5</v>
      </c>
      <c r="O864" s="7" t="s">
        <v>178</v>
      </c>
      <c r="P864" s="7" t="s">
        <v>178</v>
      </c>
    </row>
    <row r="865" spans="1:16" x14ac:dyDescent="0.25">
      <c r="A865" s="2" t="s">
        <v>181</v>
      </c>
      <c r="B865" s="2" t="s">
        <v>189</v>
      </c>
      <c r="C865" s="6" t="s">
        <v>136</v>
      </c>
      <c r="D865" s="2" t="s">
        <v>15</v>
      </c>
      <c r="E865" s="2"/>
      <c r="F865" s="35">
        <v>4.5</v>
      </c>
      <c r="G865" s="35">
        <v>43.117713835369408</v>
      </c>
      <c r="H865" s="35">
        <v>2.4869675772821784</v>
      </c>
      <c r="I865" s="35">
        <v>-1.3333085984229449</v>
      </c>
      <c r="J865" s="35">
        <v>-5.4386190553310579E-3</v>
      </c>
      <c r="K865" s="35">
        <v>-12.155843544686125</v>
      </c>
      <c r="L865" s="35">
        <v>-8.7375696865184054</v>
      </c>
      <c r="M865" s="58" t="s">
        <v>24</v>
      </c>
      <c r="N865" s="7">
        <v>9.5</v>
      </c>
      <c r="O865" s="7" t="s">
        <v>178</v>
      </c>
      <c r="P865" s="7" t="s">
        <v>178</v>
      </c>
    </row>
    <row r="866" spans="1:16" x14ac:dyDescent="0.25">
      <c r="A866" s="2" t="s">
        <v>181</v>
      </c>
      <c r="B866" s="2" t="s">
        <v>189</v>
      </c>
      <c r="C866" s="6" t="s">
        <v>136</v>
      </c>
      <c r="D866" s="2" t="s">
        <v>15</v>
      </c>
      <c r="E866" s="2"/>
      <c r="F866" s="35">
        <v>4.6226557908820691</v>
      </c>
      <c r="G866" s="35">
        <v>43.184722533765147</v>
      </c>
      <c r="H866" s="35">
        <v>2.2783300769917783</v>
      </c>
      <c r="I866" s="35">
        <v>-1.8381598336935414</v>
      </c>
      <c r="J866" s="35">
        <v>-5.4386190553310579E-3</v>
      </c>
      <c r="K866" s="35">
        <v>-11.961344060286745</v>
      </c>
      <c r="L866" s="35">
        <v>-9.0298153628051274</v>
      </c>
      <c r="M866" s="58" t="s">
        <v>24</v>
      </c>
      <c r="N866" s="7">
        <v>9.5</v>
      </c>
      <c r="O866" s="7" t="s">
        <v>178</v>
      </c>
      <c r="P866" s="7" t="s">
        <v>178</v>
      </c>
    </row>
    <row r="867" spans="1:16" x14ac:dyDescent="0.25">
      <c r="A867" s="2" t="s">
        <v>181</v>
      </c>
      <c r="B867" s="2" t="s">
        <v>189</v>
      </c>
      <c r="C867" s="6" t="s">
        <v>136</v>
      </c>
      <c r="D867" s="2" t="s">
        <v>15</v>
      </c>
      <c r="E867" s="2"/>
      <c r="F867" s="35">
        <v>9.2453115817641383</v>
      </c>
      <c r="G867" s="35">
        <v>45.710148732160889</v>
      </c>
      <c r="H867" s="35">
        <v>-5.5848074232986216</v>
      </c>
      <c r="I867" s="35">
        <v>-20.865011068964137</v>
      </c>
      <c r="J867" s="35">
        <v>-5.4386190553310579E-3</v>
      </c>
      <c r="K867" s="35">
        <v>40.513128161991162</v>
      </c>
      <c r="L867" s="35">
        <v>-1.3874620366422756</v>
      </c>
      <c r="M867" s="58" t="s">
        <v>23</v>
      </c>
      <c r="N867" s="7">
        <v>9.5</v>
      </c>
      <c r="O867" s="7" t="s">
        <v>178</v>
      </c>
      <c r="P867" s="7" t="s">
        <v>178</v>
      </c>
    </row>
    <row r="868" spans="1:16" x14ac:dyDescent="0.25">
      <c r="A868" s="2" t="s">
        <v>181</v>
      </c>
      <c r="B868" s="2" t="s">
        <v>189</v>
      </c>
      <c r="C868" s="6" t="s">
        <v>136</v>
      </c>
      <c r="D868" s="2" t="s">
        <v>16</v>
      </c>
      <c r="E868" s="2"/>
      <c r="F868" s="35">
        <v>0</v>
      </c>
      <c r="G868" s="35">
        <v>37.424950702319244</v>
      </c>
      <c r="H868" s="35">
        <v>26.141964261027478</v>
      </c>
      <c r="I868" s="35">
        <v>12.122026083159827</v>
      </c>
      <c r="J868" s="35">
        <v>8.3940341912141659E-3</v>
      </c>
      <c r="K868" s="35">
        <v>16.273699660508111</v>
      </c>
      <c r="L868" s="35">
        <v>49.97345047373328</v>
      </c>
      <c r="M868" s="58" t="s">
        <v>22</v>
      </c>
      <c r="N868" s="7">
        <v>9.5</v>
      </c>
      <c r="O868" s="7" t="s">
        <v>178</v>
      </c>
      <c r="P868" s="7" t="s">
        <v>178</v>
      </c>
    </row>
    <row r="869" spans="1:16" x14ac:dyDescent="0.25">
      <c r="A869" s="2" t="s">
        <v>181</v>
      </c>
      <c r="B869" s="2" t="s">
        <v>189</v>
      </c>
      <c r="C869" s="6" t="s">
        <v>136</v>
      </c>
      <c r="D869" s="2" t="s">
        <v>16</v>
      </c>
      <c r="E869" s="2"/>
      <c r="F869" s="35">
        <v>2</v>
      </c>
      <c r="G869" s="35">
        <v>38.517580702319236</v>
      </c>
      <c r="H869" s="35">
        <v>20.093964261027477</v>
      </c>
      <c r="I869" s="35">
        <v>6.2420260831598275</v>
      </c>
      <c r="J869" s="35">
        <v>8.3940341912141659E-3</v>
      </c>
      <c r="K869" s="35">
        <v>-2.090352505811544</v>
      </c>
      <c r="L869" s="35">
        <v>3.7375219516783273</v>
      </c>
      <c r="M869" s="58" t="s">
        <v>22</v>
      </c>
      <c r="N869" s="7">
        <v>9.5</v>
      </c>
      <c r="O869" s="7" t="s">
        <v>178</v>
      </c>
      <c r="P869" s="7" t="s">
        <v>178</v>
      </c>
    </row>
    <row r="870" spans="1:16" x14ac:dyDescent="0.25">
      <c r="A870" s="2" t="s">
        <v>181</v>
      </c>
      <c r="B870" s="2" t="s">
        <v>189</v>
      </c>
      <c r="C870" s="6" t="s">
        <v>136</v>
      </c>
      <c r="D870" s="2" t="s">
        <v>16</v>
      </c>
      <c r="E870" s="2"/>
      <c r="F870" s="35">
        <v>2</v>
      </c>
      <c r="G870" s="35">
        <v>30.909488203763679</v>
      </c>
      <c r="H870" s="35">
        <v>11.95765015892497</v>
      </c>
      <c r="I870" s="35">
        <v>6.2420419621723919</v>
      </c>
      <c r="J870" s="35">
        <v>8.4066772155534705E-3</v>
      </c>
      <c r="K870" s="35">
        <v>-2.0903659917041697</v>
      </c>
      <c r="L870" s="35">
        <v>3.7375219516783744</v>
      </c>
      <c r="M870" s="58" t="s">
        <v>22</v>
      </c>
      <c r="N870" s="7">
        <v>9.5</v>
      </c>
      <c r="O870" s="7" t="s">
        <v>178</v>
      </c>
      <c r="P870" s="7" t="s">
        <v>178</v>
      </c>
    </row>
    <row r="871" spans="1:16" x14ac:dyDescent="0.25">
      <c r="A871" s="2" t="s">
        <v>181</v>
      </c>
      <c r="B871" s="2" t="s">
        <v>189</v>
      </c>
      <c r="C871" s="6" t="s">
        <v>136</v>
      </c>
      <c r="D871" s="2" t="s">
        <v>16</v>
      </c>
      <c r="E871" s="2"/>
      <c r="F871" s="35">
        <v>4.5</v>
      </c>
      <c r="G871" s="35">
        <v>32.275275703763675</v>
      </c>
      <c r="H871" s="35">
        <v>4.3976501589249724</v>
      </c>
      <c r="I871" s="35">
        <v>-1.107958037827607</v>
      </c>
      <c r="J871" s="35">
        <v>8.4066772155534705E-3</v>
      </c>
      <c r="K871" s="35">
        <v>-8.5079708971351504</v>
      </c>
      <c r="L871" s="35">
        <v>-16.706603445634052</v>
      </c>
      <c r="M871" s="58" t="s">
        <v>24</v>
      </c>
      <c r="N871" s="7">
        <v>9.5</v>
      </c>
      <c r="O871" s="7" t="s">
        <v>178</v>
      </c>
      <c r="P871" s="7" t="s">
        <v>178</v>
      </c>
    </row>
    <row r="872" spans="1:16" x14ac:dyDescent="0.25">
      <c r="A872" s="2" t="s">
        <v>181</v>
      </c>
      <c r="B872" s="2" t="s">
        <v>189</v>
      </c>
      <c r="C872" s="6" t="s">
        <v>136</v>
      </c>
      <c r="D872" s="2" t="s">
        <v>16</v>
      </c>
      <c r="E872" s="2"/>
      <c r="F872" s="35">
        <v>4.5</v>
      </c>
      <c r="G872" s="35">
        <v>33.061411035713164</v>
      </c>
      <c r="H872" s="35">
        <v>4.3971148074073003</v>
      </c>
      <c r="I872" s="35">
        <v>-1.1015656479318989</v>
      </c>
      <c r="J872" s="35">
        <v>-1.5676382821733182E-3</v>
      </c>
      <c r="K872" s="35">
        <v>-8.5079779674984497</v>
      </c>
      <c r="L872" s="35">
        <v>-15.724057842378807</v>
      </c>
      <c r="M872" s="58" t="s">
        <v>24</v>
      </c>
      <c r="N872" s="7">
        <v>9.5</v>
      </c>
      <c r="O872" s="7" t="s">
        <v>178</v>
      </c>
      <c r="P872" s="7" t="s">
        <v>178</v>
      </c>
    </row>
    <row r="873" spans="1:16" x14ac:dyDescent="0.25">
      <c r="A873" s="2" t="s">
        <v>181</v>
      </c>
      <c r="B873" s="2" t="s">
        <v>189</v>
      </c>
      <c r="C873" s="6" t="s">
        <v>136</v>
      </c>
      <c r="D873" s="2" t="s">
        <v>16</v>
      </c>
      <c r="E873" s="2"/>
      <c r="F873" s="35">
        <v>4.6226557908820691</v>
      </c>
      <c r="G873" s="35">
        <v>33.128419734108903</v>
      </c>
      <c r="H873" s="35">
        <v>4.0262036957799232</v>
      </c>
      <c r="I873" s="35">
        <v>-1.4621736731251824</v>
      </c>
      <c r="J873" s="35">
        <v>-1.5676382821733182E-3</v>
      </c>
      <c r="K873" s="35">
        <v>-8.3507492304785913</v>
      </c>
      <c r="L873" s="35">
        <v>-16.240642238808803</v>
      </c>
      <c r="M873" s="58" t="s">
        <v>24</v>
      </c>
      <c r="N873" s="7">
        <v>9.5</v>
      </c>
      <c r="O873" s="7" t="s">
        <v>178</v>
      </c>
      <c r="P873" s="7" t="s">
        <v>178</v>
      </c>
    </row>
    <row r="874" spans="1:16" x14ac:dyDescent="0.25">
      <c r="A874" s="2" t="s">
        <v>181</v>
      </c>
      <c r="B874" s="2" t="s">
        <v>189</v>
      </c>
      <c r="C874" s="6" t="s">
        <v>136</v>
      </c>
      <c r="D874" s="2" t="s">
        <v>16</v>
      </c>
      <c r="E874" s="2"/>
      <c r="F874" s="35">
        <v>9.2453115817641383</v>
      </c>
      <c r="G874" s="35">
        <v>35.653845932504645</v>
      </c>
      <c r="H874" s="35">
        <v>-9.9527074158474509</v>
      </c>
      <c r="I874" s="35">
        <v>-15.052781698318464</v>
      </c>
      <c r="J874" s="35">
        <v>-1.5676382821733182E-3</v>
      </c>
      <c r="K874" s="35">
        <v>29.820727811502852</v>
      </c>
      <c r="L874" s="35">
        <v>-2.5425488681816661</v>
      </c>
      <c r="M874" s="58" t="s">
        <v>23</v>
      </c>
      <c r="N874" s="7">
        <v>9.5</v>
      </c>
      <c r="O874" s="7" t="s">
        <v>178</v>
      </c>
      <c r="P874" s="7" t="s">
        <v>178</v>
      </c>
    </row>
    <row r="875" spans="1:16" x14ac:dyDescent="0.25">
      <c r="A875" s="2" t="s">
        <v>181</v>
      </c>
      <c r="B875" s="2" t="s">
        <v>189</v>
      </c>
      <c r="C875" s="6" t="s">
        <v>136</v>
      </c>
      <c r="D875" s="2" t="s">
        <v>106</v>
      </c>
      <c r="E875" s="2"/>
      <c r="F875" s="35">
        <v>0</v>
      </c>
      <c r="G875" s="35">
        <v>-0.4262056477675068</v>
      </c>
      <c r="H875" s="35">
        <v>-16.637916840597423</v>
      </c>
      <c r="I875" s="35">
        <v>9.3454304262501608</v>
      </c>
      <c r="J875" s="35">
        <v>5.4368229372807929E-3</v>
      </c>
      <c r="K875" s="35">
        <v>13.901725349954773</v>
      </c>
      <c r="L875" s="35">
        <v>-33.927443910017935</v>
      </c>
      <c r="M875" s="58" t="s">
        <v>22</v>
      </c>
      <c r="N875" s="7">
        <v>9.5</v>
      </c>
      <c r="O875" s="7" t="s">
        <v>178</v>
      </c>
      <c r="P875" s="7" t="s">
        <v>178</v>
      </c>
    </row>
    <row r="876" spans="1:16" x14ac:dyDescent="0.25">
      <c r="A876" s="2" t="s">
        <v>181</v>
      </c>
      <c r="B876" s="2" t="s">
        <v>189</v>
      </c>
      <c r="C876" s="6" t="s">
        <v>136</v>
      </c>
      <c r="D876" s="2" t="s">
        <v>106</v>
      </c>
      <c r="E876" s="2"/>
      <c r="F876" s="35">
        <v>2</v>
      </c>
      <c r="G876" s="35">
        <v>0.66642435223249219</v>
      </c>
      <c r="H876" s="35">
        <v>-13.235916840597421</v>
      </c>
      <c r="I876" s="35">
        <v>5.1454304262501616</v>
      </c>
      <c r="J876" s="35">
        <v>5.4368229372807929E-3</v>
      </c>
      <c r="K876" s="35">
        <v>-0.58913550254555047</v>
      </c>
      <c r="L876" s="35">
        <v>-4.0536102288230937</v>
      </c>
      <c r="M876" s="58" t="s">
        <v>22</v>
      </c>
      <c r="N876" s="7">
        <v>9.5</v>
      </c>
      <c r="O876" s="7" t="s">
        <v>178</v>
      </c>
      <c r="P876" s="7" t="s">
        <v>178</v>
      </c>
    </row>
    <row r="877" spans="1:16" x14ac:dyDescent="0.25">
      <c r="A877" s="2" t="s">
        <v>181</v>
      </c>
      <c r="B877" s="2" t="s">
        <v>189</v>
      </c>
      <c r="C877" s="6" t="s">
        <v>136</v>
      </c>
      <c r="D877" s="2" t="s">
        <v>106</v>
      </c>
      <c r="E877" s="2"/>
      <c r="F877" s="35">
        <v>2</v>
      </c>
      <c r="G877" s="35">
        <v>6.7194756860360219</v>
      </c>
      <c r="H877" s="35">
        <v>-6.8003312083719099</v>
      </c>
      <c r="I877" s="35">
        <v>5.1454332506124647</v>
      </c>
      <c r="J877" s="35">
        <v>5.444489221194569E-3</v>
      </c>
      <c r="K877" s="35">
        <v>-0.58914367991504268</v>
      </c>
      <c r="L877" s="35">
        <v>-4.053610228823108</v>
      </c>
      <c r="M877" s="58" t="s">
        <v>22</v>
      </c>
      <c r="N877" s="7">
        <v>9.5</v>
      </c>
      <c r="O877" s="7" t="s">
        <v>178</v>
      </c>
      <c r="P877" s="7" t="s">
        <v>178</v>
      </c>
    </row>
    <row r="878" spans="1:16" x14ac:dyDescent="0.25">
      <c r="A878" s="2" t="s">
        <v>181</v>
      </c>
      <c r="B878" s="2" t="s">
        <v>189</v>
      </c>
      <c r="C878" s="6" t="s">
        <v>136</v>
      </c>
      <c r="D878" s="2" t="s">
        <v>106</v>
      </c>
      <c r="E878" s="2"/>
      <c r="F878" s="35">
        <v>4.5</v>
      </c>
      <c r="G878" s="35">
        <v>8.0852631860360216</v>
      </c>
      <c r="H878" s="35">
        <v>-2.5478312083719095</v>
      </c>
      <c r="I878" s="35">
        <v>-0.10456674938753587</v>
      </c>
      <c r="J878" s="35">
        <v>5.444489221194569E-3</v>
      </c>
      <c r="K878" s="35">
        <v>-6.8902268064462033</v>
      </c>
      <c r="L878" s="35">
        <v>7.6315927921066677</v>
      </c>
      <c r="M878" s="58" t="s">
        <v>24</v>
      </c>
      <c r="N878" s="7">
        <v>9.5</v>
      </c>
      <c r="O878" s="7" t="s">
        <v>178</v>
      </c>
      <c r="P878" s="7" t="s">
        <v>178</v>
      </c>
    </row>
    <row r="879" spans="1:16" x14ac:dyDescent="0.25">
      <c r="A879" s="2" t="s">
        <v>181</v>
      </c>
      <c r="B879" s="2" t="s">
        <v>189</v>
      </c>
      <c r="C879" s="6" t="s">
        <v>136</v>
      </c>
      <c r="D879" s="2" t="s">
        <v>106</v>
      </c>
      <c r="E879" s="2"/>
      <c r="F879" s="35">
        <v>4.5</v>
      </c>
      <c r="G879" s="35">
        <v>8.871399457952279</v>
      </c>
      <c r="H879" s="35">
        <v>-2.547656985249819</v>
      </c>
      <c r="I879" s="35">
        <v>-9.2611356091020738E-2</v>
      </c>
      <c r="J879" s="35">
        <v>-8.0656977138635726E-3</v>
      </c>
      <c r="K879" s="35">
        <v>-6.890226638180506</v>
      </c>
      <c r="L879" s="35">
        <v>8.6143302379518261</v>
      </c>
      <c r="M879" s="58" t="s">
        <v>24</v>
      </c>
      <c r="N879" s="7">
        <v>9.5</v>
      </c>
      <c r="O879" s="7" t="s">
        <v>178</v>
      </c>
      <c r="P879" s="7" t="s">
        <v>178</v>
      </c>
    </row>
    <row r="880" spans="1:16" x14ac:dyDescent="0.25">
      <c r="A880" s="2" t="s">
        <v>181</v>
      </c>
      <c r="B880" s="2" t="s">
        <v>189</v>
      </c>
      <c r="C880" s="6" t="s">
        <v>136</v>
      </c>
      <c r="D880" s="2" t="s">
        <v>106</v>
      </c>
      <c r="E880" s="2"/>
      <c r="F880" s="35">
        <v>4.6226557908820691</v>
      </c>
      <c r="G880" s="35">
        <v>8.9384081563480162</v>
      </c>
      <c r="H880" s="35">
        <v>-2.3390194849594197</v>
      </c>
      <c r="I880" s="35">
        <v>-0.35018851694336584</v>
      </c>
      <c r="J880" s="35">
        <v>-8.0656977138635726E-3</v>
      </c>
      <c r="K880" s="35">
        <v>-6.8630706538657504</v>
      </c>
      <c r="L880" s="35">
        <v>8.9140198215709834</v>
      </c>
      <c r="M880" s="58" t="s">
        <v>24</v>
      </c>
      <c r="N880" s="7">
        <v>9.5</v>
      </c>
      <c r="O880" s="7" t="s">
        <v>178</v>
      </c>
      <c r="P880" s="7" t="s">
        <v>178</v>
      </c>
    </row>
    <row r="881" spans="1:16" x14ac:dyDescent="0.25">
      <c r="A881" s="2" t="s">
        <v>181</v>
      </c>
      <c r="B881" s="2" t="s">
        <v>189</v>
      </c>
      <c r="C881" s="6" t="s">
        <v>136</v>
      </c>
      <c r="D881" s="2" t="s">
        <v>106</v>
      </c>
      <c r="E881" s="2"/>
      <c r="F881" s="35">
        <v>9.2453115817641383</v>
      </c>
      <c r="G881" s="35">
        <v>11.463834354743753</v>
      </c>
      <c r="H881" s="35">
        <v>5.5241180153309815</v>
      </c>
      <c r="I881" s="35">
        <v>-10.057765677795711</v>
      </c>
      <c r="J881" s="35">
        <v>-8.0656977138635726E-3</v>
      </c>
      <c r="K881" s="35">
        <v>17.193124210907204</v>
      </c>
      <c r="L881" s="35">
        <v>1.55221273859495</v>
      </c>
      <c r="M881" s="58" t="s">
        <v>23</v>
      </c>
      <c r="N881" s="7">
        <v>9.5</v>
      </c>
      <c r="O881" s="7" t="s">
        <v>178</v>
      </c>
      <c r="P881" s="7" t="s">
        <v>178</v>
      </c>
    </row>
    <row r="882" spans="1:16" x14ac:dyDescent="0.25">
      <c r="A882" s="2" t="s">
        <v>181</v>
      </c>
      <c r="B882" s="2" t="s">
        <v>189</v>
      </c>
      <c r="C882" s="6" t="s">
        <v>136</v>
      </c>
      <c r="D882" s="2" t="s">
        <v>107</v>
      </c>
      <c r="E882" s="2"/>
      <c r="F882" s="35">
        <v>0</v>
      </c>
      <c r="G882" s="35">
        <v>-10.565264331747381</v>
      </c>
      <c r="H882" s="35">
        <v>-9.2252747144676874</v>
      </c>
      <c r="I882" s="35">
        <v>4.2500903387022673</v>
      </c>
      <c r="J882" s="35">
        <v>3.688844752051381E-3</v>
      </c>
      <c r="K882" s="35">
        <v>6.5825054589680922</v>
      </c>
      <c r="L882" s="35">
        <v>-19.827359917639569</v>
      </c>
      <c r="M882" s="58" t="s">
        <v>22</v>
      </c>
      <c r="N882" s="7">
        <v>9.5</v>
      </c>
      <c r="O882" s="7" t="s">
        <v>178</v>
      </c>
      <c r="P882" s="7" t="s">
        <v>178</v>
      </c>
    </row>
    <row r="883" spans="1:16" x14ac:dyDescent="0.25">
      <c r="A883" s="2" t="s">
        <v>181</v>
      </c>
      <c r="B883" s="2" t="s">
        <v>189</v>
      </c>
      <c r="C883" s="6" t="s">
        <v>136</v>
      </c>
      <c r="D883" s="2" t="s">
        <v>107</v>
      </c>
      <c r="E883" s="2"/>
      <c r="F883" s="35">
        <v>2</v>
      </c>
      <c r="G883" s="35">
        <v>-9.4726343317473827</v>
      </c>
      <c r="H883" s="35">
        <v>-8.469274714467689</v>
      </c>
      <c r="I883" s="35">
        <v>2.402090338702267</v>
      </c>
      <c r="J883" s="35">
        <v>3.688844752051381E-3</v>
      </c>
      <c r="K883" s="35">
        <v>-6.9675218436441019E-2</v>
      </c>
      <c r="L883" s="35">
        <v>-2.1328104887041945</v>
      </c>
      <c r="M883" s="58" t="s">
        <v>22</v>
      </c>
      <c r="N883" s="7">
        <v>9.5</v>
      </c>
      <c r="O883" s="7" t="s">
        <v>178</v>
      </c>
      <c r="P883" s="7" t="s">
        <v>178</v>
      </c>
    </row>
    <row r="884" spans="1:16" x14ac:dyDescent="0.25">
      <c r="A884" s="2" t="s">
        <v>181</v>
      </c>
      <c r="B884" s="2" t="s">
        <v>189</v>
      </c>
      <c r="C884" s="6" t="s">
        <v>136</v>
      </c>
      <c r="D884" s="2" t="s">
        <v>107</v>
      </c>
      <c r="E884" s="2"/>
      <c r="F884" s="35">
        <v>2</v>
      </c>
      <c r="G884" s="35">
        <v>-2.9969318287715754</v>
      </c>
      <c r="H884" s="35">
        <v>-1.5828598991500988</v>
      </c>
      <c r="I884" s="35">
        <v>2.402091837296926</v>
      </c>
      <c r="J884" s="35">
        <v>3.6909740038274957E-3</v>
      </c>
      <c r="K884" s="35">
        <v>-6.9677489638326789E-2</v>
      </c>
      <c r="L884" s="35">
        <v>-2.1328104887041945</v>
      </c>
      <c r="M884" s="58" t="s">
        <v>22</v>
      </c>
      <c r="N884" s="7">
        <v>9.5</v>
      </c>
      <c r="O884" s="7" t="s">
        <v>178</v>
      </c>
      <c r="P884" s="7" t="s">
        <v>178</v>
      </c>
    </row>
    <row r="885" spans="1:16" x14ac:dyDescent="0.25">
      <c r="A885" s="2" t="s">
        <v>181</v>
      </c>
      <c r="B885" s="2" t="s">
        <v>189</v>
      </c>
      <c r="C885" s="6" t="s">
        <v>136</v>
      </c>
      <c r="D885" s="2" t="s">
        <v>107</v>
      </c>
      <c r="E885" s="2"/>
      <c r="F885" s="35">
        <v>4.5</v>
      </c>
      <c r="G885" s="35">
        <v>-1.6311443287715752</v>
      </c>
      <c r="H885" s="35">
        <v>-0.63785989915009877</v>
      </c>
      <c r="I885" s="35">
        <v>9.209183729692573E-2</v>
      </c>
      <c r="J885" s="35">
        <v>3.6909740038274957E-3</v>
      </c>
      <c r="K885" s="35">
        <v>-3.1874070828806413</v>
      </c>
      <c r="L885" s="35">
        <v>0.64308925917105253</v>
      </c>
      <c r="M885" s="58" t="s">
        <v>24</v>
      </c>
      <c r="N885" s="7">
        <v>9.5</v>
      </c>
      <c r="O885" s="7" t="s">
        <v>178</v>
      </c>
      <c r="P885" s="7" t="s">
        <v>178</v>
      </c>
    </row>
    <row r="886" spans="1:16" x14ac:dyDescent="0.25">
      <c r="A886" s="2" t="s">
        <v>181</v>
      </c>
      <c r="B886" s="2" t="s">
        <v>189</v>
      </c>
      <c r="C886" s="6" t="s">
        <v>136</v>
      </c>
      <c r="D886" s="2" t="s">
        <v>107</v>
      </c>
      <c r="E886" s="2"/>
      <c r="F886" s="35">
        <v>4.5</v>
      </c>
      <c r="G886" s="35">
        <v>-0.84500824416264164</v>
      </c>
      <c r="H886" s="35">
        <v>-0.6379283494885486</v>
      </c>
      <c r="I886" s="35">
        <v>9.8237572441040796E-2</v>
      </c>
      <c r="J886" s="35">
        <v>-3.9633206877615164E-3</v>
      </c>
      <c r="K886" s="35">
        <v>-3.1874071477825123</v>
      </c>
      <c r="L886" s="35">
        <v>1.6257716083321399</v>
      </c>
      <c r="M886" s="58" t="s">
        <v>24</v>
      </c>
      <c r="N886" s="7">
        <v>9.5</v>
      </c>
      <c r="O886" s="7" t="s">
        <v>178</v>
      </c>
      <c r="P886" s="7" t="s">
        <v>178</v>
      </c>
    </row>
    <row r="887" spans="1:16" x14ac:dyDescent="0.25">
      <c r="A887" s="2" t="s">
        <v>181</v>
      </c>
      <c r="B887" s="2" t="s">
        <v>189</v>
      </c>
      <c r="C887" s="6" t="s">
        <v>136</v>
      </c>
      <c r="D887" s="2" t="s">
        <v>107</v>
      </c>
      <c r="E887" s="2"/>
      <c r="F887" s="35">
        <v>4.6226557908820691</v>
      </c>
      <c r="G887" s="35">
        <v>-0.77799954576690455</v>
      </c>
      <c r="H887" s="35">
        <v>-0.59156446053512635</v>
      </c>
      <c r="I887" s="35">
        <v>-1.509637833399108E-2</v>
      </c>
      <c r="J887" s="35">
        <v>-3.9633206877615164E-3</v>
      </c>
      <c r="K887" s="35">
        <v>-3.192506022241552</v>
      </c>
      <c r="L887" s="35">
        <v>1.7011738148307758</v>
      </c>
      <c r="M887" s="58" t="s">
        <v>24</v>
      </c>
      <c r="N887" s="7">
        <v>9.5</v>
      </c>
      <c r="O887" s="7" t="s">
        <v>178</v>
      </c>
      <c r="P887" s="7" t="s">
        <v>178</v>
      </c>
    </row>
    <row r="888" spans="1:16" x14ac:dyDescent="0.25">
      <c r="A888" s="2" t="s">
        <v>181</v>
      </c>
      <c r="B888" s="2" t="s">
        <v>189</v>
      </c>
      <c r="C888" s="6" t="s">
        <v>136</v>
      </c>
      <c r="D888" s="2" t="s">
        <v>107</v>
      </c>
      <c r="E888" s="2"/>
      <c r="F888" s="35">
        <v>9.2453115817641383</v>
      </c>
      <c r="G888" s="35">
        <v>1.7474266526288327</v>
      </c>
      <c r="H888" s="35">
        <v>1.1557994284182955</v>
      </c>
      <c r="I888" s="35">
        <v>-4.2864303291090229</v>
      </c>
      <c r="J888" s="35">
        <v>-3.9633206877615164E-3</v>
      </c>
      <c r="K888" s="35">
        <v>6.7497326496561119</v>
      </c>
      <c r="L888" s="35">
        <v>0.39704179397913153</v>
      </c>
      <c r="M888" s="58" t="s">
        <v>23</v>
      </c>
      <c r="N888" s="7">
        <v>9.5</v>
      </c>
      <c r="O888" s="7" t="s">
        <v>178</v>
      </c>
      <c r="P888" s="7" t="s">
        <v>178</v>
      </c>
    </row>
    <row r="889" spans="1:16" x14ac:dyDescent="0.25">
      <c r="A889" s="2" t="s">
        <v>181</v>
      </c>
      <c r="B889" s="2" t="s">
        <v>189</v>
      </c>
      <c r="C889" s="6" t="s">
        <v>136</v>
      </c>
      <c r="D889" s="2" t="s">
        <v>108</v>
      </c>
      <c r="E889" s="2"/>
      <c r="F889" s="35">
        <v>0</v>
      </c>
      <c r="G889" s="35">
        <v>6.150636586259111</v>
      </c>
      <c r="H889" s="35">
        <v>-19.307367225189218</v>
      </c>
      <c r="I889" s="35">
        <v>8.4259386570416304</v>
      </c>
      <c r="J889" s="35">
        <v>-2.7264597080273726E-4</v>
      </c>
      <c r="K889" s="35">
        <v>18.515907919629864</v>
      </c>
      <c r="L889" s="35">
        <v>-37.41493206667181</v>
      </c>
      <c r="M889" s="58" t="s">
        <v>22</v>
      </c>
      <c r="N889" s="7">
        <v>9.5</v>
      </c>
      <c r="O889" s="7" t="s">
        <v>178</v>
      </c>
      <c r="P889" s="7" t="s">
        <v>178</v>
      </c>
    </row>
    <row r="890" spans="1:16" x14ac:dyDescent="0.25">
      <c r="A890" s="2" t="s">
        <v>181</v>
      </c>
      <c r="B890" s="2" t="s">
        <v>189</v>
      </c>
      <c r="C890" s="6" t="s">
        <v>136</v>
      </c>
      <c r="D890" s="2" t="s">
        <v>108</v>
      </c>
      <c r="E890" s="2"/>
      <c r="F890" s="35">
        <v>2</v>
      </c>
      <c r="G890" s="35">
        <v>7.2432665862591099</v>
      </c>
      <c r="H890" s="35">
        <v>-12.692367225189214</v>
      </c>
      <c r="I890" s="35">
        <v>5.2339386570416302</v>
      </c>
      <c r="J890" s="35">
        <v>-2.7264597080273726E-4</v>
      </c>
      <c r="K890" s="35">
        <v>4.8560306055466045</v>
      </c>
      <c r="L890" s="35">
        <v>-5.4151976162933808</v>
      </c>
      <c r="M890" s="58" t="s">
        <v>22</v>
      </c>
      <c r="N890" s="7">
        <v>9.5</v>
      </c>
      <c r="O890" s="7" t="s">
        <v>178</v>
      </c>
      <c r="P890" s="7" t="s">
        <v>178</v>
      </c>
    </row>
    <row r="891" spans="1:16" x14ac:dyDescent="0.25">
      <c r="A891" s="2" t="s">
        <v>181</v>
      </c>
      <c r="B891" s="2" t="s">
        <v>189</v>
      </c>
      <c r="C891" s="6" t="s">
        <v>136</v>
      </c>
      <c r="D891" s="2" t="s">
        <v>108</v>
      </c>
      <c r="E891" s="2"/>
      <c r="F891" s="35">
        <v>2</v>
      </c>
      <c r="G891" s="35">
        <v>6.9683396074224166</v>
      </c>
      <c r="H891" s="35">
        <v>-13.006634393210984</v>
      </c>
      <c r="I891" s="35">
        <v>5.2339332460671528</v>
      </c>
      <c r="J891" s="35">
        <v>-2.5011919098195034E-4</v>
      </c>
      <c r="K891" s="35">
        <v>4.8560065769814917</v>
      </c>
      <c r="L891" s="35">
        <v>-5.4151976162933861</v>
      </c>
      <c r="M891" s="58" t="s">
        <v>22</v>
      </c>
      <c r="N891" s="7">
        <v>9.5</v>
      </c>
      <c r="O891" s="7" t="s">
        <v>178</v>
      </c>
      <c r="P891" s="7" t="s">
        <v>178</v>
      </c>
    </row>
    <row r="892" spans="1:16" x14ac:dyDescent="0.25">
      <c r="A892" s="2" t="s">
        <v>181</v>
      </c>
      <c r="B892" s="2" t="s">
        <v>189</v>
      </c>
      <c r="C892" s="6" t="s">
        <v>136</v>
      </c>
      <c r="D892" s="2" t="s">
        <v>108</v>
      </c>
      <c r="E892" s="2"/>
      <c r="F892" s="35">
        <v>4.5</v>
      </c>
      <c r="G892" s="35">
        <v>8.3341271074224164</v>
      </c>
      <c r="H892" s="35">
        <v>-4.7378843932109822</v>
      </c>
      <c r="I892" s="35">
        <v>1.2439332460671528</v>
      </c>
      <c r="J892" s="35">
        <v>-2.5011919098195034E-4</v>
      </c>
      <c r="K892" s="35">
        <v>-3.2413265381863892</v>
      </c>
      <c r="L892" s="35">
        <v>16.765450866734071</v>
      </c>
      <c r="M892" s="58" t="s">
        <v>24</v>
      </c>
      <c r="N892" s="7">
        <v>9.5</v>
      </c>
      <c r="O892" s="7" t="s">
        <v>178</v>
      </c>
      <c r="P892" s="7" t="s">
        <v>178</v>
      </c>
    </row>
    <row r="893" spans="1:16" x14ac:dyDescent="0.25">
      <c r="A893" s="2" t="s">
        <v>181</v>
      </c>
      <c r="B893" s="2" t="s">
        <v>189</v>
      </c>
      <c r="C893" s="6" t="s">
        <v>136</v>
      </c>
      <c r="D893" s="2" t="s">
        <v>108</v>
      </c>
      <c r="E893" s="2"/>
      <c r="F893" s="35">
        <v>4.5</v>
      </c>
      <c r="G893" s="35">
        <v>9.1202682044812224</v>
      </c>
      <c r="H893" s="35">
        <v>-4.7371948444575072</v>
      </c>
      <c r="I893" s="35">
        <v>1.2514604740837665</v>
      </c>
      <c r="J893" s="35">
        <v>-6.1732040731274111E-3</v>
      </c>
      <c r="K893" s="35">
        <v>-3.2413049516454833</v>
      </c>
      <c r="L893" s="35">
        <v>17.748264335522546</v>
      </c>
      <c r="M893" s="58" t="s">
        <v>24</v>
      </c>
      <c r="N893" s="7">
        <v>9.5</v>
      </c>
      <c r="O893" s="7" t="s">
        <v>178</v>
      </c>
      <c r="P893" s="7" t="s">
        <v>178</v>
      </c>
    </row>
    <row r="894" spans="1:16" x14ac:dyDescent="0.25">
      <c r="A894" s="2" t="s">
        <v>181</v>
      </c>
      <c r="B894" s="2" t="s">
        <v>189</v>
      </c>
      <c r="C894" s="6" t="s">
        <v>136</v>
      </c>
      <c r="D894" s="2" t="s">
        <v>108</v>
      </c>
      <c r="E894" s="2"/>
      <c r="F894" s="35">
        <v>4.6226557908820691</v>
      </c>
      <c r="G894" s="35">
        <v>9.1872769028769596</v>
      </c>
      <c r="H894" s="35">
        <v>-4.3315108161150642</v>
      </c>
      <c r="I894" s="35">
        <v>1.0557018318359841</v>
      </c>
      <c r="J894" s="35">
        <v>-6.1732040731274111E-3</v>
      </c>
      <c r="K894" s="35">
        <v>-3.3827983603084264</v>
      </c>
      <c r="L894" s="35">
        <v>18.304428968059657</v>
      </c>
      <c r="M894" s="58" t="s">
        <v>24</v>
      </c>
      <c r="N894" s="7">
        <v>9.5</v>
      </c>
      <c r="O894" s="7" t="s">
        <v>178</v>
      </c>
      <c r="P894" s="7" t="s">
        <v>178</v>
      </c>
    </row>
    <row r="895" spans="1:16" x14ac:dyDescent="0.25">
      <c r="A895" s="2" t="s">
        <v>181</v>
      </c>
      <c r="B895" s="2" t="s">
        <v>189</v>
      </c>
      <c r="C895" s="6" t="s">
        <v>136</v>
      </c>
      <c r="D895" s="2" t="s">
        <v>108</v>
      </c>
      <c r="E895" s="2"/>
      <c r="F895" s="35">
        <v>9.2453115817641383</v>
      </c>
      <c r="G895" s="35">
        <v>11.712703101272696</v>
      </c>
      <c r="H895" s="35">
        <v>10.95792321222738</v>
      </c>
      <c r="I895" s="35">
        <v>-6.3220568104117989</v>
      </c>
      <c r="J895" s="35">
        <v>-6.1732040731274111E-3</v>
      </c>
      <c r="K895" s="35">
        <v>8.7894748089686221</v>
      </c>
      <c r="L895" s="35">
        <v>2.9886171502289991</v>
      </c>
      <c r="M895" s="58" t="s">
        <v>23</v>
      </c>
      <c r="N895" s="7">
        <v>9.5</v>
      </c>
      <c r="O895" s="7" t="s">
        <v>178</v>
      </c>
      <c r="P895" s="7" t="s">
        <v>178</v>
      </c>
    </row>
    <row r="896" spans="1:16" x14ac:dyDescent="0.25">
      <c r="A896" s="2" t="s">
        <v>181</v>
      </c>
      <c r="B896" s="2" t="s">
        <v>189</v>
      </c>
      <c r="C896" s="6" t="s">
        <v>136</v>
      </c>
      <c r="D896" s="2" t="s">
        <v>109</v>
      </c>
      <c r="E896" s="2"/>
      <c r="F896" s="35">
        <v>0</v>
      </c>
      <c r="G896" s="35">
        <v>-9.1556496032410379</v>
      </c>
      <c r="H896" s="35">
        <v>-12.744164977365344</v>
      </c>
      <c r="I896" s="35">
        <v>5.7294037101523978</v>
      </c>
      <c r="J896" s="35">
        <v>-1.049459453803897E-4</v>
      </c>
      <c r="K896" s="35">
        <v>23.561529424338222</v>
      </c>
      <c r="L896" s="35">
        <v>-25.114914798255011</v>
      </c>
      <c r="M896" s="58" t="s">
        <v>22</v>
      </c>
      <c r="N896" s="7">
        <v>9.5</v>
      </c>
      <c r="O896" s="7" t="s">
        <v>178</v>
      </c>
      <c r="P896" s="7" t="s">
        <v>178</v>
      </c>
    </row>
    <row r="897" spans="1:16" x14ac:dyDescent="0.25">
      <c r="A897" s="2" t="s">
        <v>181</v>
      </c>
      <c r="B897" s="2" t="s">
        <v>189</v>
      </c>
      <c r="C897" s="6" t="s">
        <v>136</v>
      </c>
      <c r="D897" s="2" t="s">
        <v>109</v>
      </c>
      <c r="E897" s="2"/>
      <c r="F897" s="35">
        <v>2</v>
      </c>
      <c r="G897" s="35">
        <v>-8.0630196032410399</v>
      </c>
      <c r="H897" s="35">
        <v>-8.7751649773653426</v>
      </c>
      <c r="I897" s="35">
        <v>4.8894037101523979</v>
      </c>
      <c r="J897" s="35">
        <v>-1.049459453803897E-4</v>
      </c>
      <c r="K897" s="35">
        <v>12.942722004033426</v>
      </c>
      <c r="L897" s="35">
        <v>-3.5955848435243265</v>
      </c>
      <c r="M897" s="58" t="s">
        <v>22</v>
      </c>
      <c r="N897" s="7">
        <v>9.5</v>
      </c>
      <c r="O897" s="7" t="s">
        <v>178</v>
      </c>
      <c r="P897" s="7" t="s">
        <v>178</v>
      </c>
    </row>
    <row r="898" spans="1:16" x14ac:dyDescent="0.25">
      <c r="A898" s="2" t="s">
        <v>181</v>
      </c>
      <c r="B898" s="2" t="s">
        <v>189</v>
      </c>
      <c r="C898" s="6" t="s">
        <v>136</v>
      </c>
      <c r="D898" s="2" t="s">
        <v>109</v>
      </c>
      <c r="E898" s="2"/>
      <c r="F898" s="35">
        <v>2</v>
      </c>
      <c r="G898" s="35">
        <v>-7.1315498662444483</v>
      </c>
      <c r="H898" s="35">
        <v>-7.8026066022092122</v>
      </c>
      <c r="I898" s="35">
        <v>4.8893928799545172</v>
      </c>
      <c r="J898" s="35">
        <v>-7.4182510349579372E-5</v>
      </c>
      <c r="K898" s="35">
        <v>12.942689189702746</v>
      </c>
      <c r="L898" s="35">
        <v>-3.5955848435243372</v>
      </c>
      <c r="M898" s="58" t="s">
        <v>22</v>
      </c>
      <c r="N898" s="7">
        <v>9.5</v>
      </c>
      <c r="O898" s="7" t="s">
        <v>178</v>
      </c>
      <c r="P898" s="7" t="s">
        <v>178</v>
      </c>
    </row>
    <row r="899" spans="1:16" x14ac:dyDescent="0.25">
      <c r="A899" s="2" t="s">
        <v>181</v>
      </c>
      <c r="B899" s="2" t="s">
        <v>189</v>
      </c>
      <c r="C899" s="6" t="s">
        <v>136</v>
      </c>
      <c r="D899" s="2" t="s">
        <v>109</v>
      </c>
      <c r="E899" s="2"/>
      <c r="F899" s="35">
        <v>4.5</v>
      </c>
      <c r="G899" s="35">
        <v>-5.7657623662444486</v>
      </c>
      <c r="H899" s="35">
        <v>-2.841356602209212</v>
      </c>
      <c r="I899" s="35">
        <v>3.8393928799545169</v>
      </c>
      <c r="J899" s="35">
        <v>-7.4182510349579372E-5</v>
      </c>
      <c r="K899" s="35">
        <v>2.0317069898164517</v>
      </c>
      <c r="L899" s="35">
        <v>9.7093691619986924</v>
      </c>
      <c r="M899" s="58" t="s">
        <v>24</v>
      </c>
      <c r="N899" s="7">
        <v>9.5</v>
      </c>
      <c r="O899" s="7" t="s">
        <v>178</v>
      </c>
      <c r="P899" s="7" t="s">
        <v>178</v>
      </c>
    </row>
    <row r="900" spans="1:16" x14ac:dyDescent="0.25">
      <c r="A900" s="2" t="s">
        <v>181</v>
      </c>
      <c r="B900" s="2" t="s">
        <v>189</v>
      </c>
      <c r="C900" s="6" t="s">
        <v>136</v>
      </c>
      <c r="D900" s="2" t="s">
        <v>109</v>
      </c>
      <c r="E900" s="2"/>
      <c r="F900" s="35">
        <v>4.5</v>
      </c>
      <c r="G900" s="35">
        <v>-4.979615374016265</v>
      </c>
      <c r="H900" s="35">
        <v>-2.8409455782971054</v>
      </c>
      <c r="I900" s="35">
        <v>3.8438960395713457</v>
      </c>
      <c r="J900" s="35">
        <v>-3.6232769776478012E-3</v>
      </c>
      <c r="K900" s="35">
        <v>2.0317568220687381</v>
      </c>
      <c r="L900" s="35">
        <v>10.692133121413063</v>
      </c>
      <c r="M900" s="58" t="s">
        <v>24</v>
      </c>
      <c r="N900" s="7">
        <v>9.5</v>
      </c>
      <c r="O900" s="7" t="s">
        <v>178</v>
      </c>
      <c r="P900" s="7" t="s">
        <v>178</v>
      </c>
    </row>
    <row r="901" spans="1:16" x14ac:dyDescent="0.25">
      <c r="A901" s="2" t="s">
        <v>181</v>
      </c>
      <c r="B901" s="2" t="s">
        <v>189</v>
      </c>
      <c r="C901" s="6" t="s">
        <v>136</v>
      </c>
      <c r="D901" s="2" t="s">
        <v>109</v>
      </c>
      <c r="E901" s="2"/>
      <c r="F901" s="35">
        <v>4.6226557908820691</v>
      </c>
      <c r="G901" s="35">
        <v>-4.9126066756205278</v>
      </c>
      <c r="H901" s="35">
        <v>-2.5975351612916393</v>
      </c>
      <c r="I901" s="35">
        <v>3.7923806074008768</v>
      </c>
      <c r="J901" s="35">
        <v>-3.6232769776478012E-3</v>
      </c>
      <c r="K901" s="35">
        <v>1.5634400463044122</v>
      </c>
      <c r="L901" s="35">
        <v>11.025663699568643</v>
      </c>
      <c r="M901" s="58" t="s">
        <v>24</v>
      </c>
      <c r="N901" s="7">
        <v>9.5</v>
      </c>
      <c r="O901" s="7" t="s">
        <v>178</v>
      </c>
      <c r="P901" s="7" t="s">
        <v>178</v>
      </c>
    </row>
    <row r="902" spans="1:16" x14ac:dyDescent="0.25">
      <c r="A902" s="2" t="s">
        <v>181</v>
      </c>
      <c r="B902" s="2" t="s">
        <v>189</v>
      </c>
      <c r="C902" s="6" t="s">
        <v>136</v>
      </c>
      <c r="D902" s="2" t="s">
        <v>109</v>
      </c>
      <c r="E902" s="2"/>
      <c r="F902" s="35">
        <v>9.2453115817641383</v>
      </c>
      <c r="G902" s="35">
        <v>-2.3871804772247911</v>
      </c>
      <c r="H902" s="35">
        <v>6.5761252557138263</v>
      </c>
      <c r="I902" s="35">
        <v>1.8508651752304077</v>
      </c>
      <c r="J902" s="35">
        <v>-3.6232769776478012E-3</v>
      </c>
      <c r="K902" s="35">
        <v>-11.479951351921247</v>
      </c>
      <c r="L902" s="35">
        <v>1.8298374298052573</v>
      </c>
      <c r="M902" s="58" t="s">
        <v>23</v>
      </c>
      <c r="N902" s="7">
        <v>9.5</v>
      </c>
      <c r="O902" s="7" t="s">
        <v>178</v>
      </c>
      <c r="P902" s="7" t="s">
        <v>178</v>
      </c>
    </row>
    <row r="903" spans="1:16" x14ac:dyDescent="0.25">
      <c r="A903" s="2" t="s">
        <v>181</v>
      </c>
      <c r="B903" s="2" t="s">
        <v>189</v>
      </c>
      <c r="C903" s="6" t="s">
        <v>136</v>
      </c>
      <c r="D903" s="2" t="s">
        <v>110</v>
      </c>
      <c r="E903" s="2"/>
      <c r="F903" s="35">
        <v>0</v>
      </c>
      <c r="G903" s="35">
        <v>19.194006862484752</v>
      </c>
      <c r="H903" s="35">
        <v>-26.354995083114876</v>
      </c>
      <c r="I903" s="35">
        <v>-12.11919932209813</v>
      </c>
      <c r="J903" s="35">
        <v>-2.814276146648886E-2</v>
      </c>
      <c r="K903" s="35">
        <v>-30.528285748823993</v>
      </c>
      <c r="L903" s="35">
        <v>-50.592282757545576</v>
      </c>
      <c r="M903" s="58" t="s">
        <v>22</v>
      </c>
      <c r="N903" s="7">
        <v>9.5</v>
      </c>
      <c r="O903" s="7" t="s">
        <v>178</v>
      </c>
      <c r="P903" s="7" t="s">
        <v>178</v>
      </c>
    </row>
    <row r="904" spans="1:16" x14ac:dyDescent="0.25">
      <c r="A904" s="2" t="s">
        <v>181</v>
      </c>
      <c r="B904" s="2" t="s">
        <v>189</v>
      </c>
      <c r="C904" s="6" t="s">
        <v>136</v>
      </c>
      <c r="D904" s="2" t="s">
        <v>110</v>
      </c>
      <c r="E904" s="2"/>
      <c r="F904" s="35">
        <v>2</v>
      </c>
      <c r="G904" s="35">
        <v>20.286636862484748</v>
      </c>
      <c r="H904" s="35">
        <v>-17.09399508311488</v>
      </c>
      <c r="I904" s="35">
        <v>-9.0951993220981286</v>
      </c>
      <c r="J904" s="35">
        <v>-2.814276146648886E-2</v>
      </c>
      <c r="K904" s="35">
        <v>-9.3138871046277405</v>
      </c>
      <c r="L904" s="35">
        <v>-7.1432925913158316</v>
      </c>
      <c r="M904" s="58" t="s">
        <v>22</v>
      </c>
      <c r="N904" s="7">
        <v>9.5</v>
      </c>
      <c r="O904" s="7" t="s">
        <v>178</v>
      </c>
      <c r="P904" s="7" t="s">
        <v>178</v>
      </c>
    </row>
    <row r="905" spans="1:16" x14ac:dyDescent="0.25">
      <c r="A905" s="2" t="s">
        <v>181</v>
      </c>
      <c r="B905" s="2" t="s">
        <v>189</v>
      </c>
      <c r="C905" s="6" t="s">
        <v>136</v>
      </c>
      <c r="D905" s="2" t="s">
        <v>110</v>
      </c>
      <c r="E905" s="2"/>
      <c r="F905" s="35">
        <v>2</v>
      </c>
      <c r="G905" s="35">
        <v>19.2707298590887</v>
      </c>
      <c r="H905" s="35">
        <v>-18.19864278380177</v>
      </c>
      <c r="I905" s="35">
        <v>-9.095194750932416</v>
      </c>
      <c r="J905" s="35">
        <v>-2.8100095547519452E-2</v>
      </c>
      <c r="K905" s="35">
        <v>-9.3139326149413648</v>
      </c>
      <c r="L905" s="35">
        <v>-7.1432925913159009</v>
      </c>
      <c r="M905" s="58" t="s">
        <v>22</v>
      </c>
      <c r="N905" s="7">
        <v>9.5</v>
      </c>
      <c r="O905" s="7" t="s">
        <v>178</v>
      </c>
      <c r="P905" s="7" t="s">
        <v>178</v>
      </c>
    </row>
    <row r="906" spans="1:16" x14ac:dyDescent="0.25">
      <c r="A906" s="2" t="s">
        <v>181</v>
      </c>
      <c r="B906" s="2" t="s">
        <v>189</v>
      </c>
      <c r="C906" s="6" t="s">
        <v>136</v>
      </c>
      <c r="D906" s="2" t="s">
        <v>110</v>
      </c>
      <c r="E906" s="2"/>
      <c r="F906" s="35">
        <v>4.5</v>
      </c>
      <c r="G906" s="35">
        <v>20.636517359088703</v>
      </c>
      <c r="H906" s="35">
        <v>-6.6223927838017715</v>
      </c>
      <c r="I906" s="35">
        <v>-5.3151947509324176</v>
      </c>
      <c r="J906" s="35">
        <v>-2.8100095547519452E-2</v>
      </c>
      <c r="K906" s="35">
        <v>8.6990542623896747</v>
      </c>
      <c r="L906" s="35">
        <v>23.883001868188529</v>
      </c>
      <c r="M906" s="58" t="s">
        <v>24</v>
      </c>
      <c r="N906" s="7">
        <v>9.5</v>
      </c>
      <c r="O906" s="7" t="s">
        <v>178</v>
      </c>
      <c r="P906" s="7" t="s">
        <v>178</v>
      </c>
    </row>
    <row r="907" spans="1:16" x14ac:dyDescent="0.25">
      <c r="A907" s="2" t="s">
        <v>181</v>
      </c>
      <c r="B907" s="2" t="s">
        <v>189</v>
      </c>
      <c r="C907" s="6" t="s">
        <v>136</v>
      </c>
      <c r="D907" s="2" t="s">
        <v>110</v>
      </c>
      <c r="E907" s="2"/>
      <c r="F907" s="35">
        <v>4.5</v>
      </c>
      <c r="G907" s="35">
        <v>21.422647994146832</v>
      </c>
      <c r="H907" s="35">
        <v>-6.6216321105993394</v>
      </c>
      <c r="I907" s="35">
        <v>-5.3513842475350009</v>
      </c>
      <c r="J907" s="35">
        <v>1.8423272348527368E-2</v>
      </c>
      <c r="K907" s="35">
        <v>8.6990207325928921</v>
      </c>
      <c r="L907" s="35">
        <v>24.865790101713554</v>
      </c>
      <c r="M907" s="58" t="s">
        <v>24</v>
      </c>
      <c r="N907" s="7">
        <v>9.5</v>
      </c>
      <c r="O907" s="7" t="s">
        <v>178</v>
      </c>
      <c r="P907" s="7" t="s">
        <v>178</v>
      </c>
    </row>
    <row r="908" spans="1:16" x14ac:dyDescent="0.25">
      <c r="A908" s="2" t="s">
        <v>181</v>
      </c>
      <c r="B908" s="2" t="s">
        <v>189</v>
      </c>
      <c r="C908" s="6" t="s">
        <v>136</v>
      </c>
      <c r="D908" s="2" t="s">
        <v>110</v>
      </c>
      <c r="E908" s="2"/>
      <c r="F908" s="35">
        <v>4.6226557908820691</v>
      </c>
      <c r="G908" s="35">
        <v>21.489656692542567</v>
      </c>
      <c r="H908" s="35">
        <v>-6.0536744709199191</v>
      </c>
      <c r="I908" s="35">
        <v>-5.1659286917213132</v>
      </c>
      <c r="J908" s="35">
        <v>1.8423272348527368E-2</v>
      </c>
      <c r="K908" s="35">
        <v>9.3440254008522423</v>
      </c>
      <c r="L908" s="35">
        <v>25.643139978428021</v>
      </c>
      <c r="M908" s="58" t="s">
        <v>24</v>
      </c>
      <c r="N908" s="7">
        <v>9.5</v>
      </c>
      <c r="O908" s="7" t="s">
        <v>178</v>
      </c>
      <c r="P908" s="7" t="s">
        <v>178</v>
      </c>
    </row>
    <row r="909" spans="1:16" x14ac:dyDescent="0.25">
      <c r="A909" s="2" t="s">
        <v>181</v>
      </c>
      <c r="B909" s="2" t="s">
        <v>189</v>
      </c>
      <c r="C909" s="6" t="s">
        <v>136</v>
      </c>
      <c r="D909" s="2" t="s">
        <v>110</v>
      </c>
      <c r="E909" s="2"/>
      <c r="F909" s="35">
        <v>9.2453115817641383</v>
      </c>
      <c r="G909" s="35">
        <v>24.015082890938306</v>
      </c>
      <c r="H909" s="35">
        <v>15.351533168759504</v>
      </c>
      <c r="I909" s="35">
        <v>1.8235268640923747</v>
      </c>
      <c r="J909" s="35">
        <v>1.8423272348527368E-2</v>
      </c>
      <c r="K909" s="35">
        <v>17.0694119828241</v>
      </c>
      <c r="L909" s="35">
        <v>4.1527398022423414</v>
      </c>
      <c r="M909" s="58" t="s">
        <v>23</v>
      </c>
      <c r="N909" s="7">
        <v>9.5</v>
      </c>
      <c r="O909" s="7" t="s">
        <v>178</v>
      </c>
      <c r="P909" s="7" t="s">
        <v>178</v>
      </c>
    </row>
    <row r="910" spans="1:16" x14ac:dyDescent="0.25">
      <c r="A910" s="2" t="s">
        <v>181</v>
      </c>
      <c r="B910" s="2" t="s">
        <v>189</v>
      </c>
      <c r="C910" s="6" t="s">
        <v>136</v>
      </c>
      <c r="D910" s="2" t="s">
        <v>111</v>
      </c>
      <c r="E910" s="2"/>
      <c r="F910" s="35">
        <v>0</v>
      </c>
      <c r="G910" s="35">
        <v>-18.146800874336066</v>
      </c>
      <c r="H910" s="35">
        <v>-20.268980165500945</v>
      </c>
      <c r="I910" s="35">
        <v>-16.709319818262951</v>
      </c>
      <c r="J910" s="35">
        <v>-1.7352783146409551E-2</v>
      </c>
      <c r="K910" s="35">
        <v>-40.936781793037227</v>
      </c>
      <c r="L910" s="35">
        <v>-38.882166732204361</v>
      </c>
      <c r="M910" s="58" t="s">
        <v>22</v>
      </c>
      <c r="N910" s="7">
        <v>9.5</v>
      </c>
      <c r="O910" s="7" t="s">
        <v>178</v>
      </c>
      <c r="P910" s="7" t="s">
        <v>178</v>
      </c>
    </row>
    <row r="911" spans="1:16" x14ac:dyDescent="0.25">
      <c r="A911" s="2" t="s">
        <v>181</v>
      </c>
      <c r="B911" s="2" t="s">
        <v>189</v>
      </c>
      <c r="C911" s="6" t="s">
        <v>136</v>
      </c>
      <c r="D911" s="2" t="s">
        <v>111</v>
      </c>
      <c r="E911" s="2"/>
      <c r="F911" s="35">
        <v>2</v>
      </c>
      <c r="G911" s="35">
        <v>-17.054170874336069</v>
      </c>
      <c r="H911" s="35">
        <v>-13.653980165500943</v>
      </c>
      <c r="I911" s="35">
        <v>-11.333319818262948</v>
      </c>
      <c r="J911" s="35">
        <v>-1.7352783146409551E-2</v>
      </c>
      <c r="K911" s="35">
        <v>-12.894142156511325</v>
      </c>
      <c r="L911" s="35">
        <v>-4.9592064012024721</v>
      </c>
      <c r="M911" s="58" t="s">
        <v>22</v>
      </c>
      <c r="N911" s="7">
        <v>9.5</v>
      </c>
      <c r="O911" s="7" t="s">
        <v>178</v>
      </c>
      <c r="P911" s="7" t="s">
        <v>178</v>
      </c>
    </row>
    <row r="912" spans="1:16" x14ac:dyDescent="0.25">
      <c r="A912" s="2" t="s">
        <v>181</v>
      </c>
      <c r="B912" s="2" t="s">
        <v>189</v>
      </c>
      <c r="C912" s="6" t="s">
        <v>136</v>
      </c>
      <c r="D912" s="2" t="s">
        <v>111</v>
      </c>
      <c r="E912" s="2"/>
      <c r="F912" s="35">
        <v>2</v>
      </c>
      <c r="G912" s="35">
        <v>-16.370552324191685</v>
      </c>
      <c r="H912" s="35">
        <v>-12.945798417676631</v>
      </c>
      <c r="I912" s="35">
        <v>-11.333315212868099</v>
      </c>
      <c r="J912" s="35">
        <v>-1.7371656454271238E-2</v>
      </c>
      <c r="K912" s="35">
        <v>-12.894122024982956</v>
      </c>
      <c r="L912" s="35">
        <v>-4.9592064012024872</v>
      </c>
      <c r="M912" s="58" t="s">
        <v>22</v>
      </c>
      <c r="N912" s="7">
        <v>9.5</v>
      </c>
      <c r="O912" s="7" t="s">
        <v>178</v>
      </c>
      <c r="P912" s="7" t="s">
        <v>178</v>
      </c>
    </row>
    <row r="913" spans="1:16" x14ac:dyDescent="0.25">
      <c r="A913" s="2" t="s">
        <v>181</v>
      </c>
      <c r="B913" s="2" t="s">
        <v>189</v>
      </c>
      <c r="C913" s="6" t="s">
        <v>136</v>
      </c>
      <c r="D913" s="2" t="s">
        <v>111</v>
      </c>
      <c r="E913" s="2"/>
      <c r="F913" s="35">
        <v>4.5</v>
      </c>
      <c r="G913" s="35">
        <v>-15.004764824191685</v>
      </c>
      <c r="H913" s="35">
        <v>-4.6770484176766285</v>
      </c>
      <c r="I913" s="35">
        <v>-4.6133152128681001</v>
      </c>
      <c r="J913" s="35">
        <v>-1.7371656454271238E-2</v>
      </c>
      <c r="K913" s="35">
        <v>7.0391660071872915</v>
      </c>
      <c r="L913" s="35">
        <v>17.069352142989082</v>
      </c>
      <c r="M913" s="58" t="s">
        <v>24</v>
      </c>
      <c r="N913" s="7">
        <v>9.5</v>
      </c>
      <c r="O913" s="7" t="s">
        <v>178</v>
      </c>
      <c r="P913" s="7" t="s">
        <v>178</v>
      </c>
    </row>
    <row r="914" spans="1:16" x14ac:dyDescent="0.25">
      <c r="A914" s="2" t="s">
        <v>181</v>
      </c>
      <c r="B914" s="2" t="s">
        <v>189</v>
      </c>
      <c r="C914" s="6" t="s">
        <v>136</v>
      </c>
      <c r="D914" s="2" t="s">
        <v>111</v>
      </c>
      <c r="E914" s="2"/>
      <c r="F914" s="35">
        <v>4.5</v>
      </c>
      <c r="G914" s="35">
        <v>-14.218639477919925</v>
      </c>
      <c r="H914" s="35">
        <v>-4.6767346009729129</v>
      </c>
      <c r="I914" s="35">
        <v>-4.6363486821901532</v>
      </c>
      <c r="J914" s="35">
        <v>1.147187013219989E-2</v>
      </c>
      <c r="K914" s="35">
        <v>7.0391151352983554</v>
      </c>
      <c r="L914" s="35">
        <v>18.052078257280449</v>
      </c>
      <c r="M914" s="58" t="s">
        <v>24</v>
      </c>
      <c r="N914" s="7">
        <v>9.5</v>
      </c>
      <c r="O914" s="7" t="s">
        <v>178</v>
      </c>
      <c r="P914" s="7" t="s">
        <v>178</v>
      </c>
    </row>
    <row r="915" spans="1:16" x14ac:dyDescent="0.25">
      <c r="A915" s="2" t="s">
        <v>181</v>
      </c>
      <c r="B915" s="2" t="s">
        <v>189</v>
      </c>
      <c r="C915" s="6" t="s">
        <v>136</v>
      </c>
      <c r="D915" s="2" t="s">
        <v>111</v>
      </c>
      <c r="E915" s="2"/>
      <c r="F915" s="35">
        <v>4.6226557908820691</v>
      </c>
      <c r="G915" s="35">
        <v>-14.151630779524188</v>
      </c>
      <c r="H915" s="35">
        <v>-4.2710505726304691</v>
      </c>
      <c r="I915" s="35">
        <v>-4.3066499162991514</v>
      </c>
      <c r="J915" s="35">
        <v>1.147187013219989E-2</v>
      </c>
      <c r="K915" s="35">
        <v>7.5875704182758259</v>
      </c>
      <c r="L915" s="35">
        <v>18.600827090836031</v>
      </c>
      <c r="M915" s="58" t="s">
        <v>24</v>
      </c>
      <c r="N915" s="7">
        <v>9.5</v>
      </c>
      <c r="O915" s="7" t="s">
        <v>178</v>
      </c>
      <c r="P915" s="7" t="s">
        <v>178</v>
      </c>
    </row>
    <row r="916" spans="1:16" x14ac:dyDescent="0.25">
      <c r="A916" s="2" t="s">
        <v>181</v>
      </c>
      <c r="B916" s="2" t="s">
        <v>189</v>
      </c>
      <c r="C916" s="6" t="s">
        <v>136</v>
      </c>
      <c r="D916" s="2" t="s">
        <v>111</v>
      </c>
      <c r="E916" s="2"/>
      <c r="F916" s="35">
        <v>9.2453115817641383</v>
      </c>
      <c r="G916" s="35">
        <v>-11.626204581128453</v>
      </c>
      <c r="H916" s="35">
        <v>11.018383455711975</v>
      </c>
      <c r="I916" s="35">
        <v>8.1190488495918505</v>
      </c>
      <c r="J916" s="35">
        <v>1.147187013219989E-2</v>
      </c>
      <c r="K916" s="35">
        <v>-1.2241335847932286</v>
      </c>
      <c r="L916" s="35">
        <v>3.0055283783431723</v>
      </c>
      <c r="M916" s="58" t="s">
        <v>23</v>
      </c>
      <c r="N916" s="7">
        <v>9.5</v>
      </c>
      <c r="O916" s="7" t="s">
        <v>178</v>
      </c>
      <c r="P916" s="7" t="s">
        <v>178</v>
      </c>
    </row>
    <row r="917" spans="1:16" x14ac:dyDescent="0.25">
      <c r="A917" s="2" t="s">
        <v>181</v>
      </c>
      <c r="B917" s="2" t="s">
        <v>189</v>
      </c>
      <c r="C917" s="6" t="s">
        <v>136</v>
      </c>
      <c r="D917" s="2" t="s">
        <v>112</v>
      </c>
      <c r="E917" s="2"/>
      <c r="F917" s="35">
        <v>0</v>
      </c>
      <c r="G917" s="35">
        <v>35.145132555038039</v>
      </c>
      <c r="H917" s="35">
        <v>16.31413733773363</v>
      </c>
      <c r="I917" s="35">
        <v>16.271704867270774</v>
      </c>
      <c r="J917" s="35">
        <v>1.2749576075597758E-2</v>
      </c>
      <c r="K917" s="35">
        <v>23.714565901411856</v>
      </c>
      <c r="L917" s="35">
        <v>31.208434258290914</v>
      </c>
      <c r="M917" s="58" t="s">
        <v>22</v>
      </c>
      <c r="N917" s="7">
        <v>9.5</v>
      </c>
      <c r="O917" s="7" t="s">
        <v>178</v>
      </c>
      <c r="P917" s="7" t="s">
        <v>178</v>
      </c>
    </row>
    <row r="918" spans="1:16" x14ac:dyDescent="0.25">
      <c r="A918" s="2" t="s">
        <v>181</v>
      </c>
      <c r="B918" s="2" t="s">
        <v>189</v>
      </c>
      <c r="C918" s="6" t="s">
        <v>136</v>
      </c>
      <c r="D918" s="2" t="s">
        <v>112</v>
      </c>
      <c r="E918" s="2"/>
      <c r="F918" s="35">
        <v>2</v>
      </c>
      <c r="G918" s="35">
        <v>36.237762555038039</v>
      </c>
      <c r="H918" s="35">
        <v>13.25233733773363</v>
      </c>
      <c r="I918" s="35">
        <v>8.8629048672707764</v>
      </c>
      <c r="J918" s="35">
        <v>1.2749576075597758E-2</v>
      </c>
      <c r="K918" s="35">
        <v>-1.4200438331296972</v>
      </c>
      <c r="L918" s="35">
        <v>1.6419595828236622</v>
      </c>
      <c r="M918" s="58" t="s">
        <v>22</v>
      </c>
      <c r="N918" s="7">
        <v>9.5</v>
      </c>
      <c r="O918" s="7" t="s">
        <v>178</v>
      </c>
      <c r="P918" s="7" t="s">
        <v>178</v>
      </c>
    </row>
    <row r="919" spans="1:16" x14ac:dyDescent="0.25">
      <c r="A919" s="2" t="s">
        <v>181</v>
      </c>
      <c r="B919" s="2" t="s">
        <v>189</v>
      </c>
      <c r="C919" s="6" t="s">
        <v>136</v>
      </c>
      <c r="D919" s="2" t="s">
        <v>112</v>
      </c>
      <c r="E919" s="2"/>
      <c r="F919" s="35">
        <v>2</v>
      </c>
      <c r="G919" s="35">
        <v>29.532509271432236</v>
      </c>
      <c r="H919" s="35">
        <v>6.0790517137044739</v>
      </c>
      <c r="I919" s="35">
        <v>8.8629192253258466</v>
      </c>
      <c r="J919" s="35">
        <v>1.2749931925739732E-2</v>
      </c>
      <c r="K919" s="35">
        <v>-1.4200442127031576</v>
      </c>
      <c r="L919" s="35">
        <v>1.6419595828236984</v>
      </c>
      <c r="M919" s="58" t="s">
        <v>22</v>
      </c>
      <c r="N919" s="7">
        <v>9.5</v>
      </c>
      <c r="O919" s="7" t="s">
        <v>178</v>
      </c>
      <c r="P919" s="7" t="s">
        <v>178</v>
      </c>
    </row>
    <row r="920" spans="1:16" x14ac:dyDescent="0.25">
      <c r="A920" s="2" t="s">
        <v>181</v>
      </c>
      <c r="B920" s="2" t="s">
        <v>189</v>
      </c>
      <c r="C920" s="6" t="s">
        <v>136</v>
      </c>
      <c r="D920" s="2" t="s">
        <v>112</v>
      </c>
      <c r="E920" s="2"/>
      <c r="F920" s="35">
        <v>4.5</v>
      </c>
      <c r="G920" s="35">
        <v>30.898296771432239</v>
      </c>
      <c r="H920" s="35">
        <v>2.2518017137044728</v>
      </c>
      <c r="I920" s="35">
        <v>-0.39808077467415515</v>
      </c>
      <c r="J920" s="35">
        <v>1.2749931925739732E-2</v>
      </c>
      <c r="K920" s="35">
        <v>-12.00109227601777</v>
      </c>
      <c r="L920" s="35">
        <v>-8.7716072014374848</v>
      </c>
      <c r="M920" s="58" t="s">
        <v>24</v>
      </c>
      <c r="N920" s="7">
        <v>9.5</v>
      </c>
      <c r="O920" s="7" t="s">
        <v>178</v>
      </c>
      <c r="P920" s="7" t="s">
        <v>178</v>
      </c>
    </row>
    <row r="921" spans="1:16" x14ac:dyDescent="0.25">
      <c r="A921" s="2" t="s">
        <v>181</v>
      </c>
      <c r="B921" s="2" t="s">
        <v>189</v>
      </c>
      <c r="C921" s="6" t="s">
        <v>136</v>
      </c>
      <c r="D921" s="2" t="s">
        <v>112</v>
      </c>
      <c r="E921" s="2"/>
      <c r="F921" s="35">
        <v>4.5</v>
      </c>
      <c r="G921" s="35">
        <v>31.684432622987277</v>
      </c>
      <c r="H921" s="35">
        <v>2.2514800025260162</v>
      </c>
      <c r="I921" s="35">
        <v>-0.38162236323765242</v>
      </c>
      <c r="J921" s="35">
        <v>-8.290441013488789E-3</v>
      </c>
      <c r="K921" s="35">
        <v>-12.001095455643988</v>
      </c>
      <c r="L921" s="35">
        <v>-7.7889995649380674</v>
      </c>
      <c r="M921" s="58" t="s">
        <v>24</v>
      </c>
      <c r="N921" s="7">
        <v>9.5</v>
      </c>
      <c r="O921" s="7" t="s">
        <v>178</v>
      </c>
      <c r="P921" s="7" t="s">
        <v>178</v>
      </c>
    </row>
    <row r="922" spans="1:16" x14ac:dyDescent="0.25">
      <c r="A922" s="2" t="s">
        <v>181</v>
      </c>
      <c r="B922" s="2" t="s">
        <v>189</v>
      </c>
      <c r="C922" s="6" t="s">
        <v>136</v>
      </c>
      <c r="D922" s="2" t="s">
        <v>112</v>
      </c>
      <c r="E922" s="2"/>
      <c r="F922" s="35">
        <v>4.6226557908820691</v>
      </c>
      <c r="G922" s="35">
        <v>31.751441321383012</v>
      </c>
      <c r="H922" s="35">
        <v>2.0637062522646565</v>
      </c>
      <c r="I922" s="35">
        <v>-0.83598847498118933</v>
      </c>
      <c r="J922" s="35">
        <v>-8.290441013488789E-3</v>
      </c>
      <c r="K922" s="35">
        <v>-11.926421945469832</v>
      </c>
      <c r="L922" s="35">
        <v>-8.0536408563804613</v>
      </c>
      <c r="M922" s="58" t="s">
        <v>24</v>
      </c>
      <c r="N922" s="7">
        <v>9.5</v>
      </c>
      <c r="O922" s="7" t="s">
        <v>178</v>
      </c>
      <c r="P922" s="7" t="s">
        <v>178</v>
      </c>
    </row>
    <row r="923" spans="1:16" x14ac:dyDescent="0.25">
      <c r="A923" s="2" t="s">
        <v>181</v>
      </c>
      <c r="B923" s="2" t="s">
        <v>189</v>
      </c>
      <c r="C923" s="6" t="s">
        <v>136</v>
      </c>
      <c r="D923" s="2" t="s">
        <v>112</v>
      </c>
      <c r="E923" s="2"/>
      <c r="F923" s="35">
        <v>9.2453115817641383</v>
      </c>
      <c r="G923" s="35">
        <v>34.276867519778747</v>
      </c>
      <c r="H923" s="35">
        <v>-5.0131174979967046</v>
      </c>
      <c r="I923" s="35">
        <v>-17.960154586724727</v>
      </c>
      <c r="J923" s="35">
        <v>-8.290441013488789E-3</v>
      </c>
      <c r="K923" s="35">
        <v>31.517627839751505</v>
      </c>
      <c r="L923" s="35">
        <v>-1.2365843689924869</v>
      </c>
      <c r="M923" s="58" t="s">
        <v>23</v>
      </c>
      <c r="N923" s="7">
        <v>9.5</v>
      </c>
      <c r="O923" s="7" t="s">
        <v>178</v>
      </c>
      <c r="P923" s="7" t="s">
        <v>178</v>
      </c>
    </row>
    <row r="924" spans="1:16" x14ac:dyDescent="0.25">
      <c r="A924" s="2" t="s">
        <v>181</v>
      </c>
      <c r="B924" s="2" t="s">
        <v>189</v>
      </c>
      <c r="C924" s="6" t="s">
        <v>136</v>
      </c>
      <c r="D924" s="2" t="s">
        <v>113</v>
      </c>
      <c r="E924" s="2"/>
      <c r="F924" s="35">
        <v>0</v>
      </c>
      <c r="G924" s="35">
        <v>25.716710998549736</v>
      </c>
      <c r="H924" s="35">
        <v>22.988708147303132</v>
      </c>
      <c r="I924" s="35">
        <v>11.722348097369284</v>
      </c>
      <c r="J924" s="35">
        <v>1.140797292628949E-2</v>
      </c>
      <c r="K924" s="35">
        <v>17.241830760216853</v>
      </c>
      <c r="L924" s="35">
        <v>43.907709636333614</v>
      </c>
      <c r="M924" s="58" t="s">
        <v>22</v>
      </c>
      <c r="N924" s="7">
        <v>9.5</v>
      </c>
      <c r="O924" s="7" t="s">
        <v>178</v>
      </c>
      <c r="P924" s="7" t="s">
        <v>178</v>
      </c>
    </row>
    <row r="925" spans="1:16" x14ac:dyDescent="0.25">
      <c r="A925" s="2" t="s">
        <v>181</v>
      </c>
      <c r="B925" s="2" t="s">
        <v>189</v>
      </c>
      <c r="C925" s="6" t="s">
        <v>136</v>
      </c>
      <c r="D925" s="2" t="s">
        <v>113</v>
      </c>
      <c r="E925" s="2"/>
      <c r="F925" s="35">
        <v>2</v>
      </c>
      <c r="G925" s="35">
        <v>26.809340998549736</v>
      </c>
      <c r="H925" s="35">
        <v>17.545508147303131</v>
      </c>
      <c r="I925" s="35">
        <v>6.4303480973692837</v>
      </c>
      <c r="J925" s="35">
        <v>1.140797292628949E-2</v>
      </c>
      <c r="K925" s="35">
        <v>-0.91086543452171265</v>
      </c>
      <c r="L925" s="35">
        <v>3.3734933417273547</v>
      </c>
      <c r="M925" s="58" t="s">
        <v>22</v>
      </c>
      <c r="N925" s="7">
        <v>9.5</v>
      </c>
      <c r="O925" s="7" t="s">
        <v>178</v>
      </c>
      <c r="P925" s="7" t="s">
        <v>178</v>
      </c>
    </row>
    <row r="926" spans="1:16" x14ac:dyDescent="0.25">
      <c r="A926" s="2" t="s">
        <v>181</v>
      </c>
      <c r="B926" s="2" t="s">
        <v>189</v>
      </c>
      <c r="C926" s="6" t="s">
        <v>136</v>
      </c>
      <c r="D926" s="2" t="s">
        <v>113</v>
      </c>
      <c r="E926" s="2"/>
      <c r="F926" s="35">
        <v>2</v>
      </c>
      <c r="G926" s="35">
        <v>20.481836915702647</v>
      </c>
      <c r="H926" s="35">
        <v>10.775156133484819</v>
      </c>
      <c r="I926" s="35">
        <v>6.4303611398263465</v>
      </c>
      <c r="J926" s="35">
        <v>1.1403190481771021E-2</v>
      </c>
      <c r="K926" s="35">
        <v>-0.91086033324755122</v>
      </c>
      <c r="L926" s="35">
        <v>3.3734933417273973</v>
      </c>
      <c r="M926" s="58" t="s">
        <v>22</v>
      </c>
      <c r="N926" s="7">
        <v>9.5</v>
      </c>
      <c r="O926" s="7" t="s">
        <v>178</v>
      </c>
      <c r="P926" s="7" t="s">
        <v>178</v>
      </c>
    </row>
    <row r="927" spans="1:16" x14ac:dyDescent="0.25">
      <c r="A927" s="2" t="s">
        <v>181</v>
      </c>
      <c r="B927" s="2" t="s">
        <v>189</v>
      </c>
      <c r="C927" s="6" t="s">
        <v>136</v>
      </c>
      <c r="D927" s="2" t="s">
        <v>113</v>
      </c>
      <c r="E927" s="2"/>
      <c r="F927" s="35">
        <v>4.5</v>
      </c>
      <c r="G927" s="35">
        <v>21.847624415702647</v>
      </c>
      <c r="H927" s="35">
        <v>3.971156133484818</v>
      </c>
      <c r="I927" s="35">
        <v>-0.18463886017365391</v>
      </c>
      <c r="J927" s="35">
        <v>1.1403190481771021E-2</v>
      </c>
      <c r="K927" s="35">
        <v>-8.7180131828134151</v>
      </c>
      <c r="L927" s="35">
        <v>-15.059396991984647</v>
      </c>
      <c r="M927" s="58" t="s">
        <v>24</v>
      </c>
      <c r="N927" s="7">
        <v>9.5</v>
      </c>
      <c r="O927" s="7" t="s">
        <v>178</v>
      </c>
      <c r="P927" s="7" t="s">
        <v>178</v>
      </c>
    </row>
    <row r="928" spans="1:16" x14ac:dyDescent="0.25">
      <c r="A928" s="2" t="s">
        <v>181</v>
      </c>
      <c r="B928" s="2" t="s">
        <v>189</v>
      </c>
      <c r="C928" s="6" t="s">
        <v>136</v>
      </c>
      <c r="D928" s="2" t="s">
        <v>113</v>
      </c>
      <c r="E928" s="2"/>
      <c r="F928" s="35">
        <v>4.5</v>
      </c>
      <c r="G928" s="35">
        <v>22.633760103296659</v>
      </c>
      <c r="H928" s="35">
        <v>3.9706125096386264</v>
      </c>
      <c r="I928" s="35">
        <v>-0.17305370779571122</v>
      </c>
      <c r="J928" s="35">
        <v>-4.8065583176468245E-3</v>
      </c>
      <c r="K928" s="35">
        <v>-8.7180164361750805</v>
      </c>
      <c r="L928" s="35">
        <v>-14.076838905212428</v>
      </c>
      <c r="M928" s="58" t="s">
        <v>24</v>
      </c>
      <c r="N928" s="7">
        <v>9.5</v>
      </c>
      <c r="O928" s="7" t="s">
        <v>178</v>
      </c>
      <c r="P928" s="7" t="s">
        <v>178</v>
      </c>
    </row>
    <row r="929" spans="1:16" x14ac:dyDescent="0.25">
      <c r="A929" s="2" t="s">
        <v>181</v>
      </c>
      <c r="B929" s="2" t="s">
        <v>189</v>
      </c>
      <c r="C929" s="6" t="s">
        <v>136</v>
      </c>
      <c r="D929" s="2" t="s">
        <v>113</v>
      </c>
      <c r="E929" s="2"/>
      <c r="F929" s="35">
        <v>4.6226557908820691</v>
      </c>
      <c r="G929" s="35">
        <v>22.700768801692394</v>
      </c>
      <c r="H929" s="35">
        <v>3.6367925091739868</v>
      </c>
      <c r="I929" s="35">
        <v>-0.49760093046966619</v>
      </c>
      <c r="J929" s="35">
        <v>-4.8065583176468245E-3</v>
      </c>
      <c r="K929" s="35">
        <v>-8.6768865986424952</v>
      </c>
      <c r="L929" s="35">
        <v>-14.54338504478377</v>
      </c>
      <c r="M929" s="58" t="s">
        <v>24</v>
      </c>
      <c r="N929" s="7">
        <v>9.5</v>
      </c>
      <c r="O929" s="7" t="s">
        <v>178</v>
      </c>
      <c r="P929" s="7" t="s">
        <v>178</v>
      </c>
    </row>
    <row r="930" spans="1:16" x14ac:dyDescent="0.25">
      <c r="A930" s="2" t="s">
        <v>181</v>
      </c>
      <c r="B930" s="2" t="s">
        <v>189</v>
      </c>
      <c r="C930" s="6" t="s">
        <v>136</v>
      </c>
      <c r="D930" s="2" t="s">
        <v>113</v>
      </c>
      <c r="E930" s="2"/>
      <c r="F930" s="35">
        <v>9.2453115817641383</v>
      </c>
      <c r="G930" s="35">
        <v>25.226195000088133</v>
      </c>
      <c r="H930" s="35">
        <v>-8.9442274912906505</v>
      </c>
      <c r="I930" s="35">
        <v>-12.729148153143619</v>
      </c>
      <c r="J930" s="35">
        <v>-4.8065583176468245E-3</v>
      </c>
      <c r="K930" s="35">
        <v>21.894467524312027</v>
      </c>
      <c r="L930" s="35">
        <v>-2.2761625173779385</v>
      </c>
      <c r="M930" s="58" t="s">
        <v>23</v>
      </c>
      <c r="N930" s="7">
        <v>9.5</v>
      </c>
      <c r="O930" s="7" t="s">
        <v>178</v>
      </c>
      <c r="P930" s="7" t="s">
        <v>178</v>
      </c>
    </row>
    <row r="931" spans="1:16" x14ac:dyDescent="0.25">
      <c r="A931" s="2" t="s">
        <v>181</v>
      </c>
      <c r="B931" s="2" t="s">
        <v>189</v>
      </c>
      <c r="C931" s="6" t="s">
        <v>136</v>
      </c>
      <c r="D931" s="2" t="s">
        <v>114</v>
      </c>
      <c r="E931" s="2"/>
      <c r="F931" s="35">
        <v>0</v>
      </c>
      <c r="G931" s="35">
        <v>-8.349329716528338</v>
      </c>
      <c r="H931" s="35">
        <v>-15.513184844159278</v>
      </c>
      <c r="I931" s="35">
        <v>9.2234120061505838</v>
      </c>
      <c r="J931" s="35">
        <v>8.7464827977494532E-3</v>
      </c>
      <c r="K931" s="35">
        <v>15.107053880718848</v>
      </c>
      <c r="L931" s="35">
        <v>-31.60309530904248</v>
      </c>
      <c r="M931" s="58" t="s">
        <v>22</v>
      </c>
      <c r="N931" s="7">
        <v>9.5</v>
      </c>
      <c r="O931" s="7" t="s">
        <v>178</v>
      </c>
      <c r="P931" s="7" t="s">
        <v>178</v>
      </c>
    </row>
    <row r="932" spans="1:16" x14ac:dyDescent="0.25">
      <c r="A932" s="2" t="s">
        <v>181</v>
      </c>
      <c r="B932" s="2" t="s">
        <v>189</v>
      </c>
      <c r="C932" s="6" t="s">
        <v>136</v>
      </c>
      <c r="D932" s="2" t="s">
        <v>114</v>
      </c>
      <c r="E932" s="2"/>
      <c r="F932" s="35">
        <v>2</v>
      </c>
      <c r="G932" s="35">
        <v>-7.2566997165283373</v>
      </c>
      <c r="H932" s="35">
        <v>-12.451384844159275</v>
      </c>
      <c r="I932" s="35">
        <v>5.4434120061505835</v>
      </c>
      <c r="J932" s="35">
        <v>8.7464827977494532E-3</v>
      </c>
      <c r="K932" s="35">
        <v>0.4402298684176818</v>
      </c>
      <c r="L932" s="35">
        <v>-3.6385256207239247</v>
      </c>
      <c r="M932" s="58" t="s">
        <v>22</v>
      </c>
      <c r="N932" s="7">
        <v>9.5</v>
      </c>
      <c r="O932" s="7" t="s">
        <v>178</v>
      </c>
      <c r="P932" s="7" t="s">
        <v>178</v>
      </c>
    </row>
    <row r="933" spans="1:16" x14ac:dyDescent="0.25">
      <c r="A933" s="2" t="s">
        <v>181</v>
      </c>
      <c r="B933" s="2" t="s">
        <v>189</v>
      </c>
      <c r="C933" s="6" t="s">
        <v>136</v>
      </c>
      <c r="D933" s="2" t="s">
        <v>114</v>
      </c>
      <c r="E933" s="2"/>
      <c r="F933" s="35">
        <v>2</v>
      </c>
      <c r="G933" s="35">
        <v>-1.289174350252251</v>
      </c>
      <c r="H933" s="35">
        <v>-6.1070270970823755</v>
      </c>
      <c r="I933" s="35">
        <v>5.4434132994224109</v>
      </c>
      <c r="J933" s="35">
        <v>8.7372212868480088E-3</v>
      </c>
      <c r="K933" s="35">
        <v>0.44023974736266314</v>
      </c>
      <c r="L933" s="35">
        <v>-3.6385256207239367</v>
      </c>
      <c r="M933" s="58" t="s">
        <v>22</v>
      </c>
      <c r="N933" s="7">
        <v>9.5</v>
      </c>
      <c r="O933" s="7" t="s">
        <v>178</v>
      </c>
      <c r="P933" s="7" t="s">
        <v>178</v>
      </c>
    </row>
    <row r="934" spans="1:16" x14ac:dyDescent="0.25">
      <c r="A934" s="2" t="s">
        <v>181</v>
      </c>
      <c r="B934" s="2" t="s">
        <v>189</v>
      </c>
      <c r="C934" s="6" t="s">
        <v>136</v>
      </c>
      <c r="D934" s="2" t="s">
        <v>114</v>
      </c>
      <c r="E934" s="2"/>
      <c r="F934" s="35">
        <v>4.5</v>
      </c>
      <c r="G934" s="35">
        <v>7.6613149747749035E-2</v>
      </c>
      <c r="H934" s="35">
        <v>-2.2797770970823752</v>
      </c>
      <c r="I934" s="35">
        <v>0.71841329942241017</v>
      </c>
      <c r="J934" s="35">
        <v>8.7372212868480088E-3</v>
      </c>
      <c r="K934" s="35">
        <v>-7.2620435011933617</v>
      </c>
      <c r="L934" s="35">
        <v>6.8449796219820014</v>
      </c>
      <c r="M934" s="58" t="s">
        <v>24</v>
      </c>
      <c r="N934" s="7">
        <v>9.5</v>
      </c>
      <c r="O934" s="7" t="s">
        <v>178</v>
      </c>
      <c r="P934" s="7" t="s">
        <v>178</v>
      </c>
    </row>
    <row r="935" spans="1:16" x14ac:dyDescent="0.25">
      <c r="A935" s="2" t="s">
        <v>181</v>
      </c>
      <c r="B935" s="2" t="s">
        <v>189</v>
      </c>
      <c r="C935" s="6" t="s">
        <v>136</v>
      </c>
      <c r="D935" s="2" t="s">
        <v>114</v>
      </c>
      <c r="E935" s="2"/>
      <c r="F935" s="35">
        <v>4.5</v>
      </c>
      <c r="G935" s="35">
        <v>0.86274968331185287</v>
      </c>
      <c r="H935" s="35">
        <v>-2.2796821037527812</v>
      </c>
      <c r="I935" s="35">
        <v>0.73500515486107931</v>
      </c>
      <c r="J935" s="35">
        <v>-1.0654811806168051E-2</v>
      </c>
      <c r="K935" s="35">
        <v>-7.2620402397889308</v>
      </c>
      <c r="L935" s="35">
        <v>7.8277103670851416</v>
      </c>
      <c r="M935" s="58" t="s">
        <v>24</v>
      </c>
      <c r="N935" s="7">
        <v>9.5</v>
      </c>
      <c r="O935" s="7" t="s">
        <v>178</v>
      </c>
      <c r="P935" s="7" t="s">
        <v>178</v>
      </c>
    </row>
    <row r="936" spans="1:16" x14ac:dyDescent="0.25">
      <c r="A936" s="2" t="s">
        <v>181</v>
      </c>
      <c r="B936" s="2" t="s">
        <v>189</v>
      </c>
      <c r="C936" s="6" t="s">
        <v>136</v>
      </c>
      <c r="D936" s="2" t="s">
        <v>114</v>
      </c>
      <c r="E936" s="2"/>
      <c r="F936" s="35">
        <v>4.6226557908820691</v>
      </c>
      <c r="G936" s="35">
        <v>0.92975838170758995</v>
      </c>
      <c r="H936" s="35">
        <v>-2.0919083534914216</v>
      </c>
      <c r="I936" s="35">
        <v>0.50318571009396862</v>
      </c>
      <c r="J936" s="35">
        <v>-1.0654811806168051E-2</v>
      </c>
      <c r="K936" s="35">
        <v>-7.337975879690938</v>
      </c>
      <c r="L936" s="35">
        <v>8.0958108095580386</v>
      </c>
      <c r="M936" s="58" t="s">
        <v>24</v>
      </c>
      <c r="N936" s="7">
        <v>9.5</v>
      </c>
      <c r="O936" s="7" t="s">
        <v>178</v>
      </c>
      <c r="P936" s="7" t="s">
        <v>178</v>
      </c>
    </row>
    <row r="937" spans="1:16" x14ac:dyDescent="0.25">
      <c r="A937" s="2" t="s">
        <v>181</v>
      </c>
      <c r="B937" s="2" t="s">
        <v>189</v>
      </c>
      <c r="C937" s="6" t="s">
        <v>136</v>
      </c>
      <c r="D937" s="2" t="s">
        <v>114</v>
      </c>
      <c r="E937" s="2"/>
      <c r="F937" s="35">
        <v>9.2453115817641383</v>
      </c>
      <c r="G937" s="35">
        <v>3.4551845801033281</v>
      </c>
      <c r="H937" s="35">
        <v>4.9849153967699387</v>
      </c>
      <c r="I937" s="35">
        <v>-8.233633734673143</v>
      </c>
      <c r="J937" s="35">
        <v>-1.0654811806168051E-2</v>
      </c>
      <c r="K937" s="35">
        <v>10.529624283775943</v>
      </c>
      <c r="L937" s="35">
        <v>1.4091229287210161</v>
      </c>
      <c r="M937" s="58" t="s">
        <v>23</v>
      </c>
      <c r="N937" s="7">
        <v>9.5</v>
      </c>
      <c r="O937" s="7" t="s">
        <v>178</v>
      </c>
      <c r="P937" s="7" t="s">
        <v>178</v>
      </c>
    </row>
    <row r="938" spans="1:16" x14ac:dyDescent="0.25">
      <c r="A938" s="2" t="s">
        <v>181</v>
      </c>
      <c r="B938" s="2" t="s">
        <v>189</v>
      </c>
      <c r="C938" s="6" t="s">
        <v>136</v>
      </c>
      <c r="D938" s="2" t="s">
        <v>115</v>
      </c>
      <c r="E938" s="2"/>
      <c r="F938" s="35">
        <v>0</v>
      </c>
      <c r="G938" s="35">
        <v>-17.474482532110226</v>
      </c>
      <c r="H938" s="35">
        <v>-8.8418069306425178</v>
      </c>
      <c r="I938" s="35">
        <v>4.6376059273574786</v>
      </c>
      <c r="J938" s="35">
        <v>7.1733024310429829E-3</v>
      </c>
      <c r="K938" s="35">
        <v>8.5197559788308368</v>
      </c>
      <c r="L938" s="35">
        <v>-18.913019715901946</v>
      </c>
      <c r="M938" s="58" t="s">
        <v>22</v>
      </c>
      <c r="N938" s="7">
        <v>9.5</v>
      </c>
      <c r="O938" s="7" t="s">
        <v>178</v>
      </c>
      <c r="P938" s="7" t="s">
        <v>178</v>
      </c>
    </row>
    <row r="939" spans="1:16" x14ac:dyDescent="0.25">
      <c r="A939" s="2" t="s">
        <v>181</v>
      </c>
      <c r="B939" s="2" t="s">
        <v>189</v>
      </c>
      <c r="C939" s="6" t="s">
        <v>136</v>
      </c>
      <c r="D939" s="2" t="s">
        <v>115</v>
      </c>
      <c r="E939" s="2"/>
      <c r="F939" s="35">
        <v>2</v>
      </c>
      <c r="G939" s="35">
        <v>-16.381852532110226</v>
      </c>
      <c r="H939" s="35">
        <v>-8.1614069306425172</v>
      </c>
      <c r="I939" s="35">
        <v>2.9744059273574779</v>
      </c>
      <c r="J939" s="35">
        <v>7.1733024310429829E-3</v>
      </c>
      <c r="K939" s="35">
        <v>0.90774412411588024</v>
      </c>
      <c r="L939" s="35">
        <v>-1.9098058546169148</v>
      </c>
      <c r="M939" s="58" t="s">
        <v>22</v>
      </c>
      <c r="N939" s="7">
        <v>9.5</v>
      </c>
      <c r="O939" s="7" t="s">
        <v>178</v>
      </c>
      <c r="P939" s="7" t="s">
        <v>178</v>
      </c>
    </row>
    <row r="940" spans="1:16" x14ac:dyDescent="0.25">
      <c r="A940" s="2" t="s">
        <v>181</v>
      </c>
      <c r="B940" s="2" t="s">
        <v>189</v>
      </c>
      <c r="C940" s="6" t="s">
        <v>136</v>
      </c>
      <c r="D940" s="2" t="s">
        <v>115</v>
      </c>
      <c r="E940" s="2"/>
      <c r="F940" s="35">
        <v>2</v>
      </c>
      <c r="G940" s="35">
        <v>-10.033941113579088</v>
      </c>
      <c r="H940" s="35">
        <v>-1.4113029187827453</v>
      </c>
      <c r="I940" s="35">
        <v>2.9744060274384259</v>
      </c>
      <c r="J940" s="35">
        <v>7.1590575912176425E-3</v>
      </c>
      <c r="K940" s="35">
        <v>0.90775931861170744</v>
      </c>
      <c r="L940" s="35">
        <v>-1.9098058546169148</v>
      </c>
      <c r="M940" s="58" t="s">
        <v>22</v>
      </c>
      <c r="N940" s="7">
        <v>9.5</v>
      </c>
      <c r="O940" s="7" t="s">
        <v>178</v>
      </c>
      <c r="P940" s="7" t="s">
        <v>178</v>
      </c>
    </row>
    <row r="941" spans="1:16" x14ac:dyDescent="0.25">
      <c r="A941" s="2" t="s">
        <v>181</v>
      </c>
      <c r="B941" s="2" t="s">
        <v>189</v>
      </c>
      <c r="C941" s="6" t="s">
        <v>136</v>
      </c>
      <c r="D941" s="2" t="s">
        <v>115</v>
      </c>
      <c r="E941" s="2"/>
      <c r="F941" s="35">
        <v>4.5</v>
      </c>
      <c r="G941" s="35">
        <v>-8.6681536135790864</v>
      </c>
      <c r="H941" s="35">
        <v>-0.56080291878274535</v>
      </c>
      <c r="I941" s="35">
        <v>0.89540602743842557</v>
      </c>
      <c r="J941" s="35">
        <v>7.1590575912176425E-3</v>
      </c>
      <c r="K941" s="35">
        <v>-3.9295057499843566</v>
      </c>
      <c r="L941" s="35">
        <v>0.55532644233994854</v>
      </c>
      <c r="M941" s="58" t="s">
        <v>24</v>
      </c>
      <c r="N941" s="7">
        <v>9.5</v>
      </c>
      <c r="O941" s="7" t="s">
        <v>178</v>
      </c>
      <c r="P941" s="7" t="s">
        <v>178</v>
      </c>
    </row>
    <row r="942" spans="1:16" x14ac:dyDescent="0.25">
      <c r="A942" s="2" t="s">
        <v>181</v>
      </c>
      <c r="B942" s="2" t="s">
        <v>189</v>
      </c>
      <c r="C942" s="6" t="s">
        <v>136</v>
      </c>
      <c r="D942" s="2" t="s">
        <v>115</v>
      </c>
      <c r="E942" s="2"/>
      <c r="F942" s="35">
        <v>4.5</v>
      </c>
      <c r="G942" s="35">
        <v>-7.8820172485915743</v>
      </c>
      <c r="H942" s="35">
        <v>-0.56092633156763816</v>
      </c>
      <c r="I942" s="35">
        <v>0.90676919053993466</v>
      </c>
      <c r="J942" s="35">
        <v>-6.9626724826762024E-3</v>
      </c>
      <c r="K942" s="35">
        <v>-3.9295026984307362</v>
      </c>
      <c r="L942" s="35">
        <v>1.5380076004274246</v>
      </c>
      <c r="M942" s="58" t="s">
        <v>24</v>
      </c>
      <c r="N942" s="7">
        <v>9.5</v>
      </c>
      <c r="O942" s="7" t="s">
        <v>178</v>
      </c>
      <c r="P942" s="7" t="s">
        <v>178</v>
      </c>
    </row>
    <row r="943" spans="1:16" x14ac:dyDescent="0.25">
      <c r="A943" s="2" t="s">
        <v>181</v>
      </c>
      <c r="B943" s="2" t="s">
        <v>189</v>
      </c>
      <c r="C943" s="6" t="s">
        <v>136</v>
      </c>
      <c r="D943" s="2" t="s">
        <v>115</v>
      </c>
      <c r="E943" s="2"/>
      <c r="F943" s="35">
        <v>4.6226557908820691</v>
      </c>
      <c r="G943" s="35">
        <v>-7.8150085501958371</v>
      </c>
      <c r="H943" s="35">
        <v>-0.51919883150955826</v>
      </c>
      <c r="I943" s="35">
        <v>0.80476863484240591</v>
      </c>
      <c r="J943" s="35">
        <v>-6.9626724826762024E-3</v>
      </c>
      <c r="K943" s="35">
        <v>-4.0344677112291594</v>
      </c>
      <c r="L943" s="35">
        <v>1.6042494034918533</v>
      </c>
      <c r="M943" s="58" t="s">
        <v>24</v>
      </c>
      <c r="N943" s="7">
        <v>9.5</v>
      </c>
      <c r="O943" s="7" t="s">
        <v>178</v>
      </c>
      <c r="P943" s="7" t="s">
        <v>178</v>
      </c>
    </row>
    <row r="944" spans="1:16" x14ac:dyDescent="0.25">
      <c r="A944" s="2" t="s">
        <v>181</v>
      </c>
      <c r="B944" s="2" t="s">
        <v>189</v>
      </c>
      <c r="C944" s="6" t="s">
        <v>136</v>
      </c>
      <c r="D944" s="2" t="s">
        <v>115</v>
      </c>
      <c r="E944" s="2"/>
      <c r="F944" s="35">
        <v>9.2453115817641383</v>
      </c>
      <c r="G944" s="35">
        <v>-5.2895823518000986</v>
      </c>
      <c r="H944" s="35">
        <v>1.0534286685485215</v>
      </c>
      <c r="I944" s="35">
        <v>-3.0394319208551228</v>
      </c>
      <c r="J944" s="35">
        <v>-6.9626724826762024E-3</v>
      </c>
      <c r="K944" s="35">
        <v>1.130571878649959</v>
      </c>
      <c r="L944" s="35">
        <v>0.36946907856677957</v>
      </c>
      <c r="M944" s="58" t="s">
        <v>23</v>
      </c>
      <c r="N944" s="7">
        <v>9.5</v>
      </c>
      <c r="O944" s="7" t="s">
        <v>178</v>
      </c>
      <c r="P944" s="7" t="s">
        <v>178</v>
      </c>
    </row>
    <row r="945" spans="1:16" x14ac:dyDescent="0.25">
      <c r="A945" s="2" t="s">
        <v>181</v>
      </c>
      <c r="B945" s="2" t="s">
        <v>189</v>
      </c>
      <c r="C945" s="6" t="s">
        <v>136</v>
      </c>
      <c r="D945" s="2" t="s">
        <v>116</v>
      </c>
      <c r="E945" s="2"/>
      <c r="F945" s="35">
        <v>0</v>
      </c>
      <c r="G945" s="35">
        <v>-2.4301717059043852</v>
      </c>
      <c r="H945" s="35">
        <v>-17.91569019029189</v>
      </c>
      <c r="I945" s="35">
        <v>8.395869413862906</v>
      </c>
      <c r="J945" s="35">
        <v>3.6079607804742758E-3</v>
      </c>
      <c r="K945" s="35">
        <v>19.259818193426433</v>
      </c>
      <c r="L945" s="35">
        <v>-34.74183465003096</v>
      </c>
      <c r="M945" s="58" t="s">
        <v>22</v>
      </c>
      <c r="N945" s="7">
        <v>9.5</v>
      </c>
      <c r="O945" s="7" t="s">
        <v>178</v>
      </c>
      <c r="P945" s="7" t="s">
        <v>178</v>
      </c>
    </row>
    <row r="946" spans="1:16" x14ac:dyDescent="0.25">
      <c r="A946" s="2" t="s">
        <v>181</v>
      </c>
      <c r="B946" s="2" t="s">
        <v>189</v>
      </c>
      <c r="C946" s="6" t="s">
        <v>136</v>
      </c>
      <c r="D946" s="2" t="s">
        <v>116</v>
      </c>
      <c r="E946" s="2"/>
      <c r="F946" s="35">
        <v>2</v>
      </c>
      <c r="G946" s="35">
        <v>-1.3375417059043846</v>
      </c>
      <c r="H946" s="35">
        <v>-11.96219019029189</v>
      </c>
      <c r="I946" s="35">
        <v>5.5230694138629053</v>
      </c>
      <c r="J946" s="35">
        <v>3.6079607804742758E-3</v>
      </c>
      <c r="K946" s="35">
        <v>5.3408793657006219</v>
      </c>
      <c r="L946" s="35">
        <v>-4.8639542694471816</v>
      </c>
      <c r="M946" s="58" t="s">
        <v>22</v>
      </c>
      <c r="N946" s="7">
        <v>9.5</v>
      </c>
      <c r="O946" s="7" t="s">
        <v>178</v>
      </c>
      <c r="P946" s="7" t="s">
        <v>178</v>
      </c>
    </row>
    <row r="947" spans="1:16" x14ac:dyDescent="0.25">
      <c r="A947" s="2" t="s">
        <v>181</v>
      </c>
      <c r="B947" s="2" t="s">
        <v>189</v>
      </c>
      <c r="C947" s="6" t="s">
        <v>136</v>
      </c>
      <c r="D947" s="2" t="s">
        <v>116</v>
      </c>
      <c r="E947" s="2"/>
      <c r="F947" s="35">
        <v>2</v>
      </c>
      <c r="G947" s="35">
        <v>-1.065196821004494</v>
      </c>
      <c r="H947" s="35">
        <v>-11.692699963437541</v>
      </c>
      <c r="I947" s="35">
        <v>5.5230632953316308</v>
      </c>
      <c r="J947" s="35">
        <v>3.6120737158891417E-3</v>
      </c>
      <c r="K947" s="35">
        <v>5.3408749785695449</v>
      </c>
      <c r="L947" s="35">
        <v>-4.8639542694471878</v>
      </c>
      <c r="M947" s="58" t="s">
        <v>22</v>
      </c>
      <c r="N947" s="7">
        <v>9.5</v>
      </c>
      <c r="O947" s="7" t="s">
        <v>178</v>
      </c>
      <c r="P947" s="7" t="s">
        <v>178</v>
      </c>
    </row>
    <row r="948" spans="1:16" x14ac:dyDescent="0.25">
      <c r="A948" s="2" t="s">
        <v>181</v>
      </c>
      <c r="B948" s="2" t="s">
        <v>189</v>
      </c>
      <c r="C948" s="6" t="s">
        <v>136</v>
      </c>
      <c r="D948" s="2" t="s">
        <v>116</v>
      </c>
      <c r="E948" s="2"/>
      <c r="F948" s="35">
        <v>4.5</v>
      </c>
      <c r="G948" s="35">
        <v>0.30059067899550601</v>
      </c>
      <c r="H948" s="35">
        <v>-4.2508249634375401</v>
      </c>
      <c r="I948" s="35">
        <v>1.9320632953316299</v>
      </c>
      <c r="J948" s="35">
        <v>3.6120737158891417E-3</v>
      </c>
      <c r="K948" s="35">
        <v>-3.9780332597595298</v>
      </c>
      <c r="L948" s="35">
        <v>15.065451889146663</v>
      </c>
      <c r="M948" s="58" t="s">
        <v>24</v>
      </c>
      <c r="N948" s="7">
        <v>9.5</v>
      </c>
      <c r="O948" s="7" t="s">
        <v>178</v>
      </c>
      <c r="P948" s="7" t="s">
        <v>178</v>
      </c>
    </row>
    <row r="949" spans="1:16" x14ac:dyDescent="0.25">
      <c r="A949" s="2" t="s">
        <v>181</v>
      </c>
      <c r="B949" s="2" t="s">
        <v>189</v>
      </c>
      <c r="C949" s="6" t="s">
        <v>136</v>
      </c>
      <c r="D949" s="2" t="s">
        <v>116</v>
      </c>
      <c r="E949" s="2"/>
      <c r="F949" s="35">
        <v>4.5</v>
      </c>
      <c r="G949" s="35">
        <v>1.0867315551879053</v>
      </c>
      <c r="H949" s="35">
        <v>-4.2502661770397019</v>
      </c>
      <c r="I949" s="35">
        <v>1.9446698020183877</v>
      </c>
      <c r="J949" s="35">
        <v>-8.9515675295055077E-3</v>
      </c>
      <c r="K949" s="35">
        <v>-3.9780107219074101</v>
      </c>
      <c r="L949" s="35">
        <v>16.048251054898792</v>
      </c>
      <c r="M949" s="58" t="s">
        <v>24</v>
      </c>
      <c r="N949" s="7">
        <v>9.5</v>
      </c>
      <c r="O949" s="7" t="s">
        <v>178</v>
      </c>
      <c r="P949" s="7" t="s">
        <v>178</v>
      </c>
    </row>
    <row r="950" spans="1:16" x14ac:dyDescent="0.25">
      <c r="A950" s="2" t="s">
        <v>181</v>
      </c>
      <c r="B950" s="2" t="s">
        <v>189</v>
      </c>
      <c r="C950" s="6" t="s">
        <v>136</v>
      </c>
      <c r="D950" s="2" t="s">
        <v>116</v>
      </c>
      <c r="E950" s="2"/>
      <c r="F950" s="35">
        <v>4.6226557908820691</v>
      </c>
      <c r="G950" s="35">
        <v>1.1537402535836425</v>
      </c>
      <c r="H950" s="35">
        <v>-3.8851505515315017</v>
      </c>
      <c r="I950" s="35">
        <v>1.7684870239953836</v>
      </c>
      <c r="J950" s="35">
        <v>-8.9515675295055077E-3</v>
      </c>
      <c r="K950" s="35">
        <v>-4.2057308154893471</v>
      </c>
      <c r="L950" s="35">
        <v>16.54717904139785</v>
      </c>
      <c r="M950" s="58" t="s">
        <v>24</v>
      </c>
      <c r="N950" s="7">
        <v>9.5</v>
      </c>
      <c r="O950" s="7" t="s">
        <v>178</v>
      </c>
      <c r="P950" s="7" t="s">
        <v>178</v>
      </c>
    </row>
    <row r="951" spans="1:16" x14ac:dyDescent="0.25">
      <c r="A951" s="2" t="s">
        <v>181</v>
      </c>
      <c r="B951" s="2" t="s">
        <v>189</v>
      </c>
      <c r="C951" s="6" t="s">
        <v>136</v>
      </c>
      <c r="D951" s="2" t="s">
        <v>116</v>
      </c>
      <c r="E951" s="2"/>
      <c r="F951" s="35">
        <v>9.2453115817641383</v>
      </c>
      <c r="G951" s="35">
        <v>3.6791664519793805</v>
      </c>
      <c r="H951" s="35">
        <v>9.8753400739766981</v>
      </c>
      <c r="I951" s="35">
        <v>-4.8714957540276211</v>
      </c>
      <c r="J951" s="35">
        <v>-8.9515675295055077E-3</v>
      </c>
      <c r="K951" s="35">
        <v>2.9663398220312196</v>
      </c>
      <c r="L951" s="35">
        <v>2.7018868991916607</v>
      </c>
      <c r="M951" s="58" t="s">
        <v>23</v>
      </c>
      <c r="N951" s="7">
        <v>9.5</v>
      </c>
      <c r="O951" s="7" t="s">
        <v>178</v>
      </c>
      <c r="P951" s="7" t="s">
        <v>178</v>
      </c>
    </row>
    <row r="952" spans="1:16" x14ac:dyDescent="0.25">
      <c r="A952" s="2" t="s">
        <v>181</v>
      </c>
      <c r="B952" s="2" t="s">
        <v>189</v>
      </c>
      <c r="C952" s="6" t="s">
        <v>136</v>
      </c>
      <c r="D952" s="2" t="s">
        <v>117</v>
      </c>
      <c r="E952" s="2"/>
      <c r="F952" s="35">
        <v>0</v>
      </c>
      <c r="G952" s="35">
        <v>-16.205829276454516</v>
      </c>
      <c r="H952" s="35">
        <v>-12.008808167250406</v>
      </c>
      <c r="I952" s="35">
        <v>5.9689879616625952</v>
      </c>
      <c r="J952" s="35">
        <v>3.7588908033543886E-3</v>
      </c>
      <c r="K952" s="35">
        <v>23.800877547663955</v>
      </c>
      <c r="L952" s="35">
        <v>-23.67181910845585</v>
      </c>
      <c r="M952" s="58" t="s">
        <v>22</v>
      </c>
      <c r="N952" s="7">
        <v>9.5</v>
      </c>
      <c r="O952" s="7" t="s">
        <v>178</v>
      </c>
      <c r="P952" s="7" t="s">
        <v>178</v>
      </c>
    </row>
    <row r="953" spans="1:16" x14ac:dyDescent="0.25">
      <c r="A953" s="2" t="s">
        <v>181</v>
      </c>
      <c r="B953" s="2" t="s">
        <v>189</v>
      </c>
      <c r="C953" s="6" t="s">
        <v>136</v>
      </c>
      <c r="D953" s="2" t="s">
        <v>117</v>
      </c>
      <c r="E953" s="2"/>
      <c r="F953" s="35">
        <v>2</v>
      </c>
      <c r="G953" s="35">
        <v>-15.113199276454516</v>
      </c>
      <c r="H953" s="35">
        <v>-8.4367081672504067</v>
      </c>
      <c r="I953" s="35">
        <v>5.2129879616625967</v>
      </c>
      <c r="J953" s="35">
        <v>3.7588908033543886E-3</v>
      </c>
      <c r="K953" s="35">
        <v>12.618901624338761</v>
      </c>
      <c r="L953" s="35">
        <v>-3.2263027739550338</v>
      </c>
      <c r="M953" s="58" t="s">
        <v>22</v>
      </c>
      <c r="N953" s="7">
        <v>9.5</v>
      </c>
      <c r="O953" s="7" t="s">
        <v>178</v>
      </c>
      <c r="P953" s="7" t="s">
        <v>178</v>
      </c>
    </row>
    <row r="954" spans="1:16" x14ac:dyDescent="0.25">
      <c r="A954" s="2" t="s">
        <v>181</v>
      </c>
      <c r="B954" s="2" t="s">
        <v>189</v>
      </c>
      <c r="C954" s="6" t="s">
        <v>136</v>
      </c>
      <c r="D954" s="2" t="s">
        <v>117</v>
      </c>
      <c r="E954" s="2"/>
      <c r="F954" s="35">
        <v>2</v>
      </c>
      <c r="G954" s="35">
        <v>-13.755097347304673</v>
      </c>
      <c r="H954" s="35">
        <v>-7.009074951535947</v>
      </c>
      <c r="I954" s="35">
        <v>5.2129769658302587</v>
      </c>
      <c r="J954" s="35">
        <v>3.7704167284582754E-3</v>
      </c>
      <c r="K954" s="35">
        <v>12.618889330018671</v>
      </c>
      <c r="L954" s="35">
        <v>-3.2263027739550432</v>
      </c>
      <c r="M954" s="58" t="s">
        <v>22</v>
      </c>
      <c r="N954" s="7">
        <v>9.5</v>
      </c>
      <c r="O954" s="7" t="s">
        <v>178</v>
      </c>
      <c r="P954" s="7" t="s">
        <v>178</v>
      </c>
    </row>
    <row r="955" spans="1:16" x14ac:dyDescent="0.25">
      <c r="A955" s="2" t="s">
        <v>181</v>
      </c>
      <c r="B955" s="2" t="s">
        <v>189</v>
      </c>
      <c r="C955" s="6" t="s">
        <v>136</v>
      </c>
      <c r="D955" s="2" t="s">
        <v>117</v>
      </c>
      <c r="E955" s="2"/>
      <c r="F955" s="35">
        <v>4.5</v>
      </c>
      <c r="G955" s="35">
        <v>-12.389309847304673</v>
      </c>
      <c r="H955" s="35">
        <v>-2.5439499515359474</v>
      </c>
      <c r="I955" s="35">
        <v>4.2679769658302575</v>
      </c>
      <c r="J955" s="35">
        <v>3.7704167284582754E-3</v>
      </c>
      <c r="K955" s="35">
        <v>0.76769691544302721</v>
      </c>
      <c r="L955" s="35">
        <v>8.7149783548848259</v>
      </c>
      <c r="M955" s="58" t="s">
        <v>24</v>
      </c>
      <c r="N955" s="7">
        <v>9.5</v>
      </c>
      <c r="O955" s="7" t="s">
        <v>178</v>
      </c>
      <c r="P955" s="7" t="s">
        <v>178</v>
      </c>
    </row>
    <row r="956" spans="1:16" x14ac:dyDescent="0.25">
      <c r="A956" s="2" t="s">
        <v>181</v>
      </c>
      <c r="B956" s="2" t="s">
        <v>189</v>
      </c>
      <c r="C956" s="6" t="s">
        <v>136</v>
      </c>
      <c r="D956" s="2" t="s">
        <v>117</v>
      </c>
      <c r="E956" s="2"/>
      <c r="F956" s="35">
        <v>4.5</v>
      </c>
      <c r="G956" s="35">
        <v>-11.603163665459835</v>
      </c>
      <c r="H956" s="35">
        <v>-2.5436418374953389</v>
      </c>
      <c r="I956" s="35">
        <v>4.2778618109572095</v>
      </c>
      <c r="J956" s="35">
        <v>-6.6566331435738589E-3</v>
      </c>
      <c r="K956" s="35">
        <v>0.76774487443538919</v>
      </c>
      <c r="L956" s="35">
        <v>9.6977329622002557</v>
      </c>
      <c r="M956" s="58" t="s">
        <v>24</v>
      </c>
      <c r="N956" s="7">
        <v>9.5</v>
      </c>
      <c r="O956" s="7" t="s">
        <v>178</v>
      </c>
      <c r="P956" s="7" t="s">
        <v>178</v>
      </c>
    </row>
    <row r="957" spans="1:16" x14ac:dyDescent="0.25">
      <c r="A957" s="2" t="s">
        <v>181</v>
      </c>
      <c r="B957" s="2" t="s">
        <v>189</v>
      </c>
      <c r="C957" s="6" t="s">
        <v>136</v>
      </c>
      <c r="D957" s="2" t="s">
        <v>117</v>
      </c>
      <c r="E957" s="2"/>
      <c r="F957" s="35">
        <v>4.6226557908820691</v>
      </c>
      <c r="G957" s="35">
        <v>-11.536154967064098</v>
      </c>
      <c r="H957" s="35">
        <v>-2.3245724621904191</v>
      </c>
      <c r="I957" s="35">
        <v>4.2314979220037872</v>
      </c>
      <c r="J957" s="35">
        <v>-6.6566331435738589E-3</v>
      </c>
      <c r="K957" s="35">
        <v>0.24588375046220787</v>
      </c>
      <c r="L957" s="35">
        <v>9.9962902997559322</v>
      </c>
      <c r="M957" s="58" t="s">
        <v>24</v>
      </c>
      <c r="N957" s="7">
        <v>9.5</v>
      </c>
      <c r="O957" s="7" t="s">
        <v>178</v>
      </c>
      <c r="P957" s="7" t="s">
        <v>178</v>
      </c>
    </row>
    <row r="958" spans="1:16" x14ac:dyDescent="0.25">
      <c r="A958" s="2" t="s">
        <v>181</v>
      </c>
      <c r="B958" s="2" t="s">
        <v>189</v>
      </c>
      <c r="C958" s="6" t="s">
        <v>136</v>
      </c>
      <c r="D958" s="2" t="s">
        <v>117</v>
      </c>
      <c r="E958" s="2"/>
      <c r="F958" s="35">
        <v>9.2453115817641383</v>
      </c>
      <c r="G958" s="35">
        <v>-9.0107287686683595</v>
      </c>
      <c r="H958" s="35">
        <v>5.9317219131145</v>
      </c>
      <c r="I958" s="35">
        <v>2.4841340330503647</v>
      </c>
      <c r="J958" s="35">
        <v>-6.6566331435738589E-3</v>
      </c>
      <c r="K958" s="35">
        <v>-15.276143722769662</v>
      </c>
      <c r="L958" s="35">
        <v>1.6589851508102926</v>
      </c>
      <c r="M958" s="58" t="s">
        <v>23</v>
      </c>
      <c r="N958" s="7">
        <v>9.5</v>
      </c>
      <c r="O958" s="7" t="s">
        <v>178</v>
      </c>
      <c r="P958" s="7" t="s">
        <v>178</v>
      </c>
    </row>
    <row r="959" spans="1:16" x14ac:dyDescent="0.25">
      <c r="A959" s="2" t="s">
        <v>181</v>
      </c>
      <c r="B959" s="2" t="s">
        <v>189</v>
      </c>
      <c r="C959" s="6" t="s">
        <v>136</v>
      </c>
      <c r="D959" s="2" t="s">
        <v>118</v>
      </c>
      <c r="E959" s="2"/>
      <c r="F959" s="35">
        <v>0</v>
      </c>
      <c r="G959" s="35">
        <v>9.3088615426986934</v>
      </c>
      <c r="H959" s="35">
        <v>-24.258555262424984</v>
      </c>
      <c r="I959" s="35">
        <v>-10.094754767362877</v>
      </c>
      <c r="J959" s="35">
        <v>-2.1475143165643234E-2</v>
      </c>
      <c r="K959" s="35">
        <v>-24.879956108182039</v>
      </c>
      <c r="L959" s="35">
        <v>-46.601450271817356</v>
      </c>
      <c r="M959" s="58" t="s">
        <v>22</v>
      </c>
      <c r="N959" s="7">
        <v>9.5</v>
      </c>
      <c r="O959" s="7" t="s">
        <v>178</v>
      </c>
      <c r="P959" s="7" t="s">
        <v>178</v>
      </c>
    </row>
    <row r="960" spans="1:16" x14ac:dyDescent="0.25">
      <c r="A960" s="2" t="s">
        <v>181</v>
      </c>
      <c r="B960" s="2" t="s">
        <v>189</v>
      </c>
      <c r="C960" s="6" t="s">
        <v>136</v>
      </c>
      <c r="D960" s="2" t="s">
        <v>118</v>
      </c>
      <c r="E960" s="2"/>
      <c r="F960" s="35">
        <v>2</v>
      </c>
      <c r="G960" s="35">
        <v>10.401491542698693</v>
      </c>
      <c r="H960" s="35">
        <v>-15.923655262424985</v>
      </c>
      <c r="I960" s="35">
        <v>-7.3731547673628777</v>
      </c>
      <c r="J960" s="35">
        <v>-2.1475143165643234E-2</v>
      </c>
      <c r="K960" s="35">
        <v>-7.4120465734562879</v>
      </c>
      <c r="L960" s="35">
        <v>-6.4192397469673885</v>
      </c>
      <c r="M960" s="58" t="s">
        <v>22</v>
      </c>
      <c r="N960" s="7">
        <v>9.5</v>
      </c>
      <c r="O960" s="7" t="s">
        <v>178</v>
      </c>
      <c r="P960" s="7" t="s">
        <v>178</v>
      </c>
    </row>
    <row r="961" spans="1:16" x14ac:dyDescent="0.25">
      <c r="A961" s="2" t="s">
        <v>181</v>
      </c>
      <c r="B961" s="2" t="s">
        <v>189</v>
      </c>
      <c r="C961" s="6" t="s">
        <v>136</v>
      </c>
      <c r="D961" s="2" t="s">
        <v>118</v>
      </c>
      <c r="E961" s="2"/>
      <c r="F961" s="35">
        <v>2</v>
      </c>
      <c r="G961" s="35">
        <v>10.00695440549516</v>
      </c>
      <c r="H961" s="35">
        <v>-16.365507514969252</v>
      </c>
      <c r="I961" s="35">
        <v>-7.3731519019679821</v>
      </c>
      <c r="J961" s="35">
        <v>-2.145290500499461E-2</v>
      </c>
      <c r="K961" s="35">
        <v>-7.4120702941610279</v>
      </c>
      <c r="L961" s="35">
        <v>-6.4192397469674507</v>
      </c>
      <c r="M961" s="58" t="s">
        <v>22</v>
      </c>
      <c r="N961" s="7">
        <v>9.5</v>
      </c>
      <c r="O961" s="7" t="s">
        <v>178</v>
      </c>
      <c r="P961" s="7" t="s">
        <v>178</v>
      </c>
    </row>
    <row r="962" spans="1:16" x14ac:dyDescent="0.25">
      <c r="A962" s="2" t="s">
        <v>181</v>
      </c>
      <c r="B962" s="2" t="s">
        <v>189</v>
      </c>
      <c r="C962" s="6" t="s">
        <v>136</v>
      </c>
      <c r="D962" s="2" t="s">
        <v>118</v>
      </c>
      <c r="E962" s="2"/>
      <c r="F962" s="35">
        <v>4.5</v>
      </c>
      <c r="G962" s="35">
        <v>11.372741905495161</v>
      </c>
      <c r="H962" s="35">
        <v>-5.9468825149692508</v>
      </c>
      <c r="I962" s="35">
        <v>-3.9711519019679828</v>
      </c>
      <c r="J962" s="35">
        <v>-2.145290500499461E-2</v>
      </c>
      <c r="K962" s="35">
        <v>6.7683094607589283</v>
      </c>
      <c r="L962" s="35">
        <v>21.471247790455674</v>
      </c>
      <c r="M962" s="58" t="s">
        <v>24</v>
      </c>
      <c r="N962" s="7">
        <v>9.5</v>
      </c>
      <c r="O962" s="7" t="s">
        <v>178</v>
      </c>
      <c r="P962" s="7" t="s">
        <v>178</v>
      </c>
    </row>
    <row r="963" spans="1:16" x14ac:dyDescent="0.25">
      <c r="A963" s="2" t="s">
        <v>181</v>
      </c>
      <c r="B963" s="2" t="s">
        <v>189</v>
      </c>
      <c r="C963" s="6" t="s">
        <v>136</v>
      </c>
      <c r="D963" s="2" t="s">
        <v>118</v>
      </c>
      <c r="E963" s="2"/>
      <c r="F963" s="35">
        <v>4.5</v>
      </c>
      <c r="G963" s="35">
        <v>12.158873365886953</v>
      </c>
      <c r="H963" s="35">
        <v>-5.9462597165673516</v>
      </c>
      <c r="I963" s="35">
        <v>-3.9978904474385035</v>
      </c>
      <c r="J963" s="35">
        <v>1.3185261249983793E-2</v>
      </c>
      <c r="K963" s="35">
        <v>6.7682823939071284</v>
      </c>
      <c r="L963" s="35">
        <v>22.454024244470695</v>
      </c>
      <c r="M963" s="58" t="s">
        <v>24</v>
      </c>
      <c r="N963" s="7">
        <v>9.5</v>
      </c>
      <c r="O963" s="7" t="s">
        <v>178</v>
      </c>
      <c r="P963" s="7" t="s">
        <v>178</v>
      </c>
    </row>
    <row r="964" spans="1:16" x14ac:dyDescent="0.25">
      <c r="A964" s="2" t="s">
        <v>181</v>
      </c>
      <c r="B964" s="2" t="s">
        <v>189</v>
      </c>
      <c r="C964" s="6" t="s">
        <v>136</v>
      </c>
      <c r="D964" s="2" t="s">
        <v>118</v>
      </c>
      <c r="E964" s="2"/>
      <c r="F964" s="35">
        <v>4.6226557908820691</v>
      </c>
      <c r="G964" s="35">
        <v>12.22588206428269</v>
      </c>
      <c r="H964" s="35">
        <v>-5.435097840855871</v>
      </c>
      <c r="I964" s="35">
        <v>-3.8309804472061835</v>
      </c>
      <c r="J964" s="35">
        <v>1.3185261249983793E-2</v>
      </c>
      <c r="K964" s="35">
        <v>7.2484105695552561</v>
      </c>
      <c r="L964" s="35">
        <v>23.152018950729374</v>
      </c>
      <c r="M964" s="58" t="s">
        <v>24</v>
      </c>
      <c r="N964" s="7">
        <v>9.5</v>
      </c>
      <c r="O964" s="7" t="s">
        <v>178</v>
      </c>
      <c r="P964" s="7" t="s">
        <v>178</v>
      </c>
    </row>
    <row r="965" spans="1:16" x14ac:dyDescent="0.25">
      <c r="A965" s="2" t="s">
        <v>181</v>
      </c>
      <c r="B965" s="2" t="s">
        <v>189</v>
      </c>
      <c r="C965" s="6" t="s">
        <v>136</v>
      </c>
      <c r="D965" s="2" t="s">
        <v>118</v>
      </c>
      <c r="E965" s="2"/>
      <c r="F965" s="35">
        <v>9.2453115817641383</v>
      </c>
      <c r="G965" s="35">
        <v>14.751308262678428</v>
      </c>
      <c r="H965" s="35">
        <v>13.829589034855609</v>
      </c>
      <c r="I965" s="35">
        <v>2.459529553026135</v>
      </c>
      <c r="J965" s="35">
        <v>1.3185261249983793E-2</v>
      </c>
      <c r="K965" s="35">
        <v>10.418283278501152</v>
      </c>
      <c r="L965" s="35">
        <v>3.7495972860036684</v>
      </c>
      <c r="M965" s="58" t="s">
        <v>23</v>
      </c>
      <c r="N965" s="7">
        <v>9.5</v>
      </c>
      <c r="O965" s="7" t="s">
        <v>178</v>
      </c>
      <c r="P965" s="7" t="s">
        <v>178</v>
      </c>
    </row>
    <row r="966" spans="1:16" x14ac:dyDescent="0.25">
      <c r="A966" s="2" t="s">
        <v>181</v>
      </c>
      <c r="B966" s="2" t="s">
        <v>189</v>
      </c>
      <c r="C966" s="6" t="s">
        <v>136</v>
      </c>
      <c r="D966" s="2" t="s">
        <v>119</v>
      </c>
      <c r="E966" s="2"/>
      <c r="F966" s="35">
        <v>0</v>
      </c>
      <c r="G966" s="35">
        <v>-24.297865420440043</v>
      </c>
      <c r="H966" s="35">
        <v>-18.781141836572449</v>
      </c>
      <c r="I966" s="35">
        <v>-14.225863213911218</v>
      </c>
      <c r="J966" s="35">
        <v>-1.1764162677571858E-2</v>
      </c>
      <c r="K966" s="35">
        <v>-34.247602547973955</v>
      </c>
      <c r="L966" s="35">
        <v>-36.062345849010256</v>
      </c>
      <c r="M966" s="58" t="s">
        <v>22</v>
      </c>
      <c r="N966" s="7">
        <v>9.5</v>
      </c>
      <c r="O966" s="7" t="s">
        <v>178</v>
      </c>
      <c r="P966" s="7" t="s">
        <v>178</v>
      </c>
    </row>
    <row r="967" spans="1:16" x14ac:dyDescent="0.25">
      <c r="A967" s="2" t="s">
        <v>181</v>
      </c>
      <c r="B967" s="2" t="s">
        <v>189</v>
      </c>
      <c r="C967" s="6" t="s">
        <v>136</v>
      </c>
      <c r="D967" s="2" t="s">
        <v>119</v>
      </c>
      <c r="E967" s="2"/>
      <c r="F967" s="35">
        <v>2</v>
      </c>
      <c r="G967" s="35">
        <v>-23.205235420440044</v>
      </c>
      <c r="H967" s="35">
        <v>-12.827641836572447</v>
      </c>
      <c r="I967" s="35">
        <v>-9.3874632139112162</v>
      </c>
      <c r="J967" s="35">
        <v>-1.1764162677571858E-2</v>
      </c>
      <c r="K967" s="35">
        <v>-10.634276120151517</v>
      </c>
      <c r="L967" s="35">
        <v>-4.4535621758653656</v>
      </c>
      <c r="M967" s="58" t="s">
        <v>22</v>
      </c>
      <c r="N967" s="7">
        <v>9.5</v>
      </c>
      <c r="O967" s="7" t="s">
        <v>178</v>
      </c>
      <c r="P967" s="7" t="s">
        <v>178</v>
      </c>
    </row>
    <row r="968" spans="1:16" x14ac:dyDescent="0.25">
      <c r="A968" s="2" t="s">
        <v>181</v>
      </c>
      <c r="B968" s="2" t="s">
        <v>189</v>
      </c>
      <c r="C968" s="6" t="s">
        <v>136</v>
      </c>
      <c r="D968" s="2" t="s">
        <v>119</v>
      </c>
      <c r="E968" s="2"/>
      <c r="F968" s="35">
        <v>2</v>
      </c>
      <c r="G968" s="35">
        <v>-22.070199559457187</v>
      </c>
      <c r="H968" s="35">
        <v>-11.637947585456622</v>
      </c>
      <c r="I968" s="35">
        <v>-9.3874603177100973</v>
      </c>
      <c r="J968" s="35">
        <v>-1.1797309821071222E-2</v>
      </c>
      <c r="K968" s="35">
        <v>-10.634240763198461</v>
      </c>
      <c r="L968" s="35">
        <v>-4.4535621758653789</v>
      </c>
      <c r="M968" s="58" t="s">
        <v>22</v>
      </c>
      <c r="N968" s="7">
        <v>9.5</v>
      </c>
      <c r="O968" s="7" t="s">
        <v>178</v>
      </c>
      <c r="P968" s="7" t="s">
        <v>178</v>
      </c>
    </row>
    <row r="969" spans="1:16" x14ac:dyDescent="0.25">
      <c r="A969" s="2" t="s">
        <v>181</v>
      </c>
      <c r="B969" s="2" t="s">
        <v>189</v>
      </c>
      <c r="C969" s="6" t="s">
        <v>136</v>
      </c>
      <c r="D969" s="2" t="s">
        <v>119</v>
      </c>
      <c r="E969" s="2"/>
      <c r="F969" s="35">
        <v>4.5</v>
      </c>
      <c r="G969" s="35">
        <v>-20.704412059457187</v>
      </c>
      <c r="H969" s="35">
        <v>-4.1960725854566219</v>
      </c>
      <c r="I969" s="35">
        <v>-3.3394603177100972</v>
      </c>
      <c r="J969" s="35">
        <v>-1.1797309821071222E-2</v>
      </c>
      <c r="K969" s="35">
        <v>5.2744100310767816</v>
      </c>
      <c r="L969" s="35">
        <v>15.338963037776177</v>
      </c>
      <c r="M969" s="58" t="s">
        <v>24</v>
      </c>
      <c r="N969" s="7">
        <v>9.5</v>
      </c>
      <c r="O969" s="7" t="s">
        <v>178</v>
      </c>
      <c r="P969" s="7" t="s">
        <v>178</v>
      </c>
    </row>
    <row r="970" spans="1:16" x14ac:dyDescent="0.25">
      <c r="A970" s="2" t="s">
        <v>181</v>
      </c>
      <c r="B970" s="2" t="s">
        <v>189</v>
      </c>
      <c r="C970" s="6" t="s">
        <v>136</v>
      </c>
      <c r="D970" s="2" t="s">
        <v>119</v>
      </c>
      <c r="E970" s="2"/>
      <c r="F970" s="35">
        <v>4.5</v>
      </c>
      <c r="G970" s="35">
        <v>-19.918285358973129</v>
      </c>
      <c r="H970" s="35">
        <v>-4.1958519579035665</v>
      </c>
      <c r="I970" s="35">
        <v>-3.3543584386281404</v>
      </c>
      <c r="J970" s="35">
        <v>6.928999255289065E-3</v>
      </c>
      <c r="K970" s="35">
        <v>5.2743673563420463</v>
      </c>
      <c r="L970" s="35">
        <v>16.321683584480901</v>
      </c>
      <c r="M970" s="58" t="s">
        <v>24</v>
      </c>
      <c r="N970" s="7">
        <v>9.5</v>
      </c>
      <c r="O970" s="7" t="s">
        <v>178</v>
      </c>
      <c r="P970" s="7" t="s">
        <v>178</v>
      </c>
    </row>
    <row r="971" spans="1:16" x14ac:dyDescent="0.25">
      <c r="A971" s="2" t="s">
        <v>181</v>
      </c>
      <c r="B971" s="2" t="s">
        <v>189</v>
      </c>
      <c r="C971" s="6" t="s">
        <v>136</v>
      </c>
      <c r="D971" s="2" t="s">
        <v>119</v>
      </c>
      <c r="E971" s="2"/>
      <c r="F971" s="35">
        <v>4.6226557908820691</v>
      </c>
      <c r="G971" s="35">
        <v>-19.851276660577394</v>
      </c>
      <c r="H971" s="35">
        <v>-3.8307363323953667</v>
      </c>
      <c r="I971" s="35">
        <v>-3.0576295493262382</v>
      </c>
      <c r="J971" s="35">
        <v>6.928999255289065E-3</v>
      </c>
      <c r="K971" s="35">
        <v>5.6676010852364804</v>
      </c>
      <c r="L971" s="35">
        <v>16.813937351896588</v>
      </c>
      <c r="M971" s="58" t="s">
        <v>24</v>
      </c>
      <c r="N971" s="7">
        <v>9.5</v>
      </c>
      <c r="O971" s="7" t="s">
        <v>178</v>
      </c>
      <c r="P971" s="7" t="s">
        <v>178</v>
      </c>
    </row>
    <row r="972" spans="1:16" x14ac:dyDescent="0.25">
      <c r="A972" s="2" t="s">
        <v>181</v>
      </c>
      <c r="B972" s="2" t="s">
        <v>189</v>
      </c>
      <c r="C972" s="6" t="s">
        <v>136</v>
      </c>
      <c r="D972" s="2" t="s">
        <v>119</v>
      </c>
      <c r="E972" s="2"/>
      <c r="F972" s="35">
        <v>9.2453115817641383</v>
      </c>
      <c r="G972" s="35">
        <v>-17.325850462181656</v>
      </c>
      <c r="H972" s="35">
        <v>9.9297542931128344</v>
      </c>
      <c r="I972" s="35">
        <v>8.1254993399756632</v>
      </c>
      <c r="J972" s="35">
        <v>6.928999255289065E-3</v>
      </c>
      <c r="K972" s="35">
        <v>-6.045907732354447</v>
      </c>
      <c r="L972" s="35">
        <v>2.7171070044944163</v>
      </c>
      <c r="M972" s="58" t="s">
        <v>23</v>
      </c>
      <c r="N972" s="7">
        <v>9.5</v>
      </c>
      <c r="O972" s="7" t="s">
        <v>178</v>
      </c>
      <c r="P972" s="7" t="s">
        <v>178</v>
      </c>
    </row>
    <row r="973" spans="1:16" x14ac:dyDescent="0.25">
      <c r="A973" s="2" t="s">
        <v>181</v>
      </c>
      <c r="B973" s="2" t="s">
        <v>189</v>
      </c>
      <c r="C973" s="6" t="s">
        <v>136</v>
      </c>
      <c r="D973" s="2" t="s">
        <v>120</v>
      </c>
      <c r="E973" s="2"/>
      <c r="F973" s="35">
        <v>0</v>
      </c>
      <c r="G973" s="35">
        <v>41.738784543255939</v>
      </c>
      <c r="H973" s="35">
        <v>18.289970587844291</v>
      </c>
      <c r="I973" s="35">
        <v>17.863921508258176</v>
      </c>
      <c r="J973" s="35">
        <v>1.3161221208946314E-2</v>
      </c>
      <c r="K973" s="35">
        <v>25.655595906239345</v>
      </c>
      <c r="L973" s="35">
        <v>35.066527123994618</v>
      </c>
      <c r="M973" s="58" t="s">
        <v>22</v>
      </c>
      <c r="N973" s="7">
        <v>9.5</v>
      </c>
      <c r="O973" s="7" t="s">
        <v>178</v>
      </c>
      <c r="P973" s="7" t="s">
        <v>178</v>
      </c>
    </row>
    <row r="974" spans="1:16" x14ac:dyDescent="0.25">
      <c r="A974" s="2" t="s">
        <v>181</v>
      </c>
      <c r="B974" s="2" t="s">
        <v>189</v>
      </c>
      <c r="C974" s="6" t="s">
        <v>136</v>
      </c>
      <c r="D974" s="2" t="s">
        <v>120</v>
      </c>
      <c r="E974" s="2"/>
      <c r="F974" s="35">
        <v>2</v>
      </c>
      <c r="G974" s="35">
        <v>42.831414543255939</v>
      </c>
      <c r="H974" s="35">
        <v>14.88797058784429</v>
      </c>
      <c r="I974" s="35">
        <v>9.6319215082581735</v>
      </c>
      <c r="J974" s="35">
        <v>1.3161221208946314E-2</v>
      </c>
      <c r="K974" s="35">
        <v>-1.8402471102770002</v>
      </c>
      <c r="L974" s="35">
        <v>1.8885859483060319</v>
      </c>
      <c r="M974" s="58" t="s">
        <v>22</v>
      </c>
      <c r="N974" s="7">
        <v>9.5</v>
      </c>
      <c r="O974" s="7" t="s">
        <v>178</v>
      </c>
      <c r="P974" s="7" t="s">
        <v>178</v>
      </c>
    </row>
    <row r="975" spans="1:16" x14ac:dyDescent="0.25">
      <c r="A975" s="2" t="s">
        <v>181</v>
      </c>
      <c r="B975" s="2" t="s">
        <v>189</v>
      </c>
      <c r="C975" s="6" t="s">
        <v>136</v>
      </c>
      <c r="D975" s="2" t="s">
        <v>120</v>
      </c>
      <c r="E975" s="2"/>
      <c r="F975" s="35">
        <v>2</v>
      </c>
      <c r="G975" s="35">
        <v>35.221608321780899</v>
      </c>
      <c r="H975" s="35">
        <v>6.7498276418705556</v>
      </c>
      <c r="I975" s="35">
        <v>9.6319377811548463</v>
      </c>
      <c r="J975" s="35">
        <v>1.3165826840660921E-2</v>
      </c>
      <c r="K975" s="35">
        <v>-1.8402520229508035</v>
      </c>
      <c r="L975" s="35">
        <v>1.888585948306073</v>
      </c>
      <c r="M975" s="58" t="s">
        <v>22</v>
      </c>
      <c r="N975" s="7">
        <v>9.5</v>
      </c>
      <c r="O975" s="7" t="s">
        <v>178</v>
      </c>
      <c r="P975" s="7" t="s">
        <v>178</v>
      </c>
    </row>
    <row r="976" spans="1:16" x14ac:dyDescent="0.25">
      <c r="A976" s="2" t="s">
        <v>181</v>
      </c>
      <c r="B976" s="2" t="s">
        <v>189</v>
      </c>
      <c r="C976" s="6" t="s">
        <v>136</v>
      </c>
      <c r="D976" s="2" t="s">
        <v>120</v>
      </c>
      <c r="E976" s="2"/>
      <c r="F976" s="35">
        <v>4.5</v>
      </c>
      <c r="G976" s="35">
        <v>36.587395821780895</v>
      </c>
      <c r="H976" s="35">
        <v>2.4973276418705552</v>
      </c>
      <c r="I976" s="35">
        <v>-0.65806221884515625</v>
      </c>
      <c r="J976" s="35">
        <v>1.3165826840660921E-2</v>
      </c>
      <c r="K976" s="35">
        <v>-13.057596475837913</v>
      </c>
      <c r="L976" s="35">
        <v>-9.6703581563703143</v>
      </c>
      <c r="M976" s="58" t="s">
        <v>24</v>
      </c>
      <c r="N976" s="7">
        <v>9.5</v>
      </c>
      <c r="O976" s="7" t="s">
        <v>178</v>
      </c>
      <c r="P976" s="7" t="s">
        <v>178</v>
      </c>
    </row>
    <row r="977" spans="1:16" x14ac:dyDescent="0.25">
      <c r="A977" s="2" t="s">
        <v>181</v>
      </c>
      <c r="B977" s="2" t="s">
        <v>189</v>
      </c>
      <c r="C977" s="6" t="s">
        <v>136</v>
      </c>
      <c r="D977" s="2" t="s">
        <v>120</v>
      </c>
      <c r="E977" s="2"/>
      <c r="F977" s="35">
        <v>4.5</v>
      </c>
      <c r="G977" s="35">
        <v>37.373531583000542</v>
      </c>
      <c r="H977" s="35">
        <v>2.4969839191693772</v>
      </c>
      <c r="I977" s="35">
        <v>-0.64130399539673466</v>
      </c>
      <c r="J977" s="35">
        <v>-8.3273490695310298E-3</v>
      </c>
      <c r="K977" s="35">
        <v>-13.057600777102119</v>
      </c>
      <c r="L977" s="35">
        <v>-8.6877574163930245</v>
      </c>
      <c r="M977" s="58" t="s">
        <v>24</v>
      </c>
      <c r="N977" s="7">
        <v>9.5</v>
      </c>
      <c r="O977" s="7" t="s">
        <v>178</v>
      </c>
      <c r="P977" s="7" t="s">
        <v>178</v>
      </c>
    </row>
    <row r="978" spans="1:16" x14ac:dyDescent="0.25">
      <c r="A978" s="2" t="s">
        <v>181</v>
      </c>
      <c r="B978" s="2" t="s">
        <v>189</v>
      </c>
      <c r="C978" s="6" t="s">
        <v>136</v>
      </c>
      <c r="D978" s="2" t="s">
        <v>120</v>
      </c>
      <c r="E978" s="2"/>
      <c r="F978" s="35">
        <v>4.6226557908820691</v>
      </c>
      <c r="G978" s="35">
        <v>37.440540281396281</v>
      </c>
      <c r="H978" s="35">
        <v>2.2883464188789771</v>
      </c>
      <c r="I978" s="35">
        <v>-1.146155230667331</v>
      </c>
      <c r="J978" s="35">
        <v>-8.3273490695310298E-3</v>
      </c>
      <c r="K978" s="35">
        <v>-12.94797966458095</v>
      </c>
      <c r="L978" s="35">
        <v>-8.9812316550156659</v>
      </c>
      <c r="M978" s="58" t="s">
        <v>24</v>
      </c>
      <c r="N978" s="7">
        <v>9.5</v>
      </c>
      <c r="O978" s="7" t="s">
        <v>178</v>
      </c>
      <c r="P978" s="7" t="s">
        <v>178</v>
      </c>
    </row>
    <row r="979" spans="1:16" x14ac:dyDescent="0.25">
      <c r="A979" s="2" t="s">
        <v>181</v>
      </c>
      <c r="B979" s="2" t="s">
        <v>189</v>
      </c>
      <c r="C979" s="6" t="s">
        <v>136</v>
      </c>
      <c r="D979" s="2" t="s">
        <v>120</v>
      </c>
      <c r="E979" s="2"/>
      <c r="F979" s="35">
        <v>9.2453115817641383</v>
      </c>
      <c r="G979" s="35">
        <v>39.965966479792016</v>
      </c>
      <c r="H979" s="35">
        <v>-5.5747910814114228</v>
      </c>
      <c r="I979" s="35">
        <v>-20.173006465937924</v>
      </c>
      <c r="J979" s="35">
        <v>-8.3273490695310298E-3</v>
      </c>
      <c r="K979" s="35">
        <v>36.327593472200796</v>
      </c>
      <c r="L979" s="35">
        <v>-1.3851804296811285</v>
      </c>
      <c r="M979" s="58" t="s">
        <v>23</v>
      </c>
      <c r="N979" s="7">
        <v>9.5</v>
      </c>
      <c r="O979" s="7" t="s">
        <v>178</v>
      </c>
      <c r="P979" s="7" t="s">
        <v>178</v>
      </c>
    </row>
    <row r="980" spans="1:16" x14ac:dyDescent="0.25">
      <c r="A980" s="2" t="s">
        <v>181</v>
      </c>
      <c r="B980" s="2" t="s">
        <v>189</v>
      </c>
      <c r="C980" s="6" t="s">
        <v>136</v>
      </c>
      <c r="D980" s="2" t="s">
        <v>121</v>
      </c>
      <c r="E980" s="2"/>
      <c r="F980" s="35">
        <v>0</v>
      </c>
      <c r="G980" s="35">
        <v>31.262760591602273</v>
      </c>
      <c r="H980" s="35">
        <v>25.706160376254847</v>
      </c>
      <c r="I980" s="35">
        <v>12.809080652812071</v>
      </c>
      <c r="J980" s="35">
        <v>1.1670551043048238E-2</v>
      </c>
      <c r="K980" s="35">
        <v>18.463667971578236</v>
      </c>
      <c r="L980" s="35">
        <v>49.176833099597609</v>
      </c>
      <c r="M980" s="58" t="s">
        <v>22</v>
      </c>
      <c r="N980" s="7">
        <v>9.5</v>
      </c>
      <c r="O980" s="7" t="s">
        <v>178</v>
      </c>
      <c r="P980" s="7" t="s">
        <v>178</v>
      </c>
    </row>
    <row r="981" spans="1:16" x14ac:dyDescent="0.25">
      <c r="A981" s="2" t="s">
        <v>181</v>
      </c>
      <c r="B981" s="2" t="s">
        <v>189</v>
      </c>
      <c r="C981" s="6" t="s">
        <v>136</v>
      </c>
      <c r="D981" s="2" t="s">
        <v>121</v>
      </c>
      <c r="E981" s="2"/>
      <c r="F981" s="35">
        <v>2</v>
      </c>
      <c r="G981" s="35">
        <v>32.355390591602273</v>
      </c>
      <c r="H981" s="35">
        <v>19.658160376254848</v>
      </c>
      <c r="I981" s="35">
        <v>6.9290806528120727</v>
      </c>
      <c r="J981" s="35">
        <v>1.1670551043048238E-2</v>
      </c>
      <c r="K981" s="35">
        <v>-1.2744933340459064</v>
      </c>
      <c r="L981" s="35">
        <v>3.8125123470879125</v>
      </c>
      <c r="M981" s="58" t="s">
        <v>22</v>
      </c>
      <c r="N981" s="7">
        <v>9.5</v>
      </c>
      <c r="O981" s="7" t="s">
        <v>178</v>
      </c>
      <c r="P981" s="7" t="s">
        <v>178</v>
      </c>
    </row>
    <row r="982" spans="1:16" x14ac:dyDescent="0.25">
      <c r="A982" s="2" t="s">
        <v>181</v>
      </c>
      <c r="B982" s="2" t="s">
        <v>189</v>
      </c>
      <c r="C982" s="6" t="s">
        <v>136</v>
      </c>
      <c r="D982" s="2" t="s">
        <v>121</v>
      </c>
      <c r="E982" s="2"/>
      <c r="F982" s="35">
        <v>2</v>
      </c>
      <c r="G982" s="35">
        <v>25.165305704303574</v>
      </c>
      <c r="H982" s="35">
        <v>11.967721441626495</v>
      </c>
      <c r="I982" s="35">
        <v>6.9290954639331783</v>
      </c>
      <c r="J982" s="35">
        <v>1.1669447458473464E-2</v>
      </c>
      <c r="K982" s="35">
        <v>-1.2744921568890188</v>
      </c>
      <c r="L982" s="35">
        <v>3.8125123470879601</v>
      </c>
      <c r="M982" s="58" t="s">
        <v>22</v>
      </c>
      <c r="N982" s="7">
        <v>9.5</v>
      </c>
      <c r="O982" s="7" t="s">
        <v>178</v>
      </c>
      <c r="P982" s="7" t="s">
        <v>178</v>
      </c>
    </row>
    <row r="983" spans="1:16" x14ac:dyDescent="0.25">
      <c r="A983" s="2" t="s">
        <v>181</v>
      </c>
      <c r="B983" s="2" t="s">
        <v>189</v>
      </c>
      <c r="C983" s="6" t="s">
        <v>136</v>
      </c>
      <c r="D983" s="2" t="s">
        <v>121</v>
      </c>
      <c r="E983" s="2"/>
      <c r="F983" s="35">
        <v>4.5</v>
      </c>
      <c r="G983" s="35">
        <v>26.531093204303573</v>
      </c>
      <c r="H983" s="35">
        <v>4.407721441626494</v>
      </c>
      <c r="I983" s="35">
        <v>-0.42090453606682166</v>
      </c>
      <c r="J983" s="35">
        <v>1.1669447458473464E-2</v>
      </c>
      <c r="K983" s="35">
        <v>-9.4097308167219627</v>
      </c>
      <c r="L983" s="35">
        <v>-16.656791256978273</v>
      </c>
      <c r="M983" s="58" t="s">
        <v>24</v>
      </c>
      <c r="N983" s="7">
        <v>9.5</v>
      </c>
      <c r="O983" s="7" t="s">
        <v>178</v>
      </c>
      <c r="P983" s="7" t="s">
        <v>178</v>
      </c>
    </row>
    <row r="984" spans="1:16" x14ac:dyDescent="0.25">
      <c r="A984" s="2" t="s">
        <v>181</v>
      </c>
      <c r="B984" s="2" t="s">
        <v>189</v>
      </c>
      <c r="C984" s="6" t="s">
        <v>136</v>
      </c>
      <c r="D984" s="2" t="s">
        <v>121</v>
      </c>
      <c r="E984" s="2"/>
      <c r="F984" s="35">
        <v>4.5</v>
      </c>
      <c r="G984" s="35">
        <v>27.317228783344298</v>
      </c>
      <c r="H984" s="35">
        <v>4.4071311492944991</v>
      </c>
      <c r="I984" s="35">
        <v>-0.40956104490568868</v>
      </c>
      <c r="J984" s="35">
        <v>-4.4563682963732918E-3</v>
      </c>
      <c r="K984" s="35">
        <v>-9.4097351999144436</v>
      </c>
      <c r="L984" s="35">
        <v>-15.674245572253424</v>
      </c>
      <c r="M984" s="58" t="s">
        <v>24</v>
      </c>
      <c r="N984" s="7">
        <v>9.5</v>
      </c>
      <c r="O984" s="7" t="s">
        <v>178</v>
      </c>
      <c r="P984" s="7" t="s">
        <v>178</v>
      </c>
    </row>
    <row r="985" spans="1:16" x14ac:dyDescent="0.25">
      <c r="A985" s="2" t="s">
        <v>181</v>
      </c>
      <c r="B985" s="2" t="s">
        <v>189</v>
      </c>
      <c r="C985" s="6" t="s">
        <v>136</v>
      </c>
      <c r="D985" s="2" t="s">
        <v>121</v>
      </c>
      <c r="E985" s="2"/>
      <c r="F985" s="35">
        <v>4.6226557908820691</v>
      </c>
      <c r="G985" s="35">
        <v>27.384237481740037</v>
      </c>
      <c r="H985" s="35">
        <v>4.036220037667122</v>
      </c>
      <c r="I985" s="35">
        <v>-0.77016907009897184</v>
      </c>
      <c r="J985" s="35">
        <v>-4.4563682963732918E-3</v>
      </c>
      <c r="K985" s="35">
        <v>-9.3373848347727986</v>
      </c>
      <c r="L985" s="35">
        <v>-16.192058531019342</v>
      </c>
      <c r="M985" s="58" t="s">
        <v>24</v>
      </c>
      <c r="N985" s="7">
        <v>9.5</v>
      </c>
      <c r="O985" s="7" t="s">
        <v>178</v>
      </c>
      <c r="P985" s="7" t="s">
        <v>178</v>
      </c>
    </row>
    <row r="986" spans="1:16" x14ac:dyDescent="0.25">
      <c r="A986" s="2" t="s">
        <v>181</v>
      </c>
      <c r="B986" s="2" t="s">
        <v>189</v>
      </c>
      <c r="C986" s="6" t="s">
        <v>136</v>
      </c>
      <c r="D986" s="2" t="s">
        <v>121</v>
      </c>
      <c r="E986" s="2"/>
      <c r="F986" s="35">
        <v>9.2453115817641383</v>
      </c>
      <c r="G986" s="35">
        <v>29.909663680135772</v>
      </c>
      <c r="H986" s="35">
        <v>-9.942691073960253</v>
      </c>
      <c r="I986" s="35">
        <v>-14.360777095292253</v>
      </c>
      <c r="J986" s="35">
        <v>-4.4563682963732918E-3</v>
      </c>
      <c r="K986" s="35">
        <v>25.635193121712483</v>
      </c>
      <c r="L986" s="35">
        <v>-2.540267261220519</v>
      </c>
      <c r="M986" s="58" t="s">
        <v>23</v>
      </c>
      <c r="N986" s="7">
        <v>9.5</v>
      </c>
      <c r="O986" s="7" t="s">
        <v>178</v>
      </c>
      <c r="P986" s="7" t="s">
        <v>178</v>
      </c>
    </row>
    <row r="987" spans="1:16" x14ac:dyDescent="0.25">
      <c r="A987" s="2" t="s">
        <v>181</v>
      </c>
      <c r="B987" s="2" t="s">
        <v>189</v>
      </c>
      <c r="C987" s="6" t="s">
        <v>136</v>
      </c>
      <c r="D987" s="2" t="s">
        <v>122</v>
      </c>
      <c r="E987" s="2"/>
      <c r="F987" s="35">
        <v>0</v>
      </c>
      <c r="G987" s="35">
        <v>-6.5883957584844746</v>
      </c>
      <c r="H987" s="35">
        <v>-17.073720725370052</v>
      </c>
      <c r="I987" s="35">
        <v>10.032484995902404</v>
      </c>
      <c r="J987" s="35">
        <v>8.7133397891148642E-3</v>
      </c>
      <c r="K987" s="35">
        <v>16.091693661024898</v>
      </c>
      <c r="L987" s="35">
        <v>-34.724061284153606</v>
      </c>
      <c r="M987" s="58" t="s">
        <v>22</v>
      </c>
      <c r="N987" s="7">
        <v>9.5</v>
      </c>
      <c r="O987" s="7" t="s">
        <v>178</v>
      </c>
      <c r="P987" s="7" t="s">
        <v>178</v>
      </c>
    </row>
    <row r="988" spans="1:16" x14ac:dyDescent="0.25">
      <c r="A988" s="2" t="s">
        <v>181</v>
      </c>
      <c r="B988" s="2" t="s">
        <v>189</v>
      </c>
      <c r="C988" s="6" t="s">
        <v>136</v>
      </c>
      <c r="D988" s="2" t="s">
        <v>122</v>
      </c>
      <c r="E988" s="2"/>
      <c r="F988" s="35">
        <v>2</v>
      </c>
      <c r="G988" s="35">
        <v>-5.4957657584844775</v>
      </c>
      <c r="H988" s="35">
        <v>-13.671720725370051</v>
      </c>
      <c r="I988" s="35">
        <v>5.8324849959024059</v>
      </c>
      <c r="J988" s="35">
        <v>8.7133397891148642E-3</v>
      </c>
      <c r="K988" s="35">
        <v>0.2267236692200873</v>
      </c>
      <c r="L988" s="35">
        <v>-3.9786198334135081</v>
      </c>
      <c r="M988" s="58" t="s">
        <v>22</v>
      </c>
      <c r="N988" s="7">
        <v>9.5</v>
      </c>
      <c r="O988" s="7" t="s">
        <v>178</v>
      </c>
      <c r="P988" s="7" t="s">
        <v>178</v>
      </c>
    </row>
    <row r="989" spans="1:16" x14ac:dyDescent="0.25">
      <c r="A989" s="2" t="s">
        <v>181</v>
      </c>
      <c r="B989" s="2" t="s">
        <v>189</v>
      </c>
      <c r="C989" s="6" t="s">
        <v>136</v>
      </c>
      <c r="D989" s="2" t="s">
        <v>122</v>
      </c>
      <c r="E989" s="2"/>
      <c r="F989" s="35">
        <v>2</v>
      </c>
      <c r="G989" s="35">
        <v>0.97529318657591446</v>
      </c>
      <c r="H989" s="35">
        <v>-6.7902599256703873</v>
      </c>
      <c r="I989" s="35">
        <v>5.8324867523732511</v>
      </c>
      <c r="J989" s="35">
        <v>8.7072594641145647E-3</v>
      </c>
      <c r="K989" s="35">
        <v>0.22673015490010839</v>
      </c>
      <c r="L989" s="35">
        <v>-3.9786198334135223</v>
      </c>
      <c r="M989" s="58" t="s">
        <v>22</v>
      </c>
      <c r="N989" s="7">
        <v>9.5</v>
      </c>
      <c r="O989" s="7" t="s">
        <v>178</v>
      </c>
      <c r="P989" s="7" t="s">
        <v>178</v>
      </c>
    </row>
    <row r="990" spans="1:16" x14ac:dyDescent="0.25">
      <c r="A990" s="2" t="s">
        <v>181</v>
      </c>
      <c r="B990" s="2" t="s">
        <v>189</v>
      </c>
      <c r="C990" s="6" t="s">
        <v>136</v>
      </c>
      <c r="D990" s="2" t="s">
        <v>122</v>
      </c>
      <c r="E990" s="2"/>
      <c r="F990" s="35">
        <v>4.5</v>
      </c>
      <c r="G990" s="35">
        <v>2.3410806865759164</v>
      </c>
      <c r="H990" s="35">
        <v>-2.5377599256703864</v>
      </c>
      <c r="I990" s="35">
        <v>0.58248675237324954</v>
      </c>
      <c r="J990" s="35">
        <v>8.7072594641145647E-3</v>
      </c>
      <c r="K990" s="35">
        <v>-7.7919867260330156</v>
      </c>
      <c r="L990" s="35">
        <v>7.681404980762446</v>
      </c>
      <c r="M990" s="58" t="s">
        <v>24</v>
      </c>
      <c r="N990" s="7">
        <v>9.5</v>
      </c>
      <c r="O990" s="7" t="s">
        <v>178</v>
      </c>
      <c r="P990" s="7" t="s">
        <v>178</v>
      </c>
    </row>
    <row r="991" spans="1:16" x14ac:dyDescent="0.25">
      <c r="A991" s="2" t="s">
        <v>181</v>
      </c>
      <c r="B991" s="2" t="s">
        <v>189</v>
      </c>
      <c r="C991" s="6" t="s">
        <v>136</v>
      </c>
      <c r="D991" s="2" t="s">
        <v>122</v>
      </c>
      <c r="E991" s="2"/>
      <c r="F991" s="35">
        <v>4.5</v>
      </c>
      <c r="G991" s="35">
        <v>3.1272172055834084</v>
      </c>
      <c r="H991" s="35">
        <v>-2.5376406433626202</v>
      </c>
      <c r="I991" s="35">
        <v>0.59939324693518958</v>
      </c>
      <c r="J991" s="35">
        <v>-1.0954427728063544E-2</v>
      </c>
      <c r="K991" s="35">
        <v>-7.7919838705964999</v>
      </c>
      <c r="L991" s="35">
        <v>8.664142508077207</v>
      </c>
      <c r="M991" s="58" t="s">
        <v>24</v>
      </c>
      <c r="N991" s="7">
        <v>9.5</v>
      </c>
      <c r="O991" s="7" t="s">
        <v>178</v>
      </c>
      <c r="P991" s="7" t="s">
        <v>178</v>
      </c>
    </row>
    <row r="992" spans="1:16" x14ac:dyDescent="0.25">
      <c r="A992" s="2" t="s">
        <v>181</v>
      </c>
      <c r="B992" s="2" t="s">
        <v>189</v>
      </c>
      <c r="C992" s="6" t="s">
        <v>136</v>
      </c>
      <c r="D992" s="2" t="s">
        <v>122</v>
      </c>
      <c r="E992" s="2"/>
      <c r="F992" s="35">
        <v>4.6226557908820691</v>
      </c>
      <c r="G992" s="35">
        <v>3.1942259039791456</v>
      </c>
      <c r="H992" s="35">
        <v>-2.3290031430722204</v>
      </c>
      <c r="I992" s="35">
        <v>0.34181608608284447</v>
      </c>
      <c r="J992" s="35">
        <v>-1.0954427728063544E-2</v>
      </c>
      <c r="K992" s="35">
        <v>-7.8497062581599568</v>
      </c>
      <c r="L992" s="35">
        <v>8.9626035293604449</v>
      </c>
      <c r="M992" s="58" t="s">
        <v>24</v>
      </c>
      <c r="N992" s="7">
        <v>9.5</v>
      </c>
      <c r="O992" s="7" t="s">
        <v>178</v>
      </c>
      <c r="P992" s="7" t="s">
        <v>178</v>
      </c>
    </row>
    <row r="993" spans="1:16" x14ac:dyDescent="0.25">
      <c r="A993" s="2" t="s">
        <v>181</v>
      </c>
      <c r="B993" s="2" t="s">
        <v>189</v>
      </c>
      <c r="C993" s="6" t="s">
        <v>136</v>
      </c>
      <c r="D993" s="2" t="s">
        <v>122</v>
      </c>
      <c r="E993" s="2"/>
      <c r="F993" s="35">
        <v>9.2453115817641383</v>
      </c>
      <c r="G993" s="35">
        <v>5.7196521023748819</v>
      </c>
      <c r="H993" s="35">
        <v>5.5341343572181803</v>
      </c>
      <c r="I993" s="35">
        <v>-9.3657610747694999</v>
      </c>
      <c r="J993" s="35">
        <v>-1.0954427728063544E-2</v>
      </c>
      <c r="K993" s="35">
        <v>13.00758952111684</v>
      </c>
      <c r="L993" s="35">
        <v>1.5544943455560971</v>
      </c>
      <c r="M993" s="58" t="s">
        <v>23</v>
      </c>
      <c r="N993" s="7">
        <v>9.5</v>
      </c>
      <c r="O993" s="7" t="s">
        <v>178</v>
      </c>
      <c r="P993" s="7" t="s">
        <v>178</v>
      </c>
    </row>
    <row r="994" spans="1:16" x14ac:dyDescent="0.25">
      <c r="A994" s="2" t="s">
        <v>181</v>
      </c>
      <c r="B994" s="2" t="s">
        <v>189</v>
      </c>
      <c r="C994" s="6" t="s">
        <v>136</v>
      </c>
      <c r="D994" s="2" t="s">
        <v>123</v>
      </c>
      <c r="E994" s="2"/>
      <c r="F994" s="35">
        <v>0</v>
      </c>
      <c r="G994" s="35">
        <v>-16.727454442464349</v>
      </c>
      <c r="H994" s="35">
        <v>-9.6610785992403159</v>
      </c>
      <c r="I994" s="35">
        <v>4.9371449083545116</v>
      </c>
      <c r="J994" s="35">
        <v>6.9653616038854527E-3</v>
      </c>
      <c r="K994" s="35">
        <v>8.7724737700382196</v>
      </c>
      <c r="L994" s="35">
        <v>-20.623977291775244</v>
      </c>
      <c r="M994" s="58" t="s">
        <v>22</v>
      </c>
      <c r="N994" s="7">
        <v>9.5</v>
      </c>
      <c r="O994" s="7" t="s">
        <v>178</v>
      </c>
      <c r="P994" s="7" t="s">
        <v>178</v>
      </c>
    </row>
    <row r="995" spans="1:16" x14ac:dyDescent="0.25">
      <c r="A995" s="2" t="s">
        <v>181</v>
      </c>
      <c r="B995" s="2" t="s">
        <v>189</v>
      </c>
      <c r="C995" s="6" t="s">
        <v>136</v>
      </c>
      <c r="D995" s="2" t="s">
        <v>123</v>
      </c>
      <c r="E995" s="2"/>
      <c r="F995" s="35">
        <v>2</v>
      </c>
      <c r="G995" s="35">
        <v>-15.634824442464351</v>
      </c>
      <c r="H995" s="35">
        <v>-8.9050785992403156</v>
      </c>
      <c r="I995" s="35">
        <v>3.0891449083545108</v>
      </c>
      <c r="J995" s="35">
        <v>6.9653616038854527E-3</v>
      </c>
      <c r="K995" s="35">
        <v>0.74618395332919674</v>
      </c>
      <c r="L995" s="35">
        <v>-2.0578200932946089</v>
      </c>
      <c r="M995" s="58" t="s">
        <v>22</v>
      </c>
      <c r="N995" s="7">
        <v>9.5</v>
      </c>
      <c r="O995" s="7" t="s">
        <v>178</v>
      </c>
      <c r="P995" s="7" t="s">
        <v>178</v>
      </c>
    </row>
    <row r="996" spans="1:16" x14ac:dyDescent="0.25">
      <c r="A996" s="2" t="s">
        <v>181</v>
      </c>
      <c r="B996" s="2" t="s">
        <v>189</v>
      </c>
      <c r="C996" s="6" t="s">
        <v>136</v>
      </c>
      <c r="D996" s="2" t="s">
        <v>123</v>
      </c>
      <c r="E996" s="2"/>
      <c r="F996" s="35">
        <v>2</v>
      </c>
      <c r="G996" s="35">
        <v>-8.7411143282316832</v>
      </c>
      <c r="H996" s="35">
        <v>-1.572788616448576</v>
      </c>
      <c r="I996" s="35">
        <v>3.089145339057711</v>
      </c>
      <c r="J996" s="35">
        <v>6.95374424674749E-3</v>
      </c>
      <c r="K996" s="35">
        <v>0.74619634517682432</v>
      </c>
      <c r="L996" s="35">
        <v>-2.0578200932946085</v>
      </c>
      <c r="M996" s="58" t="s">
        <v>22</v>
      </c>
      <c r="N996" s="7">
        <v>9.5</v>
      </c>
      <c r="O996" s="7" t="s">
        <v>178</v>
      </c>
      <c r="P996" s="7" t="s">
        <v>178</v>
      </c>
    </row>
    <row r="997" spans="1:16" x14ac:dyDescent="0.25">
      <c r="A997" s="2" t="s">
        <v>181</v>
      </c>
      <c r="B997" s="2" t="s">
        <v>189</v>
      </c>
      <c r="C997" s="6" t="s">
        <v>136</v>
      </c>
      <c r="D997" s="2" t="s">
        <v>123</v>
      </c>
      <c r="E997" s="2"/>
      <c r="F997" s="35">
        <v>4.5</v>
      </c>
      <c r="G997" s="35">
        <v>-7.3753268282316808</v>
      </c>
      <c r="H997" s="35">
        <v>-0.62778861644857586</v>
      </c>
      <c r="I997" s="35">
        <v>0.77914533905771111</v>
      </c>
      <c r="J997" s="35">
        <v>6.95374424674749E-3</v>
      </c>
      <c r="K997" s="35">
        <v>-4.0891670024674536</v>
      </c>
      <c r="L997" s="35">
        <v>0.69290144782683127</v>
      </c>
      <c r="M997" s="58" t="s">
        <v>24</v>
      </c>
      <c r="N997" s="7">
        <v>9.5</v>
      </c>
      <c r="O997" s="7" t="s">
        <v>178</v>
      </c>
      <c r="P997" s="7" t="s">
        <v>178</v>
      </c>
    </row>
    <row r="998" spans="1:16" x14ac:dyDescent="0.25">
      <c r="A998" s="2" t="s">
        <v>181</v>
      </c>
      <c r="B998" s="2" t="s">
        <v>189</v>
      </c>
      <c r="C998" s="6" t="s">
        <v>136</v>
      </c>
      <c r="D998" s="2" t="s">
        <v>123</v>
      </c>
      <c r="E998" s="2"/>
      <c r="F998" s="35">
        <v>4.5</v>
      </c>
      <c r="G998" s="35">
        <v>-6.5891904965315113</v>
      </c>
      <c r="H998" s="35">
        <v>-0.62791200760134969</v>
      </c>
      <c r="I998" s="35">
        <v>0.79024217546725117</v>
      </c>
      <c r="J998" s="35">
        <v>-6.8520507019614891E-3</v>
      </c>
      <c r="K998" s="35">
        <v>-4.0891643801985067</v>
      </c>
      <c r="L998" s="35">
        <v>1.6755838784575214</v>
      </c>
      <c r="M998" s="58" t="s">
        <v>24</v>
      </c>
      <c r="N998" s="7">
        <v>9.5</v>
      </c>
      <c r="O998" s="7" t="s">
        <v>178</v>
      </c>
      <c r="P998" s="7" t="s">
        <v>178</v>
      </c>
    </row>
    <row r="999" spans="1:16" x14ac:dyDescent="0.25">
      <c r="A999" s="2" t="s">
        <v>181</v>
      </c>
      <c r="B999" s="2" t="s">
        <v>189</v>
      </c>
      <c r="C999" s="6" t="s">
        <v>136</v>
      </c>
      <c r="D999" s="2" t="s">
        <v>123</v>
      </c>
      <c r="E999" s="2"/>
      <c r="F999" s="35">
        <v>4.6226557908820691</v>
      </c>
      <c r="G999" s="35">
        <v>-6.5221817981357741</v>
      </c>
      <c r="H999" s="35">
        <v>-0.58154811864792755</v>
      </c>
      <c r="I999" s="35">
        <v>0.67690822469221923</v>
      </c>
      <c r="J999" s="35">
        <v>-6.8520507019614891E-3</v>
      </c>
      <c r="K999" s="35">
        <v>-4.1791416265357588</v>
      </c>
      <c r="L999" s="35">
        <v>1.7497575226202378</v>
      </c>
      <c r="M999" s="58" t="s">
        <v>24</v>
      </c>
      <c r="N999" s="7">
        <v>9.5</v>
      </c>
      <c r="O999" s="7" t="s">
        <v>178</v>
      </c>
      <c r="P999" s="7" t="s">
        <v>178</v>
      </c>
    </row>
    <row r="1000" spans="1:16" x14ac:dyDescent="0.25">
      <c r="A1000" s="2" t="s">
        <v>181</v>
      </c>
      <c r="B1000" s="2" t="s">
        <v>189</v>
      </c>
      <c r="C1000" s="6" t="s">
        <v>136</v>
      </c>
      <c r="D1000" s="2" t="s">
        <v>123</v>
      </c>
      <c r="E1000" s="2"/>
      <c r="F1000" s="35">
        <v>9.2453115817641383</v>
      </c>
      <c r="G1000" s="35">
        <v>-3.9967555997400379</v>
      </c>
      <c r="H1000" s="35">
        <v>1.1658157703054943</v>
      </c>
      <c r="I1000" s="35">
        <v>-3.5944257260828127</v>
      </c>
      <c r="J1000" s="35">
        <v>-6.8520507019614891E-3</v>
      </c>
      <c r="K1000" s="35">
        <v>2.5641979598657465</v>
      </c>
      <c r="L1000" s="35">
        <v>0.39932340094027879</v>
      </c>
      <c r="M1000" s="58" t="s">
        <v>23</v>
      </c>
      <c r="N1000" s="7">
        <v>9.5</v>
      </c>
      <c r="O1000" s="7" t="s">
        <v>178</v>
      </c>
      <c r="P1000" s="7" t="s">
        <v>178</v>
      </c>
    </row>
    <row r="1001" spans="1:16" x14ac:dyDescent="0.25">
      <c r="A1001" s="2" t="s">
        <v>181</v>
      </c>
      <c r="B1001" s="2" t="s">
        <v>189</v>
      </c>
      <c r="C1001" s="6" t="s">
        <v>136</v>
      </c>
      <c r="D1001" s="2" t="s">
        <v>124</v>
      </c>
      <c r="E1001" s="2"/>
      <c r="F1001" s="35">
        <v>0</v>
      </c>
      <c r="G1001" s="35">
        <v>-1.1553524457856837E-2</v>
      </c>
      <c r="H1001" s="35">
        <v>-19.743171109961843</v>
      </c>
      <c r="I1001" s="35">
        <v>9.1129932266938738</v>
      </c>
      <c r="J1001" s="35">
        <v>3.0038708810313339E-3</v>
      </c>
      <c r="K1001" s="35">
        <v>20.705876230699989</v>
      </c>
      <c r="L1001" s="35">
        <v>-38.211549440807481</v>
      </c>
      <c r="M1001" s="58" t="s">
        <v>22</v>
      </c>
      <c r="N1001" s="7">
        <v>9.5</v>
      </c>
      <c r="O1001" s="7" t="s">
        <v>178</v>
      </c>
      <c r="P1001" s="7" t="s">
        <v>178</v>
      </c>
    </row>
    <row r="1002" spans="1:16" x14ac:dyDescent="0.25">
      <c r="A1002" s="2" t="s">
        <v>181</v>
      </c>
      <c r="B1002" s="2" t="s">
        <v>189</v>
      </c>
      <c r="C1002" s="6" t="s">
        <v>136</v>
      </c>
      <c r="D1002" s="2" t="s">
        <v>124</v>
      </c>
      <c r="E1002" s="2"/>
      <c r="F1002" s="35">
        <v>2</v>
      </c>
      <c r="G1002" s="35">
        <v>1.0810764755421403</v>
      </c>
      <c r="H1002" s="35">
        <v>-13.128171109961844</v>
      </c>
      <c r="I1002" s="35">
        <v>5.9209932266938745</v>
      </c>
      <c r="J1002" s="35">
        <v>3.0038708810313339E-3</v>
      </c>
      <c r="K1002" s="35">
        <v>5.6718897773122423</v>
      </c>
      <c r="L1002" s="35">
        <v>-5.3402072208837943</v>
      </c>
      <c r="M1002" s="58" t="s">
        <v>22</v>
      </c>
      <c r="N1002" s="7">
        <v>9.5</v>
      </c>
      <c r="O1002" s="7" t="s">
        <v>178</v>
      </c>
      <c r="P1002" s="7" t="s">
        <v>178</v>
      </c>
    </row>
    <row r="1003" spans="1:16" x14ac:dyDescent="0.25">
      <c r="A1003" s="2" t="s">
        <v>181</v>
      </c>
      <c r="B1003" s="2" t="s">
        <v>189</v>
      </c>
      <c r="C1003" s="6" t="s">
        <v>136</v>
      </c>
      <c r="D1003" s="2" t="s">
        <v>124</v>
      </c>
      <c r="E1003" s="2"/>
      <c r="F1003" s="35">
        <v>2</v>
      </c>
      <c r="G1003" s="35">
        <v>1.2241571079623097</v>
      </c>
      <c r="H1003" s="35">
        <v>-12.996563110509461</v>
      </c>
      <c r="I1003" s="35">
        <v>5.9209867478279383</v>
      </c>
      <c r="J1003" s="35">
        <v>3.0126510519380436E-3</v>
      </c>
      <c r="K1003" s="35">
        <v>5.6718804117966428</v>
      </c>
      <c r="L1003" s="35">
        <v>-5.3402072208838005</v>
      </c>
      <c r="M1003" s="58" t="s">
        <v>22</v>
      </c>
      <c r="N1003" s="7">
        <v>9.5</v>
      </c>
      <c r="O1003" s="7" t="s">
        <v>178</v>
      </c>
      <c r="P1003" s="7" t="s">
        <v>178</v>
      </c>
    </row>
    <row r="1004" spans="1:16" x14ac:dyDescent="0.25">
      <c r="A1004" s="2" t="s">
        <v>181</v>
      </c>
      <c r="B1004" s="2" t="s">
        <v>189</v>
      </c>
      <c r="C1004" s="6" t="s">
        <v>136</v>
      </c>
      <c r="D1004" s="2" t="s">
        <v>124</v>
      </c>
      <c r="E1004" s="2"/>
      <c r="F1004" s="35">
        <v>4.5</v>
      </c>
      <c r="G1004" s="35">
        <v>2.5899446079623116</v>
      </c>
      <c r="H1004" s="35">
        <v>-4.7278131105094596</v>
      </c>
      <c r="I1004" s="35">
        <v>1.9309867478279381</v>
      </c>
      <c r="J1004" s="35">
        <v>3.0126510519380436E-3</v>
      </c>
      <c r="K1004" s="35">
        <v>-4.1430864577732018</v>
      </c>
      <c r="L1004" s="35">
        <v>16.815263055389849</v>
      </c>
      <c r="M1004" s="58" t="s">
        <v>24</v>
      </c>
      <c r="N1004" s="7">
        <v>9.5</v>
      </c>
      <c r="O1004" s="7" t="s">
        <v>178</v>
      </c>
      <c r="P1004" s="7" t="s">
        <v>178</v>
      </c>
    </row>
    <row r="1005" spans="1:16" x14ac:dyDescent="0.25">
      <c r="A1005" s="2" t="s">
        <v>181</v>
      </c>
      <c r="B1005" s="2" t="s">
        <v>189</v>
      </c>
      <c r="C1005" s="6" t="s">
        <v>136</v>
      </c>
      <c r="D1005" s="2" t="s">
        <v>124</v>
      </c>
      <c r="E1005" s="2"/>
      <c r="F1005" s="35">
        <v>4.5</v>
      </c>
      <c r="G1005" s="35">
        <v>3.3760859521123523</v>
      </c>
      <c r="H1005" s="35">
        <v>-4.7271785025703084</v>
      </c>
      <c r="I1005" s="35">
        <v>1.9434650771099768</v>
      </c>
      <c r="J1005" s="35">
        <v>-9.0619340873273838E-3</v>
      </c>
      <c r="K1005" s="35">
        <v>-4.1430621840614785</v>
      </c>
      <c r="L1005" s="35">
        <v>17.798076605647928</v>
      </c>
      <c r="M1005" s="58" t="s">
        <v>24</v>
      </c>
      <c r="N1005" s="7">
        <v>9.5</v>
      </c>
      <c r="O1005" s="7" t="s">
        <v>178</v>
      </c>
      <c r="P1005" s="7" t="s">
        <v>178</v>
      </c>
    </row>
    <row r="1006" spans="1:16" x14ac:dyDescent="0.25">
      <c r="A1006" s="2" t="s">
        <v>181</v>
      </c>
      <c r="B1006" s="2" t="s">
        <v>189</v>
      </c>
      <c r="C1006" s="6" t="s">
        <v>136</v>
      </c>
      <c r="D1006" s="2" t="s">
        <v>124</v>
      </c>
      <c r="E1006" s="2"/>
      <c r="F1006" s="35">
        <v>4.6226557908820691</v>
      </c>
      <c r="G1006" s="35">
        <v>3.4430946505080895</v>
      </c>
      <c r="H1006" s="35">
        <v>-4.3214944742278654</v>
      </c>
      <c r="I1006" s="35">
        <v>1.7477064348621945</v>
      </c>
      <c r="J1006" s="35">
        <v>-9.0619340873273838E-3</v>
      </c>
      <c r="K1006" s="35">
        <v>-4.3694339646026332</v>
      </c>
      <c r="L1006" s="35">
        <v>18.353012675849119</v>
      </c>
      <c r="M1006" s="58" t="s">
        <v>24</v>
      </c>
      <c r="N1006" s="7">
        <v>9.5</v>
      </c>
      <c r="O1006" s="7" t="s">
        <v>178</v>
      </c>
      <c r="P1006" s="7" t="s">
        <v>178</v>
      </c>
    </row>
    <row r="1007" spans="1:16" x14ac:dyDescent="0.25">
      <c r="A1007" s="2" t="s">
        <v>181</v>
      </c>
      <c r="B1007" s="2" t="s">
        <v>189</v>
      </c>
      <c r="C1007" s="6" t="s">
        <v>136</v>
      </c>
      <c r="D1007" s="2" t="s">
        <v>124</v>
      </c>
      <c r="E1007" s="2"/>
      <c r="F1007" s="35">
        <v>9.2453115817641383</v>
      </c>
      <c r="G1007" s="35">
        <v>5.9685208489038253</v>
      </c>
      <c r="H1007" s="35">
        <v>10.967939554114578</v>
      </c>
      <c r="I1007" s="35">
        <v>-5.6300522073855888</v>
      </c>
      <c r="J1007" s="35">
        <v>-9.0619340873273838E-3</v>
      </c>
      <c r="K1007" s="35">
        <v>4.6039401191782563</v>
      </c>
      <c r="L1007" s="35">
        <v>2.9908987571901462</v>
      </c>
      <c r="M1007" s="58" t="s">
        <v>23</v>
      </c>
      <c r="N1007" s="7">
        <v>9.5</v>
      </c>
      <c r="O1007" s="7" t="s">
        <v>178</v>
      </c>
      <c r="P1007" s="7" t="s">
        <v>178</v>
      </c>
    </row>
    <row r="1008" spans="1:16" x14ac:dyDescent="0.25">
      <c r="A1008" s="2" t="s">
        <v>181</v>
      </c>
      <c r="B1008" s="2" t="s">
        <v>189</v>
      </c>
      <c r="C1008" s="6" t="s">
        <v>136</v>
      </c>
      <c r="D1008" s="2" t="s">
        <v>125</v>
      </c>
      <c r="E1008" s="2"/>
      <c r="F1008" s="35">
        <v>0</v>
      </c>
      <c r="G1008" s="35">
        <v>-15.317839713958005</v>
      </c>
      <c r="H1008" s="35">
        <v>-13.179968862137972</v>
      </c>
      <c r="I1008" s="35">
        <v>6.4164582798046421</v>
      </c>
      <c r="J1008" s="35">
        <v>3.1715709064536815E-3</v>
      </c>
      <c r="K1008" s="35">
        <v>25.751497735408346</v>
      </c>
      <c r="L1008" s="35">
        <v>-25.911532172390686</v>
      </c>
      <c r="M1008" s="58" t="s">
        <v>22</v>
      </c>
      <c r="N1008" s="7">
        <v>9.5</v>
      </c>
      <c r="O1008" s="7" t="s">
        <v>178</v>
      </c>
      <c r="P1008" s="7" t="s">
        <v>178</v>
      </c>
    </row>
    <row r="1009" spans="1:16" x14ac:dyDescent="0.25">
      <c r="A1009" s="2" t="s">
        <v>181</v>
      </c>
      <c r="B1009" s="2" t="s">
        <v>189</v>
      </c>
      <c r="C1009" s="6" t="s">
        <v>136</v>
      </c>
      <c r="D1009" s="2" t="s">
        <v>125</v>
      </c>
      <c r="E1009" s="2"/>
      <c r="F1009" s="35">
        <v>2</v>
      </c>
      <c r="G1009" s="35">
        <v>-14.225209713958009</v>
      </c>
      <c r="H1009" s="35">
        <v>-9.2109688621379711</v>
      </c>
      <c r="I1009" s="35">
        <v>5.5764582798046423</v>
      </c>
      <c r="J1009" s="35">
        <v>3.1715709064536815E-3</v>
      </c>
      <c r="K1009" s="35">
        <v>13.758581175799064</v>
      </c>
      <c r="L1009" s="35">
        <v>-3.5205944481147409</v>
      </c>
      <c r="M1009" s="58" t="s">
        <v>22</v>
      </c>
      <c r="N1009" s="7">
        <v>9.5</v>
      </c>
      <c r="O1009" s="7" t="s">
        <v>178</v>
      </c>
      <c r="P1009" s="7" t="s">
        <v>178</v>
      </c>
    </row>
    <row r="1010" spans="1:16" x14ac:dyDescent="0.25">
      <c r="A1010" s="2" t="s">
        <v>181</v>
      </c>
      <c r="B1010" s="2" t="s">
        <v>189</v>
      </c>
      <c r="C1010" s="6" t="s">
        <v>136</v>
      </c>
      <c r="D1010" s="2" t="s">
        <v>125</v>
      </c>
      <c r="E1010" s="2"/>
      <c r="F1010" s="35">
        <v>2</v>
      </c>
      <c r="G1010" s="35">
        <v>-12.875732365704556</v>
      </c>
      <c r="H1010" s="35">
        <v>-7.7925353195076896</v>
      </c>
      <c r="I1010" s="35">
        <v>5.5764463817153036</v>
      </c>
      <c r="J1010" s="35">
        <v>3.1885877325704146E-3</v>
      </c>
      <c r="K1010" s="35">
        <v>13.758563024517896</v>
      </c>
      <c r="L1010" s="35">
        <v>-3.5205944481147515</v>
      </c>
      <c r="M1010" s="58" t="s">
        <v>22</v>
      </c>
      <c r="N1010" s="7">
        <v>9.5</v>
      </c>
      <c r="O1010" s="7" t="s">
        <v>178</v>
      </c>
      <c r="P1010" s="7" t="s">
        <v>178</v>
      </c>
    </row>
    <row r="1011" spans="1:16" x14ac:dyDescent="0.25">
      <c r="A1011" s="2" t="s">
        <v>181</v>
      </c>
      <c r="B1011" s="2" t="s">
        <v>189</v>
      </c>
      <c r="C1011" s="6" t="s">
        <v>136</v>
      </c>
      <c r="D1011" s="2" t="s">
        <v>125</v>
      </c>
      <c r="E1011" s="2"/>
      <c r="F1011" s="35">
        <v>4.5</v>
      </c>
      <c r="G1011" s="35">
        <v>-11.509944865704554</v>
      </c>
      <c r="H1011" s="35">
        <v>-2.831285319507689</v>
      </c>
      <c r="I1011" s="35">
        <v>4.526446381715302</v>
      </c>
      <c r="J1011" s="35">
        <v>3.1885877325704146E-3</v>
      </c>
      <c r="K1011" s="35">
        <v>1.129947070229639</v>
      </c>
      <c r="L1011" s="35">
        <v>9.7591813506544707</v>
      </c>
      <c r="M1011" s="58" t="s">
        <v>24</v>
      </c>
      <c r="N1011" s="7">
        <v>9.5</v>
      </c>
      <c r="O1011" s="7" t="s">
        <v>178</v>
      </c>
      <c r="P1011" s="7" t="s">
        <v>178</v>
      </c>
    </row>
    <row r="1012" spans="1:16" x14ac:dyDescent="0.25">
      <c r="A1012" s="2" t="s">
        <v>181</v>
      </c>
      <c r="B1012" s="2" t="s">
        <v>189</v>
      </c>
      <c r="C1012" s="6" t="s">
        <v>136</v>
      </c>
      <c r="D1012" s="2" t="s">
        <v>125</v>
      </c>
      <c r="E1012" s="2"/>
      <c r="F1012" s="35">
        <v>4.5</v>
      </c>
      <c r="G1012" s="35">
        <v>-10.723797626385135</v>
      </c>
      <c r="H1012" s="35">
        <v>-2.8309292364099066</v>
      </c>
      <c r="I1012" s="35">
        <v>4.5359006425975554</v>
      </c>
      <c r="J1012" s="35">
        <v>-6.5120069918477748E-3</v>
      </c>
      <c r="K1012" s="35">
        <v>1.1299995896527433</v>
      </c>
      <c r="L1012" s="35">
        <v>10.741945391538444</v>
      </c>
      <c r="M1012" s="58" t="s">
        <v>24</v>
      </c>
      <c r="N1012" s="7">
        <v>9.5</v>
      </c>
      <c r="O1012" s="7" t="s">
        <v>178</v>
      </c>
      <c r="P1012" s="7" t="s">
        <v>178</v>
      </c>
    </row>
    <row r="1013" spans="1:16" x14ac:dyDescent="0.25">
      <c r="A1013" s="2" t="s">
        <v>181</v>
      </c>
      <c r="B1013" s="2" t="s">
        <v>189</v>
      </c>
      <c r="C1013" s="6" t="s">
        <v>136</v>
      </c>
      <c r="D1013" s="2" t="s">
        <v>125</v>
      </c>
      <c r="E1013" s="2"/>
      <c r="F1013" s="35">
        <v>4.6226557908820691</v>
      </c>
      <c r="G1013" s="35">
        <v>-10.656788927989398</v>
      </c>
      <c r="H1013" s="35">
        <v>-2.5875188194044405</v>
      </c>
      <c r="I1013" s="35">
        <v>4.4843852104270869</v>
      </c>
      <c r="J1013" s="35">
        <v>-6.5120069918477748E-3</v>
      </c>
      <c r="K1013" s="35">
        <v>0.57680444201020509</v>
      </c>
      <c r="L1013" s="35">
        <v>11.074247407358106</v>
      </c>
      <c r="M1013" s="58" t="s">
        <v>24</v>
      </c>
      <c r="N1013" s="7">
        <v>9.5</v>
      </c>
      <c r="O1013" s="7" t="s">
        <v>178</v>
      </c>
      <c r="P1013" s="7" t="s">
        <v>178</v>
      </c>
    </row>
    <row r="1014" spans="1:16" x14ac:dyDescent="0.25">
      <c r="A1014" s="2" t="s">
        <v>181</v>
      </c>
      <c r="B1014" s="2" t="s">
        <v>189</v>
      </c>
      <c r="C1014" s="6" t="s">
        <v>136</v>
      </c>
      <c r="D1014" s="2" t="s">
        <v>125</v>
      </c>
      <c r="E1014" s="2"/>
      <c r="F1014" s="35">
        <v>9.2453115817641383</v>
      </c>
      <c r="G1014" s="35">
        <v>-8.1313627295936612</v>
      </c>
      <c r="H1014" s="35">
        <v>6.5861415976010251</v>
      </c>
      <c r="I1014" s="35">
        <v>2.5428697782566183</v>
      </c>
      <c r="J1014" s="35">
        <v>-6.5120069918477748E-3</v>
      </c>
      <c r="K1014" s="35">
        <v>-15.665486041711613</v>
      </c>
      <c r="L1014" s="35">
        <v>1.8321190367664044</v>
      </c>
      <c r="M1014" s="58" t="s">
        <v>23</v>
      </c>
      <c r="N1014" s="7">
        <v>9.5</v>
      </c>
      <c r="O1014" s="7" t="s">
        <v>178</v>
      </c>
      <c r="P1014" s="7" t="s">
        <v>178</v>
      </c>
    </row>
    <row r="1015" spans="1:16" x14ac:dyDescent="0.25">
      <c r="A1015" s="2" t="s">
        <v>181</v>
      </c>
      <c r="B1015" s="2" t="s">
        <v>189</v>
      </c>
      <c r="C1015" s="6" t="s">
        <v>136</v>
      </c>
      <c r="D1015" s="2" t="s">
        <v>126</v>
      </c>
      <c r="E1015" s="2"/>
      <c r="F1015" s="35">
        <v>0</v>
      </c>
      <c r="G1015" s="35">
        <v>13.031816751767783</v>
      </c>
      <c r="H1015" s="35">
        <v>-26.790798967887504</v>
      </c>
      <c r="I1015" s="35">
        <v>-11.432144752445884</v>
      </c>
      <c r="J1015" s="35">
        <v>-2.4866244614654788E-2</v>
      </c>
      <c r="K1015" s="35">
        <v>-28.338317437753869</v>
      </c>
      <c r="L1015" s="35">
        <v>-51.388900131681247</v>
      </c>
      <c r="M1015" s="58" t="s">
        <v>22</v>
      </c>
      <c r="N1015" s="7">
        <v>9.5</v>
      </c>
      <c r="O1015" s="7" t="s">
        <v>178</v>
      </c>
      <c r="P1015" s="7" t="s">
        <v>178</v>
      </c>
    </row>
    <row r="1016" spans="1:16" x14ac:dyDescent="0.25">
      <c r="A1016" s="2" t="s">
        <v>181</v>
      </c>
      <c r="B1016" s="2" t="s">
        <v>189</v>
      </c>
      <c r="C1016" s="6" t="s">
        <v>136</v>
      </c>
      <c r="D1016" s="2" t="s">
        <v>126</v>
      </c>
      <c r="E1016" s="2"/>
      <c r="F1016" s="35">
        <v>2</v>
      </c>
      <c r="G1016" s="35">
        <v>14.124446751767781</v>
      </c>
      <c r="H1016" s="35">
        <v>-17.529798967887505</v>
      </c>
      <c r="I1016" s="35">
        <v>-8.4081447524458852</v>
      </c>
      <c r="J1016" s="35">
        <v>-2.4866244614654788E-2</v>
      </c>
      <c r="K1016" s="35">
        <v>-8.4980279328621027</v>
      </c>
      <c r="L1016" s="35">
        <v>-7.068302195906246</v>
      </c>
      <c r="M1016" s="58" t="s">
        <v>22</v>
      </c>
      <c r="N1016" s="7">
        <v>9.5</v>
      </c>
      <c r="O1016" s="7" t="s">
        <v>178</v>
      </c>
      <c r="P1016" s="7" t="s">
        <v>178</v>
      </c>
    </row>
    <row r="1017" spans="1:16" x14ac:dyDescent="0.25">
      <c r="A1017" s="2" t="s">
        <v>181</v>
      </c>
      <c r="B1017" s="2" t="s">
        <v>189</v>
      </c>
      <c r="C1017" s="6" t="s">
        <v>136</v>
      </c>
      <c r="D1017" s="2" t="s">
        <v>126</v>
      </c>
      <c r="E1017" s="2"/>
      <c r="F1017" s="35">
        <v>2</v>
      </c>
      <c r="G1017" s="35">
        <v>13.526547359628593</v>
      </c>
      <c r="H1017" s="35">
        <v>-18.188571501100245</v>
      </c>
      <c r="I1017" s="35">
        <v>-8.4081412491716314</v>
      </c>
      <c r="J1017" s="35">
        <v>-2.4837325304599457E-2</v>
      </c>
      <c r="K1017" s="35">
        <v>-8.4980587801262164</v>
      </c>
      <c r="L1017" s="35">
        <v>-7.0683021959063153</v>
      </c>
      <c r="M1017" s="58" t="s">
        <v>22</v>
      </c>
      <c r="N1017" s="7">
        <v>9.5</v>
      </c>
      <c r="O1017" s="7" t="s">
        <v>178</v>
      </c>
      <c r="P1017" s="7" t="s">
        <v>178</v>
      </c>
    </row>
    <row r="1018" spans="1:16" x14ac:dyDescent="0.25">
      <c r="A1018" s="2" t="s">
        <v>181</v>
      </c>
      <c r="B1018" s="2" t="s">
        <v>189</v>
      </c>
      <c r="C1018" s="6" t="s">
        <v>136</v>
      </c>
      <c r="D1018" s="2" t="s">
        <v>126</v>
      </c>
      <c r="E1018" s="2"/>
      <c r="F1018" s="35">
        <v>4.5</v>
      </c>
      <c r="G1018" s="35">
        <v>14.892334859628594</v>
      </c>
      <c r="H1018" s="35">
        <v>-6.612321501100249</v>
      </c>
      <c r="I1018" s="35">
        <v>-4.6281412491716321</v>
      </c>
      <c r="J1018" s="35">
        <v>-2.4837325304599457E-2</v>
      </c>
      <c r="K1018" s="35">
        <v>7.7972943428028616</v>
      </c>
      <c r="L1018" s="35">
        <v>23.932814056844308</v>
      </c>
      <c r="M1018" s="58" t="s">
        <v>24</v>
      </c>
      <c r="N1018" s="7">
        <v>9.5</v>
      </c>
      <c r="O1018" s="7" t="s">
        <v>178</v>
      </c>
      <c r="P1018" s="7" t="s">
        <v>178</v>
      </c>
    </row>
    <row r="1019" spans="1:16" x14ac:dyDescent="0.25">
      <c r="A1019" s="2" t="s">
        <v>181</v>
      </c>
      <c r="B1019" s="2" t="s">
        <v>189</v>
      </c>
      <c r="C1019" s="6" t="s">
        <v>136</v>
      </c>
      <c r="D1019" s="2" t="s">
        <v>126</v>
      </c>
      <c r="E1019" s="2"/>
      <c r="F1019" s="35">
        <v>4.5</v>
      </c>
      <c r="G1019" s="35">
        <v>15.678465741777961</v>
      </c>
      <c r="H1019" s="35">
        <v>-6.6116157687121406</v>
      </c>
      <c r="I1019" s="35">
        <v>-4.6593796445087907</v>
      </c>
      <c r="J1019" s="35">
        <v>1.5534542334327394E-2</v>
      </c>
      <c r="K1019" s="35">
        <v>7.7972635001768973</v>
      </c>
      <c r="L1019" s="35">
        <v>24.915602371838936</v>
      </c>
      <c r="M1019" s="58" t="s">
        <v>24</v>
      </c>
      <c r="N1019" s="7">
        <v>9.5</v>
      </c>
      <c r="O1019" s="7" t="s">
        <v>178</v>
      </c>
      <c r="P1019" s="7" t="s">
        <v>178</v>
      </c>
    </row>
    <row r="1020" spans="1:16" x14ac:dyDescent="0.25">
      <c r="A1020" s="2" t="s">
        <v>181</v>
      </c>
      <c r="B1020" s="2" t="s">
        <v>189</v>
      </c>
      <c r="C1020" s="6" t="s">
        <v>136</v>
      </c>
      <c r="D1020" s="2" t="s">
        <v>126</v>
      </c>
      <c r="E1020" s="2"/>
      <c r="F1020" s="35">
        <v>4.6226557908820691</v>
      </c>
      <c r="G1020" s="35">
        <v>15.745474440173698</v>
      </c>
      <c r="H1020" s="35">
        <v>-6.0436581290327203</v>
      </c>
      <c r="I1020" s="35">
        <v>-4.4739240886951031</v>
      </c>
      <c r="J1020" s="35">
        <v>1.5534542334327394E-2</v>
      </c>
      <c r="K1020" s="35">
        <v>8.357389796558035</v>
      </c>
      <c r="L1020" s="35">
        <v>25.691723686217482</v>
      </c>
      <c r="M1020" s="58" t="s">
        <v>24</v>
      </c>
      <c r="N1020" s="7">
        <v>9.5</v>
      </c>
      <c r="O1020" s="7" t="s">
        <v>178</v>
      </c>
      <c r="P1020" s="7" t="s">
        <v>178</v>
      </c>
    </row>
    <row r="1021" spans="1:16" x14ac:dyDescent="0.25">
      <c r="A1021" s="2" t="s">
        <v>181</v>
      </c>
      <c r="B1021" s="2" t="s">
        <v>189</v>
      </c>
      <c r="C1021" s="6" t="s">
        <v>136</v>
      </c>
      <c r="D1021" s="2" t="s">
        <v>126</v>
      </c>
      <c r="E1021" s="2"/>
      <c r="F1021" s="35">
        <v>9.2453115817641383</v>
      </c>
      <c r="G1021" s="35">
        <v>18.270900638569433</v>
      </c>
      <c r="H1021" s="35">
        <v>15.361549510646702</v>
      </c>
      <c r="I1021" s="35">
        <v>2.5155314671185853</v>
      </c>
      <c r="J1021" s="35">
        <v>1.5534542334327394E-2</v>
      </c>
      <c r="K1021" s="35">
        <v>12.883877293033736</v>
      </c>
      <c r="L1021" s="35">
        <v>4.1550214092034885</v>
      </c>
      <c r="M1021" s="58" t="s">
        <v>23</v>
      </c>
      <c r="N1021" s="7">
        <v>9.5</v>
      </c>
      <c r="O1021" s="7" t="s">
        <v>178</v>
      </c>
      <c r="P1021" s="7" t="s">
        <v>178</v>
      </c>
    </row>
    <row r="1022" spans="1:16" x14ac:dyDescent="0.25">
      <c r="A1022" s="2" t="s">
        <v>181</v>
      </c>
      <c r="B1022" s="2" t="s">
        <v>189</v>
      </c>
      <c r="C1022" s="6" t="s">
        <v>136</v>
      </c>
      <c r="D1022" s="2" t="s">
        <v>127</v>
      </c>
      <c r="E1022" s="2"/>
      <c r="F1022" s="35">
        <v>0</v>
      </c>
      <c r="G1022" s="35">
        <v>-24.308990985053033</v>
      </c>
      <c r="H1022" s="35">
        <v>-20.704784050273574</v>
      </c>
      <c r="I1022" s="35">
        <v>-16.022265248610704</v>
      </c>
      <c r="J1022" s="35">
        <v>-1.4076266294575479E-2</v>
      </c>
      <c r="K1022" s="35">
        <v>-38.746813481967095</v>
      </c>
      <c r="L1022" s="35">
        <v>-39.678784106340032</v>
      </c>
      <c r="M1022" s="58" t="s">
        <v>22</v>
      </c>
      <c r="N1022" s="7">
        <v>9.5</v>
      </c>
      <c r="O1022" s="7" t="s">
        <v>178</v>
      </c>
      <c r="P1022" s="7" t="s">
        <v>178</v>
      </c>
    </row>
    <row r="1023" spans="1:16" x14ac:dyDescent="0.25">
      <c r="A1023" s="2" t="s">
        <v>181</v>
      </c>
      <c r="B1023" s="2" t="s">
        <v>189</v>
      </c>
      <c r="C1023" s="6" t="s">
        <v>136</v>
      </c>
      <c r="D1023" s="2" t="s">
        <v>127</v>
      </c>
      <c r="E1023" s="2"/>
      <c r="F1023" s="35">
        <v>2</v>
      </c>
      <c r="G1023" s="35">
        <v>-23.216360985053036</v>
      </c>
      <c r="H1023" s="35">
        <v>-14.089784050273574</v>
      </c>
      <c r="I1023" s="35">
        <v>-10.646265248610705</v>
      </c>
      <c r="J1023" s="35">
        <v>-1.4076266294575479E-2</v>
      </c>
      <c r="K1023" s="35">
        <v>-12.078282984745687</v>
      </c>
      <c r="L1023" s="35">
        <v>-4.8842160057928865</v>
      </c>
      <c r="M1023" s="58" t="s">
        <v>22</v>
      </c>
      <c r="N1023" s="7">
        <v>9.5</v>
      </c>
      <c r="O1023" s="7" t="s">
        <v>178</v>
      </c>
      <c r="P1023" s="7" t="s">
        <v>178</v>
      </c>
    </row>
    <row r="1024" spans="1:16" x14ac:dyDescent="0.25">
      <c r="A1024" s="2" t="s">
        <v>181</v>
      </c>
      <c r="B1024" s="2" t="s">
        <v>189</v>
      </c>
      <c r="C1024" s="6" t="s">
        <v>136</v>
      </c>
      <c r="D1024" s="2" t="s">
        <v>127</v>
      </c>
      <c r="E1024" s="2"/>
      <c r="F1024" s="35">
        <v>2</v>
      </c>
      <c r="G1024" s="35">
        <v>-22.114734823651794</v>
      </c>
      <c r="H1024" s="35">
        <v>-12.935727134975107</v>
      </c>
      <c r="I1024" s="35">
        <v>-10.646261711107314</v>
      </c>
      <c r="J1024" s="35">
        <v>-1.4108886211351247E-2</v>
      </c>
      <c r="K1024" s="35">
        <v>-12.078248190167805</v>
      </c>
      <c r="L1024" s="35">
        <v>-4.8842160057929016</v>
      </c>
      <c r="M1024" s="58" t="s">
        <v>22</v>
      </c>
      <c r="N1024" s="7">
        <v>9.5</v>
      </c>
      <c r="O1024" s="7" t="s">
        <v>178</v>
      </c>
      <c r="P1024" s="7" t="s">
        <v>178</v>
      </c>
    </row>
    <row r="1025" spans="1:16" x14ac:dyDescent="0.25">
      <c r="A1025" s="2" t="s">
        <v>181</v>
      </c>
      <c r="B1025" s="2" t="s">
        <v>189</v>
      </c>
      <c r="C1025" s="6" t="s">
        <v>136</v>
      </c>
      <c r="D1025" s="2" t="s">
        <v>127</v>
      </c>
      <c r="E1025" s="2"/>
      <c r="F1025" s="35">
        <v>4.5</v>
      </c>
      <c r="G1025" s="35">
        <v>-20.748947323651791</v>
      </c>
      <c r="H1025" s="35">
        <v>-4.6669771349751059</v>
      </c>
      <c r="I1025" s="35">
        <v>-3.9262617111073146</v>
      </c>
      <c r="J1025" s="35">
        <v>-1.4108886211351247E-2</v>
      </c>
      <c r="K1025" s="35">
        <v>6.1374060876004783</v>
      </c>
      <c r="L1025" s="35">
        <v>17.119164331644861</v>
      </c>
      <c r="M1025" s="58" t="s">
        <v>24</v>
      </c>
      <c r="N1025" s="7">
        <v>9.5</v>
      </c>
      <c r="O1025" s="7" t="s">
        <v>178</v>
      </c>
      <c r="P1025" s="7" t="s">
        <v>178</v>
      </c>
    </row>
    <row r="1026" spans="1:16" x14ac:dyDescent="0.25">
      <c r="A1026" s="2" t="s">
        <v>181</v>
      </c>
      <c r="B1026" s="2" t="s">
        <v>189</v>
      </c>
      <c r="C1026" s="6" t="s">
        <v>136</v>
      </c>
      <c r="D1026" s="2" t="s">
        <v>127</v>
      </c>
      <c r="E1026" s="2"/>
      <c r="F1026" s="35">
        <v>4.5</v>
      </c>
      <c r="G1026" s="35">
        <v>-19.962821730288798</v>
      </c>
      <c r="H1026" s="35">
        <v>-4.6667182590857141</v>
      </c>
      <c r="I1026" s="35">
        <v>-3.9443440791639435</v>
      </c>
      <c r="J1026" s="35">
        <v>8.5831401179999166E-3</v>
      </c>
      <c r="K1026" s="35">
        <v>6.1373579028823615</v>
      </c>
      <c r="L1026" s="35">
        <v>18.101890527405832</v>
      </c>
      <c r="M1026" s="58" t="s">
        <v>24</v>
      </c>
      <c r="N1026" s="7">
        <v>9.5</v>
      </c>
      <c r="O1026" s="7" t="s">
        <v>178</v>
      </c>
      <c r="P1026" s="7" t="s">
        <v>178</v>
      </c>
    </row>
    <row r="1027" spans="1:16" x14ac:dyDescent="0.25">
      <c r="A1027" s="2" t="s">
        <v>181</v>
      </c>
      <c r="B1027" s="2" t="s">
        <v>189</v>
      </c>
      <c r="C1027" s="6" t="s">
        <v>136</v>
      </c>
      <c r="D1027" s="2" t="s">
        <v>127</v>
      </c>
      <c r="E1027" s="2"/>
      <c r="F1027" s="35">
        <v>4.6226557908820691</v>
      </c>
      <c r="G1027" s="35">
        <v>-19.895813031893059</v>
      </c>
      <c r="H1027" s="35">
        <v>-4.2610342307432703</v>
      </c>
      <c r="I1027" s="35">
        <v>-3.6146453132729413</v>
      </c>
      <c r="J1027" s="35">
        <v>8.5831401179999166E-3</v>
      </c>
      <c r="K1027" s="35">
        <v>6.6009348139816186</v>
      </c>
      <c r="L1027" s="35">
        <v>18.649410798625492</v>
      </c>
      <c r="M1027" s="58" t="s">
        <v>24</v>
      </c>
      <c r="N1027" s="7">
        <v>9.5</v>
      </c>
      <c r="O1027" s="7" t="s">
        <v>178</v>
      </c>
      <c r="P1027" s="7" t="s">
        <v>178</v>
      </c>
    </row>
    <row r="1028" spans="1:16" x14ac:dyDescent="0.25">
      <c r="A1028" s="2" t="s">
        <v>181</v>
      </c>
      <c r="B1028" s="2" t="s">
        <v>189</v>
      </c>
      <c r="C1028" s="6" t="s">
        <v>136</v>
      </c>
      <c r="D1028" s="2" t="s">
        <v>127</v>
      </c>
      <c r="E1028" s="2"/>
      <c r="F1028" s="35">
        <v>9.2453115817641383</v>
      </c>
      <c r="G1028" s="35">
        <v>-17.370386833497324</v>
      </c>
      <c r="H1028" s="35">
        <v>11.028399797599173</v>
      </c>
      <c r="I1028" s="35">
        <v>8.8110534526180597</v>
      </c>
      <c r="J1028" s="35">
        <v>8.5831401179999166E-3</v>
      </c>
      <c r="K1028" s="35">
        <v>-5.409668274583594</v>
      </c>
      <c r="L1028" s="35">
        <v>3.0078099853043194</v>
      </c>
      <c r="M1028" s="58" t="s">
        <v>23</v>
      </c>
      <c r="N1028" s="7">
        <v>9.5</v>
      </c>
      <c r="O1028" s="7" t="s">
        <v>178</v>
      </c>
      <c r="P1028" s="7" t="s">
        <v>178</v>
      </c>
    </row>
    <row r="1029" spans="1:16" x14ac:dyDescent="0.25">
      <c r="A1029" s="2" t="s">
        <v>181</v>
      </c>
      <c r="B1029" s="2" t="s">
        <v>190</v>
      </c>
      <c r="C1029" s="6" t="s">
        <v>137</v>
      </c>
      <c r="D1029" s="2" t="s">
        <v>105</v>
      </c>
      <c r="E1029" s="2"/>
      <c r="F1029" s="35">
        <v>0</v>
      </c>
      <c r="G1029" s="35">
        <v>-47.820726650451356</v>
      </c>
      <c r="H1029" s="35">
        <v>-18.842555358540189</v>
      </c>
      <c r="I1029" s="35">
        <v>0.24709721111888258</v>
      </c>
      <c r="J1029" s="35">
        <v>3.8289900504332328E-5</v>
      </c>
      <c r="K1029" s="35">
        <v>0.39459088955840443</v>
      </c>
      <c r="L1029" s="35">
        <v>-59.658166893779573</v>
      </c>
      <c r="M1029" s="58" t="s">
        <v>22</v>
      </c>
      <c r="N1029" s="7">
        <v>9.5</v>
      </c>
      <c r="O1029" s="7" t="s">
        <v>179</v>
      </c>
      <c r="P1029" s="7" t="s">
        <v>179</v>
      </c>
    </row>
    <row r="1030" spans="1:16" x14ac:dyDescent="0.25">
      <c r="A1030" s="2" t="s">
        <v>181</v>
      </c>
      <c r="B1030" s="2" t="s">
        <v>190</v>
      </c>
      <c r="C1030" s="6" t="s">
        <v>137</v>
      </c>
      <c r="D1030" s="2" t="s">
        <v>105</v>
      </c>
      <c r="E1030" s="2"/>
      <c r="F1030" s="35">
        <v>2</v>
      </c>
      <c r="G1030" s="35">
        <v>-47.006929050451355</v>
      </c>
      <c r="H1030" s="35">
        <v>-18.842555358540189</v>
      </c>
      <c r="I1030" s="35">
        <v>0.24709721111888258</v>
      </c>
      <c r="J1030" s="35">
        <v>3.8289900504332328E-5</v>
      </c>
      <c r="K1030" s="35">
        <v>-9.9603532679360784E-2</v>
      </c>
      <c r="L1030" s="35">
        <v>-21.97305617669921</v>
      </c>
      <c r="M1030" s="58" t="s">
        <v>22</v>
      </c>
      <c r="N1030" s="7">
        <v>9.5</v>
      </c>
      <c r="O1030" s="7" t="s">
        <v>179</v>
      </c>
      <c r="P1030" s="7" t="s">
        <v>179</v>
      </c>
    </row>
    <row r="1031" spans="1:16" x14ac:dyDescent="0.25">
      <c r="A1031" s="2" t="s">
        <v>181</v>
      </c>
      <c r="B1031" s="2" t="s">
        <v>190</v>
      </c>
      <c r="C1031" s="6" t="s">
        <v>137</v>
      </c>
      <c r="D1031" s="2" t="s">
        <v>105</v>
      </c>
      <c r="E1031" s="2"/>
      <c r="F1031" s="35">
        <v>2</v>
      </c>
      <c r="G1031" s="35">
        <v>-47.231878199842718</v>
      </c>
      <c r="H1031" s="35">
        <v>-18.842541368207886</v>
      </c>
      <c r="I1031" s="35">
        <v>-1.3857754413873819E-2</v>
      </c>
      <c r="J1031" s="35">
        <v>-7.8798715988124031E-6</v>
      </c>
      <c r="K1031" s="35">
        <v>-9.9603532679360923E-2</v>
      </c>
      <c r="L1031" s="35">
        <v>-21.973105424456108</v>
      </c>
      <c r="M1031" s="58" t="s">
        <v>22</v>
      </c>
      <c r="N1031" s="7">
        <v>9.5</v>
      </c>
      <c r="O1031" s="7" t="s">
        <v>179</v>
      </c>
      <c r="P1031" s="7" t="s">
        <v>179</v>
      </c>
    </row>
    <row r="1032" spans="1:16" x14ac:dyDescent="0.25">
      <c r="A1032" s="2" t="s">
        <v>181</v>
      </c>
      <c r="B1032" s="2" t="s">
        <v>190</v>
      </c>
      <c r="C1032" s="6" t="s">
        <v>137</v>
      </c>
      <c r="D1032" s="2" t="s">
        <v>105</v>
      </c>
      <c r="E1032" s="2"/>
      <c r="F1032" s="35">
        <v>4.4982502942822435</v>
      </c>
      <c r="G1032" s="35">
        <v>-46.21534315299963</v>
      </c>
      <c r="H1032" s="35">
        <v>-18.842541368207886</v>
      </c>
      <c r="I1032" s="35">
        <v>-1.3857754413873819E-2</v>
      </c>
      <c r="J1032" s="35">
        <v>-7.8798715988124031E-6</v>
      </c>
      <c r="K1032" s="35">
        <v>-6.4983393636809578E-2</v>
      </c>
      <c r="L1032" s="35">
        <v>25.100279093694599</v>
      </c>
      <c r="M1032" s="58" t="s">
        <v>24</v>
      </c>
      <c r="N1032" s="7">
        <v>9.5</v>
      </c>
      <c r="O1032" s="7" t="s">
        <v>179</v>
      </c>
      <c r="P1032" s="7" t="s">
        <v>179</v>
      </c>
    </row>
    <row r="1033" spans="1:16" x14ac:dyDescent="0.25">
      <c r="A1033" s="2" t="s">
        <v>181</v>
      </c>
      <c r="B1033" s="2" t="s">
        <v>190</v>
      </c>
      <c r="C1033" s="6" t="s">
        <v>137</v>
      </c>
      <c r="D1033" s="2" t="s">
        <v>105</v>
      </c>
      <c r="E1033" s="2"/>
      <c r="F1033" s="35">
        <v>8.9965005885644871</v>
      </c>
      <c r="G1033" s="35">
        <v>-44.385010506156533</v>
      </c>
      <c r="H1033" s="35">
        <v>-18.842541368207886</v>
      </c>
      <c r="I1033" s="35">
        <v>-1.3857754413873819E-2</v>
      </c>
      <c r="J1033" s="35">
        <v>-7.8798715988124031E-6</v>
      </c>
      <c r="K1033" s="35">
        <v>-2.6477457665105915E-3</v>
      </c>
      <c r="L1033" s="35">
        <v>109.85874634826109</v>
      </c>
      <c r="M1033" s="58" t="s">
        <v>23</v>
      </c>
      <c r="N1033" s="7">
        <v>9.5</v>
      </c>
      <c r="O1033" s="7" t="s">
        <v>179</v>
      </c>
      <c r="P1033" s="7" t="s">
        <v>179</v>
      </c>
    </row>
    <row r="1034" spans="1:16" x14ac:dyDescent="0.25">
      <c r="A1034" s="2" t="s">
        <v>181</v>
      </c>
      <c r="B1034" s="2" t="s">
        <v>190</v>
      </c>
      <c r="C1034" s="6" t="s">
        <v>137</v>
      </c>
      <c r="D1034" s="2" t="s">
        <v>15</v>
      </c>
      <c r="E1034" s="2"/>
      <c r="F1034" s="35">
        <v>0</v>
      </c>
      <c r="G1034" s="35">
        <v>103.41634896548577</v>
      </c>
      <c r="H1034" s="35">
        <v>16.009806886278508</v>
      </c>
      <c r="I1034" s="35">
        <v>-4.6312839028449906</v>
      </c>
      <c r="J1034" s="35">
        <v>-8.0499458446423163E-4</v>
      </c>
      <c r="K1034" s="35">
        <v>-7.3727954894159184</v>
      </c>
      <c r="L1034" s="35">
        <v>92.728742952289124</v>
      </c>
      <c r="M1034" s="58" t="s">
        <v>22</v>
      </c>
      <c r="N1034" s="7">
        <v>9.5</v>
      </c>
      <c r="O1034" s="7" t="s">
        <v>179</v>
      </c>
      <c r="P1034" s="7" t="s">
        <v>179</v>
      </c>
    </row>
    <row r="1035" spans="1:16" x14ac:dyDescent="0.25">
      <c r="A1035" s="2" t="s">
        <v>181</v>
      </c>
      <c r="B1035" s="2" t="s">
        <v>190</v>
      </c>
      <c r="C1035" s="6" t="s">
        <v>137</v>
      </c>
      <c r="D1035" s="2" t="s">
        <v>15</v>
      </c>
      <c r="E1035" s="2"/>
      <c r="F1035" s="35">
        <v>2</v>
      </c>
      <c r="G1035" s="35">
        <v>104.23014656548577</v>
      </c>
      <c r="H1035" s="35">
        <v>27.769806886278506</v>
      </c>
      <c r="I1035" s="35">
        <v>-4.6312839028449897</v>
      </c>
      <c r="J1035" s="35">
        <v>-8.0499458446423163E-4</v>
      </c>
      <c r="K1035" s="35">
        <v>1.8897723162740616</v>
      </c>
      <c r="L1035" s="35">
        <v>48.949129179732125</v>
      </c>
      <c r="M1035" s="58" t="s">
        <v>22</v>
      </c>
      <c r="N1035" s="7">
        <v>9.5</v>
      </c>
      <c r="O1035" s="7" t="s">
        <v>179</v>
      </c>
      <c r="P1035" s="7" t="s">
        <v>179</v>
      </c>
    </row>
    <row r="1036" spans="1:16" x14ac:dyDescent="0.25">
      <c r="A1036" s="2" t="s">
        <v>181</v>
      </c>
      <c r="B1036" s="2" t="s">
        <v>190</v>
      </c>
      <c r="C1036" s="6" t="s">
        <v>137</v>
      </c>
      <c r="D1036" s="2" t="s">
        <v>15</v>
      </c>
      <c r="E1036" s="2"/>
      <c r="F1036" s="35">
        <v>2</v>
      </c>
      <c r="G1036" s="35">
        <v>108.82737641800298</v>
      </c>
      <c r="H1036" s="35">
        <v>27.769778230950326</v>
      </c>
      <c r="I1036" s="35">
        <v>0.25141407659577558</v>
      </c>
      <c r="J1036" s="35">
        <v>-7.277001659322951E-4</v>
      </c>
      <c r="K1036" s="35">
        <v>1.8897723162740585</v>
      </c>
      <c r="L1036" s="35">
        <v>48.949211627111879</v>
      </c>
      <c r="M1036" s="58" t="s">
        <v>22</v>
      </c>
      <c r="N1036" s="7">
        <v>9.5</v>
      </c>
      <c r="O1036" s="7" t="s">
        <v>179</v>
      </c>
      <c r="P1036" s="7" t="s">
        <v>179</v>
      </c>
    </row>
    <row r="1037" spans="1:16" x14ac:dyDescent="0.25">
      <c r="A1037" s="2" t="s">
        <v>181</v>
      </c>
      <c r="B1037" s="2" t="s">
        <v>190</v>
      </c>
      <c r="C1037" s="6" t="s">
        <v>137</v>
      </c>
      <c r="D1037" s="2" t="s">
        <v>15</v>
      </c>
      <c r="E1037" s="2"/>
      <c r="F1037" s="35">
        <v>4.4982502942822435</v>
      </c>
      <c r="G1037" s="35">
        <v>109.84391146484609</v>
      </c>
      <c r="H1037" s="35">
        <v>42.459489961329922</v>
      </c>
      <c r="I1037" s="35">
        <v>0.25141407659577647</v>
      </c>
      <c r="J1037" s="35">
        <v>-7.277001659322951E-4</v>
      </c>
      <c r="K1037" s="35">
        <v>1.2616770254319623</v>
      </c>
      <c r="L1037" s="35">
        <v>-38.775933337183496</v>
      </c>
      <c r="M1037" s="58" t="s">
        <v>24</v>
      </c>
      <c r="N1037" s="7">
        <v>9.5</v>
      </c>
      <c r="O1037" s="7" t="s">
        <v>179</v>
      </c>
      <c r="P1037" s="7" t="s">
        <v>179</v>
      </c>
    </row>
    <row r="1038" spans="1:16" x14ac:dyDescent="0.25">
      <c r="A1038" s="2" t="s">
        <v>181</v>
      </c>
      <c r="B1038" s="2" t="s">
        <v>190</v>
      </c>
      <c r="C1038" s="6" t="s">
        <v>137</v>
      </c>
      <c r="D1038" s="2" t="s">
        <v>15</v>
      </c>
      <c r="E1038" s="2"/>
      <c r="F1038" s="35">
        <v>8.9965005885644871</v>
      </c>
      <c r="G1038" s="35">
        <v>111.67424411168918</v>
      </c>
      <c r="H1038" s="35">
        <v>68.909201691709512</v>
      </c>
      <c r="I1038" s="35">
        <v>0.25141407659577808</v>
      </c>
      <c r="J1038" s="35">
        <v>-7.277001659322951E-4</v>
      </c>
      <c r="K1038" s="35">
        <v>0.13075358139830848</v>
      </c>
      <c r="L1038" s="35">
        <v>-289.25805833824006</v>
      </c>
      <c r="M1038" s="58" t="s">
        <v>23</v>
      </c>
      <c r="N1038" s="7">
        <v>9.5</v>
      </c>
      <c r="O1038" s="7" t="s">
        <v>179</v>
      </c>
      <c r="P1038" s="7" t="s">
        <v>179</v>
      </c>
    </row>
    <row r="1039" spans="1:16" x14ac:dyDescent="0.25">
      <c r="A1039" s="2" t="s">
        <v>181</v>
      </c>
      <c r="B1039" s="2" t="s">
        <v>190</v>
      </c>
      <c r="C1039" s="6" t="s">
        <v>137</v>
      </c>
      <c r="D1039" s="2" t="s">
        <v>16</v>
      </c>
      <c r="E1039" s="2"/>
      <c r="F1039" s="35">
        <v>0</v>
      </c>
      <c r="G1039" s="35">
        <v>60.834464975224932</v>
      </c>
      <c r="H1039" s="35">
        <v>11.438928465475435</v>
      </c>
      <c r="I1039" s="35">
        <v>-5.1409025848019958</v>
      </c>
      <c r="J1039" s="35">
        <v>-1.2906025692540439E-3</v>
      </c>
      <c r="K1039" s="35">
        <v>-8.1737976560183636</v>
      </c>
      <c r="L1039" s="35">
        <v>60.712800446242227</v>
      </c>
      <c r="M1039" s="58" t="s">
        <v>22</v>
      </c>
      <c r="N1039" s="7">
        <v>9.5</v>
      </c>
      <c r="O1039" s="7" t="s">
        <v>179</v>
      </c>
      <c r="P1039" s="7" t="s">
        <v>179</v>
      </c>
    </row>
    <row r="1040" spans="1:16" x14ac:dyDescent="0.25">
      <c r="A1040" s="2" t="s">
        <v>181</v>
      </c>
      <c r="B1040" s="2" t="s">
        <v>190</v>
      </c>
      <c r="C1040" s="6" t="s">
        <v>137</v>
      </c>
      <c r="D1040" s="2" t="s">
        <v>16</v>
      </c>
      <c r="E1040" s="2"/>
      <c r="F1040" s="35">
        <v>2</v>
      </c>
      <c r="G1040" s="35">
        <v>61.648262575224933</v>
      </c>
      <c r="H1040" s="35">
        <v>18.494928465475432</v>
      </c>
      <c r="I1040" s="35">
        <v>-5.1409025848019958</v>
      </c>
      <c r="J1040" s="35">
        <v>-1.2906025692540439E-3</v>
      </c>
      <c r="K1040" s="35">
        <v>2.1080075135856275</v>
      </c>
      <c r="L1040" s="35">
        <v>30.778943515291363</v>
      </c>
      <c r="M1040" s="58" t="s">
        <v>22</v>
      </c>
      <c r="N1040" s="7">
        <v>9.5</v>
      </c>
      <c r="O1040" s="7" t="s">
        <v>179</v>
      </c>
      <c r="P1040" s="7" t="s">
        <v>179</v>
      </c>
    </row>
    <row r="1041" spans="1:16" x14ac:dyDescent="0.25">
      <c r="A1041" s="2" t="s">
        <v>181</v>
      </c>
      <c r="B1041" s="2" t="s">
        <v>190</v>
      </c>
      <c r="C1041" s="6" t="s">
        <v>137</v>
      </c>
      <c r="D1041" s="2" t="s">
        <v>16</v>
      </c>
      <c r="E1041" s="2"/>
      <c r="F1041" s="35">
        <v>2</v>
      </c>
      <c r="G1041" s="35">
        <v>66.75054509175628</v>
      </c>
      <c r="H1041" s="35">
        <v>18.494913043590042</v>
      </c>
      <c r="I1041" s="35">
        <v>0.28051872223942387</v>
      </c>
      <c r="J1041" s="35">
        <v>-1.2397476690105978E-3</v>
      </c>
      <c r="K1041" s="35">
        <v>2.1080075135856262</v>
      </c>
      <c r="L1041" s="35">
        <v>30.778997760518244</v>
      </c>
      <c r="M1041" s="58" t="s">
        <v>22</v>
      </c>
      <c r="N1041" s="7">
        <v>9.5</v>
      </c>
      <c r="O1041" s="7" t="s">
        <v>179</v>
      </c>
      <c r="P1041" s="7" t="s">
        <v>179</v>
      </c>
    </row>
    <row r="1042" spans="1:16" x14ac:dyDescent="0.25">
      <c r="A1042" s="2" t="s">
        <v>181</v>
      </c>
      <c r="B1042" s="2" t="s">
        <v>190</v>
      </c>
      <c r="C1042" s="6" t="s">
        <v>137</v>
      </c>
      <c r="D1042" s="2" t="s">
        <v>16</v>
      </c>
      <c r="E1042" s="2"/>
      <c r="F1042" s="35">
        <v>4.4982502942822435</v>
      </c>
      <c r="G1042" s="35">
        <v>67.767080138599383</v>
      </c>
      <c r="H1042" s="35">
        <v>27.308740081817795</v>
      </c>
      <c r="I1042" s="35">
        <v>0.28051872223942437</v>
      </c>
      <c r="J1042" s="35">
        <v>-1.2397476690105978E-3</v>
      </c>
      <c r="K1042" s="35">
        <v>1.407201533199306</v>
      </c>
      <c r="L1042" s="35">
        <v>-26.435497189357726</v>
      </c>
      <c r="M1042" s="58" t="s">
        <v>24</v>
      </c>
      <c r="N1042" s="7">
        <v>9.5</v>
      </c>
      <c r="O1042" s="7" t="s">
        <v>179</v>
      </c>
      <c r="P1042" s="7" t="s">
        <v>179</v>
      </c>
    </row>
    <row r="1043" spans="1:16" x14ac:dyDescent="0.25">
      <c r="A1043" s="2" t="s">
        <v>181</v>
      </c>
      <c r="B1043" s="2" t="s">
        <v>190</v>
      </c>
      <c r="C1043" s="6" t="s">
        <v>137</v>
      </c>
      <c r="D1043" s="2" t="s">
        <v>16</v>
      </c>
      <c r="E1043" s="2"/>
      <c r="F1043" s="35">
        <v>8.9965005885644871</v>
      </c>
      <c r="G1043" s="35">
        <v>69.597412785442472</v>
      </c>
      <c r="H1043" s="35">
        <v>43.178567120045564</v>
      </c>
      <c r="I1043" s="35">
        <v>0.28051872223942537</v>
      </c>
      <c r="J1043" s="35">
        <v>-1.2397476690105978E-3</v>
      </c>
      <c r="K1043" s="35">
        <v>0.14535810833413373</v>
      </c>
      <c r="L1043" s="35">
        <v>-184.97027237133008</v>
      </c>
      <c r="M1043" s="58" t="s">
        <v>23</v>
      </c>
      <c r="N1043" s="7">
        <v>9.5</v>
      </c>
      <c r="O1043" s="7" t="s">
        <v>179</v>
      </c>
      <c r="P1043" s="7" t="s">
        <v>179</v>
      </c>
    </row>
    <row r="1044" spans="1:16" x14ac:dyDescent="0.25">
      <c r="A1044" s="2" t="s">
        <v>181</v>
      </c>
      <c r="B1044" s="2" t="s">
        <v>190</v>
      </c>
      <c r="C1044" s="6" t="s">
        <v>137</v>
      </c>
      <c r="D1044" s="2" t="s">
        <v>106</v>
      </c>
      <c r="E1044" s="2"/>
      <c r="F1044" s="35">
        <v>0</v>
      </c>
      <c r="G1044" s="35">
        <v>72.444292229902601</v>
      </c>
      <c r="H1044" s="35">
        <v>4.7000327560437194</v>
      </c>
      <c r="I1044" s="35">
        <v>4.0639375577890631</v>
      </c>
      <c r="J1044" s="35">
        <v>6.6701618830944712E-4</v>
      </c>
      <c r="K1044" s="35">
        <v>6.4830113043726794</v>
      </c>
      <c r="L1044" s="35">
        <v>46.138988435028047</v>
      </c>
      <c r="M1044" s="58" t="s">
        <v>22</v>
      </c>
      <c r="N1044" s="7">
        <v>9.5</v>
      </c>
      <c r="O1044" s="7" t="s">
        <v>179</v>
      </c>
      <c r="P1044" s="7" t="s">
        <v>179</v>
      </c>
    </row>
    <row r="1045" spans="1:16" x14ac:dyDescent="0.25">
      <c r="A1045" s="2" t="s">
        <v>181</v>
      </c>
      <c r="B1045" s="2" t="s">
        <v>190</v>
      </c>
      <c r="C1045" s="6" t="s">
        <v>137</v>
      </c>
      <c r="D1045" s="2" t="s">
        <v>106</v>
      </c>
      <c r="E1045" s="2"/>
      <c r="F1045" s="35">
        <v>2</v>
      </c>
      <c r="G1045" s="35">
        <v>73.258089829902602</v>
      </c>
      <c r="H1045" s="35">
        <v>13.100032756043719</v>
      </c>
      <c r="I1045" s="35">
        <v>4.063937557789064</v>
      </c>
      <c r="J1045" s="35">
        <v>6.6701618830944712E-4</v>
      </c>
      <c r="K1045" s="35">
        <v>-1.6448638112054463</v>
      </c>
      <c r="L1045" s="35">
        <v>28.338922922940618</v>
      </c>
      <c r="M1045" s="58" t="s">
        <v>22</v>
      </c>
      <c r="N1045" s="7">
        <v>9.5</v>
      </c>
      <c r="O1045" s="7" t="s">
        <v>179</v>
      </c>
      <c r="P1045" s="7" t="s">
        <v>179</v>
      </c>
    </row>
    <row r="1046" spans="1:16" x14ac:dyDescent="0.25">
      <c r="A1046" s="2" t="s">
        <v>181</v>
      </c>
      <c r="B1046" s="2" t="s">
        <v>190</v>
      </c>
      <c r="C1046" s="6" t="s">
        <v>137</v>
      </c>
      <c r="D1046" s="2" t="s">
        <v>106</v>
      </c>
      <c r="E1046" s="2"/>
      <c r="F1046" s="35">
        <v>2</v>
      </c>
      <c r="G1046" s="35">
        <v>69.2616603976238</v>
      </c>
      <c r="H1046" s="35">
        <v>13.10001252812051</v>
      </c>
      <c r="I1046" s="35">
        <v>-0.21992159241034925</v>
      </c>
      <c r="J1046" s="35">
        <v>7.0527694907606276E-4</v>
      </c>
      <c r="K1046" s="35">
        <v>-1.6448638112054472</v>
      </c>
      <c r="L1046" s="35">
        <v>28.33896373441878</v>
      </c>
      <c r="M1046" s="58" t="s">
        <v>22</v>
      </c>
      <c r="N1046" s="7">
        <v>9.5</v>
      </c>
      <c r="O1046" s="7" t="s">
        <v>179</v>
      </c>
      <c r="P1046" s="7" t="s">
        <v>179</v>
      </c>
    </row>
    <row r="1047" spans="1:16" x14ac:dyDescent="0.25">
      <c r="A1047" s="2" t="s">
        <v>181</v>
      </c>
      <c r="B1047" s="2" t="s">
        <v>190</v>
      </c>
      <c r="C1047" s="6" t="s">
        <v>137</v>
      </c>
      <c r="D1047" s="2" t="s">
        <v>106</v>
      </c>
      <c r="E1047" s="2"/>
      <c r="F1047" s="35">
        <v>4.4982502942822435</v>
      </c>
      <c r="G1047" s="35">
        <v>70.278195444466903</v>
      </c>
      <c r="H1047" s="35">
        <v>23.592663764105939</v>
      </c>
      <c r="I1047" s="35">
        <v>-0.21992159241034859</v>
      </c>
      <c r="J1047" s="35">
        <v>7.0527694907606276E-4</v>
      </c>
      <c r="K1047" s="35">
        <v>-1.0954446282472734</v>
      </c>
      <c r="L1047" s="35">
        <v>-17.494780938110136</v>
      </c>
      <c r="M1047" s="58" t="s">
        <v>24</v>
      </c>
      <c r="N1047" s="7">
        <v>9.5</v>
      </c>
      <c r="O1047" s="7" t="s">
        <v>179</v>
      </c>
      <c r="P1047" s="7" t="s">
        <v>179</v>
      </c>
    </row>
    <row r="1048" spans="1:16" x14ac:dyDescent="0.25">
      <c r="A1048" s="2" t="s">
        <v>181</v>
      </c>
      <c r="B1048" s="2" t="s">
        <v>190</v>
      </c>
      <c r="C1048" s="6" t="s">
        <v>137</v>
      </c>
      <c r="D1048" s="2" t="s">
        <v>106</v>
      </c>
      <c r="E1048" s="2"/>
      <c r="F1048" s="35">
        <v>8.9965005885644871</v>
      </c>
      <c r="G1048" s="35">
        <v>72.108528091309992</v>
      </c>
      <c r="H1048" s="35">
        <v>42.485315000091376</v>
      </c>
      <c r="I1048" s="35">
        <v>-0.21992159241034742</v>
      </c>
      <c r="J1048" s="35">
        <v>7.0527694907606276E-4</v>
      </c>
      <c r="K1048" s="35">
        <v>-0.10618226046840565</v>
      </c>
      <c r="L1048" s="35">
        <v>-166.11242464892337</v>
      </c>
      <c r="M1048" s="58" t="s">
        <v>23</v>
      </c>
      <c r="N1048" s="7">
        <v>9.5</v>
      </c>
      <c r="O1048" s="7" t="s">
        <v>179</v>
      </c>
      <c r="P1048" s="7" t="s">
        <v>179</v>
      </c>
    </row>
    <row r="1049" spans="1:16" x14ac:dyDescent="0.25">
      <c r="A1049" s="2" t="s">
        <v>181</v>
      </c>
      <c r="B1049" s="2" t="s">
        <v>190</v>
      </c>
      <c r="C1049" s="6" t="s">
        <v>137</v>
      </c>
      <c r="D1049" s="2" t="s">
        <v>107</v>
      </c>
      <c r="E1049" s="2"/>
      <c r="F1049" s="35">
        <v>0</v>
      </c>
      <c r="G1049" s="35">
        <v>30.356939470707527</v>
      </c>
      <c r="H1049" s="35">
        <v>0.26293569204188127</v>
      </c>
      <c r="I1049" s="35">
        <v>3.5588225395870774</v>
      </c>
      <c r="J1049" s="35">
        <v>1.8046463425527758E-4</v>
      </c>
      <c r="K1049" s="35">
        <v>5.6891323753436822</v>
      </c>
      <c r="L1049" s="35">
        <v>14.519370530816243</v>
      </c>
      <c r="M1049" s="58" t="s">
        <v>22</v>
      </c>
      <c r="N1049" s="7">
        <v>9.5</v>
      </c>
      <c r="O1049" s="7" t="s">
        <v>179</v>
      </c>
      <c r="P1049" s="7" t="s">
        <v>179</v>
      </c>
    </row>
    <row r="1050" spans="1:16" x14ac:dyDescent="0.25">
      <c r="A1050" s="2" t="s">
        <v>181</v>
      </c>
      <c r="B1050" s="2" t="s">
        <v>190</v>
      </c>
      <c r="C1050" s="6" t="s">
        <v>137</v>
      </c>
      <c r="D1050" s="2" t="s">
        <v>107</v>
      </c>
      <c r="E1050" s="2"/>
      <c r="F1050" s="35">
        <v>2</v>
      </c>
      <c r="G1050" s="35">
        <v>31.170737070707524</v>
      </c>
      <c r="H1050" s="35">
        <v>3.9589356920418806</v>
      </c>
      <c r="I1050" s="35">
        <v>3.5588225395870774</v>
      </c>
      <c r="J1050" s="35">
        <v>1.8046463425527758E-4</v>
      </c>
      <c r="K1050" s="35">
        <v>-1.4285127038304724</v>
      </c>
      <c r="L1050" s="35">
        <v>10.297499146732479</v>
      </c>
      <c r="M1050" s="58" t="s">
        <v>22</v>
      </c>
      <c r="N1050" s="7">
        <v>9.5</v>
      </c>
      <c r="O1050" s="7" t="s">
        <v>179</v>
      </c>
      <c r="P1050" s="7" t="s">
        <v>179</v>
      </c>
    </row>
    <row r="1051" spans="1:16" x14ac:dyDescent="0.25">
      <c r="A1051" s="2" t="s">
        <v>181</v>
      </c>
      <c r="B1051" s="2" t="s">
        <v>190</v>
      </c>
      <c r="C1051" s="6" t="s">
        <v>137</v>
      </c>
      <c r="D1051" s="2" t="s">
        <v>107</v>
      </c>
      <c r="E1051" s="2"/>
      <c r="F1051" s="35">
        <v>2</v>
      </c>
      <c r="G1051" s="35">
        <v>27.67490259988184</v>
      </c>
      <c r="H1051" s="35">
        <v>3.9589285850795197</v>
      </c>
      <c r="I1051" s="35">
        <v>-0.19106814426176019</v>
      </c>
      <c r="J1051" s="35">
        <v>1.9283278742068664E-4</v>
      </c>
      <c r="K1051" s="35">
        <v>-1.4285127038304715</v>
      </c>
      <c r="L1051" s="35">
        <v>10.297512339429161</v>
      </c>
      <c r="M1051" s="58" t="s">
        <v>22</v>
      </c>
      <c r="N1051" s="7">
        <v>9.5</v>
      </c>
      <c r="O1051" s="7" t="s">
        <v>179</v>
      </c>
      <c r="P1051" s="7" t="s">
        <v>179</v>
      </c>
    </row>
    <row r="1052" spans="1:16" x14ac:dyDescent="0.25">
      <c r="A1052" s="2" t="s">
        <v>181</v>
      </c>
      <c r="B1052" s="2" t="s">
        <v>190</v>
      </c>
      <c r="C1052" s="6" t="s">
        <v>137</v>
      </c>
      <c r="D1052" s="2" t="s">
        <v>107</v>
      </c>
      <c r="E1052" s="2"/>
      <c r="F1052" s="35">
        <v>4.4982502942822435</v>
      </c>
      <c r="G1052" s="35">
        <v>28.691437646724928</v>
      </c>
      <c r="H1052" s="35">
        <v>8.5756951289131074</v>
      </c>
      <c r="I1052" s="35">
        <v>-0.19106814426175991</v>
      </c>
      <c r="J1052" s="35">
        <v>1.9283278742068664E-4</v>
      </c>
      <c r="K1052" s="35">
        <v>-0.95117665620056713</v>
      </c>
      <c r="L1052" s="35">
        <v>-5.3598013516704706</v>
      </c>
      <c r="M1052" s="58" t="s">
        <v>24</v>
      </c>
      <c r="N1052" s="7">
        <v>9.5</v>
      </c>
      <c r="O1052" s="7" t="s">
        <v>179</v>
      </c>
      <c r="P1052" s="7" t="s">
        <v>179</v>
      </c>
    </row>
    <row r="1053" spans="1:16" x14ac:dyDescent="0.25">
      <c r="A1053" s="2" t="s">
        <v>181</v>
      </c>
      <c r="B1053" s="2" t="s">
        <v>190</v>
      </c>
      <c r="C1053" s="6" t="s">
        <v>137</v>
      </c>
      <c r="D1053" s="2" t="s">
        <v>107</v>
      </c>
      <c r="E1053" s="2"/>
      <c r="F1053" s="35">
        <v>8.9965005885644871</v>
      </c>
      <c r="G1053" s="35">
        <v>30.521770293568022</v>
      </c>
      <c r="H1053" s="35">
        <v>16.888461672746697</v>
      </c>
      <c r="I1053" s="35">
        <v>-0.19106814426175944</v>
      </c>
      <c r="J1053" s="35">
        <v>1.9283278742068664E-4</v>
      </c>
      <c r="K1053" s="35">
        <v>-9.1704320047144405E-2</v>
      </c>
      <c r="L1053" s="35">
        <v>-62.631876765028188</v>
      </c>
      <c r="M1053" s="58" t="s">
        <v>23</v>
      </c>
      <c r="N1053" s="7">
        <v>9.5</v>
      </c>
      <c r="O1053" s="7" t="s">
        <v>179</v>
      </c>
      <c r="P1053" s="7" t="s">
        <v>179</v>
      </c>
    </row>
    <row r="1054" spans="1:16" x14ac:dyDescent="0.25">
      <c r="A1054" s="2" t="s">
        <v>181</v>
      </c>
      <c r="B1054" s="2" t="s">
        <v>190</v>
      </c>
      <c r="C1054" s="6" t="s">
        <v>137</v>
      </c>
      <c r="D1054" s="2" t="s">
        <v>108</v>
      </c>
      <c r="E1054" s="2"/>
      <c r="F1054" s="35">
        <v>0</v>
      </c>
      <c r="G1054" s="35">
        <v>81.376728294143177</v>
      </c>
      <c r="H1054" s="35">
        <v>52.470496836595707</v>
      </c>
      <c r="I1054" s="35">
        <v>1.6933911615801787</v>
      </c>
      <c r="J1054" s="35">
        <v>1.1986242500873221E-3</v>
      </c>
      <c r="K1054" s="35">
        <v>2.6614009000955847</v>
      </c>
      <c r="L1054" s="35">
        <v>159.38478588955869</v>
      </c>
      <c r="M1054" s="58" t="s">
        <v>22</v>
      </c>
      <c r="N1054" s="7">
        <v>9.5</v>
      </c>
      <c r="O1054" s="7" t="s">
        <v>179</v>
      </c>
      <c r="P1054" s="7" t="s">
        <v>179</v>
      </c>
    </row>
    <row r="1055" spans="1:16" x14ac:dyDescent="0.25">
      <c r="A1055" s="2" t="s">
        <v>181</v>
      </c>
      <c r="B1055" s="2" t="s">
        <v>190</v>
      </c>
      <c r="C1055" s="6" t="s">
        <v>137</v>
      </c>
      <c r="D1055" s="2" t="s">
        <v>108</v>
      </c>
      <c r="E1055" s="2"/>
      <c r="F1055" s="35">
        <v>2</v>
      </c>
      <c r="G1055" s="35">
        <v>82.190525894143164</v>
      </c>
      <c r="H1055" s="35">
        <v>46.422496836595705</v>
      </c>
      <c r="I1055" s="35">
        <v>1.6933911615801782</v>
      </c>
      <c r="J1055" s="35">
        <v>1.1986242500873221E-3</v>
      </c>
      <c r="K1055" s="35">
        <v>-0.72538142306477194</v>
      </c>
      <c r="L1055" s="35">
        <v>60.491792216367287</v>
      </c>
      <c r="M1055" s="58" t="s">
        <v>22</v>
      </c>
      <c r="N1055" s="7">
        <v>9.5</v>
      </c>
      <c r="O1055" s="7" t="s">
        <v>179</v>
      </c>
      <c r="P1055" s="7" t="s">
        <v>179</v>
      </c>
    </row>
    <row r="1056" spans="1:16" x14ac:dyDescent="0.25">
      <c r="A1056" s="2" t="s">
        <v>181</v>
      </c>
      <c r="B1056" s="2" t="s">
        <v>190</v>
      </c>
      <c r="C1056" s="6" t="s">
        <v>137</v>
      </c>
      <c r="D1056" s="2" t="s">
        <v>108</v>
      </c>
      <c r="E1056" s="2"/>
      <c r="F1056" s="35">
        <v>2</v>
      </c>
      <c r="G1056" s="35">
        <v>80.531441250079993</v>
      </c>
      <c r="H1056" s="35">
        <v>46.4224663931981</v>
      </c>
      <c r="I1056" s="35">
        <v>-9.7311391847749326E-2</v>
      </c>
      <c r="J1056" s="35">
        <v>1.2883258920783152E-3</v>
      </c>
      <c r="K1056" s="35">
        <v>-0.72538142306477205</v>
      </c>
      <c r="L1056" s="35">
        <v>60.491887898118641</v>
      </c>
      <c r="M1056" s="58" t="s">
        <v>22</v>
      </c>
      <c r="N1056" s="7">
        <v>9.5</v>
      </c>
      <c r="O1056" s="7" t="s">
        <v>179</v>
      </c>
      <c r="P1056" s="7" t="s">
        <v>179</v>
      </c>
    </row>
    <row r="1057" spans="1:16" x14ac:dyDescent="0.25">
      <c r="A1057" s="2" t="s">
        <v>181</v>
      </c>
      <c r="B1057" s="2" t="s">
        <v>190</v>
      </c>
      <c r="C1057" s="6" t="s">
        <v>137</v>
      </c>
      <c r="D1057" s="2" t="s">
        <v>108</v>
      </c>
      <c r="E1057" s="2"/>
      <c r="F1057" s="35">
        <v>4.4982502942822435</v>
      </c>
      <c r="G1057" s="35">
        <v>81.547976296923096</v>
      </c>
      <c r="H1057" s="35">
        <v>38.867757503288594</v>
      </c>
      <c r="I1057" s="35">
        <v>-9.7311391847749784E-2</v>
      </c>
      <c r="J1057" s="35">
        <v>1.2883258920783152E-3</v>
      </c>
      <c r="K1057" s="35">
        <v>-0.48227320974411703</v>
      </c>
      <c r="L1057" s="35">
        <v>-46.046275576279527</v>
      </c>
      <c r="M1057" s="58" t="s">
        <v>24</v>
      </c>
      <c r="N1057" s="7">
        <v>9.5</v>
      </c>
      <c r="O1057" s="7" t="s">
        <v>179</v>
      </c>
      <c r="P1057" s="7" t="s">
        <v>179</v>
      </c>
    </row>
    <row r="1058" spans="1:16" x14ac:dyDescent="0.25">
      <c r="A1058" s="2" t="s">
        <v>181</v>
      </c>
      <c r="B1058" s="2" t="s">
        <v>190</v>
      </c>
      <c r="C1058" s="6" t="s">
        <v>137</v>
      </c>
      <c r="D1058" s="2" t="s">
        <v>108</v>
      </c>
      <c r="E1058" s="2"/>
      <c r="F1058" s="35">
        <v>8.9965005885644871</v>
      </c>
      <c r="G1058" s="35">
        <v>83.378308943766186</v>
      </c>
      <c r="H1058" s="35">
        <v>25.265048613379086</v>
      </c>
      <c r="I1058" s="35">
        <v>-9.7311391847750617E-2</v>
      </c>
      <c r="J1058" s="35">
        <v>1.2883258920783152E-3</v>
      </c>
      <c r="K1058" s="35">
        <v>-4.454221272795985E-2</v>
      </c>
      <c r="L1058" s="35">
        <v>-190.28898257000276</v>
      </c>
      <c r="M1058" s="58" t="s">
        <v>23</v>
      </c>
      <c r="N1058" s="7">
        <v>9.5</v>
      </c>
      <c r="O1058" s="7" t="s">
        <v>179</v>
      </c>
      <c r="P1058" s="7" t="s">
        <v>179</v>
      </c>
    </row>
    <row r="1059" spans="1:16" x14ac:dyDescent="0.25">
      <c r="A1059" s="2" t="s">
        <v>181</v>
      </c>
      <c r="B1059" s="2" t="s">
        <v>190</v>
      </c>
      <c r="C1059" s="6" t="s">
        <v>137</v>
      </c>
      <c r="D1059" s="2" t="s">
        <v>109</v>
      </c>
      <c r="E1059" s="2"/>
      <c r="F1059" s="35">
        <v>0</v>
      </c>
      <c r="G1059" s="35">
        <v>-41.895174151642387</v>
      </c>
      <c r="H1059" s="35">
        <v>25.972985741673423</v>
      </c>
      <c r="I1059" s="35">
        <v>1.5495210047428991</v>
      </c>
      <c r="J1059" s="35">
        <v>7.9231592870888945E-4</v>
      </c>
      <c r="K1059" s="35">
        <v>2.4398732339912996</v>
      </c>
      <c r="L1059" s="35">
        <v>81.016107576712102</v>
      </c>
      <c r="M1059" s="58" t="s">
        <v>22</v>
      </c>
      <c r="N1059" s="7">
        <v>9.5</v>
      </c>
      <c r="O1059" s="7" t="s">
        <v>179</v>
      </c>
      <c r="P1059" s="7" t="s">
        <v>179</v>
      </c>
    </row>
    <row r="1060" spans="1:16" x14ac:dyDescent="0.25">
      <c r="A1060" s="2" t="s">
        <v>181</v>
      </c>
      <c r="B1060" s="2" t="s">
        <v>190</v>
      </c>
      <c r="C1060" s="6" t="s">
        <v>137</v>
      </c>
      <c r="D1060" s="2" t="s">
        <v>109</v>
      </c>
      <c r="E1060" s="2"/>
      <c r="F1060" s="35">
        <v>2</v>
      </c>
      <c r="G1060" s="35">
        <v>-41.081376551642393</v>
      </c>
      <c r="H1060" s="35">
        <v>15.220985741673417</v>
      </c>
      <c r="I1060" s="35">
        <v>1.5495210047428984</v>
      </c>
      <c r="J1060" s="35">
        <v>7.9231592870888945E-4</v>
      </c>
      <c r="K1060" s="35">
        <v>-0.65916877549449748</v>
      </c>
      <c r="L1060" s="35">
        <v>39.822136093365259</v>
      </c>
      <c r="M1060" s="58" t="s">
        <v>22</v>
      </c>
      <c r="N1060" s="7">
        <v>9.5</v>
      </c>
      <c r="O1060" s="7" t="s">
        <v>179</v>
      </c>
      <c r="P1060" s="7" t="s">
        <v>179</v>
      </c>
    </row>
    <row r="1061" spans="1:16" x14ac:dyDescent="0.25">
      <c r="A1061" s="2" t="s">
        <v>181</v>
      </c>
      <c r="B1061" s="2" t="s">
        <v>190</v>
      </c>
      <c r="C1061" s="6" t="s">
        <v>137</v>
      </c>
      <c r="D1061" s="2" t="s">
        <v>109</v>
      </c>
      <c r="E1061" s="2"/>
      <c r="F1061" s="35">
        <v>2</v>
      </c>
      <c r="G1061" s="35">
        <v>-42.597305287917983</v>
      </c>
      <c r="H1061" s="35">
        <v>15.220986776243901</v>
      </c>
      <c r="I1061" s="35">
        <v>-8.8482322026189567E-2</v>
      </c>
      <c r="J1061" s="35">
        <v>7.5956753372736227E-4</v>
      </c>
      <c r="K1061" s="35">
        <v>-0.65916877549449771</v>
      </c>
      <c r="L1061" s="35">
        <v>39.822101161743873</v>
      </c>
      <c r="M1061" s="58" t="s">
        <v>22</v>
      </c>
      <c r="N1061" s="7">
        <v>9.5</v>
      </c>
      <c r="O1061" s="7" t="s">
        <v>179</v>
      </c>
      <c r="P1061" s="7" t="s">
        <v>179</v>
      </c>
    </row>
    <row r="1062" spans="1:16" x14ac:dyDescent="0.25">
      <c r="A1062" s="2" t="s">
        <v>181</v>
      </c>
      <c r="B1062" s="2" t="s">
        <v>190</v>
      </c>
      <c r="C1062" s="6" t="s">
        <v>137</v>
      </c>
      <c r="D1062" s="2" t="s">
        <v>109</v>
      </c>
      <c r="E1062" s="2"/>
      <c r="F1062" s="35">
        <v>4.4982502942822435</v>
      </c>
      <c r="G1062" s="35">
        <v>-41.580770241074894</v>
      </c>
      <c r="H1062" s="35">
        <v>1.7903931941825573</v>
      </c>
      <c r="I1062" s="35">
        <v>-8.8482322026190385E-2</v>
      </c>
      <c r="J1062" s="35">
        <v>7.5956753372736227E-4</v>
      </c>
      <c r="K1062" s="35">
        <v>-0.43811778845379235</v>
      </c>
      <c r="L1062" s="35">
        <v>18.572758653111393</v>
      </c>
      <c r="M1062" s="58" t="s">
        <v>24</v>
      </c>
      <c r="N1062" s="7">
        <v>9.5</v>
      </c>
      <c r="O1062" s="7" t="s">
        <v>179</v>
      </c>
      <c r="P1062" s="7" t="s">
        <v>179</v>
      </c>
    </row>
    <row r="1063" spans="1:16" x14ac:dyDescent="0.25">
      <c r="A1063" s="2" t="s">
        <v>181</v>
      </c>
      <c r="B1063" s="2" t="s">
        <v>190</v>
      </c>
      <c r="C1063" s="6" t="s">
        <v>137</v>
      </c>
      <c r="D1063" s="2" t="s">
        <v>109</v>
      </c>
      <c r="E1063" s="2"/>
      <c r="F1063" s="35">
        <v>8.9965005885644871</v>
      </c>
      <c r="G1063" s="35">
        <v>-39.750437594231798</v>
      </c>
      <c r="H1063" s="35">
        <v>-22.392200387878791</v>
      </c>
      <c r="I1063" s="35">
        <v>-8.8482322026191856E-2</v>
      </c>
      <c r="J1063" s="35">
        <v>7.5956753372736227E-4</v>
      </c>
      <c r="K1063" s="35">
        <v>-4.010215736070176E-2</v>
      </c>
      <c r="L1063" s="35">
        <v>64.908801289006476</v>
      </c>
      <c r="M1063" s="58" t="s">
        <v>23</v>
      </c>
      <c r="N1063" s="7">
        <v>9.5</v>
      </c>
      <c r="O1063" s="7" t="s">
        <v>179</v>
      </c>
      <c r="P1063" s="7" t="s">
        <v>179</v>
      </c>
    </row>
    <row r="1064" spans="1:16" x14ac:dyDescent="0.25">
      <c r="A1064" s="2" t="s">
        <v>181</v>
      </c>
      <c r="B1064" s="2" t="s">
        <v>190</v>
      </c>
      <c r="C1064" s="6" t="s">
        <v>137</v>
      </c>
      <c r="D1064" s="2" t="s">
        <v>110</v>
      </c>
      <c r="E1064" s="2"/>
      <c r="F1064" s="35">
        <v>0</v>
      </c>
      <c r="G1064" s="35">
        <v>58.428739425678167</v>
      </c>
      <c r="H1064" s="35">
        <v>3.4500477955133166</v>
      </c>
      <c r="I1064" s="35">
        <v>1.3654456693761081</v>
      </c>
      <c r="J1064" s="35">
        <v>1.2323134000505503E-3</v>
      </c>
      <c r="K1064" s="35">
        <v>2.150662128027832</v>
      </c>
      <c r="L1064" s="35">
        <v>17.133442531780169</v>
      </c>
      <c r="M1064" s="58" t="s">
        <v>22</v>
      </c>
      <c r="N1064" s="7">
        <v>9.5</v>
      </c>
      <c r="O1064" s="7" t="s">
        <v>179</v>
      </c>
      <c r="P1064" s="7" t="s">
        <v>179</v>
      </c>
    </row>
    <row r="1065" spans="1:16" x14ac:dyDescent="0.25">
      <c r="A1065" s="2" t="s">
        <v>181</v>
      </c>
      <c r="B1065" s="2" t="s">
        <v>190</v>
      </c>
      <c r="C1065" s="6" t="s">
        <v>137</v>
      </c>
      <c r="D1065" s="2" t="s">
        <v>110</v>
      </c>
      <c r="E1065" s="2"/>
      <c r="F1065" s="35">
        <v>2</v>
      </c>
      <c r="G1065" s="35">
        <v>59.24253702567816</v>
      </c>
      <c r="H1065" s="35">
        <v>9.8340477955133156</v>
      </c>
      <c r="I1065" s="35">
        <v>1.3654456693761086</v>
      </c>
      <c r="J1065" s="35">
        <v>1.2323134000505503E-3</v>
      </c>
      <c r="K1065" s="35">
        <v>-0.58022921072438427</v>
      </c>
      <c r="L1065" s="35">
        <v>3.8493469407535352</v>
      </c>
      <c r="M1065" s="58" t="s">
        <v>22</v>
      </c>
      <c r="N1065" s="7">
        <v>9.5</v>
      </c>
      <c r="O1065" s="7" t="s">
        <v>179</v>
      </c>
      <c r="P1065" s="7" t="s">
        <v>179</v>
      </c>
    </row>
    <row r="1066" spans="1:16" x14ac:dyDescent="0.25">
      <c r="A1066" s="2" t="s">
        <v>181</v>
      </c>
      <c r="B1066" s="2" t="s">
        <v>190</v>
      </c>
      <c r="C1066" s="6" t="s">
        <v>137</v>
      </c>
      <c r="D1066" s="2" t="s">
        <v>110</v>
      </c>
      <c r="E1066" s="2"/>
      <c r="F1066" s="35">
        <v>2</v>
      </c>
      <c r="G1066" s="35">
        <v>57.90904943281415</v>
      </c>
      <c r="H1066" s="35">
        <v>9.8340285127172749</v>
      </c>
      <c r="I1066" s="35">
        <v>-7.7951914527363539E-2</v>
      </c>
      <c r="J1066" s="35">
        <v>1.2917470325060185E-3</v>
      </c>
      <c r="K1066" s="35">
        <v>-0.58022921072438394</v>
      </c>
      <c r="L1066" s="35">
        <v>3.8494103366282033</v>
      </c>
      <c r="M1066" s="58" t="s">
        <v>22</v>
      </c>
      <c r="N1066" s="7">
        <v>9.5</v>
      </c>
      <c r="O1066" s="7" t="s">
        <v>179</v>
      </c>
      <c r="P1066" s="7" t="s">
        <v>179</v>
      </c>
    </row>
    <row r="1067" spans="1:16" x14ac:dyDescent="0.25">
      <c r="A1067" s="2" t="s">
        <v>181</v>
      </c>
      <c r="B1067" s="2" t="s">
        <v>190</v>
      </c>
      <c r="C1067" s="6" t="s">
        <v>137</v>
      </c>
      <c r="D1067" s="2" t="s">
        <v>110</v>
      </c>
      <c r="E1067" s="2"/>
      <c r="F1067" s="35">
        <v>4.4982502942822435</v>
      </c>
      <c r="G1067" s="35">
        <v>58.925584479657253</v>
      </c>
      <c r="H1067" s="35">
        <v>17.8084434520662</v>
      </c>
      <c r="I1067" s="35">
        <v>-7.7951914527363039E-2</v>
      </c>
      <c r="J1067" s="35">
        <v>1.2917470325060185E-3</v>
      </c>
      <c r="K1067" s="35">
        <v>-0.38548581731653425</v>
      </c>
      <c r="L1067" s="35">
        <v>-30.679496523726279</v>
      </c>
      <c r="M1067" s="58" t="s">
        <v>24</v>
      </c>
      <c r="N1067" s="7">
        <v>9.5</v>
      </c>
      <c r="O1067" s="7" t="s">
        <v>179</v>
      </c>
      <c r="P1067" s="7" t="s">
        <v>179</v>
      </c>
    </row>
    <row r="1068" spans="1:16" x14ac:dyDescent="0.25">
      <c r="A1068" s="2" t="s">
        <v>181</v>
      </c>
      <c r="B1068" s="2" t="s">
        <v>190</v>
      </c>
      <c r="C1068" s="6" t="s">
        <v>137</v>
      </c>
      <c r="D1068" s="2" t="s">
        <v>110</v>
      </c>
      <c r="E1068" s="2"/>
      <c r="F1068" s="35">
        <v>8.9965005885644871</v>
      </c>
      <c r="G1068" s="35">
        <v>60.755917126500343</v>
      </c>
      <c r="H1068" s="35">
        <v>32.166858391415126</v>
      </c>
      <c r="I1068" s="35">
        <v>-7.7951914527362179E-2</v>
      </c>
      <c r="J1068" s="35">
        <v>1.2917470325060185E-3</v>
      </c>
      <c r="K1068" s="35">
        <v>-3.4838594853961007E-2</v>
      </c>
      <c r="L1068" s="35">
        <v>-143.08020463586823</v>
      </c>
      <c r="M1068" s="58" t="s">
        <v>23</v>
      </c>
      <c r="N1068" s="7">
        <v>9.5</v>
      </c>
      <c r="O1068" s="7" t="s">
        <v>179</v>
      </c>
      <c r="P1068" s="7" t="s">
        <v>179</v>
      </c>
    </row>
    <row r="1069" spans="1:16" x14ac:dyDescent="0.25">
      <c r="A1069" s="2" t="s">
        <v>181</v>
      </c>
      <c r="B1069" s="2" t="s">
        <v>190</v>
      </c>
      <c r="C1069" s="6" t="s">
        <v>137</v>
      </c>
      <c r="D1069" s="2" t="s">
        <v>111</v>
      </c>
      <c r="E1069" s="2"/>
      <c r="F1069" s="35">
        <v>0</v>
      </c>
      <c r="G1069" s="35">
        <v>6.1277197163629484</v>
      </c>
      <c r="H1069" s="35">
        <v>-12.331463658196169</v>
      </c>
      <c r="I1069" s="35">
        <v>1.2886289919456704</v>
      </c>
      <c r="J1069" s="35">
        <v>7.2326378198328903E-4</v>
      </c>
      <c r="K1069" s="35">
        <v>2.0362577671095115</v>
      </c>
      <c r="L1069" s="35">
        <v>-75.860112125035599</v>
      </c>
      <c r="M1069" s="58" t="s">
        <v>22</v>
      </c>
      <c r="N1069" s="7">
        <v>9.5</v>
      </c>
      <c r="O1069" s="7" t="s">
        <v>179</v>
      </c>
      <c r="P1069" s="7" t="s">
        <v>179</v>
      </c>
    </row>
    <row r="1070" spans="1:16" x14ac:dyDescent="0.25">
      <c r="A1070" s="2" t="s">
        <v>181</v>
      </c>
      <c r="B1070" s="2" t="s">
        <v>190</v>
      </c>
      <c r="C1070" s="6" t="s">
        <v>137</v>
      </c>
      <c r="D1070" s="2" t="s">
        <v>111</v>
      </c>
      <c r="E1070" s="2"/>
      <c r="F1070" s="35">
        <v>2</v>
      </c>
      <c r="G1070" s="35">
        <v>6.9415173163629467</v>
      </c>
      <c r="H1070" s="35">
        <v>-10.651463658196167</v>
      </c>
      <c r="I1070" s="35">
        <v>1.2886289919456704</v>
      </c>
      <c r="J1070" s="35">
        <v>7.2326378198328903E-4</v>
      </c>
      <c r="K1070" s="35">
        <v>-0.54100021678182886</v>
      </c>
      <c r="L1070" s="35">
        <v>-52.87718480864325</v>
      </c>
      <c r="M1070" s="58" t="s">
        <v>22</v>
      </c>
      <c r="N1070" s="7">
        <v>9.5</v>
      </c>
      <c r="O1070" s="7" t="s">
        <v>179</v>
      </c>
      <c r="P1070" s="7" t="s">
        <v>179</v>
      </c>
    </row>
    <row r="1071" spans="1:16" x14ac:dyDescent="0.25">
      <c r="A1071" s="2" t="s">
        <v>181</v>
      </c>
      <c r="B1071" s="2" t="s">
        <v>190</v>
      </c>
      <c r="C1071" s="6" t="s">
        <v>137</v>
      </c>
      <c r="D1071" s="2" t="s">
        <v>111</v>
      </c>
      <c r="E1071" s="2"/>
      <c r="F1071" s="35">
        <v>2</v>
      </c>
      <c r="G1071" s="35">
        <v>5.6849551863516199</v>
      </c>
      <c r="H1071" s="35">
        <v>-10.651460134354002</v>
      </c>
      <c r="I1071" s="35">
        <v>-7.2713369728743843E-2</v>
      </c>
      <c r="J1071" s="35">
        <v>7.7111651032878311E-4</v>
      </c>
      <c r="K1071" s="35">
        <v>-0.54100021678182819</v>
      </c>
      <c r="L1071" s="35">
        <v>-52.877133765732992</v>
      </c>
      <c r="M1071" s="58" t="s">
        <v>22</v>
      </c>
      <c r="N1071" s="7">
        <v>9.5</v>
      </c>
      <c r="O1071" s="7" t="s">
        <v>179</v>
      </c>
      <c r="P1071" s="7" t="s">
        <v>179</v>
      </c>
    </row>
    <row r="1072" spans="1:16" x14ac:dyDescent="0.25">
      <c r="A1072" s="2" t="s">
        <v>181</v>
      </c>
      <c r="B1072" s="2" t="s">
        <v>190</v>
      </c>
      <c r="C1072" s="6" t="s">
        <v>137</v>
      </c>
      <c r="D1072" s="2" t="s">
        <v>111</v>
      </c>
      <c r="E1072" s="2"/>
      <c r="F1072" s="35">
        <v>4.4982502942822435</v>
      </c>
      <c r="G1072" s="35">
        <v>6.7014902331947113</v>
      </c>
      <c r="H1072" s="35">
        <v>-8.5529298871569157</v>
      </c>
      <c r="I1072" s="35">
        <v>-7.2713369728743732E-2</v>
      </c>
      <c r="J1072" s="35">
        <v>7.7111651032878311E-4</v>
      </c>
      <c r="K1072" s="35">
        <v>-0.35934401945874039</v>
      </c>
      <c r="L1072" s="35">
        <v>-28.888447254357668</v>
      </c>
      <c r="M1072" s="58" t="s">
        <v>24</v>
      </c>
      <c r="N1072" s="7">
        <v>9.5</v>
      </c>
      <c r="O1072" s="7" t="s">
        <v>179</v>
      </c>
      <c r="P1072" s="7" t="s">
        <v>179</v>
      </c>
    </row>
    <row r="1073" spans="1:16" x14ac:dyDescent="0.25">
      <c r="A1073" s="2" t="s">
        <v>181</v>
      </c>
      <c r="B1073" s="2" t="s">
        <v>190</v>
      </c>
      <c r="C1073" s="6" t="s">
        <v>137</v>
      </c>
      <c r="D1073" s="2" t="s">
        <v>111</v>
      </c>
      <c r="E1073" s="2"/>
      <c r="F1073" s="35">
        <v>8.9965005885644871</v>
      </c>
      <c r="G1073" s="35">
        <v>8.5318228800378044</v>
      </c>
      <c r="H1073" s="35">
        <v>-4.7743996399598299</v>
      </c>
      <c r="I1073" s="35">
        <v>-7.2713369728743482E-2</v>
      </c>
      <c r="J1073" s="35">
        <v>7.7111651032878311E-4</v>
      </c>
      <c r="K1073" s="35">
        <v>-3.2261082678165819E-2</v>
      </c>
      <c r="L1073" s="35">
        <v>1.0863847293170017</v>
      </c>
      <c r="M1073" s="58" t="s">
        <v>23</v>
      </c>
      <c r="N1073" s="7">
        <v>9.5</v>
      </c>
      <c r="O1073" s="7" t="s">
        <v>179</v>
      </c>
      <c r="P1073" s="7" t="s">
        <v>179</v>
      </c>
    </row>
    <row r="1074" spans="1:16" x14ac:dyDescent="0.25">
      <c r="A1074" s="2" t="s">
        <v>181</v>
      </c>
      <c r="B1074" s="2" t="s">
        <v>190</v>
      </c>
      <c r="C1074" s="6" t="s">
        <v>137</v>
      </c>
      <c r="D1074" s="2" t="s">
        <v>112</v>
      </c>
      <c r="E1074" s="2"/>
      <c r="F1074" s="35">
        <v>0</v>
      </c>
      <c r="G1074" s="35">
        <v>63.795873827362669</v>
      </c>
      <c r="H1074" s="35">
        <v>1.7957652164923235</v>
      </c>
      <c r="I1074" s="35">
        <v>-4.0101627639345434</v>
      </c>
      <c r="J1074" s="35">
        <v>-6.9680075852630115E-4</v>
      </c>
      <c r="K1074" s="35">
        <v>-6.3854704254588848</v>
      </c>
      <c r="L1074" s="35">
        <v>43.672369200963502</v>
      </c>
      <c r="M1074" s="58" t="s">
        <v>22</v>
      </c>
      <c r="N1074" s="7">
        <v>9.5</v>
      </c>
      <c r="O1074" s="7" t="s">
        <v>179</v>
      </c>
      <c r="P1074" s="7" t="s">
        <v>179</v>
      </c>
    </row>
    <row r="1075" spans="1:16" x14ac:dyDescent="0.25">
      <c r="A1075" s="2" t="s">
        <v>181</v>
      </c>
      <c r="B1075" s="2" t="s">
        <v>190</v>
      </c>
      <c r="C1075" s="6" t="s">
        <v>137</v>
      </c>
      <c r="D1075" s="2" t="s">
        <v>112</v>
      </c>
      <c r="E1075" s="2"/>
      <c r="F1075" s="35">
        <v>2</v>
      </c>
      <c r="G1075" s="35">
        <v>64.60967142736267</v>
      </c>
      <c r="H1075" s="35">
        <v>12.379765216492325</v>
      </c>
      <c r="I1075" s="35">
        <v>-4.0101627639345425</v>
      </c>
      <c r="J1075" s="35">
        <v>-6.9680075852630115E-4</v>
      </c>
      <c r="K1075" s="35">
        <v>1.6348551024101996</v>
      </c>
      <c r="L1075" s="35">
        <v>29.496838767978847</v>
      </c>
      <c r="M1075" s="58" t="s">
        <v>22</v>
      </c>
      <c r="N1075" s="7">
        <v>9.5</v>
      </c>
      <c r="O1075" s="7" t="s">
        <v>179</v>
      </c>
      <c r="P1075" s="7" t="s">
        <v>179</v>
      </c>
    </row>
    <row r="1076" spans="1:16" x14ac:dyDescent="0.25">
      <c r="A1076" s="2" t="s">
        <v>181</v>
      </c>
      <c r="B1076" s="2" t="s">
        <v>190</v>
      </c>
      <c r="C1076" s="6" t="s">
        <v>137</v>
      </c>
      <c r="D1076" s="2" t="s">
        <v>112</v>
      </c>
      <c r="E1076" s="2"/>
      <c r="F1076" s="35">
        <v>2</v>
      </c>
      <c r="G1076" s="35">
        <v>68.592733433078763</v>
      </c>
      <c r="H1076" s="35">
        <v>12.379748675113353</v>
      </c>
      <c r="I1076" s="35">
        <v>0.21742308973391514</v>
      </c>
      <c r="J1076" s="35">
        <v>-6.583388811813595E-4</v>
      </c>
      <c r="K1076" s="35">
        <v>1.6348551024101963</v>
      </c>
      <c r="L1076" s="35">
        <v>29.496879793981343</v>
      </c>
      <c r="M1076" s="58" t="s">
        <v>22</v>
      </c>
      <c r="N1076" s="7">
        <v>9.5</v>
      </c>
      <c r="O1076" s="7" t="s">
        <v>179</v>
      </c>
      <c r="P1076" s="7" t="s">
        <v>179</v>
      </c>
    </row>
    <row r="1077" spans="1:16" x14ac:dyDescent="0.25">
      <c r="A1077" s="2" t="s">
        <v>181</v>
      </c>
      <c r="B1077" s="2" t="s">
        <v>190</v>
      </c>
      <c r="C1077" s="6" t="s">
        <v>137</v>
      </c>
      <c r="D1077" s="2" t="s">
        <v>112</v>
      </c>
      <c r="E1077" s="2"/>
      <c r="F1077" s="35">
        <v>4.4982502942822435</v>
      </c>
      <c r="G1077" s="35">
        <v>69.609268479921838</v>
      </c>
      <c r="H1077" s="35">
        <v>25.600489232454986</v>
      </c>
      <c r="I1077" s="35">
        <v>0.21742308973391597</v>
      </c>
      <c r="J1077" s="35">
        <v>-6.583388811813595E-4</v>
      </c>
      <c r="K1077" s="35">
        <v>1.0916778044986872</v>
      </c>
      <c r="L1077" s="35">
        <v>-17.945190470764775</v>
      </c>
      <c r="M1077" s="58" t="s">
        <v>24</v>
      </c>
      <c r="N1077" s="7">
        <v>9.5</v>
      </c>
      <c r="O1077" s="7" t="s">
        <v>179</v>
      </c>
      <c r="P1077" s="7" t="s">
        <v>179</v>
      </c>
    </row>
    <row r="1078" spans="1:16" x14ac:dyDescent="0.25">
      <c r="A1078" s="2" t="s">
        <v>181</v>
      </c>
      <c r="B1078" s="2" t="s">
        <v>190</v>
      </c>
      <c r="C1078" s="6" t="s">
        <v>137</v>
      </c>
      <c r="D1078" s="2" t="s">
        <v>112</v>
      </c>
      <c r="E1078" s="2"/>
      <c r="F1078" s="35">
        <v>8.9965005885644871</v>
      </c>
      <c r="G1078" s="35">
        <v>71.439601126764941</v>
      </c>
      <c r="H1078" s="35">
        <v>49.405229789796628</v>
      </c>
      <c r="I1078" s="35">
        <v>0.21742308973391741</v>
      </c>
      <c r="J1078" s="35">
        <v>-6.583388811813595E-4</v>
      </c>
      <c r="K1078" s="35">
        <v>0.11365432711934166</v>
      </c>
      <c r="L1078" s="35">
        <v>-186.6424393031121</v>
      </c>
      <c r="M1078" s="58" t="s">
        <v>23</v>
      </c>
      <c r="N1078" s="7">
        <v>9.5</v>
      </c>
      <c r="O1078" s="7" t="s">
        <v>179</v>
      </c>
      <c r="P1078" s="7" t="s">
        <v>179</v>
      </c>
    </row>
    <row r="1079" spans="1:16" x14ac:dyDescent="0.25">
      <c r="A1079" s="2" t="s">
        <v>181</v>
      </c>
      <c r="B1079" s="2" t="s">
        <v>190</v>
      </c>
      <c r="C1079" s="6" t="s">
        <v>137</v>
      </c>
      <c r="D1079" s="2" t="s">
        <v>113</v>
      </c>
      <c r="E1079" s="2"/>
      <c r="F1079" s="35">
        <v>0</v>
      </c>
      <c r="G1079" s="35">
        <v>25.472178236127913</v>
      </c>
      <c r="H1079" s="35">
        <v>-2.3180253622304403</v>
      </c>
      <c r="I1079" s="35">
        <v>-4.4688195776958475</v>
      </c>
      <c r="J1079" s="35">
        <v>-1.1338479448371325E-3</v>
      </c>
      <c r="K1079" s="35">
        <v>-7.1063723754010857</v>
      </c>
      <c r="L1079" s="35">
        <v>14.858020945521277</v>
      </c>
      <c r="M1079" s="58" t="s">
        <v>22</v>
      </c>
      <c r="N1079" s="7">
        <v>9.5</v>
      </c>
      <c r="O1079" s="7" t="s">
        <v>179</v>
      </c>
      <c r="P1079" s="7" t="s">
        <v>179</v>
      </c>
    </row>
    <row r="1080" spans="1:16" x14ac:dyDescent="0.25">
      <c r="A1080" s="2" t="s">
        <v>181</v>
      </c>
      <c r="B1080" s="2" t="s">
        <v>190</v>
      </c>
      <c r="C1080" s="6" t="s">
        <v>137</v>
      </c>
      <c r="D1080" s="2" t="s">
        <v>113</v>
      </c>
      <c r="E1080" s="2"/>
      <c r="F1080" s="35">
        <v>2</v>
      </c>
      <c r="G1080" s="35">
        <v>26.285975836127918</v>
      </c>
      <c r="H1080" s="35">
        <v>4.0323746377695597</v>
      </c>
      <c r="I1080" s="35">
        <v>-4.4688195776958475</v>
      </c>
      <c r="J1080" s="35">
        <v>-1.1338479448371325E-3</v>
      </c>
      <c r="K1080" s="35">
        <v>1.8312667799906088</v>
      </c>
      <c r="L1080" s="35">
        <v>13.143671669982155</v>
      </c>
      <c r="M1080" s="58" t="s">
        <v>22</v>
      </c>
      <c r="N1080" s="7">
        <v>9.5</v>
      </c>
      <c r="O1080" s="7" t="s">
        <v>179</v>
      </c>
      <c r="P1080" s="7" t="s">
        <v>179</v>
      </c>
    </row>
    <row r="1081" spans="1:16" x14ac:dyDescent="0.25">
      <c r="A1081" s="2" t="s">
        <v>181</v>
      </c>
      <c r="B1081" s="2" t="s">
        <v>190</v>
      </c>
      <c r="C1081" s="6" t="s">
        <v>137</v>
      </c>
      <c r="D1081" s="2" t="s">
        <v>113</v>
      </c>
      <c r="E1081" s="2"/>
      <c r="F1081" s="35">
        <v>2</v>
      </c>
      <c r="G1081" s="35">
        <v>30.723585239456714</v>
      </c>
      <c r="H1081" s="35">
        <v>4.0323700064890975</v>
      </c>
      <c r="I1081" s="35">
        <v>0.24361727081319859</v>
      </c>
      <c r="J1081" s="35">
        <v>-1.1191816339518317E-3</v>
      </c>
      <c r="K1081" s="35">
        <v>1.8312667799906075</v>
      </c>
      <c r="L1081" s="35">
        <v>13.143687314047073</v>
      </c>
      <c r="M1081" s="58" t="s">
        <v>22</v>
      </c>
      <c r="N1081" s="7">
        <v>9.5</v>
      </c>
      <c r="O1081" s="7" t="s">
        <v>179</v>
      </c>
      <c r="P1081" s="7" t="s">
        <v>179</v>
      </c>
    </row>
    <row r="1082" spans="1:16" x14ac:dyDescent="0.25">
      <c r="A1082" s="2" t="s">
        <v>181</v>
      </c>
      <c r="B1082" s="2" t="s">
        <v>190</v>
      </c>
      <c r="C1082" s="6" t="s">
        <v>137</v>
      </c>
      <c r="D1082" s="2" t="s">
        <v>113</v>
      </c>
      <c r="E1082" s="2"/>
      <c r="F1082" s="35">
        <v>4.4982502942822435</v>
      </c>
      <c r="G1082" s="35">
        <v>31.740120286299806</v>
      </c>
      <c r="H1082" s="35">
        <v>11.96481434089408</v>
      </c>
      <c r="I1082" s="35">
        <v>0.24361727081319912</v>
      </c>
      <c r="J1082" s="35">
        <v>-1.1191816339518317E-3</v>
      </c>
      <c r="K1082" s="35">
        <v>1.2226498614892964</v>
      </c>
      <c r="L1082" s="35">
        <v>-6.8387979377215897</v>
      </c>
      <c r="M1082" s="58" t="s">
        <v>24</v>
      </c>
      <c r="N1082" s="7">
        <v>9.5</v>
      </c>
      <c r="O1082" s="7" t="s">
        <v>179</v>
      </c>
      <c r="P1082" s="7" t="s">
        <v>179</v>
      </c>
    </row>
    <row r="1083" spans="1:16" x14ac:dyDescent="0.25">
      <c r="A1083" s="2" t="s">
        <v>181</v>
      </c>
      <c r="B1083" s="2" t="s">
        <v>190</v>
      </c>
      <c r="C1083" s="6" t="s">
        <v>137</v>
      </c>
      <c r="D1083" s="2" t="s">
        <v>113</v>
      </c>
      <c r="E1083" s="2"/>
      <c r="F1083" s="35">
        <v>8.9965005885644871</v>
      </c>
      <c r="G1083" s="35">
        <v>33.570452933142903</v>
      </c>
      <c r="H1083" s="35">
        <v>26.247658675299068</v>
      </c>
      <c r="I1083" s="35">
        <v>0.24361727081319995</v>
      </c>
      <c r="J1083" s="35">
        <v>-1.1191816339518317E-3</v>
      </c>
      <c r="K1083" s="35">
        <v>0.12679840136158441</v>
      </c>
      <c r="L1083" s="35">
        <v>-92.783431932893137</v>
      </c>
      <c r="M1083" s="58" t="s">
        <v>23</v>
      </c>
      <c r="N1083" s="7">
        <v>9.5</v>
      </c>
      <c r="O1083" s="7" t="s">
        <v>179</v>
      </c>
      <c r="P1083" s="7" t="s">
        <v>179</v>
      </c>
    </row>
    <row r="1084" spans="1:16" x14ac:dyDescent="0.25">
      <c r="A1084" s="2" t="s">
        <v>181</v>
      </c>
      <c r="B1084" s="2" t="s">
        <v>190</v>
      </c>
      <c r="C1084" s="6" t="s">
        <v>137</v>
      </c>
      <c r="D1084" s="2" t="s">
        <v>114</v>
      </c>
      <c r="E1084" s="2"/>
      <c r="F1084" s="35">
        <v>0</v>
      </c>
      <c r="G1084" s="35">
        <v>35.921022765337817</v>
      </c>
      <c r="H1084" s="35">
        <v>-8.3830315007189853</v>
      </c>
      <c r="I1084" s="35">
        <v>3.8155365506361054</v>
      </c>
      <c r="J1084" s="35">
        <v>6.2800893697000971E-4</v>
      </c>
      <c r="K1084" s="35">
        <v>6.0847556889508541</v>
      </c>
      <c r="L1084" s="35">
        <v>1.7415901354285326</v>
      </c>
      <c r="M1084" s="58" t="s">
        <v>22</v>
      </c>
      <c r="N1084" s="7">
        <v>9.5</v>
      </c>
      <c r="O1084" s="7" t="s">
        <v>179</v>
      </c>
      <c r="P1084" s="7" t="s">
        <v>179</v>
      </c>
    </row>
    <row r="1085" spans="1:16" x14ac:dyDescent="0.25">
      <c r="A1085" s="2" t="s">
        <v>181</v>
      </c>
      <c r="B1085" s="2" t="s">
        <v>190</v>
      </c>
      <c r="C1085" s="6" t="s">
        <v>137</v>
      </c>
      <c r="D1085" s="2" t="s">
        <v>114</v>
      </c>
      <c r="E1085" s="2"/>
      <c r="F1085" s="35">
        <v>2</v>
      </c>
      <c r="G1085" s="35">
        <v>36.734820365337825</v>
      </c>
      <c r="H1085" s="35">
        <v>-0.82303150071898545</v>
      </c>
      <c r="I1085" s="35">
        <v>3.8155365506361059</v>
      </c>
      <c r="J1085" s="35">
        <v>6.2800893697000971E-4</v>
      </c>
      <c r="K1085" s="35">
        <v>-1.5463174123213579</v>
      </c>
      <c r="L1085" s="35">
        <v>10.947653136866489</v>
      </c>
      <c r="M1085" s="58" t="s">
        <v>22</v>
      </c>
      <c r="N1085" s="7">
        <v>9.5</v>
      </c>
      <c r="O1085" s="7" t="s">
        <v>179</v>
      </c>
      <c r="P1085" s="7" t="s">
        <v>179</v>
      </c>
    </row>
    <row r="1086" spans="1:16" x14ac:dyDescent="0.25">
      <c r="A1086" s="2" t="s">
        <v>181</v>
      </c>
      <c r="B1086" s="2" t="s">
        <v>190</v>
      </c>
      <c r="C1086" s="6" t="s">
        <v>137</v>
      </c>
      <c r="D1086" s="2" t="s">
        <v>114</v>
      </c>
      <c r="E1086" s="2"/>
      <c r="F1086" s="35">
        <v>2</v>
      </c>
      <c r="G1086" s="35">
        <v>32.983589014737483</v>
      </c>
      <c r="H1086" s="35">
        <v>-0.82304045743347876</v>
      </c>
      <c r="I1086" s="35">
        <v>-0.20677901237159721</v>
      </c>
      <c r="J1086" s="35">
        <v>6.3134052232616266E-4</v>
      </c>
      <c r="K1086" s="35">
        <v>-1.5463174123213586</v>
      </c>
      <c r="L1086" s="35">
        <v>10.947656690557551</v>
      </c>
      <c r="M1086" s="58" t="s">
        <v>22</v>
      </c>
      <c r="N1086" s="7">
        <v>9.5</v>
      </c>
      <c r="O1086" s="7" t="s">
        <v>179</v>
      </c>
      <c r="P1086" s="7" t="s">
        <v>179</v>
      </c>
    </row>
    <row r="1087" spans="1:16" x14ac:dyDescent="0.25">
      <c r="A1087" s="2" t="s">
        <v>181</v>
      </c>
      <c r="B1087" s="2" t="s">
        <v>190</v>
      </c>
      <c r="C1087" s="6" t="s">
        <v>137</v>
      </c>
      <c r="D1087" s="2" t="s">
        <v>114</v>
      </c>
      <c r="E1087" s="2"/>
      <c r="F1087" s="35">
        <v>4.4982502942822435</v>
      </c>
      <c r="G1087" s="35">
        <v>34.000124061580571</v>
      </c>
      <c r="H1087" s="35">
        <v>8.6203456549534039</v>
      </c>
      <c r="I1087" s="35">
        <v>-0.2067790123715966</v>
      </c>
      <c r="J1087" s="35">
        <v>6.3134052232616266E-4</v>
      </c>
      <c r="K1087" s="35">
        <v>-1.0297316838126249</v>
      </c>
      <c r="L1087" s="35">
        <v>1.2078466884012442</v>
      </c>
      <c r="M1087" s="58" t="s">
        <v>24</v>
      </c>
      <c r="N1087" s="7">
        <v>9.5</v>
      </c>
      <c r="O1087" s="7" t="s">
        <v>179</v>
      </c>
      <c r="P1087" s="7" t="s">
        <v>179</v>
      </c>
    </row>
    <row r="1088" spans="1:16" x14ac:dyDescent="0.25">
      <c r="A1088" s="2" t="s">
        <v>181</v>
      </c>
      <c r="B1088" s="2" t="s">
        <v>190</v>
      </c>
      <c r="C1088" s="6" t="s">
        <v>137</v>
      </c>
      <c r="D1088" s="2" t="s">
        <v>114</v>
      </c>
      <c r="E1088" s="2"/>
      <c r="F1088" s="35">
        <v>8.9965005885644871</v>
      </c>
      <c r="G1088" s="35">
        <v>35.830456708423668</v>
      </c>
      <c r="H1088" s="35">
        <v>25.623731767340292</v>
      </c>
      <c r="I1088" s="35">
        <v>-0.20677901237159554</v>
      </c>
      <c r="J1088" s="35">
        <v>6.3134052232616266E-4</v>
      </c>
      <c r="K1088" s="35">
        <v>-9.9587930560701046E-2</v>
      </c>
      <c r="L1088" s="35">
        <v>-75.81136898272706</v>
      </c>
      <c r="M1088" s="58" t="s">
        <v>23</v>
      </c>
      <c r="N1088" s="7">
        <v>9.5</v>
      </c>
      <c r="O1088" s="7" t="s">
        <v>179</v>
      </c>
      <c r="P1088" s="7" t="s">
        <v>179</v>
      </c>
    </row>
    <row r="1089" spans="1:16" x14ac:dyDescent="0.25">
      <c r="A1089" s="2" t="s">
        <v>181</v>
      </c>
      <c r="B1089" s="2" t="s">
        <v>190</v>
      </c>
      <c r="C1089" s="6" t="s">
        <v>137</v>
      </c>
      <c r="D1089" s="2" t="s">
        <v>115</v>
      </c>
      <c r="E1089" s="2"/>
      <c r="F1089" s="35">
        <v>0</v>
      </c>
      <c r="G1089" s="35">
        <v>-1.9575947179377469</v>
      </c>
      <c r="H1089" s="35">
        <v>-12.376418858320639</v>
      </c>
      <c r="I1089" s="35">
        <v>3.3609330342543182</v>
      </c>
      <c r="J1089" s="35">
        <v>1.9011253832125708E-4</v>
      </c>
      <c r="K1089" s="35">
        <v>5.3702646528247566</v>
      </c>
      <c r="L1089" s="35">
        <v>-26.716065978362099</v>
      </c>
      <c r="M1089" s="58" t="s">
        <v>22</v>
      </c>
      <c r="N1089" s="7">
        <v>9.5</v>
      </c>
      <c r="O1089" s="7" t="s">
        <v>179</v>
      </c>
      <c r="P1089" s="7" t="s">
        <v>179</v>
      </c>
    </row>
    <row r="1090" spans="1:16" x14ac:dyDescent="0.25">
      <c r="A1090" s="2" t="s">
        <v>181</v>
      </c>
      <c r="B1090" s="2" t="s">
        <v>190</v>
      </c>
      <c r="C1090" s="6" t="s">
        <v>137</v>
      </c>
      <c r="D1090" s="2" t="s">
        <v>115</v>
      </c>
      <c r="E1090" s="2"/>
      <c r="F1090" s="35">
        <v>2</v>
      </c>
      <c r="G1090" s="35">
        <v>-1.1437971179377415</v>
      </c>
      <c r="H1090" s="35">
        <v>-9.0500188583206409</v>
      </c>
      <c r="I1090" s="35">
        <v>3.3609330342543182</v>
      </c>
      <c r="J1090" s="35">
        <v>1.9011253832125708E-4</v>
      </c>
      <c r="K1090" s="35">
        <v>-1.3516014156838809</v>
      </c>
      <c r="L1090" s="35">
        <v>-5.289628261720833</v>
      </c>
      <c r="M1090" s="58" t="s">
        <v>22</v>
      </c>
      <c r="N1090" s="7">
        <v>9.5</v>
      </c>
      <c r="O1090" s="7" t="s">
        <v>179</v>
      </c>
      <c r="P1090" s="7" t="s">
        <v>179</v>
      </c>
    </row>
    <row r="1091" spans="1:16" x14ac:dyDescent="0.25">
      <c r="A1091" s="2" t="s">
        <v>181</v>
      </c>
      <c r="B1091" s="2" t="s">
        <v>190</v>
      </c>
      <c r="C1091" s="6" t="s">
        <v>137</v>
      </c>
      <c r="D1091" s="2" t="s">
        <v>115</v>
      </c>
      <c r="E1091" s="2"/>
      <c r="F1091" s="35">
        <v>2</v>
      </c>
      <c r="G1091" s="35">
        <v>-4.4444930032302867</v>
      </c>
      <c r="H1091" s="35">
        <v>-9.0500160061703721</v>
      </c>
      <c r="I1091" s="35">
        <v>-0.18081090903786703</v>
      </c>
      <c r="J1091" s="35">
        <v>1.7014077683632421E-4</v>
      </c>
      <c r="K1091" s="35">
        <v>-1.3516014156838805</v>
      </c>
      <c r="L1091" s="35">
        <v>-5.2896495649330992</v>
      </c>
      <c r="M1091" s="58" t="s">
        <v>22</v>
      </c>
      <c r="N1091" s="7">
        <v>9.5</v>
      </c>
      <c r="O1091" s="7" t="s">
        <v>179</v>
      </c>
      <c r="P1091" s="7" t="s">
        <v>179</v>
      </c>
    </row>
    <row r="1092" spans="1:16" x14ac:dyDescent="0.25">
      <c r="A1092" s="2" t="s">
        <v>181</v>
      </c>
      <c r="B1092" s="2" t="s">
        <v>190</v>
      </c>
      <c r="C1092" s="6" t="s">
        <v>137</v>
      </c>
      <c r="D1092" s="2" t="s">
        <v>115</v>
      </c>
      <c r="E1092" s="2"/>
      <c r="F1092" s="35">
        <v>4.4982502942822435</v>
      </c>
      <c r="G1092" s="35">
        <v>-3.4279579563871949</v>
      </c>
      <c r="H1092" s="35">
        <v>-4.894926116720141</v>
      </c>
      <c r="I1092" s="35">
        <v>-0.18081090903786681</v>
      </c>
      <c r="J1092" s="35">
        <v>1.7014077683632421E-4</v>
      </c>
      <c r="K1092" s="35">
        <v>-0.89989050897058931</v>
      </c>
      <c r="L1092" s="35">
        <v>12.129328316196942</v>
      </c>
      <c r="M1092" s="58" t="s">
        <v>24</v>
      </c>
      <c r="N1092" s="7">
        <v>9.5</v>
      </c>
      <c r="O1092" s="7" t="s">
        <v>179</v>
      </c>
      <c r="P1092" s="7" t="s">
        <v>179</v>
      </c>
    </row>
    <row r="1093" spans="1:16" x14ac:dyDescent="0.25">
      <c r="A1093" s="2" t="s">
        <v>181</v>
      </c>
      <c r="B1093" s="2" t="s">
        <v>190</v>
      </c>
      <c r="C1093" s="6" t="s">
        <v>137</v>
      </c>
      <c r="D1093" s="2" t="s">
        <v>115</v>
      </c>
      <c r="E1093" s="2"/>
      <c r="F1093" s="35">
        <v>8.9965005885644871</v>
      </c>
      <c r="G1093" s="35">
        <v>-1.5976253095440986</v>
      </c>
      <c r="H1093" s="35">
        <v>2.5865637727300888</v>
      </c>
      <c r="I1093" s="35">
        <v>-0.18081090903786637</v>
      </c>
      <c r="J1093" s="35">
        <v>1.7014077683632421E-4</v>
      </c>
      <c r="K1093" s="35">
        <v>-8.6557784181565942E-2</v>
      </c>
      <c r="L1093" s="35">
        <v>17.321124112778598</v>
      </c>
      <c r="M1093" s="58" t="s">
        <v>23</v>
      </c>
      <c r="N1093" s="7">
        <v>9.5</v>
      </c>
      <c r="O1093" s="7" t="s">
        <v>179</v>
      </c>
      <c r="P1093" s="7" t="s">
        <v>179</v>
      </c>
    </row>
    <row r="1094" spans="1:16" x14ac:dyDescent="0.25">
      <c r="A1094" s="2" t="s">
        <v>181</v>
      </c>
      <c r="B1094" s="2" t="s">
        <v>190</v>
      </c>
      <c r="C1094" s="6" t="s">
        <v>137</v>
      </c>
      <c r="D1094" s="2" t="s">
        <v>116</v>
      </c>
      <c r="E1094" s="2"/>
      <c r="F1094" s="35">
        <v>0</v>
      </c>
      <c r="G1094" s="35">
        <v>43.960215223154336</v>
      </c>
      <c r="H1094" s="35">
        <v>34.610386171777797</v>
      </c>
      <c r="I1094" s="35">
        <v>1.6820447940481094</v>
      </c>
      <c r="J1094" s="35">
        <v>1.1064561925700973E-3</v>
      </c>
      <c r="K1094" s="35">
        <v>2.6453063251014677</v>
      </c>
      <c r="L1094" s="35">
        <v>103.6628078445061</v>
      </c>
      <c r="M1094" s="58" t="s">
        <v>22</v>
      </c>
      <c r="N1094" s="7">
        <v>9.5</v>
      </c>
      <c r="O1094" s="7" t="s">
        <v>179</v>
      </c>
      <c r="P1094" s="7" t="s">
        <v>179</v>
      </c>
    </row>
    <row r="1095" spans="1:16" x14ac:dyDescent="0.25">
      <c r="A1095" s="2" t="s">
        <v>181</v>
      </c>
      <c r="B1095" s="2" t="s">
        <v>190</v>
      </c>
      <c r="C1095" s="6" t="s">
        <v>137</v>
      </c>
      <c r="D1095" s="2" t="s">
        <v>116</v>
      </c>
      <c r="E1095" s="2"/>
      <c r="F1095" s="35">
        <v>2</v>
      </c>
      <c r="G1095" s="35">
        <v>44.774012823154344</v>
      </c>
      <c r="H1095" s="35">
        <v>29.167186171777804</v>
      </c>
      <c r="I1095" s="35">
        <v>1.6820447940481089</v>
      </c>
      <c r="J1095" s="35">
        <v>1.1064561925700973E-3</v>
      </c>
      <c r="K1095" s="35">
        <v>-0.71878326299475082</v>
      </c>
      <c r="L1095" s="35">
        <v>39.8852355009505</v>
      </c>
      <c r="M1095" s="58" t="s">
        <v>22</v>
      </c>
      <c r="N1095" s="7">
        <v>9.5</v>
      </c>
      <c r="O1095" s="7" t="s">
        <v>179</v>
      </c>
      <c r="P1095" s="7" t="s">
        <v>179</v>
      </c>
    </row>
    <row r="1096" spans="1:16" x14ac:dyDescent="0.25">
      <c r="A1096" s="2" t="s">
        <v>181</v>
      </c>
      <c r="B1096" s="2" t="s">
        <v>190</v>
      </c>
      <c r="C1096" s="6" t="s">
        <v>137</v>
      </c>
      <c r="D1096" s="2" t="s">
        <v>116</v>
      </c>
      <c r="E1096" s="2"/>
      <c r="F1096" s="35">
        <v>2</v>
      </c>
      <c r="G1096" s="35">
        <v>43.126391781948065</v>
      </c>
      <c r="H1096" s="35">
        <v>29.167168021136355</v>
      </c>
      <c r="I1096" s="35">
        <v>-9.6429831865257262E-2</v>
      </c>
      <c r="J1096" s="35">
        <v>1.1560845710281899E-3</v>
      </c>
      <c r="K1096" s="35">
        <v>-0.71878326299475093</v>
      </c>
      <c r="L1096" s="35">
        <v>39.885288437887432</v>
      </c>
      <c r="M1096" s="58" t="s">
        <v>22</v>
      </c>
      <c r="N1096" s="7">
        <v>9.5</v>
      </c>
      <c r="O1096" s="7" t="s">
        <v>179</v>
      </c>
      <c r="P1096" s="7" t="s">
        <v>179</v>
      </c>
    </row>
    <row r="1097" spans="1:16" x14ac:dyDescent="0.25">
      <c r="A1097" s="2" t="s">
        <v>181</v>
      </c>
      <c r="B1097" s="2" t="s">
        <v>190</v>
      </c>
      <c r="C1097" s="6" t="s">
        <v>137</v>
      </c>
      <c r="D1097" s="2" t="s">
        <v>116</v>
      </c>
      <c r="E1097" s="2"/>
      <c r="F1097" s="35">
        <v>4.4982502942822435</v>
      </c>
      <c r="G1097" s="35">
        <v>44.142926828791154</v>
      </c>
      <c r="H1097" s="35">
        <v>22.367930020217798</v>
      </c>
      <c r="I1097" s="35">
        <v>-9.6429831865257679E-2</v>
      </c>
      <c r="J1097" s="35">
        <v>1.1560845710281899E-3</v>
      </c>
      <c r="K1097" s="35">
        <v>-0.47787740715978422</v>
      </c>
      <c r="L1097" s="35">
        <v>-24.488498485951208</v>
      </c>
      <c r="M1097" s="58" t="s">
        <v>24</v>
      </c>
      <c r="N1097" s="7">
        <v>9.5</v>
      </c>
      <c r="O1097" s="7" t="s">
        <v>179</v>
      </c>
      <c r="P1097" s="7" t="s">
        <v>179</v>
      </c>
    </row>
    <row r="1098" spans="1:16" x14ac:dyDescent="0.25">
      <c r="A1098" s="2" t="s">
        <v>181</v>
      </c>
      <c r="B1098" s="2" t="s">
        <v>190</v>
      </c>
      <c r="C1098" s="6" t="s">
        <v>137</v>
      </c>
      <c r="D1098" s="2" t="s">
        <v>116</v>
      </c>
      <c r="E1098" s="2"/>
      <c r="F1098" s="35">
        <v>8.9965005885644871</v>
      </c>
      <c r="G1098" s="35">
        <v>45.973259475634251</v>
      </c>
      <c r="H1098" s="35">
        <v>10.125492019299237</v>
      </c>
      <c r="I1098" s="35">
        <v>-9.6429831865258428E-2</v>
      </c>
      <c r="J1098" s="35">
        <v>1.1560845710281899E-3</v>
      </c>
      <c r="K1098" s="35">
        <v>-4.4111887594299841E-2</v>
      </c>
      <c r="L1098" s="35">
        <v>-97.570271111698517</v>
      </c>
      <c r="M1098" s="58" t="s">
        <v>23</v>
      </c>
      <c r="N1098" s="7">
        <v>9.5</v>
      </c>
      <c r="O1098" s="7" t="s">
        <v>179</v>
      </c>
      <c r="P1098" s="7" t="s">
        <v>179</v>
      </c>
    </row>
    <row r="1099" spans="1:16" x14ac:dyDescent="0.25">
      <c r="A1099" s="2" t="s">
        <v>181</v>
      </c>
      <c r="B1099" s="2" t="s">
        <v>190</v>
      </c>
      <c r="C1099" s="6" t="s">
        <v>137</v>
      </c>
      <c r="D1099" s="2" t="s">
        <v>117</v>
      </c>
      <c r="E1099" s="2"/>
      <c r="F1099" s="35">
        <v>0</v>
      </c>
      <c r="G1099" s="35">
        <v>-66.984496978052675</v>
      </c>
      <c r="H1099" s="35">
        <v>10.762626186347743</v>
      </c>
      <c r="I1099" s="35">
        <v>1.5525616528945576</v>
      </c>
      <c r="J1099" s="35">
        <v>7.4077870332950779E-4</v>
      </c>
      <c r="K1099" s="35">
        <v>2.4459314256076112</v>
      </c>
      <c r="L1099" s="35">
        <v>33.130997362944164</v>
      </c>
      <c r="M1099" s="58" t="s">
        <v>22</v>
      </c>
      <c r="N1099" s="7">
        <v>9.5</v>
      </c>
      <c r="O1099" s="7" t="s">
        <v>179</v>
      </c>
      <c r="P1099" s="7" t="s">
        <v>179</v>
      </c>
    </row>
    <row r="1100" spans="1:16" x14ac:dyDescent="0.25">
      <c r="A1100" s="2" t="s">
        <v>181</v>
      </c>
      <c r="B1100" s="2" t="s">
        <v>190</v>
      </c>
      <c r="C1100" s="6" t="s">
        <v>137</v>
      </c>
      <c r="D1100" s="2" t="s">
        <v>117</v>
      </c>
      <c r="E1100" s="2"/>
      <c r="F1100" s="35">
        <v>2</v>
      </c>
      <c r="G1100" s="35">
        <v>-66.170699378052674</v>
      </c>
      <c r="H1100" s="35">
        <v>1.0858261863477416</v>
      </c>
      <c r="I1100" s="35">
        <v>1.5525616528945569</v>
      </c>
      <c r="J1100" s="35">
        <v>7.4077870332950779E-4</v>
      </c>
      <c r="K1100" s="35">
        <v>-0.65919188018150365</v>
      </c>
      <c r="L1100" s="35">
        <v>21.28254499024866</v>
      </c>
      <c r="M1100" s="58" t="s">
        <v>22</v>
      </c>
      <c r="N1100" s="7">
        <v>9.5</v>
      </c>
      <c r="O1100" s="7" t="s">
        <v>179</v>
      </c>
      <c r="P1100" s="7" t="s">
        <v>179</v>
      </c>
    </row>
    <row r="1101" spans="1:16" x14ac:dyDescent="0.25">
      <c r="A1101" s="2" t="s">
        <v>181</v>
      </c>
      <c r="B1101" s="2" t="s">
        <v>190</v>
      </c>
      <c r="C1101" s="6" t="s">
        <v>137</v>
      </c>
      <c r="D1101" s="2" t="s">
        <v>117</v>
      </c>
      <c r="E1101" s="2"/>
      <c r="F1101" s="35">
        <v>2</v>
      </c>
      <c r="G1101" s="35">
        <v>-67.68948010225013</v>
      </c>
      <c r="H1101" s="35">
        <v>1.0858363658775705</v>
      </c>
      <c r="I1101" s="35">
        <v>-8.8483669025853473E-2</v>
      </c>
      <c r="J1101" s="35">
        <v>6.8020204851233226E-4</v>
      </c>
      <c r="K1101" s="35">
        <v>-0.65919188018150399</v>
      </c>
      <c r="L1101" s="35">
        <v>21.28248037515014</v>
      </c>
      <c r="M1101" s="58" t="s">
        <v>22</v>
      </c>
      <c r="N1101" s="7">
        <v>9.5</v>
      </c>
      <c r="O1101" s="7" t="s">
        <v>179</v>
      </c>
      <c r="P1101" s="7" t="s">
        <v>179</v>
      </c>
    </row>
    <row r="1102" spans="1:16" x14ac:dyDescent="0.25">
      <c r="A1102" s="2" t="s">
        <v>181</v>
      </c>
      <c r="B1102" s="2" t="s">
        <v>190</v>
      </c>
      <c r="C1102" s="6" t="s">
        <v>137</v>
      </c>
      <c r="D1102" s="2" t="s">
        <v>117</v>
      </c>
      <c r="E1102" s="2"/>
      <c r="F1102" s="35">
        <v>4.4982502942822435</v>
      </c>
      <c r="G1102" s="35">
        <v>-66.672945055407041</v>
      </c>
      <c r="H1102" s="35">
        <v>-11.001697857977639</v>
      </c>
      <c r="I1102" s="35">
        <v>-8.8483669025854209E-2</v>
      </c>
      <c r="J1102" s="35">
        <v>6.8020204851233226E-4</v>
      </c>
      <c r="K1102" s="35">
        <v>-0.43813752799849198</v>
      </c>
      <c r="L1102" s="35">
        <v>33.66863232050062</v>
      </c>
      <c r="M1102" s="58" t="s">
        <v>24</v>
      </c>
      <c r="N1102" s="7">
        <v>9.5</v>
      </c>
      <c r="O1102" s="7" t="s">
        <v>179</v>
      </c>
      <c r="P1102" s="7" t="s">
        <v>179</v>
      </c>
    </row>
    <row r="1103" spans="1:16" x14ac:dyDescent="0.25">
      <c r="A1103" s="2" t="s">
        <v>181</v>
      </c>
      <c r="B1103" s="2" t="s">
        <v>190</v>
      </c>
      <c r="C1103" s="6" t="s">
        <v>137</v>
      </c>
      <c r="D1103" s="2" t="s">
        <v>117</v>
      </c>
      <c r="E1103" s="2"/>
      <c r="F1103" s="35">
        <v>8.9965005885644871</v>
      </c>
      <c r="G1103" s="35">
        <v>-64.842612408563937</v>
      </c>
      <c r="H1103" s="35">
        <v>-32.766032081832854</v>
      </c>
      <c r="I1103" s="35">
        <v>-8.8483669025855541E-2</v>
      </c>
      <c r="J1103" s="35">
        <v>6.8020204851233226E-4</v>
      </c>
      <c r="K1103" s="35">
        <v>-4.0115837763767558E-2</v>
      </c>
      <c r="L1103" s="35">
        <v>132.10773436140977</v>
      </c>
      <c r="M1103" s="58" t="s">
        <v>23</v>
      </c>
      <c r="N1103" s="7">
        <v>9.5</v>
      </c>
      <c r="O1103" s="7" t="s">
        <v>179</v>
      </c>
      <c r="P1103" s="7" t="s">
        <v>179</v>
      </c>
    </row>
    <row r="1104" spans="1:16" x14ac:dyDescent="0.25">
      <c r="A1104" s="2" t="s">
        <v>181</v>
      </c>
      <c r="B1104" s="2" t="s">
        <v>190</v>
      </c>
      <c r="C1104" s="6" t="s">
        <v>137</v>
      </c>
      <c r="D1104" s="2" t="s">
        <v>118</v>
      </c>
      <c r="E1104" s="2"/>
      <c r="F1104" s="35">
        <v>0</v>
      </c>
      <c r="G1104" s="35">
        <v>23.307025241535836</v>
      </c>
      <c r="H1104" s="35">
        <v>-9.5080179651963501</v>
      </c>
      <c r="I1104" s="35">
        <v>1.386893851064446</v>
      </c>
      <c r="J1104" s="35">
        <v>1.1367764275370027E-3</v>
      </c>
      <c r="K1104" s="35">
        <v>2.1856414302404903</v>
      </c>
      <c r="L1104" s="35">
        <v>-24.363401177494573</v>
      </c>
      <c r="M1104" s="58" t="s">
        <v>22</v>
      </c>
      <c r="N1104" s="7">
        <v>9.5</v>
      </c>
      <c r="O1104" s="7" t="s">
        <v>179</v>
      </c>
      <c r="P1104" s="7" t="s">
        <v>179</v>
      </c>
    </row>
    <row r="1105" spans="1:16" x14ac:dyDescent="0.25">
      <c r="A1105" s="2" t="s">
        <v>181</v>
      </c>
      <c r="B1105" s="2" t="s">
        <v>190</v>
      </c>
      <c r="C1105" s="6" t="s">
        <v>137</v>
      </c>
      <c r="D1105" s="2" t="s">
        <v>118</v>
      </c>
      <c r="E1105" s="2"/>
      <c r="F1105" s="35">
        <v>2</v>
      </c>
      <c r="G1105" s="35">
        <v>24.120822841535841</v>
      </c>
      <c r="H1105" s="35">
        <v>-3.7624179651963487</v>
      </c>
      <c r="I1105" s="35">
        <v>1.3868938510644464</v>
      </c>
      <c r="J1105" s="35">
        <v>1.1367764275370027E-3</v>
      </c>
      <c r="K1105" s="35">
        <v>-0.58814627188840174</v>
      </c>
      <c r="L1105" s="35">
        <v>-11.092965247101883</v>
      </c>
      <c r="M1105" s="58" t="s">
        <v>22</v>
      </c>
      <c r="N1105" s="7">
        <v>9.5</v>
      </c>
      <c r="O1105" s="7" t="s">
        <v>179</v>
      </c>
      <c r="P1105" s="7" t="s">
        <v>179</v>
      </c>
    </row>
    <row r="1106" spans="1:16" x14ac:dyDescent="0.25">
      <c r="A1106" s="2" t="s">
        <v>181</v>
      </c>
      <c r="B1106" s="2" t="s">
        <v>190</v>
      </c>
      <c r="C1106" s="6" t="s">
        <v>137</v>
      </c>
      <c r="D1106" s="2" t="s">
        <v>118</v>
      </c>
      <c r="E1106" s="2"/>
      <c r="F1106" s="35">
        <v>2</v>
      </c>
      <c r="G1106" s="35">
        <v>22.766239146408797</v>
      </c>
      <c r="H1106" s="35">
        <v>-3.7624260712963924</v>
      </c>
      <c r="I1106" s="35">
        <v>-7.9006302276910065E-2</v>
      </c>
      <c r="J1106" s="35">
        <v>1.1591635974131228E-3</v>
      </c>
      <c r="K1106" s="35">
        <v>-0.58814627188840163</v>
      </c>
      <c r="L1106" s="35">
        <v>-11.092941367453964</v>
      </c>
      <c r="M1106" s="58" t="s">
        <v>22</v>
      </c>
      <c r="N1106" s="7">
        <v>9.5</v>
      </c>
      <c r="O1106" s="7" t="s">
        <v>179</v>
      </c>
      <c r="P1106" s="7" t="s">
        <v>179</v>
      </c>
    </row>
    <row r="1107" spans="1:16" x14ac:dyDescent="0.25">
      <c r="A1107" s="2" t="s">
        <v>181</v>
      </c>
      <c r="B1107" s="2" t="s">
        <v>190</v>
      </c>
      <c r="C1107" s="6" t="s">
        <v>137</v>
      </c>
      <c r="D1107" s="2" t="s">
        <v>118</v>
      </c>
      <c r="E1107" s="2"/>
      <c r="F1107" s="35">
        <v>4.4982502942822435</v>
      </c>
      <c r="G1107" s="35">
        <v>23.782774193251885</v>
      </c>
      <c r="H1107" s="35">
        <v>3.4145473741176384</v>
      </c>
      <c r="I1107" s="35">
        <v>-7.9006302276909607E-2</v>
      </c>
      <c r="J1107" s="35">
        <v>1.1591635974131228E-3</v>
      </c>
      <c r="K1107" s="35">
        <v>-0.39076875397495975</v>
      </c>
      <c r="L1107" s="35">
        <v>-10.658397338653293</v>
      </c>
      <c r="M1107" s="58" t="s">
        <v>24</v>
      </c>
      <c r="N1107" s="7">
        <v>9.5</v>
      </c>
      <c r="O1107" s="7" t="s">
        <v>179</v>
      </c>
      <c r="P1107" s="7" t="s">
        <v>179</v>
      </c>
    </row>
    <row r="1108" spans="1:16" x14ac:dyDescent="0.25">
      <c r="A1108" s="2" t="s">
        <v>181</v>
      </c>
      <c r="B1108" s="2" t="s">
        <v>190</v>
      </c>
      <c r="C1108" s="6" t="s">
        <v>137</v>
      </c>
      <c r="D1108" s="2" t="s">
        <v>118</v>
      </c>
      <c r="E1108" s="2"/>
      <c r="F1108" s="35">
        <v>8.9965005885644871</v>
      </c>
      <c r="G1108" s="35">
        <v>25.613106840094982</v>
      </c>
      <c r="H1108" s="35">
        <v>16.337120819531673</v>
      </c>
      <c r="I1108" s="35">
        <v>-7.900630227690883E-2</v>
      </c>
      <c r="J1108" s="35">
        <v>1.1591635974131228E-3</v>
      </c>
      <c r="K1108" s="35">
        <v>-3.5378631507700882E-2</v>
      </c>
      <c r="L1108" s="35">
        <v>-55.082370970977443</v>
      </c>
      <c r="M1108" s="58" t="s">
        <v>23</v>
      </c>
      <c r="N1108" s="7">
        <v>9.5</v>
      </c>
      <c r="O1108" s="7" t="s">
        <v>179</v>
      </c>
      <c r="P1108" s="7" t="s">
        <v>179</v>
      </c>
    </row>
    <row r="1109" spans="1:16" x14ac:dyDescent="0.25">
      <c r="A1109" s="2" t="s">
        <v>181</v>
      </c>
      <c r="B1109" s="2" t="s">
        <v>190</v>
      </c>
      <c r="C1109" s="6" t="s">
        <v>137</v>
      </c>
      <c r="D1109" s="2" t="s">
        <v>119</v>
      </c>
      <c r="E1109" s="2"/>
      <c r="F1109" s="35">
        <v>0</v>
      </c>
      <c r="G1109" s="35">
        <v>-23.763892496847866</v>
      </c>
      <c r="H1109" s="35">
        <v>-23.711378273534887</v>
      </c>
      <c r="I1109" s="35">
        <v>1.3177588413770518</v>
      </c>
      <c r="J1109" s="35">
        <v>6.7863177127646746E-4</v>
      </c>
      <c r="K1109" s="35">
        <v>2.0826775054140017</v>
      </c>
      <c r="L1109" s="35">
        <v>-108.05760036862875</v>
      </c>
      <c r="M1109" s="58" t="s">
        <v>22</v>
      </c>
      <c r="N1109" s="7">
        <v>9.5</v>
      </c>
      <c r="O1109" s="7" t="s">
        <v>179</v>
      </c>
      <c r="P1109" s="7" t="s">
        <v>179</v>
      </c>
    </row>
    <row r="1110" spans="1:16" x14ac:dyDescent="0.25">
      <c r="A1110" s="2" t="s">
        <v>181</v>
      </c>
      <c r="B1110" s="2" t="s">
        <v>190</v>
      </c>
      <c r="C1110" s="6" t="s">
        <v>137</v>
      </c>
      <c r="D1110" s="2" t="s">
        <v>119</v>
      </c>
      <c r="E1110" s="2"/>
      <c r="F1110" s="35">
        <v>2</v>
      </c>
      <c r="G1110" s="35">
        <v>-22.950094896847862</v>
      </c>
      <c r="H1110" s="35">
        <v>-22.199378273534887</v>
      </c>
      <c r="I1110" s="35">
        <v>1.3177588413770518</v>
      </c>
      <c r="J1110" s="35">
        <v>6.7863177127646746E-4</v>
      </c>
      <c r="K1110" s="35">
        <v>-0.55284017734010205</v>
      </c>
      <c r="L1110" s="35">
        <v>-62.146843821558996</v>
      </c>
      <c r="M1110" s="58" t="s">
        <v>22</v>
      </c>
      <c r="N1110" s="7">
        <v>9.5</v>
      </c>
      <c r="O1110" s="7" t="s">
        <v>179</v>
      </c>
      <c r="P1110" s="7" t="s">
        <v>179</v>
      </c>
    </row>
    <row r="1111" spans="1:16" x14ac:dyDescent="0.25">
      <c r="A1111" s="2" t="s">
        <v>181</v>
      </c>
      <c r="B1111" s="2" t="s">
        <v>190</v>
      </c>
      <c r="C1111" s="6" t="s">
        <v>137</v>
      </c>
      <c r="D1111" s="2" t="s">
        <v>119</v>
      </c>
      <c r="E1111" s="2"/>
      <c r="F1111" s="35">
        <v>2</v>
      </c>
      <c r="G1111" s="35">
        <v>-24.235445675407483</v>
      </c>
      <c r="H1111" s="35">
        <v>-22.199365853660538</v>
      </c>
      <c r="I1111" s="35">
        <v>-7.4291611958152329E-2</v>
      </c>
      <c r="J1111" s="35">
        <v>6.9059612745361106E-4</v>
      </c>
      <c r="K1111" s="35">
        <v>-0.55284017734010138</v>
      </c>
      <c r="L1111" s="35">
        <v>-62.146831059579036</v>
      </c>
      <c r="M1111" s="58" t="s">
        <v>22</v>
      </c>
      <c r="N1111" s="7">
        <v>9.5</v>
      </c>
      <c r="O1111" s="7" t="s">
        <v>179</v>
      </c>
      <c r="P1111" s="7" t="s">
        <v>179</v>
      </c>
    </row>
    <row r="1112" spans="1:16" x14ac:dyDescent="0.25">
      <c r="A1112" s="2" t="s">
        <v>181</v>
      </c>
      <c r="B1112" s="2" t="s">
        <v>190</v>
      </c>
      <c r="C1112" s="6" t="s">
        <v>137</v>
      </c>
      <c r="D1112" s="2" t="s">
        <v>119</v>
      </c>
      <c r="E1112" s="2"/>
      <c r="F1112" s="35">
        <v>4.4982502942822435</v>
      </c>
      <c r="G1112" s="35">
        <v>-23.218910628564394</v>
      </c>
      <c r="H1112" s="35">
        <v>-20.310688631183162</v>
      </c>
      <c r="I1112" s="35">
        <v>-7.4291611958152218E-2</v>
      </c>
      <c r="J1112" s="35">
        <v>6.9059612745361106E-4</v>
      </c>
      <c r="K1112" s="35">
        <v>-0.36724113590294527</v>
      </c>
      <c r="L1112" s="35">
        <v>-9.0464529962215394</v>
      </c>
      <c r="M1112" s="58" t="s">
        <v>24</v>
      </c>
      <c r="N1112" s="7">
        <v>9.5</v>
      </c>
      <c r="O1112" s="7" t="s">
        <v>179</v>
      </c>
      <c r="P1112" s="7" t="s">
        <v>179</v>
      </c>
    </row>
    <row r="1113" spans="1:16" x14ac:dyDescent="0.25">
      <c r="A1113" s="2" t="s">
        <v>181</v>
      </c>
      <c r="B1113" s="2" t="s">
        <v>190</v>
      </c>
      <c r="C1113" s="6" t="s">
        <v>137</v>
      </c>
      <c r="D1113" s="2" t="s">
        <v>119</v>
      </c>
      <c r="E1113" s="2"/>
      <c r="F1113" s="35">
        <v>8.9965005885644871</v>
      </c>
      <c r="G1113" s="35">
        <v>-21.388577981721298</v>
      </c>
      <c r="H1113" s="35">
        <v>-16.910011408705785</v>
      </c>
      <c r="I1113" s="35">
        <v>-7.4291611958152023E-2</v>
      </c>
      <c r="J1113" s="35">
        <v>6.9059612745361106E-4</v>
      </c>
      <c r="K1113" s="35">
        <v>-3.3058870549485211E-2</v>
      </c>
      <c r="L1113" s="35">
        <v>74.667559457689265</v>
      </c>
      <c r="M1113" s="58" t="s">
        <v>23</v>
      </c>
      <c r="N1113" s="7">
        <v>9.5</v>
      </c>
      <c r="O1113" s="7" t="s">
        <v>179</v>
      </c>
      <c r="P1113" s="7" t="s">
        <v>179</v>
      </c>
    </row>
    <row r="1114" spans="1:16" x14ac:dyDescent="0.25">
      <c r="A1114" s="2" t="s">
        <v>181</v>
      </c>
      <c r="B1114" s="2" t="s">
        <v>190</v>
      </c>
      <c r="C1114" s="6" t="s">
        <v>137</v>
      </c>
      <c r="D1114" s="2" t="s">
        <v>120</v>
      </c>
      <c r="E1114" s="2"/>
      <c r="F1114" s="35">
        <v>0</v>
      </c>
      <c r="G1114" s="35">
        <v>78.919581388956388</v>
      </c>
      <c r="H1114" s="35">
        <v>5.2810014409741912</v>
      </c>
      <c r="I1114" s="35">
        <v>-4.4980008753309306</v>
      </c>
      <c r="J1114" s="35">
        <v>-7.811292070231575E-4</v>
      </c>
      <c r="K1114" s="35">
        <v>-7.1622090633563174</v>
      </c>
      <c r="L1114" s="35">
        <v>58.911060185570356</v>
      </c>
      <c r="M1114" s="58" t="s">
        <v>22</v>
      </c>
      <c r="N1114" s="7">
        <v>9.5</v>
      </c>
      <c r="O1114" s="7" t="s">
        <v>179</v>
      </c>
      <c r="P1114" s="7" t="s">
        <v>179</v>
      </c>
    </row>
    <row r="1115" spans="1:16" x14ac:dyDescent="0.25">
      <c r="A1115" s="2" t="s">
        <v>181</v>
      </c>
      <c r="B1115" s="2" t="s">
        <v>190</v>
      </c>
      <c r="C1115" s="6" t="s">
        <v>137</v>
      </c>
      <c r="D1115" s="2" t="s">
        <v>120</v>
      </c>
      <c r="E1115" s="2"/>
      <c r="F1115" s="35">
        <v>2</v>
      </c>
      <c r="G1115" s="35">
        <v>79.733378988956375</v>
      </c>
      <c r="H1115" s="35">
        <v>17.041001440974188</v>
      </c>
      <c r="I1115" s="35">
        <v>-4.4980008753309297</v>
      </c>
      <c r="J1115" s="35">
        <v>-7.811292070231575E-4</v>
      </c>
      <c r="K1115" s="35">
        <v>1.8337926873055417</v>
      </c>
      <c r="L1115" s="35">
        <v>36.589057303621978</v>
      </c>
      <c r="M1115" s="58" t="s">
        <v>22</v>
      </c>
      <c r="N1115" s="7">
        <v>9.5</v>
      </c>
      <c r="O1115" s="7" t="s">
        <v>179</v>
      </c>
      <c r="P1115" s="7" t="s">
        <v>179</v>
      </c>
    </row>
    <row r="1116" spans="1:16" x14ac:dyDescent="0.25">
      <c r="A1116" s="2" t="s">
        <v>181</v>
      </c>
      <c r="B1116" s="2" t="s">
        <v>190</v>
      </c>
      <c r="C1116" s="6" t="s">
        <v>137</v>
      </c>
      <c r="D1116" s="2" t="s">
        <v>120</v>
      </c>
      <c r="E1116" s="2"/>
      <c r="F1116" s="35">
        <v>2</v>
      </c>
      <c r="G1116" s="35">
        <v>84.198658894863314</v>
      </c>
      <c r="H1116" s="35">
        <v>17.040980635029172</v>
      </c>
      <c r="I1116" s="35">
        <v>0.24395027283488011</v>
      </c>
      <c r="J1116" s="35">
        <v>-7.3032091061470768E-4</v>
      </c>
      <c r="K1116" s="35">
        <v>1.8337926873055383</v>
      </c>
      <c r="L1116" s="35">
        <v>36.589111499138134</v>
      </c>
      <c r="M1116" s="58" t="s">
        <v>22</v>
      </c>
      <c r="N1116" s="7">
        <v>9.5</v>
      </c>
      <c r="O1116" s="7" t="s">
        <v>179</v>
      </c>
      <c r="P1116" s="7" t="s">
        <v>179</v>
      </c>
    </row>
    <row r="1117" spans="1:16" x14ac:dyDescent="0.25">
      <c r="A1117" s="2" t="s">
        <v>181</v>
      </c>
      <c r="B1117" s="2" t="s">
        <v>190</v>
      </c>
      <c r="C1117" s="6" t="s">
        <v>137</v>
      </c>
      <c r="D1117" s="2" t="s">
        <v>120</v>
      </c>
      <c r="E1117" s="2"/>
      <c r="F1117" s="35">
        <v>4.4982502942822435</v>
      </c>
      <c r="G1117" s="35">
        <v>85.215193941706417</v>
      </c>
      <c r="H1117" s="35">
        <v>31.730692365408768</v>
      </c>
      <c r="I1117" s="35">
        <v>0.24395027283488097</v>
      </c>
      <c r="J1117" s="35">
        <v>-7.3032091061470768E-4</v>
      </c>
      <c r="K1117" s="35">
        <v>1.2243438464055645</v>
      </c>
      <c r="L1117" s="35">
        <v>-24.332811713852582</v>
      </c>
      <c r="M1117" s="58" t="s">
        <v>24</v>
      </c>
      <c r="N1117" s="7">
        <v>9.5</v>
      </c>
      <c r="O1117" s="7" t="s">
        <v>179</v>
      </c>
      <c r="P1117" s="7" t="s">
        <v>179</v>
      </c>
    </row>
    <row r="1118" spans="1:16" x14ac:dyDescent="0.25">
      <c r="A1118" s="2" t="s">
        <v>181</v>
      </c>
      <c r="B1118" s="2" t="s">
        <v>190</v>
      </c>
      <c r="C1118" s="6" t="s">
        <v>137</v>
      </c>
      <c r="D1118" s="2" t="s">
        <v>120</v>
      </c>
      <c r="E1118" s="2"/>
      <c r="F1118" s="35">
        <v>8.9965005885644871</v>
      </c>
      <c r="G1118" s="35">
        <v>87.045526588549507</v>
      </c>
      <c r="H1118" s="35">
        <v>58.180404095788369</v>
      </c>
      <c r="I1118" s="35">
        <v>0.24395027283488263</v>
      </c>
      <c r="J1118" s="35">
        <v>-7.3032091061470768E-4</v>
      </c>
      <c r="K1118" s="35">
        <v>0.12699445983582355</v>
      </c>
      <c r="L1118" s="35">
        <v>-226.55411977176223</v>
      </c>
      <c r="M1118" s="58" t="s">
        <v>23</v>
      </c>
      <c r="N1118" s="7">
        <v>9.5</v>
      </c>
      <c r="O1118" s="7" t="s">
        <v>179</v>
      </c>
      <c r="P1118" s="7" t="s">
        <v>179</v>
      </c>
    </row>
    <row r="1119" spans="1:16" x14ac:dyDescent="0.25">
      <c r="A1119" s="2" t="s">
        <v>181</v>
      </c>
      <c r="B1119" s="2" t="s">
        <v>190</v>
      </c>
      <c r="C1119" s="6" t="s">
        <v>137</v>
      </c>
      <c r="D1119" s="2" t="s">
        <v>121</v>
      </c>
      <c r="E1119" s="2"/>
      <c r="F1119" s="35">
        <v>0</v>
      </c>
      <c r="G1119" s="35">
        <v>36.337697398695546</v>
      </c>
      <c r="H1119" s="35">
        <v>0.7101230201711185</v>
      </c>
      <c r="I1119" s="35">
        <v>-5.007619557287935</v>
      </c>
      <c r="J1119" s="35">
        <v>-1.2667371918129698E-3</v>
      </c>
      <c r="K1119" s="35">
        <v>-7.9632112299587625</v>
      </c>
      <c r="L1119" s="35">
        <v>26.895117679523462</v>
      </c>
      <c r="M1119" s="58" t="s">
        <v>22</v>
      </c>
      <c r="N1119" s="7">
        <v>9.5</v>
      </c>
      <c r="O1119" s="7" t="s">
        <v>179</v>
      </c>
      <c r="P1119" s="7" t="s">
        <v>179</v>
      </c>
    </row>
    <row r="1120" spans="1:16" x14ac:dyDescent="0.25">
      <c r="A1120" s="2" t="s">
        <v>181</v>
      </c>
      <c r="B1120" s="2" t="s">
        <v>190</v>
      </c>
      <c r="C1120" s="6" t="s">
        <v>137</v>
      </c>
      <c r="D1120" s="2" t="s">
        <v>121</v>
      </c>
      <c r="E1120" s="2"/>
      <c r="F1120" s="35">
        <v>2</v>
      </c>
      <c r="G1120" s="35">
        <v>37.151494998695547</v>
      </c>
      <c r="H1120" s="35">
        <v>7.7661230201711176</v>
      </c>
      <c r="I1120" s="35">
        <v>-5.007619557287935</v>
      </c>
      <c r="J1120" s="35">
        <v>-1.2667371918129698E-3</v>
      </c>
      <c r="K1120" s="35">
        <v>2.0520278846171078</v>
      </c>
      <c r="L1120" s="35">
        <v>18.418871639181216</v>
      </c>
      <c r="M1120" s="58" t="s">
        <v>22</v>
      </c>
      <c r="N1120" s="7">
        <v>9.5</v>
      </c>
      <c r="O1120" s="7" t="s">
        <v>179</v>
      </c>
      <c r="P1120" s="7" t="s">
        <v>179</v>
      </c>
    </row>
    <row r="1121" spans="1:16" x14ac:dyDescent="0.25">
      <c r="A1121" s="2" t="s">
        <v>181</v>
      </c>
      <c r="B1121" s="2" t="s">
        <v>190</v>
      </c>
      <c r="C1121" s="6" t="s">
        <v>137</v>
      </c>
      <c r="D1121" s="2" t="s">
        <v>121</v>
      </c>
      <c r="E1121" s="2"/>
      <c r="F1121" s="35">
        <v>2</v>
      </c>
      <c r="G1121" s="35">
        <v>42.121827568616617</v>
      </c>
      <c r="H1121" s="35">
        <v>7.7661154476688887</v>
      </c>
      <c r="I1121" s="35">
        <v>0.27305491847852836</v>
      </c>
      <c r="J1121" s="35">
        <v>-1.2423684136930104E-3</v>
      </c>
      <c r="K1121" s="35">
        <v>2.0520278846171061</v>
      </c>
      <c r="L1121" s="35">
        <v>18.418897632544507</v>
      </c>
      <c r="M1121" s="58" t="s">
        <v>22</v>
      </c>
      <c r="N1121" s="7">
        <v>9.5</v>
      </c>
      <c r="O1121" s="7" t="s">
        <v>179</v>
      </c>
      <c r="P1121" s="7" t="s">
        <v>179</v>
      </c>
    </row>
    <row r="1122" spans="1:16" x14ac:dyDescent="0.25">
      <c r="A1122" s="2" t="s">
        <v>181</v>
      </c>
      <c r="B1122" s="2" t="s">
        <v>190</v>
      </c>
      <c r="C1122" s="6" t="s">
        <v>137</v>
      </c>
      <c r="D1122" s="2" t="s">
        <v>121</v>
      </c>
      <c r="E1122" s="2"/>
      <c r="F1122" s="35">
        <v>4.4982502942822435</v>
      </c>
      <c r="G1122" s="35">
        <v>43.138362615459705</v>
      </c>
      <c r="H1122" s="35">
        <v>16.579942485896641</v>
      </c>
      <c r="I1122" s="35">
        <v>0.27305491847852892</v>
      </c>
      <c r="J1122" s="35">
        <v>-1.2423684136930104E-3</v>
      </c>
      <c r="K1122" s="35">
        <v>1.3698683541729082</v>
      </c>
      <c r="L1122" s="35">
        <v>-11.992375566026816</v>
      </c>
      <c r="M1122" s="58" t="s">
        <v>24</v>
      </c>
      <c r="N1122" s="7">
        <v>9.5</v>
      </c>
      <c r="O1122" s="7" t="s">
        <v>179</v>
      </c>
      <c r="P1122" s="7" t="s">
        <v>179</v>
      </c>
    </row>
    <row r="1123" spans="1:16" x14ac:dyDescent="0.25">
      <c r="A1123" s="2" t="s">
        <v>181</v>
      </c>
      <c r="B1123" s="2" t="s">
        <v>190</v>
      </c>
      <c r="C1123" s="6" t="s">
        <v>137</v>
      </c>
      <c r="D1123" s="2" t="s">
        <v>121</v>
      </c>
      <c r="E1123" s="2"/>
      <c r="F1123" s="35">
        <v>8.9965005885644871</v>
      </c>
      <c r="G1123" s="35">
        <v>44.968695262302795</v>
      </c>
      <c r="H1123" s="35">
        <v>32.449769524124406</v>
      </c>
      <c r="I1123" s="35">
        <v>0.27305491847852981</v>
      </c>
      <c r="J1123" s="35">
        <v>-1.2423684136930104E-3</v>
      </c>
      <c r="K1123" s="35">
        <v>0.14159898677164884</v>
      </c>
      <c r="L1123" s="35">
        <v>-122.26633380485225</v>
      </c>
      <c r="M1123" s="58" t="s">
        <v>23</v>
      </c>
      <c r="N1123" s="7">
        <v>9.5</v>
      </c>
      <c r="O1123" s="7" t="s">
        <v>179</v>
      </c>
      <c r="P1123" s="7" t="s">
        <v>179</v>
      </c>
    </row>
    <row r="1124" spans="1:16" x14ac:dyDescent="0.25">
      <c r="A1124" s="2" t="s">
        <v>181</v>
      </c>
      <c r="B1124" s="2" t="s">
        <v>190</v>
      </c>
      <c r="C1124" s="6" t="s">
        <v>137</v>
      </c>
      <c r="D1124" s="2" t="s">
        <v>122</v>
      </c>
      <c r="E1124" s="2"/>
      <c r="F1124" s="35">
        <v>0</v>
      </c>
      <c r="G1124" s="35">
        <v>47.947524653373222</v>
      </c>
      <c r="H1124" s="35">
        <v>-6.028772689260598</v>
      </c>
      <c r="I1124" s="35">
        <v>4.1972205853031239</v>
      </c>
      <c r="J1124" s="35">
        <v>6.9088156575052126E-4</v>
      </c>
      <c r="K1124" s="35">
        <v>6.6935977304322805</v>
      </c>
      <c r="L1124" s="35">
        <v>12.321305668309282</v>
      </c>
      <c r="M1124" s="58" t="s">
        <v>22</v>
      </c>
      <c r="N1124" s="7">
        <v>9.5</v>
      </c>
      <c r="O1124" s="7" t="s">
        <v>179</v>
      </c>
      <c r="P1124" s="7" t="s">
        <v>179</v>
      </c>
    </row>
    <row r="1125" spans="1:16" x14ac:dyDescent="0.25">
      <c r="A1125" s="2" t="s">
        <v>181</v>
      </c>
      <c r="B1125" s="2" t="s">
        <v>190</v>
      </c>
      <c r="C1125" s="6" t="s">
        <v>137</v>
      </c>
      <c r="D1125" s="2" t="s">
        <v>122</v>
      </c>
      <c r="E1125" s="2"/>
      <c r="F1125" s="35">
        <v>2</v>
      </c>
      <c r="G1125" s="35">
        <v>48.761322253373216</v>
      </c>
      <c r="H1125" s="35">
        <v>2.3712273107394024</v>
      </c>
      <c r="I1125" s="35">
        <v>4.1972205853031239</v>
      </c>
      <c r="J1125" s="35">
        <v>6.9088156575052126E-4</v>
      </c>
      <c r="K1125" s="35">
        <v>-1.700843440173966</v>
      </c>
      <c r="L1125" s="35">
        <v>15.978851046830471</v>
      </c>
      <c r="M1125" s="58" t="s">
        <v>22</v>
      </c>
      <c r="N1125" s="7">
        <v>9.5</v>
      </c>
      <c r="O1125" s="7" t="s">
        <v>179</v>
      </c>
      <c r="P1125" s="7" t="s">
        <v>179</v>
      </c>
    </row>
    <row r="1126" spans="1:16" x14ac:dyDescent="0.25">
      <c r="A1126" s="2" t="s">
        <v>181</v>
      </c>
      <c r="B1126" s="2" t="s">
        <v>190</v>
      </c>
      <c r="C1126" s="6" t="s">
        <v>137</v>
      </c>
      <c r="D1126" s="2" t="s">
        <v>122</v>
      </c>
      <c r="E1126" s="2"/>
      <c r="F1126" s="35">
        <v>2</v>
      </c>
      <c r="G1126" s="35">
        <v>44.632942874484129</v>
      </c>
      <c r="H1126" s="35">
        <v>2.3712149321993596</v>
      </c>
      <c r="I1126" s="35">
        <v>-0.22738539617124473</v>
      </c>
      <c r="J1126" s="35">
        <v>7.0265620439365019E-4</v>
      </c>
      <c r="K1126" s="35">
        <v>-1.7008434401739674</v>
      </c>
      <c r="L1126" s="35">
        <v>15.97886360644504</v>
      </c>
      <c r="M1126" s="58" t="s">
        <v>22</v>
      </c>
      <c r="N1126" s="7">
        <v>9.5</v>
      </c>
      <c r="O1126" s="7" t="s">
        <v>179</v>
      </c>
      <c r="P1126" s="7" t="s">
        <v>179</v>
      </c>
    </row>
    <row r="1127" spans="1:16" x14ac:dyDescent="0.25">
      <c r="A1127" s="2" t="s">
        <v>181</v>
      </c>
      <c r="B1127" s="2" t="s">
        <v>190</v>
      </c>
      <c r="C1127" s="6" t="s">
        <v>137</v>
      </c>
      <c r="D1127" s="2" t="s">
        <v>122</v>
      </c>
      <c r="E1127" s="2"/>
      <c r="F1127" s="35">
        <v>4.4982502942822435</v>
      </c>
      <c r="G1127" s="35">
        <v>45.649477921327218</v>
      </c>
      <c r="H1127" s="35">
        <v>12.863866168184785</v>
      </c>
      <c r="I1127" s="35">
        <v>-0.22738539617124406</v>
      </c>
      <c r="J1127" s="35">
        <v>7.0265620439365019E-4</v>
      </c>
      <c r="K1127" s="35">
        <v>-1.1327778072736712</v>
      </c>
      <c r="L1127" s="35">
        <v>-3.0516593147792248</v>
      </c>
      <c r="M1127" s="58" t="s">
        <v>24</v>
      </c>
      <c r="N1127" s="7">
        <v>9.5</v>
      </c>
      <c r="O1127" s="7" t="s">
        <v>179</v>
      </c>
      <c r="P1127" s="7" t="s">
        <v>179</v>
      </c>
    </row>
    <row r="1128" spans="1:16" x14ac:dyDescent="0.25">
      <c r="A1128" s="2" t="s">
        <v>181</v>
      </c>
      <c r="B1128" s="2" t="s">
        <v>190</v>
      </c>
      <c r="C1128" s="6" t="s">
        <v>137</v>
      </c>
      <c r="D1128" s="2" t="s">
        <v>122</v>
      </c>
      <c r="E1128" s="2"/>
      <c r="F1128" s="35">
        <v>8.9965005885644871</v>
      </c>
      <c r="G1128" s="35">
        <v>47.479810568170308</v>
      </c>
      <c r="H1128" s="35">
        <v>31.756517404170221</v>
      </c>
      <c r="I1128" s="35">
        <v>-0.2273853961712429</v>
      </c>
      <c r="J1128" s="35">
        <v>7.0265620439365019E-4</v>
      </c>
      <c r="K1128" s="35">
        <v>-0.10994138203089056</v>
      </c>
      <c r="L1128" s="35">
        <v>-103.40848608244551</v>
      </c>
      <c r="M1128" s="58" t="s">
        <v>23</v>
      </c>
      <c r="N1128" s="7">
        <v>9.5</v>
      </c>
      <c r="O1128" s="7" t="s">
        <v>179</v>
      </c>
      <c r="P1128" s="7" t="s">
        <v>179</v>
      </c>
    </row>
    <row r="1129" spans="1:16" x14ac:dyDescent="0.25">
      <c r="A1129" s="2" t="s">
        <v>181</v>
      </c>
      <c r="B1129" s="2" t="s">
        <v>190</v>
      </c>
      <c r="C1129" s="6" t="s">
        <v>137</v>
      </c>
      <c r="D1129" s="2" t="s">
        <v>123</v>
      </c>
      <c r="E1129" s="2"/>
      <c r="F1129" s="35">
        <v>0</v>
      </c>
      <c r="G1129" s="35">
        <v>5.8601718941781424</v>
      </c>
      <c r="H1129" s="35">
        <v>-10.465869753262435</v>
      </c>
      <c r="I1129" s="35">
        <v>3.6921055671011378</v>
      </c>
      <c r="J1129" s="35">
        <v>2.0433001169635159E-4</v>
      </c>
      <c r="K1129" s="35">
        <v>5.8997188014032833</v>
      </c>
      <c r="L1129" s="35">
        <v>-19.298312235902529</v>
      </c>
      <c r="M1129" s="58" t="s">
        <v>22</v>
      </c>
      <c r="N1129" s="7">
        <v>9.5</v>
      </c>
      <c r="O1129" s="7" t="s">
        <v>179</v>
      </c>
      <c r="P1129" s="7" t="s">
        <v>179</v>
      </c>
    </row>
    <row r="1130" spans="1:16" x14ac:dyDescent="0.25">
      <c r="A1130" s="2" t="s">
        <v>181</v>
      </c>
      <c r="B1130" s="2" t="s">
        <v>190</v>
      </c>
      <c r="C1130" s="6" t="s">
        <v>137</v>
      </c>
      <c r="D1130" s="2" t="s">
        <v>123</v>
      </c>
      <c r="E1130" s="2"/>
      <c r="F1130" s="35">
        <v>2</v>
      </c>
      <c r="G1130" s="35">
        <v>6.6739694941781407</v>
      </c>
      <c r="H1130" s="35">
        <v>-6.7698697532624363</v>
      </c>
      <c r="I1130" s="35">
        <v>3.6921055671011378</v>
      </c>
      <c r="J1130" s="35">
        <v>2.0433001169635159E-4</v>
      </c>
      <c r="K1130" s="35">
        <v>-1.4844923327989921</v>
      </c>
      <c r="L1130" s="35">
        <v>-2.0625727293776679</v>
      </c>
      <c r="M1130" s="58" t="s">
        <v>22</v>
      </c>
      <c r="N1130" s="7">
        <v>9.5</v>
      </c>
      <c r="O1130" s="7" t="s">
        <v>179</v>
      </c>
      <c r="P1130" s="7" t="s">
        <v>179</v>
      </c>
    </row>
    <row r="1131" spans="1:16" x14ac:dyDescent="0.25">
      <c r="A1131" s="2" t="s">
        <v>181</v>
      </c>
      <c r="B1131" s="2" t="s">
        <v>190</v>
      </c>
      <c r="C1131" s="6" t="s">
        <v>137</v>
      </c>
      <c r="D1131" s="2" t="s">
        <v>123</v>
      </c>
      <c r="E1131" s="2"/>
      <c r="F1131" s="35">
        <v>2</v>
      </c>
      <c r="G1131" s="35">
        <v>3.0461850767421632</v>
      </c>
      <c r="H1131" s="35">
        <v>-6.7698690108416306</v>
      </c>
      <c r="I1131" s="35">
        <v>-0.19853194802265567</v>
      </c>
      <c r="J1131" s="35">
        <v>1.9021204273827409E-4</v>
      </c>
      <c r="K1131" s="35">
        <v>-1.4844923327989914</v>
      </c>
      <c r="L1131" s="35">
        <v>-2.062587788544576</v>
      </c>
      <c r="M1131" s="58" t="s">
        <v>22</v>
      </c>
      <c r="N1131" s="7">
        <v>9.5</v>
      </c>
      <c r="O1131" s="7" t="s">
        <v>179</v>
      </c>
      <c r="P1131" s="7" t="s">
        <v>179</v>
      </c>
    </row>
    <row r="1132" spans="1:16" x14ac:dyDescent="0.25">
      <c r="A1132" s="2" t="s">
        <v>181</v>
      </c>
      <c r="B1132" s="2" t="s">
        <v>190</v>
      </c>
      <c r="C1132" s="6" t="s">
        <v>137</v>
      </c>
      <c r="D1132" s="2" t="s">
        <v>123</v>
      </c>
      <c r="E1132" s="2"/>
      <c r="F1132" s="35">
        <v>4.4982502942822435</v>
      </c>
      <c r="G1132" s="35">
        <v>4.0627201235852546</v>
      </c>
      <c r="H1132" s="35">
        <v>-2.1531024670080439</v>
      </c>
      <c r="I1132" s="35">
        <v>-0.19853194802265539</v>
      </c>
      <c r="J1132" s="35">
        <v>1.9021204273827409E-4</v>
      </c>
      <c r="K1132" s="35">
        <v>-0.98850983522696512</v>
      </c>
      <c r="L1132" s="35">
        <v>9.0833202716604386</v>
      </c>
      <c r="M1132" s="58" t="s">
        <v>24</v>
      </c>
      <c r="N1132" s="7">
        <v>9.5</v>
      </c>
      <c r="O1132" s="7" t="s">
        <v>179</v>
      </c>
      <c r="P1132" s="7" t="s">
        <v>179</v>
      </c>
    </row>
    <row r="1133" spans="1:16" x14ac:dyDescent="0.25">
      <c r="A1133" s="2" t="s">
        <v>181</v>
      </c>
      <c r="B1133" s="2" t="s">
        <v>190</v>
      </c>
      <c r="C1133" s="6" t="s">
        <v>137</v>
      </c>
      <c r="D1133" s="2" t="s">
        <v>123</v>
      </c>
      <c r="E1133" s="2"/>
      <c r="F1133" s="35">
        <v>8.9965005885644871</v>
      </c>
      <c r="G1133" s="35">
        <v>5.8930527704283442</v>
      </c>
      <c r="H1133" s="35">
        <v>6.159664076825548</v>
      </c>
      <c r="I1133" s="35">
        <v>-0.19853194802265492</v>
      </c>
      <c r="J1133" s="35">
        <v>1.9021204273827409E-4</v>
      </c>
      <c r="K1133" s="35">
        <v>-9.5463441609629315E-2</v>
      </c>
      <c r="L1133" s="35">
        <v>7.2061801449671364E-2</v>
      </c>
      <c r="M1133" s="58" t="s">
        <v>23</v>
      </c>
      <c r="N1133" s="7">
        <v>9.5</v>
      </c>
      <c r="O1133" s="7" t="s">
        <v>179</v>
      </c>
      <c r="P1133" s="7" t="s">
        <v>179</v>
      </c>
    </row>
    <row r="1134" spans="1:16" x14ac:dyDescent="0.25">
      <c r="A1134" s="2" t="s">
        <v>181</v>
      </c>
      <c r="B1134" s="2" t="s">
        <v>190</v>
      </c>
      <c r="C1134" s="6" t="s">
        <v>137</v>
      </c>
      <c r="D1134" s="2" t="s">
        <v>124</v>
      </c>
      <c r="E1134" s="2"/>
      <c r="F1134" s="35">
        <v>0</v>
      </c>
      <c r="G1134" s="35">
        <v>56.879960717613784</v>
      </c>
      <c r="H1134" s="35">
        <v>41.74169139129139</v>
      </c>
      <c r="I1134" s="35">
        <v>1.8266741890942391</v>
      </c>
      <c r="J1134" s="35">
        <v>1.2224896275283962E-3</v>
      </c>
      <c r="K1134" s="35">
        <v>2.8719873261551854</v>
      </c>
      <c r="L1134" s="35">
        <v>125.56710312283991</v>
      </c>
      <c r="M1134" s="58" t="s">
        <v>22</v>
      </c>
      <c r="N1134" s="7">
        <v>9.5</v>
      </c>
      <c r="O1134" s="7" t="s">
        <v>179</v>
      </c>
      <c r="P1134" s="7" t="s">
        <v>179</v>
      </c>
    </row>
    <row r="1135" spans="1:16" x14ac:dyDescent="0.25">
      <c r="A1135" s="2" t="s">
        <v>181</v>
      </c>
      <c r="B1135" s="2" t="s">
        <v>190</v>
      </c>
      <c r="C1135" s="6" t="s">
        <v>137</v>
      </c>
      <c r="D1135" s="2" t="s">
        <v>124</v>
      </c>
      <c r="E1135" s="2"/>
      <c r="F1135" s="35">
        <v>2</v>
      </c>
      <c r="G1135" s="35">
        <v>57.693758317613778</v>
      </c>
      <c r="H1135" s="35">
        <v>35.693691391291388</v>
      </c>
      <c r="I1135" s="35">
        <v>1.8266741890942386</v>
      </c>
      <c r="J1135" s="35">
        <v>1.2224896275283962E-3</v>
      </c>
      <c r="K1135" s="35">
        <v>-0.78136105203329176</v>
      </c>
      <c r="L1135" s="35">
        <v>48.131720340257139</v>
      </c>
      <c r="M1135" s="58" t="s">
        <v>22</v>
      </c>
      <c r="N1135" s="7">
        <v>9.5</v>
      </c>
      <c r="O1135" s="7" t="s">
        <v>179</v>
      </c>
      <c r="P1135" s="7" t="s">
        <v>179</v>
      </c>
    </row>
    <row r="1136" spans="1:16" x14ac:dyDescent="0.25">
      <c r="A1136" s="2" t="s">
        <v>181</v>
      </c>
      <c r="B1136" s="2" t="s">
        <v>190</v>
      </c>
      <c r="C1136" s="6" t="s">
        <v>137</v>
      </c>
      <c r="D1136" s="2" t="s">
        <v>124</v>
      </c>
      <c r="E1136" s="2"/>
      <c r="F1136" s="35">
        <v>2</v>
      </c>
      <c r="G1136" s="35">
        <v>55.902723726940323</v>
      </c>
      <c r="H1136" s="35">
        <v>35.693668797276949</v>
      </c>
      <c r="I1136" s="35">
        <v>-0.10477519560864482</v>
      </c>
      <c r="J1136" s="35">
        <v>1.2857051473959026E-3</v>
      </c>
      <c r="K1136" s="35">
        <v>-0.78136105203329209</v>
      </c>
      <c r="L1136" s="35">
        <v>48.131787770144904</v>
      </c>
      <c r="M1136" s="58" t="s">
        <v>22</v>
      </c>
      <c r="N1136" s="7">
        <v>9.5</v>
      </c>
      <c r="O1136" s="7" t="s">
        <v>179</v>
      </c>
      <c r="P1136" s="7" t="s">
        <v>179</v>
      </c>
    </row>
    <row r="1137" spans="1:16" x14ac:dyDescent="0.25">
      <c r="A1137" s="2" t="s">
        <v>181</v>
      </c>
      <c r="B1137" s="2" t="s">
        <v>190</v>
      </c>
      <c r="C1137" s="6" t="s">
        <v>137</v>
      </c>
      <c r="D1137" s="2" t="s">
        <v>124</v>
      </c>
      <c r="E1137" s="2"/>
      <c r="F1137" s="35">
        <v>4.4982502942822435</v>
      </c>
      <c r="G1137" s="35">
        <v>56.919258773783412</v>
      </c>
      <c r="H1137" s="35">
        <v>28.138959907367443</v>
      </c>
      <c r="I1137" s="35">
        <v>-0.10477519560864527</v>
      </c>
      <c r="J1137" s="35">
        <v>1.2857051473959026E-3</v>
      </c>
      <c r="K1137" s="35">
        <v>-0.51960638877051502</v>
      </c>
      <c r="L1137" s="35">
        <v>-31.60315395294861</v>
      </c>
      <c r="M1137" s="58" t="s">
        <v>24</v>
      </c>
      <c r="N1137" s="7">
        <v>9.5</v>
      </c>
      <c r="O1137" s="7" t="s">
        <v>179</v>
      </c>
      <c r="P1137" s="7" t="s">
        <v>179</v>
      </c>
    </row>
    <row r="1138" spans="1:16" x14ac:dyDescent="0.25">
      <c r="A1138" s="2" t="s">
        <v>181</v>
      </c>
      <c r="B1138" s="2" t="s">
        <v>190</v>
      </c>
      <c r="C1138" s="6" t="s">
        <v>137</v>
      </c>
      <c r="D1138" s="2" t="s">
        <v>124</v>
      </c>
      <c r="E1138" s="2"/>
      <c r="F1138" s="35">
        <v>8.9965005885644871</v>
      </c>
      <c r="G1138" s="35">
        <v>58.749591420626501</v>
      </c>
      <c r="H1138" s="35">
        <v>14.536251017457934</v>
      </c>
      <c r="I1138" s="35">
        <v>-0.10477519560864611</v>
      </c>
      <c r="J1138" s="35">
        <v>1.2857051473959026E-3</v>
      </c>
      <c r="K1138" s="35">
        <v>-4.8301334290444767E-2</v>
      </c>
      <c r="L1138" s="35">
        <v>-127.5850440035249</v>
      </c>
      <c r="M1138" s="58" t="s">
        <v>23</v>
      </c>
      <c r="N1138" s="7">
        <v>9.5</v>
      </c>
      <c r="O1138" s="7" t="s">
        <v>179</v>
      </c>
      <c r="P1138" s="7" t="s">
        <v>179</v>
      </c>
    </row>
    <row r="1139" spans="1:16" x14ac:dyDescent="0.25">
      <c r="A1139" s="2" t="s">
        <v>181</v>
      </c>
      <c r="B1139" s="2" t="s">
        <v>190</v>
      </c>
      <c r="C1139" s="6" t="s">
        <v>137</v>
      </c>
      <c r="D1139" s="2" t="s">
        <v>125</v>
      </c>
      <c r="E1139" s="2"/>
      <c r="F1139" s="35">
        <v>0</v>
      </c>
      <c r="G1139" s="35">
        <v>-66.391941728171773</v>
      </c>
      <c r="H1139" s="35">
        <v>15.244180296369105</v>
      </c>
      <c r="I1139" s="35">
        <v>1.6828040322569595</v>
      </c>
      <c r="J1139" s="35">
        <v>8.1618130614996348E-4</v>
      </c>
      <c r="K1139" s="35">
        <v>2.6504596600509003</v>
      </c>
      <c r="L1139" s="35">
        <v>47.198424809993327</v>
      </c>
      <c r="M1139" s="58" t="s">
        <v>22</v>
      </c>
      <c r="N1139" s="7">
        <v>9.5</v>
      </c>
      <c r="O1139" s="7" t="s">
        <v>179</v>
      </c>
      <c r="P1139" s="7" t="s">
        <v>179</v>
      </c>
    </row>
    <row r="1140" spans="1:16" x14ac:dyDescent="0.25">
      <c r="A1140" s="2" t="s">
        <v>181</v>
      </c>
      <c r="B1140" s="2" t="s">
        <v>190</v>
      </c>
      <c r="C1140" s="6" t="s">
        <v>137</v>
      </c>
      <c r="D1140" s="2" t="s">
        <v>125</v>
      </c>
      <c r="E1140" s="2"/>
      <c r="F1140" s="35">
        <v>2</v>
      </c>
      <c r="G1140" s="35">
        <v>-65.578144128171772</v>
      </c>
      <c r="H1140" s="35">
        <v>4.4921802963691002</v>
      </c>
      <c r="I1140" s="35">
        <v>1.6828040322569588</v>
      </c>
      <c r="J1140" s="35">
        <v>8.1618130614996348E-4</v>
      </c>
      <c r="K1140" s="35">
        <v>-0.71514840446301731</v>
      </c>
      <c r="L1140" s="35">
        <v>27.462064217255108</v>
      </c>
      <c r="M1140" s="58" t="s">
        <v>22</v>
      </c>
      <c r="N1140" s="7">
        <v>9.5</v>
      </c>
      <c r="O1140" s="7" t="s">
        <v>179</v>
      </c>
      <c r="P1140" s="7" t="s">
        <v>179</v>
      </c>
    </row>
    <row r="1141" spans="1:16" x14ac:dyDescent="0.25">
      <c r="A1141" s="2" t="s">
        <v>181</v>
      </c>
      <c r="B1141" s="2" t="s">
        <v>190</v>
      </c>
      <c r="C1141" s="6" t="s">
        <v>137</v>
      </c>
      <c r="D1141" s="2" t="s">
        <v>125</v>
      </c>
      <c r="E1141" s="2"/>
      <c r="F1141" s="35">
        <v>2</v>
      </c>
      <c r="G1141" s="35">
        <v>-67.226022811057661</v>
      </c>
      <c r="H1141" s="35">
        <v>4.4921891803227512</v>
      </c>
      <c r="I1141" s="35">
        <v>-9.5946125787085043E-2</v>
      </c>
      <c r="J1141" s="35">
        <v>7.569467890449497E-4</v>
      </c>
      <c r="K1141" s="35">
        <v>-0.71514840446301764</v>
      </c>
      <c r="L1141" s="35">
        <v>27.462001033770136</v>
      </c>
      <c r="M1141" s="58" t="s">
        <v>22</v>
      </c>
      <c r="N1141" s="7">
        <v>9.5</v>
      </c>
      <c r="O1141" s="7" t="s">
        <v>179</v>
      </c>
      <c r="P1141" s="7" t="s">
        <v>179</v>
      </c>
    </row>
    <row r="1142" spans="1:16" x14ac:dyDescent="0.25">
      <c r="A1142" s="2" t="s">
        <v>181</v>
      </c>
      <c r="B1142" s="2" t="s">
        <v>190</v>
      </c>
      <c r="C1142" s="6" t="s">
        <v>137</v>
      </c>
      <c r="D1142" s="2" t="s">
        <v>125</v>
      </c>
      <c r="E1142" s="2"/>
      <c r="F1142" s="35">
        <v>4.4982502942822435</v>
      </c>
      <c r="G1142" s="35">
        <v>-66.209487764214558</v>
      </c>
      <c r="H1142" s="35">
        <v>-8.9384044017385929</v>
      </c>
      <c r="I1142" s="35">
        <v>-9.5946125787085876E-2</v>
      </c>
      <c r="J1142" s="35">
        <v>7.569467890449497E-4</v>
      </c>
      <c r="K1142" s="35">
        <v>-0.47545096748019028</v>
      </c>
      <c r="L1142" s="35">
        <v>33.015880276442303</v>
      </c>
      <c r="M1142" s="58" t="s">
        <v>24</v>
      </c>
      <c r="N1142" s="7">
        <v>9.5</v>
      </c>
      <c r="O1142" s="7" t="s">
        <v>179</v>
      </c>
      <c r="P1142" s="7" t="s">
        <v>179</v>
      </c>
    </row>
    <row r="1143" spans="1:16" x14ac:dyDescent="0.25">
      <c r="A1143" s="2" t="s">
        <v>181</v>
      </c>
      <c r="B1143" s="2" t="s">
        <v>190</v>
      </c>
      <c r="C1143" s="6" t="s">
        <v>137</v>
      </c>
      <c r="D1143" s="2" t="s">
        <v>125</v>
      </c>
      <c r="E1143" s="2"/>
      <c r="F1143" s="35">
        <v>8.9965005885644871</v>
      </c>
      <c r="G1143" s="35">
        <v>-64.379155117371482</v>
      </c>
      <c r="H1143" s="35">
        <v>-33.120997983799946</v>
      </c>
      <c r="I1143" s="35">
        <v>-9.5946125787087347E-2</v>
      </c>
      <c r="J1143" s="35">
        <v>7.569467890449497E-4</v>
      </c>
      <c r="K1143" s="35">
        <v>-4.3861278923186676E-2</v>
      </c>
      <c r="L1143" s="35">
        <v>127.61273985548434</v>
      </c>
      <c r="M1143" s="58" t="s">
        <v>23</v>
      </c>
      <c r="N1143" s="7">
        <v>9.5</v>
      </c>
      <c r="O1143" s="7" t="s">
        <v>179</v>
      </c>
      <c r="P1143" s="7" t="s">
        <v>179</v>
      </c>
    </row>
    <row r="1144" spans="1:16" x14ac:dyDescent="0.25">
      <c r="A1144" s="2" t="s">
        <v>181</v>
      </c>
      <c r="B1144" s="2" t="s">
        <v>190</v>
      </c>
      <c r="C1144" s="6" t="s">
        <v>137</v>
      </c>
      <c r="D1144" s="2" t="s">
        <v>126</v>
      </c>
      <c r="E1144" s="2"/>
      <c r="F1144" s="35">
        <v>0</v>
      </c>
      <c r="G1144" s="35">
        <v>33.931971849148781</v>
      </c>
      <c r="H1144" s="35">
        <v>-7.2787576497910003</v>
      </c>
      <c r="I1144" s="35">
        <v>1.4987286968901685</v>
      </c>
      <c r="J1144" s="35">
        <v>1.2561787774916244E-3</v>
      </c>
      <c r="K1144" s="35">
        <v>2.3612485540874331</v>
      </c>
      <c r="L1144" s="35">
        <v>-16.684240234938603</v>
      </c>
      <c r="M1144" s="58" t="s">
        <v>22</v>
      </c>
      <c r="N1144" s="7">
        <v>9.5</v>
      </c>
      <c r="O1144" s="7" t="s">
        <v>179</v>
      </c>
      <c r="P1144" s="7" t="s">
        <v>179</v>
      </c>
    </row>
    <row r="1145" spans="1:16" x14ac:dyDescent="0.25">
      <c r="A1145" s="2" t="s">
        <v>181</v>
      </c>
      <c r="B1145" s="2" t="s">
        <v>190</v>
      </c>
      <c r="C1145" s="6" t="s">
        <v>137</v>
      </c>
      <c r="D1145" s="2" t="s">
        <v>126</v>
      </c>
      <c r="E1145" s="2"/>
      <c r="F1145" s="35">
        <v>2</v>
      </c>
      <c r="G1145" s="35">
        <v>34.745769449148781</v>
      </c>
      <c r="H1145" s="35">
        <v>-0.89475764979100114</v>
      </c>
      <c r="I1145" s="35">
        <v>1.498728696890169</v>
      </c>
      <c r="J1145" s="35">
        <v>1.2561787774916244E-3</v>
      </c>
      <c r="K1145" s="35">
        <v>-0.63620883969290409</v>
      </c>
      <c r="L1145" s="35">
        <v>-8.5107249353566115</v>
      </c>
      <c r="M1145" s="58" t="s">
        <v>22</v>
      </c>
      <c r="N1145" s="7">
        <v>9.5</v>
      </c>
      <c r="O1145" s="7" t="s">
        <v>179</v>
      </c>
      <c r="P1145" s="7" t="s">
        <v>179</v>
      </c>
    </row>
    <row r="1146" spans="1:16" x14ac:dyDescent="0.25">
      <c r="A1146" s="2" t="s">
        <v>181</v>
      </c>
      <c r="B1146" s="2" t="s">
        <v>190</v>
      </c>
      <c r="C1146" s="6" t="s">
        <v>137</v>
      </c>
      <c r="D1146" s="2" t="s">
        <v>126</v>
      </c>
      <c r="E1146" s="2"/>
      <c r="F1146" s="35">
        <v>2</v>
      </c>
      <c r="G1146" s="35">
        <v>33.28033190967448</v>
      </c>
      <c r="H1146" s="35">
        <v>-0.89476908320387505</v>
      </c>
      <c r="I1146" s="35">
        <v>-8.5415718288259029E-2</v>
      </c>
      <c r="J1146" s="35">
        <v>1.2891262878236059E-3</v>
      </c>
      <c r="K1146" s="35">
        <v>-0.63620883969290387</v>
      </c>
      <c r="L1146" s="35">
        <v>-8.5106897913455342</v>
      </c>
      <c r="M1146" s="58" t="s">
        <v>22</v>
      </c>
      <c r="N1146" s="7">
        <v>9.5</v>
      </c>
      <c r="O1146" s="7" t="s">
        <v>179</v>
      </c>
      <c r="P1146" s="7" t="s">
        <v>179</v>
      </c>
    </row>
    <row r="1147" spans="1:16" x14ac:dyDescent="0.25">
      <c r="A1147" s="2" t="s">
        <v>181</v>
      </c>
      <c r="B1147" s="2" t="s">
        <v>190</v>
      </c>
      <c r="C1147" s="6" t="s">
        <v>137</v>
      </c>
      <c r="D1147" s="2" t="s">
        <v>126</v>
      </c>
      <c r="E1147" s="2"/>
      <c r="F1147" s="35">
        <v>4.4982502942822435</v>
      </c>
      <c r="G1147" s="35">
        <v>34.296866956517576</v>
      </c>
      <c r="H1147" s="35">
        <v>7.0796458561450475</v>
      </c>
      <c r="I1147" s="35">
        <v>-8.541571828825853E-2</v>
      </c>
      <c r="J1147" s="35">
        <v>1.2891262878236059E-3</v>
      </c>
      <c r="K1147" s="35">
        <v>-0.42281899634293219</v>
      </c>
      <c r="L1147" s="35">
        <v>-16.236374900395372</v>
      </c>
      <c r="M1147" s="58" t="s">
        <v>24</v>
      </c>
      <c r="N1147" s="7">
        <v>9.5</v>
      </c>
      <c r="O1147" s="7" t="s">
        <v>179</v>
      </c>
      <c r="P1147" s="7" t="s">
        <v>179</v>
      </c>
    </row>
    <row r="1148" spans="1:16" x14ac:dyDescent="0.25">
      <c r="A1148" s="2" t="s">
        <v>181</v>
      </c>
      <c r="B1148" s="2" t="s">
        <v>190</v>
      </c>
      <c r="C1148" s="6" t="s">
        <v>137</v>
      </c>
      <c r="D1148" s="2" t="s">
        <v>126</v>
      </c>
      <c r="E1148" s="2"/>
      <c r="F1148" s="35">
        <v>8.9965005885644871</v>
      </c>
      <c r="G1148" s="35">
        <v>36.127199603360665</v>
      </c>
      <c r="H1148" s="35">
        <v>21.438060795493971</v>
      </c>
      <c r="I1148" s="35">
        <v>-8.5415718288257655E-2</v>
      </c>
      <c r="J1148" s="35">
        <v>1.2891262878236059E-3</v>
      </c>
      <c r="K1148" s="35">
        <v>-3.8597716416445924E-2</v>
      </c>
      <c r="L1148" s="35">
        <v>-80.376266069390368</v>
      </c>
      <c r="M1148" s="58" t="s">
        <v>23</v>
      </c>
      <c r="N1148" s="7">
        <v>9.5</v>
      </c>
      <c r="O1148" s="7" t="s">
        <v>179</v>
      </c>
      <c r="P1148" s="7" t="s">
        <v>179</v>
      </c>
    </row>
    <row r="1149" spans="1:16" x14ac:dyDescent="0.25">
      <c r="A1149" s="2" t="s">
        <v>181</v>
      </c>
      <c r="B1149" s="2" t="s">
        <v>190</v>
      </c>
      <c r="C1149" s="6" t="s">
        <v>137</v>
      </c>
      <c r="D1149" s="2" t="s">
        <v>127</v>
      </c>
      <c r="E1149" s="2"/>
      <c r="F1149" s="35">
        <v>0</v>
      </c>
      <c r="G1149" s="35">
        <v>-18.369047860166436</v>
      </c>
      <c r="H1149" s="35">
        <v>-23.060269103500485</v>
      </c>
      <c r="I1149" s="35">
        <v>1.4219120194597308</v>
      </c>
      <c r="J1149" s="35">
        <v>7.4712915942436306E-4</v>
      </c>
      <c r="K1149" s="35">
        <v>2.2468441931691125</v>
      </c>
      <c r="L1149" s="35">
        <v>-109.67779489175436</v>
      </c>
      <c r="M1149" s="58" t="s">
        <v>22</v>
      </c>
      <c r="N1149" s="7">
        <v>9.5</v>
      </c>
      <c r="O1149" s="7" t="s">
        <v>179</v>
      </c>
      <c r="P1149" s="7" t="s">
        <v>179</v>
      </c>
    </row>
    <row r="1150" spans="1:16" x14ac:dyDescent="0.25">
      <c r="A1150" s="2" t="s">
        <v>181</v>
      </c>
      <c r="B1150" s="2" t="s">
        <v>190</v>
      </c>
      <c r="C1150" s="6" t="s">
        <v>137</v>
      </c>
      <c r="D1150" s="2" t="s">
        <v>127</v>
      </c>
      <c r="E1150" s="2"/>
      <c r="F1150" s="35">
        <v>2</v>
      </c>
      <c r="G1150" s="35">
        <v>-17.555250260166439</v>
      </c>
      <c r="H1150" s="35">
        <v>-21.380269103500485</v>
      </c>
      <c r="I1150" s="35">
        <v>1.4219120194597308</v>
      </c>
      <c r="J1150" s="35">
        <v>7.4712915942436306E-4</v>
      </c>
      <c r="K1150" s="35">
        <v>-0.59697984575034868</v>
      </c>
      <c r="L1150" s="35">
        <v>-65.237256684753405</v>
      </c>
      <c r="M1150" s="58" t="s">
        <v>22</v>
      </c>
      <c r="N1150" s="7">
        <v>9.5</v>
      </c>
      <c r="O1150" s="7" t="s">
        <v>179</v>
      </c>
      <c r="P1150" s="7" t="s">
        <v>179</v>
      </c>
    </row>
    <row r="1151" spans="1:16" x14ac:dyDescent="0.25">
      <c r="A1151" s="2" t="s">
        <v>181</v>
      </c>
      <c r="B1151" s="2" t="s">
        <v>190</v>
      </c>
      <c r="C1151" s="6" t="s">
        <v>137</v>
      </c>
      <c r="D1151" s="2" t="s">
        <v>127</v>
      </c>
      <c r="E1151" s="2"/>
      <c r="F1151" s="35">
        <v>2</v>
      </c>
      <c r="G1151" s="35">
        <v>-18.943762336788055</v>
      </c>
      <c r="H1151" s="35">
        <v>-21.380257730275151</v>
      </c>
      <c r="I1151" s="35">
        <v>-8.0177173489639333E-2</v>
      </c>
      <c r="J1151" s="35">
        <v>7.6849576564637053E-4</v>
      </c>
      <c r="K1151" s="35">
        <v>-0.59697984575034813</v>
      </c>
      <c r="L1151" s="35">
        <v>-65.23723389370673</v>
      </c>
      <c r="M1151" s="58" t="s">
        <v>22</v>
      </c>
      <c r="N1151" s="7">
        <v>9.5</v>
      </c>
      <c r="O1151" s="7" t="s">
        <v>179</v>
      </c>
      <c r="P1151" s="7" t="s">
        <v>179</v>
      </c>
    </row>
    <row r="1152" spans="1:16" x14ac:dyDescent="0.25">
      <c r="A1152" s="2" t="s">
        <v>181</v>
      </c>
      <c r="B1152" s="2" t="s">
        <v>190</v>
      </c>
      <c r="C1152" s="6" t="s">
        <v>137</v>
      </c>
      <c r="D1152" s="2" t="s">
        <v>127</v>
      </c>
      <c r="E1152" s="2"/>
      <c r="F1152" s="35">
        <v>4.4982502942822435</v>
      </c>
      <c r="G1152" s="35">
        <v>-17.927227289944963</v>
      </c>
      <c r="H1152" s="35">
        <v>-19.281727483078065</v>
      </c>
      <c r="I1152" s="35">
        <v>-8.0177173489639209E-2</v>
      </c>
      <c r="J1152" s="35">
        <v>7.6849576564637053E-4</v>
      </c>
      <c r="K1152" s="35">
        <v>-0.39667719848513833</v>
      </c>
      <c r="L1152" s="35">
        <v>-14.44532563102676</v>
      </c>
      <c r="M1152" s="58" t="s">
        <v>24</v>
      </c>
      <c r="N1152" s="7">
        <v>9.5</v>
      </c>
      <c r="O1152" s="7" t="s">
        <v>179</v>
      </c>
      <c r="P1152" s="7" t="s">
        <v>179</v>
      </c>
    </row>
    <row r="1153" spans="1:16" x14ac:dyDescent="0.25">
      <c r="A1153" s="2" t="s">
        <v>181</v>
      </c>
      <c r="B1153" s="2" t="s">
        <v>190</v>
      </c>
      <c r="C1153" s="6" t="s">
        <v>137</v>
      </c>
      <c r="D1153" s="2" t="s">
        <v>127</v>
      </c>
      <c r="E1153" s="2"/>
      <c r="F1153" s="35">
        <v>8.9965005885644871</v>
      </c>
      <c r="G1153" s="35">
        <v>-16.096894643101873</v>
      </c>
      <c r="H1153" s="35">
        <v>-15.503197235880981</v>
      </c>
      <c r="I1153" s="35">
        <v>-8.0177173489638973E-2</v>
      </c>
      <c r="J1153" s="35">
        <v>7.6849576564637053E-4</v>
      </c>
      <c r="K1153" s="35">
        <v>-3.6020204240650729E-2</v>
      </c>
      <c r="L1153" s="35">
        <v>63.790323295794856</v>
      </c>
      <c r="M1153" s="58" t="s">
        <v>23</v>
      </c>
      <c r="N1153" s="7">
        <v>9.5</v>
      </c>
      <c r="O1153" s="7" t="s">
        <v>179</v>
      </c>
      <c r="P1153" s="7" t="s">
        <v>179</v>
      </c>
    </row>
    <row r="1154" spans="1:16" x14ac:dyDescent="0.25">
      <c r="A1154" s="2" t="s">
        <v>183</v>
      </c>
      <c r="B1154" s="2" t="s">
        <v>191</v>
      </c>
      <c r="C1154" s="6" t="s">
        <v>138</v>
      </c>
      <c r="D1154" s="2" t="s">
        <v>105</v>
      </c>
      <c r="E1154" s="2"/>
      <c r="F1154" s="35">
        <v>0</v>
      </c>
      <c r="G1154" s="35">
        <v>-98.598216677697792</v>
      </c>
      <c r="H1154" s="35">
        <v>2.8105444353390587</v>
      </c>
      <c r="I1154" s="35">
        <v>-0.84151528403146181</v>
      </c>
      <c r="J1154" s="35">
        <v>-8.0552880883095201E-3</v>
      </c>
      <c r="K1154" s="35">
        <v>0.52383684730179747</v>
      </c>
      <c r="L1154" s="35">
        <v>8.5424401748544856</v>
      </c>
      <c r="M1154" s="58" t="s">
        <v>22</v>
      </c>
      <c r="N1154" s="7">
        <v>11.333333333333334</v>
      </c>
      <c r="O1154" s="7" t="s">
        <v>180</v>
      </c>
      <c r="P1154" s="7" t="s">
        <v>180</v>
      </c>
    </row>
    <row r="1155" spans="1:16" x14ac:dyDescent="0.25">
      <c r="A1155" s="2" t="s">
        <v>183</v>
      </c>
      <c r="B1155" s="2" t="s">
        <v>191</v>
      </c>
      <c r="C1155" s="6" t="s">
        <v>138</v>
      </c>
      <c r="D1155" s="2" t="s">
        <v>105</v>
      </c>
      <c r="E1155" s="2"/>
      <c r="F1155" s="35">
        <v>0.29999999999999988</v>
      </c>
      <c r="G1155" s="35">
        <v>-98.455310837697795</v>
      </c>
      <c r="H1155" s="35">
        <v>2.8105444353390587</v>
      </c>
      <c r="I1155" s="35">
        <v>-0.84151528403146181</v>
      </c>
      <c r="J1155" s="35">
        <v>-8.0552880883095201E-3</v>
      </c>
      <c r="K1155" s="35">
        <v>0.77629143251123589</v>
      </c>
      <c r="L1155" s="35">
        <v>7.6992768442527675</v>
      </c>
      <c r="M1155" s="58" t="s">
        <v>22</v>
      </c>
      <c r="N1155" s="7">
        <v>11.333333333333334</v>
      </c>
      <c r="O1155" s="7" t="s">
        <v>180</v>
      </c>
      <c r="P1155" s="7" t="s">
        <v>180</v>
      </c>
    </row>
    <row r="1156" spans="1:16" x14ac:dyDescent="0.25">
      <c r="A1156" s="2" t="s">
        <v>183</v>
      </c>
      <c r="B1156" s="2" t="s">
        <v>191</v>
      </c>
      <c r="C1156" s="6" t="s">
        <v>138</v>
      </c>
      <c r="D1156" s="2" t="s">
        <v>105</v>
      </c>
      <c r="E1156" s="2"/>
      <c r="F1156" s="35">
        <v>0.29999999999999988</v>
      </c>
      <c r="G1156" s="35">
        <v>-70.604933512104608</v>
      </c>
      <c r="H1156" s="35">
        <v>2.7774454285119661</v>
      </c>
      <c r="I1156" s="35">
        <v>0.14009402922382863</v>
      </c>
      <c r="J1156" s="35">
        <v>9.2449623031895848E-4</v>
      </c>
      <c r="K1156" s="35">
        <v>0.17500077790334365</v>
      </c>
      <c r="L1156" s="35">
        <v>7.5390401479997884</v>
      </c>
      <c r="M1156" s="58" t="s">
        <v>22</v>
      </c>
      <c r="N1156" s="7">
        <v>11.333333333333334</v>
      </c>
      <c r="O1156" s="7" t="s">
        <v>180</v>
      </c>
      <c r="P1156" s="7" t="s">
        <v>180</v>
      </c>
    </row>
    <row r="1157" spans="1:16" x14ac:dyDescent="0.25">
      <c r="A1157" s="2" t="s">
        <v>183</v>
      </c>
      <c r="B1157" s="2" t="s">
        <v>191</v>
      </c>
      <c r="C1157" s="6" t="s">
        <v>138</v>
      </c>
      <c r="D1157" s="2" t="s">
        <v>105</v>
      </c>
      <c r="E1157" s="2"/>
      <c r="F1157" s="35">
        <v>5.3</v>
      </c>
      <c r="G1157" s="35">
        <v>-68.22316951210459</v>
      </c>
      <c r="H1157" s="35">
        <v>2.7774454285119661</v>
      </c>
      <c r="I1157" s="35">
        <v>0.14009402922382863</v>
      </c>
      <c r="J1157" s="35">
        <v>9.2449623031895848E-4</v>
      </c>
      <c r="K1157" s="35">
        <v>-0.52546936821579948</v>
      </c>
      <c r="L1157" s="35">
        <v>-6.3481869945600415</v>
      </c>
      <c r="M1157" s="58" t="s">
        <v>24</v>
      </c>
      <c r="N1157" s="7">
        <v>11.333333333333334</v>
      </c>
      <c r="O1157" s="7" t="s">
        <v>180</v>
      </c>
      <c r="P1157" s="7" t="s">
        <v>180</v>
      </c>
    </row>
    <row r="1158" spans="1:16" x14ac:dyDescent="0.25">
      <c r="A1158" s="2" t="s">
        <v>183</v>
      </c>
      <c r="B1158" s="2" t="s">
        <v>191</v>
      </c>
      <c r="C1158" s="6" t="s">
        <v>138</v>
      </c>
      <c r="D1158" s="2" t="s">
        <v>105</v>
      </c>
      <c r="E1158" s="2"/>
      <c r="F1158" s="35">
        <v>5.3</v>
      </c>
      <c r="G1158" s="35">
        <v>-91.916844055147592</v>
      </c>
      <c r="H1158" s="35">
        <v>2.809730145871622</v>
      </c>
      <c r="I1158" s="35">
        <v>3.0146567355293613E-2</v>
      </c>
      <c r="J1158" s="35">
        <v>-5.0129126440647193E-4</v>
      </c>
      <c r="K1158" s="35">
        <v>0.24825327539705364</v>
      </c>
      <c r="L1158" s="35">
        <v>-6.3529076189975493</v>
      </c>
      <c r="M1158" s="58" t="s">
        <v>24</v>
      </c>
      <c r="N1158" s="7">
        <v>11.333333333333334</v>
      </c>
      <c r="O1158" s="7" t="s">
        <v>180</v>
      </c>
      <c r="P1158" s="7" t="s">
        <v>180</v>
      </c>
    </row>
    <row r="1159" spans="1:16" x14ac:dyDescent="0.25">
      <c r="A1159" s="2" t="s">
        <v>183</v>
      </c>
      <c r="B1159" s="2" t="s">
        <v>191</v>
      </c>
      <c r="C1159" s="6" t="s">
        <v>138</v>
      </c>
      <c r="D1159" s="2" t="s">
        <v>105</v>
      </c>
      <c r="E1159" s="2"/>
      <c r="F1159" s="35">
        <v>5.4149169609489114</v>
      </c>
      <c r="G1159" s="35">
        <v>-91.862103039032078</v>
      </c>
      <c r="H1159" s="35">
        <v>2.809730145871622</v>
      </c>
      <c r="I1159" s="35">
        <v>3.0146567355293613E-2</v>
      </c>
      <c r="J1159" s="35">
        <v>-5.0129126440647193E-4</v>
      </c>
      <c r="K1159" s="35">
        <v>0.24478892349354159</v>
      </c>
      <c r="L1159" s="35">
        <v>-6.6757932684476584</v>
      </c>
      <c r="M1159" s="58" t="s">
        <v>24</v>
      </c>
      <c r="N1159" s="7">
        <v>11.333333333333334</v>
      </c>
      <c r="O1159" s="7" t="s">
        <v>180</v>
      </c>
      <c r="P1159" s="7" t="s">
        <v>180</v>
      </c>
    </row>
    <row r="1160" spans="1:16" x14ac:dyDescent="0.25">
      <c r="A1160" s="2" t="s">
        <v>183</v>
      </c>
      <c r="B1160" s="2" t="s">
        <v>191</v>
      </c>
      <c r="C1160" s="6" t="s">
        <v>138</v>
      </c>
      <c r="D1160" s="2" t="s">
        <v>105</v>
      </c>
      <c r="E1160" s="2"/>
      <c r="F1160" s="35">
        <v>10.829833921897823</v>
      </c>
      <c r="G1160" s="35">
        <v>-89.282692182916577</v>
      </c>
      <c r="H1160" s="35">
        <v>2.809730145871622</v>
      </c>
      <c r="I1160" s="35">
        <v>3.0146567355293613E-2</v>
      </c>
      <c r="J1160" s="35">
        <v>-5.0129126440647193E-4</v>
      </c>
      <c r="K1160" s="35">
        <v>8.1547764606973494E-2</v>
      </c>
      <c r="L1160" s="35">
        <v>-21.890248691017359</v>
      </c>
      <c r="M1160" s="58" t="s">
        <v>23</v>
      </c>
      <c r="N1160" s="7">
        <v>11.333333333333334</v>
      </c>
      <c r="O1160" s="7" t="s">
        <v>180</v>
      </c>
      <c r="P1160" s="7" t="s">
        <v>180</v>
      </c>
    </row>
    <row r="1161" spans="1:16" x14ac:dyDescent="0.25">
      <c r="A1161" s="2" t="s">
        <v>183</v>
      </c>
      <c r="B1161" s="2" t="s">
        <v>191</v>
      </c>
      <c r="C1161" s="6" t="s">
        <v>138</v>
      </c>
      <c r="D1161" s="2" t="s">
        <v>15</v>
      </c>
      <c r="E1161" s="2"/>
      <c r="F1161" s="35">
        <v>0</v>
      </c>
      <c r="G1161" s="35">
        <v>179.64041993969332</v>
      </c>
      <c r="H1161" s="35">
        <v>-12.213412240172072</v>
      </c>
      <c r="I1161" s="35">
        <v>-9.8654522401333296</v>
      </c>
      <c r="J1161" s="35">
        <v>5.0678888598326775E-2</v>
      </c>
      <c r="K1161" s="35">
        <v>-18.560033652174088</v>
      </c>
      <c r="L1161" s="35">
        <v>-43.123689123504711</v>
      </c>
      <c r="M1161" s="58" t="s">
        <v>22</v>
      </c>
      <c r="N1161" s="7">
        <v>11.333333333333334</v>
      </c>
      <c r="O1161" s="7" t="s">
        <v>180</v>
      </c>
      <c r="P1161" s="7" t="s">
        <v>180</v>
      </c>
    </row>
    <row r="1162" spans="1:16" x14ac:dyDescent="0.25">
      <c r="A1162" s="2" t="s">
        <v>183</v>
      </c>
      <c r="B1162" s="2" t="s">
        <v>191</v>
      </c>
      <c r="C1162" s="6" t="s">
        <v>138</v>
      </c>
      <c r="D1162" s="2" t="s">
        <v>15</v>
      </c>
      <c r="E1162" s="2"/>
      <c r="F1162" s="35">
        <v>0.29999999999999988</v>
      </c>
      <c r="G1162" s="35">
        <v>179.78332577969331</v>
      </c>
      <c r="H1162" s="35">
        <v>-12.213412240172072</v>
      </c>
      <c r="I1162" s="35">
        <v>-9.8654522401333296</v>
      </c>
      <c r="J1162" s="35">
        <v>5.0678888598326775E-2</v>
      </c>
      <c r="K1162" s="35">
        <v>-15.600397980134094</v>
      </c>
      <c r="L1162" s="35">
        <v>-39.459665451453084</v>
      </c>
      <c r="M1162" s="58" t="s">
        <v>22</v>
      </c>
      <c r="N1162" s="7">
        <v>11.333333333333334</v>
      </c>
      <c r="O1162" s="7" t="s">
        <v>180</v>
      </c>
      <c r="P1162" s="7" t="s">
        <v>180</v>
      </c>
    </row>
    <row r="1163" spans="1:16" x14ac:dyDescent="0.25">
      <c r="A1163" s="2" t="s">
        <v>183</v>
      </c>
      <c r="B1163" s="2" t="s">
        <v>191</v>
      </c>
      <c r="C1163" s="6" t="s">
        <v>138</v>
      </c>
      <c r="D1163" s="2" t="s">
        <v>15</v>
      </c>
      <c r="E1163" s="2"/>
      <c r="F1163" s="35">
        <v>0.29999999999999988</v>
      </c>
      <c r="G1163" s="35">
        <v>174.47138803593703</v>
      </c>
      <c r="H1163" s="35">
        <v>-12.010213883088925</v>
      </c>
      <c r="I1163" s="35">
        <v>-2.0077331725365948</v>
      </c>
      <c r="J1163" s="35">
        <v>-5.4425250130800407E-3</v>
      </c>
      <c r="K1163" s="35">
        <v>-4.314942516442021</v>
      </c>
      <c r="L1163" s="35">
        <v>-38.461925520425964</v>
      </c>
      <c r="M1163" s="58" t="s">
        <v>22</v>
      </c>
      <c r="N1163" s="7">
        <v>11.333333333333334</v>
      </c>
      <c r="O1163" s="7" t="s">
        <v>180</v>
      </c>
      <c r="P1163" s="7" t="s">
        <v>180</v>
      </c>
    </row>
    <row r="1164" spans="1:16" x14ac:dyDescent="0.25">
      <c r="A1164" s="2" t="s">
        <v>183</v>
      </c>
      <c r="B1164" s="2" t="s">
        <v>191</v>
      </c>
      <c r="C1164" s="6" t="s">
        <v>138</v>
      </c>
      <c r="D1164" s="2" t="s">
        <v>15</v>
      </c>
      <c r="E1164" s="2"/>
      <c r="F1164" s="35">
        <v>5.3</v>
      </c>
      <c r="G1164" s="35">
        <v>176.85315203593703</v>
      </c>
      <c r="H1164" s="35">
        <v>-12.010213883088925</v>
      </c>
      <c r="I1164" s="35">
        <v>-2.0077331725365948</v>
      </c>
      <c r="J1164" s="35">
        <v>-5.4425250130800407E-3</v>
      </c>
      <c r="K1164" s="35">
        <v>5.7237233462409502</v>
      </c>
      <c r="L1164" s="35">
        <v>21.589143895018658</v>
      </c>
      <c r="M1164" s="58" t="s">
        <v>24</v>
      </c>
      <c r="N1164" s="7">
        <v>11.333333333333334</v>
      </c>
      <c r="O1164" s="7" t="s">
        <v>180</v>
      </c>
      <c r="P1164" s="7" t="s">
        <v>180</v>
      </c>
    </row>
    <row r="1165" spans="1:16" x14ac:dyDescent="0.25">
      <c r="A1165" s="2" t="s">
        <v>183</v>
      </c>
      <c r="B1165" s="2" t="s">
        <v>191</v>
      </c>
      <c r="C1165" s="6" t="s">
        <v>138</v>
      </c>
      <c r="D1165" s="2" t="s">
        <v>15</v>
      </c>
      <c r="E1165" s="2"/>
      <c r="F1165" s="35">
        <v>5.3</v>
      </c>
      <c r="G1165" s="35">
        <v>198.55070915274379</v>
      </c>
      <c r="H1165" s="35">
        <v>-12.208426790978056</v>
      </c>
      <c r="I1165" s="35">
        <v>0.12742400261611694</v>
      </c>
      <c r="J1165" s="35">
        <v>2.2412507572410621E-3</v>
      </c>
      <c r="K1165" s="35">
        <v>0.83545465182281553</v>
      </c>
      <c r="L1165" s="35">
        <v>21.604634961574156</v>
      </c>
      <c r="M1165" s="58" t="s">
        <v>24</v>
      </c>
      <c r="N1165" s="7">
        <v>11.333333333333334</v>
      </c>
      <c r="O1165" s="7" t="s">
        <v>180</v>
      </c>
      <c r="P1165" s="7" t="s">
        <v>180</v>
      </c>
    </row>
    <row r="1166" spans="1:16" x14ac:dyDescent="0.25">
      <c r="A1166" s="2" t="s">
        <v>183</v>
      </c>
      <c r="B1166" s="2" t="s">
        <v>191</v>
      </c>
      <c r="C1166" s="6" t="s">
        <v>138</v>
      </c>
      <c r="D1166" s="2" t="s">
        <v>15</v>
      </c>
      <c r="E1166" s="2"/>
      <c r="F1166" s="35">
        <v>5.4149169609489114</v>
      </c>
      <c r="G1166" s="35">
        <v>198.60545016885928</v>
      </c>
      <c r="H1166" s="35">
        <v>-12.208426790978056</v>
      </c>
      <c r="I1166" s="35">
        <v>0.12742400261611694</v>
      </c>
      <c r="J1166" s="35">
        <v>2.2412507572410621E-3</v>
      </c>
      <c r="K1166" s="35">
        <v>0.82081147269022525</v>
      </c>
      <c r="L1166" s="35">
        <v>23.007590266360623</v>
      </c>
      <c r="M1166" s="58" t="s">
        <v>24</v>
      </c>
      <c r="N1166" s="7">
        <v>11.333333333333334</v>
      </c>
      <c r="O1166" s="7" t="s">
        <v>180</v>
      </c>
      <c r="P1166" s="7" t="s">
        <v>180</v>
      </c>
    </row>
    <row r="1167" spans="1:16" x14ac:dyDescent="0.25">
      <c r="A1167" s="2" t="s">
        <v>183</v>
      </c>
      <c r="B1167" s="2" t="s">
        <v>191</v>
      </c>
      <c r="C1167" s="6" t="s">
        <v>138</v>
      </c>
      <c r="D1167" s="2" t="s">
        <v>15</v>
      </c>
      <c r="E1167" s="2"/>
      <c r="F1167" s="35">
        <v>10.829833921897823</v>
      </c>
      <c r="G1167" s="35">
        <v>201.18486102497479</v>
      </c>
      <c r="H1167" s="35">
        <v>-12.208426790978056</v>
      </c>
      <c r="I1167" s="35">
        <v>0.12742400261611694</v>
      </c>
      <c r="J1167" s="35">
        <v>2.2412507572410621E-3</v>
      </c>
      <c r="K1167" s="35">
        <v>0.13082107969221529</v>
      </c>
      <c r="L1167" s="35">
        <v>89.115207563330756</v>
      </c>
      <c r="M1167" s="58" t="s">
        <v>23</v>
      </c>
      <c r="N1167" s="7">
        <v>11.333333333333334</v>
      </c>
      <c r="O1167" s="7" t="s">
        <v>180</v>
      </c>
      <c r="P1167" s="7" t="s">
        <v>180</v>
      </c>
    </row>
    <row r="1168" spans="1:16" x14ac:dyDescent="0.25">
      <c r="A1168" s="2" t="s">
        <v>183</v>
      </c>
      <c r="B1168" s="2" t="s">
        <v>191</v>
      </c>
      <c r="C1168" s="6" t="s">
        <v>138</v>
      </c>
      <c r="D1168" s="2" t="s">
        <v>16</v>
      </c>
      <c r="E1168" s="2"/>
      <c r="F1168" s="35">
        <v>0</v>
      </c>
      <c r="G1168" s="35">
        <v>95.093893016172203</v>
      </c>
      <c r="H1168" s="35">
        <v>-8.4639873649373172</v>
      </c>
      <c r="I1168" s="35">
        <v>-15.192147961943975</v>
      </c>
      <c r="J1168" s="35">
        <v>3.631660907331128E-2</v>
      </c>
      <c r="K1168" s="35">
        <v>-25.769900778117254</v>
      </c>
      <c r="L1168" s="35">
        <v>-30.377687144514798</v>
      </c>
      <c r="M1168" s="58" t="s">
        <v>22</v>
      </c>
      <c r="N1168" s="7">
        <v>11.333333333333334</v>
      </c>
      <c r="O1168" s="7" t="s">
        <v>180</v>
      </c>
      <c r="P1168" s="7" t="s">
        <v>180</v>
      </c>
    </row>
    <row r="1169" spans="1:16" x14ac:dyDescent="0.25">
      <c r="A1169" s="2" t="s">
        <v>183</v>
      </c>
      <c r="B1169" s="2" t="s">
        <v>191</v>
      </c>
      <c r="C1169" s="6" t="s">
        <v>138</v>
      </c>
      <c r="D1169" s="2" t="s">
        <v>16</v>
      </c>
      <c r="E1169" s="2"/>
      <c r="F1169" s="35">
        <v>0.29999999999999988</v>
      </c>
      <c r="G1169" s="35">
        <v>95.2367988561722</v>
      </c>
      <c r="H1169" s="35">
        <v>-8.4639873649373172</v>
      </c>
      <c r="I1169" s="35">
        <v>-15.192147961943975</v>
      </c>
      <c r="J1169" s="35">
        <v>3.631660907331128E-2</v>
      </c>
      <c r="K1169" s="35">
        <v>-21.212256389534062</v>
      </c>
      <c r="L1169" s="35">
        <v>-27.838490935033608</v>
      </c>
      <c r="M1169" s="58" t="s">
        <v>22</v>
      </c>
      <c r="N1169" s="7">
        <v>11.333333333333334</v>
      </c>
      <c r="O1169" s="7" t="s">
        <v>180</v>
      </c>
      <c r="P1169" s="7" t="s">
        <v>180</v>
      </c>
    </row>
    <row r="1170" spans="1:16" x14ac:dyDescent="0.25">
      <c r="A1170" s="2" t="s">
        <v>183</v>
      </c>
      <c r="B1170" s="2" t="s">
        <v>191</v>
      </c>
      <c r="C1170" s="6" t="s">
        <v>138</v>
      </c>
      <c r="D1170" s="2" t="s">
        <v>16</v>
      </c>
      <c r="E1170" s="2"/>
      <c r="F1170" s="35">
        <v>0.29999999999999988</v>
      </c>
      <c r="G1170" s="35">
        <v>130.09249346601592</v>
      </c>
      <c r="H1170" s="35">
        <v>-8.318437971623835</v>
      </c>
      <c r="I1170" s="35">
        <v>-2.6343986783109958</v>
      </c>
      <c r="J1170" s="35">
        <v>-3.9167674443427569E-3</v>
      </c>
      <c r="K1170" s="35">
        <v>-5.9694047393383238</v>
      </c>
      <c r="L1170" s="35">
        <v>-27.123041594058733</v>
      </c>
      <c r="M1170" s="58" t="s">
        <v>22</v>
      </c>
      <c r="N1170" s="7">
        <v>11.333333333333334</v>
      </c>
      <c r="O1170" s="7" t="s">
        <v>180</v>
      </c>
      <c r="P1170" s="7" t="s">
        <v>180</v>
      </c>
    </row>
    <row r="1171" spans="1:16" x14ac:dyDescent="0.25">
      <c r="A1171" s="2" t="s">
        <v>183</v>
      </c>
      <c r="B1171" s="2" t="s">
        <v>191</v>
      </c>
      <c r="C1171" s="6" t="s">
        <v>138</v>
      </c>
      <c r="D1171" s="2" t="s">
        <v>16</v>
      </c>
      <c r="E1171" s="2"/>
      <c r="F1171" s="35">
        <v>5.3</v>
      </c>
      <c r="G1171" s="35">
        <v>132.47425746601593</v>
      </c>
      <c r="H1171" s="35">
        <v>-8.318437971623835</v>
      </c>
      <c r="I1171" s="35">
        <v>-2.6343986783109958</v>
      </c>
      <c r="J1171" s="35">
        <v>-3.9167674443427569E-3</v>
      </c>
      <c r="K1171" s="35">
        <v>7.2025886522166545</v>
      </c>
      <c r="L1171" s="35">
        <v>14.469148264060429</v>
      </c>
      <c r="M1171" s="58" t="s">
        <v>24</v>
      </c>
      <c r="N1171" s="7">
        <v>11.333333333333334</v>
      </c>
      <c r="O1171" s="7" t="s">
        <v>180</v>
      </c>
      <c r="P1171" s="7" t="s">
        <v>180</v>
      </c>
    </row>
    <row r="1172" spans="1:16" x14ac:dyDescent="0.25">
      <c r="A1172" s="2" t="s">
        <v>183</v>
      </c>
      <c r="B1172" s="2" t="s">
        <v>191</v>
      </c>
      <c r="C1172" s="6" t="s">
        <v>138</v>
      </c>
      <c r="D1172" s="2" t="s">
        <v>16</v>
      </c>
      <c r="E1172" s="2"/>
      <c r="F1172" s="35">
        <v>5.3</v>
      </c>
      <c r="G1172" s="35">
        <v>119.81580450569996</v>
      </c>
      <c r="H1172" s="35">
        <v>-8.4604523612168396</v>
      </c>
      <c r="I1172" s="35">
        <v>0.33153537041485509</v>
      </c>
      <c r="J1172" s="35">
        <v>2.056410753819318E-3</v>
      </c>
      <c r="K1172" s="35">
        <v>2.0670034577333394</v>
      </c>
      <c r="L1172" s="35">
        <v>14.479460453593781</v>
      </c>
      <c r="M1172" s="58" t="s">
        <v>24</v>
      </c>
      <c r="N1172" s="7">
        <v>11.333333333333334</v>
      </c>
      <c r="O1172" s="7" t="s">
        <v>180</v>
      </c>
      <c r="P1172" s="7" t="s">
        <v>180</v>
      </c>
    </row>
    <row r="1173" spans="1:16" x14ac:dyDescent="0.25">
      <c r="A1173" s="2" t="s">
        <v>183</v>
      </c>
      <c r="B1173" s="2" t="s">
        <v>191</v>
      </c>
      <c r="C1173" s="6" t="s">
        <v>138</v>
      </c>
      <c r="D1173" s="2" t="s">
        <v>16</v>
      </c>
      <c r="E1173" s="2"/>
      <c r="F1173" s="35">
        <v>5.4149169609489114</v>
      </c>
      <c r="G1173" s="35">
        <v>119.87054552181546</v>
      </c>
      <c r="H1173" s="35">
        <v>-8.4604523612168396</v>
      </c>
      <c r="I1173" s="35">
        <v>0.33153537041485509</v>
      </c>
      <c r="J1173" s="35">
        <v>2.056410753819318E-3</v>
      </c>
      <c r="K1173" s="35">
        <v>2.0289044205181925</v>
      </c>
      <c r="L1173" s="35">
        <v>15.451709927197864</v>
      </c>
      <c r="M1173" s="58" t="s">
        <v>24</v>
      </c>
      <c r="N1173" s="7">
        <v>11.333333333333334</v>
      </c>
      <c r="O1173" s="7" t="s">
        <v>180</v>
      </c>
      <c r="P1173" s="7" t="s">
        <v>180</v>
      </c>
    </row>
    <row r="1174" spans="1:16" x14ac:dyDescent="0.25">
      <c r="A1174" s="2" t="s">
        <v>183</v>
      </c>
      <c r="B1174" s="2" t="s">
        <v>191</v>
      </c>
      <c r="C1174" s="6" t="s">
        <v>138</v>
      </c>
      <c r="D1174" s="2" t="s">
        <v>16</v>
      </c>
      <c r="E1174" s="2"/>
      <c r="F1174" s="35">
        <v>10.829833921897823</v>
      </c>
      <c r="G1174" s="35">
        <v>122.44995637793097</v>
      </c>
      <c r="H1174" s="35">
        <v>-8.4604523612168396</v>
      </c>
      <c r="I1174" s="35">
        <v>0.33153537041485509</v>
      </c>
      <c r="J1174" s="35">
        <v>2.056410753819318E-3</v>
      </c>
      <c r="K1174" s="35">
        <v>0.23366792010431447</v>
      </c>
      <c r="L1174" s="35">
        <v>61.26435691525117</v>
      </c>
      <c r="M1174" s="58" t="s">
        <v>23</v>
      </c>
      <c r="N1174" s="7">
        <v>11.333333333333334</v>
      </c>
      <c r="O1174" s="7" t="s">
        <v>180</v>
      </c>
      <c r="P1174" s="7" t="s">
        <v>180</v>
      </c>
    </row>
    <row r="1175" spans="1:16" x14ac:dyDescent="0.25">
      <c r="A1175" s="2" t="s">
        <v>183</v>
      </c>
      <c r="B1175" s="2" t="s">
        <v>191</v>
      </c>
      <c r="C1175" s="6" t="s">
        <v>138</v>
      </c>
      <c r="D1175" s="2" t="s">
        <v>106</v>
      </c>
      <c r="E1175" s="2"/>
      <c r="F1175" s="35">
        <v>0</v>
      </c>
      <c r="G1175" s="35">
        <v>137.21048040440979</v>
      </c>
      <c r="H1175" s="35">
        <v>-6.2581407596248138</v>
      </c>
      <c r="I1175" s="35">
        <v>10.232214040290449</v>
      </c>
      <c r="J1175" s="35">
        <v>2.4551002412029163E-2</v>
      </c>
      <c r="K1175" s="35">
        <v>14.577000268562101</v>
      </c>
      <c r="L1175" s="35">
        <v>-21.480803512937364</v>
      </c>
      <c r="M1175" s="58" t="s">
        <v>22</v>
      </c>
      <c r="N1175" s="7">
        <v>11.333333333333334</v>
      </c>
      <c r="O1175" s="7" t="s">
        <v>180</v>
      </c>
      <c r="P1175" s="7" t="s">
        <v>180</v>
      </c>
    </row>
    <row r="1176" spans="1:16" x14ac:dyDescent="0.25">
      <c r="A1176" s="2" t="s">
        <v>183</v>
      </c>
      <c r="B1176" s="2" t="s">
        <v>191</v>
      </c>
      <c r="C1176" s="6" t="s">
        <v>138</v>
      </c>
      <c r="D1176" s="2" t="s">
        <v>106</v>
      </c>
      <c r="E1176" s="2"/>
      <c r="F1176" s="35">
        <v>0.29999999999999988</v>
      </c>
      <c r="G1176" s="35">
        <v>137.35338624440979</v>
      </c>
      <c r="H1176" s="35">
        <v>-6.2581407596248138</v>
      </c>
      <c r="I1176" s="35">
        <v>10.232214040290449</v>
      </c>
      <c r="J1176" s="35">
        <v>2.4551002412029163E-2</v>
      </c>
      <c r="K1176" s="35">
        <v>11.507336056474967</v>
      </c>
      <c r="L1176" s="35">
        <v>-19.603361285049925</v>
      </c>
      <c r="M1176" s="58" t="s">
        <v>22</v>
      </c>
      <c r="N1176" s="7">
        <v>11.333333333333334</v>
      </c>
      <c r="O1176" s="7" t="s">
        <v>180</v>
      </c>
      <c r="P1176" s="7" t="s">
        <v>180</v>
      </c>
    </row>
    <row r="1177" spans="1:16" x14ac:dyDescent="0.25">
      <c r="A1177" s="2" t="s">
        <v>183</v>
      </c>
      <c r="B1177" s="2" t="s">
        <v>191</v>
      </c>
      <c r="C1177" s="6" t="s">
        <v>138</v>
      </c>
      <c r="D1177" s="2" t="s">
        <v>106</v>
      </c>
      <c r="E1177" s="2"/>
      <c r="F1177" s="35">
        <v>0.29999999999999988</v>
      </c>
      <c r="G1177" s="35">
        <v>67.39083852504821</v>
      </c>
      <c r="H1177" s="35">
        <v>-6.1598150767297737</v>
      </c>
      <c r="I1177" s="35">
        <v>1.2901074304074984</v>
      </c>
      <c r="J1177" s="35">
        <v>-2.5832352999929282E-3</v>
      </c>
      <c r="K1177" s="35">
        <v>3.3879961647023245</v>
      </c>
      <c r="L1177" s="35">
        <v>-19.121500365443854</v>
      </c>
      <c r="M1177" s="58" t="s">
        <v>22</v>
      </c>
      <c r="N1177" s="7">
        <v>11.333333333333334</v>
      </c>
      <c r="O1177" s="7" t="s">
        <v>180</v>
      </c>
      <c r="P1177" s="7" t="s">
        <v>180</v>
      </c>
    </row>
    <row r="1178" spans="1:16" x14ac:dyDescent="0.25">
      <c r="A1178" s="2" t="s">
        <v>183</v>
      </c>
      <c r="B1178" s="2" t="s">
        <v>191</v>
      </c>
      <c r="C1178" s="6" t="s">
        <v>138</v>
      </c>
      <c r="D1178" s="2" t="s">
        <v>106</v>
      </c>
      <c r="E1178" s="2"/>
      <c r="F1178" s="35">
        <v>5.3</v>
      </c>
      <c r="G1178" s="35">
        <v>69.7726025250482</v>
      </c>
      <c r="H1178" s="35">
        <v>-6.1598150767297737</v>
      </c>
      <c r="I1178" s="35">
        <v>1.2901074304074984</v>
      </c>
      <c r="J1178" s="35">
        <v>-2.5832352999929282E-3</v>
      </c>
      <c r="K1178" s="35">
        <v>-3.0625409873351681</v>
      </c>
      <c r="L1178" s="35">
        <v>11.677575018205014</v>
      </c>
      <c r="M1178" s="58" t="s">
        <v>24</v>
      </c>
      <c r="N1178" s="7">
        <v>11.333333333333334</v>
      </c>
      <c r="O1178" s="7" t="s">
        <v>180</v>
      </c>
      <c r="P1178" s="7" t="s">
        <v>180</v>
      </c>
    </row>
    <row r="1179" spans="1:16" x14ac:dyDescent="0.25">
      <c r="A1179" s="2" t="s">
        <v>183</v>
      </c>
      <c r="B1179" s="2" t="s">
        <v>191</v>
      </c>
      <c r="C1179" s="6" t="s">
        <v>138</v>
      </c>
      <c r="D1179" s="2" t="s">
        <v>106</v>
      </c>
      <c r="E1179" s="2"/>
      <c r="F1179" s="35">
        <v>5.3</v>
      </c>
      <c r="G1179" s="35">
        <v>126.91296022095403</v>
      </c>
      <c r="H1179" s="35">
        <v>-6.256012857336704</v>
      </c>
      <c r="I1179" s="35">
        <v>-0.36901141912888968</v>
      </c>
      <c r="J1179" s="35">
        <v>1.0464536952635229E-3</v>
      </c>
      <c r="K1179" s="35">
        <v>-2.1582166417743767</v>
      </c>
      <c r="L1179" s="35">
        <v>11.68604529232498</v>
      </c>
      <c r="M1179" s="58" t="s">
        <v>24</v>
      </c>
      <c r="N1179" s="7">
        <v>11.333333333333334</v>
      </c>
      <c r="O1179" s="7" t="s">
        <v>180</v>
      </c>
      <c r="P1179" s="7" t="s">
        <v>180</v>
      </c>
    </row>
    <row r="1180" spans="1:16" x14ac:dyDescent="0.25">
      <c r="A1180" s="2" t="s">
        <v>183</v>
      </c>
      <c r="B1180" s="2" t="s">
        <v>191</v>
      </c>
      <c r="C1180" s="6" t="s">
        <v>138</v>
      </c>
      <c r="D1180" s="2" t="s">
        <v>106</v>
      </c>
      <c r="E1180" s="2"/>
      <c r="F1180" s="35">
        <v>5.4149169609489114</v>
      </c>
      <c r="G1180" s="35">
        <v>126.96770123706953</v>
      </c>
      <c r="H1180" s="35">
        <v>-6.256012857336704</v>
      </c>
      <c r="I1180" s="35">
        <v>-0.36901141912888968</v>
      </c>
      <c r="J1180" s="35">
        <v>1.0464536952635229E-3</v>
      </c>
      <c r="K1180" s="35">
        <v>-2.1158109709326403</v>
      </c>
      <c r="L1180" s="35">
        <v>12.40496727754743</v>
      </c>
      <c r="M1180" s="58" t="s">
        <v>24</v>
      </c>
      <c r="N1180" s="7">
        <v>11.333333333333334</v>
      </c>
      <c r="O1180" s="7" t="s">
        <v>180</v>
      </c>
      <c r="P1180" s="7" t="s">
        <v>180</v>
      </c>
    </row>
    <row r="1181" spans="1:16" x14ac:dyDescent="0.25">
      <c r="A1181" s="2" t="s">
        <v>183</v>
      </c>
      <c r="B1181" s="2" t="s">
        <v>191</v>
      </c>
      <c r="C1181" s="6" t="s">
        <v>138</v>
      </c>
      <c r="D1181" s="2" t="s">
        <v>106</v>
      </c>
      <c r="E1181" s="2"/>
      <c r="F1181" s="35">
        <v>10.829833921897823</v>
      </c>
      <c r="G1181" s="35">
        <v>129.54711209318504</v>
      </c>
      <c r="H1181" s="35">
        <v>-6.256012857336704</v>
      </c>
      <c r="I1181" s="35">
        <v>-0.36901141912888968</v>
      </c>
      <c r="J1181" s="35">
        <v>1.0464536952635229E-3</v>
      </c>
      <c r="K1181" s="35">
        <v>-0.117644778707788</v>
      </c>
      <c r="L1181" s="35">
        <v>46.280757406654395</v>
      </c>
      <c r="M1181" s="58" t="s">
        <v>23</v>
      </c>
      <c r="N1181" s="7">
        <v>11.333333333333334</v>
      </c>
      <c r="O1181" s="7" t="s">
        <v>180</v>
      </c>
      <c r="P1181" s="7" t="s">
        <v>180</v>
      </c>
    </row>
    <row r="1182" spans="1:16" x14ac:dyDescent="0.25">
      <c r="A1182" s="2" t="s">
        <v>183</v>
      </c>
      <c r="B1182" s="2" t="s">
        <v>191</v>
      </c>
      <c r="C1182" s="6" t="s">
        <v>138</v>
      </c>
      <c r="D1182" s="2" t="s">
        <v>107</v>
      </c>
      <c r="E1182" s="2"/>
      <c r="F1182" s="35">
        <v>0</v>
      </c>
      <c r="G1182" s="35">
        <v>52.70706447486063</v>
      </c>
      <c r="H1182" s="35">
        <v>-2.5572464320939186</v>
      </c>
      <c r="I1182" s="35">
        <v>4.9023265067480022</v>
      </c>
      <c r="J1182" s="35">
        <v>1.0428260272265573E-2</v>
      </c>
      <c r="K1182" s="35">
        <v>7.3612243007386944</v>
      </c>
      <c r="L1182" s="35">
        <v>-8.9238873395400926</v>
      </c>
      <c r="M1182" s="58" t="s">
        <v>22</v>
      </c>
      <c r="N1182" s="7">
        <v>11.333333333333334</v>
      </c>
      <c r="O1182" s="7" t="s">
        <v>180</v>
      </c>
      <c r="P1182" s="7" t="s">
        <v>180</v>
      </c>
    </row>
    <row r="1183" spans="1:16" x14ac:dyDescent="0.25">
      <c r="A1183" s="2" t="s">
        <v>183</v>
      </c>
      <c r="B1183" s="2" t="s">
        <v>191</v>
      </c>
      <c r="C1183" s="6" t="s">
        <v>138</v>
      </c>
      <c r="D1183" s="2" t="s">
        <v>107</v>
      </c>
      <c r="E1183" s="2"/>
      <c r="F1183" s="35">
        <v>0.29999999999999988</v>
      </c>
      <c r="G1183" s="35">
        <v>52.849970314860627</v>
      </c>
      <c r="H1183" s="35">
        <v>-2.5572464320939186</v>
      </c>
      <c r="I1183" s="35">
        <v>4.9023265067480022</v>
      </c>
      <c r="J1183" s="35">
        <v>1.0428260272265573E-2</v>
      </c>
      <c r="K1183" s="35">
        <v>5.8905263487142951</v>
      </c>
      <c r="L1183" s="35">
        <v>-8.1567134099119141</v>
      </c>
      <c r="M1183" s="58" t="s">
        <v>22</v>
      </c>
      <c r="N1183" s="7">
        <v>11.333333333333334</v>
      </c>
      <c r="O1183" s="7" t="s">
        <v>180</v>
      </c>
      <c r="P1183" s="7" t="s">
        <v>180</v>
      </c>
    </row>
    <row r="1184" spans="1:16" x14ac:dyDescent="0.25">
      <c r="A1184" s="2" t="s">
        <v>183</v>
      </c>
      <c r="B1184" s="2" t="s">
        <v>191</v>
      </c>
      <c r="C1184" s="6" t="s">
        <v>138</v>
      </c>
      <c r="D1184" s="2" t="s">
        <v>107</v>
      </c>
      <c r="E1184" s="2"/>
      <c r="F1184" s="35">
        <v>0.29999999999999988</v>
      </c>
      <c r="G1184" s="35">
        <v>23.0564555213526</v>
      </c>
      <c r="H1184" s="35">
        <v>-2.5155996013016111</v>
      </c>
      <c r="I1184" s="35">
        <v>0.66282026940156535</v>
      </c>
      <c r="J1184" s="35">
        <v>-1.0858403114752859E-3</v>
      </c>
      <c r="K1184" s="35">
        <v>1.7321454406162478</v>
      </c>
      <c r="L1184" s="35">
        <v>-7.9523537479235245</v>
      </c>
      <c r="M1184" s="58" t="s">
        <v>22</v>
      </c>
      <c r="N1184" s="7">
        <v>11.333333333333334</v>
      </c>
      <c r="O1184" s="7" t="s">
        <v>180</v>
      </c>
      <c r="P1184" s="7" t="s">
        <v>180</v>
      </c>
    </row>
    <row r="1185" spans="1:16" x14ac:dyDescent="0.25">
      <c r="A1185" s="2" t="s">
        <v>183</v>
      </c>
      <c r="B1185" s="2" t="s">
        <v>191</v>
      </c>
      <c r="C1185" s="6" t="s">
        <v>138</v>
      </c>
      <c r="D1185" s="2" t="s">
        <v>107</v>
      </c>
      <c r="E1185" s="2"/>
      <c r="F1185" s="35">
        <v>5.3</v>
      </c>
      <c r="G1185" s="35">
        <v>25.438219521352597</v>
      </c>
      <c r="H1185" s="35">
        <v>-2.5155996013016111</v>
      </c>
      <c r="I1185" s="35">
        <v>0.66282026940156535</v>
      </c>
      <c r="J1185" s="35">
        <v>-1.0858403114752859E-3</v>
      </c>
      <c r="K1185" s="35">
        <v>-1.5819559063915791</v>
      </c>
      <c r="L1185" s="35">
        <v>4.6256442585845292</v>
      </c>
      <c r="M1185" s="58" t="s">
        <v>24</v>
      </c>
      <c r="N1185" s="7">
        <v>11.333333333333334</v>
      </c>
      <c r="O1185" s="7" t="s">
        <v>180</v>
      </c>
      <c r="P1185" s="7" t="s">
        <v>180</v>
      </c>
    </row>
    <row r="1186" spans="1:16" x14ac:dyDescent="0.25">
      <c r="A1186" s="2" t="s">
        <v>183</v>
      </c>
      <c r="B1186" s="2" t="s">
        <v>191</v>
      </c>
      <c r="C1186" s="6" t="s">
        <v>138</v>
      </c>
      <c r="D1186" s="2" t="s">
        <v>107</v>
      </c>
      <c r="E1186" s="2"/>
      <c r="F1186" s="35">
        <v>5.3</v>
      </c>
      <c r="G1186" s="35">
        <v>48.228467894395735</v>
      </c>
      <c r="H1186" s="35">
        <v>-2.5565364818460479</v>
      </c>
      <c r="I1186" s="35">
        <v>-0.16485801989425522</v>
      </c>
      <c r="J1186" s="35">
        <v>8.7138205202024746E-4</v>
      </c>
      <c r="K1186" s="35">
        <v>-0.92640923252090668</v>
      </c>
      <c r="L1186" s="35">
        <v>4.6289816154242525</v>
      </c>
      <c r="M1186" s="58" t="s">
        <v>24</v>
      </c>
      <c r="N1186" s="7">
        <v>11.333333333333334</v>
      </c>
      <c r="O1186" s="7" t="s">
        <v>180</v>
      </c>
      <c r="P1186" s="7" t="s">
        <v>180</v>
      </c>
    </row>
    <row r="1187" spans="1:16" x14ac:dyDescent="0.25">
      <c r="A1187" s="2" t="s">
        <v>183</v>
      </c>
      <c r="B1187" s="2" t="s">
        <v>191</v>
      </c>
      <c r="C1187" s="6" t="s">
        <v>138</v>
      </c>
      <c r="D1187" s="2" t="s">
        <v>107</v>
      </c>
      <c r="E1187" s="2"/>
      <c r="F1187" s="35">
        <v>5.4149169609489114</v>
      </c>
      <c r="G1187" s="35">
        <v>48.283208910511235</v>
      </c>
      <c r="H1187" s="35">
        <v>-2.5565364818460479</v>
      </c>
      <c r="I1187" s="35">
        <v>-0.16485801989425522</v>
      </c>
      <c r="J1187" s="35">
        <v>8.7138205202024746E-4</v>
      </c>
      <c r="K1187" s="35">
        <v>-0.90746424988660357</v>
      </c>
      <c r="L1187" s="35">
        <v>4.9227710184730222</v>
      </c>
      <c r="M1187" s="58" t="s">
        <v>24</v>
      </c>
      <c r="N1187" s="7">
        <v>11.333333333333334</v>
      </c>
      <c r="O1187" s="7" t="s">
        <v>180</v>
      </c>
      <c r="P1187" s="7" t="s">
        <v>180</v>
      </c>
    </row>
    <row r="1188" spans="1:16" x14ac:dyDescent="0.25">
      <c r="A1188" s="2" t="s">
        <v>183</v>
      </c>
      <c r="B1188" s="2" t="s">
        <v>191</v>
      </c>
      <c r="C1188" s="6" t="s">
        <v>138</v>
      </c>
      <c r="D1188" s="2" t="s">
        <v>107</v>
      </c>
      <c r="E1188" s="2"/>
      <c r="F1188" s="35">
        <v>10.829833921897823</v>
      </c>
      <c r="G1188" s="35">
        <v>50.862619766626743</v>
      </c>
      <c r="H1188" s="35">
        <v>-2.5565364818460479</v>
      </c>
      <c r="I1188" s="35">
        <v>-0.16485801989425522</v>
      </c>
      <c r="J1188" s="35">
        <v>8.7138205202024746E-4</v>
      </c>
      <c r="K1188" s="35">
        <v>-1.4771761812748158E-2</v>
      </c>
      <c r="L1188" s="35">
        <v>18.76620377530584</v>
      </c>
      <c r="M1188" s="58" t="s">
        <v>23</v>
      </c>
      <c r="N1188" s="7">
        <v>11.333333333333334</v>
      </c>
      <c r="O1188" s="7" t="s">
        <v>180</v>
      </c>
      <c r="P1188" s="7" t="s">
        <v>180</v>
      </c>
    </row>
    <row r="1189" spans="1:16" x14ac:dyDescent="0.25">
      <c r="A1189" s="2" t="s">
        <v>183</v>
      </c>
      <c r="B1189" s="2" t="s">
        <v>191</v>
      </c>
      <c r="C1189" s="6" t="s">
        <v>138</v>
      </c>
      <c r="D1189" s="2" t="s">
        <v>108</v>
      </c>
      <c r="E1189" s="2"/>
      <c r="F1189" s="35">
        <v>0</v>
      </c>
      <c r="G1189" s="35">
        <v>128.43860629083164</v>
      </c>
      <c r="H1189" s="35">
        <v>-1.0265367105141534</v>
      </c>
      <c r="I1189" s="35">
        <v>12.670269354829109</v>
      </c>
      <c r="J1189" s="35">
        <v>-4.6318393310779762E-2</v>
      </c>
      <c r="K1189" s="35">
        <v>18.608233381780593</v>
      </c>
      <c r="L1189" s="35">
        <v>13.459050436808203</v>
      </c>
      <c r="M1189" s="58" t="s">
        <v>22</v>
      </c>
      <c r="N1189" s="7">
        <v>11.333333333333334</v>
      </c>
      <c r="O1189" s="7" t="s">
        <v>180</v>
      </c>
      <c r="P1189" s="7" t="s">
        <v>180</v>
      </c>
    </row>
    <row r="1190" spans="1:16" x14ac:dyDescent="0.25">
      <c r="A1190" s="2" t="s">
        <v>183</v>
      </c>
      <c r="B1190" s="2" t="s">
        <v>191</v>
      </c>
      <c r="C1190" s="6" t="s">
        <v>138</v>
      </c>
      <c r="D1190" s="2" t="s">
        <v>108</v>
      </c>
      <c r="E1190" s="2"/>
      <c r="F1190" s="35">
        <v>0.29999999999999988</v>
      </c>
      <c r="G1190" s="35">
        <v>128.58151213083164</v>
      </c>
      <c r="H1190" s="35">
        <v>-1.0265367105141534</v>
      </c>
      <c r="I1190" s="35">
        <v>12.670269354829109</v>
      </c>
      <c r="J1190" s="35">
        <v>-4.6318393310779762E-2</v>
      </c>
      <c r="K1190" s="35">
        <v>14.807152575331862</v>
      </c>
      <c r="L1190" s="35">
        <v>13.767011449962448</v>
      </c>
      <c r="M1190" s="58" t="s">
        <v>22</v>
      </c>
      <c r="N1190" s="7">
        <v>11.333333333333334</v>
      </c>
      <c r="O1190" s="7" t="s">
        <v>180</v>
      </c>
      <c r="P1190" s="7" t="s">
        <v>180</v>
      </c>
    </row>
    <row r="1191" spans="1:16" x14ac:dyDescent="0.25">
      <c r="A1191" s="2" t="s">
        <v>183</v>
      </c>
      <c r="B1191" s="2" t="s">
        <v>191</v>
      </c>
      <c r="C1191" s="6" t="s">
        <v>138</v>
      </c>
      <c r="D1191" s="2" t="s">
        <v>108</v>
      </c>
      <c r="E1191" s="2"/>
      <c r="F1191" s="35">
        <v>0.29999999999999988</v>
      </c>
      <c r="G1191" s="35">
        <v>51.524264219197903</v>
      </c>
      <c r="H1191" s="35">
        <v>-1.1877073785797567</v>
      </c>
      <c r="I1191" s="35">
        <v>1.6972476247943533</v>
      </c>
      <c r="J1191" s="35">
        <v>1.7481752513574767E-3</v>
      </c>
      <c r="K1191" s="35">
        <v>4.3215123154739663</v>
      </c>
      <c r="L1191" s="35">
        <v>12.944800769816954</v>
      </c>
      <c r="M1191" s="58" t="s">
        <v>22</v>
      </c>
      <c r="N1191" s="7">
        <v>11.333333333333334</v>
      </c>
      <c r="O1191" s="7" t="s">
        <v>180</v>
      </c>
      <c r="P1191" s="7" t="s">
        <v>180</v>
      </c>
    </row>
    <row r="1192" spans="1:16" x14ac:dyDescent="0.25">
      <c r="A1192" s="2" t="s">
        <v>183</v>
      </c>
      <c r="B1192" s="2" t="s">
        <v>191</v>
      </c>
      <c r="C1192" s="6" t="s">
        <v>138</v>
      </c>
      <c r="D1192" s="2" t="s">
        <v>108</v>
      </c>
      <c r="E1192" s="2"/>
      <c r="F1192" s="35">
        <v>5.3</v>
      </c>
      <c r="G1192" s="35">
        <v>53.906028219197893</v>
      </c>
      <c r="H1192" s="35">
        <v>-1.1877073785797567</v>
      </c>
      <c r="I1192" s="35">
        <v>1.6972476247943533</v>
      </c>
      <c r="J1192" s="35">
        <v>1.7481752513574767E-3</v>
      </c>
      <c r="K1192" s="35">
        <v>-4.1647258084978001</v>
      </c>
      <c r="L1192" s="35">
        <v>18.883337662715736</v>
      </c>
      <c r="M1192" s="58" t="s">
        <v>24</v>
      </c>
      <c r="N1192" s="7">
        <v>11.333333333333334</v>
      </c>
      <c r="O1192" s="7" t="s">
        <v>180</v>
      </c>
      <c r="P1192" s="7" t="s">
        <v>180</v>
      </c>
    </row>
    <row r="1193" spans="1:16" x14ac:dyDescent="0.25">
      <c r="A1193" s="2" t="s">
        <v>183</v>
      </c>
      <c r="B1193" s="2" t="s">
        <v>191</v>
      </c>
      <c r="C1193" s="6" t="s">
        <v>138</v>
      </c>
      <c r="D1193" s="2" t="s">
        <v>108</v>
      </c>
      <c r="E1193" s="2"/>
      <c r="F1193" s="35">
        <v>5.3</v>
      </c>
      <c r="G1193" s="35">
        <v>120.1378994553011</v>
      </c>
      <c r="H1193" s="35">
        <v>-1.0227167693521633</v>
      </c>
      <c r="I1193" s="35">
        <v>-0.49114795601161049</v>
      </c>
      <c r="J1193" s="35">
        <v>-1.7493963127608432E-4</v>
      </c>
      <c r="K1193" s="35">
        <v>-2.896878944618297</v>
      </c>
      <c r="L1193" s="35">
        <v>18.898175913477537</v>
      </c>
      <c r="M1193" s="58" t="s">
        <v>24</v>
      </c>
      <c r="N1193" s="7">
        <v>11.333333333333334</v>
      </c>
      <c r="O1193" s="7" t="s">
        <v>180</v>
      </c>
      <c r="P1193" s="7" t="s">
        <v>180</v>
      </c>
    </row>
    <row r="1194" spans="1:16" x14ac:dyDescent="0.25">
      <c r="A1194" s="2" t="s">
        <v>183</v>
      </c>
      <c r="B1194" s="2" t="s">
        <v>191</v>
      </c>
      <c r="C1194" s="6" t="s">
        <v>138</v>
      </c>
      <c r="D1194" s="2" t="s">
        <v>108</v>
      </c>
      <c r="E1194" s="2"/>
      <c r="F1194" s="35">
        <v>5.4149169609489114</v>
      </c>
      <c r="G1194" s="35">
        <v>120.1926404714166</v>
      </c>
      <c r="H1194" s="35">
        <v>-1.0227167693521633</v>
      </c>
      <c r="I1194" s="35">
        <v>-0.49114795601161049</v>
      </c>
      <c r="J1194" s="35">
        <v>-1.7493963127608432E-4</v>
      </c>
      <c r="K1194" s="35">
        <v>-2.8404377141371735</v>
      </c>
      <c r="L1194" s="35">
        <v>19.015703416522978</v>
      </c>
      <c r="M1194" s="58" t="s">
        <v>24</v>
      </c>
      <c r="N1194" s="7">
        <v>11.333333333333334</v>
      </c>
      <c r="O1194" s="7" t="s">
        <v>180</v>
      </c>
      <c r="P1194" s="7" t="s">
        <v>180</v>
      </c>
    </row>
    <row r="1195" spans="1:16" x14ac:dyDescent="0.25">
      <c r="A1195" s="2" t="s">
        <v>183</v>
      </c>
      <c r="B1195" s="2" t="s">
        <v>191</v>
      </c>
      <c r="C1195" s="6" t="s">
        <v>138</v>
      </c>
      <c r="D1195" s="2" t="s">
        <v>108</v>
      </c>
      <c r="E1195" s="2"/>
      <c r="F1195" s="35">
        <v>10.829833921897823</v>
      </c>
      <c r="G1195" s="35">
        <v>122.77205132753211</v>
      </c>
      <c r="H1195" s="35">
        <v>-1.0227167693521633</v>
      </c>
      <c r="I1195" s="35">
        <v>-0.49114795601161049</v>
      </c>
      <c r="J1195" s="35">
        <v>-1.7493963127608432E-4</v>
      </c>
      <c r="K1195" s="35">
        <v>-0.18091231679451467</v>
      </c>
      <c r="L1195" s="35">
        <v>24.553629797134885</v>
      </c>
      <c r="M1195" s="58" t="s">
        <v>23</v>
      </c>
      <c r="N1195" s="7">
        <v>11.333333333333334</v>
      </c>
      <c r="O1195" s="7" t="s">
        <v>180</v>
      </c>
      <c r="P1195" s="7" t="s">
        <v>180</v>
      </c>
    </row>
    <row r="1196" spans="1:16" x14ac:dyDescent="0.25">
      <c r="A1196" s="2" t="s">
        <v>183</v>
      </c>
      <c r="B1196" s="2" t="s">
        <v>191</v>
      </c>
      <c r="C1196" s="6" t="s">
        <v>138</v>
      </c>
      <c r="D1196" s="2" t="s">
        <v>109</v>
      </c>
      <c r="E1196" s="2"/>
      <c r="F1196" s="35">
        <v>0</v>
      </c>
      <c r="G1196" s="35">
        <v>-85.824510940991743</v>
      </c>
      <c r="H1196" s="35">
        <v>14.462274480848006</v>
      </c>
      <c r="I1196" s="35">
        <v>6.7621802346655198</v>
      </c>
      <c r="J1196" s="35">
        <v>-0.16611270561716263</v>
      </c>
      <c r="K1196" s="35">
        <v>12.567153934856909</v>
      </c>
      <c r="L1196" s="35">
        <v>86.597038200016769</v>
      </c>
      <c r="M1196" s="58" t="s">
        <v>22</v>
      </c>
      <c r="N1196" s="7">
        <v>11.333333333333334</v>
      </c>
      <c r="O1196" s="7" t="s">
        <v>180</v>
      </c>
      <c r="P1196" s="7" t="s">
        <v>180</v>
      </c>
    </row>
    <row r="1197" spans="1:16" x14ac:dyDescent="0.25">
      <c r="A1197" s="2" t="s">
        <v>183</v>
      </c>
      <c r="B1197" s="2" t="s">
        <v>191</v>
      </c>
      <c r="C1197" s="6" t="s">
        <v>138</v>
      </c>
      <c r="D1197" s="2" t="s">
        <v>109</v>
      </c>
      <c r="E1197" s="2"/>
      <c r="F1197" s="35">
        <v>0.29999999999999988</v>
      </c>
      <c r="G1197" s="35">
        <v>-85.68160510099176</v>
      </c>
      <c r="H1197" s="35">
        <v>14.462274480848006</v>
      </c>
      <c r="I1197" s="35">
        <v>6.7621802346655198</v>
      </c>
      <c r="J1197" s="35">
        <v>-0.16611270561716263</v>
      </c>
      <c r="K1197" s="35">
        <v>10.538499864457254</v>
      </c>
      <c r="L1197" s="35">
        <v>82.258355855762375</v>
      </c>
      <c r="M1197" s="58" t="s">
        <v>22</v>
      </c>
      <c r="N1197" s="7">
        <v>11.333333333333334</v>
      </c>
      <c r="O1197" s="7" t="s">
        <v>180</v>
      </c>
      <c r="P1197" s="7" t="s">
        <v>180</v>
      </c>
    </row>
    <row r="1198" spans="1:16" x14ac:dyDescent="0.25">
      <c r="A1198" s="2" t="s">
        <v>183</v>
      </c>
      <c r="B1198" s="2" t="s">
        <v>191</v>
      </c>
      <c r="C1198" s="6" t="s">
        <v>138</v>
      </c>
      <c r="D1198" s="2" t="s">
        <v>109</v>
      </c>
      <c r="E1198" s="2"/>
      <c r="F1198" s="35">
        <v>0.29999999999999988</v>
      </c>
      <c r="G1198" s="35">
        <v>-89.274614182808648</v>
      </c>
      <c r="H1198" s="35">
        <v>13.849510647743253</v>
      </c>
      <c r="I1198" s="35">
        <v>1.3124861588867087</v>
      </c>
      <c r="J1198" s="35">
        <v>1.0752275228241983E-2</v>
      </c>
      <c r="K1198" s="35">
        <v>2.9663771686302756</v>
      </c>
      <c r="L1198" s="35">
        <v>79.185040655393465</v>
      </c>
      <c r="M1198" s="58" t="s">
        <v>22</v>
      </c>
      <c r="N1198" s="7">
        <v>11.333333333333334</v>
      </c>
      <c r="O1198" s="7" t="s">
        <v>180</v>
      </c>
      <c r="P1198" s="7" t="s">
        <v>180</v>
      </c>
    </row>
    <row r="1199" spans="1:16" x14ac:dyDescent="0.25">
      <c r="A1199" s="2" t="s">
        <v>183</v>
      </c>
      <c r="B1199" s="2" t="s">
        <v>191</v>
      </c>
      <c r="C1199" s="6" t="s">
        <v>138</v>
      </c>
      <c r="D1199" s="2" t="s">
        <v>109</v>
      </c>
      <c r="E1199" s="2"/>
      <c r="F1199" s="35">
        <v>5.3</v>
      </c>
      <c r="G1199" s="35">
        <v>-86.892850182808644</v>
      </c>
      <c r="H1199" s="35">
        <v>13.849510647743253</v>
      </c>
      <c r="I1199" s="35">
        <v>1.3124861588867087</v>
      </c>
      <c r="J1199" s="35">
        <v>1.0752275228241983E-2</v>
      </c>
      <c r="K1199" s="35">
        <v>-3.5960536258032674</v>
      </c>
      <c r="L1199" s="35">
        <v>9.9374874166772056</v>
      </c>
      <c r="M1199" s="58" t="s">
        <v>24</v>
      </c>
      <c r="N1199" s="7">
        <v>11.333333333333334</v>
      </c>
      <c r="O1199" s="7" t="s">
        <v>180</v>
      </c>
      <c r="P1199" s="7" t="s">
        <v>180</v>
      </c>
    </row>
    <row r="1200" spans="1:16" x14ac:dyDescent="0.25">
      <c r="A1200" s="2" t="s">
        <v>183</v>
      </c>
      <c r="B1200" s="2" t="s">
        <v>191</v>
      </c>
      <c r="C1200" s="6" t="s">
        <v>138</v>
      </c>
      <c r="D1200" s="2" t="s">
        <v>109</v>
      </c>
      <c r="E1200" s="2"/>
      <c r="F1200" s="35">
        <v>5.3</v>
      </c>
      <c r="G1200" s="35">
        <v>-86.971147609220196</v>
      </c>
      <c r="H1200" s="35">
        <v>14.464156644520408</v>
      </c>
      <c r="I1200" s="35">
        <v>-0.21065941784247225</v>
      </c>
      <c r="J1200" s="35">
        <v>-1.5113157755122356E-3</v>
      </c>
      <c r="K1200" s="35">
        <v>-1.2055016393607303</v>
      </c>
      <c r="L1200" s="35">
        <v>9.9471657098503012</v>
      </c>
      <c r="M1200" s="58" t="s">
        <v>24</v>
      </c>
      <c r="N1200" s="7">
        <v>11.333333333333334</v>
      </c>
      <c r="O1200" s="7" t="s">
        <v>180</v>
      </c>
      <c r="P1200" s="7" t="s">
        <v>180</v>
      </c>
    </row>
    <row r="1201" spans="1:16" x14ac:dyDescent="0.25">
      <c r="A1201" s="2" t="s">
        <v>183</v>
      </c>
      <c r="B1201" s="2" t="s">
        <v>191</v>
      </c>
      <c r="C1201" s="6" t="s">
        <v>138</v>
      </c>
      <c r="D1201" s="2" t="s">
        <v>109</v>
      </c>
      <c r="E1201" s="2"/>
      <c r="F1201" s="35">
        <v>5.4149169609489114</v>
      </c>
      <c r="G1201" s="35">
        <v>-86.916406593104696</v>
      </c>
      <c r="H1201" s="35">
        <v>14.464156644520408</v>
      </c>
      <c r="I1201" s="35">
        <v>-0.21065941784247225</v>
      </c>
      <c r="J1201" s="35">
        <v>-1.5113157755122356E-3</v>
      </c>
      <c r="K1201" s="35">
        <v>-1.1812932992670062</v>
      </c>
      <c r="L1201" s="35">
        <v>8.2849887855730113</v>
      </c>
      <c r="M1201" s="58" t="s">
        <v>24</v>
      </c>
      <c r="N1201" s="7">
        <v>11.333333333333334</v>
      </c>
      <c r="O1201" s="7" t="s">
        <v>180</v>
      </c>
      <c r="P1201" s="7" t="s">
        <v>180</v>
      </c>
    </row>
    <row r="1202" spans="1:16" x14ac:dyDescent="0.25">
      <c r="A1202" s="2" t="s">
        <v>183</v>
      </c>
      <c r="B1202" s="2" t="s">
        <v>191</v>
      </c>
      <c r="C1202" s="6" t="s">
        <v>138</v>
      </c>
      <c r="D1202" s="2" t="s">
        <v>109</v>
      </c>
      <c r="E1202" s="2"/>
      <c r="F1202" s="35">
        <v>10.829833921897823</v>
      </c>
      <c r="G1202" s="35">
        <v>-84.336995736989181</v>
      </c>
      <c r="H1202" s="35">
        <v>14.464156644520408</v>
      </c>
      <c r="I1202" s="35">
        <v>-0.21065941784247225</v>
      </c>
      <c r="J1202" s="35">
        <v>-1.5113157755122356E-3</v>
      </c>
      <c r="K1202" s="35">
        <v>-4.059004460817997E-2</v>
      </c>
      <c r="L1202" s="35">
        <v>-70.037218354662414</v>
      </c>
      <c r="M1202" s="58" t="s">
        <v>23</v>
      </c>
      <c r="N1202" s="7">
        <v>11.333333333333334</v>
      </c>
      <c r="O1202" s="7" t="s">
        <v>180</v>
      </c>
      <c r="P1202" s="7" t="s">
        <v>180</v>
      </c>
    </row>
    <row r="1203" spans="1:16" x14ac:dyDescent="0.25">
      <c r="A1203" s="2" t="s">
        <v>183</v>
      </c>
      <c r="B1203" s="2" t="s">
        <v>191</v>
      </c>
      <c r="C1203" s="6" t="s">
        <v>138</v>
      </c>
      <c r="D1203" s="2" t="s">
        <v>110</v>
      </c>
      <c r="E1203" s="2"/>
      <c r="F1203" s="35">
        <v>0</v>
      </c>
      <c r="G1203" s="35">
        <v>129.80213218797843</v>
      </c>
      <c r="H1203" s="35">
        <v>-11.052065982405338</v>
      </c>
      <c r="I1203" s="35">
        <v>12.61267688342978</v>
      </c>
      <c r="J1203" s="35">
        <v>9.1955565854026505E-2</v>
      </c>
      <c r="K1203" s="35">
        <v>18.493366968128999</v>
      </c>
      <c r="L1203" s="35">
        <v>-54.364700069511883</v>
      </c>
      <c r="M1203" s="58" t="s">
        <v>22</v>
      </c>
      <c r="N1203" s="7">
        <v>11.333333333333334</v>
      </c>
      <c r="O1203" s="7" t="s">
        <v>180</v>
      </c>
      <c r="P1203" s="7" t="s">
        <v>180</v>
      </c>
    </row>
    <row r="1204" spans="1:16" x14ac:dyDescent="0.25">
      <c r="A1204" s="2" t="s">
        <v>183</v>
      </c>
      <c r="B1204" s="2" t="s">
        <v>191</v>
      </c>
      <c r="C1204" s="6" t="s">
        <v>138</v>
      </c>
      <c r="D1204" s="2" t="s">
        <v>110</v>
      </c>
      <c r="E1204" s="2"/>
      <c r="F1204" s="35">
        <v>0.29999999999999988</v>
      </c>
      <c r="G1204" s="35">
        <v>129.94503802797843</v>
      </c>
      <c r="H1204" s="35">
        <v>-11.052065982405338</v>
      </c>
      <c r="I1204" s="35">
        <v>12.61267688342978</v>
      </c>
      <c r="J1204" s="35">
        <v>9.1955565854026505E-2</v>
      </c>
      <c r="K1204" s="35">
        <v>14.709563903100065</v>
      </c>
      <c r="L1204" s="35">
        <v>-51.049080274790292</v>
      </c>
      <c r="M1204" s="58" t="s">
        <v>22</v>
      </c>
      <c r="N1204" s="7">
        <v>11.333333333333334</v>
      </c>
      <c r="O1204" s="7" t="s">
        <v>180</v>
      </c>
      <c r="P1204" s="7" t="s">
        <v>180</v>
      </c>
    </row>
    <row r="1205" spans="1:16" x14ac:dyDescent="0.25">
      <c r="A1205" s="2" t="s">
        <v>183</v>
      </c>
      <c r="B1205" s="2" t="s">
        <v>191</v>
      </c>
      <c r="C1205" s="6" t="s">
        <v>138</v>
      </c>
      <c r="D1205" s="2" t="s">
        <v>110</v>
      </c>
      <c r="E1205" s="2"/>
      <c r="F1205" s="35">
        <v>0.29999999999999988</v>
      </c>
      <c r="G1205" s="35">
        <v>52.77563441074544</v>
      </c>
      <c r="H1205" s="35">
        <v>-10.707068141741436</v>
      </c>
      <c r="I1205" s="35">
        <v>1.6846448084633465</v>
      </c>
      <c r="J1205" s="35">
        <v>-6.6965203153135072E-3</v>
      </c>
      <c r="K1205" s="35">
        <v>4.2946200009724382</v>
      </c>
      <c r="L1205" s="35">
        <v>-49.327089404922759</v>
      </c>
      <c r="M1205" s="58" t="s">
        <v>22</v>
      </c>
      <c r="N1205" s="7">
        <v>11.333333333333334</v>
      </c>
      <c r="O1205" s="7" t="s">
        <v>180</v>
      </c>
      <c r="P1205" s="7" t="s">
        <v>180</v>
      </c>
    </row>
    <row r="1206" spans="1:16" x14ac:dyDescent="0.25">
      <c r="A1206" s="2" t="s">
        <v>183</v>
      </c>
      <c r="B1206" s="2" t="s">
        <v>191</v>
      </c>
      <c r="C1206" s="6" t="s">
        <v>138</v>
      </c>
      <c r="D1206" s="2" t="s">
        <v>110</v>
      </c>
      <c r="E1206" s="2"/>
      <c r="F1206" s="35">
        <v>5.3</v>
      </c>
      <c r="G1206" s="35">
        <v>55.157398410745436</v>
      </c>
      <c r="H1206" s="35">
        <v>-10.707068141741436</v>
      </c>
      <c r="I1206" s="35">
        <v>1.6846448084633465</v>
      </c>
      <c r="J1206" s="35">
        <v>-6.6965203153135072E-3</v>
      </c>
      <c r="K1206" s="35">
        <v>-4.1286040413442944</v>
      </c>
      <c r="L1206" s="35">
        <v>4.208251303784424</v>
      </c>
      <c r="M1206" s="58" t="s">
        <v>24</v>
      </c>
      <c r="N1206" s="7">
        <v>11.333333333333334</v>
      </c>
      <c r="O1206" s="7" t="s">
        <v>180</v>
      </c>
      <c r="P1206" s="7" t="s">
        <v>180</v>
      </c>
    </row>
    <row r="1207" spans="1:16" x14ac:dyDescent="0.25">
      <c r="A1207" s="2" t="s">
        <v>183</v>
      </c>
      <c r="B1207" s="2" t="s">
        <v>191</v>
      </c>
      <c r="C1207" s="6" t="s">
        <v>138</v>
      </c>
      <c r="D1207" s="2" t="s">
        <v>110</v>
      </c>
      <c r="E1207" s="2"/>
      <c r="F1207" s="35">
        <v>5.3</v>
      </c>
      <c r="G1207" s="35">
        <v>121.62961009841608</v>
      </c>
      <c r="H1207" s="35">
        <v>-11.050814013743231</v>
      </c>
      <c r="I1207" s="35">
        <v>-0.49114210108049172</v>
      </c>
      <c r="J1207" s="35">
        <v>-2.2565747461412194E-5</v>
      </c>
      <c r="K1207" s="35">
        <v>-2.8968797831922997</v>
      </c>
      <c r="L1207" s="35">
        <v>4.2102091630791909</v>
      </c>
      <c r="M1207" s="58" t="s">
        <v>24</v>
      </c>
      <c r="N1207" s="7">
        <v>11.333333333333334</v>
      </c>
      <c r="O1207" s="7" t="s">
        <v>180</v>
      </c>
      <c r="P1207" s="7" t="s">
        <v>180</v>
      </c>
    </row>
    <row r="1208" spans="1:16" x14ac:dyDescent="0.25">
      <c r="A1208" s="2" t="s">
        <v>183</v>
      </c>
      <c r="B1208" s="2" t="s">
        <v>191</v>
      </c>
      <c r="C1208" s="6" t="s">
        <v>138</v>
      </c>
      <c r="D1208" s="2" t="s">
        <v>110</v>
      </c>
      <c r="E1208" s="2"/>
      <c r="F1208" s="35">
        <v>5.4149169609489114</v>
      </c>
      <c r="G1208" s="35">
        <v>121.68435111453158</v>
      </c>
      <c r="H1208" s="35">
        <v>-11.050814013743231</v>
      </c>
      <c r="I1208" s="35">
        <v>-0.49114210108049172</v>
      </c>
      <c r="J1208" s="35">
        <v>-2.2565747461412194E-5</v>
      </c>
      <c r="K1208" s="35">
        <v>-2.8404392255420663</v>
      </c>
      <c r="L1208" s="35">
        <v>5.4801351255502055</v>
      </c>
      <c r="M1208" s="58" t="s">
        <v>24</v>
      </c>
      <c r="N1208" s="7">
        <v>11.333333333333334</v>
      </c>
      <c r="O1208" s="7" t="s">
        <v>180</v>
      </c>
      <c r="P1208" s="7" t="s">
        <v>180</v>
      </c>
    </row>
    <row r="1209" spans="1:16" x14ac:dyDescent="0.25">
      <c r="A1209" s="2" t="s">
        <v>183</v>
      </c>
      <c r="B1209" s="2" t="s">
        <v>191</v>
      </c>
      <c r="C1209" s="6" t="s">
        <v>138</v>
      </c>
      <c r="D1209" s="2" t="s">
        <v>110</v>
      </c>
      <c r="E1209" s="2"/>
      <c r="F1209" s="35">
        <v>10.829833921897823</v>
      </c>
      <c r="G1209" s="35">
        <v>124.2637619706471</v>
      </c>
      <c r="H1209" s="35">
        <v>-11.050814013743231</v>
      </c>
      <c r="I1209" s="35">
        <v>-0.49114210108049172</v>
      </c>
      <c r="J1209" s="35">
        <v>-2.2565747461412194E-5</v>
      </c>
      <c r="K1209" s="35">
        <v>-0.18094553216522788</v>
      </c>
      <c r="L1209" s="35">
        <v>65.31937536086032</v>
      </c>
      <c r="M1209" s="58" t="s">
        <v>23</v>
      </c>
      <c r="N1209" s="7">
        <v>11.333333333333334</v>
      </c>
      <c r="O1209" s="7" t="s">
        <v>180</v>
      </c>
      <c r="P1209" s="7" t="s">
        <v>180</v>
      </c>
    </row>
    <row r="1210" spans="1:16" x14ac:dyDescent="0.25">
      <c r="A1210" s="2" t="s">
        <v>183</v>
      </c>
      <c r="B1210" s="2" t="s">
        <v>191</v>
      </c>
      <c r="C1210" s="6" t="s">
        <v>138</v>
      </c>
      <c r="D1210" s="2" t="s">
        <v>111</v>
      </c>
      <c r="E1210" s="2"/>
      <c r="F1210" s="35">
        <v>0</v>
      </c>
      <c r="G1210" s="35">
        <v>10.458050019783068</v>
      </c>
      <c r="H1210" s="35">
        <v>-20.727431168739063</v>
      </c>
      <c r="I1210" s="35">
        <v>7.0628754244889986</v>
      </c>
      <c r="J1210" s="35">
        <v>0.20541684374884556</v>
      </c>
      <c r="K1210" s="35">
        <v>11.490292132475174</v>
      </c>
      <c r="L1210" s="35">
        <v>-113.75587819130811</v>
      </c>
      <c r="M1210" s="58" t="s">
        <v>22</v>
      </c>
      <c r="N1210" s="7">
        <v>11.333333333333334</v>
      </c>
      <c r="O1210" s="7" t="s">
        <v>180</v>
      </c>
      <c r="P1210" s="7" t="s">
        <v>180</v>
      </c>
    </row>
    <row r="1211" spans="1:16" x14ac:dyDescent="0.25">
      <c r="A1211" s="2" t="s">
        <v>183</v>
      </c>
      <c r="B1211" s="2" t="s">
        <v>191</v>
      </c>
      <c r="C1211" s="6" t="s">
        <v>138</v>
      </c>
      <c r="D1211" s="2" t="s">
        <v>111</v>
      </c>
      <c r="E1211" s="2"/>
      <c r="F1211" s="35">
        <v>0.29999999999999988</v>
      </c>
      <c r="G1211" s="35">
        <v>10.60095585978306</v>
      </c>
      <c r="H1211" s="35">
        <v>-20.727431168739063</v>
      </c>
      <c r="I1211" s="35">
        <v>7.0628754244889986</v>
      </c>
      <c r="J1211" s="35">
        <v>0.20541684374884556</v>
      </c>
      <c r="K1211" s="35">
        <v>9.3714295051284751</v>
      </c>
      <c r="L1211" s="35">
        <v>-107.5376488406864</v>
      </c>
      <c r="M1211" s="58" t="s">
        <v>22</v>
      </c>
      <c r="N1211" s="7">
        <v>11.333333333333334</v>
      </c>
      <c r="O1211" s="7" t="s">
        <v>180</v>
      </c>
      <c r="P1211" s="7" t="s">
        <v>180</v>
      </c>
    </row>
    <row r="1212" spans="1:16" x14ac:dyDescent="0.25">
      <c r="A1212" s="2" t="s">
        <v>183</v>
      </c>
      <c r="B1212" s="2" t="s">
        <v>191</v>
      </c>
      <c r="C1212" s="6" t="s">
        <v>138</v>
      </c>
      <c r="D1212" s="2" t="s">
        <v>111</v>
      </c>
      <c r="E1212" s="2"/>
      <c r="F1212" s="35">
        <v>0.29999999999999988</v>
      </c>
      <c r="G1212" s="35">
        <v>-17.214715695466872</v>
      </c>
      <c r="H1212" s="35">
        <v>-19.960371317107203</v>
      </c>
      <c r="I1212" s="35">
        <v>1.1124041189717644</v>
      </c>
      <c r="J1212" s="35">
        <v>-1.4693392880349113E-2</v>
      </c>
      <c r="K1212" s="35">
        <v>2.6959704859879845</v>
      </c>
      <c r="L1212" s="35">
        <v>-103.69830827731154</v>
      </c>
      <c r="M1212" s="58" t="s">
        <v>22</v>
      </c>
      <c r="N1212" s="7">
        <v>11.333333333333334</v>
      </c>
      <c r="O1212" s="7" t="s">
        <v>180</v>
      </c>
      <c r="P1212" s="7" t="s">
        <v>180</v>
      </c>
    </row>
    <row r="1213" spans="1:16" x14ac:dyDescent="0.25">
      <c r="A1213" s="2" t="s">
        <v>183</v>
      </c>
      <c r="B1213" s="2" t="s">
        <v>191</v>
      </c>
      <c r="C1213" s="6" t="s">
        <v>138</v>
      </c>
      <c r="D1213" s="2" t="s">
        <v>111</v>
      </c>
      <c r="E1213" s="2"/>
      <c r="F1213" s="35">
        <v>5.3</v>
      </c>
      <c r="G1213" s="35">
        <v>-14.832951695466871</v>
      </c>
      <c r="H1213" s="35">
        <v>-19.960371317107203</v>
      </c>
      <c r="I1213" s="35">
        <v>1.1124041189717644</v>
      </c>
      <c r="J1213" s="35">
        <v>-1.4693392880349113E-2</v>
      </c>
      <c r="K1213" s="35">
        <v>-2.8660501088708377</v>
      </c>
      <c r="L1213" s="35">
        <v>-3.8964516917755279</v>
      </c>
      <c r="M1213" s="58" t="s">
        <v>24</v>
      </c>
      <c r="N1213" s="7">
        <v>11.333333333333334</v>
      </c>
      <c r="O1213" s="7" t="s">
        <v>180</v>
      </c>
      <c r="P1213" s="7" t="s">
        <v>180</v>
      </c>
    </row>
    <row r="1214" spans="1:16" x14ac:dyDescent="0.25">
      <c r="A1214" s="2" t="s">
        <v>183</v>
      </c>
      <c r="B1214" s="2" t="s">
        <v>191</v>
      </c>
      <c r="C1214" s="6" t="s">
        <v>138</v>
      </c>
      <c r="D1214" s="2" t="s">
        <v>111</v>
      </c>
      <c r="E1214" s="2"/>
      <c r="F1214" s="35">
        <v>5.3</v>
      </c>
      <c r="G1214" s="35">
        <v>8.5950585464894882</v>
      </c>
      <c r="H1214" s="35">
        <v>-20.725328724426674</v>
      </c>
      <c r="I1214" s="35">
        <v>-0.26622962710972914</v>
      </c>
      <c r="J1214" s="35">
        <v>1.1493719495149872E-3</v>
      </c>
      <c r="K1214" s="35">
        <v>-1.5403116216758608</v>
      </c>
      <c r="L1214" s="35">
        <v>-3.9023846468489087</v>
      </c>
      <c r="M1214" s="58" t="s">
        <v>24</v>
      </c>
      <c r="N1214" s="7">
        <v>11.333333333333334</v>
      </c>
      <c r="O1214" s="7" t="s">
        <v>180</v>
      </c>
      <c r="P1214" s="7" t="s">
        <v>180</v>
      </c>
    </row>
    <row r="1215" spans="1:16" x14ac:dyDescent="0.25">
      <c r="A1215" s="2" t="s">
        <v>183</v>
      </c>
      <c r="B1215" s="2" t="s">
        <v>191</v>
      </c>
      <c r="C1215" s="6" t="s">
        <v>138</v>
      </c>
      <c r="D1215" s="2" t="s">
        <v>111</v>
      </c>
      <c r="E1215" s="2"/>
      <c r="F1215" s="35">
        <v>5.4149169609489114</v>
      </c>
      <c r="G1215" s="35">
        <v>8.6497995626049935</v>
      </c>
      <c r="H1215" s="35">
        <v>-20.725328724426674</v>
      </c>
      <c r="I1215" s="35">
        <v>-0.26622962710972914</v>
      </c>
      <c r="J1215" s="35">
        <v>1.1493719495149872E-3</v>
      </c>
      <c r="K1215" s="35">
        <v>-1.5097173220138487</v>
      </c>
      <c r="L1215" s="35">
        <v>-1.5206928551706154</v>
      </c>
      <c r="M1215" s="58" t="s">
        <v>24</v>
      </c>
      <c r="N1215" s="7">
        <v>11.333333333333334</v>
      </c>
      <c r="O1215" s="7" t="s">
        <v>180</v>
      </c>
      <c r="P1215" s="7" t="s">
        <v>180</v>
      </c>
    </row>
    <row r="1216" spans="1:16" x14ac:dyDescent="0.25">
      <c r="A1216" s="2" t="s">
        <v>183</v>
      </c>
      <c r="B1216" s="2" t="s">
        <v>191</v>
      </c>
      <c r="C1216" s="6" t="s">
        <v>138</v>
      </c>
      <c r="D1216" s="2" t="s">
        <v>111</v>
      </c>
      <c r="E1216" s="2"/>
      <c r="F1216" s="35">
        <v>10.829833921897823</v>
      </c>
      <c r="G1216" s="35">
        <v>11.229210418720502</v>
      </c>
      <c r="H1216" s="35">
        <v>-20.725328724426674</v>
      </c>
      <c r="I1216" s="35">
        <v>-0.26622962710972914</v>
      </c>
      <c r="J1216" s="35">
        <v>1.1493719495149872E-3</v>
      </c>
      <c r="K1216" s="35">
        <v>-6.8105998670272838E-2</v>
      </c>
      <c r="L1216" s="35">
        <v>110.70524117596902</v>
      </c>
      <c r="M1216" s="58" t="s">
        <v>23</v>
      </c>
      <c r="N1216" s="7">
        <v>11.333333333333334</v>
      </c>
      <c r="O1216" s="7" t="s">
        <v>180</v>
      </c>
      <c r="P1216" s="7" t="s">
        <v>180</v>
      </c>
    </row>
    <row r="1217" spans="1:16" x14ac:dyDescent="0.25">
      <c r="A1217" s="2" t="s">
        <v>183</v>
      </c>
      <c r="B1217" s="2" t="s">
        <v>191</v>
      </c>
      <c r="C1217" s="6" t="s">
        <v>138</v>
      </c>
      <c r="D1217" s="2" t="s">
        <v>112</v>
      </c>
      <c r="E1217" s="2"/>
      <c r="F1217" s="35">
        <v>0</v>
      </c>
      <c r="G1217" s="35">
        <v>101.50651802226142</v>
      </c>
      <c r="H1217" s="35">
        <v>-8.7788085721292752</v>
      </c>
      <c r="I1217" s="35">
        <v>-9.1779446635750563</v>
      </c>
      <c r="J1217" s="35">
        <v>3.8351677250329182E-2</v>
      </c>
      <c r="K1217" s="35">
        <v>-16.181212279709854</v>
      </c>
      <c r="L1217" s="35">
        <v>-31.733558808115184</v>
      </c>
      <c r="M1217" s="58" t="s">
        <v>22</v>
      </c>
      <c r="N1217" s="7">
        <v>11.333333333333334</v>
      </c>
      <c r="O1217" s="7" t="s">
        <v>180</v>
      </c>
      <c r="P1217" s="7" t="s">
        <v>180</v>
      </c>
    </row>
    <row r="1218" spans="1:16" x14ac:dyDescent="0.25">
      <c r="A1218" s="2" t="s">
        <v>183</v>
      </c>
      <c r="B1218" s="2" t="s">
        <v>191</v>
      </c>
      <c r="C1218" s="6" t="s">
        <v>138</v>
      </c>
      <c r="D1218" s="2" t="s">
        <v>112</v>
      </c>
      <c r="E1218" s="2"/>
      <c r="F1218" s="35">
        <v>0.29999999999999988</v>
      </c>
      <c r="G1218" s="35">
        <v>101.64942386226141</v>
      </c>
      <c r="H1218" s="35">
        <v>-8.7788085721292752</v>
      </c>
      <c r="I1218" s="35">
        <v>-9.1779446635750563</v>
      </c>
      <c r="J1218" s="35">
        <v>3.8351677250329182E-2</v>
      </c>
      <c r="K1218" s="35">
        <v>-13.427828880637339</v>
      </c>
      <c r="L1218" s="35">
        <v>-29.099916236476403</v>
      </c>
      <c r="M1218" s="58" t="s">
        <v>22</v>
      </c>
      <c r="N1218" s="7">
        <v>11.333333333333334</v>
      </c>
      <c r="O1218" s="7" t="s">
        <v>180</v>
      </c>
      <c r="P1218" s="7" t="s">
        <v>180</v>
      </c>
    </row>
    <row r="1219" spans="1:16" x14ac:dyDescent="0.25">
      <c r="A1219" s="2" t="s">
        <v>183</v>
      </c>
      <c r="B1219" s="2" t="s">
        <v>191</v>
      </c>
      <c r="C1219" s="6" t="s">
        <v>138</v>
      </c>
      <c r="D1219" s="2" t="s">
        <v>112</v>
      </c>
      <c r="E1219" s="2"/>
      <c r="F1219" s="35">
        <v>0.29999999999999988</v>
      </c>
      <c r="G1219" s="35">
        <v>112.52819496843973</v>
      </c>
      <c r="H1219" s="35">
        <v>-8.6254637324227321</v>
      </c>
      <c r="I1219" s="35">
        <v>-1.6974505256690637</v>
      </c>
      <c r="J1219" s="35">
        <v>-4.0869814119824715E-3</v>
      </c>
      <c r="K1219" s="35">
        <v>-3.745885066298579</v>
      </c>
      <c r="L1219" s="35">
        <v>-28.345747319878374</v>
      </c>
      <c r="M1219" s="58" t="s">
        <v>22</v>
      </c>
      <c r="N1219" s="7">
        <v>11.333333333333334</v>
      </c>
      <c r="O1219" s="7" t="s">
        <v>180</v>
      </c>
      <c r="P1219" s="7" t="s">
        <v>180</v>
      </c>
    </row>
    <row r="1220" spans="1:16" x14ac:dyDescent="0.25">
      <c r="A1220" s="2" t="s">
        <v>183</v>
      </c>
      <c r="B1220" s="2" t="s">
        <v>191</v>
      </c>
      <c r="C1220" s="6" t="s">
        <v>138</v>
      </c>
      <c r="D1220" s="2" t="s">
        <v>112</v>
      </c>
      <c r="E1220" s="2"/>
      <c r="F1220" s="35">
        <v>5.3</v>
      </c>
      <c r="G1220" s="35">
        <v>114.90995896843974</v>
      </c>
      <c r="H1220" s="35">
        <v>-8.6254637324227321</v>
      </c>
      <c r="I1220" s="35">
        <v>-1.6974505256690637</v>
      </c>
      <c r="J1220" s="35">
        <v>-4.0869814119824715E-3</v>
      </c>
      <c r="K1220" s="35">
        <v>4.7413675620467401</v>
      </c>
      <c r="L1220" s="35">
        <v>14.781571342235278</v>
      </c>
      <c r="M1220" s="58" t="s">
        <v>24</v>
      </c>
      <c r="N1220" s="7">
        <v>11.333333333333334</v>
      </c>
      <c r="O1220" s="7" t="s">
        <v>180</v>
      </c>
      <c r="P1220" s="7" t="s">
        <v>180</v>
      </c>
    </row>
    <row r="1221" spans="1:16" x14ac:dyDescent="0.25">
      <c r="A1221" s="2" t="s">
        <v>183</v>
      </c>
      <c r="B1221" s="2" t="s">
        <v>191</v>
      </c>
      <c r="C1221" s="6" t="s">
        <v>138</v>
      </c>
      <c r="D1221" s="2" t="s">
        <v>112</v>
      </c>
      <c r="E1221" s="2"/>
      <c r="F1221" s="35">
        <v>5.3</v>
      </c>
      <c r="G1221" s="35">
        <v>119.69251850505066</v>
      </c>
      <c r="H1221" s="35">
        <v>-8.77503956593808</v>
      </c>
      <c r="I1221" s="35">
        <v>0.14717905849992161</v>
      </c>
      <c r="J1221" s="35">
        <v>1.624644461493381E-3</v>
      </c>
      <c r="K1221" s="35">
        <v>0.95429959604879888</v>
      </c>
      <c r="L1221" s="35">
        <v>14.792089696740478</v>
      </c>
      <c r="M1221" s="58" t="s">
        <v>24</v>
      </c>
      <c r="N1221" s="7">
        <v>11.333333333333334</v>
      </c>
      <c r="O1221" s="7" t="s">
        <v>180</v>
      </c>
      <c r="P1221" s="7" t="s">
        <v>180</v>
      </c>
    </row>
    <row r="1222" spans="1:16" x14ac:dyDescent="0.25">
      <c r="A1222" s="2" t="s">
        <v>183</v>
      </c>
      <c r="B1222" s="2" t="s">
        <v>191</v>
      </c>
      <c r="C1222" s="6" t="s">
        <v>138</v>
      </c>
      <c r="D1222" s="2" t="s">
        <v>112</v>
      </c>
      <c r="E1222" s="2"/>
      <c r="F1222" s="35">
        <v>5.4149169609489114</v>
      </c>
      <c r="G1222" s="35">
        <v>119.74725952116617</v>
      </c>
      <c r="H1222" s="35">
        <v>-8.77503956593808</v>
      </c>
      <c r="I1222" s="35">
        <v>0.14717905849992161</v>
      </c>
      <c r="J1222" s="35">
        <v>1.624644461493381E-3</v>
      </c>
      <c r="K1222" s="35">
        <v>0.93738622593066567</v>
      </c>
      <c r="L1222" s="35">
        <v>15.800490575864538</v>
      </c>
      <c r="M1222" s="58" t="s">
        <v>24</v>
      </c>
      <c r="N1222" s="7">
        <v>11.333333333333334</v>
      </c>
      <c r="O1222" s="7" t="s">
        <v>180</v>
      </c>
      <c r="P1222" s="7" t="s">
        <v>180</v>
      </c>
    </row>
    <row r="1223" spans="1:16" x14ac:dyDescent="0.25">
      <c r="A1223" s="2" t="s">
        <v>183</v>
      </c>
      <c r="B1223" s="2" t="s">
        <v>191</v>
      </c>
      <c r="C1223" s="6" t="s">
        <v>138</v>
      </c>
      <c r="D1223" s="2" t="s">
        <v>112</v>
      </c>
      <c r="E1223" s="2"/>
      <c r="F1223" s="35">
        <v>10.829833921897823</v>
      </c>
      <c r="G1223" s="35">
        <v>122.32667037728167</v>
      </c>
      <c r="H1223" s="35">
        <v>-8.77503956593808</v>
      </c>
      <c r="I1223" s="35">
        <v>0.14717905849992161</v>
      </c>
      <c r="J1223" s="35">
        <v>1.624644461493381E-3</v>
      </c>
      <c r="K1223" s="35">
        <v>0.1404238457629485</v>
      </c>
      <c r="L1223" s="35">
        <v>63.316601154460415</v>
      </c>
      <c r="M1223" s="58" t="s">
        <v>23</v>
      </c>
      <c r="N1223" s="7">
        <v>11.333333333333334</v>
      </c>
      <c r="O1223" s="7" t="s">
        <v>180</v>
      </c>
      <c r="P1223" s="7" t="s">
        <v>180</v>
      </c>
    </row>
    <row r="1224" spans="1:16" x14ac:dyDescent="0.25">
      <c r="A1224" s="2" t="s">
        <v>183</v>
      </c>
      <c r="B1224" s="2" t="s">
        <v>191</v>
      </c>
      <c r="C1224" s="6" t="s">
        <v>138</v>
      </c>
      <c r="D1224" s="2" t="s">
        <v>113</v>
      </c>
      <c r="E1224" s="2"/>
      <c r="F1224" s="35">
        <v>0</v>
      </c>
      <c r="G1224" s="35">
        <v>25.414643791092423</v>
      </c>
      <c r="H1224" s="35">
        <v>-5.4043261844179948</v>
      </c>
      <c r="I1224" s="35">
        <v>-13.971970813204635</v>
      </c>
      <c r="J1224" s="35">
        <v>2.5425625677815231E-2</v>
      </c>
      <c r="K1224" s="35">
        <v>-22.670092693058706</v>
      </c>
      <c r="L1224" s="35">
        <v>-20.262157027024262</v>
      </c>
      <c r="M1224" s="58" t="s">
        <v>22</v>
      </c>
      <c r="N1224" s="7">
        <v>11.333333333333334</v>
      </c>
      <c r="O1224" s="7" t="s">
        <v>180</v>
      </c>
      <c r="P1224" s="7" t="s">
        <v>180</v>
      </c>
    </row>
    <row r="1225" spans="1:16" x14ac:dyDescent="0.25">
      <c r="A1225" s="2" t="s">
        <v>183</v>
      </c>
      <c r="B1225" s="2" t="s">
        <v>191</v>
      </c>
      <c r="C1225" s="6" t="s">
        <v>138</v>
      </c>
      <c r="D1225" s="2" t="s">
        <v>113</v>
      </c>
      <c r="E1225" s="2"/>
      <c r="F1225" s="35">
        <v>0.29999999999999988</v>
      </c>
      <c r="G1225" s="35">
        <v>25.557549631092417</v>
      </c>
      <c r="H1225" s="35">
        <v>-5.4043261844179948</v>
      </c>
      <c r="I1225" s="35">
        <v>-13.971970813204635</v>
      </c>
      <c r="J1225" s="35">
        <v>2.5425625677815231E-2</v>
      </c>
      <c r="K1225" s="35">
        <v>-18.478501449097312</v>
      </c>
      <c r="L1225" s="35">
        <v>-18.640859171698867</v>
      </c>
      <c r="M1225" s="58" t="s">
        <v>22</v>
      </c>
      <c r="N1225" s="7">
        <v>11.333333333333334</v>
      </c>
      <c r="O1225" s="7" t="s">
        <v>180</v>
      </c>
      <c r="P1225" s="7" t="s">
        <v>180</v>
      </c>
    </row>
    <row r="1226" spans="1:16" x14ac:dyDescent="0.25">
      <c r="A1226" s="2" t="s">
        <v>183</v>
      </c>
      <c r="B1226" s="2" t="s">
        <v>191</v>
      </c>
      <c r="C1226" s="6" t="s">
        <v>138</v>
      </c>
      <c r="D1226" s="2" t="s">
        <v>113</v>
      </c>
      <c r="E1226" s="2"/>
      <c r="F1226" s="35">
        <v>0.29999999999999988</v>
      </c>
      <c r="G1226" s="35">
        <v>72.587189855510758</v>
      </c>
      <c r="H1226" s="35">
        <v>-5.3028654121041479</v>
      </c>
      <c r="I1226" s="35">
        <v>-2.2614494808660246</v>
      </c>
      <c r="J1226" s="35">
        <v>-2.7137996001189157E-3</v>
      </c>
      <c r="K1226" s="35">
        <v>-5.23490106690525</v>
      </c>
      <c r="L1226" s="35">
        <v>-18.14075178614787</v>
      </c>
      <c r="M1226" s="58" t="s">
        <v>22</v>
      </c>
      <c r="N1226" s="7">
        <v>11.333333333333334</v>
      </c>
      <c r="O1226" s="7" t="s">
        <v>180</v>
      </c>
      <c r="P1226" s="7" t="s">
        <v>180</v>
      </c>
    </row>
    <row r="1227" spans="1:16" x14ac:dyDescent="0.25">
      <c r="A1227" s="2" t="s">
        <v>183</v>
      </c>
      <c r="B1227" s="2" t="s">
        <v>191</v>
      </c>
      <c r="C1227" s="6" t="s">
        <v>138</v>
      </c>
      <c r="D1227" s="2" t="s">
        <v>113</v>
      </c>
      <c r="E1227" s="2"/>
      <c r="F1227" s="35">
        <v>5.3</v>
      </c>
      <c r="G1227" s="35">
        <v>74.968953855510776</v>
      </c>
      <c r="H1227" s="35">
        <v>-5.3028654121041479</v>
      </c>
      <c r="I1227" s="35">
        <v>-2.2614494808660246</v>
      </c>
      <c r="J1227" s="35">
        <v>-2.7137996001189157E-3</v>
      </c>
      <c r="K1227" s="35">
        <v>6.0723463374248734</v>
      </c>
      <c r="L1227" s="35">
        <v>8.3735752743728717</v>
      </c>
      <c r="M1227" s="58" t="s">
        <v>24</v>
      </c>
      <c r="N1227" s="7">
        <v>11.333333333333334</v>
      </c>
      <c r="O1227" s="7" t="s">
        <v>180</v>
      </c>
      <c r="P1227" s="7" t="s">
        <v>180</v>
      </c>
    </row>
    <row r="1228" spans="1:16" x14ac:dyDescent="0.25">
      <c r="A1228" s="2" t="s">
        <v>183</v>
      </c>
      <c r="B1228" s="2" t="s">
        <v>191</v>
      </c>
      <c r="C1228" s="6" t="s">
        <v>138</v>
      </c>
      <c r="D1228" s="2" t="s">
        <v>113</v>
      </c>
      <c r="E1228" s="2"/>
      <c r="F1228" s="35">
        <v>5.3</v>
      </c>
      <c r="G1228" s="35">
        <v>48.831104322711198</v>
      </c>
      <c r="H1228" s="35">
        <v>-5.4018625791529855</v>
      </c>
      <c r="I1228" s="35">
        <v>0.33087928951878587</v>
      </c>
      <c r="J1228" s="35">
        <v>1.4582884584138111E-3</v>
      </c>
      <c r="K1228" s="35">
        <v>2.0626935213682702</v>
      </c>
      <c r="L1228" s="35">
        <v>8.3794326395581411</v>
      </c>
      <c r="M1228" s="58" t="s">
        <v>24</v>
      </c>
      <c r="N1228" s="7">
        <v>11.333333333333334</v>
      </c>
      <c r="O1228" s="7" t="s">
        <v>180</v>
      </c>
      <c r="P1228" s="7" t="s">
        <v>180</v>
      </c>
    </row>
    <row r="1229" spans="1:16" x14ac:dyDescent="0.25">
      <c r="A1229" s="2" t="s">
        <v>183</v>
      </c>
      <c r="B1229" s="2" t="s">
        <v>191</v>
      </c>
      <c r="C1229" s="6" t="s">
        <v>138</v>
      </c>
      <c r="D1229" s="2" t="s">
        <v>113</v>
      </c>
      <c r="E1229" s="2"/>
      <c r="F1229" s="35">
        <v>5.4149169609489114</v>
      </c>
      <c r="G1229" s="35">
        <v>48.885845338826712</v>
      </c>
      <c r="H1229" s="35">
        <v>-5.4018625791529855</v>
      </c>
      <c r="I1229" s="35">
        <v>0.33087928951878587</v>
      </c>
      <c r="J1229" s="35">
        <v>1.4582884584138111E-3</v>
      </c>
      <c r="K1229" s="35">
        <v>2.0246698789758364</v>
      </c>
      <c r="L1229" s="35">
        <v>9.0001982706180481</v>
      </c>
      <c r="M1229" s="58" t="s">
        <v>24</v>
      </c>
      <c r="N1229" s="7">
        <v>11.333333333333334</v>
      </c>
      <c r="O1229" s="7" t="s">
        <v>180</v>
      </c>
      <c r="P1229" s="7" t="s">
        <v>180</v>
      </c>
    </row>
    <row r="1230" spans="1:16" x14ac:dyDescent="0.25">
      <c r="A1230" s="2" t="s">
        <v>183</v>
      </c>
      <c r="B1230" s="2" t="s">
        <v>191</v>
      </c>
      <c r="C1230" s="6" t="s">
        <v>138</v>
      </c>
      <c r="D1230" s="2" t="s">
        <v>113</v>
      </c>
      <c r="E1230" s="2"/>
      <c r="F1230" s="35">
        <v>10.829833921897823</v>
      </c>
      <c r="G1230" s="35">
        <v>51.465256194942214</v>
      </c>
      <c r="H1230" s="35">
        <v>-5.4018625791529855</v>
      </c>
      <c r="I1230" s="35">
        <v>0.33087928951878587</v>
      </c>
      <c r="J1230" s="35">
        <v>1.4582884584138111E-3</v>
      </c>
      <c r="K1230" s="35">
        <v>0.23298600213383777</v>
      </c>
      <c r="L1230" s="35">
        <v>38.25083557118878</v>
      </c>
      <c r="M1230" s="58" t="s">
        <v>23</v>
      </c>
      <c r="N1230" s="7">
        <v>11.333333333333334</v>
      </c>
      <c r="O1230" s="7" t="s">
        <v>180</v>
      </c>
      <c r="P1230" s="7" t="s">
        <v>180</v>
      </c>
    </row>
    <row r="1231" spans="1:16" x14ac:dyDescent="0.25">
      <c r="A1231" s="2" t="s">
        <v>183</v>
      </c>
      <c r="B1231" s="2" t="s">
        <v>191</v>
      </c>
      <c r="C1231" s="6" t="s">
        <v>138</v>
      </c>
      <c r="D1231" s="2" t="s">
        <v>114</v>
      </c>
      <c r="E1231" s="2"/>
      <c r="F1231" s="35">
        <v>0</v>
      </c>
      <c r="G1231" s="35">
        <v>63.319572440506235</v>
      </c>
      <c r="H1231" s="35">
        <v>-3.4190642396367412</v>
      </c>
      <c r="I1231" s="35">
        <v>8.9099549888063461</v>
      </c>
      <c r="J1231" s="35">
        <v>1.4836579682661328E-2</v>
      </c>
      <c r="K1231" s="35">
        <v>13.64211824895272</v>
      </c>
      <c r="L1231" s="35">
        <v>-12.254961758604571</v>
      </c>
      <c r="M1231" s="58" t="s">
        <v>22</v>
      </c>
      <c r="N1231" s="7">
        <v>11.333333333333334</v>
      </c>
      <c r="O1231" s="7" t="s">
        <v>180</v>
      </c>
      <c r="P1231" s="7" t="s">
        <v>180</v>
      </c>
    </row>
    <row r="1232" spans="1:16" x14ac:dyDescent="0.25">
      <c r="A1232" s="2" t="s">
        <v>183</v>
      </c>
      <c r="B1232" s="2" t="s">
        <v>191</v>
      </c>
      <c r="C1232" s="6" t="s">
        <v>138</v>
      </c>
      <c r="D1232" s="2" t="s">
        <v>114</v>
      </c>
      <c r="E1232" s="2"/>
      <c r="F1232" s="35">
        <v>0.29999999999999988</v>
      </c>
      <c r="G1232" s="35">
        <v>63.462478280506232</v>
      </c>
      <c r="H1232" s="35">
        <v>-3.4190642396367412</v>
      </c>
      <c r="I1232" s="35">
        <v>8.9099549888063461</v>
      </c>
      <c r="J1232" s="35">
        <v>1.4836579682661328E-2</v>
      </c>
      <c r="K1232" s="35">
        <v>10.969131752310817</v>
      </c>
      <c r="L1232" s="35">
        <v>-11.229242486713552</v>
      </c>
      <c r="M1232" s="58" t="s">
        <v>22</v>
      </c>
      <c r="N1232" s="7">
        <v>11.333333333333334</v>
      </c>
      <c r="O1232" s="7" t="s">
        <v>180</v>
      </c>
      <c r="P1232" s="7" t="s">
        <v>180</v>
      </c>
    </row>
    <row r="1233" spans="1:16" x14ac:dyDescent="0.25">
      <c r="A1233" s="2" t="s">
        <v>183</v>
      </c>
      <c r="B1233" s="2" t="s">
        <v>191</v>
      </c>
      <c r="C1233" s="6" t="s">
        <v>138</v>
      </c>
      <c r="D1233" s="2" t="s">
        <v>114</v>
      </c>
      <c r="E1233" s="2"/>
      <c r="F1233" s="35">
        <v>0.29999999999999988</v>
      </c>
      <c r="G1233" s="35">
        <v>16.155700408639806</v>
      </c>
      <c r="H1233" s="35">
        <v>-3.360104806699495</v>
      </c>
      <c r="I1233" s="35">
        <v>1.2706060169806204</v>
      </c>
      <c r="J1233" s="35">
        <v>-1.5136206702040696E-3</v>
      </c>
      <c r="K1233" s="35">
        <v>3.1867597467313327</v>
      </c>
      <c r="L1233" s="35">
        <v>-10.939364680394476</v>
      </c>
      <c r="M1233" s="58" t="s">
        <v>22</v>
      </c>
      <c r="N1233" s="7">
        <v>11.333333333333334</v>
      </c>
      <c r="O1233" s="7" t="s">
        <v>180</v>
      </c>
      <c r="P1233" s="7" t="s">
        <v>180</v>
      </c>
    </row>
    <row r="1234" spans="1:16" x14ac:dyDescent="0.25">
      <c r="A1234" s="2" t="s">
        <v>183</v>
      </c>
      <c r="B1234" s="2" t="s">
        <v>191</v>
      </c>
      <c r="C1234" s="6" t="s">
        <v>138</v>
      </c>
      <c r="D1234" s="2" t="s">
        <v>114</v>
      </c>
      <c r="E1234" s="2"/>
      <c r="F1234" s="35">
        <v>5.3</v>
      </c>
      <c r="G1234" s="35">
        <v>18.537464408639813</v>
      </c>
      <c r="H1234" s="35">
        <v>-3.360104806699495</v>
      </c>
      <c r="I1234" s="35">
        <v>1.2706060169806204</v>
      </c>
      <c r="J1234" s="35">
        <v>-1.5136206702040696E-3</v>
      </c>
      <c r="K1234" s="35">
        <v>-3.1662703381717674</v>
      </c>
      <c r="L1234" s="35">
        <v>5.8611593531029982</v>
      </c>
      <c r="M1234" s="58" t="s">
        <v>24</v>
      </c>
      <c r="N1234" s="7">
        <v>11.333333333333334</v>
      </c>
      <c r="O1234" s="7" t="s">
        <v>180</v>
      </c>
      <c r="P1234" s="7" t="s">
        <v>180</v>
      </c>
    </row>
    <row r="1235" spans="1:16" x14ac:dyDescent="0.25">
      <c r="A1235" s="2" t="s">
        <v>183</v>
      </c>
      <c r="B1235" s="2" t="s">
        <v>191</v>
      </c>
      <c r="C1235" s="6" t="s">
        <v>138</v>
      </c>
      <c r="D1235" s="2" t="s">
        <v>114</v>
      </c>
      <c r="E1235" s="2"/>
      <c r="F1235" s="35">
        <v>5.3</v>
      </c>
      <c r="G1235" s="35">
        <v>55.218544466439859</v>
      </c>
      <c r="H1235" s="35">
        <v>-3.4178670256608656</v>
      </c>
      <c r="I1235" s="35">
        <v>-0.29961282107058446</v>
      </c>
      <c r="J1235" s="35">
        <v>5.4932710571359538E-4</v>
      </c>
      <c r="K1235" s="35">
        <v>-1.7400045681886742</v>
      </c>
      <c r="L1235" s="35">
        <v>5.8653589944162192</v>
      </c>
      <c r="M1235" s="58" t="s">
        <v>24</v>
      </c>
      <c r="N1235" s="7">
        <v>11.333333333333334</v>
      </c>
      <c r="O1235" s="7" t="s">
        <v>180</v>
      </c>
      <c r="P1235" s="7" t="s">
        <v>180</v>
      </c>
    </row>
    <row r="1236" spans="1:16" x14ac:dyDescent="0.25">
      <c r="A1236" s="2" t="s">
        <v>183</v>
      </c>
      <c r="B1236" s="2" t="s">
        <v>191</v>
      </c>
      <c r="C1236" s="6" t="s">
        <v>138</v>
      </c>
      <c r="D1236" s="2" t="s">
        <v>114</v>
      </c>
      <c r="E1236" s="2"/>
      <c r="F1236" s="35">
        <v>5.4149169609489114</v>
      </c>
      <c r="G1236" s="35">
        <v>55.273285482555373</v>
      </c>
      <c r="H1236" s="35">
        <v>-3.4178670256608656</v>
      </c>
      <c r="I1236" s="35">
        <v>-0.29961282107058446</v>
      </c>
      <c r="J1236" s="35">
        <v>5.4932710571359538E-4</v>
      </c>
      <c r="K1236" s="35">
        <v>-1.7055739733299129</v>
      </c>
      <c r="L1236" s="35">
        <v>6.25812988593266</v>
      </c>
      <c r="M1236" s="58" t="s">
        <v>24</v>
      </c>
      <c r="N1236" s="7">
        <v>11.333333333333334</v>
      </c>
      <c r="O1236" s="7" t="s">
        <v>180</v>
      </c>
      <c r="P1236" s="7" t="s">
        <v>180</v>
      </c>
    </row>
    <row r="1237" spans="1:16" x14ac:dyDescent="0.25">
      <c r="A1237" s="2" t="s">
        <v>183</v>
      </c>
      <c r="B1237" s="2" t="s">
        <v>191</v>
      </c>
      <c r="C1237" s="6" t="s">
        <v>138</v>
      </c>
      <c r="D1237" s="2" t="s">
        <v>114</v>
      </c>
      <c r="E1237" s="2"/>
      <c r="F1237" s="35">
        <v>10.829833921897823</v>
      </c>
      <c r="G1237" s="35">
        <v>57.852696338670867</v>
      </c>
      <c r="H1237" s="35">
        <v>-3.4178670256608656</v>
      </c>
      <c r="I1237" s="35">
        <v>-0.29961282107058446</v>
      </c>
      <c r="J1237" s="35">
        <v>5.4932710571359538E-4</v>
      </c>
      <c r="K1237" s="35">
        <v>-8.3195426797054467E-2</v>
      </c>
      <c r="L1237" s="35">
        <v>24.765596013451677</v>
      </c>
      <c r="M1237" s="58" t="s">
        <v>23</v>
      </c>
      <c r="N1237" s="7">
        <v>11.333333333333334</v>
      </c>
      <c r="O1237" s="7" t="s">
        <v>180</v>
      </c>
      <c r="P1237" s="7" t="s">
        <v>180</v>
      </c>
    </row>
    <row r="1238" spans="1:16" x14ac:dyDescent="0.25">
      <c r="A1238" s="2" t="s">
        <v>183</v>
      </c>
      <c r="B1238" s="2" t="s">
        <v>191</v>
      </c>
      <c r="C1238" s="6" t="s">
        <v>138</v>
      </c>
      <c r="D1238" s="2" t="s">
        <v>115</v>
      </c>
      <c r="E1238" s="2"/>
      <c r="F1238" s="35">
        <v>0</v>
      </c>
      <c r="G1238" s="35">
        <v>-12.733501896087995</v>
      </c>
      <c r="H1238" s="35">
        <v>-8.8259344858936384E-2</v>
      </c>
      <c r="I1238" s="35">
        <v>4.1130562086181435</v>
      </c>
      <c r="J1238" s="35">
        <v>2.1261117568740951E-3</v>
      </c>
      <c r="K1238" s="35">
        <v>7.1479198779116544</v>
      </c>
      <c r="L1238" s="35">
        <v>-0.95373720254702465</v>
      </c>
      <c r="M1238" s="58" t="s">
        <v>22</v>
      </c>
      <c r="N1238" s="7">
        <v>11.333333333333334</v>
      </c>
      <c r="O1238" s="7" t="s">
        <v>180</v>
      </c>
      <c r="P1238" s="7" t="s">
        <v>180</v>
      </c>
    </row>
    <row r="1239" spans="1:16" x14ac:dyDescent="0.25">
      <c r="A1239" s="2" t="s">
        <v>183</v>
      </c>
      <c r="B1239" s="2" t="s">
        <v>191</v>
      </c>
      <c r="C1239" s="6" t="s">
        <v>138</v>
      </c>
      <c r="D1239" s="2" t="s">
        <v>115</v>
      </c>
      <c r="E1239" s="2"/>
      <c r="F1239" s="35">
        <v>0.29999999999999988</v>
      </c>
      <c r="G1239" s="35">
        <v>-12.590596056088003</v>
      </c>
      <c r="H1239" s="35">
        <v>-8.8259344858936384E-2</v>
      </c>
      <c r="I1239" s="35">
        <v>4.1130562086181435</v>
      </c>
      <c r="J1239" s="35">
        <v>2.1261117568740951E-3</v>
      </c>
      <c r="K1239" s="35">
        <v>5.9140030153262115</v>
      </c>
      <c r="L1239" s="35">
        <v>-0.92725939908934263</v>
      </c>
      <c r="M1239" s="58" t="s">
        <v>22</v>
      </c>
      <c r="N1239" s="7">
        <v>11.333333333333334</v>
      </c>
      <c r="O1239" s="7" t="s">
        <v>180</v>
      </c>
      <c r="P1239" s="7" t="s">
        <v>180</v>
      </c>
    </row>
    <row r="1240" spans="1:16" x14ac:dyDescent="0.25">
      <c r="A1240" s="2" t="s">
        <v>183</v>
      </c>
      <c r="B1240" s="2" t="s">
        <v>191</v>
      </c>
      <c r="C1240" s="6" t="s">
        <v>138</v>
      </c>
      <c r="D1240" s="2" t="s">
        <v>115</v>
      </c>
      <c r="E1240" s="2"/>
      <c r="F1240" s="35">
        <v>0.29999999999999988</v>
      </c>
      <c r="G1240" s="35">
        <v>-23.745244294686252</v>
      </c>
      <c r="H1240" s="35">
        <v>-8.0310878814148945E-2</v>
      </c>
      <c r="I1240" s="35">
        <v>0.70604757207528024</v>
      </c>
      <c r="J1240" s="35">
        <v>-1.6596518053819167E-4</v>
      </c>
      <c r="K1240" s="35">
        <v>1.6964940950538643</v>
      </c>
      <c r="L1240" s="35">
        <v>-0.88713272462618054</v>
      </c>
      <c r="M1240" s="58" t="s">
        <v>22</v>
      </c>
      <c r="N1240" s="7">
        <v>11.333333333333334</v>
      </c>
      <c r="O1240" s="7" t="s">
        <v>180</v>
      </c>
      <c r="P1240" s="7" t="s">
        <v>180</v>
      </c>
    </row>
    <row r="1241" spans="1:16" x14ac:dyDescent="0.25">
      <c r="A1241" s="2" t="s">
        <v>183</v>
      </c>
      <c r="B1241" s="2" t="s">
        <v>191</v>
      </c>
      <c r="C1241" s="6" t="s">
        <v>138</v>
      </c>
      <c r="D1241" s="2" t="s">
        <v>115</v>
      </c>
      <c r="E1241" s="2"/>
      <c r="F1241" s="35">
        <v>5.3</v>
      </c>
      <c r="G1241" s="35">
        <v>-21.363480294686244</v>
      </c>
      <c r="H1241" s="35">
        <v>-8.0310878814148945E-2</v>
      </c>
      <c r="I1241" s="35">
        <v>0.70604757207528024</v>
      </c>
      <c r="J1241" s="35">
        <v>-1.6596518053819167E-4</v>
      </c>
      <c r="K1241" s="35">
        <v>-1.833743765322537</v>
      </c>
      <c r="L1241" s="35">
        <v>-0.48557833055543703</v>
      </c>
      <c r="M1241" s="58" t="s">
        <v>24</v>
      </c>
      <c r="N1241" s="7">
        <v>11.333333333333334</v>
      </c>
      <c r="O1241" s="7" t="s">
        <v>180</v>
      </c>
      <c r="P1241" s="7" t="s">
        <v>180</v>
      </c>
    </row>
    <row r="1242" spans="1:16" x14ac:dyDescent="0.25">
      <c r="A1242" s="2" t="s">
        <v>183</v>
      </c>
      <c r="B1242" s="2" t="s">
        <v>191</v>
      </c>
      <c r="C1242" s="6" t="s">
        <v>138</v>
      </c>
      <c r="D1242" s="2" t="s">
        <v>115</v>
      </c>
      <c r="E1242" s="2"/>
      <c r="F1242" s="35">
        <v>5.3</v>
      </c>
      <c r="G1242" s="35">
        <v>-15.597498627462626</v>
      </c>
      <c r="H1242" s="35">
        <v>-8.8338287719274364E-2</v>
      </c>
      <c r="I1242" s="35">
        <v>-0.11587476175941337</v>
      </c>
      <c r="J1242" s="35">
        <v>3.9176262679464758E-4</v>
      </c>
      <c r="K1242" s="35">
        <v>-0.63137789986055115</v>
      </c>
      <c r="L1242" s="35">
        <v>-0.48599831479443506</v>
      </c>
      <c r="M1242" s="58" t="s">
        <v>24</v>
      </c>
      <c r="N1242" s="7">
        <v>11.333333333333334</v>
      </c>
      <c r="O1242" s="7" t="s">
        <v>180</v>
      </c>
      <c r="P1242" s="7" t="s">
        <v>180</v>
      </c>
    </row>
    <row r="1243" spans="1:16" x14ac:dyDescent="0.25">
      <c r="A1243" s="2" t="s">
        <v>183</v>
      </c>
      <c r="B1243" s="2" t="s">
        <v>191</v>
      </c>
      <c r="C1243" s="6" t="s">
        <v>138</v>
      </c>
      <c r="D1243" s="2" t="s">
        <v>115</v>
      </c>
      <c r="E1243" s="2"/>
      <c r="F1243" s="35">
        <v>5.4149169609489114</v>
      </c>
      <c r="G1243" s="35">
        <v>-15.542757611347112</v>
      </c>
      <c r="H1243" s="35">
        <v>-8.8338287719274364E-2</v>
      </c>
      <c r="I1243" s="35">
        <v>-0.11587476175941337</v>
      </c>
      <c r="J1243" s="35">
        <v>3.9176262679464758E-4</v>
      </c>
      <c r="K1243" s="35">
        <v>-0.61806192438848018</v>
      </c>
      <c r="L1243" s="35">
        <v>-0.4758467472343062</v>
      </c>
      <c r="M1243" s="58" t="s">
        <v>24</v>
      </c>
      <c r="N1243" s="7">
        <v>11.333333333333334</v>
      </c>
      <c r="O1243" s="7" t="s">
        <v>180</v>
      </c>
      <c r="P1243" s="7" t="s">
        <v>180</v>
      </c>
    </row>
    <row r="1244" spans="1:16" x14ac:dyDescent="0.25">
      <c r="A1244" s="2" t="s">
        <v>183</v>
      </c>
      <c r="B1244" s="2" t="s">
        <v>191</v>
      </c>
      <c r="C1244" s="6" t="s">
        <v>138</v>
      </c>
      <c r="D1244" s="2" t="s">
        <v>115</v>
      </c>
      <c r="E1244" s="2"/>
      <c r="F1244" s="35">
        <v>10.829833921897823</v>
      </c>
      <c r="G1244" s="35">
        <v>-12.963346755231612</v>
      </c>
      <c r="H1244" s="35">
        <v>-8.8338287719274364E-2</v>
      </c>
      <c r="I1244" s="35">
        <v>-0.11587476175941337</v>
      </c>
      <c r="J1244" s="35">
        <v>3.9176262679464758E-4</v>
      </c>
      <c r="K1244" s="35">
        <v>9.3902884084813964E-3</v>
      </c>
      <c r="L1244" s="35">
        <v>2.4977452379763118E-3</v>
      </c>
      <c r="M1244" s="58" t="s">
        <v>23</v>
      </c>
      <c r="N1244" s="7">
        <v>11.333333333333334</v>
      </c>
      <c r="O1244" s="7" t="s">
        <v>180</v>
      </c>
      <c r="P1244" s="7" t="s">
        <v>180</v>
      </c>
    </row>
    <row r="1245" spans="1:16" x14ac:dyDescent="0.25">
      <c r="A1245" s="2" t="s">
        <v>183</v>
      </c>
      <c r="B1245" s="2" t="s">
        <v>191</v>
      </c>
      <c r="C1245" s="6" t="s">
        <v>138</v>
      </c>
      <c r="D1245" s="2" t="s">
        <v>116</v>
      </c>
      <c r="E1245" s="2"/>
      <c r="F1245" s="35">
        <v>0</v>
      </c>
      <c r="G1245" s="35">
        <v>55.424885738285916</v>
      </c>
      <c r="H1245" s="35">
        <v>1.2893794045628524</v>
      </c>
      <c r="I1245" s="35">
        <v>11.104204771891139</v>
      </c>
      <c r="J1245" s="35">
        <v>-4.8945876467866703E-2</v>
      </c>
      <c r="K1245" s="35">
        <v>17.270228050849362</v>
      </c>
      <c r="L1245" s="35">
        <v>19.190906796166441</v>
      </c>
      <c r="M1245" s="58" t="s">
        <v>22</v>
      </c>
      <c r="N1245" s="7">
        <v>11.333333333333334</v>
      </c>
      <c r="O1245" s="7" t="s">
        <v>180</v>
      </c>
      <c r="P1245" s="7" t="s">
        <v>180</v>
      </c>
    </row>
    <row r="1246" spans="1:16" x14ac:dyDescent="0.25">
      <c r="A1246" s="2" t="s">
        <v>183</v>
      </c>
      <c r="B1246" s="2" t="s">
        <v>191</v>
      </c>
      <c r="C1246" s="6" t="s">
        <v>138</v>
      </c>
      <c r="D1246" s="2" t="s">
        <v>116</v>
      </c>
      <c r="E1246" s="2"/>
      <c r="F1246" s="35">
        <v>0.29999999999999988</v>
      </c>
      <c r="G1246" s="35">
        <v>55.567791578285906</v>
      </c>
      <c r="H1246" s="35">
        <v>1.2893794045628524</v>
      </c>
      <c r="I1246" s="35">
        <v>11.104204771891139</v>
      </c>
      <c r="J1246" s="35">
        <v>-4.8945876467866703E-2</v>
      </c>
      <c r="K1246" s="35">
        <v>13.938966619282022</v>
      </c>
      <c r="L1246" s="35">
        <v>18.804092974797587</v>
      </c>
      <c r="M1246" s="58" t="s">
        <v>22</v>
      </c>
      <c r="N1246" s="7">
        <v>11.333333333333334</v>
      </c>
      <c r="O1246" s="7" t="s">
        <v>180</v>
      </c>
      <c r="P1246" s="7" t="s">
        <v>180</v>
      </c>
    </row>
    <row r="1247" spans="1:16" x14ac:dyDescent="0.25">
      <c r="A1247" s="2" t="s">
        <v>183</v>
      </c>
      <c r="B1247" s="2" t="s">
        <v>191</v>
      </c>
      <c r="C1247" s="6" t="s">
        <v>138</v>
      </c>
      <c r="D1247" s="2" t="s">
        <v>116</v>
      </c>
      <c r="E1247" s="2"/>
      <c r="F1247" s="35">
        <v>0.29999999999999988</v>
      </c>
      <c r="G1247" s="35">
        <v>1.8757835333745165</v>
      </c>
      <c r="H1247" s="35">
        <v>1.1147921216355201</v>
      </c>
      <c r="I1247" s="35">
        <v>1.6370321919287896</v>
      </c>
      <c r="J1247" s="35">
        <v>2.384648826011295E-3</v>
      </c>
      <c r="K1247" s="35">
        <v>4.02692428242581</v>
      </c>
      <c r="L1247" s="35">
        <v>17.92030634134025</v>
      </c>
      <c r="M1247" s="58" t="s">
        <v>22</v>
      </c>
      <c r="N1247" s="7">
        <v>11.333333333333334</v>
      </c>
      <c r="O1247" s="7" t="s">
        <v>180</v>
      </c>
      <c r="P1247" s="7" t="s">
        <v>180</v>
      </c>
    </row>
    <row r="1248" spans="1:16" x14ac:dyDescent="0.25">
      <c r="A1248" s="2" t="s">
        <v>183</v>
      </c>
      <c r="B1248" s="2" t="s">
        <v>191</v>
      </c>
      <c r="C1248" s="6" t="s">
        <v>138</v>
      </c>
      <c r="D1248" s="2" t="s">
        <v>116</v>
      </c>
      <c r="E1248" s="2"/>
      <c r="F1248" s="35">
        <v>5.3</v>
      </c>
      <c r="G1248" s="35">
        <v>4.2575475333745265</v>
      </c>
      <c r="H1248" s="35">
        <v>1.1147921216355201</v>
      </c>
      <c r="I1248" s="35">
        <v>1.6370321919287896</v>
      </c>
      <c r="J1248" s="35">
        <v>2.384648826011295E-3</v>
      </c>
      <c r="K1248" s="35">
        <v>-4.1582366772181363</v>
      </c>
      <c r="L1248" s="35">
        <v>12.34634573316265</v>
      </c>
      <c r="M1248" s="58" t="s">
        <v>24</v>
      </c>
      <c r="N1248" s="7">
        <v>11.333333333333334</v>
      </c>
      <c r="O1248" s="7" t="s">
        <v>180</v>
      </c>
      <c r="P1248" s="7" t="s">
        <v>180</v>
      </c>
    </row>
    <row r="1249" spans="1:16" x14ac:dyDescent="0.25">
      <c r="A1249" s="2" t="s">
        <v>183</v>
      </c>
      <c r="B1249" s="2" t="s">
        <v>191</v>
      </c>
      <c r="C1249" s="6" t="s">
        <v>138</v>
      </c>
      <c r="D1249" s="2" t="s">
        <v>116</v>
      </c>
      <c r="E1249" s="2"/>
      <c r="F1249" s="35">
        <v>5.3</v>
      </c>
      <c r="G1249" s="35">
        <v>49.120989777352186</v>
      </c>
      <c r="H1249" s="35">
        <v>1.2920994535252222</v>
      </c>
      <c r="I1249" s="35">
        <v>-0.40953570426503311</v>
      </c>
      <c r="J1249" s="35">
        <v>-5.4992688817205105E-4</v>
      </c>
      <c r="K1249" s="35">
        <v>-2.4048006407482032</v>
      </c>
      <c r="L1249" s="35">
        <v>12.356276553453524</v>
      </c>
      <c r="M1249" s="58" t="s">
        <v>24</v>
      </c>
      <c r="N1249" s="7">
        <v>11.333333333333334</v>
      </c>
      <c r="O1249" s="7" t="s">
        <v>180</v>
      </c>
      <c r="P1249" s="7" t="s">
        <v>180</v>
      </c>
    </row>
    <row r="1250" spans="1:16" x14ac:dyDescent="0.25">
      <c r="A1250" s="2" t="s">
        <v>183</v>
      </c>
      <c r="B1250" s="2" t="s">
        <v>191</v>
      </c>
      <c r="C1250" s="6" t="s">
        <v>138</v>
      </c>
      <c r="D1250" s="2" t="s">
        <v>116</v>
      </c>
      <c r="E1250" s="2"/>
      <c r="F1250" s="35">
        <v>5.4149169609489114</v>
      </c>
      <c r="G1250" s="35">
        <v>49.1757307934677</v>
      </c>
      <c r="H1250" s="35">
        <v>1.2920994535252222</v>
      </c>
      <c r="I1250" s="35">
        <v>-0.40953570426503311</v>
      </c>
      <c r="J1250" s="35">
        <v>-5.4992688817205105E-4</v>
      </c>
      <c r="K1250" s="35">
        <v>-2.3577380422139931</v>
      </c>
      <c r="L1250" s="35">
        <v>12.207792411010658</v>
      </c>
      <c r="M1250" s="58" t="s">
        <v>24</v>
      </c>
      <c r="N1250" s="7">
        <v>11.333333333333334</v>
      </c>
      <c r="O1250" s="7" t="s">
        <v>180</v>
      </c>
      <c r="P1250" s="7" t="s">
        <v>180</v>
      </c>
    </row>
    <row r="1251" spans="1:16" x14ac:dyDescent="0.25">
      <c r="A1251" s="2" t="s">
        <v>183</v>
      </c>
      <c r="B1251" s="2" t="s">
        <v>191</v>
      </c>
      <c r="C1251" s="6" t="s">
        <v>138</v>
      </c>
      <c r="D1251" s="2" t="s">
        <v>116</v>
      </c>
      <c r="E1251" s="2"/>
      <c r="F1251" s="35">
        <v>10.829833921897823</v>
      </c>
      <c r="G1251" s="35">
        <v>51.755141649583202</v>
      </c>
      <c r="H1251" s="35">
        <v>1.2920994535252222</v>
      </c>
      <c r="I1251" s="35">
        <v>-0.40953570426503311</v>
      </c>
      <c r="J1251" s="35">
        <v>-5.4992688817205105E-4</v>
      </c>
      <c r="K1251" s="35">
        <v>-0.14013621107510846</v>
      </c>
      <c r="L1251" s="35">
        <v>5.2111811648841151</v>
      </c>
      <c r="M1251" s="58" t="s">
        <v>23</v>
      </c>
      <c r="N1251" s="7">
        <v>11.333333333333334</v>
      </c>
      <c r="O1251" s="7" t="s">
        <v>180</v>
      </c>
      <c r="P1251" s="7" t="s">
        <v>180</v>
      </c>
    </row>
    <row r="1252" spans="1:16" x14ac:dyDescent="0.25">
      <c r="A1252" s="2" t="s">
        <v>183</v>
      </c>
      <c r="B1252" s="2" t="s">
        <v>191</v>
      </c>
      <c r="C1252" s="6" t="s">
        <v>138</v>
      </c>
      <c r="D1252" s="2" t="s">
        <v>117</v>
      </c>
      <c r="E1252" s="2"/>
      <c r="F1252" s="35">
        <v>0</v>
      </c>
      <c r="G1252" s="35">
        <v>-137.41191977035513</v>
      </c>
      <c r="H1252" s="35">
        <v>15.229309476788794</v>
      </c>
      <c r="I1252" s="35">
        <v>5.7869245637439084</v>
      </c>
      <c r="J1252" s="35">
        <v>-0.1567607575436113</v>
      </c>
      <c r="K1252" s="35">
        <v>11.833256548618046</v>
      </c>
      <c r="L1252" s="35">
        <v>85.01509578305415</v>
      </c>
      <c r="M1252" s="58" t="s">
        <v>22</v>
      </c>
      <c r="N1252" s="7">
        <v>11.333333333333334</v>
      </c>
      <c r="O1252" s="7" t="s">
        <v>180</v>
      </c>
      <c r="P1252" s="7" t="s">
        <v>180</v>
      </c>
    </row>
    <row r="1253" spans="1:16" x14ac:dyDescent="0.25">
      <c r="A1253" s="2" t="s">
        <v>183</v>
      </c>
      <c r="B1253" s="2" t="s">
        <v>191</v>
      </c>
      <c r="C1253" s="6" t="s">
        <v>138</v>
      </c>
      <c r="D1253" s="2" t="s">
        <v>117</v>
      </c>
      <c r="E1253" s="2"/>
      <c r="F1253" s="35">
        <v>0.29999999999999988</v>
      </c>
      <c r="G1253" s="35">
        <v>-137.26901393035513</v>
      </c>
      <c r="H1253" s="35">
        <v>15.229309476788794</v>
      </c>
      <c r="I1253" s="35">
        <v>5.7869245637439084</v>
      </c>
      <c r="J1253" s="35">
        <v>-0.1567607575436113</v>
      </c>
      <c r="K1253" s="35">
        <v>10.097179179494876</v>
      </c>
      <c r="L1253" s="35">
        <v>80.446302940017517</v>
      </c>
      <c r="M1253" s="58" t="s">
        <v>22</v>
      </c>
      <c r="N1253" s="7">
        <v>11.333333333333334</v>
      </c>
      <c r="O1253" s="7" t="s">
        <v>180</v>
      </c>
      <c r="P1253" s="7" t="s">
        <v>180</v>
      </c>
    </row>
    <row r="1254" spans="1:16" x14ac:dyDescent="0.25">
      <c r="A1254" s="2" t="s">
        <v>183</v>
      </c>
      <c r="B1254" s="2" t="s">
        <v>191</v>
      </c>
      <c r="C1254" s="6" t="s">
        <v>138</v>
      </c>
      <c r="D1254" s="2" t="s">
        <v>117</v>
      </c>
      <c r="E1254" s="2"/>
      <c r="F1254" s="35">
        <v>0.29999999999999988</v>
      </c>
      <c r="G1254" s="35">
        <v>-124.84320702843137</v>
      </c>
      <c r="H1254" s="35">
        <v>14.648288345326231</v>
      </c>
      <c r="I1254" s="35">
        <v>1.2907468726119093</v>
      </c>
      <c r="J1254" s="35">
        <v>1.0488338805207349E-2</v>
      </c>
      <c r="K1254" s="35">
        <v>2.8073026502664891</v>
      </c>
      <c r="L1254" s="35">
        <v>77.536522238359112</v>
      </c>
      <c r="M1254" s="58" t="s">
        <v>22</v>
      </c>
      <c r="N1254" s="7">
        <v>11.333333333333334</v>
      </c>
      <c r="O1254" s="7" t="s">
        <v>180</v>
      </c>
      <c r="P1254" s="7" t="s">
        <v>180</v>
      </c>
    </row>
    <row r="1255" spans="1:16" x14ac:dyDescent="0.25">
      <c r="A1255" s="2" t="s">
        <v>183</v>
      </c>
      <c r="B1255" s="2" t="s">
        <v>191</v>
      </c>
      <c r="C1255" s="6" t="s">
        <v>138</v>
      </c>
      <c r="D1255" s="2" t="s">
        <v>117</v>
      </c>
      <c r="E1255" s="2"/>
      <c r="F1255" s="35">
        <v>5.3</v>
      </c>
      <c r="G1255" s="35">
        <v>-122.46144302843136</v>
      </c>
      <c r="H1255" s="35">
        <v>14.648288345326231</v>
      </c>
      <c r="I1255" s="35">
        <v>1.2907468726119093</v>
      </c>
      <c r="J1255" s="35">
        <v>1.0488338805207349E-2</v>
      </c>
      <c r="K1255" s="35">
        <v>-3.6464317127930568</v>
      </c>
      <c r="L1255" s="35">
        <v>4.2950805117279716</v>
      </c>
      <c r="M1255" s="58" t="s">
        <v>24</v>
      </c>
      <c r="N1255" s="7">
        <v>11.333333333333334</v>
      </c>
      <c r="O1255" s="7" t="s">
        <v>180</v>
      </c>
      <c r="P1255" s="7" t="s">
        <v>180</v>
      </c>
    </row>
    <row r="1256" spans="1:16" x14ac:dyDescent="0.25">
      <c r="A1256" s="2" t="s">
        <v>183</v>
      </c>
      <c r="B1256" s="2" t="s">
        <v>191</v>
      </c>
      <c r="C1256" s="6" t="s">
        <v>138</v>
      </c>
      <c r="D1256" s="2" t="s">
        <v>117</v>
      </c>
      <c r="E1256" s="2"/>
      <c r="F1256" s="35">
        <v>5.3</v>
      </c>
      <c r="G1256" s="35">
        <v>-137.27715258071697</v>
      </c>
      <c r="H1256" s="35">
        <v>15.230285526010537</v>
      </c>
      <c r="I1256" s="35">
        <v>-0.15709601991280869</v>
      </c>
      <c r="J1256" s="35">
        <v>-1.7526654179845871E-3</v>
      </c>
      <c r="K1256" s="35">
        <v>-0.88256106601639228</v>
      </c>
      <c r="L1256" s="35">
        <v>4.3003673701890088</v>
      </c>
      <c r="M1256" s="58" t="s">
        <v>24</v>
      </c>
      <c r="N1256" s="7">
        <v>11.333333333333334</v>
      </c>
      <c r="O1256" s="7" t="s">
        <v>180</v>
      </c>
      <c r="P1256" s="7" t="s">
        <v>180</v>
      </c>
    </row>
    <row r="1257" spans="1:16" x14ac:dyDescent="0.25">
      <c r="A1257" s="2" t="s">
        <v>183</v>
      </c>
      <c r="B1257" s="2" t="s">
        <v>191</v>
      </c>
      <c r="C1257" s="6" t="s">
        <v>138</v>
      </c>
      <c r="D1257" s="2" t="s">
        <v>117</v>
      </c>
      <c r="E1257" s="2"/>
      <c r="F1257" s="35">
        <v>5.4149169609489114</v>
      </c>
      <c r="G1257" s="35">
        <v>-137.22241156460143</v>
      </c>
      <c r="H1257" s="35">
        <v>15.230285526010537</v>
      </c>
      <c r="I1257" s="35">
        <v>-0.15709601991280869</v>
      </c>
      <c r="J1257" s="35">
        <v>-1.7526654179845871E-3</v>
      </c>
      <c r="K1257" s="35">
        <v>-0.86450806883084275</v>
      </c>
      <c r="L1257" s="35">
        <v>2.5501492431556856</v>
      </c>
      <c r="M1257" s="58" t="s">
        <v>24</v>
      </c>
      <c r="N1257" s="7">
        <v>11.333333333333334</v>
      </c>
      <c r="O1257" s="7" t="s">
        <v>180</v>
      </c>
      <c r="P1257" s="7" t="s">
        <v>180</v>
      </c>
    </row>
    <row r="1258" spans="1:16" x14ac:dyDescent="0.25">
      <c r="A1258" s="2" t="s">
        <v>183</v>
      </c>
      <c r="B1258" s="2" t="s">
        <v>191</v>
      </c>
      <c r="C1258" s="6" t="s">
        <v>138</v>
      </c>
      <c r="D1258" s="2" t="s">
        <v>117</v>
      </c>
      <c r="E1258" s="2"/>
      <c r="F1258" s="35">
        <v>10.829833921897823</v>
      </c>
      <c r="G1258" s="35">
        <v>-134.64300070848591</v>
      </c>
      <c r="H1258" s="35">
        <v>15.230285526010537</v>
      </c>
      <c r="I1258" s="35">
        <v>-0.15709601991280869</v>
      </c>
      <c r="J1258" s="35">
        <v>-1.7526654179845871E-3</v>
      </c>
      <c r="K1258" s="35">
        <v>-1.3846166107407229E-2</v>
      </c>
      <c r="L1258" s="35">
        <v>-79.920582171733443</v>
      </c>
      <c r="M1258" s="58" t="s">
        <v>23</v>
      </c>
      <c r="N1258" s="7">
        <v>11.333333333333334</v>
      </c>
      <c r="O1258" s="7" t="s">
        <v>180</v>
      </c>
      <c r="P1258" s="7" t="s">
        <v>180</v>
      </c>
    </row>
    <row r="1259" spans="1:16" x14ac:dyDescent="0.25">
      <c r="A1259" s="2" t="s">
        <v>183</v>
      </c>
      <c r="B1259" s="2" t="s">
        <v>191</v>
      </c>
      <c r="C1259" s="6" t="s">
        <v>138</v>
      </c>
      <c r="D1259" s="2" t="s">
        <v>118</v>
      </c>
      <c r="E1259" s="2"/>
      <c r="F1259" s="35">
        <v>0</v>
      </c>
      <c r="G1259" s="35">
        <v>56.652059045718012</v>
      </c>
      <c r="H1259" s="35">
        <v>-7.7335969401392122</v>
      </c>
      <c r="I1259" s="35">
        <v>11.052371547631743</v>
      </c>
      <c r="J1259" s="35">
        <v>7.5500686780458931E-2</v>
      </c>
      <c r="K1259" s="35">
        <v>17.166848278562924</v>
      </c>
      <c r="L1259" s="35">
        <v>-41.850468659521646</v>
      </c>
      <c r="M1259" s="58" t="s">
        <v>22</v>
      </c>
      <c r="N1259" s="7">
        <v>11.333333333333334</v>
      </c>
      <c r="O1259" s="7" t="s">
        <v>180</v>
      </c>
      <c r="P1259" s="7" t="s">
        <v>180</v>
      </c>
    </row>
    <row r="1260" spans="1:16" x14ac:dyDescent="0.25">
      <c r="A1260" s="2" t="s">
        <v>183</v>
      </c>
      <c r="B1260" s="2" t="s">
        <v>191</v>
      </c>
      <c r="C1260" s="6" t="s">
        <v>138</v>
      </c>
      <c r="D1260" s="2" t="s">
        <v>118</v>
      </c>
      <c r="E1260" s="2"/>
      <c r="F1260" s="35">
        <v>0.29999999999999988</v>
      </c>
      <c r="G1260" s="35">
        <v>56.794964885718002</v>
      </c>
      <c r="H1260" s="35">
        <v>-7.7335969401392122</v>
      </c>
      <c r="I1260" s="35">
        <v>11.052371547631743</v>
      </c>
      <c r="J1260" s="35">
        <v>7.5500686780458931E-2</v>
      </c>
      <c r="K1260" s="35">
        <v>13.851136814273406</v>
      </c>
      <c r="L1260" s="35">
        <v>-39.530389577479873</v>
      </c>
      <c r="M1260" s="58" t="s">
        <v>22</v>
      </c>
      <c r="N1260" s="7">
        <v>11.333333333333334</v>
      </c>
      <c r="O1260" s="7" t="s">
        <v>180</v>
      </c>
      <c r="P1260" s="7" t="s">
        <v>180</v>
      </c>
    </row>
    <row r="1261" spans="1:16" x14ac:dyDescent="0.25">
      <c r="A1261" s="2" t="s">
        <v>183</v>
      </c>
      <c r="B1261" s="2" t="s">
        <v>191</v>
      </c>
      <c r="C1261" s="6" t="s">
        <v>138</v>
      </c>
      <c r="D1261" s="2" t="s">
        <v>118</v>
      </c>
      <c r="E1261" s="2"/>
      <c r="F1261" s="35">
        <v>0.29999999999999988</v>
      </c>
      <c r="G1261" s="35">
        <v>3.0020167057673093</v>
      </c>
      <c r="H1261" s="35">
        <v>-7.4526325652099921</v>
      </c>
      <c r="I1261" s="35">
        <v>1.6256896572308834</v>
      </c>
      <c r="J1261" s="35">
        <v>-5.2155771839925919E-3</v>
      </c>
      <c r="K1261" s="35">
        <v>4.0027211993744354</v>
      </c>
      <c r="L1261" s="35">
        <v>-38.124394815925484</v>
      </c>
      <c r="M1261" s="58" t="s">
        <v>22</v>
      </c>
      <c r="N1261" s="7">
        <v>11.333333333333334</v>
      </c>
      <c r="O1261" s="7" t="s">
        <v>180</v>
      </c>
      <c r="P1261" s="7" t="s">
        <v>180</v>
      </c>
    </row>
    <row r="1262" spans="1:16" x14ac:dyDescent="0.25">
      <c r="A1262" s="2" t="s">
        <v>183</v>
      </c>
      <c r="B1262" s="2" t="s">
        <v>191</v>
      </c>
      <c r="C1262" s="6" t="s">
        <v>138</v>
      </c>
      <c r="D1262" s="2" t="s">
        <v>118</v>
      </c>
      <c r="E1262" s="2"/>
      <c r="F1262" s="35">
        <v>5.3</v>
      </c>
      <c r="G1262" s="35">
        <v>5.383780705767319</v>
      </c>
      <c r="H1262" s="35">
        <v>-7.4526325652099921</v>
      </c>
      <c r="I1262" s="35">
        <v>1.6256896572308834</v>
      </c>
      <c r="J1262" s="35">
        <v>-5.2155771839925919E-3</v>
      </c>
      <c r="K1262" s="35">
        <v>-4.1257270867799809</v>
      </c>
      <c r="L1262" s="35">
        <v>-0.86123198987553151</v>
      </c>
      <c r="M1262" s="58" t="s">
        <v>24</v>
      </c>
      <c r="N1262" s="7">
        <v>11.333333333333334</v>
      </c>
      <c r="O1262" s="7" t="s">
        <v>180</v>
      </c>
      <c r="P1262" s="7" t="s">
        <v>180</v>
      </c>
    </row>
    <row r="1263" spans="1:16" x14ac:dyDescent="0.25">
      <c r="A1263" s="2" t="s">
        <v>183</v>
      </c>
      <c r="B1263" s="2" t="s">
        <v>191</v>
      </c>
      <c r="C1263" s="6" t="s">
        <v>138</v>
      </c>
      <c r="D1263" s="2" t="s">
        <v>118</v>
      </c>
      <c r="E1263" s="2"/>
      <c r="F1263" s="35">
        <v>5.3</v>
      </c>
      <c r="G1263" s="35">
        <v>50.463529356155682</v>
      </c>
      <c r="H1263" s="35">
        <v>-7.7331880664267381</v>
      </c>
      <c r="I1263" s="35">
        <v>-0.40953043482702628</v>
      </c>
      <c r="J1263" s="35">
        <v>-4.1279039273884617E-4</v>
      </c>
      <c r="K1263" s="35">
        <v>-2.4048013954648053</v>
      </c>
      <c r="L1263" s="35">
        <v>-0.8628935219049908</v>
      </c>
      <c r="M1263" s="58" t="s">
        <v>24</v>
      </c>
      <c r="N1263" s="7">
        <v>11.333333333333334</v>
      </c>
      <c r="O1263" s="7" t="s">
        <v>180</v>
      </c>
      <c r="P1263" s="7" t="s">
        <v>180</v>
      </c>
    </row>
    <row r="1264" spans="1:16" x14ac:dyDescent="0.25">
      <c r="A1264" s="2" t="s">
        <v>183</v>
      </c>
      <c r="B1264" s="2" t="s">
        <v>191</v>
      </c>
      <c r="C1264" s="6" t="s">
        <v>138</v>
      </c>
      <c r="D1264" s="2" t="s">
        <v>118</v>
      </c>
      <c r="E1264" s="2"/>
      <c r="F1264" s="35">
        <v>5.4149169609489114</v>
      </c>
      <c r="G1264" s="35">
        <v>50.518270372271196</v>
      </c>
      <c r="H1264" s="35">
        <v>-7.7331880664267381</v>
      </c>
      <c r="I1264" s="35">
        <v>-0.40953043482702628</v>
      </c>
      <c r="J1264" s="35">
        <v>-4.1279039273884617E-4</v>
      </c>
      <c r="K1264" s="35">
        <v>-2.3577394024783969</v>
      </c>
      <c r="L1264" s="35">
        <v>2.5780949135158205E-2</v>
      </c>
      <c r="M1264" s="58" t="s">
        <v>24</v>
      </c>
      <c r="N1264" s="7">
        <v>11.333333333333334</v>
      </c>
      <c r="O1264" s="7" t="s">
        <v>180</v>
      </c>
      <c r="P1264" s="7" t="s">
        <v>180</v>
      </c>
    </row>
    <row r="1265" spans="1:16" x14ac:dyDescent="0.25">
      <c r="A1265" s="2" t="s">
        <v>183</v>
      </c>
      <c r="B1265" s="2" t="s">
        <v>191</v>
      </c>
      <c r="C1265" s="6" t="s">
        <v>138</v>
      </c>
      <c r="D1265" s="2" t="s">
        <v>118</v>
      </c>
      <c r="E1265" s="2"/>
      <c r="F1265" s="35">
        <v>10.829833921897823</v>
      </c>
      <c r="G1265" s="35">
        <v>53.097681228386691</v>
      </c>
      <c r="H1265" s="35">
        <v>-7.7331880664267381</v>
      </c>
      <c r="I1265" s="35">
        <v>-0.40953043482702628</v>
      </c>
      <c r="J1265" s="35">
        <v>-4.1279039273884617E-4</v>
      </c>
      <c r="K1265" s="35">
        <v>-0.14016610490875037</v>
      </c>
      <c r="L1265" s="35">
        <v>41.900352172237014</v>
      </c>
      <c r="M1265" s="58" t="s">
        <v>23</v>
      </c>
      <c r="N1265" s="7">
        <v>11.333333333333334</v>
      </c>
      <c r="O1265" s="7" t="s">
        <v>180</v>
      </c>
      <c r="P1265" s="7" t="s">
        <v>180</v>
      </c>
    </row>
    <row r="1266" spans="1:16" x14ac:dyDescent="0.25">
      <c r="A1266" s="2" t="s">
        <v>183</v>
      </c>
      <c r="B1266" s="2" t="s">
        <v>191</v>
      </c>
      <c r="C1266" s="6" t="s">
        <v>138</v>
      </c>
      <c r="D1266" s="2" t="s">
        <v>119</v>
      </c>
      <c r="E1266" s="2"/>
      <c r="F1266" s="35">
        <v>0</v>
      </c>
      <c r="G1266" s="35">
        <v>-50.757614905657796</v>
      </c>
      <c r="H1266" s="35">
        <v>-16.441425607839566</v>
      </c>
      <c r="I1266" s="35">
        <v>6.0575502345850394</v>
      </c>
      <c r="J1266" s="35">
        <v>0.17761583688579605</v>
      </c>
      <c r="K1266" s="35">
        <v>10.864080926474484</v>
      </c>
      <c r="L1266" s="35">
        <v>-95.302528969138251</v>
      </c>
      <c r="M1266" s="58" t="s">
        <v>22</v>
      </c>
      <c r="N1266" s="7">
        <v>11.333333333333334</v>
      </c>
      <c r="O1266" s="7" t="s">
        <v>180</v>
      </c>
      <c r="P1266" s="7" t="s">
        <v>180</v>
      </c>
    </row>
    <row r="1267" spans="1:16" x14ac:dyDescent="0.25">
      <c r="A1267" s="2" t="s">
        <v>183</v>
      </c>
      <c r="B1267" s="2" t="s">
        <v>191</v>
      </c>
      <c r="C1267" s="6" t="s">
        <v>138</v>
      </c>
      <c r="D1267" s="2" t="s">
        <v>119</v>
      </c>
      <c r="E1267" s="2"/>
      <c r="F1267" s="35">
        <v>0.29999999999999988</v>
      </c>
      <c r="G1267" s="35">
        <v>-50.614709065657806</v>
      </c>
      <c r="H1267" s="35">
        <v>-16.441425607839566</v>
      </c>
      <c r="I1267" s="35">
        <v>6.0575502345850394</v>
      </c>
      <c r="J1267" s="35">
        <v>0.17761583688579605</v>
      </c>
      <c r="K1267" s="35">
        <v>9.0468158560989718</v>
      </c>
      <c r="L1267" s="35">
        <v>-90.37010128678638</v>
      </c>
      <c r="M1267" s="58" t="s">
        <v>22</v>
      </c>
      <c r="N1267" s="7">
        <v>11.333333333333334</v>
      </c>
      <c r="O1267" s="7" t="s">
        <v>180</v>
      </c>
      <c r="P1267" s="7" t="s">
        <v>180</v>
      </c>
    </row>
    <row r="1268" spans="1:16" x14ac:dyDescent="0.25">
      <c r="A1268" s="2" t="s">
        <v>183</v>
      </c>
      <c r="B1268" s="2" t="s">
        <v>191</v>
      </c>
      <c r="C1268" s="6" t="s">
        <v>138</v>
      </c>
      <c r="D1268" s="2" t="s">
        <v>119</v>
      </c>
      <c r="E1268" s="2"/>
      <c r="F1268" s="35">
        <v>0.29999999999999988</v>
      </c>
      <c r="G1268" s="35">
        <v>-59.989298389823773</v>
      </c>
      <c r="H1268" s="35">
        <v>-15.780605423039184</v>
      </c>
      <c r="I1268" s="35">
        <v>1.1106730366884594</v>
      </c>
      <c r="J1268" s="35">
        <v>-1.2412762492524636E-2</v>
      </c>
      <c r="K1268" s="35">
        <v>2.5639366358884268</v>
      </c>
      <c r="L1268" s="35">
        <v>-87.058491801075405</v>
      </c>
      <c r="M1268" s="58" t="s">
        <v>22</v>
      </c>
      <c r="N1268" s="7">
        <v>11.333333333333334</v>
      </c>
      <c r="O1268" s="7" t="s">
        <v>180</v>
      </c>
      <c r="P1268" s="7" t="s">
        <v>180</v>
      </c>
    </row>
    <row r="1269" spans="1:16" x14ac:dyDescent="0.25">
      <c r="A1269" s="2" t="s">
        <v>183</v>
      </c>
      <c r="B1269" s="2" t="s">
        <v>191</v>
      </c>
      <c r="C1269" s="6" t="s">
        <v>138</v>
      </c>
      <c r="D1269" s="2" t="s">
        <v>119</v>
      </c>
      <c r="E1269" s="2"/>
      <c r="F1269" s="35">
        <v>5.3</v>
      </c>
      <c r="G1269" s="35">
        <v>-57.607534389823769</v>
      </c>
      <c r="H1269" s="35">
        <v>-15.780605423039184</v>
      </c>
      <c r="I1269" s="35">
        <v>1.1106730366884594</v>
      </c>
      <c r="J1269" s="35">
        <v>-1.2412762492524636E-2</v>
      </c>
      <c r="K1269" s="35">
        <v>-2.98942854755387</v>
      </c>
      <c r="L1269" s="35">
        <v>-8.1554646858794886</v>
      </c>
      <c r="M1269" s="58" t="s">
        <v>24</v>
      </c>
      <c r="N1269" s="7">
        <v>11.333333333333334</v>
      </c>
      <c r="O1269" s="7" t="s">
        <v>180</v>
      </c>
      <c r="P1269" s="7" t="s">
        <v>180</v>
      </c>
    </row>
    <row r="1270" spans="1:16" x14ac:dyDescent="0.25">
      <c r="A1270" s="2" t="s">
        <v>183</v>
      </c>
      <c r="B1270" s="2" t="s">
        <v>191</v>
      </c>
      <c r="C1270" s="6" t="s">
        <v>138</v>
      </c>
      <c r="D1270" s="2" t="s">
        <v>119</v>
      </c>
      <c r="E1270" s="2"/>
      <c r="F1270" s="35">
        <v>5.3</v>
      </c>
      <c r="G1270" s="35">
        <v>-51.267567040578243</v>
      </c>
      <c r="H1270" s="35">
        <v>-16.440251306041844</v>
      </c>
      <c r="I1270" s="35">
        <v>-0.20710920825333987</v>
      </c>
      <c r="J1270" s="35">
        <v>6.4195353453991365E-4</v>
      </c>
      <c r="K1270" s="35">
        <v>-1.1838900501000098</v>
      </c>
      <c r="L1270" s="35">
        <v>-8.1642279508402797</v>
      </c>
      <c r="M1270" s="58" t="s">
        <v>24</v>
      </c>
      <c r="N1270" s="7">
        <v>11.333333333333334</v>
      </c>
      <c r="O1270" s="7" t="s">
        <v>180</v>
      </c>
      <c r="P1270" s="7" t="s">
        <v>180</v>
      </c>
    </row>
    <row r="1271" spans="1:16" x14ac:dyDescent="0.25">
      <c r="A1271" s="2" t="s">
        <v>183</v>
      </c>
      <c r="B1271" s="2" t="s">
        <v>191</v>
      </c>
      <c r="C1271" s="6" t="s">
        <v>138</v>
      </c>
      <c r="D1271" s="2" t="s">
        <v>119</v>
      </c>
      <c r="E1271" s="2"/>
      <c r="F1271" s="35">
        <v>5.4149169609489114</v>
      </c>
      <c r="G1271" s="35">
        <v>-51.212826024462728</v>
      </c>
      <c r="H1271" s="35">
        <v>-16.440251306041844</v>
      </c>
      <c r="I1271" s="35">
        <v>-0.20710920825333987</v>
      </c>
      <c r="J1271" s="35">
        <v>6.4195353453991365E-4</v>
      </c>
      <c r="K1271" s="35">
        <v>-1.1600896893030006</v>
      </c>
      <c r="L1271" s="35">
        <v>-6.2749642335135798</v>
      </c>
      <c r="M1271" s="58" t="s">
        <v>24</v>
      </c>
      <c r="N1271" s="7">
        <v>11.333333333333334</v>
      </c>
      <c r="O1271" s="7" t="s">
        <v>180</v>
      </c>
      <c r="P1271" s="7" t="s">
        <v>180</v>
      </c>
    </row>
    <row r="1272" spans="1:16" x14ac:dyDescent="0.25">
      <c r="A1272" s="2" t="s">
        <v>183</v>
      </c>
      <c r="B1272" s="2" t="s">
        <v>191</v>
      </c>
      <c r="C1272" s="6" t="s">
        <v>138</v>
      </c>
      <c r="D1272" s="2" t="s">
        <v>119</v>
      </c>
      <c r="E1272" s="2"/>
      <c r="F1272" s="35">
        <v>10.829833921897823</v>
      </c>
      <c r="G1272" s="35">
        <v>-48.633415168347227</v>
      </c>
      <c r="H1272" s="35">
        <v>-16.440251306041844</v>
      </c>
      <c r="I1272" s="35">
        <v>-0.20710920825333987</v>
      </c>
      <c r="J1272" s="35">
        <v>6.4195353453991365E-4</v>
      </c>
      <c r="K1272" s="35">
        <v>-3.8610524763290792E-2</v>
      </c>
      <c r="L1272" s="35">
        <v>82.747631405834852</v>
      </c>
      <c r="M1272" s="58" t="s">
        <v>23</v>
      </c>
      <c r="N1272" s="7">
        <v>11.333333333333334</v>
      </c>
      <c r="O1272" s="7" t="s">
        <v>180</v>
      </c>
      <c r="P1272" s="7" t="s">
        <v>180</v>
      </c>
    </row>
    <row r="1273" spans="1:16" x14ac:dyDescent="0.25">
      <c r="A1273" s="2" t="s">
        <v>183</v>
      </c>
      <c r="B1273" s="2" t="s">
        <v>191</v>
      </c>
      <c r="C1273" s="6" t="s">
        <v>138</v>
      </c>
      <c r="D1273" s="2" t="s">
        <v>120</v>
      </c>
      <c r="E1273" s="2"/>
      <c r="F1273" s="35">
        <v>0</v>
      </c>
      <c r="G1273" s="35">
        <v>129.33038168400051</v>
      </c>
      <c r="H1273" s="35">
        <v>-10.281204239680388</v>
      </c>
      <c r="I1273" s="35">
        <v>-10.080338359185241</v>
      </c>
      <c r="J1273" s="35">
        <v>4.4225094918992812E-2</v>
      </c>
      <c r="K1273" s="35">
        <v>-18.089599329657439</v>
      </c>
      <c r="L1273" s="35">
        <v>-36.900171737951098</v>
      </c>
      <c r="M1273" s="58" t="s">
        <v>22</v>
      </c>
      <c r="N1273" s="7">
        <v>11.333333333333334</v>
      </c>
      <c r="O1273" s="7" t="s">
        <v>180</v>
      </c>
      <c r="P1273" s="7" t="s">
        <v>180</v>
      </c>
    </row>
    <row r="1274" spans="1:16" x14ac:dyDescent="0.25">
      <c r="A1274" s="2" t="s">
        <v>183</v>
      </c>
      <c r="B1274" s="2" t="s">
        <v>191</v>
      </c>
      <c r="C1274" s="6" t="s">
        <v>138</v>
      </c>
      <c r="D1274" s="2" t="s">
        <v>120</v>
      </c>
      <c r="E1274" s="2"/>
      <c r="F1274" s="35">
        <v>0.29999999999999988</v>
      </c>
      <c r="G1274" s="35">
        <v>129.47328752400051</v>
      </c>
      <c r="H1274" s="35">
        <v>-10.281204239680388</v>
      </c>
      <c r="I1274" s="35">
        <v>-10.080338359185241</v>
      </c>
      <c r="J1274" s="35">
        <v>4.4225094918992812E-2</v>
      </c>
      <c r="K1274" s="35">
        <v>-15.065497821901873</v>
      </c>
      <c r="L1274" s="35">
        <v>-33.815810466046983</v>
      </c>
      <c r="M1274" s="58" t="s">
        <v>22</v>
      </c>
      <c r="N1274" s="7">
        <v>11.333333333333334</v>
      </c>
      <c r="O1274" s="7" t="s">
        <v>180</v>
      </c>
      <c r="P1274" s="7" t="s">
        <v>180</v>
      </c>
    </row>
    <row r="1275" spans="1:16" x14ac:dyDescent="0.25">
      <c r="A1275" s="2" t="s">
        <v>183</v>
      </c>
      <c r="B1275" s="2" t="s">
        <v>191</v>
      </c>
      <c r="C1275" s="6" t="s">
        <v>138</v>
      </c>
      <c r="D1275" s="2" t="s">
        <v>120</v>
      </c>
      <c r="E1275" s="2"/>
      <c r="F1275" s="35">
        <v>0.29999999999999988</v>
      </c>
      <c r="G1275" s="35">
        <v>137.03582712324391</v>
      </c>
      <c r="H1275" s="35">
        <v>-10.104229663582819</v>
      </c>
      <c r="I1275" s="35">
        <v>-1.9122332458451061</v>
      </c>
      <c r="J1275" s="35">
        <v>-4.7236835363223704E-3</v>
      </c>
      <c r="K1275" s="35">
        <v>-4.194879395733115</v>
      </c>
      <c r="L1275" s="35">
        <v>-32.945843886720951</v>
      </c>
      <c r="M1275" s="58" t="s">
        <v>22</v>
      </c>
      <c r="N1275" s="7">
        <v>11.333333333333334</v>
      </c>
      <c r="O1275" s="7" t="s">
        <v>180</v>
      </c>
      <c r="P1275" s="7" t="s">
        <v>180</v>
      </c>
    </row>
    <row r="1276" spans="1:16" x14ac:dyDescent="0.25">
      <c r="A1276" s="2" t="s">
        <v>183</v>
      </c>
      <c r="B1276" s="2" t="s">
        <v>191</v>
      </c>
      <c r="C1276" s="6" t="s">
        <v>138</v>
      </c>
      <c r="D1276" s="2" t="s">
        <v>120</v>
      </c>
      <c r="E1276" s="2"/>
      <c r="F1276" s="35">
        <v>5.3</v>
      </c>
      <c r="G1276" s="35">
        <v>139.41759112324388</v>
      </c>
      <c r="H1276" s="35">
        <v>-10.104229663582819</v>
      </c>
      <c r="I1276" s="35">
        <v>-1.9122332458451061</v>
      </c>
      <c r="J1276" s="35">
        <v>-4.7236835363223704E-3</v>
      </c>
      <c r="K1276" s="35">
        <v>5.3662868334924143</v>
      </c>
      <c r="L1276" s="35">
        <v>17.57530443119315</v>
      </c>
      <c r="M1276" s="58" t="s">
        <v>24</v>
      </c>
      <c r="N1276" s="7">
        <v>11.333333333333334</v>
      </c>
      <c r="O1276" s="7" t="s">
        <v>180</v>
      </c>
      <c r="P1276" s="7" t="s">
        <v>180</v>
      </c>
    </row>
    <row r="1277" spans="1:16" x14ac:dyDescent="0.25">
      <c r="A1277" s="2" t="s">
        <v>183</v>
      </c>
      <c r="B1277" s="2" t="s">
        <v>191</v>
      </c>
      <c r="C1277" s="6" t="s">
        <v>138</v>
      </c>
      <c r="D1277" s="2" t="s">
        <v>120</v>
      </c>
      <c r="E1277" s="2"/>
      <c r="F1277" s="35">
        <v>5.3</v>
      </c>
      <c r="G1277" s="35">
        <v>148.73927382583977</v>
      </c>
      <c r="H1277" s="35">
        <v>-10.276855259623048</v>
      </c>
      <c r="I1277" s="35">
        <v>0.15690680202600393</v>
      </c>
      <c r="J1277" s="35">
        <v>1.8988986636581341E-3</v>
      </c>
      <c r="K1277" s="35">
        <v>1.0130197336913751</v>
      </c>
      <c r="L1277" s="35">
        <v>17.587843954797652</v>
      </c>
      <c r="M1277" s="58" t="s">
        <v>24</v>
      </c>
      <c r="N1277" s="7">
        <v>11.333333333333334</v>
      </c>
      <c r="O1277" s="7" t="s">
        <v>180</v>
      </c>
      <c r="P1277" s="7" t="s">
        <v>180</v>
      </c>
    </row>
    <row r="1278" spans="1:16" x14ac:dyDescent="0.25">
      <c r="A1278" s="2" t="s">
        <v>183</v>
      </c>
      <c r="B1278" s="2" t="s">
        <v>191</v>
      </c>
      <c r="C1278" s="6" t="s">
        <v>138</v>
      </c>
      <c r="D1278" s="2" t="s">
        <v>120</v>
      </c>
      <c r="E1278" s="2"/>
      <c r="F1278" s="35">
        <v>5.4149169609489114</v>
      </c>
      <c r="G1278" s="35">
        <v>148.79401484195526</v>
      </c>
      <c r="H1278" s="35">
        <v>-10.276855259623048</v>
      </c>
      <c r="I1278" s="35">
        <v>0.15690680202600393</v>
      </c>
      <c r="J1278" s="35">
        <v>1.8988986636581341E-3</v>
      </c>
      <c r="K1278" s="35">
        <v>0.99498848085033409</v>
      </c>
      <c r="L1278" s="35">
        <v>18.768828929345364</v>
      </c>
      <c r="M1278" s="58" t="s">
        <v>24</v>
      </c>
      <c r="N1278" s="7">
        <v>11.333333333333334</v>
      </c>
      <c r="O1278" s="7" t="s">
        <v>180</v>
      </c>
      <c r="P1278" s="7" t="s">
        <v>180</v>
      </c>
    </row>
    <row r="1279" spans="1:16" x14ac:dyDescent="0.25">
      <c r="A1279" s="2" t="s">
        <v>183</v>
      </c>
      <c r="B1279" s="2" t="s">
        <v>191</v>
      </c>
      <c r="C1279" s="6" t="s">
        <v>138</v>
      </c>
      <c r="D1279" s="2" t="s">
        <v>120</v>
      </c>
      <c r="E1279" s="2"/>
      <c r="F1279" s="35">
        <v>10.829833921897823</v>
      </c>
      <c r="G1279" s="35">
        <v>151.37342569807078</v>
      </c>
      <c r="H1279" s="35">
        <v>-10.276855259623048</v>
      </c>
      <c r="I1279" s="35">
        <v>0.15690680202600393</v>
      </c>
      <c r="J1279" s="35">
        <v>1.8988986636581341E-3</v>
      </c>
      <c r="K1279" s="35">
        <v>0.14535117727147268</v>
      </c>
      <c r="L1279" s="35">
        <v>74.417146779895234</v>
      </c>
      <c r="M1279" s="58" t="s">
        <v>23</v>
      </c>
      <c r="N1279" s="7">
        <v>11.333333333333334</v>
      </c>
      <c r="O1279" s="7" t="s">
        <v>180</v>
      </c>
      <c r="P1279" s="7" t="s">
        <v>180</v>
      </c>
    </row>
    <row r="1280" spans="1:16" x14ac:dyDescent="0.25">
      <c r="A1280" s="2" t="s">
        <v>183</v>
      </c>
      <c r="B1280" s="2" t="s">
        <v>191</v>
      </c>
      <c r="C1280" s="6" t="s">
        <v>138</v>
      </c>
      <c r="D1280" s="2" t="s">
        <v>121</v>
      </c>
      <c r="E1280" s="2"/>
      <c r="F1280" s="35">
        <v>0</v>
      </c>
      <c r="G1280" s="35">
        <v>44.783854760479407</v>
      </c>
      <c r="H1280" s="35">
        <v>-6.5317793644456312</v>
      </c>
      <c r="I1280" s="35">
        <v>-15.407034080995887</v>
      </c>
      <c r="J1280" s="35">
        <v>2.986281539397731E-2</v>
      </c>
      <c r="K1280" s="35">
        <v>-25.299466455600605</v>
      </c>
      <c r="L1280" s="35">
        <v>-24.154169758961189</v>
      </c>
      <c r="M1280" s="58" t="s">
        <v>22</v>
      </c>
      <c r="N1280" s="7">
        <v>11.333333333333334</v>
      </c>
      <c r="O1280" s="7" t="s">
        <v>180</v>
      </c>
      <c r="P1280" s="7" t="s">
        <v>180</v>
      </c>
    </row>
    <row r="1281" spans="1:16" x14ac:dyDescent="0.25">
      <c r="A1281" s="2" t="s">
        <v>183</v>
      </c>
      <c r="B1281" s="2" t="s">
        <v>191</v>
      </c>
      <c r="C1281" s="6" t="s">
        <v>138</v>
      </c>
      <c r="D1281" s="2" t="s">
        <v>121</v>
      </c>
      <c r="E1281" s="2"/>
      <c r="F1281" s="35">
        <v>0.29999999999999988</v>
      </c>
      <c r="G1281" s="35">
        <v>44.926760600479398</v>
      </c>
      <c r="H1281" s="35">
        <v>-6.5317793644456312</v>
      </c>
      <c r="I1281" s="35">
        <v>-15.407034080995887</v>
      </c>
      <c r="J1281" s="35">
        <v>2.986281539397731E-2</v>
      </c>
      <c r="K1281" s="35">
        <v>-20.67735623130184</v>
      </c>
      <c r="L1281" s="35">
        <v>-22.194635949627507</v>
      </c>
      <c r="M1281" s="58" t="s">
        <v>22</v>
      </c>
      <c r="N1281" s="7">
        <v>11.333333333333334</v>
      </c>
      <c r="O1281" s="7" t="s">
        <v>180</v>
      </c>
      <c r="P1281" s="7" t="s">
        <v>180</v>
      </c>
    </row>
    <row r="1282" spans="1:16" x14ac:dyDescent="0.25">
      <c r="A1282" s="2" t="s">
        <v>183</v>
      </c>
      <c r="B1282" s="2" t="s">
        <v>191</v>
      </c>
      <c r="C1282" s="6" t="s">
        <v>138</v>
      </c>
      <c r="D1282" s="2" t="s">
        <v>121</v>
      </c>
      <c r="E1282" s="2"/>
      <c r="F1282" s="35">
        <v>0.29999999999999988</v>
      </c>
      <c r="G1282" s="35">
        <v>92.656932553322804</v>
      </c>
      <c r="H1282" s="35">
        <v>-6.4124537521177283</v>
      </c>
      <c r="I1282" s="35">
        <v>-2.5388987516195072</v>
      </c>
      <c r="J1282" s="35">
        <v>-3.197925967585087E-3</v>
      </c>
      <c r="K1282" s="35">
        <v>-5.8493416186294178</v>
      </c>
      <c r="L1282" s="35">
        <v>-21.60695996035372</v>
      </c>
      <c r="M1282" s="58" t="s">
        <v>22</v>
      </c>
      <c r="N1282" s="7">
        <v>11.333333333333334</v>
      </c>
      <c r="O1282" s="7" t="s">
        <v>180</v>
      </c>
      <c r="P1282" s="7" t="s">
        <v>180</v>
      </c>
    </row>
    <row r="1283" spans="1:16" x14ac:dyDescent="0.25">
      <c r="A1283" s="2" t="s">
        <v>183</v>
      </c>
      <c r="B1283" s="2" t="s">
        <v>191</v>
      </c>
      <c r="C1283" s="6" t="s">
        <v>138</v>
      </c>
      <c r="D1283" s="2" t="s">
        <v>121</v>
      </c>
      <c r="E1283" s="2"/>
      <c r="F1283" s="35">
        <v>5.3</v>
      </c>
      <c r="G1283" s="35">
        <v>95.038696553322808</v>
      </c>
      <c r="H1283" s="35">
        <v>-6.4124537521177283</v>
      </c>
      <c r="I1283" s="35">
        <v>-2.5388987516195072</v>
      </c>
      <c r="J1283" s="35">
        <v>-3.197925967585087E-3</v>
      </c>
      <c r="K1283" s="35">
        <v>6.8451521394681185</v>
      </c>
      <c r="L1283" s="35">
        <v>10.455308800234919</v>
      </c>
      <c r="M1283" s="58" t="s">
        <v>24</v>
      </c>
      <c r="N1283" s="7">
        <v>11.333333333333334</v>
      </c>
      <c r="O1283" s="7" t="s">
        <v>180</v>
      </c>
      <c r="P1283" s="7" t="s">
        <v>180</v>
      </c>
    </row>
    <row r="1284" spans="1:16" x14ac:dyDescent="0.25">
      <c r="A1284" s="2" t="s">
        <v>183</v>
      </c>
      <c r="B1284" s="2" t="s">
        <v>191</v>
      </c>
      <c r="C1284" s="6" t="s">
        <v>138</v>
      </c>
      <c r="D1284" s="2" t="s">
        <v>121</v>
      </c>
      <c r="E1284" s="2"/>
      <c r="F1284" s="35">
        <v>5.3</v>
      </c>
      <c r="G1284" s="35">
        <v>70.00436917879594</v>
      </c>
      <c r="H1284" s="35">
        <v>-6.5288808298618317</v>
      </c>
      <c r="I1284" s="35">
        <v>0.36101816982474205</v>
      </c>
      <c r="J1284" s="35">
        <v>1.7140586602363899E-3</v>
      </c>
      <c r="K1284" s="35">
        <v>2.2445685396018988</v>
      </c>
      <c r="L1284" s="35">
        <v>10.462669446817273</v>
      </c>
      <c r="M1284" s="58" t="s">
        <v>24</v>
      </c>
      <c r="N1284" s="7">
        <v>11.333333333333334</v>
      </c>
      <c r="O1284" s="7" t="s">
        <v>180</v>
      </c>
      <c r="P1284" s="7" t="s">
        <v>180</v>
      </c>
    </row>
    <row r="1285" spans="1:16" x14ac:dyDescent="0.25">
      <c r="A1285" s="2" t="s">
        <v>183</v>
      </c>
      <c r="B1285" s="2" t="s">
        <v>191</v>
      </c>
      <c r="C1285" s="6" t="s">
        <v>138</v>
      </c>
      <c r="D1285" s="2" t="s">
        <v>121</v>
      </c>
      <c r="E1285" s="2"/>
      <c r="F1285" s="35">
        <v>5.4149169609489114</v>
      </c>
      <c r="G1285" s="35">
        <v>70.05911019491144</v>
      </c>
      <c r="H1285" s="35">
        <v>-6.5288808298618317</v>
      </c>
      <c r="I1285" s="35">
        <v>0.36101816982474205</v>
      </c>
      <c r="J1285" s="35">
        <v>1.7140586602363899E-3</v>
      </c>
      <c r="K1285" s="35">
        <v>2.2030814286783014</v>
      </c>
      <c r="L1285" s="35">
        <v>11.212948590182604</v>
      </c>
      <c r="M1285" s="58" t="s">
        <v>24</v>
      </c>
      <c r="N1285" s="7">
        <v>11.333333333333334</v>
      </c>
      <c r="O1285" s="7" t="s">
        <v>180</v>
      </c>
      <c r="P1285" s="7" t="s">
        <v>180</v>
      </c>
    </row>
    <row r="1286" spans="1:16" x14ac:dyDescent="0.25">
      <c r="A1286" s="2" t="s">
        <v>183</v>
      </c>
      <c r="B1286" s="2" t="s">
        <v>191</v>
      </c>
      <c r="C1286" s="6" t="s">
        <v>138</v>
      </c>
      <c r="D1286" s="2" t="s">
        <v>121</v>
      </c>
      <c r="E1286" s="2"/>
      <c r="F1286" s="35">
        <v>10.829833921897823</v>
      </c>
      <c r="G1286" s="35">
        <v>72.638521051026956</v>
      </c>
      <c r="H1286" s="35">
        <v>-6.5288808298618317</v>
      </c>
      <c r="I1286" s="35">
        <v>0.36101816982474205</v>
      </c>
      <c r="J1286" s="35">
        <v>1.7140586602363899E-3</v>
      </c>
      <c r="K1286" s="35">
        <v>0.24819801768357189</v>
      </c>
      <c r="L1286" s="35">
        <v>46.566296131815619</v>
      </c>
      <c r="M1286" s="58" t="s">
        <v>23</v>
      </c>
      <c r="N1286" s="7">
        <v>11.333333333333334</v>
      </c>
      <c r="O1286" s="7" t="s">
        <v>180</v>
      </c>
      <c r="P1286" s="7" t="s">
        <v>180</v>
      </c>
    </row>
    <row r="1287" spans="1:16" x14ac:dyDescent="0.25">
      <c r="A1287" s="2" t="s">
        <v>183</v>
      </c>
      <c r="B1287" s="2" t="s">
        <v>191</v>
      </c>
      <c r="C1287" s="6" t="s">
        <v>138</v>
      </c>
      <c r="D1287" s="2" t="s">
        <v>122</v>
      </c>
      <c r="E1287" s="2"/>
      <c r="F1287" s="35">
        <v>0</v>
      </c>
      <c r="G1287" s="35">
        <v>86.900442148716991</v>
      </c>
      <c r="H1287" s="35">
        <v>-4.3259327591331287</v>
      </c>
      <c r="I1287" s="35">
        <v>10.017327921238536</v>
      </c>
      <c r="J1287" s="35">
        <v>1.8097208732695196E-2</v>
      </c>
      <c r="K1287" s="35">
        <v>15.047434591078749</v>
      </c>
      <c r="L1287" s="35">
        <v>-15.257286127383756</v>
      </c>
      <c r="M1287" s="58" t="s">
        <v>22</v>
      </c>
      <c r="N1287" s="7">
        <v>11.333333333333334</v>
      </c>
      <c r="O1287" s="7" t="s">
        <v>180</v>
      </c>
      <c r="P1287" s="7" t="s">
        <v>180</v>
      </c>
    </row>
    <row r="1288" spans="1:16" x14ac:dyDescent="0.25">
      <c r="A1288" s="2" t="s">
        <v>183</v>
      </c>
      <c r="B1288" s="2" t="s">
        <v>191</v>
      </c>
      <c r="C1288" s="6" t="s">
        <v>138</v>
      </c>
      <c r="D1288" s="2" t="s">
        <v>122</v>
      </c>
      <c r="E1288" s="2"/>
      <c r="F1288" s="35">
        <v>0.29999999999999988</v>
      </c>
      <c r="G1288" s="35">
        <v>87.043347988716974</v>
      </c>
      <c r="H1288" s="35">
        <v>-4.3259327591331287</v>
      </c>
      <c r="I1288" s="35">
        <v>10.017327921238536</v>
      </c>
      <c r="J1288" s="35">
        <v>1.8097208732695196E-2</v>
      </c>
      <c r="K1288" s="35">
        <v>12.04223621470719</v>
      </c>
      <c r="L1288" s="35">
        <v>-13.959506299643822</v>
      </c>
      <c r="M1288" s="58" t="s">
        <v>22</v>
      </c>
      <c r="N1288" s="7">
        <v>11.333333333333334</v>
      </c>
      <c r="O1288" s="7" t="s">
        <v>180</v>
      </c>
      <c r="P1288" s="7" t="s">
        <v>180</v>
      </c>
    </row>
    <row r="1289" spans="1:16" x14ac:dyDescent="0.25">
      <c r="A1289" s="2" t="s">
        <v>183</v>
      </c>
      <c r="B1289" s="2" t="s">
        <v>191</v>
      </c>
      <c r="C1289" s="6" t="s">
        <v>138</v>
      </c>
      <c r="D1289" s="2" t="s">
        <v>122</v>
      </c>
      <c r="E1289" s="2"/>
      <c r="F1289" s="35">
        <v>0.29999999999999988</v>
      </c>
      <c r="G1289" s="35">
        <v>29.955277612355079</v>
      </c>
      <c r="H1289" s="35">
        <v>-4.2538308572236687</v>
      </c>
      <c r="I1289" s="35">
        <v>1.3856073570989869</v>
      </c>
      <c r="J1289" s="35">
        <v>-1.8643938232352584E-3</v>
      </c>
      <c r="K1289" s="35">
        <v>3.5080592854112314</v>
      </c>
      <c r="L1289" s="35">
        <v>-13.605418731738839</v>
      </c>
      <c r="M1289" s="58" t="s">
        <v>22</v>
      </c>
      <c r="N1289" s="7">
        <v>11.333333333333334</v>
      </c>
      <c r="O1289" s="7" t="s">
        <v>180</v>
      </c>
      <c r="P1289" s="7" t="s">
        <v>180</v>
      </c>
    </row>
    <row r="1290" spans="1:16" x14ac:dyDescent="0.25">
      <c r="A1290" s="2" t="s">
        <v>183</v>
      </c>
      <c r="B1290" s="2" t="s">
        <v>191</v>
      </c>
      <c r="C1290" s="6" t="s">
        <v>138</v>
      </c>
      <c r="D1290" s="2" t="s">
        <v>122</v>
      </c>
      <c r="E1290" s="2"/>
      <c r="F1290" s="35">
        <v>5.3</v>
      </c>
      <c r="G1290" s="35">
        <v>32.337041612355073</v>
      </c>
      <c r="H1290" s="35">
        <v>-4.2538308572236687</v>
      </c>
      <c r="I1290" s="35">
        <v>1.3856073570989869</v>
      </c>
      <c r="J1290" s="35">
        <v>-1.8643938232352584E-3</v>
      </c>
      <c r="K1290" s="35">
        <v>-3.419977500083704</v>
      </c>
      <c r="L1290" s="35">
        <v>7.6637355543795049</v>
      </c>
      <c r="M1290" s="58" t="s">
        <v>24</v>
      </c>
      <c r="N1290" s="7">
        <v>11.333333333333334</v>
      </c>
      <c r="O1290" s="7" t="s">
        <v>180</v>
      </c>
      <c r="P1290" s="7" t="s">
        <v>180</v>
      </c>
    </row>
    <row r="1291" spans="1:16" x14ac:dyDescent="0.25">
      <c r="A1291" s="2" t="s">
        <v>183</v>
      </c>
      <c r="B1291" s="2" t="s">
        <v>191</v>
      </c>
      <c r="C1291" s="6" t="s">
        <v>138</v>
      </c>
      <c r="D1291" s="2" t="s">
        <v>122</v>
      </c>
      <c r="E1291" s="2"/>
      <c r="F1291" s="35">
        <v>5.3</v>
      </c>
      <c r="G1291" s="35">
        <v>77.101524894050016</v>
      </c>
      <c r="H1291" s="35">
        <v>-4.3244413259816978</v>
      </c>
      <c r="I1291" s="35">
        <v>-0.33952861971900272</v>
      </c>
      <c r="J1291" s="35">
        <v>7.0410160168059483E-4</v>
      </c>
      <c r="K1291" s="35">
        <v>-1.9806515599058174</v>
      </c>
      <c r="L1291" s="35">
        <v>7.6692542855484707</v>
      </c>
      <c r="M1291" s="58" t="s">
        <v>24</v>
      </c>
      <c r="N1291" s="7">
        <v>11.333333333333334</v>
      </c>
      <c r="O1291" s="7" t="s">
        <v>180</v>
      </c>
      <c r="P1291" s="7" t="s">
        <v>180</v>
      </c>
    </row>
    <row r="1292" spans="1:16" x14ac:dyDescent="0.25">
      <c r="A1292" s="2" t="s">
        <v>183</v>
      </c>
      <c r="B1292" s="2" t="s">
        <v>191</v>
      </c>
      <c r="C1292" s="6" t="s">
        <v>138</v>
      </c>
      <c r="D1292" s="2" t="s">
        <v>122</v>
      </c>
      <c r="E1292" s="2"/>
      <c r="F1292" s="35">
        <v>5.4149169609489114</v>
      </c>
      <c r="G1292" s="35">
        <v>77.156265910165516</v>
      </c>
      <c r="H1292" s="35">
        <v>-4.3244413259816978</v>
      </c>
      <c r="I1292" s="35">
        <v>-0.33952861971900272</v>
      </c>
      <c r="J1292" s="35">
        <v>7.0410160168059483E-4</v>
      </c>
      <c r="K1292" s="35">
        <v>-1.941633962772531</v>
      </c>
      <c r="L1292" s="35">
        <v>8.1662059405321674</v>
      </c>
      <c r="M1292" s="58" t="s">
        <v>24</v>
      </c>
      <c r="N1292" s="7">
        <v>11.333333333333334</v>
      </c>
      <c r="O1292" s="7" t="s">
        <v>180</v>
      </c>
      <c r="P1292" s="7" t="s">
        <v>180</v>
      </c>
    </row>
    <row r="1293" spans="1:16" x14ac:dyDescent="0.25">
      <c r="A1293" s="2" t="s">
        <v>183</v>
      </c>
      <c r="B1293" s="2" t="s">
        <v>191</v>
      </c>
      <c r="C1293" s="6" t="s">
        <v>138</v>
      </c>
      <c r="D1293" s="2" t="s">
        <v>122</v>
      </c>
      <c r="E1293" s="2"/>
      <c r="F1293" s="35">
        <v>10.829833921897823</v>
      </c>
      <c r="G1293" s="35">
        <v>79.735676766281031</v>
      </c>
      <c r="H1293" s="35">
        <v>-4.3244413259816978</v>
      </c>
      <c r="I1293" s="35">
        <v>-0.33952861971900272</v>
      </c>
      <c r="J1293" s="35">
        <v>7.0410160168059483E-4</v>
      </c>
      <c r="K1293" s="35">
        <v>-0.1031146811285306</v>
      </c>
      <c r="L1293" s="35">
        <v>31.582696623218848</v>
      </c>
      <c r="M1293" s="58" t="s">
        <v>23</v>
      </c>
      <c r="N1293" s="7">
        <v>11.333333333333334</v>
      </c>
      <c r="O1293" s="7" t="s">
        <v>180</v>
      </c>
      <c r="P1293" s="7" t="s">
        <v>180</v>
      </c>
    </row>
    <row r="1294" spans="1:16" x14ac:dyDescent="0.25">
      <c r="A1294" s="2" t="s">
        <v>183</v>
      </c>
      <c r="B1294" s="2" t="s">
        <v>191</v>
      </c>
      <c r="C1294" s="6" t="s">
        <v>138</v>
      </c>
      <c r="D1294" s="2" t="s">
        <v>123</v>
      </c>
      <c r="E1294" s="2"/>
      <c r="F1294" s="35">
        <v>0</v>
      </c>
      <c r="G1294" s="35">
        <v>2.3970262191678335</v>
      </c>
      <c r="H1294" s="35">
        <v>-0.6250384316022336</v>
      </c>
      <c r="I1294" s="35">
        <v>4.6874403876960908</v>
      </c>
      <c r="J1294" s="35">
        <v>3.9744665929316043E-3</v>
      </c>
      <c r="K1294" s="35">
        <v>7.8316586232553433</v>
      </c>
      <c r="L1294" s="35">
        <v>-2.7003699539864821</v>
      </c>
      <c r="M1294" s="58" t="s">
        <v>22</v>
      </c>
      <c r="N1294" s="7">
        <v>11.333333333333334</v>
      </c>
      <c r="O1294" s="7" t="s">
        <v>180</v>
      </c>
      <c r="P1294" s="7" t="s">
        <v>180</v>
      </c>
    </row>
    <row r="1295" spans="1:16" x14ac:dyDescent="0.25">
      <c r="A1295" s="2" t="s">
        <v>183</v>
      </c>
      <c r="B1295" s="2" t="s">
        <v>191</v>
      </c>
      <c r="C1295" s="6" t="s">
        <v>138</v>
      </c>
      <c r="D1295" s="2" t="s">
        <v>123</v>
      </c>
      <c r="E1295" s="2"/>
      <c r="F1295" s="35">
        <v>0.29999999999999988</v>
      </c>
      <c r="G1295" s="35">
        <v>2.5399320591678256</v>
      </c>
      <c r="H1295" s="35">
        <v>-0.6250384316022336</v>
      </c>
      <c r="I1295" s="35">
        <v>4.6874403876960908</v>
      </c>
      <c r="J1295" s="35">
        <v>3.9744665929316043E-3</v>
      </c>
      <c r="K1295" s="35">
        <v>6.4254265069465184</v>
      </c>
      <c r="L1295" s="35">
        <v>-2.5128584245058097</v>
      </c>
      <c r="M1295" s="58" t="s">
        <v>22</v>
      </c>
      <c r="N1295" s="7">
        <v>11.333333333333334</v>
      </c>
      <c r="O1295" s="7" t="s">
        <v>180</v>
      </c>
      <c r="P1295" s="7" t="s">
        <v>180</v>
      </c>
    </row>
    <row r="1296" spans="1:16" x14ac:dyDescent="0.25">
      <c r="A1296" s="2" t="s">
        <v>183</v>
      </c>
      <c r="B1296" s="2" t="s">
        <v>191</v>
      </c>
      <c r="C1296" s="6" t="s">
        <v>138</v>
      </c>
      <c r="D1296" s="2" t="s">
        <v>123</v>
      </c>
      <c r="E1296" s="2"/>
      <c r="F1296" s="35">
        <v>0.29999999999999988</v>
      </c>
      <c r="G1296" s="35">
        <v>-14.379105391340531</v>
      </c>
      <c r="H1296" s="35">
        <v>-0.60961538179550634</v>
      </c>
      <c r="I1296" s="35">
        <v>0.75832019609305401</v>
      </c>
      <c r="J1296" s="35">
        <v>-3.669988347176161E-4</v>
      </c>
      <c r="K1296" s="35">
        <v>1.8522085613251544</v>
      </c>
      <c r="L1296" s="35">
        <v>-2.4362721142185109</v>
      </c>
      <c r="M1296" s="58" t="s">
        <v>22</v>
      </c>
      <c r="N1296" s="7">
        <v>11.333333333333334</v>
      </c>
      <c r="O1296" s="7" t="s">
        <v>180</v>
      </c>
      <c r="P1296" s="7" t="s">
        <v>180</v>
      </c>
    </row>
    <row r="1297" spans="1:16" x14ac:dyDescent="0.25">
      <c r="A1297" s="2" t="s">
        <v>183</v>
      </c>
      <c r="B1297" s="2" t="s">
        <v>191</v>
      </c>
      <c r="C1297" s="6" t="s">
        <v>138</v>
      </c>
      <c r="D1297" s="2" t="s">
        <v>123</v>
      </c>
      <c r="E1297" s="2"/>
      <c r="F1297" s="35">
        <v>5.3</v>
      </c>
      <c r="G1297" s="35">
        <v>-11.997341391340536</v>
      </c>
      <c r="H1297" s="35">
        <v>-0.60961538179550634</v>
      </c>
      <c r="I1297" s="35">
        <v>0.75832019609305401</v>
      </c>
      <c r="J1297" s="35">
        <v>-3.669988347176161E-4</v>
      </c>
      <c r="K1297" s="35">
        <v>-1.9393924191401148</v>
      </c>
      <c r="L1297" s="35">
        <v>0.61180479475902005</v>
      </c>
      <c r="M1297" s="58" t="s">
        <v>24</v>
      </c>
      <c r="N1297" s="7">
        <v>11.333333333333334</v>
      </c>
      <c r="O1297" s="7" t="s">
        <v>180</v>
      </c>
      <c r="P1297" s="7" t="s">
        <v>180</v>
      </c>
    </row>
    <row r="1298" spans="1:16" x14ac:dyDescent="0.25">
      <c r="A1298" s="2" t="s">
        <v>183</v>
      </c>
      <c r="B1298" s="2" t="s">
        <v>191</v>
      </c>
      <c r="C1298" s="6" t="s">
        <v>138</v>
      </c>
      <c r="D1298" s="2" t="s">
        <v>123</v>
      </c>
      <c r="E1298" s="2"/>
      <c r="F1298" s="35">
        <v>5.3</v>
      </c>
      <c r="G1298" s="35">
        <v>-1.5829674325082885</v>
      </c>
      <c r="H1298" s="35">
        <v>-0.62496495049104106</v>
      </c>
      <c r="I1298" s="35">
        <v>-0.13537522048436823</v>
      </c>
      <c r="J1298" s="35">
        <v>5.2902995843731929E-4</v>
      </c>
      <c r="K1298" s="35">
        <v>-0.74884415065234722</v>
      </c>
      <c r="L1298" s="35">
        <v>0.61219060864774399</v>
      </c>
      <c r="M1298" s="58" t="s">
        <v>24</v>
      </c>
      <c r="N1298" s="7">
        <v>11.333333333333334</v>
      </c>
      <c r="O1298" s="7" t="s">
        <v>180</v>
      </c>
      <c r="P1298" s="7" t="s">
        <v>180</v>
      </c>
    </row>
    <row r="1299" spans="1:16" x14ac:dyDescent="0.25">
      <c r="A1299" s="2" t="s">
        <v>183</v>
      </c>
      <c r="B1299" s="2" t="s">
        <v>191</v>
      </c>
      <c r="C1299" s="6" t="s">
        <v>138</v>
      </c>
      <c r="D1299" s="2" t="s">
        <v>123</v>
      </c>
      <c r="E1299" s="2"/>
      <c r="F1299" s="35">
        <v>5.4149169609489114</v>
      </c>
      <c r="G1299" s="35">
        <v>-1.5282264163927899</v>
      </c>
      <c r="H1299" s="35">
        <v>-0.62496495049104106</v>
      </c>
      <c r="I1299" s="35">
        <v>-0.13537522048436823</v>
      </c>
      <c r="J1299" s="35">
        <v>5.2902995843731929E-4</v>
      </c>
      <c r="K1299" s="35">
        <v>-0.73328724172649462</v>
      </c>
      <c r="L1299" s="35">
        <v>0.68400968145776153</v>
      </c>
      <c r="M1299" s="58" t="s">
        <v>24</v>
      </c>
      <c r="N1299" s="7">
        <v>11.333333333333334</v>
      </c>
      <c r="O1299" s="7" t="s">
        <v>180</v>
      </c>
      <c r="P1299" s="7" t="s">
        <v>180</v>
      </c>
    </row>
    <row r="1300" spans="1:16" x14ac:dyDescent="0.25">
      <c r="A1300" s="2" t="s">
        <v>183</v>
      </c>
      <c r="B1300" s="2" t="s">
        <v>191</v>
      </c>
      <c r="C1300" s="6" t="s">
        <v>138</v>
      </c>
      <c r="D1300" s="2" t="s">
        <v>123</v>
      </c>
      <c r="E1300" s="2"/>
      <c r="F1300" s="35">
        <v>10.829833921897823</v>
      </c>
      <c r="G1300" s="35">
        <v>1.0511844397227248</v>
      </c>
      <c r="H1300" s="35">
        <v>-0.62496495049104106</v>
      </c>
      <c r="I1300" s="35">
        <v>-0.13537522048436823</v>
      </c>
      <c r="J1300" s="35">
        <v>5.2902995843731929E-4</v>
      </c>
      <c r="K1300" s="35">
        <v>-2.4166423349076643E-4</v>
      </c>
      <c r="L1300" s="35">
        <v>4.0681429918702943</v>
      </c>
      <c r="M1300" s="58" t="s">
        <v>23</v>
      </c>
      <c r="N1300" s="7">
        <v>11.333333333333334</v>
      </c>
      <c r="O1300" s="7" t="s">
        <v>180</v>
      </c>
      <c r="P1300" s="7" t="s">
        <v>180</v>
      </c>
    </row>
    <row r="1301" spans="1:16" x14ac:dyDescent="0.25">
      <c r="A1301" s="2" t="s">
        <v>183</v>
      </c>
      <c r="B1301" s="2" t="s">
        <v>191</v>
      </c>
      <c r="C1301" s="6" t="s">
        <v>138</v>
      </c>
      <c r="D1301" s="2" t="s">
        <v>124</v>
      </c>
      <c r="E1301" s="2"/>
      <c r="F1301" s="35">
        <v>0</v>
      </c>
      <c r="G1301" s="35">
        <v>78.128568035138841</v>
      </c>
      <c r="H1301" s="35">
        <v>0.90567128997753144</v>
      </c>
      <c r="I1301" s="35">
        <v>12.455383235777196</v>
      </c>
      <c r="J1301" s="35">
        <v>-5.2772186990113726E-2</v>
      </c>
      <c r="K1301" s="35">
        <v>19.078667704297242</v>
      </c>
      <c r="L1301" s="35">
        <v>19.682567822361815</v>
      </c>
      <c r="M1301" s="58" t="s">
        <v>22</v>
      </c>
      <c r="N1301" s="7">
        <v>11.333333333333334</v>
      </c>
      <c r="O1301" s="7" t="s">
        <v>180</v>
      </c>
      <c r="P1301" s="7" t="s">
        <v>180</v>
      </c>
    </row>
    <row r="1302" spans="1:16" x14ac:dyDescent="0.25">
      <c r="A1302" s="2" t="s">
        <v>183</v>
      </c>
      <c r="B1302" s="2" t="s">
        <v>191</v>
      </c>
      <c r="C1302" s="6" t="s">
        <v>138</v>
      </c>
      <c r="D1302" s="2" t="s">
        <v>124</v>
      </c>
      <c r="E1302" s="2"/>
      <c r="F1302" s="35">
        <v>0.29999999999999988</v>
      </c>
      <c r="G1302" s="35">
        <v>78.271473875138838</v>
      </c>
      <c r="H1302" s="35">
        <v>0.90567128997753144</v>
      </c>
      <c r="I1302" s="35">
        <v>12.455383235777196</v>
      </c>
      <c r="J1302" s="35">
        <v>-5.2772186990113726E-2</v>
      </c>
      <c r="K1302" s="35">
        <v>15.342052733564085</v>
      </c>
      <c r="L1302" s="35">
        <v>19.410866435368554</v>
      </c>
      <c r="M1302" s="58" t="s">
        <v>22</v>
      </c>
      <c r="N1302" s="7">
        <v>11.333333333333334</v>
      </c>
      <c r="O1302" s="7" t="s">
        <v>180</v>
      </c>
      <c r="P1302" s="7" t="s">
        <v>180</v>
      </c>
    </row>
    <row r="1303" spans="1:16" x14ac:dyDescent="0.25">
      <c r="A1303" s="2" t="s">
        <v>183</v>
      </c>
      <c r="B1303" s="2" t="s">
        <v>191</v>
      </c>
      <c r="C1303" s="6" t="s">
        <v>138</v>
      </c>
      <c r="D1303" s="2" t="s">
        <v>124</v>
      </c>
      <c r="E1303" s="2"/>
      <c r="F1303" s="35">
        <v>0.29999999999999988</v>
      </c>
      <c r="G1303" s="35">
        <v>14.088703306504771</v>
      </c>
      <c r="H1303" s="35">
        <v>0.71827684092634791</v>
      </c>
      <c r="I1303" s="35">
        <v>1.792747551485842</v>
      </c>
      <c r="J1303" s="35">
        <v>2.4670167281151466E-3</v>
      </c>
      <c r="K1303" s="35">
        <v>4.4415754361828723</v>
      </c>
      <c r="L1303" s="35">
        <v>18.460882403521968</v>
      </c>
      <c r="M1303" s="58" t="s">
        <v>22</v>
      </c>
      <c r="N1303" s="7">
        <v>11.333333333333334</v>
      </c>
      <c r="O1303" s="7" t="s">
        <v>180</v>
      </c>
      <c r="P1303" s="7" t="s">
        <v>180</v>
      </c>
    </row>
    <row r="1304" spans="1:16" x14ac:dyDescent="0.25">
      <c r="A1304" s="2" t="s">
        <v>183</v>
      </c>
      <c r="B1304" s="2" t="s">
        <v>191</v>
      </c>
      <c r="C1304" s="6" t="s">
        <v>138</v>
      </c>
      <c r="D1304" s="2" t="s">
        <v>124</v>
      </c>
      <c r="E1304" s="2"/>
      <c r="F1304" s="35">
        <v>5.3</v>
      </c>
      <c r="G1304" s="35">
        <v>16.470467306504766</v>
      </c>
      <c r="H1304" s="35">
        <v>0.71827684092634791</v>
      </c>
      <c r="I1304" s="35">
        <v>1.792747551485842</v>
      </c>
      <c r="J1304" s="35">
        <v>2.4670167281151466E-3</v>
      </c>
      <c r="K1304" s="35">
        <v>-4.522162321246336</v>
      </c>
      <c r="L1304" s="35">
        <v>14.869498198890227</v>
      </c>
      <c r="M1304" s="58" t="s">
        <v>24</v>
      </c>
      <c r="N1304" s="7">
        <v>11.333333333333334</v>
      </c>
      <c r="O1304" s="7" t="s">
        <v>180</v>
      </c>
      <c r="P1304" s="7" t="s">
        <v>180</v>
      </c>
    </row>
    <row r="1305" spans="1:16" x14ac:dyDescent="0.25">
      <c r="A1305" s="2" t="s">
        <v>183</v>
      </c>
      <c r="B1305" s="2" t="s">
        <v>191</v>
      </c>
      <c r="C1305" s="6" t="s">
        <v>138</v>
      </c>
      <c r="D1305" s="2" t="s">
        <v>124</v>
      </c>
      <c r="E1305" s="2"/>
      <c r="F1305" s="35">
        <v>5.3</v>
      </c>
      <c r="G1305" s="35">
        <v>70.326464128397078</v>
      </c>
      <c r="H1305" s="35">
        <v>0.90885476200284376</v>
      </c>
      <c r="I1305" s="35">
        <v>-0.46166515660172353</v>
      </c>
      <c r="J1305" s="35">
        <v>-5.1729172485901235E-4</v>
      </c>
      <c r="K1305" s="35">
        <v>-2.719313862749738</v>
      </c>
      <c r="L1305" s="35">
        <v>14.881384906701031</v>
      </c>
      <c r="M1305" s="58" t="s">
        <v>24</v>
      </c>
      <c r="N1305" s="7">
        <v>11.333333333333334</v>
      </c>
      <c r="O1305" s="7" t="s">
        <v>180</v>
      </c>
      <c r="P1305" s="7" t="s">
        <v>180</v>
      </c>
    </row>
    <row r="1306" spans="1:16" x14ac:dyDescent="0.25">
      <c r="A1306" s="2" t="s">
        <v>183</v>
      </c>
      <c r="B1306" s="2" t="s">
        <v>191</v>
      </c>
      <c r="C1306" s="6" t="s">
        <v>138</v>
      </c>
      <c r="D1306" s="2" t="s">
        <v>124</v>
      </c>
      <c r="E1306" s="2"/>
      <c r="F1306" s="35">
        <v>5.4149169609489114</v>
      </c>
      <c r="G1306" s="35">
        <v>70.381205144512563</v>
      </c>
      <c r="H1306" s="35">
        <v>0.90885476200284376</v>
      </c>
      <c r="I1306" s="35">
        <v>-0.46166515660172353</v>
      </c>
      <c r="J1306" s="35">
        <v>-5.1729172485901235E-4</v>
      </c>
      <c r="K1306" s="35">
        <v>-2.6662607059770642</v>
      </c>
      <c r="L1306" s="35">
        <v>14.77694207950772</v>
      </c>
      <c r="M1306" s="58" t="s">
        <v>24</v>
      </c>
      <c r="N1306" s="7">
        <v>11.333333333333334</v>
      </c>
      <c r="O1306" s="7" t="s">
        <v>180</v>
      </c>
      <c r="P1306" s="7" t="s">
        <v>180</v>
      </c>
    </row>
    <row r="1307" spans="1:16" x14ac:dyDescent="0.25">
      <c r="A1307" s="2" t="s">
        <v>183</v>
      </c>
      <c r="B1307" s="2" t="s">
        <v>191</v>
      </c>
      <c r="C1307" s="6" t="s">
        <v>138</v>
      </c>
      <c r="D1307" s="2" t="s">
        <v>124</v>
      </c>
      <c r="E1307" s="2"/>
      <c r="F1307" s="35">
        <v>10.829833921897823</v>
      </c>
      <c r="G1307" s="35">
        <v>72.960616000628079</v>
      </c>
      <c r="H1307" s="35">
        <v>0.90885476200284376</v>
      </c>
      <c r="I1307" s="35">
        <v>-0.46166515660172353</v>
      </c>
      <c r="J1307" s="35">
        <v>-5.1729172485901235E-4</v>
      </c>
      <c r="K1307" s="35">
        <v>-0.16638221921525728</v>
      </c>
      <c r="L1307" s="35">
        <v>9.8555690136993359</v>
      </c>
      <c r="M1307" s="58" t="s">
        <v>23</v>
      </c>
      <c r="N1307" s="7">
        <v>11.333333333333334</v>
      </c>
      <c r="O1307" s="7" t="s">
        <v>180</v>
      </c>
      <c r="P1307" s="7" t="s">
        <v>180</v>
      </c>
    </row>
    <row r="1308" spans="1:16" x14ac:dyDescent="0.25">
      <c r="A1308" s="2" t="s">
        <v>183</v>
      </c>
      <c r="B1308" s="2" t="s">
        <v>191</v>
      </c>
      <c r="C1308" s="6" t="s">
        <v>138</v>
      </c>
      <c r="D1308" s="2" t="s">
        <v>125</v>
      </c>
      <c r="E1308" s="2"/>
      <c r="F1308" s="35">
        <v>0</v>
      </c>
      <c r="G1308" s="35">
        <v>-136.13454919668453</v>
      </c>
      <c r="H1308" s="35">
        <v>16.39448248133969</v>
      </c>
      <c r="I1308" s="35">
        <v>6.5472941156136084</v>
      </c>
      <c r="J1308" s="35">
        <v>-0.17256649929649662</v>
      </c>
      <c r="K1308" s="35">
        <v>13.037588257373557</v>
      </c>
      <c r="L1308" s="35">
        <v>92.820555585570375</v>
      </c>
      <c r="M1308" s="58" t="s">
        <v>22</v>
      </c>
      <c r="N1308" s="7">
        <v>11.333333333333334</v>
      </c>
      <c r="O1308" s="7" t="s">
        <v>180</v>
      </c>
      <c r="P1308" s="7" t="s">
        <v>180</v>
      </c>
    </row>
    <row r="1309" spans="1:16" x14ac:dyDescent="0.25">
      <c r="A1309" s="2" t="s">
        <v>183</v>
      </c>
      <c r="B1309" s="2" t="s">
        <v>191</v>
      </c>
      <c r="C1309" s="6" t="s">
        <v>138</v>
      </c>
      <c r="D1309" s="2" t="s">
        <v>125</v>
      </c>
      <c r="E1309" s="2"/>
      <c r="F1309" s="35">
        <v>0.29999999999999988</v>
      </c>
      <c r="G1309" s="35">
        <v>-135.99164335668456</v>
      </c>
      <c r="H1309" s="35">
        <v>16.39448248133969</v>
      </c>
      <c r="I1309" s="35">
        <v>6.5472941156136084</v>
      </c>
      <c r="J1309" s="35">
        <v>-0.17256649929649662</v>
      </c>
      <c r="K1309" s="35">
        <v>11.073400022689476</v>
      </c>
      <c r="L1309" s="35">
        <v>87.902210841168468</v>
      </c>
      <c r="M1309" s="58" t="s">
        <v>22</v>
      </c>
      <c r="N1309" s="7">
        <v>11.333333333333334</v>
      </c>
      <c r="O1309" s="7" t="s">
        <v>180</v>
      </c>
      <c r="P1309" s="7" t="s">
        <v>180</v>
      </c>
    </row>
    <row r="1310" spans="1:16" x14ac:dyDescent="0.25">
      <c r="A1310" s="2" t="s">
        <v>183</v>
      </c>
      <c r="B1310" s="2" t="s">
        <v>191</v>
      </c>
      <c r="C1310" s="6" t="s">
        <v>138</v>
      </c>
      <c r="D1310" s="2" t="s">
        <v>125</v>
      </c>
      <c r="E1310" s="2"/>
      <c r="F1310" s="35">
        <v>0.29999999999999988</v>
      </c>
      <c r="G1310" s="35">
        <v>-126.71017509550177</v>
      </c>
      <c r="H1310" s="35">
        <v>15.755494867249357</v>
      </c>
      <c r="I1310" s="35">
        <v>1.4079860855781974</v>
      </c>
      <c r="J1310" s="35">
        <v>1.1471116704999652E-2</v>
      </c>
      <c r="K1310" s="35">
        <v>3.0864402893391825</v>
      </c>
      <c r="L1310" s="35">
        <v>84.701122289098478</v>
      </c>
      <c r="M1310" s="58" t="s">
        <v>22</v>
      </c>
      <c r="N1310" s="7">
        <v>11.333333333333334</v>
      </c>
      <c r="O1310" s="7" t="s">
        <v>180</v>
      </c>
      <c r="P1310" s="7" t="s">
        <v>180</v>
      </c>
    </row>
    <row r="1311" spans="1:16" x14ac:dyDescent="0.25">
      <c r="A1311" s="2" t="s">
        <v>183</v>
      </c>
      <c r="B1311" s="2" t="s">
        <v>191</v>
      </c>
      <c r="C1311" s="6" t="s">
        <v>138</v>
      </c>
      <c r="D1311" s="2" t="s">
        <v>125</v>
      </c>
      <c r="E1311" s="2"/>
      <c r="F1311" s="35">
        <v>5.3</v>
      </c>
      <c r="G1311" s="35">
        <v>-124.32841109550178</v>
      </c>
      <c r="H1311" s="35">
        <v>15.755494867249357</v>
      </c>
      <c r="I1311" s="35">
        <v>1.4079860855781974</v>
      </c>
      <c r="J1311" s="35">
        <v>1.1471116704999652E-2</v>
      </c>
      <c r="K1311" s="35">
        <v>-3.9534901385518038</v>
      </c>
      <c r="L1311" s="35">
        <v>5.923647952851697</v>
      </c>
      <c r="M1311" s="58" t="s">
        <v>24</v>
      </c>
      <c r="N1311" s="7">
        <v>11.333333333333334</v>
      </c>
      <c r="O1311" s="7" t="s">
        <v>180</v>
      </c>
      <c r="P1311" s="7" t="s">
        <v>180</v>
      </c>
    </row>
    <row r="1312" spans="1:16" x14ac:dyDescent="0.25">
      <c r="A1312" s="2" t="s">
        <v>183</v>
      </c>
      <c r="B1312" s="2" t="s">
        <v>191</v>
      </c>
      <c r="C1312" s="6" t="s">
        <v>138</v>
      </c>
      <c r="D1312" s="2" t="s">
        <v>125</v>
      </c>
      <c r="E1312" s="2"/>
      <c r="F1312" s="35">
        <v>5.3</v>
      </c>
      <c r="G1312" s="35">
        <v>-136.78258293612421</v>
      </c>
      <c r="H1312" s="35">
        <v>16.395728175875416</v>
      </c>
      <c r="I1312" s="35">
        <v>-0.18117661843258528</v>
      </c>
      <c r="J1312" s="35">
        <v>-1.8536678690951637E-3</v>
      </c>
      <c r="K1312" s="35">
        <v>-1.0279365574921706</v>
      </c>
      <c r="L1312" s="35">
        <v>5.9303747030737926</v>
      </c>
      <c r="M1312" s="58" t="s">
        <v>24</v>
      </c>
      <c r="N1312" s="7">
        <v>11.333333333333334</v>
      </c>
      <c r="O1312" s="7" t="s">
        <v>180</v>
      </c>
      <c r="P1312" s="7" t="s">
        <v>180</v>
      </c>
    </row>
    <row r="1313" spans="1:16" x14ac:dyDescent="0.25">
      <c r="A1313" s="2" t="s">
        <v>183</v>
      </c>
      <c r="B1313" s="2" t="s">
        <v>191</v>
      </c>
      <c r="C1313" s="6" t="s">
        <v>138</v>
      </c>
      <c r="D1313" s="2" t="s">
        <v>125</v>
      </c>
      <c r="E1313" s="2"/>
      <c r="F1313" s="35">
        <v>5.4149169609489114</v>
      </c>
      <c r="G1313" s="35">
        <v>-136.7278419200087</v>
      </c>
      <c r="H1313" s="35">
        <v>16.395728175875416</v>
      </c>
      <c r="I1313" s="35">
        <v>-0.18117661843258528</v>
      </c>
      <c r="J1313" s="35">
        <v>-1.8536678690951637E-3</v>
      </c>
      <c r="K1313" s="35">
        <v>-1.0071162911068974</v>
      </c>
      <c r="L1313" s="35">
        <v>4.046227448557751</v>
      </c>
      <c r="M1313" s="58" t="s">
        <v>24</v>
      </c>
      <c r="N1313" s="7">
        <v>11.333333333333334</v>
      </c>
      <c r="O1313" s="7" t="s">
        <v>180</v>
      </c>
      <c r="P1313" s="7" t="s">
        <v>180</v>
      </c>
    </row>
    <row r="1314" spans="1:16" x14ac:dyDescent="0.25">
      <c r="A1314" s="2" t="s">
        <v>183</v>
      </c>
      <c r="B1314" s="2" t="s">
        <v>191</v>
      </c>
      <c r="C1314" s="6" t="s">
        <v>138</v>
      </c>
      <c r="D1314" s="2" t="s">
        <v>125</v>
      </c>
      <c r="E1314" s="2"/>
      <c r="F1314" s="35">
        <v>10.829833921897823</v>
      </c>
      <c r="G1314" s="35">
        <v>-134.14843106389318</v>
      </c>
      <c r="H1314" s="35">
        <v>16.395728175875416</v>
      </c>
      <c r="I1314" s="35">
        <v>-0.18117661843258528</v>
      </c>
      <c r="J1314" s="35">
        <v>-1.8536678690951637E-3</v>
      </c>
      <c r="K1314" s="35">
        <v>-2.605994702892258E-2</v>
      </c>
      <c r="L1314" s="35">
        <v>-84.735279138097965</v>
      </c>
      <c r="M1314" s="58" t="s">
        <v>23</v>
      </c>
      <c r="N1314" s="7">
        <v>11.333333333333334</v>
      </c>
      <c r="O1314" s="7" t="s">
        <v>180</v>
      </c>
      <c r="P1314" s="7" t="s">
        <v>180</v>
      </c>
    </row>
    <row r="1315" spans="1:16" x14ac:dyDescent="0.25">
      <c r="A1315" s="2" t="s">
        <v>183</v>
      </c>
      <c r="B1315" s="2" t="s">
        <v>191</v>
      </c>
      <c r="C1315" s="6" t="s">
        <v>138</v>
      </c>
      <c r="D1315" s="2" t="s">
        <v>126</v>
      </c>
      <c r="E1315" s="2"/>
      <c r="F1315" s="35">
        <v>0</v>
      </c>
      <c r="G1315" s="35">
        <v>79.492093932285627</v>
      </c>
      <c r="H1315" s="35">
        <v>-9.1198579819136523</v>
      </c>
      <c r="I1315" s="35">
        <v>12.397790764377866</v>
      </c>
      <c r="J1315" s="35">
        <v>8.5501772174692542E-2</v>
      </c>
      <c r="K1315" s="35">
        <v>18.963801290645652</v>
      </c>
      <c r="L1315" s="35">
        <v>-48.14118268395827</v>
      </c>
      <c r="M1315" s="58" t="s">
        <v>22</v>
      </c>
      <c r="N1315" s="7">
        <v>11.333333333333334</v>
      </c>
      <c r="O1315" s="7" t="s">
        <v>180</v>
      </c>
      <c r="P1315" s="7" t="s">
        <v>180</v>
      </c>
    </row>
    <row r="1316" spans="1:16" x14ac:dyDescent="0.25">
      <c r="A1316" s="2" t="s">
        <v>183</v>
      </c>
      <c r="B1316" s="2" t="s">
        <v>191</v>
      </c>
      <c r="C1316" s="6" t="s">
        <v>138</v>
      </c>
      <c r="D1316" s="2" t="s">
        <v>126</v>
      </c>
      <c r="E1316" s="2"/>
      <c r="F1316" s="35">
        <v>0.29999999999999988</v>
      </c>
      <c r="G1316" s="35">
        <v>79.634999772285624</v>
      </c>
      <c r="H1316" s="35">
        <v>-9.1198579819136523</v>
      </c>
      <c r="I1316" s="35">
        <v>12.397790764377866</v>
      </c>
      <c r="J1316" s="35">
        <v>8.5501772174692542E-2</v>
      </c>
      <c r="K1316" s="35">
        <v>15.244464061332287</v>
      </c>
      <c r="L1316" s="35">
        <v>-45.405225289384184</v>
      </c>
      <c r="M1316" s="58" t="s">
        <v>22</v>
      </c>
      <c r="N1316" s="7">
        <v>11.333333333333334</v>
      </c>
      <c r="O1316" s="7" t="s">
        <v>180</v>
      </c>
      <c r="P1316" s="7" t="s">
        <v>180</v>
      </c>
    </row>
    <row r="1317" spans="1:16" x14ac:dyDescent="0.25">
      <c r="A1317" s="2" t="s">
        <v>183</v>
      </c>
      <c r="B1317" s="2" t="s">
        <v>191</v>
      </c>
      <c r="C1317" s="6" t="s">
        <v>138</v>
      </c>
      <c r="D1317" s="2" t="s">
        <v>126</v>
      </c>
      <c r="E1317" s="2"/>
      <c r="F1317" s="35">
        <v>0.29999999999999988</v>
      </c>
      <c r="G1317" s="35">
        <v>15.340073498052309</v>
      </c>
      <c r="H1317" s="35">
        <v>-8.8010839222353319</v>
      </c>
      <c r="I1317" s="35">
        <v>1.7801447351548352</v>
      </c>
      <c r="J1317" s="35">
        <v>-5.9776788385558369E-3</v>
      </c>
      <c r="K1317" s="35">
        <v>4.4146831216813442</v>
      </c>
      <c r="L1317" s="35">
        <v>-43.811007771217746</v>
      </c>
      <c r="M1317" s="58" t="s">
        <v>22</v>
      </c>
      <c r="N1317" s="7">
        <v>11.333333333333334</v>
      </c>
      <c r="O1317" s="7" t="s">
        <v>180</v>
      </c>
      <c r="P1317" s="7" t="s">
        <v>180</v>
      </c>
    </row>
    <row r="1318" spans="1:16" x14ac:dyDescent="0.25">
      <c r="A1318" s="2" t="s">
        <v>183</v>
      </c>
      <c r="B1318" s="2" t="s">
        <v>191</v>
      </c>
      <c r="C1318" s="6" t="s">
        <v>138</v>
      </c>
      <c r="D1318" s="2" t="s">
        <v>126</v>
      </c>
      <c r="E1318" s="2"/>
      <c r="F1318" s="35">
        <v>5.3</v>
      </c>
      <c r="G1318" s="35">
        <v>17.721837498052306</v>
      </c>
      <c r="H1318" s="35">
        <v>-8.8010839222353319</v>
      </c>
      <c r="I1318" s="35">
        <v>1.7801447351548352</v>
      </c>
      <c r="J1318" s="35">
        <v>-5.9776788385558369E-3</v>
      </c>
      <c r="K1318" s="35">
        <v>-4.4860405540928312</v>
      </c>
      <c r="L1318" s="35">
        <v>0.19441183995891545</v>
      </c>
      <c r="M1318" s="58" t="s">
        <v>24</v>
      </c>
      <c r="N1318" s="7">
        <v>11.333333333333334</v>
      </c>
      <c r="O1318" s="7" t="s">
        <v>180</v>
      </c>
      <c r="P1318" s="7" t="s">
        <v>180</v>
      </c>
    </row>
    <row r="1319" spans="1:16" x14ac:dyDescent="0.25">
      <c r="A1319" s="2" t="s">
        <v>183</v>
      </c>
      <c r="B1319" s="2" t="s">
        <v>191</v>
      </c>
      <c r="C1319" s="6" t="s">
        <v>138</v>
      </c>
      <c r="D1319" s="2" t="s">
        <v>126</v>
      </c>
      <c r="E1319" s="2"/>
      <c r="F1319" s="35">
        <v>5.3</v>
      </c>
      <c r="G1319" s="35">
        <v>71.818174771512062</v>
      </c>
      <c r="H1319" s="35">
        <v>-9.1192424823882234</v>
      </c>
      <c r="I1319" s="35">
        <v>-0.46165930167060476</v>
      </c>
      <c r="J1319" s="35">
        <v>-3.6491784104434021E-4</v>
      </c>
      <c r="K1319" s="35">
        <v>-2.7193147013237402</v>
      </c>
      <c r="L1319" s="35">
        <v>0.19341815630268208</v>
      </c>
      <c r="M1319" s="58" t="s">
        <v>24</v>
      </c>
      <c r="N1319" s="7">
        <v>11.333333333333334</v>
      </c>
      <c r="O1319" s="7" t="s">
        <v>180</v>
      </c>
      <c r="P1319" s="7" t="s">
        <v>180</v>
      </c>
    </row>
    <row r="1320" spans="1:16" x14ac:dyDescent="0.25">
      <c r="A1320" s="2" t="s">
        <v>183</v>
      </c>
      <c r="B1320" s="2" t="s">
        <v>191</v>
      </c>
      <c r="C1320" s="6" t="s">
        <v>138</v>
      </c>
      <c r="D1320" s="2" t="s">
        <v>126</v>
      </c>
      <c r="E1320" s="2"/>
      <c r="F1320" s="35">
        <v>5.4149169609489114</v>
      </c>
      <c r="G1320" s="35">
        <v>71.872915787627562</v>
      </c>
      <c r="H1320" s="35">
        <v>-9.1192424823882234</v>
      </c>
      <c r="I1320" s="35">
        <v>-0.46165930167060476</v>
      </c>
      <c r="J1320" s="35">
        <v>-3.6491784104434021E-4</v>
      </c>
      <c r="K1320" s="35">
        <v>-2.666262217381957</v>
      </c>
      <c r="L1320" s="35">
        <v>1.2413737885349445</v>
      </c>
      <c r="M1320" s="58" t="s">
        <v>24</v>
      </c>
      <c r="N1320" s="7">
        <v>11.333333333333334</v>
      </c>
      <c r="O1320" s="7" t="s">
        <v>180</v>
      </c>
      <c r="P1320" s="7" t="s">
        <v>180</v>
      </c>
    </row>
    <row r="1321" spans="1:16" x14ac:dyDescent="0.25">
      <c r="A1321" s="2" t="s">
        <v>183</v>
      </c>
      <c r="B1321" s="2" t="s">
        <v>191</v>
      </c>
      <c r="C1321" s="6" t="s">
        <v>138</v>
      </c>
      <c r="D1321" s="2" t="s">
        <v>126</v>
      </c>
      <c r="E1321" s="2"/>
      <c r="F1321" s="35">
        <v>10.829833921897823</v>
      </c>
      <c r="G1321" s="35">
        <v>74.452326643743078</v>
      </c>
      <c r="H1321" s="35">
        <v>-9.1192424823882234</v>
      </c>
      <c r="I1321" s="35">
        <v>-0.46165930167060476</v>
      </c>
      <c r="J1321" s="35">
        <v>-3.6491784104434021E-4</v>
      </c>
      <c r="K1321" s="35">
        <v>-0.1664154345859705</v>
      </c>
      <c r="L1321" s="35">
        <v>50.621314577424776</v>
      </c>
      <c r="M1321" s="58" t="s">
        <v>23</v>
      </c>
      <c r="N1321" s="7">
        <v>11.333333333333334</v>
      </c>
      <c r="O1321" s="7" t="s">
        <v>180</v>
      </c>
      <c r="P1321" s="7" t="s">
        <v>180</v>
      </c>
    </row>
    <row r="1322" spans="1:16" x14ac:dyDescent="0.25">
      <c r="A1322" s="2" t="s">
        <v>183</v>
      </c>
      <c r="B1322" s="2" t="s">
        <v>191</v>
      </c>
      <c r="C1322" s="6" t="s">
        <v>138</v>
      </c>
      <c r="D1322" s="2" t="s">
        <v>127</v>
      </c>
      <c r="E1322" s="2"/>
      <c r="F1322" s="35">
        <v>0</v>
      </c>
      <c r="G1322" s="35">
        <v>-39.851988235909729</v>
      </c>
      <c r="H1322" s="35">
        <v>-18.795223168247375</v>
      </c>
      <c r="I1322" s="35">
        <v>6.8479893054370864</v>
      </c>
      <c r="J1322" s="35">
        <v>0.19896305006951157</v>
      </c>
      <c r="K1322" s="35">
        <v>11.960726454991821</v>
      </c>
      <c r="L1322" s="35">
        <v>-107.53236080575452</v>
      </c>
      <c r="M1322" s="58" t="s">
        <v>22</v>
      </c>
      <c r="N1322" s="7">
        <v>11.333333333333334</v>
      </c>
      <c r="O1322" s="7" t="s">
        <v>180</v>
      </c>
      <c r="P1322" s="7" t="s">
        <v>180</v>
      </c>
    </row>
    <row r="1323" spans="1:16" x14ac:dyDescent="0.25">
      <c r="A1323" s="2" t="s">
        <v>183</v>
      </c>
      <c r="B1323" s="2" t="s">
        <v>191</v>
      </c>
      <c r="C1323" s="6" t="s">
        <v>138</v>
      </c>
      <c r="D1323" s="2" t="s">
        <v>127</v>
      </c>
      <c r="E1323" s="2"/>
      <c r="F1323" s="35">
        <v>0.29999999999999988</v>
      </c>
      <c r="G1323" s="35">
        <v>-39.709082395909739</v>
      </c>
      <c r="H1323" s="35">
        <v>-18.795223168247375</v>
      </c>
      <c r="I1323" s="35">
        <v>6.8479893054370864</v>
      </c>
      <c r="J1323" s="35">
        <v>0.19896305006951157</v>
      </c>
      <c r="K1323" s="35">
        <v>9.9063296633606956</v>
      </c>
      <c r="L1323" s="35">
        <v>-101.89379385528029</v>
      </c>
      <c r="M1323" s="58" t="s">
        <v>22</v>
      </c>
      <c r="N1323" s="7">
        <v>11.333333333333334</v>
      </c>
      <c r="O1323" s="7" t="s">
        <v>180</v>
      </c>
      <c r="P1323" s="7" t="s">
        <v>180</v>
      </c>
    </row>
    <row r="1324" spans="1:16" x14ac:dyDescent="0.25">
      <c r="A1324" s="2" t="s">
        <v>183</v>
      </c>
      <c r="B1324" s="2" t="s">
        <v>191</v>
      </c>
      <c r="C1324" s="6" t="s">
        <v>138</v>
      </c>
      <c r="D1324" s="2" t="s">
        <v>127</v>
      </c>
      <c r="E1324" s="2"/>
      <c r="F1324" s="35">
        <v>0.29999999999999988</v>
      </c>
      <c r="G1324" s="35">
        <v>-54.650276608160006</v>
      </c>
      <c r="H1324" s="35">
        <v>-18.054387097601097</v>
      </c>
      <c r="I1324" s="35">
        <v>1.2079040456632528</v>
      </c>
      <c r="J1324" s="35">
        <v>-1.3974551403591443E-2</v>
      </c>
      <c r="K1324" s="35">
        <v>2.8160336066968914</v>
      </c>
      <c r="L1324" s="35">
        <v>-98.182226643606526</v>
      </c>
      <c r="M1324" s="58" t="s">
        <v>22</v>
      </c>
      <c r="N1324" s="7">
        <v>11.333333333333334</v>
      </c>
      <c r="O1324" s="7" t="s">
        <v>180</v>
      </c>
      <c r="P1324" s="7" t="s">
        <v>180</v>
      </c>
    </row>
    <row r="1325" spans="1:16" x14ac:dyDescent="0.25">
      <c r="A1325" s="2" t="s">
        <v>183</v>
      </c>
      <c r="B1325" s="2" t="s">
        <v>191</v>
      </c>
      <c r="C1325" s="6" t="s">
        <v>138</v>
      </c>
      <c r="D1325" s="2" t="s">
        <v>127</v>
      </c>
      <c r="E1325" s="2"/>
      <c r="F1325" s="35">
        <v>5.3</v>
      </c>
      <c r="G1325" s="35">
        <v>-52.268512608160009</v>
      </c>
      <c r="H1325" s="35">
        <v>-18.054387097601097</v>
      </c>
      <c r="I1325" s="35">
        <v>1.2079040456632528</v>
      </c>
      <c r="J1325" s="35">
        <v>-1.3974551403591443E-2</v>
      </c>
      <c r="K1325" s="35">
        <v>-3.2234866216193736</v>
      </c>
      <c r="L1325" s="35">
        <v>-7.9102911556010378</v>
      </c>
      <c r="M1325" s="58" t="s">
        <v>24</v>
      </c>
      <c r="N1325" s="7">
        <v>11.333333333333334</v>
      </c>
      <c r="O1325" s="7" t="s">
        <v>180</v>
      </c>
      <c r="P1325" s="7" t="s">
        <v>180</v>
      </c>
    </row>
    <row r="1326" spans="1:16" x14ac:dyDescent="0.25">
      <c r="A1326" s="2" t="s">
        <v>183</v>
      </c>
      <c r="B1326" s="2" t="s">
        <v>191</v>
      </c>
      <c r="C1326" s="6" t="s">
        <v>138</v>
      </c>
      <c r="D1326" s="2" t="s">
        <v>127</v>
      </c>
      <c r="E1326" s="2"/>
      <c r="F1326" s="35">
        <v>5.3</v>
      </c>
      <c r="G1326" s="35">
        <v>-41.216376780414528</v>
      </c>
      <c r="H1326" s="35">
        <v>-18.79375719307167</v>
      </c>
      <c r="I1326" s="35">
        <v>-0.23674682769984215</v>
      </c>
      <c r="J1326" s="35">
        <v>8.0701985593205924E-4</v>
      </c>
      <c r="K1326" s="35">
        <v>-1.3627465398073011</v>
      </c>
      <c r="L1326" s="35">
        <v>-7.919175653625417</v>
      </c>
      <c r="M1326" s="58" t="s">
        <v>24</v>
      </c>
      <c r="N1326" s="7">
        <v>11.333333333333334</v>
      </c>
      <c r="O1326" s="7" t="s">
        <v>180</v>
      </c>
      <c r="P1326" s="7" t="s">
        <v>180</v>
      </c>
    </row>
    <row r="1327" spans="1:16" x14ac:dyDescent="0.25">
      <c r="A1327" s="2" t="s">
        <v>183</v>
      </c>
      <c r="B1327" s="2" t="s">
        <v>191</v>
      </c>
      <c r="C1327" s="6" t="s">
        <v>138</v>
      </c>
      <c r="D1327" s="2" t="s">
        <v>127</v>
      </c>
      <c r="E1327" s="2"/>
      <c r="F1327" s="35">
        <v>5.4149169609489114</v>
      </c>
      <c r="G1327" s="35">
        <v>-41.161635764299035</v>
      </c>
      <c r="H1327" s="35">
        <v>-18.79375719307167</v>
      </c>
      <c r="I1327" s="35">
        <v>-0.23674682769984215</v>
      </c>
      <c r="J1327" s="35">
        <v>8.0701985593205924E-4</v>
      </c>
      <c r="K1327" s="35">
        <v>-1.3355403138537398</v>
      </c>
      <c r="L1327" s="35">
        <v>-5.759454192185876</v>
      </c>
      <c r="M1327" s="58" t="s">
        <v>24</v>
      </c>
      <c r="N1327" s="7">
        <v>11.333333333333334</v>
      </c>
      <c r="O1327" s="7" t="s">
        <v>180</v>
      </c>
      <c r="P1327" s="7" t="s">
        <v>180</v>
      </c>
    </row>
    <row r="1328" spans="1:16" x14ac:dyDescent="0.25">
      <c r="A1328" s="2" t="s">
        <v>183</v>
      </c>
      <c r="B1328" s="2" t="s">
        <v>191</v>
      </c>
      <c r="C1328" s="6" t="s">
        <v>138</v>
      </c>
      <c r="D1328" s="2" t="s">
        <v>127</v>
      </c>
      <c r="E1328" s="2"/>
      <c r="F1328" s="35">
        <v>10.829833921897823</v>
      </c>
      <c r="G1328" s="35">
        <v>-38.58222490818352</v>
      </c>
      <c r="H1328" s="35">
        <v>-18.79375719307167</v>
      </c>
      <c r="I1328" s="35">
        <v>-0.23674682769984215</v>
      </c>
      <c r="J1328" s="35">
        <v>8.0701985593205924E-4</v>
      </c>
      <c r="K1328" s="35">
        <v>-5.3575901091015433E-2</v>
      </c>
      <c r="L1328" s="35">
        <v>96.007180392533485</v>
      </c>
      <c r="M1328" s="58" t="s">
        <v>23</v>
      </c>
      <c r="N1328" s="7">
        <v>11.333333333333334</v>
      </c>
      <c r="O1328" s="7" t="s">
        <v>180</v>
      </c>
      <c r="P1328" s="7" t="s">
        <v>180</v>
      </c>
    </row>
    <row r="1329" spans="1:16" x14ac:dyDescent="0.25">
      <c r="A1329" s="2" t="s">
        <v>183</v>
      </c>
      <c r="B1329" s="2" t="s">
        <v>192</v>
      </c>
      <c r="C1329" s="6" t="s">
        <v>139</v>
      </c>
      <c r="D1329" s="2" t="s">
        <v>105</v>
      </c>
      <c r="E1329" s="2"/>
      <c r="F1329" s="35">
        <v>0</v>
      </c>
      <c r="G1329" s="35">
        <v>-98.968437740095979</v>
      </c>
      <c r="H1329" s="35">
        <v>-2.8081527952221763</v>
      </c>
      <c r="I1329" s="35">
        <v>-1.2515995963861903</v>
      </c>
      <c r="J1329" s="35">
        <v>-1.6097173602535908E-4</v>
      </c>
      <c r="K1329" s="35">
        <v>-0.21375002318631239</v>
      </c>
      <c r="L1329" s="35">
        <v>-8.4936665978774144</v>
      </c>
      <c r="M1329" s="58" t="s">
        <v>22</v>
      </c>
      <c r="N1329" s="7">
        <v>11.333333333333334</v>
      </c>
      <c r="O1329" s="7" t="s">
        <v>180</v>
      </c>
      <c r="P1329" s="7" t="s">
        <v>180</v>
      </c>
    </row>
    <row r="1330" spans="1:16" x14ac:dyDescent="0.25">
      <c r="A1330" s="2" t="s">
        <v>183</v>
      </c>
      <c r="B1330" s="2" t="s">
        <v>192</v>
      </c>
      <c r="C1330" s="6" t="s">
        <v>139</v>
      </c>
      <c r="D1330" s="2" t="s">
        <v>105</v>
      </c>
      <c r="E1330" s="2"/>
      <c r="F1330" s="35">
        <v>0.29999999999999988</v>
      </c>
      <c r="G1330" s="35">
        <v>-98.825531900095967</v>
      </c>
      <c r="H1330" s="35">
        <v>-2.8081527952221763</v>
      </c>
      <c r="I1330" s="35">
        <v>-1.2515995963861903</v>
      </c>
      <c r="J1330" s="35">
        <v>-1.6097173602535908E-4</v>
      </c>
      <c r="K1330" s="35">
        <v>0.16172985572954465</v>
      </c>
      <c r="L1330" s="35">
        <v>-7.6512207593107631</v>
      </c>
      <c r="M1330" s="58" t="s">
        <v>22</v>
      </c>
      <c r="N1330" s="7">
        <v>11.333333333333334</v>
      </c>
      <c r="O1330" s="7" t="s">
        <v>180</v>
      </c>
      <c r="P1330" s="7" t="s">
        <v>180</v>
      </c>
    </row>
    <row r="1331" spans="1:16" x14ac:dyDescent="0.25">
      <c r="A1331" s="2" t="s">
        <v>183</v>
      </c>
      <c r="B1331" s="2" t="s">
        <v>192</v>
      </c>
      <c r="C1331" s="6" t="s">
        <v>139</v>
      </c>
      <c r="D1331" s="2" t="s">
        <v>105</v>
      </c>
      <c r="E1331" s="2"/>
      <c r="F1331" s="35">
        <v>0.29999999999999988</v>
      </c>
      <c r="G1331" s="35">
        <v>-76.212500756742415</v>
      </c>
      <c r="H1331" s="35">
        <v>-2.8081527952221688</v>
      </c>
      <c r="I1331" s="35">
        <v>5.8208026184267792E-2</v>
      </c>
      <c r="J1331" s="35">
        <v>1.1372888225830245E-4</v>
      </c>
      <c r="K1331" s="35">
        <v>0.16172985572954424</v>
      </c>
      <c r="L1331" s="35">
        <v>-7.6512042772736617</v>
      </c>
      <c r="M1331" s="58" t="s">
        <v>22</v>
      </c>
      <c r="N1331" s="7">
        <v>11.333333333333334</v>
      </c>
      <c r="O1331" s="7" t="s">
        <v>180</v>
      </c>
      <c r="P1331" s="7" t="s">
        <v>180</v>
      </c>
    </row>
    <row r="1332" spans="1:16" x14ac:dyDescent="0.25">
      <c r="A1332" s="2" t="s">
        <v>183</v>
      </c>
      <c r="B1332" s="2" t="s">
        <v>192</v>
      </c>
      <c r="C1332" s="6" t="s">
        <v>139</v>
      </c>
      <c r="D1332" s="2" t="s">
        <v>105</v>
      </c>
      <c r="E1332" s="2"/>
      <c r="F1332" s="35">
        <v>5.3</v>
      </c>
      <c r="G1332" s="35">
        <v>-73.830736756742425</v>
      </c>
      <c r="H1332" s="35">
        <v>-2.8081527952221688</v>
      </c>
      <c r="I1332" s="35">
        <v>5.8208026184267792E-2</v>
      </c>
      <c r="J1332" s="35">
        <v>1.1372888225830245E-4</v>
      </c>
      <c r="K1332" s="35">
        <v>-0.12931027519179469</v>
      </c>
      <c r="L1332" s="35">
        <v>6.3895596988371821</v>
      </c>
      <c r="M1332" s="58" t="s">
        <v>24</v>
      </c>
      <c r="N1332" s="7">
        <v>11.333333333333334</v>
      </c>
      <c r="O1332" s="7" t="s">
        <v>180</v>
      </c>
      <c r="P1332" s="7" t="s">
        <v>180</v>
      </c>
    </row>
    <row r="1333" spans="1:16" x14ac:dyDescent="0.25">
      <c r="A1333" s="2" t="s">
        <v>183</v>
      </c>
      <c r="B1333" s="2" t="s">
        <v>192</v>
      </c>
      <c r="C1333" s="6" t="s">
        <v>139</v>
      </c>
      <c r="D1333" s="2" t="s">
        <v>105</v>
      </c>
      <c r="E1333" s="2"/>
      <c r="F1333" s="35">
        <v>5.3</v>
      </c>
      <c r="G1333" s="35">
        <v>-91.994488360790058</v>
      </c>
      <c r="H1333" s="35">
        <v>-2.80825137536642</v>
      </c>
      <c r="I1333" s="35">
        <v>-3.2429937560648721E-2</v>
      </c>
      <c r="J1333" s="35">
        <v>3.8727482389554656E-5</v>
      </c>
      <c r="K1333" s="35">
        <v>-0.12931027519179469</v>
      </c>
      <c r="L1333" s="35">
        <v>6.3892539675092612</v>
      </c>
      <c r="M1333" s="58" t="s">
        <v>24</v>
      </c>
      <c r="N1333" s="7">
        <v>11.333333333333334</v>
      </c>
      <c r="O1333" s="7" t="s">
        <v>180</v>
      </c>
      <c r="P1333" s="7" t="s">
        <v>180</v>
      </c>
    </row>
    <row r="1334" spans="1:16" x14ac:dyDescent="0.25">
      <c r="A1334" s="2" t="s">
        <v>183</v>
      </c>
      <c r="B1334" s="2" t="s">
        <v>192</v>
      </c>
      <c r="C1334" s="6" t="s">
        <v>139</v>
      </c>
      <c r="D1334" s="2" t="s">
        <v>105</v>
      </c>
      <c r="E1334" s="2"/>
      <c r="F1334" s="35">
        <v>5.4149169609489114</v>
      </c>
      <c r="G1334" s="35">
        <v>-91.939747344674544</v>
      </c>
      <c r="H1334" s="35">
        <v>-2.80825137536642</v>
      </c>
      <c r="I1334" s="35">
        <v>-3.2429937560648721E-2</v>
      </c>
      <c r="J1334" s="35">
        <v>3.8727482389554656E-5</v>
      </c>
      <c r="K1334" s="35">
        <v>-0.12558352532356201</v>
      </c>
      <c r="L1334" s="35">
        <v>6.7119696811469725</v>
      </c>
      <c r="M1334" s="58" t="s">
        <v>24</v>
      </c>
      <c r="N1334" s="7">
        <v>11.333333333333334</v>
      </c>
      <c r="O1334" s="7" t="s">
        <v>180</v>
      </c>
      <c r="P1334" s="7" t="s">
        <v>180</v>
      </c>
    </row>
    <row r="1335" spans="1:16" x14ac:dyDescent="0.25">
      <c r="A1335" s="2" t="s">
        <v>183</v>
      </c>
      <c r="B1335" s="2" t="s">
        <v>192</v>
      </c>
      <c r="C1335" s="6" t="s">
        <v>139</v>
      </c>
      <c r="D1335" s="2" t="s">
        <v>105</v>
      </c>
      <c r="E1335" s="2"/>
      <c r="F1335" s="35">
        <v>10.829833921897823</v>
      </c>
      <c r="G1335" s="35">
        <v>-89.360336488559042</v>
      </c>
      <c r="H1335" s="35">
        <v>-2.80825137536642</v>
      </c>
      <c r="I1335" s="35">
        <v>-3.2429937560648721E-2</v>
      </c>
      <c r="J1335" s="35">
        <v>3.8727482389554656E-5</v>
      </c>
      <c r="K1335" s="35">
        <v>5.0021893616108849E-2</v>
      </c>
      <c r="L1335" s="35">
        <v>21.918417684226704</v>
      </c>
      <c r="M1335" s="58" t="s">
        <v>23</v>
      </c>
      <c r="N1335" s="7">
        <v>11.333333333333334</v>
      </c>
      <c r="O1335" s="7" t="s">
        <v>180</v>
      </c>
      <c r="P1335" s="7" t="s">
        <v>180</v>
      </c>
    </row>
    <row r="1336" spans="1:16" x14ac:dyDescent="0.25">
      <c r="A1336" s="2" t="s">
        <v>183</v>
      </c>
      <c r="B1336" s="2" t="s">
        <v>192</v>
      </c>
      <c r="C1336" s="6" t="s">
        <v>139</v>
      </c>
      <c r="D1336" s="2" t="s">
        <v>15</v>
      </c>
      <c r="E1336" s="2"/>
      <c r="F1336" s="35">
        <v>0</v>
      </c>
      <c r="G1336" s="35">
        <v>186.87238634650083</v>
      </c>
      <c r="H1336" s="35">
        <v>12.182481782272301</v>
      </c>
      <c r="I1336" s="35">
        <v>-4.4456870699474917</v>
      </c>
      <c r="J1336" s="35">
        <v>1.2140010825262757E-3</v>
      </c>
      <c r="K1336" s="35">
        <v>-7.8427948130410412</v>
      </c>
      <c r="L1336" s="35">
        <v>42.716030763920948</v>
      </c>
      <c r="M1336" s="58" t="s">
        <v>22</v>
      </c>
      <c r="N1336" s="7">
        <v>11.333333333333334</v>
      </c>
      <c r="O1336" s="7" t="s">
        <v>180</v>
      </c>
      <c r="P1336" s="7" t="s">
        <v>180</v>
      </c>
    </row>
    <row r="1337" spans="1:16" x14ac:dyDescent="0.25">
      <c r="A1337" s="2" t="s">
        <v>183</v>
      </c>
      <c r="B1337" s="2" t="s">
        <v>192</v>
      </c>
      <c r="C1337" s="6" t="s">
        <v>139</v>
      </c>
      <c r="D1337" s="2" t="s">
        <v>15</v>
      </c>
      <c r="E1337" s="2"/>
      <c r="F1337" s="35">
        <v>0.29999999999999988</v>
      </c>
      <c r="G1337" s="35">
        <v>187.01529218650083</v>
      </c>
      <c r="H1337" s="35">
        <v>12.182481782272301</v>
      </c>
      <c r="I1337" s="35">
        <v>-4.4456870699474917</v>
      </c>
      <c r="J1337" s="35">
        <v>1.2140010825262757E-3</v>
      </c>
      <c r="K1337" s="35">
        <v>-6.5090886920567952</v>
      </c>
      <c r="L1337" s="35">
        <v>39.061286229239258</v>
      </c>
      <c r="M1337" s="58" t="s">
        <v>22</v>
      </c>
      <c r="N1337" s="7">
        <v>11.333333333333334</v>
      </c>
      <c r="O1337" s="7" t="s">
        <v>180</v>
      </c>
      <c r="P1337" s="7" t="s">
        <v>180</v>
      </c>
    </row>
    <row r="1338" spans="1:16" x14ac:dyDescent="0.25">
      <c r="A1338" s="2" t="s">
        <v>183</v>
      </c>
      <c r="B1338" s="2" t="s">
        <v>192</v>
      </c>
      <c r="C1338" s="6" t="s">
        <v>139</v>
      </c>
      <c r="D1338" s="2" t="s">
        <v>15</v>
      </c>
      <c r="E1338" s="2"/>
      <c r="F1338" s="35">
        <v>0.29999999999999988</v>
      </c>
      <c r="G1338" s="35">
        <v>226.43515351504544</v>
      </c>
      <c r="H1338" s="35">
        <v>12.182481782272307</v>
      </c>
      <c r="I1338" s="35">
        <v>-2.1274696362655745</v>
      </c>
      <c r="J1338" s="35">
        <v>-2.9080249801793044E-4</v>
      </c>
      <c r="K1338" s="35">
        <v>-6.5090886920567996</v>
      </c>
      <c r="L1338" s="35">
        <v>39.061195941024401</v>
      </c>
      <c r="M1338" s="58" t="s">
        <v>22</v>
      </c>
      <c r="N1338" s="7">
        <v>11.333333333333334</v>
      </c>
      <c r="O1338" s="7" t="s">
        <v>180</v>
      </c>
      <c r="P1338" s="7" t="s">
        <v>180</v>
      </c>
    </row>
    <row r="1339" spans="1:16" x14ac:dyDescent="0.25">
      <c r="A1339" s="2" t="s">
        <v>183</v>
      </c>
      <c r="B1339" s="2" t="s">
        <v>192</v>
      </c>
      <c r="C1339" s="6" t="s">
        <v>139</v>
      </c>
      <c r="D1339" s="2" t="s">
        <v>15</v>
      </c>
      <c r="E1339" s="2"/>
      <c r="F1339" s="35">
        <v>5.3</v>
      </c>
      <c r="G1339" s="35">
        <v>228.81691751504545</v>
      </c>
      <c r="H1339" s="35">
        <v>12.182481782272307</v>
      </c>
      <c r="I1339" s="35">
        <v>-2.1274696362655745</v>
      </c>
      <c r="J1339" s="35">
        <v>-2.9080249801793044E-4</v>
      </c>
      <c r="K1339" s="35">
        <v>4.1282594892710742</v>
      </c>
      <c r="L1339" s="35">
        <v>-21.851212970337137</v>
      </c>
      <c r="M1339" s="58" t="s">
        <v>24</v>
      </c>
      <c r="N1339" s="7">
        <v>11.333333333333334</v>
      </c>
      <c r="O1339" s="7" t="s">
        <v>180</v>
      </c>
      <c r="P1339" s="7" t="s">
        <v>180</v>
      </c>
    </row>
    <row r="1340" spans="1:16" x14ac:dyDescent="0.25">
      <c r="A1340" s="2" t="s">
        <v>183</v>
      </c>
      <c r="B1340" s="2" t="s">
        <v>192</v>
      </c>
      <c r="C1340" s="6" t="s">
        <v>139</v>
      </c>
      <c r="D1340" s="2" t="s">
        <v>15</v>
      </c>
      <c r="E1340" s="2"/>
      <c r="F1340" s="35">
        <v>5.3</v>
      </c>
      <c r="G1340" s="35">
        <v>199.82581841190395</v>
      </c>
      <c r="H1340" s="35">
        <v>12.182911314175872</v>
      </c>
      <c r="I1340" s="35">
        <v>0.67330473996899454</v>
      </c>
      <c r="J1340" s="35">
        <v>7.3052990420704891E-6</v>
      </c>
      <c r="K1340" s="35">
        <v>4.1282594892710751</v>
      </c>
      <c r="L1340" s="35">
        <v>-21.849307712947901</v>
      </c>
      <c r="M1340" s="58" t="s">
        <v>24</v>
      </c>
      <c r="N1340" s="7">
        <v>11.333333333333334</v>
      </c>
      <c r="O1340" s="7" t="s">
        <v>180</v>
      </c>
      <c r="P1340" s="7" t="s">
        <v>180</v>
      </c>
    </row>
    <row r="1341" spans="1:16" x14ac:dyDescent="0.25">
      <c r="A1341" s="2" t="s">
        <v>183</v>
      </c>
      <c r="B1341" s="2" t="s">
        <v>192</v>
      </c>
      <c r="C1341" s="6" t="s">
        <v>139</v>
      </c>
      <c r="D1341" s="2" t="s">
        <v>15</v>
      </c>
      <c r="E1341" s="2"/>
      <c r="F1341" s="35">
        <v>5.4149169609489114</v>
      </c>
      <c r="G1341" s="35">
        <v>199.88055942801947</v>
      </c>
      <c r="H1341" s="35">
        <v>12.182911314175872</v>
      </c>
      <c r="I1341" s="35">
        <v>0.67330473996899454</v>
      </c>
      <c r="J1341" s="35">
        <v>7.3052990420704891E-6</v>
      </c>
      <c r="K1341" s="35">
        <v>4.0508853547613413</v>
      </c>
      <c r="L1341" s="35">
        <v>-23.249330856683098</v>
      </c>
      <c r="M1341" s="58" t="s">
        <v>24</v>
      </c>
      <c r="N1341" s="7">
        <v>11.333333333333334</v>
      </c>
      <c r="O1341" s="7" t="s">
        <v>180</v>
      </c>
      <c r="P1341" s="7" t="s">
        <v>180</v>
      </c>
    </row>
    <row r="1342" spans="1:16" x14ac:dyDescent="0.25">
      <c r="A1342" s="2" t="s">
        <v>183</v>
      </c>
      <c r="B1342" s="2" t="s">
        <v>192</v>
      </c>
      <c r="C1342" s="6" t="s">
        <v>139</v>
      </c>
      <c r="D1342" s="2" t="s">
        <v>15</v>
      </c>
      <c r="E1342" s="2"/>
      <c r="F1342" s="35">
        <v>10.829833921897823</v>
      </c>
      <c r="G1342" s="35">
        <v>202.45997028413495</v>
      </c>
      <c r="H1342" s="35">
        <v>12.182911314175872</v>
      </c>
      <c r="I1342" s="35">
        <v>0.67330473996899454</v>
      </c>
      <c r="J1342" s="35">
        <v>7.3052990420704891E-6</v>
      </c>
      <c r="K1342" s="35">
        <v>0.40499609841593742</v>
      </c>
      <c r="L1342" s="35">
        <v>-89.218783965550386</v>
      </c>
      <c r="M1342" s="58" t="s">
        <v>23</v>
      </c>
      <c r="N1342" s="7">
        <v>11.333333333333334</v>
      </c>
      <c r="O1342" s="7" t="s">
        <v>180</v>
      </c>
      <c r="P1342" s="7" t="s">
        <v>180</v>
      </c>
    </row>
    <row r="1343" spans="1:16" x14ac:dyDescent="0.25">
      <c r="A1343" s="2" t="s">
        <v>183</v>
      </c>
      <c r="B1343" s="2" t="s">
        <v>192</v>
      </c>
      <c r="C1343" s="6" t="s">
        <v>139</v>
      </c>
      <c r="D1343" s="2" t="s">
        <v>16</v>
      </c>
      <c r="E1343" s="2"/>
      <c r="F1343" s="35">
        <v>0</v>
      </c>
      <c r="G1343" s="35">
        <v>105.1781232293644</v>
      </c>
      <c r="H1343" s="35">
        <v>8.4381510183190986</v>
      </c>
      <c r="I1343" s="35">
        <v>-8.1808622690428994</v>
      </c>
      <c r="J1343" s="35">
        <v>6.8009336951202286E-4</v>
      </c>
      <c r="K1343" s="35">
        <v>-11.804887719861823</v>
      </c>
      <c r="L1343" s="35">
        <v>30.053719099268182</v>
      </c>
      <c r="M1343" s="58" t="s">
        <v>22</v>
      </c>
      <c r="N1343" s="7">
        <v>11.333333333333334</v>
      </c>
      <c r="O1343" s="7" t="s">
        <v>180</v>
      </c>
      <c r="P1343" s="7" t="s">
        <v>180</v>
      </c>
    </row>
    <row r="1344" spans="1:16" x14ac:dyDescent="0.25">
      <c r="A1344" s="2" t="s">
        <v>183</v>
      </c>
      <c r="B1344" s="2" t="s">
        <v>192</v>
      </c>
      <c r="C1344" s="6" t="s">
        <v>139</v>
      </c>
      <c r="D1344" s="2" t="s">
        <v>16</v>
      </c>
      <c r="E1344" s="2"/>
      <c r="F1344" s="35">
        <v>0.29999999999999988</v>
      </c>
      <c r="G1344" s="35">
        <v>105.32102906936441</v>
      </c>
      <c r="H1344" s="35">
        <v>8.4381510183190986</v>
      </c>
      <c r="I1344" s="35">
        <v>-8.1808622690428994</v>
      </c>
      <c r="J1344" s="35">
        <v>6.8009336951202286E-4</v>
      </c>
      <c r="K1344" s="35">
        <v>-9.3506290391489539</v>
      </c>
      <c r="L1344" s="35">
        <v>27.522273793772452</v>
      </c>
      <c r="M1344" s="58" t="s">
        <v>22</v>
      </c>
      <c r="N1344" s="7">
        <v>11.333333333333334</v>
      </c>
      <c r="O1344" s="7" t="s">
        <v>180</v>
      </c>
      <c r="P1344" s="7" t="s">
        <v>180</v>
      </c>
    </row>
    <row r="1345" spans="1:16" x14ac:dyDescent="0.25">
      <c r="A1345" s="2" t="s">
        <v>183</v>
      </c>
      <c r="B1345" s="2" t="s">
        <v>192</v>
      </c>
      <c r="C1345" s="6" t="s">
        <v>139</v>
      </c>
      <c r="D1345" s="2" t="s">
        <v>16</v>
      </c>
      <c r="E1345" s="2"/>
      <c r="F1345" s="35">
        <v>0.29999999999999988</v>
      </c>
      <c r="G1345" s="35">
        <v>191.3955902621291</v>
      </c>
      <c r="H1345" s="35">
        <v>8.438151018319104</v>
      </c>
      <c r="I1345" s="35">
        <v>-3.0633628435077891</v>
      </c>
      <c r="J1345" s="35">
        <v>-4.15681619810205E-4</v>
      </c>
      <c r="K1345" s="35">
        <v>-9.350629039148961</v>
      </c>
      <c r="L1345" s="35">
        <v>27.522208047273079</v>
      </c>
      <c r="M1345" s="58" t="s">
        <v>22</v>
      </c>
      <c r="N1345" s="7">
        <v>11.333333333333334</v>
      </c>
      <c r="O1345" s="7" t="s">
        <v>180</v>
      </c>
      <c r="P1345" s="7" t="s">
        <v>180</v>
      </c>
    </row>
    <row r="1346" spans="1:16" x14ac:dyDescent="0.25">
      <c r="A1346" s="2" t="s">
        <v>183</v>
      </c>
      <c r="B1346" s="2" t="s">
        <v>192</v>
      </c>
      <c r="C1346" s="6" t="s">
        <v>139</v>
      </c>
      <c r="D1346" s="2" t="s">
        <v>16</v>
      </c>
      <c r="E1346" s="2"/>
      <c r="F1346" s="35">
        <v>5.3</v>
      </c>
      <c r="G1346" s="35">
        <v>193.77735426212911</v>
      </c>
      <c r="H1346" s="35">
        <v>8.438151018319104</v>
      </c>
      <c r="I1346" s="35">
        <v>-3.0633628435077891</v>
      </c>
      <c r="J1346" s="35">
        <v>-4.15681619810205E-4</v>
      </c>
      <c r="K1346" s="35">
        <v>5.9661851783899849</v>
      </c>
      <c r="L1346" s="35">
        <v>-14.668547044322441</v>
      </c>
      <c r="M1346" s="58" t="s">
        <v>24</v>
      </c>
      <c r="N1346" s="7">
        <v>11.333333333333334</v>
      </c>
      <c r="O1346" s="7" t="s">
        <v>180</v>
      </c>
      <c r="P1346" s="7" t="s">
        <v>180</v>
      </c>
    </row>
    <row r="1347" spans="1:16" x14ac:dyDescent="0.25">
      <c r="A1347" s="2" t="s">
        <v>183</v>
      </c>
      <c r="B1347" s="2" t="s">
        <v>192</v>
      </c>
      <c r="C1347" s="6" t="s">
        <v>139</v>
      </c>
      <c r="D1347" s="2" t="s">
        <v>16</v>
      </c>
      <c r="E1347" s="2"/>
      <c r="F1347" s="35">
        <v>5.3</v>
      </c>
      <c r="G1347" s="35">
        <v>121.52856281498937</v>
      </c>
      <c r="H1347" s="35">
        <v>8.438460327218035</v>
      </c>
      <c r="I1347" s="35">
        <v>0.97795652162987123</v>
      </c>
      <c r="J1347" s="35">
        <v>-2.2472507335995451E-4</v>
      </c>
      <c r="K1347" s="35">
        <v>5.966185178389992</v>
      </c>
      <c r="L1347" s="35">
        <v>-14.667170719972885</v>
      </c>
      <c r="M1347" s="58" t="s">
        <v>24</v>
      </c>
      <c r="N1347" s="7">
        <v>11.333333333333334</v>
      </c>
      <c r="O1347" s="7" t="s">
        <v>180</v>
      </c>
      <c r="P1347" s="7" t="s">
        <v>180</v>
      </c>
    </row>
    <row r="1348" spans="1:16" x14ac:dyDescent="0.25">
      <c r="A1348" s="2" t="s">
        <v>183</v>
      </c>
      <c r="B1348" s="2" t="s">
        <v>192</v>
      </c>
      <c r="C1348" s="6" t="s">
        <v>139</v>
      </c>
      <c r="D1348" s="2" t="s">
        <v>16</v>
      </c>
      <c r="E1348" s="2"/>
      <c r="F1348" s="35">
        <v>5.4149169609489114</v>
      </c>
      <c r="G1348" s="35">
        <v>121.58330383110489</v>
      </c>
      <c r="H1348" s="35">
        <v>8.438460327218035</v>
      </c>
      <c r="I1348" s="35">
        <v>0.97795652162987123</v>
      </c>
      <c r="J1348" s="35">
        <v>-2.2472507335995451E-4</v>
      </c>
      <c r="K1348" s="35">
        <v>5.8538013869841183</v>
      </c>
      <c r="L1348" s="35">
        <v>-15.636892935864736</v>
      </c>
      <c r="M1348" s="58" t="s">
        <v>24</v>
      </c>
      <c r="N1348" s="7">
        <v>11.333333333333334</v>
      </c>
      <c r="O1348" s="7" t="s">
        <v>180</v>
      </c>
      <c r="P1348" s="7" t="s">
        <v>180</v>
      </c>
    </row>
    <row r="1349" spans="1:16" x14ac:dyDescent="0.25">
      <c r="A1349" s="2" t="s">
        <v>183</v>
      </c>
      <c r="B1349" s="2" t="s">
        <v>192</v>
      </c>
      <c r="C1349" s="6" t="s">
        <v>139</v>
      </c>
      <c r="D1349" s="2" t="s">
        <v>16</v>
      </c>
      <c r="E1349" s="2"/>
      <c r="F1349" s="35">
        <v>10.829833921897823</v>
      </c>
      <c r="G1349" s="35">
        <v>124.16271468722037</v>
      </c>
      <c r="H1349" s="35">
        <v>8.438460327218035</v>
      </c>
      <c r="I1349" s="35">
        <v>0.97795652162987123</v>
      </c>
      <c r="J1349" s="35">
        <v>-2.2472507335995451E-4</v>
      </c>
      <c r="K1349" s="35">
        <v>0.55824803093992958</v>
      </c>
      <c r="L1349" s="35">
        <v>-61.33045488601217</v>
      </c>
      <c r="M1349" s="58" t="s">
        <v>23</v>
      </c>
      <c r="N1349" s="7">
        <v>11.333333333333334</v>
      </c>
      <c r="O1349" s="7" t="s">
        <v>180</v>
      </c>
      <c r="P1349" s="7" t="s">
        <v>180</v>
      </c>
    </row>
    <row r="1350" spans="1:16" x14ac:dyDescent="0.25">
      <c r="A1350" s="2" t="s">
        <v>183</v>
      </c>
      <c r="B1350" s="2" t="s">
        <v>192</v>
      </c>
      <c r="C1350" s="6" t="s">
        <v>139</v>
      </c>
      <c r="D1350" s="2" t="s">
        <v>106</v>
      </c>
      <c r="E1350" s="2"/>
      <c r="F1350" s="35">
        <v>0</v>
      </c>
      <c r="G1350" s="35">
        <v>131.33374554886637</v>
      </c>
      <c r="H1350" s="35">
        <v>6.251214213479674</v>
      </c>
      <c r="I1350" s="35">
        <v>6.9509084387378426</v>
      </c>
      <c r="J1350" s="35">
        <v>5.205756502555778E-4</v>
      </c>
      <c r="K1350" s="35">
        <v>7.8178674648097619</v>
      </c>
      <c r="L1350" s="35">
        <v>21.348829882720388</v>
      </c>
      <c r="M1350" s="58" t="s">
        <v>22</v>
      </c>
      <c r="N1350" s="7">
        <v>11.333333333333334</v>
      </c>
      <c r="O1350" s="7" t="s">
        <v>180</v>
      </c>
      <c r="P1350" s="7" t="s">
        <v>180</v>
      </c>
    </row>
    <row r="1351" spans="1:16" x14ac:dyDescent="0.25">
      <c r="A1351" s="2" t="s">
        <v>183</v>
      </c>
      <c r="B1351" s="2" t="s">
        <v>192</v>
      </c>
      <c r="C1351" s="6" t="s">
        <v>139</v>
      </c>
      <c r="D1351" s="2" t="s">
        <v>106</v>
      </c>
      <c r="E1351" s="2"/>
      <c r="F1351" s="35">
        <v>0.29999999999999988</v>
      </c>
      <c r="G1351" s="35">
        <v>131.4766513888664</v>
      </c>
      <c r="H1351" s="35">
        <v>6.251214213479674</v>
      </c>
      <c r="I1351" s="35">
        <v>6.9509084387378426</v>
      </c>
      <c r="J1351" s="35">
        <v>5.205756502555778E-4</v>
      </c>
      <c r="K1351" s="35">
        <v>5.7325949331884098</v>
      </c>
      <c r="L1351" s="35">
        <v>19.473465618676482</v>
      </c>
      <c r="M1351" s="58" t="s">
        <v>22</v>
      </c>
      <c r="N1351" s="7">
        <v>11.333333333333334</v>
      </c>
      <c r="O1351" s="7" t="s">
        <v>180</v>
      </c>
      <c r="P1351" s="7" t="s">
        <v>180</v>
      </c>
    </row>
    <row r="1352" spans="1:16" x14ac:dyDescent="0.25">
      <c r="A1352" s="2" t="s">
        <v>183</v>
      </c>
      <c r="B1352" s="2" t="s">
        <v>192</v>
      </c>
      <c r="C1352" s="6" t="s">
        <v>139</v>
      </c>
      <c r="D1352" s="2" t="s">
        <v>106</v>
      </c>
      <c r="E1352" s="2"/>
      <c r="F1352" s="35">
        <v>0.29999999999999988</v>
      </c>
      <c r="G1352" s="35">
        <v>47.405504948904309</v>
      </c>
      <c r="H1352" s="35">
        <v>6.2512142134796695</v>
      </c>
      <c r="I1352" s="35">
        <v>1.8596654063093807</v>
      </c>
      <c r="J1352" s="35">
        <v>-1.7914797144800231E-4</v>
      </c>
      <c r="K1352" s="35">
        <v>5.7325949331884107</v>
      </c>
      <c r="L1352" s="35">
        <v>19.473423635259199</v>
      </c>
      <c r="M1352" s="58" t="s">
        <v>22</v>
      </c>
      <c r="N1352" s="7">
        <v>11.333333333333334</v>
      </c>
      <c r="O1352" s="7" t="s">
        <v>180</v>
      </c>
      <c r="P1352" s="7" t="s">
        <v>180</v>
      </c>
    </row>
    <row r="1353" spans="1:16" x14ac:dyDescent="0.25">
      <c r="A1353" s="2" t="s">
        <v>183</v>
      </c>
      <c r="B1353" s="2" t="s">
        <v>192</v>
      </c>
      <c r="C1353" s="6" t="s">
        <v>139</v>
      </c>
      <c r="D1353" s="2" t="s">
        <v>106</v>
      </c>
      <c r="E1353" s="2"/>
      <c r="F1353" s="35">
        <v>5.3</v>
      </c>
      <c r="G1353" s="35">
        <v>49.787268948904298</v>
      </c>
      <c r="H1353" s="35">
        <v>6.2512142134796695</v>
      </c>
      <c r="I1353" s="35">
        <v>1.8596654063093807</v>
      </c>
      <c r="J1353" s="35">
        <v>-1.7914797144800231E-4</v>
      </c>
      <c r="K1353" s="35">
        <v>-3.5657320983584917</v>
      </c>
      <c r="L1353" s="35">
        <v>-11.78264743213915</v>
      </c>
      <c r="M1353" s="58" t="s">
        <v>24</v>
      </c>
      <c r="N1353" s="7">
        <v>11.333333333333334</v>
      </c>
      <c r="O1353" s="7" t="s">
        <v>180</v>
      </c>
      <c r="P1353" s="7" t="s">
        <v>180</v>
      </c>
    </row>
    <row r="1354" spans="1:16" x14ac:dyDescent="0.25">
      <c r="A1354" s="2" t="s">
        <v>183</v>
      </c>
      <c r="B1354" s="2" t="s">
        <v>192</v>
      </c>
      <c r="C1354" s="6" t="s">
        <v>139</v>
      </c>
      <c r="D1354" s="2" t="s">
        <v>106</v>
      </c>
      <c r="E1354" s="2"/>
      <c r="F1354" s="35">
        <v>5.3</v>
      </c>
      <c r="G1354" s="35">
        <v>125.99797723720077</v>
      </c>
      <c r="H1354" s="35">
        <v>6.2514248677903996</v>
      </c>
      <c r="I1354" s="35">
        <v>-0.60237097606572176</v>
      </c>
      <c r="J1354" s="35">
        <v>-1.7681390462863372E-5</v>
      </c>
      <c r="K1354" s="35">
        <v>-3.5657320983584988</v>
      </c>
      <c r="L1354" s="35">
        <v>-11.781779022285185</v>
      </c>
      <c r="M1354" s="58" t="s">
        <v>24</v>
      </c>
      <c r="N1354" s="7">
        <v>11.333333333333334</v>
      </c>
      <c r="O1354" s="7" t="s">
        <v>180</v>
      </c>
      <c r="P1354" s="7" t="s">
        <v>180</v>
      </c>
    </row>
    <row r="1355" spans="1:16" x14ac:dyDescent="0.25">
      <c r="A1355" s="2" t="s">
        <v>183</v>
      </c>
      <c r="B1355" s="2" t="s">
        <v>192</v>
      </c>
      <c r="C1355" s="6" t="s">
        <v>139</v>
      </c>
      <c r="D1355" s="2" t="s">
        <v>106</v>
      </c>
      <c r="E1355" s="2"/>
      <c r="F1355" s="35">
        <v>5.4149169609489114</v>
      </c>
      <c r="G1355" s="35">
        <v>126.05271825331629</v>
      </c>
      <c r="H1355" s="35">
        <v>6.2514248677903996</v>
      </c>
      <c r="I1355" s="35">
        <v>-0.60237097606572176</v>
      </c>
      <c r="J1355" s="35">
        <v>-1.7681390462863372E-5</v>
      </c>
      <c r="K1355" s="35">
        <v>-3.4965094564251964</v>
      </c>
      <c r="L1355" s="35">
        <v>-12.500173769692106</v>
      </c>
      <c r="M1355" s="58" t="s">
        <v>24</v>
      </c>
      <c r="N1355" s="7">
        <v>11.333333333333334</v>
      </c>
      <c r="O1355" s="7" t="s">
        <v>180</v>
      </c>
      <c r="P1355" s="7" t="s">
        <v>180</v>
      </c>
    </row>
    <row r="1356" spans="1:16" x14ac:dyDescent="0.25">
      <c r="A1356" s="2" t="s">
        <v>183</v>
      </c>
      <c r="B1356" s="2" t="s">
        <v>192</v>
      </c>
      <c r="C1356" s="6" t="s">
        <v>139</v>
      </c>
      <c r="D1356" s="2" t="s">
        <v>106</v>
      </c>
      <c r="E1356" s="2"/>
      <c r="F1356" s="35">
        <v>10.829833921897823</v>
      </c>
      <c r="G1356" s="35">
        <v>128.63212910943179</v>
      </c>
      <c r="H1356" s="35">
        <v>6.2514248677903996</v>
      </c>
      <c r="I1356" s="35">
        <v>-0.60237097606572176</v>
      </c>
      <c r="J1356" s="35">
        <v>-1.7681390462863372E-5</v>
      </c>
      <c r="K1356" s="35">
        <v>-0.23472064134357107</v>
      </c>
      <c r="L1356" s="35">
        <v>-46.35112031638814</v>
      </c>
      <c r="M1356" s="58" t="s">
        <v>23</v>
      </c>
      <c r="N1356" s="7">
        <v>11.333333333333334</v>
      </c>
      <c r="O1356" s="7" t="s">
        <v>180</v>
      </c>
      <c r="P1356" s="7" t="s">
        <v>180</v>
      </c>
    </row>
    <row r="1357" spans="1:16" x14ac:dyDescent="0.25">
      <c r="A1357" s="2" t="s">
        <v>183</v>
      </c>
      <c r="B1357" s="2" t="s">
        <v>192</v>
      </c>
      <c r="C1357" s="6" t="s">
        <v>139</v>
      </c>
      <c r="D1357" s="2" t="s">
        <v>107</v>
      </c>
      <c r="E1357" s="2"/>
      <c r="F1357" s="35">
        <v>0</v>
      </c>
      <c r="G1357" s="35">
        <v>49.685271984895401</v>
      </c>
      <c r="H1357" s="35">
        <v>2.5551744073170681</v>
      </c>
      <c r="I1357" s="35">
        <v>3.2142520695249992</v>
      </c>
      <c r="J1357" s="35">
        <v>-4.0829490184428738E-6</v>
      </c>
      <c r="K1357" s="35">
        <v>3.8531736810677408</v>
      </c>
      <c r="L1357" s="35">
        <v>8.8732136137835838</v>
      </c>
      <c r="M1357" s="58" t="s">
        <v>22</v>
      </c>
      <c r="N1357" s="7">
        <v>11.333333333333334</v>
      </c>
      <c r="O1357" s="7" t="s">
        <v>180</v>
      </c>
      <c r="P1357" s="7" t="s">
        <v>180</v>
      </c>
    </row>
    <row r="1358" spans="1:16" x14ac:dyDescent="0.25">
      <c r="A1358" s="2" t="s">
        <v>183</v>
      </c>
      <c r="B1358" s="2" t="s">
        <v>192</v>
      </c>
      <c r="C1358" s="6" t="s">
        <v>139</v>
      </c>
      <c r="D1358" s="2" t="s">
        <v>107</v>
      </c>
      <c r="E1358" s="2"/>
      <c r="F1358" s="35">
        <v>0.29999999999999988</v>
      </c>
      <c r="G1358" s="35">
        <v>49.828177824895398</v>
      </c>
      <c r="H1358" s="35">
        <v>2.5551744073170681</v>
      </c>
      <c r="I1358" s="35">
        <v>3.2142520695249992</v>
      </c>
      <c r="J1358" s="35">
        <v>-4.0829490184428738E-6</v>
      </c>
      <c r="K1358" s="35">
        <v>2.8888980602102419</v>
      </c>
      <c r="L1358" s="35">
        <v>8.1066612915884644</v>
      </c>
      <c r="M1358" s="58" t="s">
        <v>22</v>
      </c>
      <c r="N1358" s="7">
        <v>11.333333333333334</v>
      </c>
      <c r="O1358" s="7" t="s">
        <v>180</v>
      </c>
      <c r="P1358" s="7" t="s">
        <v>180</v>
      </c>
    </row>
    <row r="1359" spans="1:16" x14ac:dyDescent="0.25">
      <c r="A1359" s="2" t="s">
        <v>183</v>
      </c>
      <c r="B1359" s="2" t="s">
        <v>192</v>
      </c>
      <c r="C1359" s="6" t="s">
        <v>139</v>
      </c>
      <c r="D1359" s="2" t="s">
        <v>107</v>
      </c>
      <c r="E1359" s="2"/>
      <c r="F1359" s="35">
        <v>0.29999999999999988</v>
      </c>
      <c r="G1359" s="35">
        <v>12.424890462049936</v>
      </c>
      <c r="H1359" s="35">
        <v>2.5551744073170632</v>
      </c>
      <c r="I1359" s="35">
        <v>0.92308058172352059</v>
      </c>
      <c r="J1359" s="35">
        <v>-3.0374064729853437E-4</v>
      </c>
      <c r="K1359" s="35">
        <v>2.8888980602102463</v>
      </c>
      <c r="L1359" s="35">
        <v>8.1066433121265717</v>
      </c>
      <c r="M1359" s="58" t="s">
        <v>22</v>
      </c>
      <c r="N1359" s="7">
        <v>11.333333333333334</v>
      </c>
      <c r="O1359" s="7" t="s">
        <v>180</v>
      </c>
      <c r="P1359" s="7" t="s">
        <v>180</v>
      </c>
    </row>
    <row r="1360" spans="1:16" x14ac:dyDescent="0.25">
      <c r="A1360" s="2" t="s">
        <v>183</v>
      </c>
      <c r="B1360" s="2" t="s">
        <v>192</v>
      </c>
      <c r="C1360" s="6" t="s">
        <v>139</v>
      </c>
      <c r="D1360" s="2" t="s">
        <v>107</v>
      </c>
      <c r="E1360" s="2"/>
      <c r="F1360" s="35">
        <v>5.3</v>
      </c>
      <c r="G1360" s="35">
        <v>14.806654462049934</v>
      </c>
      <c r="H1360" s="35">
        <v>2.5551744073170632</v>
      </c>
      <c r="I1360" s="35">
        <v>0.92308058172352059</v>
      </c>
      <c r="J1360" s="35">
        <v>-3.0374064729853437E-4</v>
      </c>
      <c r="K1360" s="35">
        <v>-1.7265048484073569</v>
      </c>
      <c r="L1360" s="35">
        <v>-4.6692287244587485</v>
      </c>
      <c r="M1360" s="58" t="s">
        <v>24</v>
      </c>
      <c r="N1360" s="7">
        <v>11.333333333333334</v>
      </c>
      <c r="O1360" s="7" t="s">
        <v>180</v>
      </c>
      <c r="P1360" s="7" t="s">
        <v>180</v>
      </c>
    </row>
    <row r="1361" spans="1:16" x14ac:dyDescent="0.25">
      <c r="A1361" s="2" t="s">
        <v>183</v>
      </c>
      <c r="B1361" s="2" t="s">
        <v>192</v>
      </c>
      <c r="C1361" s="6" t="s">
        <v>139</v>
      </c>
      <c r="D1361" s="2" t="s">
        <v>107</v>
      </c>
      <c r="E1361" s="2"/>
      <c r="F1361" s="35">
        <v>5.3</v>
      </c>
      <c r="G1361" s="35">
        <v>47.751603616736404</v>
      </c>
      <c r="H1361" s="35">
        <v>2.5552671817725123</v>
      </c>
      <c r="I1361" s="35">
        <v>-0.29750407162640619</v>
      </c>
      <c r="J1361" s="35">
        <v>-2.4858312833034112E-4</v>
      </c>
      <c r="K1361" s="35">
        <v>-1.7265048484073569</v>
      </c>
      <c r="L1361" s="35">
        <v>-4.6688776660038851</v>
      </c>
      <c r="M1361" s="58" t="s">
        <v>24</v>
      </c>
      <c r="N1361" s="7">
        <v>11.333333333333334</v>
      </c>
      <c r="O1361" s="7" t="s">
        <v>180</v>
      </c>
      <c r="P1361" s="7" t="s">
        <v>180</v>
      </c>
    </row>
    <row r="1362" spans="1:16" x14ac:dyDescent="0.25">
      <c r="A1362" s="2" t="s">
        <v>183</v>
      </c>
      <c r="B1362" s="2" t="s">
        <v>192</v>
      </c>
      <c r="C1362" s="6" t="s">
        <v>139</v>
      </c>
      <c r="D1362" s="2" t="s">
        <v>107</v>
      </c>
      <c r="E1362" s="2"/>
      <c r="F1362" s="35">
        <v>5.4149169609489114</v>
      </c>
      <c r="G1362" s="35">
        <v>47.806344632851911</v>
      </c>
      <c r="H1362" s="35">
        <v>2.5552671817725123</v>
      </c>
      <c r="I1362" s="35">
        <v>-0.29750407162640619</v>
      </c>
      <c r="J1362" s="35">
        <v>-2.4858312833034112E-4</v>
      </c>
      <c r="K1362" s="35">
        <v>-1.692316584626123</v>
      </c>
      <c r="L1362" s="35">
        <v>-4.9625212049456708</v>
      </c>
      <c r="M1362" s="58" t="s">
        <v>24</v>
      </c>
      <c r="N1362" s="7">
        <v>11.333333333333334</v>
      </c>
      <c r="O1362" s="7" t="s">
        <v>180</v>
      </c>
      <c r="P1362" s="7" t="s">
        <v>180</v>
      </c>
    </row>
    <row r="1363" spans="1:16" x14ac:dyDescent="0.25">
      <c r="A1363" s="2" t="s">
        <v>183</v>
      </c>
      <c r="B1363" s="2" t="s">
        <v>192</v>
      </c>
      <c r="C1363" s="6" t="s">
        <v>139</v>
      </c>
      <c r="D1363" s="2" t="s">
        <v>107</v>
      </c>
      <c r="E1363" s="2"/>
      <c r="F1363" s="35">
        <v>10.829833921897823</v>
      </c>
      <c r="G1363" s="35">
        <v>50.385755488967419</v>
      </c>
      <c r="H1363" s="35">
        <v>2.5552671817725123</v>
      </c>
      <c r="I1363" s="35">
        <v>-0.29750407162640619</v>
      </c>
      <c r="J1363" s="35">
        <v>-2.4858312833034112E-4</v>
      </c>
      <c r="K1363" s="35">
        <v>-8.1356741224936635E-2</v>
      </c>
      <c r="L1363" s="35">
        <v>-18.799080807281769</v>
      </c>
      <c r="M1363" s="58" t="s">
        <v>23</v>
      </c>
      <c r="N1363" s="7">
        <v>11.333333333333334</v>
      </c>
      <c r="O1363" s="7" t="s">
        <v>180</v>
      </c>
      <c r="P1363" s="7" t="s">
        <v>180</v>
      </c>
    </row>
    <row r="1364" spans="1:16" x14ac:dyDescent="0.25">
      <c r="A1364" s="2" t="s">
        <v>183</v>
      </c>
      <c r="B1364" s="2" t="s">
        <v>192</v>
      </c>
      <c r="C1364" s="6" t="s">
        <v>139</v>
      </c>
      <c r="D1364" s="2" t="s">
        <v>108</v>
      </c>
      <c r="E1364" s="2"/>
      <c r="F1364" s="35">
        <v>0</v>
      </c>
      <c r="G1364" s="35">
        <v>122.32780903209039</v>
      </c>
      <c r="H1364" s="35">
        <v>10.979289165396581</v>
      </c>
      <c r="I1364" s="35">
        <v>8.2931381111431062</v>
      </c>
      <c r="J1364" s="35">
        <v>1.0200235162024197E-3</v>
      </c>
      <c r="K1364" s="35">
        <v>9.7545752546998905</v>
      </c>
      <c r="L1364" s="35">
        <v>53.546802267942901</v>
      </c>
      <c r="M1364" s="58" t="s">
        <v>22</v>
      </c>
      <c r="N1364" s="7">
        <v>11.333333333333334</v>
      </c>
      <c r="O1364" s="7" t="s">
        <v>180</v>
      </c>
      <c r="P1364" s="7" t="s">
        <v>180</v>
      </c>
    </row>
    <row r="1365" spans="1:16" x14ac:dyDescent="0.25">
      <c r="A1365" s="2" t="s">
        <v>183</v>
      </c>
      <c r="B1365" s="2" t="s">
        <v>192</v>
      </c>
      <c r="C1365" s="6" t="s">
        <v>139</v>
      </c>
      <c r="D1365" s="2" t="s">
        <v>108</v>
      </c>
      <c r="E1365" s="2"/>
      <c r="F1365" s="35">
        <v>0.29999999999999988</v>
      </c>
      <c r="G1365" s="35">
        <v>122.4707148720904</v>
      </c>
      <c r="H1365" s="35">
        <v>10.979289165396581</v>
      </c>
      <c r="I1365" s="35">
        <v>8.2931381111431062</v>
      </c>
      <c r="J1365" s="35">
        <v>1.0200235162024197E-3</v>
      </c>
      <c r="K1365" s="35">
        <v>7.2666338213569599</v>
      </c>
      <c r="L1365" s="35">
        <v>50.253015518323927</v>
      </c>
      <c r="M1365" s="58" t="s">
        <v>22</v>
      </c>
      <c r="N1365" s="7">
        <v>11.333333333333334</v>
      </c>
      <c r="O1365" s="7" t="s">
        <v>180</v>
      </c>
      <c r="P1365" s="7" t="s">
        <v>180</v>
      </c>
    </row>
    <row r="1366" spans="1:16" x14ac:dyDescent="0.25">
      <c r="A1366" s="2" t="s">
        <v>183</v>
      </c>
      <c r="B1366" s="2" t="s">
        <v>192</v>
      </c>
      <c r="C1366" s="6" t="s">
        <v>139</v>
      </c>
      <c r="D1366" s="2" t="s">
        <v>108</v>
      </c>
      <c r="E1366" s="2"/>
      <c r="F1366" s="35">
        <v>0.29999999999999988</v>
      </c>
      <c r="G1366" s="35">
        <v>24.985115272074061</v>
      </c>
      <c r="H1366" s="35">
        <v>10.97928916539658</v>
      </c>
      <c r="I1366" s="35">
        <v>2.3970278891113828</v>
      </c>
      <c r="J1366" s="35">
        <v>3.6874945214272162E-4</v>
      </c>
      <c r="K1366" s="35">
        <v>7.2666338213569679</v>
      </c>
      <c r="L1366" s="35">
        <v>50.252976441880108</v>
      </c>
      <c r="M1366" s="58" t="s">
        <v>22</v>
      </c>
      <c r="N1366" s="7">
        <v>11.333333333333334</v>
      </c>
      <c r="O1366" s="7" t="s">
        <v>180</v>
      </c>
      <c r="P1366" s="7" t="s">
        <v>180</v>
      </c>
    </row>
    <row r="1367" spans="1:16" x14ac:dyDescent="0.25">
      <c r="A1367" s="2" t="s">
        <v>183</v>
      </c>
      <c r="B1367" s="2" t="s">
        <v>192</v>
      </c>
      <c r="C1367" s="6" t="s">
        <v>139</v>
      </c>
      <c r="D1367" s="2" t="s">
        <v>108</v>
      </c>
      <c r="E1367" s="2"/>
      <c r="F1367" s="35">
        <v>5.3</v>
      </c>
      <c r="G1367" s="35">
        <v>27.366879272074058</v>
      </c>
      <c r="H1367" s="35">
        <v>10.97928916539658</v>
      </c>
      <c r="I1367" s="35">
        <v>2.3970278891113828</v>
      </c>
      <c r="J1367" s="35">
        <v>3.6874945214272162E-4</v>
      </c>
      <c r="K1367" s="35">
        <v>-4.7185056241999446</v>
      </c>
      <c r="L1367" s="35">
        <v>-4.6434693851027875</v>
      </c>
      <c r="M1367" s="58" t="s">
        <v>24</v>
      </c>
      <c r="N1367" s="7">
        <v>11.333333333333334</v>
      </c>
      <c r="O1367" s="7" t="s">
        <v>180</v>
      </c>
      <c r="P1367" s="7" t="s">
        <v>180</v>
      </c>
    </row>
    <row r="1368" spans="1:16" x14ac:dyDescent="0.25">
      <c r="A1368" s="2" t="s">
        <v>183</v>
      </c>
      <c r="B1368" s="2" t="s">
        <v>192</v>
      </c>
      <c r="C1368" s="6" t="s">
        <v>139</v>
      </c>
      <c r="D1368" s="2" t="s">
        <v>108</v>
      </c>
      <c r="E1368" s="2"/>
      <c r="F1368" s="35">
        <v>5.3</v>
      </c>
      <c r="G1368" s="35">
        <v>120.46286525990064</v>
      </c>
      <c r="H1368" s="35">
        <v>10.979400845744392</v>
      </c>
      <c r="I1368" s="35">
        <v>-0.79316473275808796</v>
      </c>
      <c r="J1368" s="35">
        <v>6.2630319618461774E-4</v>
      </c>
      <c r="K1368" s="35">
        <v>-4.7185056241999481</v>
      </c>
      <c r="L1368" s="35">
        <v>-4.6428080930671483</v>
      </c>
      <c r="M1368" s="58" t="s">
        <v>24</v>
      </c>
      <c r="N1368" s="7">
        <v>11.333333333333334</v>
      </c>
      <c r="O1368" s="7" t="s">
        <v>180</v>
      </c>
      <c r="P1368" s="7" t="s">
        <v>180</v>
      </c>
    </row>
    <row r="1369" spans="1:16" x14ac:dyDescent="0.25">
      <c r="A1369" s="2" t="s">
        <v>183</v>
      </c>
      <c r="B1369" s="2" t="s">
        <v>192</v>
      </c>
      <c r="C1369" s="6" t="s">
        <v>139</v>
      </c>
      <c r="D1369" s="2" t="s">
        <v>108</v>
      </c>
      <c r="E1369" s="2"/>
      <c r="F1369" s="35">
        <v>5.4149169609489114</v>
      </c>
      <c r="G1369" s="35">
        <v>120.51760627601615</v>
      </c>
      <c r="H1369" s="35">
        <v>10.979400845744392</v>
      </c>
      <c r="I1369" s="35">
        <v>-0.79316473275808796</v>
      </c>
      <c r="J1369" s="35">
        <v>6.2630319618461774E-4</v>
      </c>
      <c r="K1369" s="35">
        <v>-4.6273575435795333</v>
      </c>
      <c r="L1369" s="35">
        <v>-5.9045274713000024</v>
      </c>
      <c r="M1369" s="58" t="s">
        <v>24</v>
      </c>
      <c r="N1369" s="7">
        <v>11.333333333333334</v>
      </c>
      <c r="O1369" s="7" t="s">
        <v>180</v>
      </c>
      <c r="P1369" s="7" t="s">
        <v>180</v>
      </c>
    </row>
    <row r="1370" spans="1:16" x14ac:dyDescent="0.25">
      <c r="A1370" s="2" t="s">
        <v>183</v>
      </c>
      <c r="B1370" s="2" t="s">
        <v>192</v>
      </c>
      <c r="C1370" s="6" t="s">
        <v>139</v>
      </c>
      <c r="D1370" s="2" t="s">
        <v>108</v>
      </c>
      <c r="E1370" s="2"/>
      <c r="F1370" s="35">
        <v>10.829833921897823</v>
      </c>
      <c r="G1370" s="35">
        <v>123.09701713213165</v>
      </c>
      <c r="H1370" s="35">
        <v>10.979400845744392</v>
      </c>
      <c r="I1370" s="35">
        <v>-0.79316473275808796</v>
      </c>
      <c r="J1370" s="35">
        <v>6.2630319618461774E-4</v>
      </c>
      <c r="K1370" s="35">
        <v>-0.33243637934125375</v>
      </c>
      <c r="L1370" s="35">
        <v>-65.357071331978105</v>
      </c>
      <c r="M1370" s="58" t="s">
        <v>23</v>
      </c>
      <c r="N1370" s="7">
        <v>11.333333333333334</v>
      </c>
      <c r="O1370" s="7" t="s">
        <v>180</v>
      </c>
      <c r="P1370" s="7" t="s">
        <v>180</v>
      </c>
    </row>
    <row r="1371" spans="1:16" x14ac:dyDescent="0.25">
      <c r="A1371" s="2" t="s">
        <v>183</v>
      </c>
      <c r="B1371" s="2" t="s">
        <v>192</v>
      </c>
      <c r="C1371" s="6" t="s">
        <v>139</v>
      </c>
      <c r="D1371" s="2" t="s">
        <v>109</v>
      </c>
      <c r="E1371" s="2"/>
      <c r="F1371" s="35">
        <v>0</v>
      </c>
      <c r="G1371" s="35">
        <v>5.6799158057474841</v>
      </c>
      <c r="H1371" s="35">
        <v>20.532679068343914</v>
      </c>
      <c r="I1371" s="35">
        <v>4.1576117500949357</v>
      </c>
      <c r="J1371" s="35">
        <v>1.4970620399345016E-3</v>
      </c>
      <c r="K1371" s="35">
        <v>5.6976486828971247</v>
      </c>
      <c r="L1371" s="35">
        <v>111.70712019401066</v>
      </c>
      <c r="M1371" s="58" t="s">
        <v>22</v>
      </c>
      <c r="N1371" s="7">
        <v>11.333333333333334</v>
      </c>
      <c r="O1371" s="7" t="s">
        <v>180</v>
      </c>
      <c r="P1371" s="7" t="s">
        <v>180</v>
      </c>
    </row>
    <row r="1372" spans="1:16" x14ac:dyDescent="0.25">
      <c r="A1372" s="2" t="s">
        <v>183</v>
      </c>
      <c r="B1372" s="2" t="s">
        <v>192</v>
      </c>
      <c r="C1372" s="6" t="s">
        <v>139</v>
      </c>
      <c r="D1372" s="2" t="s">
        <v>109</v>
      </c>
      <c r="E1372" s="2"/>
      <c r="F1372" s="35">
        <v>0.29999999999999988</v>
      </c>
      <c r="G1372" s="35">
        <v>5.8228216457474833</v>
      </c>
      <c r="H1372" s="35">
        <v>20.532679068343914</v>
      </c>
      <c r="I1372" s="35">
        <v>4.1576117500949357</v>
      </c>
      <c r="J1372" s="35">
        <v>1.4970620399345016E-3</v>
      </c>
      <c r="K1372" s="35">
        <v>4.4503651578686441</v>
      </c>
      <c r="L1372" s="35">
        <v>105.54731647350749</v>
      </c>
      <c r="M1372" s="58" t="s">
        <v>22</v>
      </c>
      <c r="N1372" s="7">
        <v>11.333333333333334</v>
      </c>
      <c r="O1372" s="7" t="s">
        <v>180</v>
      </c>
      <c r="P1372" s="7" t="s">
        <v>180</v>
      </c>
    </row>
    <row r="1373" spans="1:16" x14ac:dyDescent="0.25">
      <c r="A1373" s="2" t="s">
        <v>183</v>
      </c>
      <c r="B1373" s="2" t="s">
        <v>192</v>
      </c>
      <c r="C1373" s="6" t="s">
        <v>139</v>
      </c>
      <c r="D1373" s="2" t="s">
        <v>109</v>
      </c>
      <c r="E1373" s="2"/>
      <c r="F1373" s="35">
        <v>0.29999999999999988</v>
      </c>
      <c r="G1373" s="35">
        <v>-38.153049257658736</v>
      </c>
      <c r="H1373" s="35">
        <v>20.532679068343946</v>
      </c>
      <c r="I1373" s="35">
        <v>1.4720852498598038</v>
      </c>
      <c r="J1373" s="35">
        <v>1.7149730065744257E-4</v>
      </c>
      <c r="K1373" s="35">
        <v>4.4503651578686503</v>
      </c>
      <c r="L1373" s="35">
        <v>105.5472369396231</v>
      </c>
      <c r="M1373" s="58" t="s">
        <v>22</v>
      </c>
      <c r="N1373" s="7">
        <v>11.333333333333334</v>
      </c>
      <c r="O1373" s="7" t="s">
        <v>180</v>
      </c>
      <c r="P1373" s="7" t="s">
        <v>180</v>
      </c>
    </row>
    <row r="1374" spans="1:16" x14ac:dyDescent="0.25">
      <c r="A1374" s="2" t="s">
        <v>183</v>
      </c>
      <c r="B1374" s="2" t="s">
        <v>192</v>
      </c>
      <c r="C1374" s="6" t="s">
        <v>139</v>
      </c>
      <c r="D1374" s="2" t="s">
        <v>109</v>
      </c>
      <c r="E1374" s="2"/>
      <c r="F1374" s="35">
        <v>5.3</v>
      </c>
      <c r="G1374" s="35">
        <v>-35.771285257658732</v>
      </c>
      <c r="H1374" s="35">
        <v>20.532679068343946</v>
      </c>
      <c r="I1374" s="35">
        <v>1.4720852498598038</v>
      </c>
      <c r="J1374" s="35">
        <v>1.7149730065744257E-4</v>
      </c>
      <c r="K1374" s="35">
        <v>-2.9100610914303675</v>
      </c>
      <c r="L1374" s="35">
        <v>2.8838415979034</v>
      </c>
      <c r="M1374" s="58" t="s">
        <v>24</v>
      </c>
      <c r="N1374" s="7">
        <v>11.333333333333334</v>
      </c>
      <c r="O1374" s="7" t="s">
        <v>180</v>
      </c>
      <c r="P1374" s="7" t="s">
        <v>180</v>
      </c>
    </row>
    <row r="1375" spans="1:16" x14ac:dyDescent="0.25">
      <c r="A1375" s="2" t="s">
        <v>183</v>
      </c>
      <c r="B1375" s="2" t="s">
        <v>192</v>
      </c>
      <c r="C1375" s="6" t="s">
        <v>139</v>
      </c>
      <c r="D1375" s="2" t="s">
        <v>109</v>
      </c>
      <c r="E1375" s="2"/>
      <c r="F1375" s="35">
        <v>5.3</v>
      </c>
      <c r="G1375" s="35">
        <v>7.8212660612396485</v>
      </c>
      <c r="H1375" s="35">
        <v>20.532818101422382</v>
      </c>
      <c r="I1375" s="35">
        <v>-0.49326325034162999</v>
      </c>
      <c r="J1375" s="35">
        <v>5.7598229257804041E-4</v>
      </c>
      <c r="K1375" s="35">
        <v>-2.9100610914303706</v>
      </c>
      <c r="L1375" s="35">
        <v>2.885243770003064</v>
      </c>
      <c r="M1375" s="58" t="s">
        <v>24</v>
      </c>
      <c r="N1375" s="7">
        <v>11.333333333333334</v>
      </c>
      <c r="O1375" s="7" t="s">
        <v>180</v>
      </c>
      <c r="P1375" s="7" t="s">
        <v>180</v>
      </c>
    </row>
    <row r="1376" spans="1:16" x14ac:dyDescent="0.25">
      <c r="A1376" s="2" t="s">
        <v>183</v>
      </c>
      <c r="B1376" s="2" t="s">
        <v>192</v>
      </c>
      <c r="C1376" s="6" t="s">
        <v>139</v>
      </c>
      <c r="D1376" s="2" t="s">
        <v>109</v>
      </c>
      <c r="E1376" s="2"/>
      <c r="F1376" s="35">
        <v>5.4149169609489114</v>
      </c>
      <c r="G1376" s="35">
        <v>7.8760070773551547</v>
      </c>
      <c r="H1376" s="35">
        <v>20.532818101422382</v>
      </c>
      <c r="I1376" s="35">
        <v>-0.49326325034162999</v>
      </c>
      <c r="J1376" s="35">
        <v>5.7598229257804041E-4</v>
      </c>
      <c r="K1376" s="35">
        <v>-2.8533767777533283</v>
      </c>
      <c r="L1376" s="35">
        <v>0.52567471407080635</v>
      </c>
      <c r="M1376" s="58" t="s">
        <v>24</v>
      </c>
      <c r="N1376" s="7">
        <v>11.333333333333334</v>
      </c>
      <c r="O1376" s="7" t="s">
        <v>180</v>
      </c>
      <c r="P1376" s="7" t="s">
        <v>180</v>
      </c>
    </row>
    <row r="1377" spans="1:16" x14ac:dyDescent="0.25">
      <c r="A1377" s="2" t="s">
        <v>183</v>
      </c>
      <c r="B1377" s="2" t="s">
        <v>192</v>
      </c>
      <c r="C1377" s="6" t="s">
        <v>139</v>
      </c>
      <c r="D1377" s="2" t="s">
        <v>109</v>
      </c>
      <c r="E1377" s="2"/>
      <c r="F1377" s="35">
        <v>10.829833921897823</v>
      </c>
      <c r="G1377" s="35">
        <v>10.455417933470661</v>
      </c>
      <c r="H1377" s="35">
        <v>20.532818101422382</v>
      </c>
      <c r="I1377" s="35">
        <v>-0.49326325034162999</v>
      </c>
      <c r="J1377" s="35">
        <v>5.7598229257804041E-4</v>
      </c>
      <c r="K1377" s="35">
        <v>-0.18239723726564794</v>
      </c>
      <c r="L1377" s="35">
        <v>-110.6578302794</v>
      </c>
      <c r="M1377" s="58" t="s">
        <v>23</v>
      </c>
      <c r="N1377" s="7">
        <v>11.333333333333334</v>
      </c>
      <c r="O1377" s="7" t="s">
        <v>180</v>
      </c>
      <c r="P1377" s="7" t="s">
        <v>180</v>
      </c>
    </row>
    <row r="1378" spans="1:16" x14ac:dyDescent="0.25">
      <c r="A1378" s="2" t="s">
        <v>183</v>
      </c>
      <c r="B1378" s="2" t="s">
        <v>192</v>
      </c>
      <c r="C1378" s="6" t="s">
        <v>139</v>
      </c>
      <c r="D1378" s="2" t="s">
        <v>110</v>
      </c>
      <c r="E1378" s="2"/>
      <c r="F1378" s="35">
        <v>0</v>
      </c>
      <c r="G1378" s="35">
        <v>120.94196590872997</v>
      </c>
      <c r="H1378" s="35">
        <v>1.0869965331114406</v>
      </c>
      <c r="I1378" s="35">
        <v>8.320243861923128</v>
      </c>
      <c r="J1378" s="35">
        <v>1.1699714425443392E-3</v>
      </c>
      <c r="K1378" s="35">
        <v>9.8031874064360309</v>
      </c>
      <c r="L1378" s="35">
        <v>-12.874196028728186</v>
      </c>
      <c r="M1378" s="58" t="s">
        <v>22</v>
      </c>
      <c r="N1378" s="7">
        <v>11.333333333333334</v>
      </c>
      <c r="O1378" s="7" t="s">
        <v>180</v>
      </c>
      <c r="P1378" s="7" t="s">
        <v>180</v>
      </c>
    </row>
    <row r="1379" spans="1:16" x14ac:dyDescent="0.25">
      <c r="A1379" s="2" t="s">
        <v>183</v>
      </c>
      <c r="B1379" s="2" t="s">
        <v>192</v>
      </c>
      <c r="C1379" s="6" t="s">
        <v>139</v>
      </c>
      <c r="D1379" s="2" t="s">
        <v>110</v>
      </c>
      <c r="E1379" s="2"/>
      <c r="F1379" s="35">
        <v>0.29999999999999988</v>
      </c>
      <c r="G1379" s="35">
        <v>121.08487174872998</v>
      </c>
      <c r="H1379" s="35">
        <v>1.0869965331114406</v>
      </c>
      <c r="I1379" s="35">
        <v>8.320243861923128</v>
      </c>
      <c r="J1379" s="35">
        <v>1.1699714425443392E-3</v>
      </c>
      <c r="K1379" s="35">
        <v>7.3071142478590945</v>
      </c>
      <c r="L1379" s="35">
        <v>-13.200294988661618</v>
      </c>
      <c r="M1379" s="58" t="s">
        <v>22</v>
      </c>
      <c r="N1379" s="7">
        <v>11.333333333333334</v>
      </c>
      <c r="O1379" s="7" t="s">
        <v>180</v>
      </c>
      <c r="P1379" s="7" t="s">
        <v>180</v>
      </c>
    </row>
    <row r="1380" spans="1:16" x14ac:dyDescent="0.25">
      <c r="A1380" s="2" t="s">
        <v>183</v>
      </c>
      <c r="B1380" s="2" t="s">
        <v>192</v>
      </c>
      <c r="C1380" s="6" t="s">
        <v>139</v>
      </c>
      <c r="D1380" s="2" t="s">
        <v>110</v>
      </c>
      <c r="E1380" s="2"/>
      <c r="F1380" s="35">
        <v>0.29999999999999988</v>
      </c>
      <c r="G1380" s="35">
        <v>23.360593223047772</v>
      </c>
      <c r="H1380" s="35">
        <v>1.0869965331114411</v>
      </c>
      <c r="I1380" s="35">
        <v>2.4098129043514547</v>
      </c>
      <c r="J1380" s="35">
        <v>4.6659583233360757E-4</v>
      </c>
      <c r="K1380" s="35">
        <v>7.3071142478591105</v>
      </c>
      <c r="L1380" s="35">
        <v>-13.200337191198228</v>
      </c>
      <c r="M1380" s="58" t="s">
        <v>22</v>
      </c>
      <c r="N1380" s="7">
        <v>11.333333333333334</v>
      </c>
      <c r="O1380" s="7" t="s">
        <v>180</v>
      </c>
      <c r="P1380" s="7" t="s">
        <v>180</v>
      </c>
    </row>
    <row r="1381" spans="1:16" x14ac:dyDescent="0.25">
      <c r="A1381" s="2" t="s">
        <v>183</v>
      </c>
      <c r="B1381" s="2" t="s">
        <v>192</v>
      </c>
      <c r="C1381" s="6" t="s">
        <v>139</v>
      </c>
      <c r="D1381" s="2" t="s">
        <v>110</v>
      </c>
      <c r="E1381" s="2"/>
      <c r="F1381" s="35">
        <v>5.3</v>
      </c>
      <c r="G1381" s="35">
        <v>25.742357223047772</v>
      </c>
      <c r="H1381" s="35">
        <v>1.0869965331114411</v>
      </c>
      <c r="I1381" s="35">
        <v>2.4098129043514547</v>
      </c>
      <c r="J1381" s="35">
        <v>4.6659583233360757E-4</v>
      </c>
      <c r="K1381" s="35">
        <v>-4.7419502738981612</v>
      </c>
      <c r="L1381" s="35">
        <v>-18.635319856755434</v>
      </c>
      <c r="M1381" s="58" t="s">
        <v>24</v>
      </c>
      <c r="N1381" s="7">
        <v>11.333333333333334</v>
      </c>
      <c r="O1381" s="7" t="s">
        <v>180</v>
      </c>
      <c r="P1381" s="7" t="s">
        <v>180</v>
      </c>
    </row>
    <row r="1382" spans="1:16" x14ac:dyDescent="0.25">
      <c r="A1382" s="2" t="s">
        <v>183</v>
      </c>
      <c r="B1382" s="2" t="s">
        <v>192</v>
      </c>
      <c r="C1382" s="6" t="s">
        <v>139</v>
      </c>
      <c r="D1382" s="2" t="s">
        <v>110</v>
      </c>
      <c r="E1382" s="2"/>
      <c r="F1382" s="35">
        <v>5.3</v>
      </c>
      <c r="G1382" s="35">
        <v>118.97194153113291</v>
      </c>
      <c r="H1382" s="35">
        <v>1.0872788175002286</v>
      </c>
      <c r="I1382" s="35">
        <v>-0.79705567926652021</v>
      </c>
      <c r="J1382" s="35">
        <v>5.6700472957403603E-4</v>
      </c>
      <c r="K1382" s="35">
        <v>-4.7419502738981665</v>
      </c>
      <c r="L1382" s="35">
        <v>-18.634205165537352</v>
      </c>
      <c r="M1382" s="58" t="s">
        <v>24</v>
      </c>
      <c r="N1382" s="7">
        <v>11.333333333333334</v>
      </c>
      <c r="O1382" s="7" t="s">
        <v>180</v>
      </c>
      <c r="P1382" s="7" t="s">
        <v>180</v>
      </c>
    </row>
    <row r="1383" spans="1:16" x14ac:dyDescent="0.25">
      <c r="A1383" s="2" t="s">
        <v>183</v>
      </c>
      <c r="B1383" s="2" t="s">
        <v>192</v>
      </c>
      <c r="C1383" s="6" t="s">
        <v>139</v>
      </c>
      <c r="D1383" s="2" t="s">
        <v>110</v>
      </c>
      <c r="E1383" s="2"/>
      <c r="F1383" s="35">
        <v>5.4149169609489114</v>
      </c>
      <c r="G1383" s="35">
        <v>119.02668254724843</v>
      </c>
      <c r="H1383" s="35">
        <v>1.0872788175002286</v>
      </c>
      <c r="I1383" s="35">
        <v>-0.79705567926652021</v>
      </c>
      <c r="J1383" s="35">
        <v>5.6700472957403603E-4</v>
      </c>
      <c r="K1383" s="35">
        <v>-4.6503550575297874</v>
      </c>
      <c r="L1383" s="35">
        <v>-18.759151942948606</v>
      </c>
      <c r="M1383" s="58" t="s">
        <v>24</v>
      </c>
      <c r="N1383" s="7">
        <v>11.333333333333334</v>
      </c>
      <c r="O1383" s="7" t="s">
        <v>180</v>
      </c>
      <c r="P1383" s="7" t="s">
        <v>180</v>
      </c>
    </row>
    <row r="1384" spans="1:16" x14ac:dyDescent="0.25">
      <c r="A1384" s="2" t="s">
        <v>183</v>
      </c>
      <c r="B1384" s="2" t="s">
        <v>192</v>
      </c>
      <c r="C1384" s="6" t="s">
        <v>139</v>
      </c>
      <c r="D1384" s="2" t="s">
        <v>110</v>
      </c>
      <c r="E1384" s="2"/>
      <c r="F1384" s="35">
        <v>10.829833921897823</v>
      </c>
      <c r="G1384" s="35">
        <v>121.60609340336393</v>
      </c>
      <c r="H1384" s="35">
        <v>1.0872788175002286</v>
      </c>
      <c r="I1384" s="35">
        <v>-0.79705567926652021</v>
      </c>
      <c r="J1384" s="35">
        <v>5.6700472957403603E-4</v>
      </c>
      <c r="K1384" s="35">
        <v>-0.334364741048853</v>
      </c>
      <c r="L1384" s="35">
        <v>-24.646676453111066</v>
      </c>
      <c r="M1384" s="58" t="s">
        <v>23</v>
      </c>
      <c r="N1384" s="7">
        <v>11.333333333333334</v>
      </c>
      <c r="O1384" s="7" t="s">
        <v>180</v>
      </c>
      <c r="P1384" s="7" t="s">
        <v>180</v>
      </c>
    </row>
    <row r="1385" spans="1:16" x14ac:dyDescent="0.25">
      <c r="A1385" s="2" t="s">
        <v>183</v>
      </c>
      <c r="B1385" s="2" t="s">
        <v>192</v>
      </c>
      <c r="C1385" s="6" t="s">
        <v>139</v>
      </c>
      <c r="D1385" s="2" t="s">
        <v>111</v>
      </c>
      <c r="E1385" s="2"/>
      <c r="F1385" s="35">
        <v>0</v>
      </c>
      <c r="G1385" s="35">
        <v>-90.939012448692679</v>
      </c>
      <c r="H1385" s="35">
        <v>-14.295666314174262</v>
      </c>
      <c r="I1385" s="35">
        <v>3.2865798377089801</v>
      </c>
      <c r="J1385" s="35">
        <v>2.3018738753780433E-4</v>
      </c>
      <c r="K1385" s="35">
        <v>5.7059202188787275</v>
      </c>
      <c r="L1385" s="35">
        <v>-84.849847433628725</v>
      </c>
      <c r="M1385" s="58" t="s">
        <v>22</v>
      </c>
      <c r="N1385" s="7">
        <v>11.333333333333334</v>
      </c>
      <c r="O1385" s="7" t="s">
        <v>180</v>
      </c>
      <c r="P1385" s="7" t="s">
        <v>180</v>
      </c>
    </row>
    <row r="1386" spans="1:16" x14ac:dyDescent="0.25">
      <c r="A1386" s="2" t="s">
        <v>183</v>
      </c>
      <c r="B1386" s="2" t="s">
        <v>192</v>
      </c>
      <c r="C1386" s="6" t="s">
        <v>139</v>
      </c>
      <c r="D1386" s="2" t="s">
        <v>111</v>
      </c>
      <c r="E1386" s="2"/>
      <c r="F1386" s="35">
        <v>0.29999999999999988</v>
      </c>
      <c r="G1386" s="35">
        <v>-90.796106608692682</v>
      </c>
      <c r="H1386" s="35">
        <v>-14.295666314174262</v>
      </c>
      <c r="I1386" s="35">
        <v>3.2865798377089801</v>
      </c>
      <c r="J1386" s="35">
        <v>2.3018738753780433E-4</v>
      </c>
      <c r="K1386" s="35">
        <v>4.7199462675660335</v>
      </c>
      <c r="L1386" s="35">
        <v>-80.561147539376464</v>
      </c>
      <c r="M1386" s="58" t="s">
        <v>22</v>
      </c>
      <c r="N1386" s="7">
        <v>11.333333333333334</v>
      </c>
      <c r="O1386" s="7" t="s">
        <v>180</v>
      </c>
      <c r="P1386" s="7" t="s">
        <v>180</v>
      </c>
    </row>
    <row r="1387" spans="1:16" x14ac:dyDescent="0.25">
      <c r="A1387" s="2" t="s">
        <v>183</v>
      </c>
      <c r="B1387" s="2" t="s">
        <v>192</v>
      </c>
      <c r="C1387" s="6" t="s">
        <v>139</v>
      </c>
      <c r="D1387" s="2" t="s">
        <v>111</v>
      </c>
      <c r="E1387" s="2"/>
      <c r="F1387" s="35">
        <v>0.29999999999999988</v>
      </c>
      <c r="G1387" s="35">
        <v>-118.72352851319904</v>
      </c>
      <c r="H1387" s="35">
        <v>-14.295666314174307</v>
      </c>
      <c r="I1387" s="35">
        <v>1.5639602774078554</v>
      </c>
      <c r="J1387" s="35">
        <v>5.7214939250724403E-4</v>
      </c>
      <c r="K1387" s="35">
        <v>4.7199462675660344</v>
      </c>
      <c r="L1387" s="35">
        <v>-80.561127021656162</v>
      </c>
      <c r="M1387" s="58" t="s">
        <v>22</v>
      </c>
      <c r="N1387" s="7">
        <v>11.333333333333334</v>
      </c>
      <c r="O1387" s="7" t="s">
        <v>180</v>
      </c>
      <c r="P1387" s="7" t="s">
        <v>180</v>
      </c>
    </row>
    <row r="1388" spans="1:16" x14ac:dyDescent="0.25">
      <c r="A1388" s="2" t="s">
        <v>183</v>
      </c>
      <c r="B1388" s="2" t="s">
        <v>192</v>
      </c>
      <c r="C1388" s="6" t="s">
        <v>139</v>
      </c>
      <c r="D1388" s="2" t="s">
        <v>111</v>
      </c>
      <c r="E1388" s="2"/>
      <c r="F1388" s="35">
        <v>5.3</v>
      </c>
      <c r="G1388" s="35">
        <v>-116.34176451319905</v>
      </c>
      <c r="H1388" s="35">
        <v>-14.295666314174307</v>
      </c>
      <c r="I1388" s="35">
        <v>1.5639602774078554</v>
      </c>
      <c r="J1388" s="35">
        <v>5.7214939250724403E-4</v>
      </c>
      <c r="K1388" s="35">
        <v>-3.0998551194732413</v>
      </c>
      <c r="L1388" s="35">
        <v>-9.0827954507846425</v>
      </c>
      <c r="M1388" s="58" t="s">
        <v>24</v>
      </c>
      <c r="N1388" s="7">
        <v>11.333333333333334</v>
      </c>
      <c r="O1388" s="7" t="s">
        <v>180</v>
      </c>
      <c r="P1388" s="7" t="s">
        <v>180</v>
      </c>
    </row>
    <row r="1389" spans="1:16" x14ac:dyDescent="0.25">
      <c r="A1389" s="2" t="s">
        <v>183</v>
      </c>
      <c r="B1389" s="2" t="s">
        <v>192</v>
      </c>
      <c r="C1389" s="6" t="s">
        <v>139</v>
      </c>
      <c r="D1389" s="2" t="s">
        <v>111</v>
      </c>
      <c r="E1389" s="2"/>
      <c r="F1389" s="35">
        <v>5.3</v>
      </c>
      <c r="G1389" s="35">
        <v>-87.797916737130961</v>
      </c>
      <c r="H1389" s="35">
        <v>-14.295613509991028</v>
      </c>
      <c r="I1389" s="35">
        <v>-0.52472572349974311</v>
      </c>
      <c r="J1389" s="35">
        <v>3.3925975438981988E-4</v>
      </c>
      <c r="K1389" s="35">
        <v>-3.0998551194732458</v>
      </c>
      <c r="L1389" s="35">
        <v>-9.0826999343280193</v>
      </c>
      <c r="M1389" s="58" t="s">
        <v>24</v>
      </c>
      <c r="N1389" s="7">
        <v>11.333333333333334</v>
      </c>
      <c r="O1389" s="7" t="s">
        <v>180</v>
      </c>
      <c r="P1389" s="7" t="s">
        <v>180</v>
      </c>
    </row>
    <row r="1390" spans="1:16" x14ac:dyDescent="0.25">
      <c r="A1390" s="2" t="s">
        <v>183</v>
      </c>
      <c r="B1390" s="2" t="s">
        <v>192</v>
      </c>
      <c r="C1390" s="6" t="s">
        <v>139</v>
      </c>
      <c r="D1390" s="2" t="s">
        <v>111</v>
      </c>
      <c r="E1390" s="2"/>
      <c r="F1390" s="35">
        <v>5.4149169609489114</v>
      </c>
      <c r="G1390" s="35">
        <v>-87.743175721015447</v>
      </c>
      <c r="H1390" s="35">
        <v>-14.295613509991028</v>
      </c>
      <c r="I1390" s="35">
        <v>-0.52472572349974311</v>
      </c>
      <c r="J1390" s="35">
        <v>3.3925975438981988E-4</v>
      </c>
      <c r="K1390" s="35">
        <v>-3.0395552339969356</v>
      </c>
      <c r="L1390" s="35">
        <v>-7.4398914748596505</v>
      </c>
      <c r="M1390" s="58" t="s">
        <v>24</v>
      </c>
      <c r="N1390" s="7">
        <v>11.333333333333334</v>
      </c>
      <c r="O1390" s="7" t="s">
        <v>180</v>
      </c>
      <c r="P1390" s="7" t="s">
        <v>180</v>
      </c>
    </row>
    <row r="1391" spans="1:16" x14ac:dyDescent="0.25">
      <c r="A1391" s="2" t="s">
        <v>183</v>
      </c>
      <c r="B1391" s="2" t="s">
        <v>192</v>
      </c>
      <c r="C1391" s="6" t="s">
        <v>139</v>
      </c>
      <c r="D1391" s="2" t="s">
        <v>111</v>
      </c>
      <c r="E1391" s="2"/>
      <c r="F1391" s="35">
        <v>10.829833921897823</v>
      </c>
      <c r="G1391" s="35">
        <v>-85.163764864899946</v>
      </c>
      <c r="H1391" s="35">
        <v>-14.295613509991028</v>
      </c>
      <c r="I1391" s="35">
        <v>-0.52472572349974311</v>
      </c>
      <c r="J1391" s="35">
        <v>3.3925975438981988E-4</v>
      </c>
      <c r="K1391" s="35">
        <v>-0.19820901397198951</v>
      </c>
      <c r="L1391" s="35">
        <v>69.969668587561145</v>
      </c>
      <c r="M1391" s="58" t="s">
        <v>23</v>
      </c>
      <c r="N1391" s="7">
        <v>11.333333333333334</v>
      </c>
      <c r="O1391" s="7" t="s">
        <v>180</v>
      </c>
      <c r="P1391" s="7" t="s">
        <v>180</v>
      </c>
    </row>
    <row r="1392" spans="1:16" x14ac:dyDescent="0.25">
      <c r="A1392" s="2" t="s">
        <v>183</v>
      </c>
      <c r="B1392" s="2" t="s">
        <v>192</v>
      </c>
      <c r="C1392" s="6" t="s">
        <v>139</v>
      </c>
      <c r="D1392" s="2" t="s">
        <v>112</v>
      </c>
      <c r="E1392" s="2"/>
      <c r="F1392" s="35">
        <v>0</v>
      </c>
      <c r="G1392" s="35">
        <v>107.77182430463115</v>
      </c>
      <c r="H1392" s="35">
        <v>8.753074586497485</v>
      </c>
      <c r="I1392" s="35">
        <v>-4.6265269449796333</v>
      </c>
      <c r="J1392" s="35">
        <v>9.3326029882655193E-4</v>
      </c>
      <c r="K1392" s="35">
        <v>-7.1280336815017655</v>
      </c>
      <c r="L1392" s="35">
        <v>31.410561145710897</v>
      </c>
      <c r="M1392" s="58" t="s">
        <v>22</v>
      </c>
      <c r="N1392" s="7">
        <v>11.333333333333334</v>
      </c>
      <c r="O1392" s="7" t="s">
        <v>180</v>
      </c>
      <c r="P1392" s="7" t="s">
        <v>180</v>
      </c>
    </row>
    <row r="1393" spans="1:16" x14ac:dyDescent="0.25">
      <c r="A1393" s="2" t="s">
        <v>183</v>
      </c>
      <c r="B1393" s="2" t="s">
        <v>192</v>
      </c>
      <c r="C1393" s="6" t="s">
        <v>139</v>
      </c>
      <c r="D1393" s="2" t="s">
        <v>112</v>
      </c>
      <c r="E1393" s="2"/>
      <c r="F1393" s="35">
        <v>0.29999999999999988</v>
      </c>
      <c r="G1393" s="35">
        <v>107.91473014463115</v>
      </c>
      <c r="H1393" s="35">
        <v>8.753074586497485</v>
      </c>
      <c r="I1393" s="35">
        <v>-4.6265269449796333</v>
      </c>
      <c r="J1393" s="35">
        <v>9.3326029882655193E-4</v>
      </c>
      <c r="K1393" s="35">
        <v>-5.740075598007877</v>
      </c>
      <c r="L1393" s="35">
        <v>28.784638769761646</v>
      </c>
      <c r="M1393" s="58" t="s">
        <v>22</v>
      </c>
      <c r="N1393" s="7">
        <v>11.333333333333334</v>
      </c>
      <c r="O1393" s="7" t="s">
        <v>180</v>
      </c>
      <c r="P1393" s="7" t="s">
        <v>180</v>
      </c>
    </row>
    <row r="1394" spans="1:16" x14ac:dyDescent="0.25">
      <c r="A1394" s="2" t="s">
        <v>183</v>
      </c>
      <c r="B1394" s="2" t="s">
        <v>192</v>
      </c>
      <c r="C1394" s="6" t="s">
        <v>139</v>
      </c>
      <c r="D1394" s="2" t="s">
        <v>112</v>
      </c>
      <c r="E1394" s="2"/>
      <c r="F1394" s="35">
        <v>0.29999999999999988</v>
      </c>
      <c r="G1394" s="35">
        <v>154.59025356606671</v>
      </c>
      <c r="H1394" s="35">
        <v>8.7530745864974939</v>
      </c>
      <c r="I1394" s="35">
        <v>-1.8729697857242604</v>
      </c>
      <c r="J1394" s="35">
        <v>-1.8632826094172941E-4</v>
      </c>
      <c r="K1394" s="35">
        <v>-5.7400755980078806</v>
      </c>
      <c r="L1394" s="35">
        <v>28.784571594448039</v>
      </c>
      <c r="M1394" s="58" t="s">
        <v>22</v>
      </c>
      <c r="N1394" s="7">
        <v>11.333333333333334</v>
      </c>
      <c r="O1394" s="7" t="s">
        <v>180</v>
      </c>
      <c r="P1394" s="7" t="s">
        <v>180</v>
      </c>
    </row>
    <row r="1395" spans="1:16" x14ac:dyDescent="0.25">
      <c r="A1395" s="2" t="s">
        <v>183</v>
      </c>
      <c r="B1395" s="2" t="s">
        <v>192</v>
      </c>
      <c r="C1395" s="6" t="s">
        <v>139</v>
      </c>
      <c r="D1395" s="2" t="s">
        <v>112</v>
      </c>
      <c r="E1395" s="2"/>
      <c r="F1395" s="35">
        <v>5.3</v>
      </c>
      <c r="G1395" s="35">
        <v>156.97201756606671</v>
      </c>
      <c r="H1395" s="35">
        <v>8.7530745864974939</v>
      </c>
      <c r="I1395" s="35">
        <v>-1.8729697857242604</v>
      </c>
      <c r="J1395" s="35">
        <v>-1.8632826094172941E-4</v>
      </c>
      <c r="K1395" s="35">
        <v>3.6247733306134204</v>
      </c>
      <c r="L1395" s="35">
        <v>-14.980801338039436</v>
      </c>
      <c r="M1395" s="58" t="s">
        <v>24</v>
      </c>
      <c r="N1395" s="7">
        <v>11.333333333333334</v>
      </c>
      <c r="O1395" s="7" t="s">
        <v>180</v>
      </c>
      <c r="P1395" s="7" t="s">
        <v>180</v>
      </c>
    </row>
    <row r="1396" spans="1:16" x14ac:dyDescent="0.25">
      <c r="A1396" s="2" t="s">
        <v>183</v>
      </c>
      <c r="B1396" s="2" t="s">
        <v>192</v>
      </c>
      <c r="C1396" s="6" t="s">
        <v>139</v>
      </c>
      <c r="D1396" s="2" t="s">
        <v>112</v>
      </c>
      <c r="E1396" s="2"/>
      <c r="F1396" s="35">
        <v>5.3</v>
      </c>
      <c r="G1396" s="35">
        <v>120.78311000562226</v>
      </c>
      <c r="H1396" s="35">
        <v>8.7533835204779535</v>
      </c>
      <c r="I1396" s="35">
        <v>0.58990122538932277</v>
      </c>
      <c r="J1396" s="35">
        <v>2.4177450685528599E-5</v>
      </c>
      <c r="K1396" s="35">
        <v>3.6247733306134213</v>
      </c>
      <c r="L1396" s="35">
        <v>-14.979361904978044</v>
      </c>
      <c r="M1396" s="58" t="s">
        <v>24</v>
      </c>
      <c r="N1396" s="7">
        <v>11.333333333333334</v>
      </c>
      <c r="O1396" s="7" t="s">
        <v>180</v>
      </c>
      <c r="P1396" s="7" t="s">
        <v>180</v>
      </c>
    </row>
    <row r="1397" spans="1:16" x14ac:dyDescent="0.25">
      <c r="A1397" s="2" t="s">
        <v>183</v>
      </c>
      <c r="B1397" s="2" t="s">
        <v>192</v>
      </c>
      <c r="C1397" s="6" t="s">
        <v>139</v>
      </c>
      <c r="D1397" s="2" t="s">
        <v>112</v>
      </c>
      <c r="E1397" s="2"/>
      <c r="F1397" s="35">
        <v>5.4149169609489114</v>
      </c>
      <c r="G1397" s="35">
        <v>120.83785102173778</v>
      </c>
      <c r="H1397" s="35">
        <v>8.7533835204779535</v>
      </c>
      <c r="I1397" s="35">
        <v>0.58990122538932277</v>
      </c>
      <c r="J1397" s="35">
        <v>2.4177450685528599E-5</v>
      </c>
      <c r="K1397" s="35">
        <v>3.5569836745316419</v>
      </c>
      <c r="L1397" s="35">
        <v>-15.985274137171654</v>
      </c>
      <c r="M1397" s="58" t="s">
        <v>24</v>
      </c>
      <c r="N1397" s="7">
        <v>11.333333333333334</v>
      </c>
      <c r="O1397" s="7" t="s">
        <v>180</v>
      </c>
      <c r="P1397" s="7" t="s">
        <v>180</v>
      </c>
    </row>
    <row r="1398" spans="1:16" x14ac:dyDescent="0.25">
      <c r="A1398" s="2" t="s">
        <v>183</v>
      </c>
      <c r="B1398" s="2" t="s">
        <v>192</v>
      </c>
      <c r="C1398" s="6" t="s">
        <v>139</v>
      </c>
      <c r="D1398" s="2" t="s">
        <v>112</v>
      </c>
      <c r="E1398" s="2"/>
      <c r="F1398" s="35">
        <v>10.829833921897823</v>
      </c>
      <c r="G1398" s="35">
        <v>123.41726187785328</v>
      </c>
      <c r="H1398" s="35">
        <v>8.7533835204779535</v>
      </c>
      <c r="I1398" s="35">
        <v>0.58990122538932277</v>
      </c>
      <c r="J1398" s="35">
        <v>2.4177450685528599E-5</v>
      </c>
      <c r="K1398" s="35">
        <v>0.36271752388645212</v>
      </c>
      <c r="L1398" s="35">
        <v>-63.3841190278984</v>
      </c>
      <c r="M1398" s="58" t="s">
        <v>23</v>
      </c>
      <c r="N1398" s="7">
        <v>11.333333333333334</v>
      </c>
      <c r="O1398" s="7" t="s">
        <v>180</v>
      </c>
      <c r="P1398" s="7" t="s">
        <v>180</v>
      </c>
    </row>
    <row r="1399" spans="1:16" x14ac:dyDescent="0.25">
      <c r="A1399" s="2" t="s">
        <v>183</v>
      </c>
      <c r="B1399" s="2" t="s">
        <v>192</v>
      </c>
      <c r="C1399" s="6" t="s">
        <v>139</v>
      </c>
      <c r="D1399" s="2" t="s">
        <v>113</v>
      </c>
      <c r="E1399" s="2"/>
      <c r="F1399" s="35">
        <v>0</v>
      </c>
      <c r="G1399" s="35">
        <v>34.246987499208373</v>
      </c>
      <c r="H1399" s="35">
        <v>5.3831768989396025</v>
      </c>
      <c r="I1399" s="35">
        <v>-7.9881846241655001</v>
      </c>
      <c r="J1399" s="35">
        <v>4.5274335711372458E-4</v>
      </c>
      <c r="K1399" s="35">
        <v>-10.693917297640469</v>
      </c>
      <c r="L1399" s="35">
        <v>20.014480647523406</v>
      </c>
      <c r="M1399" s="58" t="s">
        <v>22</v>
      </c>
      <c r="N1399" s="7">
        <v>11.333333333333334</v>
      </c>
      <c r="O1399" s="7" t="s">
        <v>180</v>
      </c>
      <c r="P1399" s="7" t="s">
        <v>180</v>
      </c>
    </row>
    <row r="1400" spans="1:16" x14ac:dyDescent="0.25">
      <c r="A1400" s="2" t="s">
        <v>183</v>
      </c>
      <c r="B1400" s="2" t="s">
        <v>192</v>
      </c>
      <c r="C1400" s="6" t="s">
        <v>139</v>
      </c>
      <c r="D1400" s="2" t="s">
        <v>113</v>
      </c>
      <c r="E1400" s="2"/>
      <c r="F1400" s="35">
        <v>0.29999999999999988</v>
      </c>
      <c r="G1400" s="35">
        <v>34.389893339208378</v>
      </c>
      <c r="H1400" s="35">
        <v>5.3831768989396025</v>
      </c>
      <c r="I1400" s="35">
        <v>-7.9881846241655001</v>
      </c>
      <c r="J1400" s="35">
        <v>4.5274335711372458E-4</v>
      </c>
      <c r="K1400" s="35">
        <v>-8.2974619103908207</v>
      </c>
      <c r="L1400" s="35">
        <v>18.399527577841521</v>
      </c>
      <c r="M1400" s="58" t="s">
        <v>22</v>
      </c>
      <c r="N1400" s="7">
        <v>11.333333333333334</v>
      </c>
      <c r="O1400" s="7" t="s">
        <v>180</v>
      </c>
      <c r="P1400" s="7" t="s">
        <v>180</v>
      </c>
    </row>
    <row r="1401" spans="1:16" x14ac:dyDescent="0.25">
      <c r="A1401" s="2" t="s">
        <v>183</v>
      </c>
      <c r="B1401" s="2" t="s">
        <v>192</v>
      </c>
      <c r="C1401" s="6" t="s">
        <v>139</v>
      </c>
      <c r="D1401" s="2" t="s">
        <v>113</v>
      </c>
      <c r="E1401" s="2"/>
      <c r="F1401" s="35">
        <v>0.29999999999999988</v>
      </c>
      <c r="G1401" s="35">
        <v>123.05464663844198</v>
      </c>
      <c r="H1401" s="35">
        <v>5.3831768989396132</v>
      </c>
      <c r="I1401" s="35">
        <v>-2.7152736722422532</v>
      </c>
      <c r="J1401" s="35">
        <v>-2.9871947055477648E-4</v>
      </c>
      <c r="K1401" s="35">
        <v>-8.297461910390826</v>
      </c>
      <c r="L1401" s="35">
        <v>18.399482490071854</v>
      </c>
      <c r="M1401" s="58" t="s">
        <v>22</v>
      </c>
      <c r="N1401" s="7">
        <v>11.333333333333334</v>
      </c>
      <c r="O1401" s="7" t="s">
        <v>180</v>
      </c>
      <c r="P1401" s="7" t="s">
        <v>180</v>
      </c>
    </row>
    <row r="1402" spans="1:16" x14ac:dyDescent="0.25">
      <c r="A1402" s="2" t="s">
        <v>183</v>
      </c>
      <c r="B1402" s="2" t="s">
        <v>192</v>
      </c>
      <c r="C1402" s="6" t="s">
        <v>139</v>
      </c>
      <c r="D1402" s="2" t="s">
        <v>113</v>
      </c>
      <c r="E1402" s="2"/>
      <c r="F1402" s="35">
        <v>5.3</v>
      </c>
      <c r="G1402" s="35">
        <v>125.43641063844197</v>
      </c>
      <c r="H1402" s="35">
        <v>5.3831768989396132</v>
      </c>
      <c r="I1402" s="35">
        <v>-2.7152736722422532</v>
      </c>
      <c r="J1402" s="35">
        <v>-2.9871947055477648E-4</v>
      </c>
      <c r="K1402" s="35">
        <v>5.2789064508204389</v>
      </c>
      <c r="L1402" s="35">
        <v>-8.5164020046262117</v>
      </c>
      <c r="M1402" s="58" t="s">
        <v>24</v>
      </c>
      <c r="N1402" s="7">
        <v>11.333333333333334</v>
      </c>
      <c r="O1402" s="7" t="s">
        <v>180</v>
      </c>
      <c r="P1402" s="7" t="s">
        <v>180</v>
      </c>
    </row>
    <row r="1403" spans="1:16" x14ac:dyDescent="0.25">
      <c r="A1403" s="2" t="s">
        <v>183</v>
      </c>
      <c r="B1403" s="2" t="s">
        <v>192</v>
      </c>
      <c r="C1403" s="6" t="s">
        <v>139</v>
      </c>
      <c r="D1403" s="2" t="s">
        <v>113</v>
      </c>
      <c r="E1403" s="2"/>
      <c r="F1403" s="35">
        <v>5.3</v>
      </c>
      <c r="G1403" s="35">
        <v>50.315579968399156</v>
      </c>
      <c r="H1403" s="35">
        <v>5.3833776322159022</v>
      </c>
      <c r="I1403" s="35">
        <v>0.86408782888411184</v>
      </c>
      <c r="J1403" s="35">
        <v>-1.8464988447629391E-4</v>
      </c>
      <c r="K1403" s="35">
        <v>5.2789064508204468</v>
      </c>
      <c r="L1403" s="35">
        <v>-8.5154386113005334</v>
      </c>
      <c r="M1403" s="58" t="s">
        <v>24</v>
      </c>
      <c r="N1403" s="7">
        <v>11.333333333333334</v>
      </c>
      <c r="O1403" s="7" t="s">
        <v>180</v>
      </c>
      <c r="P1403" s="7" t="s">
        <v>180</v>
      </c>
    </row>
    <row r="1404" spans="1:16" x14ac:dyDescent="0.25">
      <c r="A1404" s="2" t="s">
        <v>183</v>
      </c>
      <c r="B1404" s="2" t="s">
        <v>192</v>
      </c>
      <c r="C1404" s="6" t="s">
        <v>139</v>
      </c>
      <c r="D1404" s="2" t="s">
        <v>113</v>
      </c>
      <c r="E1404" s="2"/>
      <c r="F1404" s="35">
        <v>5.4149169609489114</v>
      </c>
      <c r="G1404" s="35">
        <v>50.37032098451467</v>
      </c>
      <c r="H1404" s="35">
        <v>5.3833776322159022</v>
      </c>
      <c r="I1404" s="35">
        <v>0.86408782888411184</v>
      </c>
      <c r="J1404" s="35">
        <v>-1.8464988447629391E-4</v>
      </c>
      <c r="K1404" s="35">
        <v>5.1796081035321411</v>
      </c>
      <c r="L1404" s="35">
        <v>-9.1340800084351308</v>
      </c>
      <c r="M1404" s="58" t="s">
        <v>24</v>
      </c>
      <c r="N1404" s="7">
        <v>11.333333333333334</v>
      </c>
      <c r="O1404" s="7" t="s">
        <v>180</v>
      </c>
      <c r="P1404" s="7" t="s">
        <v>180</v>
      </c>
    </row>
    <row r="1405" spans="1:16" x14ac:dyDescent="0.25">
      <c r="A1405" s="2" t="s">
        <v>183</v>
      </c>
      <c r="B1405" s="2" t="s">
        <v>192</v>
      </c>
      <c r="C1405" s="6" t="s">
        <v>139</v>
      </c>
      <c r="D1405" s="2" t="s">
        <v>113</v>
      </c>
      <c r="E1405" s="2"/>
      <c r="F1405" s="35">
        <v>10.829833921897823</v>
      </c>
      <c r="G1405" s="35">
        <v>52.949731840630164</v>
      </c>
      <c r="H1405" s="35">
        <v>5.3833776322159022</v>
      </c>
      <c r="I1405" s="35">
        <v>0.86408782888411184</v>
      </c>
      <c r="J1405" s="35">
        <v>-1.8464988447629391E-4</v>
      </c>
      <c r="K1405" s="35">
        <v>0.50064426315804511</v>
      </c>
      <c r="L1405" s="35">
        <v>-38.284622856313995</v>
      </c>
      <c r="M1405" s="58" t="s">
        <v>23</v>
      </c>
      <c r="N1405" s="7">
        <v>11.333333333333334</v>
      </c>
      <c r="O1405" s="7" t="s">
        <v>180</v>
      </c>
      <c r="P1405" s="7" t="s">
        <v>180</v>
      </c>
    </row>
    <row r="1406" spans="1:16" x14ac:dyDescent="0.25">
      <c r="A1406" s="2" t="s">
        <v>183</v>
      </c>
      <c r="B1406" s="2" t="s">
        <v>192</v>
      </c>
      <c r="C1406" s="6" t="s">
        <v>139</v>
      </c>
      <c r="D1406" s="2" t="s">
        <v>114</v>
      </c>
      <c r="E1406" s="2"/>
      <c r="F1406" s="35">
        <v>0</v>
      </c>
      <c r="G1406" s="35">
        <v>57.787047586760139</v>
      </c>
      <c r="H1406" s="35">
        <v>3.4149337745841195</v>
      </c>
      <c r="I1406" s="35">
        <v>5.630409012837168</v>
      </c>
      <c r="J1406" s="35">
        <v>3.0917740978292395E-4</v>
      </c>
      <c r="K1406" s="35">
        <v>6.9665623685639577</v>
      </c>
      <c r="L1406" s="35">
        <v>12.180080352630389</v>
      </c>
      <c r="M1406" s="58" t="s">
        <v>22</v>
      </c>
      <c r="N1406" s="7">
        <v>11.333333333333334</v>
      </c>
      <c r="O1406" s="7" t="s">
        <v>180</v>
      </c>
      <c r="P1406" s="7" t="s">
        <v>180</v>
      </c>
    </row>
    <row r="1407" spans="1:16" x14ac:dyDescent="0.25">
      <c r="A1407" s="2" t="s">
        <v>183</v>
      </c>
      <c r="B1407" s="2" t="s">
        <v>192</v>
      </c>
      <c r="C1407" s="6" t="s">
        <v>139</v>
      </c>
      <c r="D1407" s="2" t="s">
        <v>114</v>
      </c>
      <c r="E1407" s="2"/>
      <c r="F1407" s="35">
        <v>0.29999999999999988</v>
      </c>
      <c r="G1407" s="35">
        <v>57.929953426760143</v>
      </c>
      <c r="H1407" s="35">
        <v>3.4149337745841195</v>
      </c>
      <c r="I1407" s="35">
        <v>5.630409012837168</v>
      </c>
      <c r="J1407" s="35">
        <v>3.0917740978292395E-4</v>
      </c>
      <c r="K1407" s="35">
        <v>5.2774396647128077</v>
      </c>
      <c r="L1407" s="35">
        <v>11.155600220255151</v>
      </c>
      <c r="M1407" s="58" t="s">
        <v>22</v>
      </c>
      <c r="N1407" s="7">
        <v>11.333333333333334</v>
      </c>
      <c r="O1407" s="7" t="s">
        <v>180</v>
      </c>
      <c r="P1407" s="7" t="s">
        <v>180</v>
      </c>
    </row>
    <row r="1408" spans="1:16" x14ac:dyDescent="0.25">
      <c r="A1408" s="2" t="s">
        <v>183</v>
      </c>
      <c r="B1408" s="2" t="s">
        <v>192</v>
      </c>
      <c r="C1408" s="6" t="s">
        <v>139</v>
      </c>
      <c r="D1408" s="2" t="s">
        <v>114</v>
      </c>
      <c r="E1408" s="2"/>
      <c r="F1408" s="35">
        <v>0.29999999999999988</v>
      </c>
      <c r="G1408" s="35">
        <v>-6.5364301434603247</v>
      </c>
      <c r="H1408" s="35">
        <v>3.4149337745841213</v>
      </c>
      <c r="I1408" s="35">
        <v>1.7154517525931996</v>
      </c>
      <c r="J1408" s="35">
        <v>-8.5839187028794039E-5</v>
      </c>
      <c r="K1408" s="35">
        <v>5.2774396647128086</v>
      </c>
      <c r="L1408" s="35">
        <v>11.155576519259357</v>
      </c>
      <c r="M1408" s="58" t="s">
        <v>22</v>
      </c>
      <c r="N1408" s="7">
        <v>11.333333333333334</v>
      </c>
      <c r="O1408" s="7" t="s">
        <v>180</v>
      </c>
      <c r="P1408" s="7" t="s">
        <v>180</v>
      </c>
    </row>
    <row r="1409" spans="1:16" x14ac:dyDescent="0.25">
      <c r="A1409" s="2" t="s">
        <v>183</v>
      </c>
      <c r="B1409" s="2" t="s">
        <v>192</v>
      </c>
      <c r="C1409" s="6" t="s">
        <v>139</v>
      </c>
      <c r="D1409" s="2" t="s">
        <v>114</v>
      </c>
      <c r="E1409" s="2"/>
      <c r="F1409" s="35">
        <v>5.3</v>
      </c>
      <c r="G1409" s="35">
        <v>-4.1546661434603296</v>
      </c>
      <c r="H1409" s="35">
        <v>3.4149337745841213</v>
      </c>
      <c r="I1409" s="35">
        <v>1.7154517525931996</v>
      </c>
      <c r="J1409" s="35">
        <v>-8.5839187028794039E-5</v>
      </c>
      <c r="K1409" s="35">
        <v>-3.2998190982531899</v>
      </c>
      <c r="L1409" s="35">
        <v>-5.9190923536612488</v>
      </c>
      <c r="M1409" s="58" t="s">
        <v>24</v>
      </c>
      <c r="N1409" s="7">
        <v>11.333333333333334</v>
      </c>
      <c r="O1409" s="7" t="s">
        <v>180</v>
      </c>
      <c r="P1409" s="7" t="s">
        <v>180</v>
      </c>
    </row>
    <row r="1410" spans="1:16" x14ac:dyDescent="0.25">
      <c r="A1410" s="2" t="s">
        <v>183</v>
      </c>
      <c r="B1410" s="2" t="s">
        <v>192</v>
      </c>
      <c r="C1410" s="6" t="s">
        <v>139</v>
      </c>
      <c r="D1410" s="2" t="s">
        <v>114</v>
      </c>
      <c r="E1410" s="2"/>
      <c r="F1410" s="35">
        <v>5.3</v>
      </c>
      <c r="G1410" s="35">
        <v>54.338052948389425</v>
      </c>
      <c r="H1410" s="35">
        <v>3.4150457187310286</v>
      </c>
      <c r="I1410" s="35">
        <v>-0.55820691904192177</v>
      </c>
      <c r="J1410" s="35">
        <v>1.6894301310881228E-6</v>
      </c>
      <c r="K1410" s="35">
        <v>-3.2998190982531956</v>
      </c>
      <c r="L1410" s="35">
        <v>-5.9185860833816015</v>
      </c>
      <c r="M1410" s="58" t="s">
        <v>24</v>
      </c>
      <c r="N1410" s="7">
        <v>11.333333333333334</v>
      </c>
      <c r="O1410" s="7" t="s">
        <v>180</v>
      </c>
      <c r="P1410" s="7" t="s">
        <v>180</v>
      </c>
    </row>
    <row r="1411" spans="1:16" x14ac:dyDescent="0.25">
      <c r="A1411" s="2" t="s">
        <v>183</v>
      </c>
      <c r="B1411" s="2" t="s">
        <v>192</v>
      </c>
      <c r="C1411" s="6" t="s">
        <v>139</v>
      </c>
      <c r="D1411" s="2" t="s">
        <v>114</v>
      </c>
      <c r="E1411" s="2"/>
      <c r="F1411" s="35">
        <v>5.4149169609489114</v>
      </c>
      <c r="G1411" s="35">
        <v>54.392793964504939</v>
      </c>
      <c r="H1411" s="35">
        <v>3.4150457187310286</v>
      </c>
      <c r="I1411" s="35">
        <v>-0.55820691904192177</v>
      </c>
      <c r="J1411" s="35">
        <v>1.6894301310881228E-6</v>
      </c>
      <c r="K1411" s="35">
        <v>-3.235671655536243</v>
      </c>
      <c r="L1411" s="35">
        <v>-6.3110327588797626</v>
      </c>
      <c r="M1411" s="58" t="s">
        <v>24</v>
      </c>
      <c r="N1411" s="7">
        <v>11.333333333333334</v>
      </c>
      <c r="O1411" s="7" t="s">
        <v>180</v>
      </c>
      <c r="P1411" s="7" t="s">
        <v>180</v>
      </c>
    </row>
    <row r="1412" spans="1:16" x14ac:dyDescent="0.25">
      <c r="A1412" s="2" t="s">
        <v>183</v>
      </c>
      <c r="B1412" s="2" t="s">
        <v>192</v>
      </c>
      <c r="C1412" s="6" t="s">
        <v>139</v>
      </c>
      <c r="D1412" s="2" t="s">
        <v>114</v>
      </c>
      <c r="E1412" s="2"/>
      <c r="F1412" s="35">
        <v>10.829833921897823</v>
      </c>
      <c r="G1412" s="35">
        <v>56.972204820620441</v>
      </c>
      <c r="H1412" s="35">
        <v>3.4150457187310286</v>
      </c>
      <c r="I1412" s="35">
        <v>-0.55820691904192177</v>
      </c>
      <c r="J1412" s="35">
        <v>1.6894301310881228E-6</v>
      </c>
      <c r="K1412" s="35">
        <v>-0.21302754189710552</v>
      </c>
      <c r="L1412" s="35">
        <v>-24.803221743652372</v>
      </c>
      <c r="M1412" s="58" t="s">
        <v>23</v>
      </c>
      <c r="N1412" s="7">
        <v>11.333333333333334</v>
      </c>
      <c r="O1412" s="7" t="s">
        <v>180</v>
      </c>
      <c r="P1412" s="7" t="s">
        <v>180</v>
      </c>
    </row>
    <row r="1413" spans="1:16" x14ac:dyDescent="0.25">
      <c r="A1413" s="2" t="s">
        <v>183</v>
      </c>
      <c r="B1413" s="2" t="s">
        <v>192</v>
      </c>
      <c r="C1413" s="6" t="s">
        <v>139</v>
      </c>
      <c r="D1413" s="2" t="s">
        <v>115</v>
      </c>
      <c r="E1413" s="2"/>
      <c r="F1413" s="35">
        <v>0</v>
      </c>
      <c r="G1413" s="35">
        <v>-15.696578620813741</v>
      </c>
      <c r="H1413" s="35">
        <v>8.849794903777454E-2</v>
      </c>
      <c r="I1413" s="35">
        <v>2.2674182805456087</v>
      </c>
      <c r="J1413" s="35">
        <v>-1.6301532956369464E-4</v>
      </c>
      <c r="K1413" s="35">
        <v>3.3983379631961386</v>
      </c>
      <c r="L1413" s="35">
        <v>0.95202571058726659</v>
      </c>
      <c r="M1413" s="58" t="s">
        <v>22</v>
      </c>
      <c r="N1413" s="7">
        <v>11.333333333333334</v>
      </c>
      <c r="O1413" s="7" t="s">
        <v>180</v>
      </c>
      <c r="P1413" s="7" t="s">
        <v>180</v>
      </c>
    </row>
    <row r="1414" spans="1:16" x14ac:dyDescent="0.25">
      <c r="A1414" s="2" t="s">
        <v>183</v>
      </c>
      <c r="B1414" s="2" t="s">
        <v>192</v>
      </c>
      <c r="C1414" s="6" t="s">
        <v>139</v>
      </c>
      <c r="D1414" s="2" t="s">
        <v>115</v>
      </c>
      <c r="E1414" s="2"/>
      <c r="F1414" s="35">
        <v>0.29999999999999988</v>
      </c>
      <c r="G1414" s="35">
        <v>-15.553672780813734</v>
      </c>
      <c r="H1414" s="35">
        <v>8.849794903777454E-2</v>
      </c>
      <c r="I1414" s="35">
        <v>2.2674182805456087</v>
      </c>
      <c r="J1414" s="35">
        <v>-1.6301532956369464E-4</v>
      </c>
      <c r="K1414" s="35">
        <v>2.7181124790324556</v>
      </c>
      <c r="L1414" s="35">
        <v>0.92547632587593209</v>
      </c>
      <c r="M1414" s="58" t="s">
        <v>22</v>
      </c>
      <c r="N1414" s="7">
        <v>11.333333333333334</v>
      </c>
      <c r="O1414" s="7" t="s">
        <v>180</v>
      </c>
      <c r="P1414" s="7" t="s">
        <v>180</v>
      </c>
    </row>
    <row r="1415" spans="1:16" x14ac:dyDescent="0.25">
      <c r="A1415" s="2" t="s">
        <v>183</v>
      </c>
      <c r="B1415" s="2" t="s">
        <v>192</v>
      </c>
      <c r="C1415" s="6" t="s">
        <v>139</v>
      </c>
      <c r="D1415" s="2" t="s">
        <v>115</v>
      </c>
      <c r="E1415" s="2"/>
      <c r="F1415" s="35">
        <v>0.29999999999999988</v>
      </c>
      <c r="G1415" s="35">
        <v>-38.01898318162926</v>
      </c>
      <c r="H1415" s="35">
        <v>8.8497949037776358E-2</v>
      </c>
      <c r="I1415" s="35">
        <v>0.87252541046592558</v>
      </c>
      <c r="J1415" s="35">
        <v>-1.979725952942729E-4</v>
      </c>
      <c r="K1415" s="35">
        <v>2.71811247903246</v>
      </c>
      <c r="L1415" s="35">
        <v>0.92547422843999483</v>
      </c>
      <c r="M1415" s="58" t="s">
        <v>22</v>
      </c>
      <c r="N1415" s="7">
        <v>11.333333333333334</v>
      </c>
      <c r="O1415" s="7" t="s">
        <v>180</v>
      </c>
      <c r="P1415" s="7" t="s">
        <v>180</v>
      </c>
    </row>
    <row r="1416" spans="1:16" x14ac:dyDescent="0.25">
      <c r="A1416" s="2" t="s">
        <v>183</v>
      </c>
      <c r="B1416" s="2" t="s">
        <v>192</v>
      </c>
      <c r="C1416" s="6" t="s">
        <v>139</v>
      </c>
      <c r="D1416" s="2" t="s">
        <v>115</v>
      </c>
      <c r="E1416" s="2"/>
      <c r="F1416" s="35">
        <v>5.3</v>
      </c>
      <c r="G1416" s="35">
        <v>-35.637219181629263</v>
      </c>
      <c r="H1416" s="35">
        <v>8.8497949037776358E-2</v>
      </c>
      <c r="I1416" s="35">
        <v>0.87252541046592558</v>
      </c>
      <c r="J1416" s="35">
        <v>-1.979725952942729E-4</v>
      </c>
      <c r="K1416" s="35">
        <v>-1.6445145732971678</v>
      </c>
      <c r="L1416" s="35">
        <v>0.48298448325111237</v>
      </c>
      <c r="M1416" s="58" t="s">
        <v>24</v>
      </c>
      <c r="N1416" s="7">
        <v>11.333333333333334</v>
      </c>
      <c r="O1416" s="7" t="s">
        <v>180</v>
      </c>
      <c r="P1416" s="7" t="s">
        <v>180</v>
      </c>
    </row>
    <row r="1417" spans="1:16" x14ac:dyDescent="0.25">
      <c r="A1417" s="2" t="s">
        <v>183</v>
      </c>
      <c r="B1417" s="2" t="s">
        <v>192</v>
      </c>
      <c r="C1417" s="6" t="s">
        <v>139</v>
      </c>
      <c r="D1417" s="2" t="s">
        <v>115</v>
      </c>
      <c r="E1417" s="2"/>
      <c r="F1417" s="35">
        <v>5.3</v>
      </c>
      <c r="G1417" s="35">
        <v>-16.083683310028512</v>
      </c>
      <c r="H1417" s="35">
        <v>8.8503801314930103E-2</v>
      </c>
      <c r="I1417" s="35">
        <v>-0.28382670504653795</v>
      </c>
      <c r="J1417" s="35">
        <v>-2.0612213394964189E-4</v>
      </c>
      <c r="K1417" s="35">
        <v>-1.6445145732971678</v>
      </c>
      <c r="L1417" s="35">
        <v>0.48302513727156804</v>
      </c>
      <c r="M1417" s="58" t="s">
        <v>24</v>
      </c>
      <c r="N1417" s="7">
        <v>11.333333333333334</v>
      </c>
      <c r="O1417" s="7" t="s">
        <v>180</v>
      </c>
      <c r="P1417" s="7" t="s">
        <v>180</v>
      </c>
    </row>
    <row r="1418" spans="1:16" x14ac:dyDescent="0.25">
      <c r="A1418" s="2" t="s">
        <v>183</v>
      </c>
      <c r="B1418" s="2" t="s">
        <v>192</v>
      </c>
      <c r="C1418" s="6" t="s">
        <v>139</v>
      </c>
      <c r="D1418" s="2" t="s">
        <v>115</v>
      </c>
      <c r="E1418" s="2"/>
      <c r="F1418" s="35">
        <v>5.4149169609489114</v>
      </c>
      <c r="G1418" s="35">
        <v>-16.028942293912998</v>
      </c>
      <c r="H1418" s="35">
        <v>8.8503801314930103E-2</v>
      </c>
      <c r="I1418" s="35">
        <v>-0.28382670504653795</v>
      </c>
      <c r="J1418" s="35">
        <v>-2.0612213394964189E-4</v>
      </c>
      <c r="K1418" s="35">
        <v>-1.6118980709170765</v>
      </c>
      <c r="L1418" s="35">
        <v>0.47285454939203048</v>
      </c>
      <c r="M1418" s="58" t="s">
        <v>24</v>
      </c>
      <c r="N1418" s="7">
        <v>11.333333333333334</v>
      </c>
      <c r="O1418" s="7" t="s">
        <v>180</v>
      </c>
      <c r="P1418" s="7" t="s">
        <v>180</v>
      </c>
    </row>
    <row r="1419" spans="1:16" x14ac:dyDescent="0.25">
      <c r="A1419" s="2" t="s">
        <v>183</v>
      </c>
      <c r="B1419" s="2" t="s">
        <v>192</v>
      </c>
      <c r="C1419" s="6" t="s">
        <v>139</v>
      </c>
      <c r="D1419" s="2" t="s">
        <v>115</v>
      </c>
      <c r="E1419" s="2"/>
      <c r="F1419" s="35">
        <v>10.829833921897823</v>
      </c>
      <c r="G1419" s="35">
        <v>-13.449531437797498</v>
      </c>
      <c r="H1419" s="35">
        <v>8.8503801314930103E-2</v>
      </c>
      <c r="I1419" s="35">
        <v>-0.28382670504653795</v>
      </c>
      <c r="J1419" s="35">
        <v>-2.0612213394964189E-4</v>
      </c>
      <c r="K1419" s="35">
        <v>-7.5000031790334487E-2</v>
      </c>
      <c r="L1419" s="35">
        <v>-6.386185456633566E-3</v>
      </c>
      <c r="M1419" s="58" t="s">
        <v>23</v>
      </c>
      <c r="N1419" s="7">
        <v>11.333333333333334</v>
      </c>
      <c r="O1419" s="7" t="s">
        <v>180</v>
      </c>
      <c r="P1419" s="7" t="s">
        <v>180</v>
      </c>
    </row>
    <row r="1420" spans="1:16" x14ac:dyDescent="0.25">
      <c r="A1420" s="2" t="s">
        <v>183</v>
      </c>
      <c r="B1420" s="2" t="s">
        <v>192</v>
      </c>
      <c r="C1420" s="6" t="s">
        <v>139</v>
      </c>
      <c r="D1420" s="2" t="s">
        <v>116</v>
      </c>
      <c r="E1420" s="2"/>
      <c r="F1420" s="35">
        <v>0</v>
      </c>
      <c r="G1420" s="35">
        <v>49.681704721661752</v>
      </c>
      <c r="H1420" s="35">
        <v>7.6702012313093366</v>
      </c>
      <c r="I1420" s="35">
        <v>6.8384157180019045</v>
      </c>
      <c r="J1420" s="35">
        <v>7.5868048913508169E-4</v>
      </c>
      <c r="K1420" s="35">
        <v>8.7095993794650735</v>
      </c>
      <c r="L1420" s="35">
        <v>41.158255499330657</v>
      </c>
      <c r="M1420" s="58" t="s">
        <v>22</v>
      </c>
      <c r="N1420" s="7">
        <v>11.333333333333334</v>
      </c>
      <c r="O1420" s="7" t="s">
        <v>180</v>
      </c>
      <c r="P1420" s="7" t="s">
        <v>180</v>
      </c>
    </row>
    <row r="1421" spans="1:16" x14ac:dyDescent="0.25">
      <c r="A1421" s="2" t="s">
        <v>183</v>
      </c>
      <c r="B1421" s="2" t="s">
        <v>192</v>
      </c>
      <c r="C1421" s="6" t="s">
        <v>139</v>
      </c>
      <c r="D1421" s="2" t="s">
        <v>116</v>
      </c>
      <c r="E1421" s="2"/>
      <c r="F1421" s="35">
        <v>0.29999999999999988</v>
      </c>
      <c r="G1421" s="35">
        <v>49.824610561661764</v>
      </c>
      <c r="H1421" s="35">
        <v>7.6702012313093366</v>
      </c>
      <c r="I1421" s="35">
        <v>6.8384157180019045</v>
      </c>
      <c r="J1421" s="35">
        <v>7.5868048913508169E-4</v>
      </c>
      <c r="K1421" s="35">
        <v>6.6580746640645021</v>
      </c>
      <c r="L1421" s="35">
        <v>38.85719512993785</v>
      </c>
      <c r="M1421" s="58" t="s">
        <v>22</v>
      </c>
      <c r="N1421" s="7">
        <v>11.333333333333334</v>
      </c>
      <c r="O1421" s="7" t="s">
        <v>180</v>
      </c>
      <c r="P1421" s="7" t="s">
        <v>180</v>
      </c>
    </row>
    <row r="1422" spans="1:16" x14ac:dyDescent="0.25">
      <c r="A1422" s="2" t="s">
        <v>183</v>
      </c>
      <c r="B1422" s="2" t="s">
        <v>192</v>
      </c>
      <c r="C1422" s="6" t="s">
        <v>139</v>
      </c>
      <c r="D1422" s="2" t="s">
        <v>116</v>
      </c>
      <c r="E1422" s="2"/>
      <c r="F1422" s="35">
        <v>0.29999999999999988</v>
      </c>
      <c r="G1422" s="35">
        <v>-26.714780852607539</v>
      </c>
      <c r="H1422" s="35">
        <v>7.6702012313093402</v>
      </c>
      <c r="I1422" s="35">
        <v>2.1990779871150012</v>
      </c>
      <c r="J1422" s="35">
        <v>4.0726849420285753E-4</v>
      </c>
      <c r="K1422" s="35">
        <v>6.6580746640645101</v>
      </c>
      <c r="L1422" s="35">
        <v>38.857174045218173</v>
      </c>
      <c r="M1422" s="58" t="s">
        <v>22</v>
      </c>
      <c r="N1422" s="7">
        <v>11.333333333333334</v>
      </c>
      <c r="O1422" s="7" t="s">
        <v>180</v>
      </c>
      <c r="P1422" s="7" t="s">
        <v>180</v>
      </c>
    </row>
    <row r="1423" spans="1:16" x14ac:dyDescent="0.25">
      <c r="A1423" s="2" t="s">
        <v>183</v>
      </c>
      <c r="B1423" s="2" t="s">
        <v>192</v>
      </c>
      <c r="C1423" s="6" t="s">
        <v>139</v>
      </c>
      <c r="D1423" s="2" t="s">
        <v>116</v>
      </c>
      <c r="E1423" s="2"/>
      <c r="F1423" s="35">
        <v>5.3</v>
      </c>
      <c r="G1423" s="35">
        <v>-24.333016852607546</v>
      </c>
      <c r="H1423" s="35">
        <v>7.6702012313093402</v>
      </c>
      <c r="I1423" s="35">
        <v>2.1990779871150012</v>
      </c>
      <c r="J1423" s="35">
        <v>4.0726849420285753E-4</v>
      </c>
      <c r="K1423" s="35">
        <v>-4.3373152715104961</v>
      </c>
      <c r="L1423" s="35">
        <v>0.50616788867147622</v>
      </c>
      <c r="M1423" s="58" t="s">
        <v>24</v>
      </c>
      <c r="N1423" s="7">
        <v>11.333333333333334</v>
      </c>
      <c r="O1423" s="7" t="s">
        <v>180</v>
      </c>
      <c r="P1423" s="7" t="s">
        <v>180</v>
      </c>
    </row>
    <row r="1424" spans="1:16" x14ac:dyDescent="0.25">
      <c r="A1424" s="2" t="s">
        <v>183</v>
      </c>
      <c r="B1424" s="2" t="s">
        <v>192</v>
      </c>
      <c r="C1424" s="6" t="s">
        <v>139</v>
      </c>
      <c r="D1424" s="2" t="s">
        <v>116</v>
      </c>
      <c r="E1424" s="2"/>
      <c r="F1424" s="35">
        <v>5.3</v>
      </c>
      <c r="G1424" s="35">
        <v>49.35645216881931</v>
      </c>
      <c r="H1424" s="35">
        <v>7.6702240988896229</v>
      </c>
      <c r="I1424" s="35">
        <v>-0.7299213000650514</v>
      </c>
      <c r="J1424" s="35">
        <v>5.8127555811382124E-4</v>
      </c>
      <c r="K1424" s="35">
        <v>-4.3373152715104997</v>
      </c>
      <c r="L1424" s="35">
        <v>0.50648775291463066</v>
      </c>
      <c r="M1424" s="58" t="s">
        <v>24</v>
      </c>
      <c r="N1424" s="7">
        <v>11.333333333333334</v>
      </c>
      <c r="O1424" s="7" t="s">
        <v>180</v>
      </c>
      <c r="P1424" s="7" t="s">
        <v>180</v>
      </c>
    </row>
    <row r="1425" spans="1:16" x14ac:dyDescent="0.25">
      <c r="A1425" s="2" t="s">
        <v>183</v>
      </c>
      <c r="B1425" s="2" t="s">
        <v>192</v>
      </c>
      <c r="C1425" s="6" t="s">
        <v>139</v>
      </c>
      <c r="D1425" s="2" t="s">
        <v>116</v>
      </c>
      <c r="E1425" s="2"/>
      <c r="F1425" s="35">
        <v>5.4149169609489114</v>
      </c>
      <c r="G1425" s="35">
        <v>49.411193184934824</v>
      </c>
      <c r="H1425" s="35">
        <v>7.6702240988896229</v>
      </c>
      <c r="I1425" s="35">
        <v>-0.7299213000650514</v>
      </c>
      <c r="J1425" s="35">
        <v>5.8127555811382124E-4</v>
      </c>
      <c r="K1425" s="35">
        <v>-4.2534349339751456</v>
      </c>
      <c r="L1425" s="35">
        <v>-0.37495109032686696</v>
      </c>
      <c r="M1425" s="58" t="s">
        <v>24</v>
      </c>
      <c r="N1425" s="7">
        <v>11.333333333333334</v>
      </c>
      <c r="O1425" s="7" t="s">
        <v>180</v>
      </c>
      <c r="P1425" s="7" t="s">
        <v>180</v>
      </c>
    </row>
    <row r="1426" spans="1:16" x14ac:dyDescent="0.25">
      <c r="A1426" s="2" t="s">
        <v>183</v>
      </c>
      <c r="B1426" s="2" t="s">
        <v>192</v>
      </c>
      <c r="C1426" s="6" t="s">
        <v>139</v>
      </c>
      <c r="D1426" s="2" t="s">
        <v>116</v>
      </c>
      <c r="E1426" s="2"/>
      <c r="F1426" s="35">
        <v>10.829833921897823</v>
      </c>
      <c r="G1426" s="35">
        <v>51.990604041050325</v>
      </c>
      <c r="H1426" s="35">
        <v>7.6702240988896229</v>
      </c>
      <c r="I1426" s="35">
        <v>-0.7299213000650514</v>
      </c>
      <c r="J1426" s="35">
        <v>5.8127555811382124E-4</v>
      </c>
      <c r="K1426" s="35">
        <v>-0.30097170609501994</v>
      </c>
      <c r="L1426" s="35">
        <v>-41.908577657683345</v>
      </c>
      <c r="M1426" s="58" t="s">
        <v>23</v>
      </c>
      <c r="N1426" s="7">
        <v>11.333333333333334</v>
      </c>
      <c r="O1426" s="7" t="s">
        <v>180</v>
      </c>
      <c r="P1426" s="7" t="s">
        <v>180</v>
      </c>
    </row>
    <row r="1427" spans="1:16" x14ac:dyDescent="0.25">
      <c r="A1427" s="2" t="s">
        <v>183</v>
      </c>
      <c r="B1427" s="2" t="s">
        <v>192</v>
      </c>
      <c r="C1427" s="6" t="s">
        <v>139</v>
      </c>
      <c r="D1427" s="2" t="s">
        <v>117</v>
      </c>
      <c r="E1427" s="2"/>
      <c r="F1427" s="35">
        <v>0</v>
      </c>
      <c r="G1427" s="35">
        <v>-55.301399182046865</v>
      </c>
      <c r="H1427" s="35">
        <v>16.268252143961938</v>
      </c>
      <c r="I1427" s="35">
        <v>3.1164419930585514</v>
      </c>
      <c r="J1427" s="35">
        <v>1.1880151604939555E-3</v>
      </c>
      <c r="K1427" s="35">
        <v>5.0583654648425833</v>
      </c>
      <c r="L1427" s="35">
        <v>93.502541632791647</v>
      </c>
      <c r="M1427" s="58" t="s">
        <v>22</v>
      </c>
      <c r="N1427" s="7">
        <v>11.333333333333334</v>
      </c>
      <c r="O1427" s="7" t="s">
        <v>180</v>
      </c>
      <c r="P1427" s="7" t="s">
        <v>180</v>
      </c>
    </row>
    <row r="1428" spans="1:16" x14ac:dyDescent="0.25">
      <c r="A1428" s="2" t="s">
        <v>183</v>
      </c>
      <c r="B1428" s="2" t="s">
        <v>192</v>
      </c>
      <c r="C1428" s="6" t="s">
        <v>139</v>
      </c>
      <c r="D1428" s="2" t="s">
        <v>117</v>
      </c>
      <c r="E1428" s="2"/>
      <c r="F1428" s="35">
        <v>0.29999999999999988</v>
      </c>
      <c r="G1428" s="35">
        <v>-55.158493342046853</v>
      </c>
      <c r="H1428" s="35">
        <v>16.268252143961938</v>
      </c>
      <c r="I1428" s="35">
        <v>3.1164419930585514</v>
      </c>
      <c r="J1428" s="35">
        <v>1.1880151604939555E-3</v>
      </c>
      <c r="K1428" s="35">
        <v>4.1234328669250182</v>
      </c>
      <c r="L1428" s="35">
        <v>88.622065989603044</v>
      </c>
      <c r="M1428" s="58" t="s">
        <v>22</v>
      </c>
      <c r="N1428" s="7">
        <v>11.333333333333334</v>
      </c>
      <c r="O1428" s="7" t="s">
        <v>180</v>
      </c>
      <c r="P1428" s="7" t="s">
        <v>180</v>
      </c>
    </row>
    <row r="1429" spans="1:16" x14ac:dyDescent="0.25">
      <c r="A1429" s="2" t="s">
        <v>183</v>
      </c>
      <c r="B1429" s="2" t="s">
        <v>192</v>
      </c>
      <c r="C1429" s="6" t="s">
        <v>139</v>
      </c>
      <c r="D1429" s="2" t="s">
        <v>117</v>
      </c>
      <c r="E1429" s="2"/>
      <c r="F1429" s="35">
        <v>0.29999999999999988</v>
      </c>
      <c r="G1429" s="35">
        <v>-83.539128929367052</v>
      </c>
      <c r="H1429" s="35">
        <v>16.268252143961966</v>
      </c>
      <c r="I1429" s="35">
        <v>1.3666296117885803</v>
      </c>
      <c r="J1429" s="35">
        <v>2.2974155786610636E-4</v>
      </c>
      <c r="K1429" s="35">
        <v>4.1234328669250235</v>
      </c>
      <c r="L1429" s="35">
        <v>88.622008493186883</v>
      </c>
      <c r="M1429" s="58" t="s">
        <v>22</v>
      </c>
      <c r="N1429" s="7">
        <v>11.333333333333334</v>
      </c>
      <c r="O1429" s="7" t="s">
        <v>180</v>
      </c>
      <c r="P1429" s="7" t="s">
        <v>180</v>
      </c>
    </row>
    <row r="1430" spans="1:16" x14ac:dyDescent="0.25">
      <c r="A1430" s="2" t="s">
        <v>183</v>
      </c>
      <c r="B1430" s="2" t="s">
        <v>192</v>
      </c>
      <c r="C1430" s="6" t="s">
        <v>139</v>
      </c>
      <c r="D1430" s="2" t="s">
        <v>117</v>
      </c>
      <c r="E1430" s="2"/>
      <c r="F1430" s="35">
        <v>5.3</v>
      </c>
      <c r="G1430" s="35">
        <v>-81.157364929367063</v>
      </c>
      <c r="H1430" s="35">
        <v>16.268252143961966</v>
      </c>
      <c r="I1430" s="35">
        <v>1.3666296117885803</v>
      </c>
      <c r="J1430" s="35">
        <v>2.2974155786610636E-4</v>
      </c>
      <c r="K1430" s="35">
        <v>-2.7097151920178772</v>
      </c>
      <c r="L1430" s="35">
        <v>7.2807477733770458</v>
      </c>
      <c r="M1430" s="58" t="s">
        <v>24</v>
      </c>
      <c r="N1430" s="7">
        <v>11.333333333333334</v>
      </c>
      <c r="O1430" s="7" t="s">
        <v>180</v>
      </c>
      <c r="P1430" s="7" t="s">
        <v>180</v>
      </c>
    </row>
    <row r="1431" spans="1:16" x14ac:dyDescent="0.25">
      <c r="A1431" s="2" t="s">
        <v>183</v>
      </c>
      <c r="B1431" s="2" t="s">
        <v>192</v>
      </c>
      <c r="C1431" s="6" t="s">
        <v>139</v>
      </c>
      <c r="D1431" s="2" t="s">
        <v>117</v>
      </c>
      <c r="E1431" s="2"/>
      <c r="F1431" s="35">
        <v>5.3</v>
      </c>
      <c r="G1431" s="35">
        <v>-52.020987109975593</v>
      </c>
      <c r="H1431" s="35">
        <v>16.268299628999809</v>
      </c>
      <c r="I1431" s="35">
        <v>-0.4600099658902394</v>
      </c>
      <c r="J1431" s="35">
        <v>5.3598674486790153E-4</v>
      </c>
      <c r="K1431" s="35">
        <v>-2.7097151920178799</v>
      </c>
      <c r="L1431" s="35">
        <v>7.2817344296778215</v>
      </c>
      <c r="M1431" s="58" t="s">
        <v>24</v>
      </c>
      <c r="N1431" s="7">
        <v>11.333333333333334</v>
      </c>
      <c r="O1431" s="7" t="s">
        <v>180</v>
      </c>
      <c r="P1431" s="7" t="s">
        <v>180</v>
      </c>
    </row>
    <row r="1432" spans="1:16" x14ac:dyDescent="0.25">
      <c r="A1432" s="2" t="s">
        <v>183</v>
      </c>
      <c r="B1432" s="2" t="s">
        <v>192</v>
      </c>
      <c r="C1432" s="6" t="s">
        <v>139</v>
      </c>
      <c r="D1432" s="2" t="s">
        <v>117</v>
      </c>
      <c r="E1432" s="2"/>
      <c r="F1432" s="35">
        <v>5.4149169609489114</v>
      </c>
      <c r="G1432" s="35">
        <v>-51.966246093860086</v>
      </c>
      <c r="H1432" s="35">
        <v>16.268299628999809</v>
      </c>
      <c r="I1432" s="35">
        <v>-0.4600099658902394</v>
      </c>
      <c r="J1432" s="35">
        <v>5.3598674486790153E-4</v>
      </c>
      <c r="K1432" s="35">
        <v>-2.656852244731561</v>
      </c>
      <c r="L1432" s="35">
        <v>5.412230876506861</v>
      </c>
      <c r="M1432" s="58" t="s">
        <v>24</v>
      </c>
      <c r="N1432" s="7">
        <v>11.333333333333334</v>
      </c>
      <c r="O1432" s="7" t="s">
        <v>180</v>
      </c>
      <c r="P1432" s="7" t="s">
        <v>180</v>
      </c>
    </row>
    <row r="1433" spans="1:16" x14ac:dyDescent="0.25">
      <c r="A1433" s="2" t="s">
        <v>183</v>
      </c>
      <c r="B1433" s="2" t="s">
        <v>192</v>
      </c>
      <c r="C1433" s="6" t="s">
        <v>139</v>
      </c>
      <c r="D1433" s="2" t="s">
        <v>117</v>
      </c>
      <c r="E1433" s="2"/>
      <c r="F1433" s="35">
        <v>10.829833921897823</v>
      </c>
      <c r="G1433" s="35">
        <v>-49.386835237744585</v>
      </c>
      <c r="H1433" s="35">
        <v>16.268299628999809</v>
      </c>
      <c r="I1433" s="35">
        <v>-0.4600099658902394</v>
      </c>
      <c r="J1433" s="35">
        <v>5.3598674486790153E-4</v>
      </c>
      <c r="K1433" s="35">
        <v>-0.16593647822697466</v>
      </c>
      <c r="L1433" s="35">
        <v>-82.679260710363053</v>
      </c>
      <c r="M1433" s="58" t="s">
        <v>23</v>
      </c>
      <c r="N1433" s="7">
        <v>11.333333333333334</v>
      </c>
      <c r="O1433" s="7" t="s">
        <v>180</v>
      </c>
      <c r="P1433" s="7" t="s">
        <v>180</v>
      </c>
    </row>
    <row r="1434" spans="1:16" x14ac:dyDescent="0.25">
      <c r="A1434" s="2" t="s">
        <v>183</v>
      </c>
      <c r="B1434" s="2" t="s">
        <v>192</v>
      </c>
      <c r="C1434" s="6" t="s">
        <v>139</v>
      </c>
      <c r="D1434" s="2" t="s">
        <v>118</v>
      </c>
      <c r="E1434" s="2"/>
      <c r="F1434" s="35">
        <v>0</v>
      </c>
      <c r="G1434" s="35">
        <v>48.434445910637386</v>
      </c>
      <c r="H1434" s="35">
        <v>-1.2328621377472897</v>
      </c>
      <c r="I1434" s="35">
        <v>6.8628108937039238</v>
      </c>
      <c r="J1434" s="35">
        <v>8.9363362284280903E-4</v>
      </c>
      <c r="K1434" s="35">
        <v>8.7533503160275998</v>
      </c>
      <c r="L1434" s="35">
        <v>-18.620642967673326</v>
      </c>
      <c r="M1434" s="58" t="s">
        <v>22</v>
      </c>
      <c r="N1434" s="7">
        <v>11.333333333333334</v>
      </c>
      <c r="O1434" s="7" t="s">
        <v>180</v>
      </c>
      <c r="P1434" s="7" t="s">
        <v>180</v>
      </c>
    </row>
    <row r="1435" spans="1:16" x14ac:dyDescent="0.25">
      <c r="A1435" s="2" t="s">
        <v>183</v>
      </c>
      <c r="B1435" s="2" t="s">
        <v>192</v>
      </c>
      <c r="C1435" s="6" t="s">
        <v>139</v>
      </c>
      <c r="D1435" s="2" t="s">
        <v>118</v>
      </c>
      <c r="E1435" s="2"/>
      <c r="F1435" s="35">
        <v>0.29999999999999988</v>
      </c>
      <c r="G1435" s="35">
        <v>48.577351750637398</v>
      </c>
      <c r="H1435" s="35">
        <v>-1.2328621377472897</v>
      </c>
      <c r="I1435" s="35">
        <v>6.8628108937039238</v>
      </c>
      <c r="J1435" s="35">
        <v>8.9363362284280903E-4</v>
      </c>
      <c r="K1435" s="35">
        <v>6.6945070479164235</v>
      </c>
      <c r="L1435" s="35">
        <v>-18.250784326349141</v>
      </c>
      <c r="M1435" s="58" t="s">
        <v>22</v>
      </c>
      <c r="N1435" s="7">
        <v>11.333333333333334</v>
      </c>
      <c r="O1435" s="7" t="s">
        <v>180</v>
      </c>
      <c r="P1435" s="7" t="s">
        <v>180</v>
      </c>
    </row>
    <row r="1436" spans="1:16" x14ac:dyDescent="0.25">
      <c r="A1436" s="2" t="s">
        <v>183</v>
      </c>
      <c r="B1436" s="2" t="s">
        <v>192</v>
      </c>
      <c r="C1436" s="6" t="s">
        <v>139</v>
      </c>
      <c r="D1436" s="2" t="s">
        <v>118</v>
      </c>
      <c r="E1436" s="2"/>
      <c r="F1436" s="35">
        <v>0.29999999999999988</v>
      </c>
      <c r="G1436" s="35">
        <v>-28.176850696731201</v>
      </c>
      <c r="H1436" s="35">
        <v>-1.2328621377472844</v>
      </c>
      <c r="I1436" s="35">
        <v>2.2105845008310663</v>
      </c>
      <c r="J1436" s="35">
        <v>4.9533023637465486E-4</v>
      </c>
      <c r="K1436" s="35">
        <v>6.6945070479164377</v>
      </c>
      <c r="L1436" s="35">
        <v>-18.250808224552326</v>
      </c>
      <c r="M1436" s="58" t="s">
        <v>22</v>
      </c>
      <c r="N1436" s="7">
        <v>11.333333333333334</v>
      </c>
      <c r="O1436" s="7" t="s">
        <v>180</v>
      </c>
      <c r="P1436" s="7" t="s">
        <v>180</v>
      </c>
    </row>
    <row r="1437" spans="1:16" x14ac:dyDescent="0.25">
      <c r="A1437" s="2" t="s">
        <v>183</v>
      </c>
      <c r="B1437" s="2" t="s">
        <v>192</v>
      </c>
      <c r="C1437" s="6" t="s">
        <v>139</v>
      </c>
      <c r="D1437" s="2" t="s">
        <v>118</v>
      </c>
      <c r="E1437" s="2"/>
      <c r="F1437" s="35">
        <v>5.3</v>
      </c>
      <c r="G1437" s="35">
        <v>-25.795086696731204</v>
      </c>
      <c r="H1437" s="35">
        <v>-1.2328621377472844</v>
      </c>
      <c r="I1437" s="35">
        <v>2.2105845008310663</v>
      </c>
      <c r="J1437" s="35">
        <v>4.9533023637465486E-4</v>
      </c>
      <c r="K1437" s="35">
        <v>-4.358415456238891</v>
      </c>
      <c r="L1437" s="35">
        <v>-12.086497535815903</v>
      </c>
      <c r="M1437" s="58" t="s">
        <v>24</v>
      </c>
      <c r="N1437" s="7">
        <v>11.333333333333334</v>
      </c>
      <c r="O1437" s="7" t="s">
        <v>180</v>
      </c>
      <c r="P1437" s="7" t="s">
        <v>180</v>
      </c>
    </row>
    <row r="1438" spans="1:16" x14ac:dyDescent="0.25">
      <c r="A1438" s="2" t="s">
        <v>183</v>
      </c>
      <c r="B1438" s="2" t="s">
        <v>192</v>
      </c>
      <c r="C1438" s="6" t="s">
        <v>139</v>
      </c>
      <c r="D1438" s="2" t="s">
        <v>118</v>
      </c>
      <c r="E1438" s="2"/>
      <c r="F1438" s="35">
        <v>5.3</v>
      </c>
      <c r="G1438" s="35">
        <v>48.014620812928349</v>
      </c>
      <c r="H1438" s="35">
        <v>-1.232685726530125</v>
      </c>
      <c r="I1438" s="35">
        <v>-0.73342315192264051</v>
      </c>
      <c r="J1438" s="35">
        <v>5.2790693816429763E-4</v>
      </c>
      <c r="K1438" s="35">
        <v>-4.3584154562388964</v>
      </c>
      <c r="L1438" s="35">
        <v>-12.085769612308551</v>
      </c>
      <c r="M1438" s="58" t="s">
        <v>24</v>
      </c>
      <c r="N1438" s="7">
        <v>11.333333333333334</v>
      </c>
      <c r="O1438" s="7" t="s">
        <v>180</v>
      </c>
      <c r="P1438" s="7" t="s">
        <v>180</v>
      </c>
    </row>
    <row r="1439" spans="1:16" x14ac:dyDescent="0.25">
      <c r="A1439" s="2" t="s">
        <v>183</v>
      </c>
      <c r="B1439" s="2" t="s">
        <v>192</v>
      </c>
      <c r="C1439" s="6" t="s">
        <v>139</v>
      </c>
      <c r="D1439" s="2" t="s">
        <v>118</v>
      </c>
      <c r="E1439" s="2"/>
      <c r="F1439" s="35">
        <v>5.4149169609489114</v>
      </c>
      <c r="G1439" s="35">
        <v>48.069361829043864</v>
      </c>
      <c r="H1439" s="35">
        <v>-1.232685726530125</v>
      </c>
      <c r="I1439" s="35">
        <v>-0.73342315192264051</v>
      </c>
      <c r="J1439" s="35">
        <v>5.2790693816429763E-4</v>
      </c>
      <c r="K1439" s="35">
        <v>-4.2741326965303736</v>
      </c>
      <c r="L1439" s="35">
        <v>-11.944113114810607</v>
      </c>
      <c r="M1439" s="58" t="s">
        <v>24</v>
      </c>
      <c r="N1439" s="7">
        <v>11.333333333333334</v>
      </c>
      <c r="O1439" s="7" t="s">
        <v>180</v>
      </c>
      <c r="P1439" s="7" t="s">
        <v>180</v>
      </c>
    </row>
    <row r="1440" spans="1:16" x14ac:dyDescent="0.25">
      <c r="A1440" s="2" t="s">
        <v>183</v>
      </c>
      <c r="B1440" s="2" t="s">
        <v>192</v>
      </c>
      <c r="C1440" s="6" t="s">
        <v>139</v>
      </c>
      <c r="D1440" s="2" t="s">
        <v>118</v>
      </c>
      <c r="E1440" s="2"/>
      <c r="F1440" s="35">
        <v>10.829833921897823</v>
      </c>
      <c r="G1440" s="35">
        <v>50.648772685159365</v>
      </c>
      <c r="H1440" s="35">
        <v>-1.232685726530125</v>
      </c>
      <c r="I1440" s="35">
        <v>-0.73342315192264051</v>
      </c>
      <c r="J1440" s="35">
        <v>5.2790693816429763E-4</v>
      </c>
      <c r="K1440" s="35">
        <v>-0.30270723163185925</v>
      </c>
      <c r="L1440" s="35">
        <v>-5.2692222667030046</v>
      </c>
      <c r="M1440" s="58" t="s">
        <v>23</v>
      </c>
      <c r="N1440" s="7">
        <v>11.333333333333334</v>
      </c>
      <c r="O1440" s="7" t="s">
        <v>180</v>
      </c>
      <c r="P1440" s="7" t="s">
        <v>180</v>
      </c>
    </row>
    <row r="1441" spans="1:16" x14ac:dyDescent="0.25">
      <c r="A1441" s="2" t="s">
        <v>183</v>
      </c>
      <c r="B1441" s="2" t="s">
        <v>192</v>
      </c>
      <c r="C1441" s="6" t="s">
        <v>139</v>
      </c>
      <c r="D1441" s="2" t="s">
        <v>119</v>
      </c>
      <c r="E1441" s="2"/>
      <c r="F1441" s="35">
        <v>0</v>
      </c>
      <c r="G1441" s="35">
        <v>-142.25843461104301</v>
      </c>
      <c r="H1441" s="35">
        <v>-15.077258700304423</v>
      </c>
      <c r="I1441" s="35">
        <v>2.332513271911191</v>
      </c>
      <c r="J1441" s="35">
        <v>4.7827973336927829E-5</v>
      </c>
      <c r="K1441" s="35">
        <v>5.065809847226026</v>
      </c>
      <c r="L1441" s="35">
        <v>-83.398729232083824</v>
      </c>
      <c r="M1441" s="58" t="s">
        <v>22</v>
      </c>
      <c r="N1441" s="7">
        <v>11.333333333333334</v>
      </c>
      <c r="O1441" s="7" t="s">
        <v>180</v>
      </c>
      <c r="P1441" s="7" t="s">
        <v>180</v>
      </c>
    </row>
    <row r="1442" spans="1:16" x14ac:dyDescent="0.25">
      <c r="A1442" s="2" t="s">
        <v>183</v>
      </c>
      <c r="B1442" s="2" t="s">
        <v>192</v>
      </c>
      <c r="C1442" s="6" t="s">
        <v>139</v>
      </c>
      <c r="D1442" s="2" t="s">
        <v>119</v>
      </c>
      <c r="E1442" s="2"/>
      <c r="F1442" s="35">
        <v>0.29999999999999988</v>
      </c>
      <c r="G1442" s="35">
        <v>-142.11552877104299</v>
      </c>
      <c r="H1442" s="35">
        <v>-15.077258700304423</v>
      </c>
      <c r="I1442" s="35">
        <v>2.332513271911191</v>
      </c>
      <c r="J1442" s="35">
        <v>4.7827973336927829E-5</v>
      </c>
      <c r="K1442" s="35">
        <v>4.3660558656526689</v>
      </c>
      <c r="L1442" s="35">
        <v>-78.875551621992514</v>
      </c>
      <c r="M1442" s="58" t="s">
        <v>22</v>
      </c>
      <c r="N1442" s="7">
        <v>11.333333333333334</v>
      </c>
      <c r="O1442" s="7" t="s">
        <v>180</v>
      </c>
      <c r="P1442" s="7" t="s">
        <v>180</v>
      </c>
    </row>
    <row r="1443" spans="1:16" x14ac:dyDescent="0.25">
      <c r="A1443" s="2" t="s">
        <v>183</v>
      </c>
      <c r="B1443" s="2" t="s">
        <v>192</v>
      </c>
      <c r="C1443" s="6" t="s">
        <v>139</v>
      </c>
      <c r="D1443" s="2" t="s">
        <v>119</v>
      </c>
      <c r="E1443" s="2"/>
      <c r="F1443" s="35">
        <v>0.29999999999999988</v>
      </c>
      <c r="G1443" s="35">
        <v>-156.05256025935333</v>
      </c>
      <c r="H1443" s="35">
        <v>-15.077258700304457</v>
      </c>
      <c r="I1443" s="35">
        <v>1.4493171365818267</v>
      </c>
      <c r="J1443" s="35">
        <v>5.903284405309277E-4</v>
      </c>
      <c r="K1443" s="35">
        <v>4.3660558656526698</v>
      </c>
      <c r="L1443" s="35">
        <v>-78.875519071964476</v>
      </c>
      <c r="M1443" s="58" t="s">
        <v>22</v>
      </c>
      <c r="N1443" s="7">
        <v>11.333333333333334</v>
      </c>
      <c r="O1443" s="7" t="s">
        <v>180</v>
      </c>
      <c r="P1443" s="7" t="s">
        <v>180</v>
      </c>
    </row>
    <row r="1444" spans="1:16" x14ac:dyDescent="0.25">
      <c r="A1444" s="2" t="s">
        <v>183</v>
      </c>
      <c r="B1444" s="2" t="s">
        <v>192</v>
      </c>
      <c r="C1444" s="6" t="s">
        <v>139</v>
      </c>
      <c r="D1444" s="2" t="s">
        <v>119</v>
      </c>
      <c r="E1444" s="2"/>
      <c r="F1444" s="35">
        <v>5.3</v>
      </c>
      <c r="G1444" s="35">
        <v>-153.67079625935335</v>
      </c>
      <c r="H1444" s="35">
        <v>-15.077258700304457</v>
      </c>
      <c r="I1444" s="35">
        <v>1.4493171365818267</v>
      </c>
      <c r="J1444" s="35">
        <v>5.903284405309277E-4</v>
      </c>
      <c r="K1444" s="35">
        <v>-2.880529817256464</v>
      </c>
      <c r="L1444" s="35">
        <v>-3.4892255704421915</v>
      </c>
      <c r="M1444" s="58" t="s">
        <v>24</v>
      </c>
      <c r="N1444" s="7">
        <v>11.333333333333334</v>
      </c>
      <c r="O1444" s="7" t="s">
        <v>180</v>
      </c>
      <c r="P1444" s="7" t="s">
        <v>180</v>
      </c>
    </row>
    <row r="1445" spans="1:16" x14ac:dyDescent="0.25">
      <c r="A1445" s="2" t="s">
        <v>183</v>
      </c>
      <c r="B1445" s="2" t="s">
        <v>192</v>
      </c>
      <c r="C1445" s="6" t="s">
        <v>139</v>
      </c>
      <c r="D1445" s="2" t="s">
        <v>119</v>
      </c>
      <c r="E1445" s="2"/>
      <c r="F1445" s="35">
        <v>5.3</v>
      </c>
      <c r="G1445" s="35">
        <v>-138.07825162850915</v>
      </c>
      <c r="H1445" s="35">
        <v>-15.077288821272257</v>
      </c>
      <c r="I1445" s="35">
        <v>-0.48832619173254116</v>
      </c>
      <c r="J1445" s="35">
        <v>3.2293646049850306E-4</v>
      </c>
      <c r="K1445" s="35">
        <v>-2.8805298172564675</v>
      </c>
      <c r="L1445" s="35">
        <v>-3.4894149042201525</v>
      </c>
      <c r="M1445" s="58" t="s">
        <v>24</v>
      </c>
      <c r="N1445" s="7">
        <v>11.333333333333334</v>
      </c>
      <c r="O1445" s="7" t="s">
        <v>180</v>
      </c>
      <c r="P1445" s="7" t="s">
        <v>180</v>
      </c>
    </row>
    <row r="1446" spans="1:16" x14ac:dyDescent="0.25">
      <c r="A1446" s="2" t="s">
        <v>183</v>
      </c>
      <c r="B1446" s="2" t="s">
        <v>192</v>
      </c>
      <c r="C1446" s="6" t="s">
        <v>139</v>
      </c>
      <c r="D1446" s="2" t="s">
        <v>119</v>
      </c>
      <c r="E1446" s="2"/>
      <c r="F1446" s="35">
        <v>5.4149169609489114</v>
      </c>
      <c r="G1446" s="35">
        <v>-138.02351061239364</v>
      </c>
      <c r="H1446" s="35">
        <v>-15.077288821272257</v>
      </c>
      <c r="I1446" s="35">
        <v>-0.48832619173254116</v>
      </c>
      <c r="J1446" s="35">
        <v>3.2293646049850306E-4</v>
      </c>
      <c r="K1446" s="35">
        <v>-2.8244128553508081</v>
      </c>
      <c r="L1446" s="35">
        <v>-1.7567786935305498</v>
      </c>
      <c r="M1446" s="58" t="s">
        <v>24</v>
      </c>
      <c r="N1446" s="7">
        <v>11.333333333333334</v>
      </c>
      <c r="O1446" s="7" t="s">
        <v>180</v>
      </c>
      <c r="P1446" s="7" t="s">
        <v>180</v>
      </c>
    </row>
    <row r="1447" spans="1:16" x14ac:dyDescent="0.25">
      <c r="A1447" s="2" t="s">
        <v>183</v>
      </c>
      <c r="B1447" s="2" t="s">
        <v>192</v>
      </c>
      <c r="C1447" s="6" t="s">
        <v>139</v>
      </c>
      <c r="D1447" s="2" t="s">
        <v>119</v>
      </c>
      <c r="E1447" s="2"/>
      <c r="F1447" s="35">
        <v>10.829833921897823</v>
      </c>
      <c r="G1447" s="35">
        <v>-135.44409975627812</v>
      </c>
      <c r="H1447" s="35">
        <v>-15.077288821272257</v>
      </c>
      <c r="I1447" s="35">
        <v>-0.48832619173254116</v>
      </c>
      <c r="J1447" s="35">
        <v>3.2293646049850306E-4</v>
      </c>
      <c r="K1447" s="35">
        <v>-0.18016707726268211</v>
      </c>
      <c r="L1447" s="35">
        <v>79.885488269901984</v>
      </c>
      <c r="M1447" s="58" t="s">
        <v>23</v>
      </c>
      <c r="N1447" s="7">
        <v>11.333333333333334</v>
      </c>
      <c r="O1447" s="7" t="s">
        <v>180</v>
      </c>
      <c r="P1447" s="7" t="s">
        <v>180</v>
      </c>
    </row>
    <row r="1448" spans="1:16" x14ac:dyDescent="0.25">
      <c r="A1448" s="2" t="s">
        <v>183</v>
      </c>
      <c r="B1448" s="2" t="s">
        <v>192</v>
      </c>
      <c r="C1448" s="6" t="s">
        <v>139</v>
      </c>
      <c r="D1448" s="2" t="s">
        <v>120</v>
      </c>
      <c r="E1448" s="2"/>
      <c r="F1448" s="35">
        <v>0</v>
      </c>
      <c r="G1448" s="35">
        <v>136.35590671329081</v>
      </c>
      <c r="H1448" s="35">
        <v>10.252138044246932</v>
      </c>
      <c r="I1448" s="35">
        <v>-4.9459356923357634</v>
      </c>
      <c r="J1448" s="35">
        <v>1.0707575806817155E-3</v>
      </c>
      <c r="K1448" s="35">
        <v>-7.8909381604872388</v>
      </c>
      <c r="L1448" s="35">
        <v>36.531530881890724</v>
      </c>
      <c r="M1448" s="58" t="s">
        <v>22</v>
      </c>
      <c r="N1448" s="7">
        <v>11.333333333333334</v>
      </c>
      <c r="O1448" s="7" t="s">
        <v>180</v>
      </c>
      <c r="P1448" s="7" t="s">
        <v>180</v>
      </c>
    </row>
    <row r="1449" spans="1:16" x14ac:dyDescent="0.25">
      <c r="A1449" s="2" t="s">
        <v>183</v>
      </c>
      <c r="B1449" s="2" t="s">
        <v>192</v>
      </c>
      <c r="C1449" s="6" t="s">
        <v>139</v>
      </c>
      <c r="D1449" s="2" t="s">
        <v>120</v>
      </c>
      <c r="E1449" s="2"/>
      <c r="F1449" s="35">
        <v>0.29999999999999988</v>
      </c>
      <c r="G1449" s="35">
        <v>136.49881255329083</v>
      </c>
      <c r="H1449" s="35">
        <v>10.252138044246932</v>
      </c>
      <c r="I1449" s="35">
        <v>-4.9459356923357634</v>
      </c>
      <c r="J1449" s="35">
        <v>1.0707575806817155E-3</v>
      </c>
      <c r="K1449" s="35">
        <v>-6.4071574527865103</v>
      </c>
      <c r="L1449" s="35">
        <v>33.455889468616647</v>
      </c>
      <c r="M1449" s="58" t="s">
        <v>22</v>
      </c>
      <c r="N1449" s="7">
        <v>11.333333333333334</v>
      </c>
      <c r="O1449" s="7" t="s">
        <v>180</v>
      </c>
      <c r="P1449" s="7" t="s">
        <v>180</v>
      </c>
    </row>
    <row r="1450" spans="1:16" x14ac:dyDescent="0.25">
      <c r="A1450" s="2" t="s">
        <v>183</v>
      </c>
      <c r="B1450" s="2" t="s">
        <v>192</v>
      </c>
      <c r="C1450" s="6" t="s">
        <v>139</v>
      </c>
      <c r="D1450" s="2" t="s">
        <v>120</v>
      </c>
      <c r="E1450" s="2"/>
      <c r="F1450" s="35">
        <v>0.29999999999999988</v>
      </c>
      <c r="G1450" s="35">
        <v>184.85501899324549</v>
      </c>
      <c r="H1450" s="35">
        <v>10.252138044246943</v>
      </c>
      <c r="I1450" s="35">
        <v>-2.0915375519692443</v>
      </c>
      <c r="J1450" s="35">
        <v>-2.2678139896935265E-4</v>
      </c>
      <c r="K1450" s="35">
        <v>-6.4071574527865156</v>
      </c>
      <c r="L1450" s="35">
        <v>33.455811616277842</v>
      </c>
      <c r="M1450" s="58" t="s">
        <v>22</v>
      </c>
      <c r="N1450" s="7">
        <v>11.333333333333334</v>
      </c>
      <c r="O1450" s="7" t="s">
        <v>180</v>
      </c>
      <c r="P1450" s="7" t="s">
        <v>180</v>
      </c>
    </row>
    <row r="1451" spans="1:16" x14ac:dyDescent="0.25">
      <c r="A1451" s="2" t="s">
        <v>183</v>
      </c>
      <c r="B1451" s="2" t="s">
        <v>192</v>
      </c>
      <c r="C1451" s="6" t="s">
        <v>139</v>
      </c>
      <c r="D1451" s="2" t="s">
        <v>120</v>
      </c>
      <c r="E1451" s="2"/>
      <c r="F1451" s="35">
        <v>5.3</v>
      </c>
      <c r="G1451" s="35">
        <v>187.2367829932455</v>
      </c>
      <c r="H1451" s="35">
        <v>10.252138044246943</v>
      </c>
      <c r="I1451" s="35">
        <v>-2.0915375519692443</v>
      </c>
      <c r="J1451" s="35">
        <v>-2.2678139896935265E-4</v>
      </c>
      <c r="K1451" s="35">
        <v>4.0505303070597067</v>
      </c>
      <c r="L1451" s="35">
        <v>-17.804878604956869</v>
      </c>
      <c r="M1451" s="58" t="s">
        <v>24</v>
      </c>
      <c r="N1451" s="7">
        <v>11.333333333333334</v>
      </c>
      <c r="O1451" s="7" t="s">
        <v>180</v>
      </c>
      <c r="P1451" s="7" t="s">
        <v>180</v>
      </c>
    </row>
    <row r="1452" spans="1:16" x14ac:dyDescent="0.25">
      <c r="A1452" s="2" t="s">
        <v>183</v>
      </c>
      <c r="B1452" s="2" t="s">
        <v>192</v>
      </c>
      <c r="C1452" s="6" t="s">
        <v>139</v>
      </c>
      <c r="D1452" s="2" t="s">
        <v>120</v>
      </c>
      <c r="E1452" s="2"/>
      <c r="F1452" s="35">
        <v>5.3</v>
      </c>
      <c r="G1452" s="35">
        <v>149.96514068289167</v>
      </c>
      <c r="H1452" s="35">
        <v>10.252499789432182</v>
      </c>
      <c r="I1452" s="35">
        <v>0.66047469314228713</v>
      </c>
      <c r="J1452" s="35">
        <v>2.1035232350780181E-5</v>
      </c>
      <c r="K1452" s="35">
        <v>4.0505303070597076</v>
      </c>
      <c r="L1452" s="35">
        <v>-17.803218073023761</v>
      </c>
      <c r="M1452" s="58" t="s">
        <v>24</v>
      </c>
      <c r="N1452" s="7">
        <v>11.333333333333334</v>
      </c>
      <c r="O1452" s="7" t="s">
        <v>180</v>
      </c>
      <c r="P1452" s="7" t="s">
        <v>180</v>
      </c>
    </row>
    <row r="1453" spans="1:16" x14ac:dyDescent="0.25">
      <c r="A1453" s="2" t="s">
        <v>183</v>
      </c>
      <c r="B1453" s="2" t="s">
        <v>192</v>
      </c>
      <c r="C1453" s="6" t="s">
        <v>139</v>
      </c>
      <c r="D1453" s="2" t="s">
        <v>120</v>
      </c>
      <c r="E1453" s="2"/>
      <c r="F1453" s="35">
        <v>5.4149169609489114</v>
      </c>
      <c r="G1453" s="35">
        <v>150.01988169900719</v>
      </c>
      <c r="H1453" s="35">
        <v>10.252499789432182</v>
      </c>
      <c r="I1453" s="35">
        <v>0.66047469314228713</v>
      </c>
      <c r="J1453" s="35">
        <v>2.1035232350780181E-5</v>
      </c>
      <c r="K1453" s="35">
        <v>3.9746305625401321</v>
      </c>
      <c r="L1453" s="35">
        <v>-18.98140419095466</v>
      </c>
      <c r="M1453" s="58" t="s">
        <v>24</v>
      </c>
      <c r="N1453" s="7">
        <v>11.333333333333334</v>
      </c>
      <c r="O1453" s="7" t="s">
        <v>180</v>
      </c>
      <c r="P1453" s="7" t="s">
        <v>180</v>
      </c>
    </row>
    <row r="1454" spans="1:16" x14ac:dyDescent="0.25">
      <c r="A1454" s="2" t="s">
        <v>183</v>
      </c>
      <c r="B1454" s="2" t="s">
        <v>192</v>
      </c>
      <c r="C1454" s="6" t="s">
        <v>139</v>
      </c>
      <c r="D1454" s="2" t="s">
        <v>120</v>
      </c>
      <c r="E1454" s="2"/>
      <c r="F1454" s="35">
        <v>10.829833921897823</v>
      </c>
      <c r="G1454" s="35">
        <v>152.5992925551227</v>
      </c>
      <c r="H1454" s="35">
        <v>10.252499789432182</v>
      </c>
      <c r="I1454" s="35">
        <v>0.66047469314228713</v>
      </c>
      <c r="J1454" s="35">
        <v>2.1035232350780181E-5</v>
      </c>
      <c r="K1454" s="35">
        <v>0.39821494436643495</v>
      </c>
      <c r="L1454" s="35">
        <v>-74.497839192876114</v>
      </c>
      <c r="M1454" s="58" t="s">
        <v>23</v>
      </c>
      <c r="N1454" s="7">
        <v>11.333333333333334</v>
      </c>
      <c r="O1454" s="7" t="s">
        <v>180</v>
      </c>
      <c r="P1454" s="7" t="s">
        <v>180</v>
      </c>
    </row>
    <row r="1455" spans="1:16" x14ac:dyDescent="0.25">
      <c r="A1455" s="2" t="s">
        <v>183</v>
      </c>
      <c r="B1455" s="2" t="s">
        <v>192</v>
      </c>
      <c r="C1455" s="6" t="s">
        <v>139</v>
      </c>
      <c r="D1455" s="2" t="s">
        <v>121</v>
      </c>
      <c r="E1455" s="2"/>
      <c r="F1455" s="35">
        <v>0</v>
      </c>
      <c r="G1455" s="35">
        <v>54.661643596154391</v>
      </c>
      <c r="H1455" s="35">
        <v>6.5078072802937301</v>
      </c>
      <c r="I1455" s="35">
        <v>-8.681110891431171</v>
      </c>
      <c r="J1455" s="35">
        <v>5.3684986766746267E-4</v>
      </c>
      <c r="K1455" s="35">
        <v>-11.85303106730802</v>
      </c>
      <c r="L1455" s="35">
        <v>23.869219217237966</v>
      </c>
      <c r="M1455" s="58" t="s">
        <v>22</v>
      </c>
      <c r="N1455" s="7">
        <v>11.333333333333334</v>
      </c>
      <c r="O1455" s="7" t="s">
        <v>180</v>
      </c>
      <c r="P1455" s="7" t="s">
        <v>180</v>
      </c>
    </row>
    <row r="1456" spans="1:16" x14ac:dyDescent="0.25">
      <c r="A1456" s="2" t="s">
        <v>183</v>
      </c>
      <c r="B1456" s="2" t="s">
        <v>192</v>
      </c>
      <c r="C1456" s="6" t="s">
        <v>139</v>
      </c>
      <c r="D1456" s="2" t="s">
        <v>121</v>
      </c>
      <c r="E1456" s="2"/>
      <c r="F1456" s="35">
        <v>0.29999999999999988</v>
      </c>
      <c r="G1456" s="35">
        <v>54.804549436154403</v>
      </c>
      <c r="H1456" s="35">
        <v>6.5078072802937301</v>
      </c>
      <c r="I1456" s="35">
        <v>-8.681110891431171</v>
      </c>
      <c r="J1456" s="35">
        <v>5.3684986766746267E-4</v>
      </c>
      <c r="K1456" s="35">
        <v>-9.2486977998786717</v>
      </c>
      <c r="L1456" s="35">
        <v>21.916877033149845</v>
      </c>
      <c r="M1456" s="58" t="s">
        <v>22</v>
      </c>
      <c r="N1456" s="7">
        <v>11.333333333333334</v>
      </c>
      <c r="O1456" s="7" t="s">
        <v>180</v>
      </c>
      <c r="P1456" s="7" t="s">
        <v>180</v>
      </c>
    </row>
    <row r="1457" spans="1:16" x14ac:dyDescent="0.25">
      <c r="A1457" s="2" t="s">
        <v>183</v>
      </c>
      <c r="B1457" s="2" t="s">
        <v>192</v>
      </c>
      <c r="C1457" s="6" t="s">
        <v>139</v>
      </c>
      <c r="D1457" s="2" t="s">
        <v>121</v>
      </c>
      <c r="E1457" s="2"/>
      <c r="F1457" s="35">
        <v>0.29999999999999988</v>
      </c>
      <c r="G1457" s="35">
        <v>149.81545574032913</v>
      </c>
      <c r="H1457" s="35">
        <v>6.5078072802937399</v>
      </c>
      <c r="I1457" s="35">
        <v>-3.0274307592114589</v>
      </c>
      <c r="J1457" s="35">
        <v>-3.5166052076162724E-4</v>
      </c>
      <c r="K1457" s="35">
        <v>-9.248697799878677</v>
      </c>
      <c r="L1457" s="35">
        <v>21.916823722526527</v>
      </c>
      <c r="M1457" s="58" t="s">
        <v>22</v>
      </c>
      <c r="N1457" s="7">
        <v>11.333333333333334</v>
      </c>
      <c r="O1457" s="7" t="s">
        <v>180</v>
      </c>
      <c r="P1457" s="7" t="s">
        <v>180</v>
      </c>
    </row>
    <row r="1458" spans="1:16" x14ac:dyDescent="0.25">
      <c r="A1458" s="2" t="s">
        <v>183</v>
      </c>
      <c r="B1458" s="2" t="s">
        <v>192</v>
      </c>
      <c r="C1458" s="6" t="s">
        <v>139</v>
      </c>
      <c r="D1458" s="2" t="s">
        <v>121</v>
      </c>
      <c r="E1458" s="2"/>
      <c r="F1458" s="35">
        <v>5.3</v>
      </c>
      <c r="G1458" s="35">
        <v>152.19721974032913</v>
      </c>
      <c r="H1458" s="35">
        <v>6.5078072802937399</v>
      </c>
      <c r="I1458" s="35">
        <v>-3.0274307592114589</v>
      </c>
      <c r="J1458" s="35">
        <v>-3.5166052076162724E-4</v>
      </c>
      <c r="K1458" s="35">
        <v>5.8884559961786183</v>
      </c>
      <c r="L1458" s="35">
        <v>-10.622212678942173</v>
      </c>
      <c r="M1458" s="58" t="s">
        <v>24</v>
      </c>
      <c r="N1458" s="7">
        <v>11.333333333333334</v>
      </c>
      <c r="O1458" s="7" t="s">
        <v>180</v>
      </c>
      <c r="P1458" s="7" t="s">
        <v>180</v>
      </c>
    </row>
    <row r="1459" spans="1:16" x14ac:dyDescent="0.25">
      <c r="A1459" s="2" t="s">
        <v>183</v>
      </c>
      <c r="B1459" s="2" t="s">
        <v>192</v>
      </c>
      <c r="C1459" s="6" t="s">
        <v>139</v>
      </c>
      <c r="D1459" s="2" t="s">
        <v>121</v>
      </c>
      <c r="E1459" s="2"/>
      <c r="F1459" s="35">
        <v>5.3</v>
      </c>
      <c r="G1459" s="35">
        <v>71.667885085977105</v>
      </c>
      <c r="H1459" s="35">
        <v>6.508048802474347</v>
      </c>
      <c r="I1459" s="35">
        <v>0.96512647480316383</v>
      </c>
      <c r="J1459" s="35">
        <v>-2.1099514005124481E-4</v>
      </c>
      <c r="K1459" s="35">
        <v>5.8884559961786254</v>
      </c>
      <c r="L1459" s="35">
        <v>-10.621081080048748</v>
      </c>
      <c r="M1459" s="58" t="s">
        <v>24</v>
      </c>
      <c r="N1459" s="7">
        <v>11.333333333333334</v>
      </c>
      <c r="O1459" s="7" t="s">
        <v>180</v>
      </c>
      <c r="P1459" s="7" t="s">
        <v>180</v>
      </c>
    </row>
    <row r="1460" spans="1:16" x14ac:dyDescent="0.25">
      <c r="A1460" s="2" t="s">
        <v>183</v>
      </c>
      <c r="B1460" s="2" t="s">
        <v>192</v>
      </c>
      <c r="C1460" s="6" t="s">
        <v>139</v>
      </c>
      <c r="D1460" s="2" t="s">
        <v>121</v>
      </c>
      <c r="E1460" s="2"/>
      <c r="F1460" s="35">
        <v>5.4149169609489114</v>
      </c>
      <c r="G1460" s="35">
        <v>71.722626102092605</v>
      </c>
      <c r="H1460" s="35">
        <v>6.508048802474347</v>
      </c>
      <c r="I1460" s="35">
        <v>0.96512647480316383</v>
      </c>
      <c r="J1460" s="35">
        <v>-2.1099514005124481E-4</v>
      </c>
      <c r="K1460" s="35">
        <v>5.7775465947629092</v>
      </c>
      <c r="L1460" s="35">
        <v>-11.368966270136299</v>
      </c>
      <c r="M1460" s="58" t="s">
        <v>24</v>
      </c>
      <c r="N1460" s="7">
        <v>11.333333333333334</v>
      </c>
      <c r="O1460" s="7" t="s">
        <v>180</v>
      </c>
      <c r="P1460" s="7" t="s">
        <v>180</v>
      </c>
    </row>
    <row r="1461" spans="1:16" x14ac:dyDescent="0.25">
      <c r="A1461" s="2" t="s">
        <v>183</v>
      </c>
      <c r="B1461" s="2" t="s">
        <v>192</v>
      </c>
      <c r="C1461" s="6" t="s">
        <v>139</v>
      </c>
      <c r="D1461" s="2" t="s">
        <v>121</v>
      </c>
      <c r="E1461" s="2"/>
      <c r="F1461" s="35">
        <v>10.829833921897823</v>
      </c>
      <c r="G1461" s="35">
        <v>74.30203695820812</v>
      </c>
      <c r="H1461" s="35">
        <v>6.508048802474347</v>
      </c>
      <c r="I1461" s="35">
        <v>0.96512647480316383</v>
      </c>
      <c r="J1461" s="35">
        <v>-2.1099514005124481E-4</v>
      </c>
      <c r="K1461" s="35">
        <v>0.55146687689042717</v>
      </c>
      <c r="L1461" s="35">
        <v>-46.609510113337883</v>
      </c>
      <c r="M1461" s="58" t="s">
        <v>23</v>
      </c>
      <c r="N1461" s="7">
        <v>11.333333333333334</v>
      </c>
      <c r="O1461" s="7" t="s">
        <v>180</v>
      </c>
      <c r="P1461" s="7" t="s">
        <v>180</v>
      </c>
    </row>
    <row r="1462" spans="1:16" x14ac:dyDescent="0.25">
      <c r="A1462" s="2" t="s">
        <v>183</v>
      </c>
      <c r="B1462" s="2" t="s">
        <v>192</v>
      </c>
      <c r="C1462" s="6" t="s">
        <v>139</v>
      </c>
      <c r="D1462" s="2" t="s">
        <v>122</v>
      </c>
      <c r="E1462" s="2"/>
      <c r="F1462" s="35">
        <v>0</v>
      </c>
      <c r="G1462" s="35">
        <v>80.817265915656364</v>
      </c>
      <c r="H1462" s="35">
        <v>4.3208704754543055</v>
      </c>
      <c r="I1462" s="35">
        <v>6.4506598163495719</v>
      </c>
      <c r="J1462" s="35">
        <v>3.773321484110176E-4</v>
      </c>
      <c r="K1462" s="35">
        <v>7.7697241173635643</v>
      </c>
      <c r="L1462" s="35">
        <v>15.164330000690168</v>
      </c>
      <c r="M1462" s="58" t="s">
        <v>22</v>
      </c>
      <c r="N1462" s="7">
        <v>11.333333333333334</v>
      </c>
      <c r="O1462" s="7" t="s">
        <v>180</v>
      </c>
      <c r="P1462" s="7" t="s">
        <v>180</v>
      </c>
    </row>
    <row r="1463" spans="1:16" x14ac:dyDescent="0.25">
      <c r="A1463" s="2" t="s">
        <v>183</v>
      </c>
      <c r="B1463" s="2" t="s">
        <v>192</v>
      </c>
      <c r="C1463" s="6" t="s">
        <v>139</v>
      </c>
      <c r="D1463" s="2" t="s">
        <v>122</v>
      </c>
      <c r="E1463" s="2"/>
      <c r="F1463" s="35">
        <v>0.29999999999999988</v>
      </c>
      <c r="G1463" s="35">
        <v>80.960171755656361</v>
      </c>
      <c r="H1463" s="35">
        <v>4.3208704754543055</v>
      </c>
      <c r="I1463" s="35">
        <v>6.4506598163495719</v>
      </c>
      <c r="J1463" s="35">
        <v>3.773321484110176E-4</v>
      </c>
      <c r="K1463" s="35">
        <v>5.8345261724586948</v>
      </c>
      <c r="L1463" s="35">
        <v>13.868068858053874</v>
      </c>
      <c r="M1463" s="58" t="s">
        <v>22</v>
      </c>
      <c r="N1463" s="7">
        <v>11.333333333333334</v>
      </c>
      <c r="O1463" s="7" t="s">
        <v>180</v>
      </c>
      <c r="P1463" s="7" t="s">
        <v>180</v>
      </c>
    </row>
    <row r="1464" spans="1:16" x14ac:dyDescent="0.25">
      <c r="A1464" s="2" t="s">
        <v>183</v>
      </c>
      <c r="B1464" s="2" t="s">
        <v>192</v>
      </c>
      <c r="C1464" s="6" t="s">
        <v>139</v>
      </c>
      <c r="D1464" s="2" t="s">
        <v>122</v>
      </c>
      <c r="E1464" s="2"/>
      <c r="F1464" s="35">
        <v>0.29999999999999988</v>
      </c>
      <c r="G1464" s="35">
        <v>5.8253704271043523</v>
      </c>
      <c r="H1464" s="35">
        <v>4.3208704754543046</v>
      </c>
      <c r="I1464" s="35">
        <v>1.8955974906057109</v>
      </c>
      <c r="J1464" s="35">
        <v>-1.1512687239942449E-4</v>
      </c>
      <c r="K1464" s="35">
        <v>5.8345261724586948</v>
      </c>
      <c r="L1464" s="35">
        <v>13.868039310512643</v>
      </c>
      <c r="M1464" s="58" t="s">
        <v>22</v>
      </c>
      <c r="N1464" s="7">
        <v>11.333333333333334</v>
      </c>
      <c r="O1464" s="7" t="s">
        <v>180</v>
      </c>
      <c r="P1464" s="7" t="s">
        <v>180</v>
      </c>
    </row>
    <row r="1465" spans="1:16" x14ac:dyDescent="0.25">
      <c r="A1465" s="2" t="s">
        <v>183</v>
      </c>
      <c r="B1465" s="2" t="s">
        <v>192</v>
      </c>
      <c r="C1465" s="6" t="s">
        <v>139</v>
      </c>
      <c r="D1465" s="2" t="s">
        <v>122</v>
      </c>
      <c r="E1465" s="2"/>
      <c r="F1465" s="35">
        <v>5.3</v>
      </c>
      <c r="G1465" s="35">
        <v>8.2071344271043483</v>
      </c>
      <c r="H1465" s="35">
        <v>4.3208704754543046</v>
      </c>
      <c r="I1465" s="35">
        <v>1.8955974906057109</v>
      </c>
      <c r="J1465" s="35">
        <v>-1.1512687239942449E-4</v>
      </c>
      <c r="K1465" s="35">
        <v>-3.6434612805698587</v>
      </c>
      <c r="L1465" s="35">
        <v>-7.736313066758882</v>
      </c>
      <c r="M1465" s="58" t="s">
        <v>24</v>
      </c>
      <c r="N1465" s="7">
        <v>11.333333333333334</v>
      </c>
      <c r="O1465" s="7" t="s">
        <v>180</v>
      </c>
      <c r="P1465" s="7" t="s">
        <v>180</v>
      </c>
    </row>
    <row r="1466" spans="1:16" x14ac:dyDescent="0.25">
      <c r="A1466" s="2" t="s">
        <v>183</v>
      </c>
      <c r="B1466" s="2" t="s">
        <v>192</v>
      </c>
      <c r="C1466" s="6" t="s">
        <v>139</v>
      </c>
      <c r="D1466" s="2" t="s">
        <v>122</v>
      </c>
      <c r="E1466" s="2"/>
      <c r="F1466" s="35">
        <v>5.3</v>
      </c>
      <c r="G1466" s="35">
        <v>76.137299508188519</v>
      </c>
      <c r="H1466" s="35">
        <v>4.3210133430467108</v>
      </c>
      <c r="I1466" s="35">
        <v>-0.61520102289242917</v>
      </c>
      <c r="J1466" s="35">
        <v>-3.9514571541536785E-6</v>
      </c>
      <c r="K1466" s="35">
        <v>-3.6434612805698663</v>
      </c>
      <c r="L1466" s="35">
        <v>-7.7356893823610458</v>
      </c>
      <c r="M1466" s="58" t="s">
        <v>24</v>
      </c>
      <c r="N1466" s="7">
        <v>11.333333333333334</v>
      </c>
      <c r="O1466" s="7" t="s">
        <v>180</v>
      </c>
      <c r="P1466" s="7" t="s">
        <v>180</v>
      </c>
    </row>
    <row r="1467" spans="1:16" x14ac:dyDescent="0.25">
      <c r="A1467" s="2" t="s">
        <v>183</v>
      </c>
      <c r="B1467" s="2" t="s">
        <v>192</v>
      </c>
      <c r="C1467" s="6" t="s">
        <v>139</v>
      </c>
      <c r="D1467" s="2" t="s">
        <v>122</v>
      </c>
      <c r="E1467" s="2"/>
      <c r="F1467" s="35">
        <v>5.4149169609489114</v>
      </c>
      <c r="G1467" s="35">
        <v>76.192040524304019</v>
      </c>
      <c r="H1467" s="35">
        <v>4.3210133430467108</v>
      </c>
      <c r="I1467" s="35">
        <v>-0.61520102289242917</v>
      </c>
      <c r="J1467" s="35">
        <v>-3.9514571541536785E-6</v>
      </c>
      <c r="K1467" s="35">
        <v>-3.572764248646406</v>
      </c>
      <c r="L1467" s="35">
        <v>-8.2322471039636689</v>
      </c>
      <c r="M1467" s="58" t="s">
        <v>24</v>
      </c>
      <c r="N1467" s="7">
        <v>11.333333333333334</v>
      </c>
      <c r="O1467" s="7" t="s">
        <v>180</v>
      </c>
      <c r="P1467" s="7" t="s">
        <v>180</v>
      </c>
    </row>
    <row r="1468" spans="1:16" x14ac:dyDescent="0.25">
      <c r="A1468" s="2" t="s">
        <v>183</v>
      </c>
      <c r="B1468" s="2" t="s">
        <v>192</v>
      </c>
      <c r="C1468" s="6" t="s">
        <v>139</v>
      </c>
      <c r="D1468" s="2" t="s">
        <v>122</v>
      </c>
      <c r="E1468" s="2"/>
      <c r="F1468" s="35">
        <v>10.829833921897823</v>
      </c>
      <c r="G1468" s="35">
        <v>78.771451380419535</v>
      </c>
      <c r="H1468" s="35">
        <v>4.3210133430467108</v>
      </c>
      <c r="I1468" s="35">
        <v>-0.61520102289242917</v>
      </c>
      <c r="J1468" s="35">
        <v>-3.9514571541536785E-6</v>
      </c>
      <c r="K1468" s="35">
        <v>-0.24150179539307348</v>
      </c>
      <c r="L1468" s="35">
        <v>-31.63017554371385</v>
      </c>
      <c r="M1468" s="58" t="s">
        <v>23</v>
      </c>
      <c r="N1468" s="7">
        <v>11.333333333333334</v>
      </c>
      <c r="O1468" s="7" t="s">
        <v>180</v>
      </c>
      <c r="P1468" s="7" t="s">
        <v>180</v>
      </c>
    </row>
    <row r="1469" spans="1:16" x14ac:dyDescent="0.25">
      <c r="A1469" s="2" t="s">
        <v>183</v>
      </c>
      <c r="B1469" s="2" t="s">
        <v>192</v>
      </c>
      <c r="C1469" s="6" t="s">
        <v>139</v>
      </c>
      <c r="D1469" s="2" t="s">
        <v>123</v>
      </c>
      <c r="E1469" s="2"/>
      <c r="F1469" s="35">
        <v>0</v>
      </c>
      <c r="G1469" s="35">
        <v>-0.83120764831462279</v>
      </c>
      <c r="H1469" s="35">
        <v>0.62483066929169884</v>
      </c>
      <c r="I1469" s="35">
        <v>2.7140034471367276</v>
      </c>
      <c r="J1469" s="35">
        <v>-1.4732645086300305E-4</v>
      </c>
      <c r="K1469" s="35">
        <v>3.8050303336215436</v>
      </c>
      <c r="L1469" s="35">
        <v>2.6887137317533636</v>
      </c>
      <c r="M1469" s="58" t="s">
        <v>22</v>
      </c>
      <c r="N1469" s="7">
        <v>11.333333333333334</v>
      </c>
      <c r="O1469" s="7" t="s">
        <v>180</v>
      </c>
      <c r="P1469" s="7" t="s">
        <v>180</v>
      </c>
    </row>
    <row r="1470" spans="1:16" x14ac:dyDescent="0.25">
      <c r="A1470" s="2" t="s">
        <v>183</v>
      </c>
      <c r="B1470" s="2" t="s">
        <v>192</v>
      </c>
      <c r="C1470" s="6" t="s">
        <v>139</v>
      </c>
      <c r="D1470" s="2" t="s">
        <v>123</v>
      </c>
      <c r="E1470" s="2"/>
      <c r="F1470" s="35">
        <v>0.29999999999999988</v>
      </c>
      <c r="G1470" s="35">
        <v>-0.68830180831461607</v>
      </c>
      <c r="H1470" s="35">
        <v>0.62483066929169884</v>
      </c>
      <c r="I1470" s="35">
        <v>2.7140034471367276</v>
      </c>
      <c r="J1470" s="35">
        <v>-1.4732645086300305E-4</v>
      </c>
      <c r="K1470" s="35">
        <v>2.9908292994805254</v>
      </c>
      <c r="L1470" s="35">
        <v>2.5012645309658548</v>
      </c>
      <c r="M1470" s="58" t="s">
        <v>22</v>
      </c>
      <c r="N1470" s="7">
        <v>11.333333333333334</v>
      </c>
      <c r="O1470" s="7" t="s">
        <v>180</v>
      </c>
      <c r="P1470" s="7" t="s">
        <v>180</v>
      </c>
    </row>
    <row r="1471" spans="1:16" x14ac:dyDescent="0.25">
      <c r="A1471" s="2" t="s">
        <v>183</v>
      </c>
      <c r="B1471" s="2" t="s">
        <v>192</v>
      </c>
      <c r="C1471" s="6" t="s">
        <v>139</v>
      </c>
      <c r="D1471" s="2" t="s">
        <v>123</v>
      </c>
      <c r="E1471" s="2"/>
      <c r="F1471" s="35">
        <v>0.29999999999999988</v>
      </c>
      <c r="G1471" s="35">
        <v>-29.155244059750018</v>
      </c>
      <c r="H1471" s="35">
        <v>0.62483066929169884</v>
      </c>
      <c r="I1471" s="35">
        <v>0.95901266601985091</v>
      </c>
      <c r="J1471" s="35">
        <v>-2.3971954824995658E-4</v>
      </c>
      <c r="K1471" s="35">
        <v>2.9908292994805308</v>
      </c>
      <c r="L1471" s="35">
        <v>2.5012589873800177</v>
      </c>
      <c r="M1471" s="58" t="s">
        <v>22</v>
      </c>
      <c r="N1471" s="7">
        <v>11.333333333333334</v>
      </c>
      <c r="O1471" s="7" t="s">
        <v>180</v>
      </c>
      <c r="P1471" s="7" t="s">
        <v>180</v>
      </c>
    </row>
    <row r="1472" spans="1:16" x14ac:dyDescent="0.25">
      <c r="A1472" s="2" t="s">
        <v>183</v>
      </c>
      <c r="B1472" s="2" t="s">
        <v>192</v>
      </c>
      <c r="C1472" s="6" t="s">
        <v>139</v>
      </c>
      <c r="D1472" s="2" t="s">
        <v>123</v>
      </c>
      <c r="E1472" s="2"/>
      <c r="F1472" s="35">
        <v>5.3</v>
      </c>
      <c r="G1472" s="35">
        <v>-26.773480059750025</v>
      </c>
      <c r="H1472" s="35">
        <v>0.62483066929169884</v>
      </c>
      <c r="I1472" s="35">
        <v>0.95901266601985091</v>
      </c>
      <c r="J1472" s="35">
        <v>-2.3971954824995658E-4</v>
      </c>
      <c r="K1472" s="35">
        <v>-1.8042340306187237</v>
      </c>
      <c r="L1472" s="35">
        <v>-0.62289435907847979</v>
      </c>
      <c r="M1472" s="58" t="s">
        <v>24</v>
      </c>
      <c r="N1472" s="7">
        <v>11.333333333333334</v>
      </c>
      <c r="O1472" s="7" t="s">
        <v>180</v>
      </c>
      <c r="P1472" s="7" t="s">
        <v>180</v>
      </c>
    </row>
    <row r="1473" spans="1:16" x14ac:dyDescent="0.25">
      <c r="A1473" s="2" t="s">
        <v>183</v>
      </c>
      <c r="B1473" s="2" t="s">
        <v>192</v>
      </c>
      <c r="C1473" s="6" t="s">
        <v>139</v>
      </c>
      <c r="D1473" s="2" t="s">
        <v>123</v>
      </c>
      <c r="E1473" s="2"/>
      <c r="F1473" s="35">
        <v>5.3</v>
      </c>
      <c r="G1473" s="35">
        <v>-2.1090741122758625</v>
      </c>
      <c r="H1473" s="35">
        <v>0.62485565702882317</v>
      </c>
      <c r="I1473" s="35">
        <v>-0.31033411845311365</v>
      </c>
      <c r="J1473" s="35">
        <v>-2.3485319502163145E-4</v>
      </c>
      <c r="K1473" s="35">
        <v>-1.8042340306187237</v>
      </c>
      <c r="L1473" s="35">
        <v>-0.6227880260797467</v>
      </c>
      <c r="M1473" s="58" t="s">
        <v>24</v>
      </c>
      <c r="N1473" s="7">
        <v>11.333333333333334</v>
      </c>
      <c r="O1473" s="7" t="s">
        <v>180</v>
      </c>
      <c r="P1473" s="7" t="s">
        <v>180</v>
      </c>
    </row>
    <row r="1474" spans="1:16" x14ac:dyDescent="0.25">
      <c r="A1474" s="2" t="s">
        <v>183</v>
      </c>
      <c r="B1474" s="2" t="s">
        <v>192</v>
      </c>
      <c r="C1474" s="6" t="s">
        <v>139</v>
      </c>
      <c r="D1474" s="2" t="s">
        <v>123</v>
      </c>
      <c r="E1474" s="2"/>
      <c r="F1474" s="35">
        <v>5.4149169609489114</v>
      </c>
      <c r="G1474" s="35">
        <v>-2.0543330961603639</v>
      </c>
      <c r="H1474" s="35">
        <v>0.62485565702882317</v>
      </c>
      <c r="I1474" s="35">
        <v>-0.31033411845311365</v>
      </c>
      <c r="J1474" s="35">
        <v>-2.3485319502163145E-4</v>
      </c>
      <c r="K1474" s="35">
        <v>-1.7685713768473326</v>
      </c>
      <c r="L1474" s="35">
        <v>-0.69459453921723258</v>
      </c>
      <c r="M1474" s="58" t="s">
        <v>24</v>
      </c>
      <c r="N1474" s="7">
        <v>11.333333333333334</v>
      </c>
      <c r="O1474" s="7" t="s">
        <v>180</v>
      </c>
      <c r="P1474" s="7" t="s">
        <v>180</v>
      </c>
    </row>
    <row r="1475" spans="1:16" x14ac:dyDescent="0.25">
      <c r="A1475" s="2" t="s">
        <v>183</v>
      </c>
      <c r="B1475" s="2" t="s">
        <v>192</v>
      </c>
      <c r="C1475" s="6" t="s">
        <v>139</v>
      </c>
      <c r="D1475" s="2" t="s">
        <v>123</v>
      </c>
      <c r="E1475" s="2"/>
      <c r="F1475" s="35">
        <v>10.829833921897823</v>
      </c>
      <c r="G1475" s="35">
        <v>0.52507775995515105</v>
      </c>
      <c r="H1475" s="35">
        <v>0.62485565702882317</v>
      </c>
      <c r="I1475" s="35">
        <v>-0.31033411845311365</v>
      </c>
      <c r="J1475" s="35">
        <v>-2.3485319502163145E-4</v>
      </c>
      <c r="K1475" s="35">
        <v>-8.8137895274439049E-2</v>
      </c>
      <c r="L1475" s="35">
        <v>-4.0781360346074802</v>
      </c>
      <c r="M1475" s="58" t="s">
        <v>23</v>
      </c>
      <c r="N1475" s="7">
        <v>11.333333333333334</v>
      </c>
      <c r="O1475" s="7" t="s">
        <v>180</v>
      </c>
      <c r="P1475" s="7" t="s">
        <v>180</v>
      </c>
    </row>
    <row r="1476" spans="1:16" x14ac:dyDescent="0.25">
      <c r="A1476" s="2" t="s">
        <v>183</v>
      </c>
      <c r="B1476" s="2" t="s">
        <v>192</v>
      </c>
      <c r="C1476" s="6" t="s">
        <v>139</v>
      </c>
      <c r="D1476" s="2" t="s">
        <v>124</v>
      </c>
      <c r="E1476" s="2"/>
      <c r="F1476" s="35">
        <v>0</v>
      </c>
      <c r="G1476" s="35">
        <v>71.811329398880375</v>
      </c>
      <c r="H1476" s="35">
        <v>9.048945427371212</v>
      </c>
      <c r="I1476" s="35">
        <v>7.7928894887548346</v>
      </c>
      <c r="J1476" s="35">
        <v>8.7678001435785948E-4</v>
      </c>
      <c r="K1476" s="35">
        <v>9.7064319072536929</v>
      </c>
      <c r="L1476" s="35">
        <v>47.362302385912685</v>
      </c>
      <c r="M1476" s="58" t="s">
        <v>22</v>
      </c>
      <c r="N1476" s="7">
        <v>11.333333333333334</v>
      </c>
      <c r="O1476" s="7" t="s">
        <v>180</v>
      </c>
      <c r="P1476" s="7" t="s">
        <v>180</v>
      </c>
    </row>
    <row r="1477" spans="1:16" x14ac:dyDescent="0.25">
      <c r="A1477" s="2" t="s">
        <v>183</v>
      </c>
      <c r="B1477" s="2" t="s">
        <v>192</v>
      </c>
      <c r="C1477" s="6" t="s">
        <v>139</v>
      </c>
      <c r="D1477" s="2" t="s">
        <v>124</v>
      </c>
      <c r="E1477" s="2"/>
      <c r="F1477" s="35">
        <v>0.29999999999999988</v>
      </c>
      <c r="G1477" s="35">
        <v>71.954235238880386</v>
      </c>
      <c r="H1477" s="35">
        <v>9.048945427371212</v>
      </c>
      <c r="I1477" s="35">
        <v>7.7928894887548346</v>
      </c>
      <c r="J1477" s="35">
        <v>8.7678001435785948E-4</v>
      </c>
      <c r="K1477" s="35">
        <v>7.3685650606272448</v>
      </c>
      <c r="L1477" s="35">
        <v>44.647618757701316</v>
      </c>
      <c r="M1477" s="58" t="s">
        <v>22</v>
      </c>
      <c r="N1477" s="7">
        <v>11.333333333333334</v>
      </c>
      <c r="O1477" s="7" t="s">
        <v>180</v>
      </c>
      <c r="P1477" s="7" t="s">
        <v>180</v>
      </c>
    </row>
    <row r="1478" spans="1:16" x14ac:dyDescent="0.25">
      <c r="A1478" s="2" t="s">
        <v>183</v>
      </c>
      <c r="B1478" s="2" t="s">
        <v>192</v>
      </c>
      <c r="C1478" s="6" t="s">
        <v>139</v>
      </c>
      <c r="D1478" s="2" t="s">
        <v>124</v>
      </c>
      <c r="E1478" s="2"/>
      <c r="F1478" s="35">
        <v>0.29999999999999988</v>
      </c>
      <c r="G1478" s="35">
        <v>-16.595019249725894</v>
      </c>
      <c r="H1478" s="35">
        <v>9.0489454273712155</v>
      </c>
      <c r="I1478" s="35">
        <v>2.432959973407713</v>
      </c>
      <c r="J1478" s="35">
        <v>4.3277055119129944E-4</v>
      </c>
      <c r="K1478" s="35">
        <v>7.3685650606272519</v>
      </c>
      <c r="L1478" s="35">
        <v>44.647592117133556</v>
      </c>
      <c r="M1478" s="58" t="s">
        <v>22</v>
      </c>
      <c r="N1478" s="7">
        <v>11.333333333333334</v>
      </c>
      <c r="O1478" s="7" t="s">
        <v>180</v>
      </c>
      <c r="P1478" s="7" t="s">
        <v>180</v>
      </c>
    </row>
    <row r="1479" spans="1:16" x14ac:dyDescent="0.25">
      <c r="A1479" s="2" t="s">
        <v>183</v>
      </c>
      <c r="B1479" s="2" t="s">
        <v>192</v>
      </c>
      <c r="C1479" s="6" t="s">
        <v>139</v>
      </c>
      <c r="D1479" s="2" t="s">
        <v>124</v>
      </c>
      <c r="E1479" s="2"/>
      <c r="F1479" s="35">
        <v>5.3</v>
      </c>
      <c r="G1479" s="35">
        <v>-14.213255249725899</v>
      </c>
      <c r="H1479" s="35">
        <v>9.0489454273712155</v>
      </c>
      <c r="I1479" s="35">
        <v>2.432959973407713</v>
      </c>
      <c r="J1479" s="35">
        <v>4.3277055119129944E-4</v>
      </c>
      <c r="K1479" s="35">
        <v>-4.7962348064113112</v>
      </c>
      <c r="L1479" s="35">
        <v>-0.59713501972251926</v>
      </c>
      <c r="M1479" s="58" t="s">
        <v>24</v>
      </c>
      <c r="N1479" s="7">
        <v>11.333333333333334</v>
      </c>
      <c r="O1479" s="7" t="s">
        <v>180</v>
      </c>
      <c r="P1479" s="7" t="s">
        <v>180</v>
      </c>
    </row>
    <row r="1480" spans="1:16" x14ac:dyDescent="0.25">
      <c r="A1480" s="2" t="s">
        <v>183</v>
      </c>
      <c r="B1480" s="2" t="s">
        <v>192</v>
      </c>
      <c r="C1480" s="6" t="s">
        <v>139</v>
      </c>
      <c r="D1480" s="2" t="s">
        <v>124</v>
      </c>
      <c r="E1480" s="2"/>
      <c r="F1480" s="35">
        <v>5.3</v>
      </c>
      <c r="G1480" s="35">
        <v>70.602187530888372</v>
      </c>
      <c r="H1480" s="35">
        <v>9.048989321000704</v>
      </c>
      <c r="I1480" s="35">
        <v>-0.80599477958479537</v>
      </c>
      <c r="J1480" s="35">
        <v>6.4003312949332744E-4</v>
      </c>
      <c r="K1480" s="35">
        <v>-4.7962348064113147</v>
      </c>
      <c r="L1480" s="35">
        <v>-0.59671845314300975</v>
      </c>
      <c r="M1480" s="58" t="s">
        <v>24</v>
      </c>
      <c r="N1480" s="7">
        <v>11.333333333333334</v>
      </c>
      <c r="O1480" s="7" t="s">
        <v>180</v>
      </c>
      <c r="P1480" s="7" t="s">
        <v>180</v>
      </c>
    </row>
    <row r="1481" spans="1:16" x14ac:dyDescent="0.25">
      <c r="A1481" s="2" t="s">
        <v>183</v>
      </c>
      <c r="B1481" s="2" t="s">
        <v>192</v>
      </c>
      <c r="C1481" s="6" t="s">
        <v>139</v>
      </c>
      <c r="D1481" s="2" t="s">
        <v>124</v>
      </c>
      <c r="E1481" s="2"/>
      <c r="F1481" s="35">
        <v>5.4149169609489114</v>
      </c>
      <c r="G1481" s="35">
        <v>70.656928547003872</v>
      </c>
      <c r="H1481" s="35">
        <v>9.048989321000704</v>
      </c>
      <c r="I1481" s="35">
        <v>-0.80599477958479537</v>
      </c>
      <c r="J1481" s="35">
        <v>6.4003312949332744E-4</v>
      </c>
      <c r="K1481" s="35">
        <v>-4.7036123358007424</v>
      </c>
      <c r="L1481" s="35">
        <v>-1.636600805571564</v>
      </c>
      <c r="M1481" s="58" t="s">
        <v>24</v>
      </c>
      <c r="N1481" s="7">
        <v>11.333333333333334</v>
      </c>
      <c r="O1481" s="7" t="s">
        <v>180</v>
      </c>
      <c r="P1481" s="7" t="s">
        <v>180</v>
      </c>
    </row>
    <row r="1482" spans="1:16" x14ac:dyDescent="0.25">
      <c r="A1482" s="2" t="s">
        <v>183</v>
      </c>
      <c r="B1482" s="2" t="s">
        <v>192</v>
      </c>
      <c r="C1482" s="6" t="s">
        <v>139</v>
      </c>
      <c r="D1482" s="2" t="s">
        <v>124</v>
      </c>
      <c r="E1482" s="2"/>
      <c r="F1482" s="35">
        <v>10.829833921897823</v>
      </c>
      <c r="G1482" s="35">
        <v>73.236339403119388</v>
      </c>
      <c r="H1482" s="35">
        <v>9.048989321000704</v>
      </c>
      <c r="I1482" s="35">
        <v>-0.80599477958479537</v>
      </c>
      <c r="J1482" s="35">
        <v>6.4003312949332744E-4</v>
      </c>
      <c r="K1482" s="35">
        <v>-0.33921753339075617</v>
      </c>
      <c r="L1482" s="35">
        <v>-50.636126559303811</v>
      </c>
      <c r="M1482" s="58" t="s">
        <v>23</v>
      </c>
      <c r="N1482" s="7">
        <v>11.333333333333334</v>
      </c>
      <c r="O1482" s="7" t="s">
        <v>180</v>
      </c>
      <c r="P1482" s="7" t="s">
        <v>180</v>
      </c>
    </row>
    <row r="1483" spans="1:16" x14ac:dyDescent="0.25">
      <c r="A1483" s="2" t="s">
        <v>183</v>
      </c>
      <c r="B1483" s="2" t="s">
        <v>192</v>
      </c>
      <c r="C1483" s="6" t="s">
        <v>139</v>
      </c>
      <c r="D1483" s="2" t="s">
        <v>125</v>
      </c>
      <c r="E1483" s="2"/>
      <c r="F1483" s="35">
        <v>0</v>
      </c>
      <c r="G1483" s="35">
        <v>-44.836563827462534</v>
      </c>
      <c r="H1483" s="35">
        <v>18.602335330318546</v>
      </c>
      <c r="I1483" s="35">
        <v>3.6573631277066636</v>
      </c>
      <c r="J1483" s="35">
        <v>1.3538185380899416E-3</v>
      </c>
      <c r="K1483" s="35">
        <v>5.649505335450927</v>
      </c>
      <c r="L1483" s="35">
        <v>105.52262031198045</v>
      </c>
      <c r="M1483" s="58" t="s">
        <v>22</v>
      </c>
      <c r="N1483" s="7">
        <v>11.333333333333334</v>
      </c>
      <c r="O1483" s="7" t="s">
        <v>180</v>
      </c>
      <c r="P1483" s="7" t="s">
        <v>180</v>
      </c>
    </row>
    <row r="1484" spans="1:16" x14ac:dyDescent="0.25">
      <c r="A1484" s="2" t="s">
        <v>183</v>
      </c>
      <c r="B1484" s="2" t="s">
        <v>192</v>
      </c>
      <c r="C1484" s="6" t="s">
        <v>139</v>
      </c>
      <c r="D1484" s="2" t="s">
        <v>125</v>
      </c>
      <c r="E1484" s="2"/>
      <c r="F1484" s="35">
        <v>0.29999999999999988</v>
      </c>
      <c r="G1484" s="35">
        <v>-44.693657987462529</v>
      </c>
      <c r="H1484" s="35">
        <v>18.602335330318546</v>
      </c>
      <c r="I1484" s="35">
        <v>3.6573631277066636</v>
      </c>
      <c r="J1484" s="35">
        <v>1.3538185380899416E-3</v>
      </c>
      <c r="K1484" s="35">
        <v>4.552296397138929</v>
      </c>
      <c r="L1484" s="35">
        <v>99.941919712884882</v>
      </c>
      <c r="M1484" s="58" t="s">
        <v>22</v>
      </c>
      <c r="N1484" s="7">
        <v>11.333333333333334</v>
      </c>
      <c r="O1484" s="7" t="s">
        <v>180</v>
      </c>
      <c r="P1484" s="7" t="s">
        <v>180</v>
      </c>
    </row>
    <row r="1485" spans="1:16" x14ac:dyDescent="0.25">
      <c r="A1485" s="2" t="s">
        <v>183</v>
      </c>
      <c r="B1485" s="2" t="s">
        <v>192</v>
      </c>
      <c r="C1485" s="6" t="s">
        <v>139</v>
      </c>
      <c r="D1485" s="2" t="s">
        <v>125</v>
      </c>
      <c r="E1485" s="2"/>
      <c r="F1485" s="35">
        <v>0.29999999999999988</v>
      </c>
      <c r="G1485" s="35">
        <v>-79.733183779458685</v>
      </c>
      <c r="H1485" s="35">
        <v>18.602335330318578</v>
      </c>
      <c r="I1485" s="35">
        <v>1.508017334156134</v>
      </c>
      <c r="J1485" s="35">
        <v>2.3551839970602036E-4</v>
      </c>
      <c r="K1485" s="35">
        <v>4.5522963971389343</v>
      </c>
      <c r="L1485" s="35">
        <v>99.941852614876552</v>
      </c>
      <c r="M1485" s="58" t="s">
        <v>22</v>
      </c>
      <c r="N1485" s="7">
        <v>11.333333333333334</v>
      </c>
      <c r="O1485" s="7" t="s">
        <v>180</v>
      </c>
      <c r="P1485" s="7" t="s">
        <v>180</v>
      </c>
    </row>
    <row r="1486" spans="1:16" x14ac:dyDescent="0.25">
      <c r="A1486" s="2" t="s">
        <v>183</v>
      </c>
      <c r="B1486" s="2" t="s">
        <v>192</v>
      </c>
      <c r="C1486" s="6" t="s">
        <v>139</v>
      </c>
      <c r="D1486" s="2" t="s">
        <v>125</v>
      </c>
      <c r="E1486" s="2"/>
      <c r="F1486" s="35">
        <v>5.3</v>
      </c>
      <c r="G1486" s="35">
        <v>-77.351419779458695</v>
      </c>
      <c r="H1486" s="35">
        <v>18.602335330318578</v>
      </c>
      <c r="I1486" s="35">
        <v>1.508017334156134</v>
      </c>
      <c r="J1486" s="35">
        <v>2.3551839970602036E-4</v>
      </c>
      <c r="K1486" s="35">
        <v>-2.9877902736417346</v>
      </c>
      <c r="L1486" s="35">
        <v>6.9301759632836681</v>
      </c>
      <c r="M1486" s="58" t="s">
        <v>24</v>
      </c>
      <c r="N1486" s="7">
        <v>11.333333333333334</v>
      </c>
      <c r="O1486" s="7" t="s">
        <v>180</v>
      </c>
      <c r="P1486" s="7" t="s">
        <v>180</v>
      </c>
    </row>
    <row r="1487" spans="1:16" x14ac:dyDescent="0.25">
      <c r="A1487" s="2" t="s">
        <v>183</v>
      </c>
      <c r="B1487" s="2" t="s">
        <v>192</v>
      </c>
      <c r="C1487" s="6" t="s">
        <v>139</v>
      </c>
      <c r="D1487" s="2" t="s">
        <v>125</v>
      </c>
      <c r="E1487" s="2"/>
      <c r="F1487" s="35">
        <v>5.3</v>
      </c>
      <c r="G1487" s="35">
        <v>-42.039411667772619</v>
      </c>
      <c r="H1487" s="35">
        <v>18.602406576678693</v>
      </c>
      <c r="I1487" s="35">
        <v>-0.50609329716833751</v>
      </c>
      <c r="J1487" s="35">
        <v>5.8971222588675011E-4</v>
      </c>
      <c r="K1487" s="35">
        <v>-2.9877902736417372</v>
      </c>
      <c r="L1487" s="35">
        <v>6.9313334099272028</v>
      </c>
      <c r="M1487" s="58" t="s">
        <v>24</v>
      </c>
      <c r="N1487" s="7">
        <v>11.333333333333334</v>
      </c>
      <c r="O1487" s="7" t="s">
        <v>180</v>
      </c>
      <c r="P1487" s="7" t="s">
        <v>180</v>
      </c>
    </row>
    <row r="1488" spans="1:16" x14ac:dyDescent="0.25">
      <c r="A1488" s="2" t="s">
        <v>183</v>
      </c>
      <c r="B1488" s="2" t="s">
        <v>192</v>
      </c>
      <c r="C1488" s="6" t="s">
        <v>139</v>
      </c>
      <c r="D1488" s="2" t="s">
        <v>125</v>
      </c>
      <c r="E1488" s="2"/>
      <c r="F1488" s="35">
        <v>5.4149169609489114</v>
      </c>
      <c r="G1488" s="35">
        <v>-41.984670651657119</v>
      </c>
      <c r="H1488" s="35">
        <v>18.602406576678693</v>
      </c>
      <c r="I1488" s="35">
        <v>-0.50609329716833751</v>
      </c>
      <c r="J1488" s="35">
        <v>5.8971222588675011E-4</v>
      </c>
      <c r="K1488" s="35">
        <v>-2.9296315699745374</v>
      </c>
      <c r="L1488" s="35">
        <v>4.7936013797992443</v>
      </c>
      <c r="M1488" s="58" t="s">
        <v>24</v>
      </c>
      <c r="N1488" s="7">
        <v>11.333333333333334</v>
      </c>
      <c r="O1488" s="7" t="s">
        <v>180</v>
      </c>
      <c r="P1488" s="7" t="s">
        <v>180</v>
      </c>
    </row>
    <row r="1489" spans="1:16" x14ac:dyDescent="0.25">
      <c r="A1489" s="2" t="s">
        <v>183</v>
      </c>
      <c r="B1489" s="2" t="s">
        <v>192</v>
      </c>
      <c r="C1489" s="6" t="s">
        <v>139</v>
      </c>
      <c r="D1489" s="2" t="s">
        <v>125</v>
      </c>
      <c r="E1489" s="2"/>
      <c r="F1489" s="35">
        <v>10.829833921897823</v>
      </c>
      <c r="G1489" s="35">
        <v>-39.405259795541603</v>
      </c>
      <c r="H1489" s="35">
        <v>18.602406576678693</v>
      </c>
      <c r="I1489" s="35">
        <v>-0.50609329716833751</v>
      </c>
      <c r="J1489" s="35">
        <v>5.8971222588675011E-4</v>
      </c>
      <c r="K1489" s="35">
        <v>-0.18917839131515032</v>
      </c>
      <c r="L1489" s="35">
        <v>-95.93688550672573</v>
      </c>
      <c r="M1489" s="58" t="s">
        <v>23</v>
      </c>
      <c r="N1489" s="7">
        <v>11.333333333333334</v>
      </c>
      <c r="O1489" s="7" t="s">
        <v>180</v>
      </c>
      <c r="P1489" s="7" t="s">
        <v>180</v>
      </c>
    </row>
    <row r="1490" spans="1:16" x14ac:dyDescent="0.25">
      <c r="A1490" s="2" t="s">
        <v>183</v>
      </c>
      <c r="B1490" s="2" t="s">
        <v>192</v>
      </c>
      <c r="C1490" s="6" t="s">
        <v>139</v>
      </c>
      <c r="D1490" s="2" t="s">
        <v>126</v>
      </c>
      <c r="E1490" s="2"/>
      <c r="F1490" s="35">
        <v>0</v>
      </c>
      <c r="G1490" s="35">
        <v>70.425486275519958</v>
      </c>
      <c r="H1490" s="35">
        <v>-0.84334720491392823</v>
      </c>
      <c r="I1490" s="35">
        <v>7.8199952395348555</v>
      </c>
      <c r="J1490" s="35">
        <v>1.026727940699779E-3</v>
      </c>
      <c r="K1490" s="35">
        <v>9.7550440589898333</v>
      </c>
      <c r="L1490" s="35">
        <v>-19.058695910758409</v>
      </c>
      <c r="M1490" s="58" t="s">
        <v>22</v>
      </c>
      <c r="N1490" s="7">
        <v>11.333333333333334</v>
      </c>
      <c r="O1490" s="7" t="s">
        <v>180</v>
      </c>
      <c r="P1490" s="7" t="s">
        <v>180</v>
      </c>
    </row>
    <row r="1491" spans="1:16" x14ac:dyDescent="0.25">
      <c r="A1491" s="2" t="s">
        <v>183</v>
      </c>
      <c r="B1491" s="2" t="s">
        <v>192</v>
      </c>
      <c r="C1491" s="6" t="s">
        <v>139</v>
      </c>
      <c r="D1491" s="2" t="s">
        <v>126</v>
      </c>
      <c r="E1491" s="2"/>
      <c r="F1491" s="35">
        <v>0.29999999999999988</v>
      </c>
      <c r="G1491" s="35">
        <v>70.56839211551997</v>
      </c>
      <c r="H1491" s="35">
        <v>-0.84334720491392823</v>
      </c>
      <c r="I1491" s="35">
        <v>7.8199952395348555</v>
      </c>
      <c r="J1491" s="35">
        <v>1.026727940699779E-3</v>
      </c>
      <c r="K1491" s="35">
        <v>7.4090454871293794</v>
      </c>
      <c r="L1491" s="35">
        <v>-18.805691749284225</v>
      </c>
      <c r="M1491" s="58" t="s">
        <v>22</v>
      </c>
      <c r="N1491" s="7">
        <v>11.333333333333334</v>
      </c>
      <c r="O1491" s="7" t="s">
        <v>180</v>
      </c>
      <c r="P1491" s="7" t="s">
        <v>180</v>
      </c>
    </row>
    <row r="1492" spans="1:16" x14ac:dyDescent="0.25">
      <c r="A1492" s="2" t="s">
        <v>183</v>
      </c>
      <c r="B1492" s="2" t="s">
        <v>192</v>
      </c>
      <c r="C1492" s="6" t="s">
        <v>139</v>
      </c>
      <c r="D1492" s="2" t="s">
        <v>126</v>
      </c>
      <c r="E1492" s="2"/>
      <c r="F1492" s="35">
        <v>0.29999999999999988</v>
      </c>
      <c r="G1492" s="35">
        <v>-18.21954129875218</v>
      </c>
      <c r="H1492" s="35">
        <v>-0.84334720491392368</v>
      </c>
      <c r="I1492" s="35">
        <v>2.4457449886477849</v>
      </c>
      <c r="J1492" s="35">
        <v>5.3061693138218538E-4</v>
      </c>
      <c r="K1492" s="35">
        <v>7.4090454871293936</v>
      </c>
      <c r="L1492" s="35">
        <v>-18.805721515944782</v>
      </c>
      <c r="M1492" s="58" t="s">
        <v>22</v>
      </c>
      <c r="N1492" s="7">
        <v>11.333333333333334</v>
      </c>
      <c r="O1492" s="7" t="s">
        <v>180</v>
      </c>
      <c r="P1492" s="7" t="s">
        <v>180</v>
      </c>
    </row>
    <row r="1493" spans="1:16" x14ac:dyDescent="0.25">
      <c r="A1493" s="2" t="s">
        <v>183</v>
      </c>
      <c r="B1493" s="2" t="s">
        <v>192</v>
      </c>
      <c r="C1493" s="6" t="s">
        <v>139</v>
      </c>
      <c r="D1493" s="2" t="s">
        <v>126</v>
      </c>
      <c r="E1493" s="2"/>
      <c r="F1493" s="35">
        <v>5.3</v>
      </c>
      <c r="G1493" s="35">
        <v>-15.837777298752187</v>
      </c>
      <c r="H1493" s="35">
        <v>-0.84334720491392368</v>
      </c>
      <c r="I1493" s="35">
        <v>2.4457449886477849</v>
      </c>
      <c r="J1493" s="35">
        <v>5.3061693138218538E-4</v>
      </c>
      <c r="K1493" s="35">
        <v>-4.8196794561095269</v>
      </c>
      <c r="L1493" s="35">
        <v>-14.588985491375166</v>
      </c>
      <c r="M1493" s="58" t="s">
        <v>24</v>
      </c>
      <c r="N1493" s="7">
        <v>11.333333333333334</v>
      </c>
      <c r="O1493" s="7" t="s">
        <v>180</v>
      </c>
      <c r="P1493" s="7" t="s">
        <v>180</v>
      </c>
    </row>
    <row r="1494" spans="1:16" x14ac:dyDescent="0.25">
      <c r="A1494" s="2" t="s">
        <v>183</v>
      </c>
      <c r="B1494" s="2" t="s">
        <v>192</v>
      </c>
      <c r="C1494" s="6" t="s">
        <v>139</v>
      </c>
      <c r="D1494" s="2" t="s">
        <v>126</v>
      </c>
      <c r="E1494" s="2"/>
      <c r="F1494" s="35">
        <v>5.3</v>
      </c>
      <c r="G1494" s="35">
        <v>69.111263802120646</v>
      </c>
      <c r="H1494" s="35">
        <v>-0.84313270724346046</v>
      </c>
      <c r="I1494" s="35">
        <v>-0.80988572609322762</v>
      </c>
      <c r="J1494" s="35">
        <v>5.8073466288274572E-4</v>
      </c>
      <c r="K1494" s="35">
        <v>-4.8196794561095331</v>
      </c>
      <c r="L1494" s="35">
        <v>-14.588115525613215</v>
      </c>
      <c r="M1494" s="58" t="s">
        <v>24</v>
      </c>
      <c r="N1494" s="7">
        <v>11.333333333333334</v>
      </c>
      <c r="O1494" s="7" t="s">
        <v>180</v>
      </c>
      <c r="P1494" s="7" t="s">
        <v>180</v>
      </c>
    </row>
    <row r="1495" spans="1:16" x14ac:dyDescent="0.25">
      <c r="A1495" s="2" t="s">
        <v>183</v>
      </c>
      <c r="B1495" s="2" t="s">
        <v>192</v>
      </c>
      <c r="C1495" s="6" t="s">
        <v>139</v>
      </c>
      <c r="D1495" s="2" t="s">
        <v>126</v>
      </c>
      <c r="E1495" s="2"/>
      <c r="F1495" s="35">
        <v>5.4149169609489114</v>
      </c>
      <c r="G1495" s="35">
        <v>69.166004818236146</v>
      </c>
      <c r="H1495" s="35">
        <v>-0.84313270724346046</v>
      </c>
      <c r="I1495" s="35">
        <v>-0.80988572609322762</v>
      </c>
      <c r="J1495" s="35">
        <v>5.8073466288274572E-4</v>
      </c>
      <c r="K1495" s="35">
        <v>-4.7266098497509965</v>
      </c>
      <c r="L1495" s="35">
        <v>-14.491225277220165</v>
      </c>
      <c r="M1495" s="58" t="s">
        <v>24</v>
      </c>
      <c r="N1495" s="7">
        <v>11.333333333333334</v>
      </c>
      <c r="O1495" s="7" t="s">
        <v>180</v>
      </c>
      <c r="P1495" s="7" t="s">
        <v>180</v>
      </c>
    </row>
    <row r="1496" spans="1:16" x14ac:dyDescent="0.25">
      <c r="A1496" s="2" t="s">
        <v>183</v>
      </c>
      <c r="B1496" s="2" t="s">
        <v>192</v>
      </c>
      <c r="C1496" s="6" t="s">
        <v>139</v>
      </c>
      <c r="D1496" s="2" t="s">
        <v>126</v>
      </c>
      <c r="E1496" s="2"/>
      <c r="F1496" s="35">
        <v>10.829833921897823</v>
      </c>
      <c r="G1496" s="35">
        <v>71.745415674351662</v>
      </c>
      <c r="H1496" s="35">
        <v>-0.84313270724346046</v>
      </c>
      <c r="I1496" s="35">
        <v>-0.80988572609322762</v>
      </c>
      <c r="J1496" s="35">
        <v>5.8073466288274572E-4</v>
      </c>
      <c r="K1496" s="35">
        <v>-0.34114589509835541</v>
      </c>
      <c r="L1496" s="35">
        <v>-9.9257316804367761</v>
      </c>
      <c r="M1496" s="58" t="s">
        <v>23</v>
      </c>
      <c r="N1496" s="7">
        <v>11.333333333333334</v>
      </c>
      <c r="O1496" s="7" t="s">
        <v>180</v>
      </c>
      <c r="P1496" s="7" t="s">
        <v>180</v>
      </c>
    </row>
    <row r="1497" spans="1:16" x14ac:dyDescent="0.25">
      <c r="A1497" s="2" t="s">
        <v>183</v>
      </c>
      <c r="B1497" s="2" t="s">
        <v>192</v>
      </c>
      <c r="C1497" s="6" t="s">
        <v>139</v>
      </c>
      <c r="D1497" s="2" t="s">
        <v>127</v>
      </c>
      <c r="E1497" s="2"/>
      <c r="F1497" s="35">
        <v>0</v>
      </c>
      <c r="G1497" s="35">
        <v>-141.45549208190272</v>
      </c>
      <c r="H1497" s="35">
        <v>-16.22601005219963</v>
      </c>
      <c r="I1497" s="35">
        <v>2.7863312153207085</v>
      </c>
      <c r="J1497" s="35">
        <v>8.6943885693244153E-5</v>
      </c>
      <c r="K1497" s="35">
        <v>5.6577768714325298</v>
      </c>
      <c r="L1497" s="35">
        <v>-91.034347315658948</v>
      </c>
      <c r="M1497" s="58" t="s">
        <v>22</v>
      </c>
      <c r="N1497" s="7">
        <v>11.333333333333334</v>
      </c>
      <c r="O1497" s="7" t="s">
        <v>180</v>
      </c>
      <c r="P1497" s="7" t="s">
        <v>180</v>
      </c>
    </row>
    <row r="1498" spans="1:16" x14ac:dyDescent="0.25">
      <c r="A1498" s="2" t="s">
        <v>183</v>
      </c>
      <c r="B1498" s="2" t="s">
        <v>192</v>
      </c>
      <c r="C1498" s="6" t="s">
        <v>139</v>
      </c>
      <c r="D1498" s="2" t="s">
        <v>127</v>
      </c>
      <c r="E1498" s="2"/>
      <c r="F1498" s="35">
        <v>0.29999999999999988</v>
      </c>
      <c r="G1498" s="35">
        <v>-141.31258624190269</v>
      </c>
      <c r="H1498" s="35">
        <v>-16.22601005219963</v>
      </c>
      <c r="I1498" s="35">
        <v>2.7863312153207085</v>
      </c>
      <c r="J1498" s="35">
        <v>8.6943885693244153E-5</v>
      </c>
      <c r="K1498" s="35">
        <v>4.8218775068363184</v>
      </c>
      <c r="L1498" s="35">
        <v>-86.16654429999906</v>
      </c>
      <c r="M1498" s="58" t="s">
        <v>22</v>
      </c>
      <c r="N1498" s="7">
        <v>11.333333333333334</v>
      </c>
      <c r="O1498" s="7" t="s">
        <v>180</v>
      </c>
      <c r="P1498" s="7" t="s">
        <v>180</v>
      </c>
    </row>
    <row r="1499" spans="1:16" x14ac:dyDescent="0.25">
      <c r="A1499" s="2" t="s">
        <v>183</v>
      </c>
      <c r="B1499" s="2" t="s">
        <v>192</v>
      </c>
      <c r="C1499" s="6" t="s">
        <v>139</v>
      </c>
      <c r="D1499" s="2" t="s">
        <v>127</v>
      </c>
      <c r="E1499" s="2"/>
      <c r="F1499" s="35">
        <v>0.29999999999999988</v>
      </c>
      <c r="G1499" s="35">
        <v>-160.303663034999</v>
      </c>
      <c r="H1499" s="35">
        <v>-16.226010052199673</v>
      </c>
      <c r="I1499" s="35">
        <v>1.5998923617041856</v>
      </c>
      <c r="J1499" s="35">
        <v>6.3617049155582179E-4</v>
      </c>
      <c r="K1499" s="35">
        <v>4.8218775068363184</v>
      </c>
      <c r="L1499" s="35">
        <v>-86.166511346402714</v>
      </c>
      <c r="M1499" s="58" t="s">
        <v>22</v>
      </c>
      <c r="N1499" s="7">
        <v>11.333333333333334</v>
      </c>
      <c r="O1499" s="7" t="s">
        <v>180</v>
      </c>
      <c r="P1499" s="7" t="s">
        <v>180</v>
      </c>
    </row>
    <row r="1500" spans="1:16" x14ac:dyDescent="0.25">
      <c r="A1500" s="2" t="s">
        <v>183</v>
      </c>
      <c r="B1500" s="2" t="s">
        <v>192</v>
      </c>
      <c r="C1500" s="6" t="s">
        <v>139</v>
      </c>
      <c r="D1500" s="2" t="s">
        <v>127</v>
      </c>
      <c r="E1500" s="2"/>
      <c r="F1500" s="35">
        <v>5.3</v>
      </c>
      <c r="G1500" s="35">
        <v>-157.921899034999</v>
      </c>
      <c r="H1500" s="35">
        <v>-16.226010052199673</v>
      </c>
      <c r="I1500" s="35">
        <v>1.5998923617041856</v>
      </c>
      <c r="J1500" s="35">
        <v>6.3617049155582179E-4</v>
      </c>
      <c r="K1500" s="35">
        <v>-3.1775843016846088</v>
      </c>
      <c r="L1500" s="35">
        <v>-5.0364610854043743</v>
      </c>
      <c r="M1500" s="58" t="s">
        <v>24</v>
      </c>
      <c r="N1500" s="7">
        <v>11.333333333333334</v>
      </c>
      <c r="O1500" s="7" t="s">
        <v>180</v>
      </c>
      <c r="P1500" s="7" t="s">
        <v>180</v>
      </c>
    </row>
    <row r="1501" spans="1:16" x14ac:dyDescent="0.25">
      <c r="A1501" s="2" t="s">
        <v>183</v>
      </c>
      <c r="B1501" s="2" t="s">
        <v>192</v>
      </c>
      <c r="C1501" s="6" t="s">
        <v>139</v>
      </c>
      <c r="D1501" s="2" t="s">
        <v>127</v>
      </c>
      <c r="E1501" s="2"/>
      <c r="F1501" s="35">
        <v>5.3</v>
      </c>
      <c r="G1501" s="35">
        <v>-137.65859446614323</v>
      </c>
      <c r="H1501" s="35">
        <v>-16.226025034734718</v>
      </c>
      <c r="I1501" s="35">
        <v>-0.53755577032645052</v>
      </c>
      <c r="J1501" s="35">
        <v>3.5298968769852958E-4</v>
      </c>
      <c r="K1501" s="35">
        <v>-3.1775843016846124</v>
      </c>
      <c r="L1501" s="35">
        <v>-5.0366102944038804</v>
      </c>
      <c r="M1501" s="58" t="s">
        <v>24</v>
      </c>
      <c r="N1501" s="7">
        <v>11.333333333333334</v>
      </c>
      <c r="O1501" s="7" t="s">
        <v>180</v>
      </c>
      <c r="P1501" s="7" t="s">
        <v>180</v>
      </c>
    </row>
    <row r="1502" spans="1:16" x14ac:dyDescent="0.25">
      <c r="A1502" s="2" t="s">
        <v>183</v>
      </c>
      <c r="B1502" s="2" t="s">
        <v>192</v>
      </c>
      <c r="C1502" s="6" t="s">
        <v>139</v>
      </c>
      <c r="D1502" s="2" t="s">
        <v>127</v>
      </c>
      <c r="E1502" s="2"/>
      <c r="F1502" s="35">
        <v>5.4149169609489114</v>
      </c>
      <c r="G1502" s="35">
        <v>-137.60385345002774</v>
      </c>
      <c r="H1502" s="35">
        <v>-16.226025034734718</v>
      </c>
      <c r="I1502" s="35">
        <v>-0.53755577032645052</v>
      </c>
      <c r="J1502" s="35">
        <v>3.5298968769852958E-4</v>
      </c>
      <c r="K1502" s="35">
        <v>-3.1158100262181452</v>
      </c>
      <c r="L1502" s="35">
        <v>-3.1719648091312118</v>
      </c>
      <c r="M1502" s="58" t="s">
        <v>24</v>
      </c>
      <c r="N1502" s="7">
        <v>11.333333333333334</v>
      </c>
      <c r="O1502" s="7" t="s">
        <v>180</v>
      </c>
      <c r="P1502" s="7" t="s">
        <v>180</v>
      </c>
    </row>
    <row r="1503" spans="1:16" x14ac:dyDescent="0.25">
      <c r="A1503" s="2" t="s">
        <v>183</v>
      </c>
      <c r="B1503" s="2" t="s">
        <v>192</v>
      </c>
      <c r="C1503" s="6" t="s">
        <v>139</v>
      </c>
      <c r="D1503" s="2" t="s">
        <v>127</v>
      </c>
      <c r="E1503" s="2"/>
      <c r="F1503" s="35">
        <v>10.829833921897823</v>
      </c>
      <c r="G1503" s="35">
        <v>-135.02444259391223</v>
      </c>
      <c r="H1503" s="35">
        <v>-16.226025034734718</v>
      </c>
      <c r="I1503" s="35">
        <v>-0.53755577032645052</v>
      </c>
      <c r="J1503" s="35">
        <v>3.5298968769852958E-4</v>
      </c>
      <c r="K1503" s="35">
        <v>-0.20499016802149192</v>
      </c>
      <c r="L1503" s="35">
        <v>84.690613360235432</v>
      </c>
      <c r="M1503" s="58" t="s">
        <v>23</v>
      </c>
      <c r="N1503" s="7">
        <v>11.333333333333334</v>
      </c>
      <c r="O1503" s="7" t="s">
        <v>180</v>
      </c>
      <c r="P1503" s="7" t="s">
        <v>180</v>
      </c>
    </row>
    <row r="1504" spans="1:16" x14ac:dyDescent="0.25">
      <c r="A1504" s="2" t="s">
        <v>181</v>
      </c>
      <c r="B1504" s="2" t="s">
        <v>193</v>
      </c>
      <c r="C1504" s="6" t="s">
        <v>140</v>
      </c>
      <c r="D1504" s="2" t="s">
        <v>105</v>
      </c>
      <c r="E1504" s="2"/>
      <c r="F1504" s="35">
        <v>0</v>
      </c>
      <c r="G1504" s="35">
        <v>-47.788265086610089</v>
      </c>
      <c r="H1504" s="35">
        <v>18.846969501343803</v>
      </c>
      <c r="I1504" s="35">
        <v>0.25803154395447808</v>
      </c>
      <c r="J1504" s="35">
        <v>-4.0959339367091678E-5</v>
      </c>
      <c r="K1504" s="35">
        <v>0.41202343897723581</v>
      </c>
      <c r="L1504" s="35">
        <v>59.651920656414902</v>
      </c>
      <c r="M1504" s="58" t="s">
        <v>22</v>
      </c>
      <c r="N1504" s="7">
        <v>9.5</v>
      </c>
      <c r="O1504" s="7" t="s">
        <v>179</v>
      </c>
      <c r="P1504" s="7" t="s">
        <v>179</v>
      </c>
    </row>
    <row r="1505" spans="1:16" x14ac:dyDescent="0.25">
      <c r="A1505" s="2" t="s">
        <v>181</v>
      </c>
      <c r="B1505" s="2" t="s">
        <v>193</v>
      </c>
      <c r="C1505" s="6" t="s">
        <v>140</v>
      </c>
      <c r="D1505" s="2" t="s">
        <v>105</v>
      </c>
      <c r="E1505" s="2"/>
      <c r="F1505" s="35">
        <v>2</v>
      </c>
      <c r="G1505" s="35">
        <v>-46.974467486610088</v>
      </c>
      <c r="H1505" s="35">
        <v>18.846969501343803</v>
      </c>
      <c r="I1505" s="35">
        <v>0.25803154395447808</v>
      </c>
      <c r="J1505" s="35">
        <v>-4.0959339367091678E-5</v>
      </c>
      <c r="K1505" s="35">
        <v>-0.1040396489317203</v>
      </c>
      <c r="L1505" s="35">
        <v>21.957981653727298</v>
      </c>
      <c r="M1505" s="58" t="s">
        <v>22</v>
      </c>
      <c r="N1505" s="7">
        <v>9.5</v>
      </c>
      <c r="O1505" s="7" t="s">
        <v>179</v>
      </c>
      <c r="P1505" s="7" t="s">
        <v>179</v>
      </c>
    </row>
    <row r="1506" spans="1:16" x14ac:dyDescent="0.25">
      <c r="A1506" s="2" t="s">
        <v>181</v>
      </c>
      <c r="B1506" s="2" t="s">
        <v>193</v>
      </c>
      <c r="C1506" s="6" t="s">
        <v>140</v>
      </c>
      <c r="D1506" s="2" t="s">
        <v>105</v>
      </c>
      <c r="E1506" s="2"/>
      <c r="F1506" s="35">
        <v>2</v>
      </c>
      <c r="G1506" s="35">
        <v>-47.210218485813257</v>
      </c>
      <c r="H1506" s="35">
        <v>18.846955512965774</v>
      </c>
      <c r="I1506" s="35">
        <v>-1.4445367379882694E-2</v>
      </c>
      <c r="J1506" s="35">
        <v>5.2454903244780646E-6</v>
      </c>
      <c r="K1506" s="35">
        <v>-0.10403964893172044</v>
      </c>
      <c r="L1506" s="35">
        <v>21.958030938878959</v>
      </c>
      <c r="M1506" s="58" t="s">
        <v>22</v>
      </c>
      <c r="N1506" s="7">
        <v>9.5</v>
      </c>
      <c r="O1506" s="7" t="s">
        <v>179</v>
      </c>
      <c r="P1506" s="7" t="s">
        <v>179</v>
      </c>
    </row>
    <row r="1507" spans="1:16" x14ac:dyDescent="0.25">
      <c r="A1507" s="2" t="s">
        <v>181</v>
      </c>
      <c r="B1507" s="2" t="s">
        <v>193</v>
      </c>
      <c r="C1507" s="6" t="s">
        <v>140</v>
      </c>
      <c r="D1507" s="2" t="s">
        <v>105</v>
      </c>
      <c r="E1507" s="2"/>
      <c r="F1507" s="35">
        <v>4.4982502942822453</v>
      </c>
      <c r="G1507" s="35">
        <v>-46.193683438970162</v>
      </c>
      <c r="H1507" s="35">
        <v>18.846955512965774</v>
      </c>
      <c r="I1507" s="35">
        <v>-1.4445367379882694E-2</v>
      </c>
      <c r="J1507" s="35">
        <v>5.2454903244780646E-6</v>
      </c>
      <c r="K1507" s="35">
        <v>-6.7951505623913361E-2</v>
      </c>
      <c r="L1507" s="35">
        <v>-25.126381217712158</v>
      </c>
      <c r="M1507" s="58" t="s">
        <v>24</v>
      </c>
      <c r="N1507" s="7">
        <v>9.5</v>
      </c>
      <c r="O1507" s="7" t="s">
        <v>179</v>
      </c>
      <c r="P1507" s="7" t="s">
        <v>179</v>
      </c>
    </row>
    <row r="1508" spans="1:16" x14ac:dyDescent="0.25">
      <c r="A1508" s="2" t="s">
        <v>181</v>
      </c>
      <c r="B1508" s="2" t="s">
        <v>193</v>
      </c>
      <c r="C1508" s="6" t="s">
        <v>140</v>
      </c>
      <c r="D1508" s="2" t="s">
        <v>105</v>
      </c>
      <c r="E1508" s="2"/>
      <c r="F1508" s="35">
        <v>8.9965005885644906</v>
      </c>
      <c r="G1508" s="35">
        <v>-44.363350792127072</v>
      </c>
      <c r="H1508" s="35">
        <v>18.846955512965774</v>
      </c>
      <c r="I1508" s="35">
        <v>-1.4445367379882694E-2</v>
      </c>
      <c r="J1508" s="35">
        <v>5.2454903244780646E-6</v>
      </c>
      <c r="K1508" s="35">
        <v>-2.9726275563409037E-3</v>
      </c>
      <c r="L1508" s="35">
        <v>-109.90470440023482</v>
      </c>
      <c r="M1508" s="58" t="s">
        <v>23</v>
      </c>
      <c r="N1508" s="7">
        <v>9.5</v>
      </c>
      <c r="O1508" s="7" t="s">
        <v>179</v>
      </c>
      <c r="P1508" s="7" t="s">
        <v>179</v>
      </c>
    </row>
    <row r="1509" spans="1:16" x14ac:dyDescent="0.25">
      <c r="A1509" s="2" t="s">
        <v>181</v>
      </c>
      <c r="B1509" s="2" t="s">
        <v>193</v>
      </c>
      <c r="C1509" s="6" t="s">
        <v>140</v>
      </c>
      <c r="D1509" s="2" t="s">
        <v>15</v>
      </c>
      <c r="E1509" s="2"/>
      <c r="F1509" s="35">
        <v>0</v>
      </c>
      <c r="G1509" s="35">
        <v>102.77715794963021</v>
      </c>
      <c r="H1509" s="35">
        <v>-16.017101598742371</v>
      </c>
      <c r="I1509" s="35">
        <v>-4.8647218082478325</v>
      </c>
      <c r="J1509" s="35">
        <v>8.6662078293094124E-4</v>
      </c>
      <c r="K1509" s="35">
        <v>-7.7448848904956753</v>
      </c>
      <c r="L1509" s="35">
        <v>-92.663364579376335</v>
      </c>
      <c r="M1509" s="58" t="s">
        <v>22</v>
      </c>
      <c r="N1509" s="7">
        <v>9.5</v>
      </c>
      <c r="O1509" s="7" t="s">
        <v>179</v>
      </c>
      <c r="P1509" s="7" t="s">
        <v>179</v>
      </c>
    </row>
    <row r="1510" spans="1:16" x14ac:dyDescent="0.25">
      <c r="A1510" s="2" t="s">
        <v>181</v>
      </c>
      <c r="B1510" s="2" t="s">
        <v>193</v>
      </c>
      <c r="C1510" s="6" t="s">
        <v>140</v>
      </c>
      <c r="D1510" s="2" t="s">
        <v>15</v>
      </c>
      <c r="E1510" s="2"/>
      <c r="F1510" s="35">
        <v>2</v>
      </c>
      <c r="G1510" s="35">
        <v>103.59095554963019</v>
      </c>
      <c r="H1510" s="35">
        <v>-27.777101598742373</v>
      </c>
      <c r="I1510" s="35">
        <v>-4.8647218082478343</v>
      </c>
      <c r="J1510" s="35">
        <v>8.6662078293094124E-4</v>
      </c>
      <c r="K1510" s="35">
        <v>1.9845587259999904</v>
      </c>
      <c r="L1510" s="35">
        <v>-48.869161381891594</v>
      </c>
      <c r="M1510" s="58" t="s">
        <v>22</v>
      </c>
      <c r="N1510" s="7">
        <v>9.5</v>
      </c>
      <c r="O1510" s="7" t="s">
        <v>179</v>
      </c>
      <c r="P1510" s="7" t="s">
        <v>179</v>
      </c>
    </row>
    <row r="1511" spans="1:16" x14ac:dyDescent="0.25">
      <c r="A1511" s="2" t="s">
        <v>181</v>
      </c>
      <c r="B1511" s="2" t="s">
        <v>193</v>
      </c>
      <c r="C1511" s="6" t="s">
        <v>140</v>
      </c>
      <c r="D1511" s="2" t="s">
        <v>15</v>
      </c>
      <c r="E1511" s="2"/>
      <c r="F1511" s="35">
        <v>2</v>
      </c>
      <c r="G1511" s="35">
        <v>108.41885050269377</v>
      </c>
      <c r="H1511" s="35">
        <v>-27.777073037931213</v>
      </c>
      <c r="I1511" s="35">
        <v>0.26401836313752508</v>
      </c>
      <c r="J1511" s="35">
        <v>7.8931316430260801E-4</v>
      </c>
      <c r="K1511" s="35">
        <v>1.9845587259999933</v>
      </c>
      <c r="L1511" s="35">
        <v>-48.869243843351576</v>
      </c>
      <c r="M1511" s="58" t="s">
        <v>22</v>
      </c>
      <c r="N1511" s="7">
        <v>9.5</v>
      </c>
      <c r="O1511" s="7" t="s">
        <v>179</v>
      </c>
      <c r="P1511" s="7" t="s">
        <v>179</v>
      </c>
    </row>
    <row r="1512" spans="1:16" x14ac:dyDescent="0.25">
      <c r="A1512" s="2" t="s">
        <v>181</v>
      </c>
      <c r="B1512" s="2" t="s">
        <v>193</v>
      </c>
      <c r="C1512" s="6" t="s">
        <v>140</v>
      </c>
      <c r="D1512" s="2" t="s">
        <v>15</v>
      </c>
      <c r="E1512" s="2"/>
      <c r="F1512" s="35">
        <v>4.4982502942822453</v>
      </c>
      <c r="G1512" s="35">
        <v>109.43538554953686</v>
      </c>
      <c r="H1512" s="35">
        <v>-42.466784768310816</v>
      </c>
      <c r="I1512" s="35">
        <v>0.26401836313752414</v>
      </c>
      <c r="J1512" s="35">
        <v>7.8931316430260801E-4</v>
      </c>
      <c r="K1512" s="35">
        <v>1.3249747725957557</v>
      </c>
      <c r="L1512" s="35">
        <v>38.874125374630566</v>
      </c>
      <c r="M1512" s="58" t="s">
        <v>24</v>
      </c>
      <c r="N1512" s="7">
        <v>9.5</v>
      </c>
      <c r="O1512" s="7" t="s">
        <v>179</v>
      </c>
      <c r="P1512" s="7" t="s">
        <v>179</v>
      </c>
    </row>
    <row r="1513" spans="1:16" x14ac:dyDescent="0.25">
      <c r="A1513" s="2" t="s">
        <v>181</v>
      </c>
      <c r="B1513" s="2" t="s">
        <v>193</v>
      </c>
      <c r="C1513" s="6" t="s">
        <v>140</v>
      </c>
      <c r="D1513" s="2" t="s">
        <v>15</v>
      </c>
      <c r="E1513" s="2"/>
      <c r="F1513" s="35">
        <v>8.9965005885644906</v>
      </c>
      <c r="G1513" s="35">
        <v>111.26571819637996</v>
      </c>
      <c r="H1513" s="35">
        <v>-68.916496498690407</v>
      </c>
      <c r="I1513" s="35">
        <v>0.26401836313752258</v>
      </c>
      <c r="J1513" s="35">
        <v>7.8931316430260801E-4</v>
      </c>
      <c r="K1513" s="35">
        <v>0.1373540929164748</v>
      </c>
      <c r="L1513" s="35">
        <v>289.38906424333572</v>
      </c>
      <c r="M1513" s="58" t="s">
        <v>23</v>
      </c>
      <c r="N1513" s="7">
        <v>9.5</v>
      </c>
      <c r="O1513" s="7" t="s">
        <v>179</v>
      </c>
      <c r="P1513" s="7" t="s">
        <v>179</v>
      </c>
    </row>
    <row r="1514" spans="1:16" x14ac:dyDescent="0.25">
      <c r="A1514" s="2" t="s">
        <v>181</v>
      </c>
      <c r="B1514" s="2" t="s">
        <v>193</v>
      </c>
      <c r="C1514" s="6" t="s">
        <v>140</v>
      </c>
      <c r="D1514" s="2" t="s">
        <v>16</v>
      </c>
      <c r="E1514" s="2"/>
      <c r="F1514" s="35">
        <v>0</v>
      </c>
      <c r="G1514" s="35">
        <v>59.941598114077962</v>
      </c>
      <c r="H1514" s="35">
        <v>-11.448809830794461</v>
      </c>
      <c r="I1514" s="35">
        <v>-5.4699273517361524</v>
      </c>
      <c r="J1514" s="35">
        <v>1.3778784111145919E-3</v>
      </c>
      <c r="K1514" s="35">
        <v>-8.6982318359386923</v>
      </c>
      <c r="L1514" s="35">
        <v>-60.688444810488477</v>
      </c>
      <c r="M1514" s="58" t="s">
        <v>22</v>
      </c>
      <c r="N1514" s="7">
        <v>9.5</v>
      </c>
      <c r="O1514" s="7" t="s">
        <v>179</v>
      </c>
      <c r="P1514" s="7" t="s">
        <v>179</v>
      </c>
    </row>
    <row r="1515" spans="1:16" x14ac:dyDescent="0.25">
      <c r="A1515" s="2" t="s">
        <v>181</v>
      </c>
      <c r="B1515" s="2" t="s">
        <v>193</v>
      </c>
      <c r="C1515" s="6" t="s">
        <v>140</v>
      </c>
      <c r="D1515" s="2" t="s">
        <v>16</v>
      </c>
      <c r="E1515" s="2"/>
      <c r="F1515" s="35">
        <v>2</v>
      </c>
      <c r="G1515" s="35">
        <v>60.755395714077963</v>
      </c>
      <c r="H1515" s="35">
        <v>-18.504809830794461</v>
      </c>
      <c r="I1515" s="35">
        <v>-5.4699273517361524</v>
      </c>
      <c r="J1515" s="35">
        <v>1.3778784111145919E-3</v>
      </c>
      <c r="K1515" s="35">
        <v>2.2416228675336134</v>
      </c>
      <c r="L1515" s="35">
        <v>-30.734825148899567</v>
      </c>
      <c r="M1515" s="58" t="s">
        <v>22</v>
      </c>
      <c r="N1515" s="7">
        <v>9.5</v>
      </c>
      <c r="O1515" s="7" t="s">
        <v>179</v>
      </c>
      <c r="P1515" s="7" t="s">
        <v>179</v>
      </c>
    </row>
    <row r="1516" spans="1:16" x14ac:dyDescent="0.25">
      <c r="A1516" s="2" t="s">
        <v>181</v>
      </c>
      <c r="B1516" s="2" t="s">
        <v>193</v>
      </c>
      <c r="C1516" s="6" t="s">
        <v>140</v>
      </c>
      <c r="D1516" s="2" t="s">
        <v>16</v>
      </c>
      <c r="E1516" s="2"/>
      <c r="F1516" s="35">
        <v>2</v>
      </c>
      <c r="G1516" s="35">
        <v>66.182803983034347</v>
      </c>
      <c r="H1516" s="35">
        <v>-18.5047945419523</v>
      </c>
      <c r="I1516" s="35">
        <v>0.2982939377905417</v>
      </c>
      <c r="J1516" s="35">
        <v>1.3271145386444898E-3</v>
      </c>
      <c r="K1516" s="35">
        <v>2.2416228675336169</v>
      </c>
      <c r="L1516" s="35">
        <v>-30.734879297030179</v>
      </c>
      <c r="M1516" s="58" t="s">
        <v>22</v>
      </c>
      <c r="N1516" s="7">
        <v>9.5</v>
      </c>
      <c r="O1516" s="7" t="s">
        <v>179</v>
      </c>
      <c r="P1516" s="7" t="s">
        <v>179</v>
      </c>
    </row>
    <row r="1517" spans="1:16" x14ac:dyDescent="0.25">
      <c r="A1517" s="2" t="s">
        <v>181</v>
      </c>
      <c r="B1517" s="2" t="s">
        <v>193</v>
      </c>
      <c r="C1517" s="6" t="s">
        <v>140</v>
      </c>
      <c r="D1517" s="2" t="s">
        <v>16</v>
      </c>
      <c r="E1517" s="2"/>
      <c r="F1517" s="35">
        <v>4.4982502942822453</v>
      </c>
      <c r="G1517" s="35">
        <v>67.199339029877436</v>
      </c>
      <c r="H1517" s="35">
        <v>-27.318621580180064</v>
      </c>
      <c r="I1517" s="35">
        <v>0.2982939377905412</v>
      </c>
      <c r="J1517" s="35">
        <v>1.3271145386444898E-3</v>
      </c>
      <c r="K1517" s="35">
        <v>1.4964099496657874</v>
      </c>
      <c r="L1517" s="35">
        <v>26.504302109037287</v>
      </c>
      <c r="M1517" s="58" t="s">
        <v>24</v>
      </c>
      <c r="N1517" s="7">
        <v>9.5</v>
      </c>
      <c r="O1517" s="7" t="s">
        <v>179</v>
      </c>
      <c r="P1517" s="7" t="s">
        <v>179</v>
      </c>
    </row>
    <row r="1518" spans="1:16" x14ac:dyDescent="0.25">
      <c r="A1518" s="2" t="s">
        <v>181</v>
      </c>
      <c r="B1518" s="2" t="s">
        <v>193</v>
      </c>
      <c r="C1518" s="6" t="s">
        <v>140</v>
      </c>
      <c r="D1518" s="2" t="s">
        <v>16</v>
      </c>
      <c r="E1518" s="2"/>
      <c r="F1518" s="35">
        <v>8.9965005885644906</v>
      </c>
      <c r="G1518" s="35">
        <v>69.02967167672054</v>
      </c>
      <c r="H1518" s="35">
        <v>-43.188448618407818</v>
      </c>
      <c r="I1518" s="35">
        <v>0.2982939377905402</v>
      </c>
      <c r="J1518" s="35">
        <v>1.3271145386444898E-3</v>
      </c>
      <c r="K1518" s="35">
        <v>0.15460915621687843</v>
      </c>
      <c r="L1518" s="35">
        <v>185.08352674392574</v>
      </c>
      <c r="M1518" s="58" t="s">
        <v>23</v>
      </c>
      <c r="N1518" s="7">
        <v>9.5</v>
      </c>
      <c r="O1518" s="7" t="s">
        <v>179</v>
      </c>
      <c r="P1518" s="7" t="s">
        <v>179</v>
      </c>
    </row>
    <row r="1519" spans="1:16" x14ac:dyDescent="0.25">
      <c r="A1519" s="2" t="s">
        <v>181</v>
      </c>
      <c r="B1519" s="2" t="s">
        <v>193</v>
      </c>
      <c r="C1519" s="6" t="s">
        <v>140</v>
      </c>
      <c r="D1519" s="2" t="s">
        <v>106</v>
      </c>
      <c r="E1519" s="2"/>
      <c r="F1519" s="35">
        <v>0</v>
      </c>
      <c r="G1519" s="35">
        <v>72.970306606931203</v>
      </c>
      <c r="H1519" s="35">
        <v>-4.694983788796125</v>
      </c>
      <c r="I1519" s="35">
        <v>4.2616408034786417</v>
      </c>
      <c r="J1519" s="35">
        <v>-7.1995370940337367E-4</v>
      </c>
      <c r="K1519" s="35">
        <v>6.7981106307603945</v>
      </c>
      <c r="L1519" s="35">
        <v>-46.064315713053439</v>
      </c>
      <c r="M1519" s="58" t="s">
        <v>22</v>
      </c>
      <c r="N1519" s="7">
        <v>9.5</v>
      </c>
      <c r="O1519" s="7" t="s">
        <v>179</v>
      </c>
      <c r="P1519" s="7" t="s">
        <v>179</v>
      </c>
    </row>
    <row r="1520" spans="1:16" x14ac:dyDescent="0.25">
      <c r="A1520" s="2" t="s">
        <v>181</v>
      </c>
      <c r="B1520" s="2" t="s">
        <v>193</v>
      </c>
      <c r="C1520" s="6" t="s">
        <v>140</v>
      </c>
      <c r="D1520" s="2" t="s">
        <v>106</v>
      </c>
      <c r="E1520" s="2"/>
      <c r="F1520" s="35">
        <v>2</v>
      </c>
      <c r="G1520" s="35">
        <v>73.784104206931204</v>
      </c>
      <c r="H1520" s="35">
        <v>-13.094983788796123</v>
      </c>
      <c r="I1520" s="35">
        <v>4.2616408034786417</v>
      </c>
      <c r="J1520" s="35">
        <v>-7.1995370940337367E-4</v>
      </c>
      <c r="K1520" s="35">
        <v>-1.7251709761968885</v>
      </c>
      <c r="L1520" s="35">
        <v>-28.274348135461199</v>
      </c>
      <c r="M1520" s="58" t="s">
        <v>22</v>
      </c>
      <c r="N1520" s="7">
        <v>9.5</v>
      </c>
      <c r="O1520" s="7" t="s">
        <v>179</v>
      </c>
      <c r="P1520" s="7" t="s">
        <v>179</v>
      </c>
    </row>
    <row r="1521" spans="1:16" x14ac:dyDescent="0.25">
      <c r="A1521" s="2" t="s">
        <v>181</v>
      </c>
      <c r="B1521" s="2" t="s">
        <v>193</v>
      </c>
      <c r="C1521" s="6" t="s">
        <v>140</v>
      </c>
      <c r="D1521" s="2" t="s">
        <v>106</v>
      </c>
      <c r="E1521" s="2"/>
      <c r="F1521" s="35">
        <v>2</v>
      </c>
      <c r="G1521" s="35">
        <v>69.59230272726478</v>
      </c>
      <c r="H1521" s="35">
        <v>-13.094963481151741</v>
      </c>
      <c r="I1521" s="35">
        <v>-0.23061470471960063</v>
      </c>
      <c r="J1521" s="35">
        <v>-7.5841591587525901E-4</v>
      </c>
      <c r="K1521" s="35">
        <v>-1.7251709761968901</v>
      </c>
      <c r="L1521" s="35">
        <v>-28.274389161814796</v>
      </c>
      <c r="M1521" s="58" t="s">
        <v>22</v>
      </c>
      <c r="N1521" s="7">
        <v>9.5</v>
      </c>
      <c r="O1521" s="7" t="s">
        <v>179</v>
      </c>
      <c r="P1521" s="7" t="s">
        <v>179</v>
      </c>
    </row>
    <row r="1522" spans="1:16" x14ac:dyDescent="0.25">
      <c r="A1522" s="2" t="s">
        <v>181</v>
      </c>
      <c r="B1522" s="2" t="s">
        <v>193</v>
      </c>
      <c r="C1522" s="6" t="s">
        <v>140</v>
      </c>
      <c r="D1522" s="2" t="s">
        <v>106</v>
      </c>
      <c r="E1522" s="2"/>
      <c r="F1522" s="35">
        <v>4.4982502942822453</v>
      </c>
      <c r="G1522" s="35">
        <v>70.608837774107855</v>
      </c>
      <c r="H1522" s="35">
        <v>-23.587614717137168</v>
      </c>
      <c r="I1522" s="35">
        <v>-0.23061470471960127</v>
      </c>
      <c r="J1522" s="35">
        <v>-7.5841591587525901E-4</v>
      </c>
      <c r="K1522" s="35">
        <v>-1.1490377222653343</v>
      </c>
      <c r="L1522" s="35">
        <v>17.546741727638569</v>
      </c>
      <c r="M1522" s="58" t="s">
        <v>24</v>
      </c>
      <c r="N1522" s="7">
        <v>9.5</v>
      </c>
      <c r="O1522" s="7" t="s">
        <v>179</v>
      </c>
      <c r="P1522" s="7" t="s">
        <v>179</v>
      </c>
    </row>
    <row r="1523" spans="1:16" x14ac:dyDescent="0.25">
      <c r="A1523" s="2" t="s">
        <v>181</v>
      </c>
      <c r="B1523" s="2" t="s">
        <v>193</v>
      </c>
      <c r="C1523" s="6" t="s">
        <v>140</v>
      </c>
      <c r="D1523" s="2" t="s">
        <v>106</v>
      </c>
      <c r="E1523" s="2"/>
      <c r="F1523" s="35">
        <v>8.9965005885644906</v>
      </c>
      <c r="G1523" s="35">
        <v>72.439170420950958</v>
      </c>
      <c r="H1523" s="35">
        <v>-42.480265953122604</v>
      </c>
      <c r="I1523" s="35">
        <v>-0.23061470471960244</v>
      </c>
      <c r="J1523" s="35">
        <v>-7.5841591587525901E-4</v>
      </c>
      <c r="K1523" s="35">
        <v>-0.1116750588945723</v>
      </c>
      <c r="L1523" s="35">
        <v>166.14167356143867</v>
      </c>
      <c r="M1523" s="58" t="s">
        <v>23</v>
      </c>
      <c r="N1523" s="7">
        <v>9.5</v>
      </c>
      <c r="O1523" s="7" t="s">
        <v>179</v>
      </c>
      <c r="P1523" s="7" t="s">
        <v>179</v>
      </c>
    </row>
    <row r="1524" spans="1:16" x14ac:dyDescent="0.25">
      <c r="A1524" s="2" t="s">
        <v>181</v>
      </c>
      <c r="B1524" s="2" t="s">
        <v>193</v>
      </c>
      <c r="C1524" s="6" t="s">
        <v>140</v>
      </c>
      <c r="D1524" s="2" t="s">
        <v>107</v>
      </c>
      <c r="E1524" s="2"/>
      <c r="F1524" s="35">
        <v>0</v>
      </c>
      <c r="G1524" s="35">
        <v>30.629042078630949</v>
      </c>
      <c r="H1524" s="35">
        <v>-0.26041493236298807</v>
      </c>
      <c r="I1524" s="35">
        <v>3.660857995399371</v>
      </c>
      <c r="J1524" s="35">
        <v>-2.0773072138645507E-4</v>
      </c>
      <c r="K1524" s="35">
        <v>5.8517579313430987</v>
      </c>
      <c r="L1524" s="35">
        <v>-14.485315753273044</v>
      </c>
      <c r="M1524" s="58" t="s">
        <v>22</v>
      </c>
      <c r="N1524" s="7">
        <v>9.5</v>
      </c>
      <c r="O1524" s="7" t="s">
        <v>179</v>
      </c>
      <c r="P1524" s="7" t="s">
        <v>179</v>
      </c>
    </row>
    <row r="1525" spans="1:16" x14ac:dyDescent="0.25">
      <c r="A1525" s="2" t="s">
        <v>181</v>
      </c>
      <c r="B1525" s="2" t="s">
        <v>193</v>
      </c>
      <c r="C1525" s="6" t="s">
        <v>140</v>
      </c>
      <c r="D1525" s="2" t="s">
        <v>107</v>
      </c>
      <c r="E1525" s="2"/>
      <c r="F1525" s="35">
        <v>2</v>
      </c>
      <c r="G1525" s="35">
        <v>31.442839678630946</v>
      </c>
      <c r="H1525" s="35">
        <v>-3.9564149323629874</v>
      </c>
      <c r="I1525" s="35">
        <v>3.660857995399371</v>
      </c>
      <c r="J1525" s="35">
        <v>-2.0773072138645507E-4</v>
      </c>
      <c r="K1525" s="35">
        <v>-1.4699580594556432</v>
      </c>
      <c r="L1525" s="35">
        <v>-10.268485888547076</v>
      </c>
      <c r="M1525" s="58" t="s">
        <v>22</v>
      </c>
      <c r="N1525" s="7">
        <v>9.5</v>
      </c>
      <c r="O1525" s="7" t="s">
        <v>179</v>
      </c>
      <c r="P1525" s="7" t="s">
        <v>179</v>
      </c>
    </row>
    <row r="1526" spans="1:16" x14ac:dyDescent="0.25">
      <c r="A1526" s="2" t="s">
        <v>181</v>
      </c>
      <c r="B1526" s="2" t="s">
        <v>193</v>
      </c>
      <c r="C1526" s="6" t="s">
        <v>140</v>
      </c>
      <c r="D1526" s="2" t="s">
        <v>107</v>
      </c>
      <c r="E1526" s="2"/>
      <c r="F1526" s="35">
        <v>2</v>
      </c>
      <c r="G1526" s="35">
        <v>27.846173780953876</v>
      </c>
      <c r="H1526" s="35">
        <v>-3.9564077842834697</v>
      </c>
      <c r="I1526" s="35">
        <v>-0.19658595620826413</v>
      </c>
      <c r="J1526" s="35">
        <v>-2.201962605998098E-4</v>
      </c>
      <c r="K1526" s="35">
        <v>-1.4699580594556467</v>
      </c>
      <c r="L1526" s="35">
        <v>-10.268499185122236</v>
      </c>
      <c r="M1526" s="58" t="s">
        <v>22</v>
      </c>
      <c r="N1526" s="7">
        <v>9.5</v>
      </c>
      <c r="O1526" s="7" t="s">
        <v>179</v>
      </c>
      <c r="P1526" s="7" t="s">
        <v>179</v>
      </c>
    </row>
    <row r="1527" spans="1:16" x14ac:dyDescent="0.25">
      <c r="A1527" s="2" t="s">
        <v>181</v>
      </c>
      <c r="B1527" s="2" t="s">
        <v>193</v>
      </c>
      <c r="C1527" s="6" t="s">
        <v>140</v>
      </c>
      <c r="D1527" s="2" t="s">
        <v>107</v>
      </c>
      <c r="E1527" s="2"/>
      <c r="F1527" s="35">
        <v>4.4982502942822453</v>
      </c>
      <c r="G1527" s="35">
        <v>28.862708827796972</v>
      </c>
      <c r="H1527" s="35">
        <v>-8.5731743281170587</v>
      </c>
      <c r="I1527" s="35">
        <v>-0.19658595620826438</v>
      </c>
      <c r="J1527" s="35">
        <v>-2.201962605998098E-4</v>
      </c>
      <c r="K1527" s="35">
        <v>-0.9788371365065941</v>
      </c>
      <c r="L1527" s="35">
        <v>5.3825169146468479</v>
      </c>
      <c r="M1527" s="58" t="s">
        <v>24</v>
      </c>
      <c r="N1527" s="7">
        <v>9.5</v>
      </c>
      <c r="O1527" s="7" t="s">
        <v>179</v>
      </c>
      <c r="P1527" s="7" t="s">
        <v>179</v>
      </c>
    </row>
    <row r="1528" spans="1:16" x14ac:dyDescent="0.25">
      <c r="A1528" s="2" t="s">
        <v>181</v>
      </c>
      <c r="B1528" s="2" t="s">
        <v>193</v>
      </c>
      <c r="C1528" s="6" t="s">
        <v>140</v>
      </c>
      <c r="D1528" s="2" t="s">
        <v>107</v>
      </c>
      <c r="E1528" s="2"/>
      <c r="F1528" s="35">
        <v>8.9965005885644906</v>
      </c>
      <c r="G1528" s="35">
        <v>30.693041474640065</v>
      </c>
      <c r="H1528" s="35">
        <v>-16.885940871950652</v>
      </c>
      <c r="I1528" s="35">
        <v>-0.19658595620826491</v>
      </c>
      <c r="J1528" s="35">
        <v>-2.201962605998098E-4</v>
      </c>
      <c r="K1528" s="35">
        <v>-9.4544301141011089E-2</v>
      </c>
      <c r="L1528" s="35">
        <v>62.643253135081892</v>
      </c>
      <c r="M1528" s="58" t="s">
        <v>23</v>
      </c>
      <c r="N1528" s="7">
        <v>9.5</v>
      </c>
      <c r="O1528" s="7" t="s">
        <v>179</v>
      </c>
      <c r="P1528" s="7" t="s">
        <v>179</v>
      </c>
    </row>
    <row r="1529" spans="1:16" x14ac:dyDescent="0.25">
      <c r="A1529" s="2" t="s">
        <v>181</v>
      </c>
      <c r="B1529" s="2" t="s">
        <v>193</v>
      </c>
      <c r="C1529" s="6" t="s">
        <v>140</v>
      </c>
      <c r="D1529" s="2" t="s">
        <v>108</v>
      </c>
      <c r="E1529" s="2"/>
      <c r="F1529" s="35">
        <v>0</v>
      </c>
      <c r="G1529" s="35">
        <v>59.101331399809716</v>
      </c>
      <c r="H1529" s="35">
        <v>-3.4481914111546934</v>
      </c>
      <c r="I1529" s="35">
        <v>1.6154897346777404</v>
      </c>
      <c r="J1529" s="35">
        <v>-1.2987317453854483E-3</v>
      </c>
      <c r="K1529" s="35">
        <v>2.5491811134559379</v>
      </c>
      <c r="L1529" s="35">
        <v>-17.06587674110299</v>
      </c>
      <c r="M1529" s="58" t="s">
        <v>22</v>
      </c>
      <c r="N1529" s="7">
        <v>9.5</v>
      </c>
      <c r="O1529" s="7" t="s">
        <v>179</v>
      </c>
      <c r="P1529" s="7" t="s">
        <v>179</v>
      </c>
    </row>
    <row r="1530" spans="1:16" x14ac:dyDescent="0.25">
      <c r="A1530" s="2" t="s">
        <v>181</v>
      </c>
      <c r="B1530" s="2" t="s">
        <v>193</v>
      </c>
      <c r="C1530" s="6" t="s">
        <v>140</v>
      </c>
      <c r="D1530" s="2" t="s">
        <v>108</v>
      </c>
      <c r="E1530" s="2"/>
      <c r="F1530" s="35">
        <v>2</v>
      </c>
      <c r="G1530" s="35">
        <v>59.915128999809717</v>
      </c>
      <c r="H1530" s="35">
        <v>-9.832191411154696</v>
      </c>
      <c r="I1530" s="35">
        <v>1.6154897346777399</v>
      </c>
      <c r="J1530" s="35">
        <v>-1.2987317453854483E-3</v>
      </c>
      <c r="K1530" s="35">
        <v>-0.68179835589954241</v>
      </c>
      <c r="L1530" s="35">
        <v>-3.7854939187936001</v>
      </c>
      <c r="M1530" s="58" t="s">
        <v>22</v>
      </c>
      <c r="N1530" s="7">
        <v>9.5</v>
      </c>
      <c r="O1530" s="7" t="s">
        <v>179</v>
      </c>
      <c r="P1530" s="7" t="s">
        <v>179</v>
      </c>
    </row>
    <row r="1531" spans="1:16" x14ac:dyDescent="0.25">
      <c r="A1531" s="2" t="s">
        <v>181</v>
      </c>
      <c r="B1531" s="2" t="s">
        <v>193</v>
      </c>
      <c r="C1531" s="6" t="s">
        <v>140</v>
      </c>
      <c r="D1531" s="2" t="s">
        <v>108</v>
      </c>
      <c r="E1531" s="2"/>
      <c r="F1531" s="35">
        <v>2</v>
      </c>
      <c r="G1531" s="35">
        <v>58.334545980168997</v>
      </c>
      <c r="H1531" s="35">
        <v>-9.8321720332841593</v>
      </c>
      <c r="I1531" s="35">
        <v>-9.1475681243365067E-2</v>
      </c>
      <c r="J1531" s="35">
        <v>-1.3584056249598901E-3</v>
      </c>
      <c r="K1531" s="35">
        <v>-0.68179835589954074</v>
      </c>
      <c r="L1531" s="35">
        <v>-3.7855575709318323</v>
      </c>
      <c r="M1531" s="58" t="s">
        <v>22</v>
      </c>
      <c r="N1531" s="7">
        <v>9.5</v>
      </c>
      <c r="O1531" s="7" t="s">
        <v>179</v>
      </c>
      <c r="P1531" s="7" t="s">
        <v>179</v>
      </c>
    </row>
    <row r="1532" spans="1:16" x14ac:dyDescent="0.25">
      <c r="A1532" s="2" t="s">
        <v>181</v>
      </c>
      <c r="B1532" s="2" t="s">
        <v>193</v>
      </c>
      <c r="C1532" s="6" t="s">
        <v>140</v>
      </c>
      <c r="D1532" s="2" t="s">
        <v>108</v>
      </c>
      <c r="E1532" s="2"/>
      <c r="F1532" s="35">
        <v>4.4982502942822453</v>
      </c>
      <c r="G1532" s="35">
        <v>59.351081027012086</v>
      </c>
      <c r="H1532" s="35">
        <v>-17.806586972633088</v>
      </c>
      <c r="I1532" s="35">
        <v>-9.1475681243365567E-2</v>
      </c>
      <c r="J1532" s="35">
        <v>-1.3584056249598901E-3</v>
      </c>
      <c r="K1532" s="35">
        <v>-0.45326920831363454</v>
      </c>
      <c r="L1532" s="35">
        <v>30.738711339132561</v>
      </c>
      <c r="M1532" s="58" t="s">
        <v>24</v>
      </c>
      <c r="N1532" s="7">
        <v>9.5</v>
      </c>
      <c r="O1532" s="7" t="s">
        <v>179</v>
      </c>
      <c r="P1532" s="7" t="s">
        <v>179</v>
      </c>
    </row>
    <row r="1533" spans="1:16" x14ac:dyDescent="0.25">
      <c r="A1533" s="2" t="s">
        <v>181</v>
      </c>
      <c r="B1533" s="2" t="s">
        <v>193</v>
      </c>
      <c r="C1533" s="6" t="s">
        <v>140</v>
      </c>
      <c r="D1533" s="2" t="s">
        <v>108</v>
      </c>
      <c r="E1533" s="2"/>
      <c r="F1533" s="35">
        <v>8.9965005885644906</v>
      </c>
      <c r="G1533" s="35">
        <v>61.181413673855182</v>
      </c>
      <c r="H1533" s="35">
        <v>-32.165001911982017</v>
      </c>
      <c r="I1533" s="35">
        <v>-9.1475681243366455E-2</v>
      </c>
      <c r="J1533" s="35">
        <v>-1.3584056249598901E-3</v>
      </c>
      <c r="K1533" s="35">
        <v>-4.1788698240994612E-2</v>
      </c>
      <c r="L1533" s="35">
        <v>143.13106854211819</v>
      </c>
      <c r="M1533" s="58" t="s">
        <v>23</v>
      </c>
      <c r="N1533" s="7">
        <v>9.5</v>
      </c>
      <c r="O1533" s="7" t="s">
        <v>179</v>
      </c>
      <c r="P1533" s="7" t="s">
        <v>179</v>
      </c>
    </row>
    <row r="1534" spans="1:16" x14ac:dyDescent="0.25">
      <c r="A1534" s="2" t="s">
        <v>181</v>
      </c>
      <c r="B1534" s="2" t="s">
        <v>193</v>
      </c>
      <c r="C1534" s="6" t="s">
        <v>140</v>
      </c>
      <c r="D1534" s="2" t="s">
        <v>109</v>
      </c>
      <c r="E1534" s="2"/>
      <c r="F1534" s="35">
        <v>0</v>
      </c>
      <c r="G1534" s="35">
        <v>6.5639878773561202</v>
      </c>
      <c r="H1534" s="35">
        <v>12.330796649037637</v>
      </c>
      <c r="I1534" s="35">
        <v>1.4465825750257324</v>
      </c>
      <c r="J1534" s="35">
        <v>-7.6382610351790595E-4</v>
      </c>
      <c r="K1534" s="35">
        <v>2.288001566883278</v>
      </c>
      <c r="L1534" s="35">
        <v>75.907580482567226</v>
      </c>
      <c r="M1534" s="58" t="s">
        <v>22</v>
      </c>
      <c r="N1534" s="7">
        <v>9.5</v>
      </c>
      <c r="O1534" s="7" t="s">
        <v>179</v>
      </c>
      <c r="P1534" s="7" t="s">
        <v>179</v>
      </c>
    </row>
    <row r="1535" spans="1:16" x14ac:dyDescent="0.25">
      <c r="A1535" s="2" t="s">
        <v>181</v>
      </c>
      <c r="B1535" s="2" t="s">
        <v>193</v>
      </c>
      <c r="C1535" s="6" t="s">
        <v>140</v>
      </c>
      <c r="D1535" s="2" t="s">
        <v>109</v>
      </c>
      <c r="E1535" s="2"/>
      <c r="F1535" s="35">
        <v>2</v>
      </c>
      <c r="G1535" s="35">
        <v>7.3777854773561176</v>
      </c>
      <c r="H1535" s="35">
        <v>10.650796649037636</v>
      </c>
      <c r="I1535" s="35">
        <v>1.4465825750257324</v>
      </c>
      <c r="J1535" s="35">
        <v>-7.6382610351790595E-4</v>
      </c>
      <c r="K1535" s="35">
        <v>-0.60516358316818675</v>
      </c>
      <c r="L1535" s="35">
        <v>52.925987184491966</v>
      </c>
      <c r="M1535" s="58" t="s">
        <v>22</v>
      </c>
      <c r="N1535" s="7">
        <v>9.5</v>
      </c>
      <c r="O1535" s="7" t="s">
        <v>179</v>
      </c>
      <c r="P1535" s="7" t="s">
        <v>179</v>
      </c>
    </row>
    <row r="1536" spans="1:16" x14ac:dyDescent="0.25">
      <c r="A1536" s="2" t="s">
        <v>181</v>
      </c>
      <c r="B1536" s="2" t="s">
        <v>193</v>
      </c>
      <c r="C1536" s="6" t="s">
        <v>140</v>
      </c>
      <c r="D1536" s="2" t="s">
        <v>109</v>
      </c>
      <c r="E1536" s="2"/>
      <c r="F1536" s="35">
        <v>2</v>
      </c>
      <c r="G1536" s="35">
        <v>5.965134334460453</v>
      </c>
      <c r="H1536" s="35">
        <v>10.650793165331628</v>
      </c>
      <c r="I1536" s="35">
        <v>-8.125433951889241E-2</v>
      </c>
      <c r="J1536" s="35">
        <v>-8.1184213547347089E-4</v>
      </c>
      <c r="K1536" s="35">
        <v>-0.60516358316818775</v>
      </c>
      <c r="L1536" s="35">
        <v>52.92593596739119</v>
      </c>
      <c r="M1536" s="58" t="s">
        <v>22</v>
      </c>
      <c r="N1536" s="7">
        <v>9.5</v>
      </c>
      <c r="O1536" s="7" t="s">
        <v>179</v>
      </c>
      <c r="P1536" s="7" t="s">
        <v>179</v>
      </c>
    </row>
    <row r="1537" spans="1:16" x14ac:dyDescent="0.25">
      <c r="A1537" s="2" t="s">
        <v>181</v>
      </c>
      <c r="B1537" s="2" t="s">
        <v>193</v>
      </c>
      <c r="C1537" s="6" t="s">
        <v>140</v>
      </c>
      <c r="D1537" s="2" t="s">
        <v>109</v>
      </c>
      <c r="E1537" s="2"/>
      <c r="F1537" s="35">
        <v>4.4982502942822453</v>
      </c>
      <c r="G1537" s="35">
        <v>6.981669381303548</v>
      </c>
      <c r="H1537" s="35">
        <v>8.5522629181345415</v>
      </c>
      <c r="I1537" s="35">
        <v>-8.1254339518892535E-2</v>
      </c>
      <c r="J1537" s="35">
        <v>-8.1184213547347089E-4</v>
      </c>
      <c r="K1537" s="35">
        <v>-0.40216990555340515</v>
      </c>
      <c r="L1537" s="35">
        <v>28.938915711572275</v>
      </c>
      <c r="M1537" s="58" t="s">
        <v>24</v>
      </c>
      <c r="N1537" s="7">
        <v>9.5</v>
      </c>
      <c r="O1537" s="7" t="s">
        <v>179</v>
      </c>
      <c r="P1537" s="7" t="s">
        <v>179</v>
      </c>
    </row>
    <row r="1538" spans="1:16" x14ac:dyDescent="0.25">
      <c r="A1538" s="2" t="s">
        <v>181</v>
      </c>
      <c r="B1538" s="2" t="s">
        <v>193</v>
      </c>
      <c r="C1538" s="6" t="s">
        <v>140</v>
      </c>
      <c r="D1538" s="2" t="s">
        <v>109</v>
      </c>
      <c r="E1538" s="2"/>
      <c r="F1538" s="35">
        <v>8.9965005885644906</v>
      </c>
      <c r="G1538" s="35">
        <v>8.8120020281466402</v>
      </c>
      <c r="H1538" s="35">
        <v>4.7737326709374557</v>
      </c>
      <c r="I1538" s="35">
        <v>-8.1254339518892771E-2</v>
      </c>
      <c r="J1538" s="35">
        <v>-8.1184213547347089E-4</v>
      </c>
      <c r="K1538" s="35">
        <v>-3.6667548900836872E-2</v>
      </c>
      <c r="L1538" s="35">
        <v>-1.0329160785012244</v>
      </c>
      <c r="M1538" s="58" t="s">
        <v>23</v>
      </c>
      <c r="N1538" s="7">
        <v>9.5</v>
      </c>
      <c r="O1538" s="7" t="s">
        <v>179</v>
      </c>
      <c r="P1538" s="7" t="s">
        <v>179</v>
      </c>
    </row>
    <row r="1539" spans="1:16" x14ac:dyDescent="0.25">
      <c r="A1539" s="2" t="s">
        <v>181</v>
      </c>
      <c r="B1539" s="2" t="s">
        <v>193</v>
      </c>
      <c r="C1539" s="6" t="s">
        <v>140</v>
      </c>
      <c r="D1539" s="2" t="s">
        <v>110</v>
      </c>
      <c r="E1539" s="2"/>
      <c r="F1539" s="35">
        <v>0</v>
      </c>
      <c r="G1539" s="35">
        <v>82.037659006460061</v>
      </c>
      <c r="H1539" s="35">
        <v>-52.460984959083596</v>
      </c>
      <c r="I1539" s="35">
        <v>1.942870989379091</v>
      </c>
      <c r="J1539" s="35">
        <v>-1.2658655293329333E-3</v>
      </c>
      <c r="K1539" s="35">
        <v>3.0590228317823329</v>
      </c>
      <c r="L1539" s="35">
        <v>-159.30582735174562</v>
      </c>
      <c r="M1539" s="58" t="s">
        <v>22</v>
      </c>
      <c r="N1539" s="7">
        <v>9.5</v>
      </c>
      <c r="O1539" s="7" t="s">
        <v>179</v>
      </c>
      <c r="P1539" s="7" t="s">
        <v>179</v>
      </c>
    </row>
    <row r="1540" spans="1:16" x14ac:dyDescent="0.25">
      <c r="A1540" s="2" t="s">
        <v>181</v>
      </c>
      <c r="B1540" s="2" t="s">
        <v>193</v>
      </c>
      <c r="C1540" s="6" t="s">
        <v>140</v>
      </c>
      <c r="D1540" s="2" t="s">
        <v>110</v>
      </c>
      <c r="E1540" s="2"/>
      <c r="F1540" s="35">
        <v>2</v>
      </c>
      <c r="G1540" s="35">
        <v>82.851456606460047</v>
      </c>
      <c r="H1540" s="35">
        <v>-46.412984959083602</v>
      </c>
      <c r="I1540" s="35">
        <v>1.9428709893790914</v>
      </c>
      <c r="J1540" s="35">
        <v>-1.2658655293329333E-3</v>
      </c>
      <c r="K1540" s="35">
        <v>-0.82671914697584881</v>
      </c>
      <c r="L1540" s="35">
        <v>-60.431857433578443</v>
      </c>
      <c r="M1540" s="58" t="s">
        <v>22</v>
      </c>
      <c r="N1540" s="7">
        <v>9.5</v>
      </c>
      <c r="O1540" s="7" t="s">
        <v>179</v>
      </c>
      <c r="P1540" s="7" t="s">
        <v>179</v>
      </c>
    </row>
    <row r="1541" spans="1:16" x14ac:dyDescent="0.25">
      <c r="A1541" s="2" t="s">
        <v>181</v>
      </c>
      <c r="B1541" s="2" t="s">
        <v>193</v>
      </c>
      <c r="C1541" s="6" t="s">
        <v>140</v>
      </c>
      <c r="D1541" s="2" t="s">
        <v>110</v>
      </c>
      <c r="E1541" s="2"/>
      <c r="F1541" s="35">
        <v>2</v>
      </c>
      <c r="G1541" s="35">
        <v>80.945834668031708</v>
      </c>
      <c r="H1541" s="35">
        <v>-46.412954408318171</v>
      </c>
      <c r="I1541" s="35">
        <v>-0.11080405661287906</v>
      </c>
      <c r="J1541" s="35">
        <v>-1.3557800973263644E-3</v>
      </c>
      <c r="K1541" s="35">
        <v>-0.82671914697585125</v>
      </c>
      <c r="L1541" s="35">
        <v>-60.431953342450988</v>
      </c>
      <c r="M1541" s="58" t="s">
        <v>22</v>
      </c>
      <c r="N1541" s="7">
        <v>9.5</v>
      </c>
      <c r="O1541" s="7" t="s">
        <v>179</v>
      </c>
      <c r="P1541" s="7" t="s">
        <v>179</v>
      </c>
    </row>
    <row r="1542" spans="1:16" x14ac:dyDescent="0.25">
      <c r="A1542" s="2" t="s">
        <v>181</v>
      </c>
      <c r="B1542" s="2" t="s">
        <v>193</v>
      </c>
      <c r="C1542" s="6" t="s">
        <v>140</v>
      </c>
      <c r="D1542" s="2" t="s">
        <v>110</v>
      </c>
      <c r="E1542" s="2"/>
      <c r="F1542" s="35">
        <v>4.4982502942822453</v>
      </c>
      <c r="G1542" s="35">
        <v>81.962369714874797</v>
      </c>
      <c r="H1542" s="35">
        <v>-38.858245518408665</v>
      </c>
      <c r="I1542" s="35">
        <v>-0.11080405661287859</v>
      </c>
      <c r="J1542" s="35">
        <v>-1.3557800973263644E-3</v>
      </c>
      <c r="K1542" s="35">
        <v>-0.54990287993506037</v>
      </c>
      <c r="L1542" s="35">
        <v>46.082446812921738</v>
      </c>
      <c r="M1542" s="58" t="s">
        <v>24</v>
      </c>
      <c r="N1542" s="7">
        <v>9.5</v>
      </c>
      <c r="O1542" s="7" t="s">
        <v>179</v>
      </c>
      <c r="P1542" s="7" t="s">
        <v>179</v>
      </c>
    </row>
    <row r="1543" spans="1:16" x14ac:dyDescent="0.25">
      <c r="A1543" s="2" t="s">
        <v>181</v>
      </c>
      <c r="B1543" s="2" t="s">
        <v>193</v>
      </c>
      <c r="C1543" s="6" t="s">
        <v>140</v>
      </c>
      <c r="D1543" s="2" t="s">
        <v>110</v>
      </c>
      <c r="E1543" s="2"/>
      <c r="F1543" s="35">
        <v>8.9965005885644906</v>
      </c>
      <c r="G1543" s="35">
        <v>83.792702361717886</v>
      </c>
      <c r="H1543" s="35">
        <v>-25.255536628499161</v>
      </c>
      <c r="I1543" s="35">
        <v>-0.11080405661287775</v>
      </c>
      <c r="J1543" s="35">
        <v>-1.3557800973263644E-3</v>
      </c>
      <c r="K1543" s="35">
        <v>-5.1478499668514546E-2</v>
      </c>
      <c r="L1543" s="35">
        <v>190.28236651785966</v>
      </c>
      <c r="M1543" s="58" t="s">
        <v>23</v>
      </c>
      <c r="N1543" s="7">
        <v>9.5</v>
      </c>
      <c r="O1543" s="7" t="s">
        <v>179</v>
      </c>
      <c r="P1543" s="7" t="s">
        <v>179</v>
      </c>
    </row>
    <row r="1544" spans="1:16" x14ac:dyDescent="0.25">
      <c r="A1544" s="2" t="s">
        <v>181</v>
      </c>
      <c r="B1544" s="2" t="s">
        <v>193</v>
      </c>
      <c r="C1544" s="6" t="s">
        <v>140</v>
      </c>
      <c r="D1544" s="2" t="s">
        <v>111</v>
      </c>
      <c r="E1544" s="2"/>
      <c r="F1544" s="35">
        <v>0</v>
      </c>
      <c r="G1544" s="35">
        <v>-41.458428350141453</v>
      </c>
      <c r="H1544" s="35">
        <v>-25.937933724252446</v>
      </c>
      <c r="I1544" s="35">
        <v>1.7173994728735258</v>
      </c>
      <c r="J1544" s="35">
        <v>-8.3830028207365539E-4</v>
      </c>
      <c r="K1544" s="35">
        <v>2.7074594086073525</v>
      </c>
      <c r="L1544" s="35">
        <v>-80.895126568963121</v>
      </c>
      <c r="M1544" s="58" t="s">
        <v>22</v>
      </c>
      <c r="N1544" s="7">
        <v>9.5</v>
      </c>
      <c r="O1544" s="7" t="s">
        <v>179</v>
      </c>
      <c r="P1544" s="7" t="s">
        <v>179</v>
      </c>
    </row>
    <row r="1545" spans="1:16" x14ac:dyDescent="0.25">
      <c r="A1545" s="2" t="s">
        <v>181</v>
      </c>
      <c r="B1545" s="2" t="s">
        <v>193</v>
      </c>
      <c r="C1545" s="6" t="s">
        <v>140</v>
      </c>
      <c r="D1545" s="2" t="s">
        <v>111</v>
      </c>
      <c r="E1545" s="2"/>
      <c r="F1545" s="35">
        <v>2</v>
      </c>
      <c r="G1545" s="35">
        <v>-40.644630750141452</v>
      </c>
      <c r="H1545" s="35">
        <v>-15.185933724252445</v>
      </c>
      <c r="I1545" s="35">
        <v>1.7173994728735265</v>
      </c>
      <c r="J1545" s="35">
        <v>-8.3830028207365539E-4</v>
      </c>
      <c r="K1545" s="35">
        <v>-0.72733953713969945</v>
      </c>
      <c r="L1545" s="35">
        <v>-39.771259120458218</v>
      </c>
      <c r="M1545" s="58" t="s">
        <v>22</v>
      </c>
      <c r="N1545" s="7">
        <v>9.5</v>
      </c>
      <c r="O1545" s="7" t="s">
        <v>179</v>
      </c>
      <c r="P1545" s="7" t="s">
        <v>179</v>
      </c>
    </row>
    <row r="1546" spans="1:16" x14ac:dyDescent="0.25">
      <c r="A1546" s="2" t="s">
        <v>181</v>
      </c>
      <c r="B1546" s="2" t="s">
        <v>193</v>
      </c>
      <c r="C1546" s="6" t="s">
        <v>140</v>
      </c>
      <c r="D1546" s="2" t="s">
        <v>111</v>
      </c>
      <c r="E1546" s="2"/>
      <c r="F1546" s="35">
        <v>2</v>
      </c>
      <c r="G1546" s="35">
        <v>-42.326449024129914</v>
      </c>
      <c r="H1546" s="35">
        <v>-15.185934682786128</v>
      </c>
      <c r="I1546" s="35">
        <v>-9.7552276376142347E-2</v>
      </c>
      <c r="J1546" s="35">
        <v>-8.0560493166699357E-4</v>
      </c>
      <c r="K1546" s="35">
        <v>-0.72733953713969934</v>
      </c>
      <c r="L1546" s="35">
        <v>-39.771224245417812</v>
      </c>
      <c r="M1546" s="58" t="s">
        <v>22</v>
      </c>
      <c r="N1546" s="7">
        <v>9.5</v>
      </c>
      <c r="O1546" s="7" t="s">
        <v>179</v>
      </c>
      <c r="P1546" s="7" t="s">
        <v>179</v>
      </c>
    </row>
    <row r="1547" spans="1:16" x14ac:dyDescent="0.25">
      <c r="A1547" s="2" t="s">
        <v>181</v>
      </c>
      <c r="B1547" s="2" t="s">
        <v>193</v>
      </c>
      <c r="C1547" s="6" t="s">
        <v>140</v>
      </c>
      <c r="D1547" s="2" t="s">
        <v>111</v>
      </c>
      <c r="E1547" s="2"/>
      <c r="F1547" s="35">
        <v>4.4982502942822453</v>
      </c>
      <c r="G1547" s="35">
        <v>-41.309913977286811</v>
      </c>
      <c r="H1547" s="35">
        <v>-1.7553411007247792</v>
      </c>
      <c r="I1547" s="35">
        <v>-9.7552276376141514E-2</v>
      </c>
      <c r="J1547" s="35">
        <v>-8.0560493166699357E-4</v>
      </c>
      <c r="K1547" s="35">
        <v>-0.48362953397509995</v>
      </c>
      <c r="L1547" s="35">
        <v>-18.609450639581418</v>
      </c>
      <c r="M1547" s="58" t="s">
        <v>24</v>
      </c>
      <c r="N1547" s="7">
        <v>9.5</v>
      </c>
      <c r="O1547" s="7" t="s">
        <v>179</v>
      </c>
      <c r="P1547" s="7" t="s">
        <v>179</v>
      </c>
    </row>
    <row r="1548" spans="1:16" x14ac:dyDescent="0.25">
      <c r="A1548" s="2" t="s">
        <v>181</v>
      </c>
      <c r="B1548" s="2" t="s">
        <v>193</v>
      </c>
      <c r="C1548" s="6" t="s">
        <v>140</v>
      </c>
      <c r="D1548" s="2" t="s">
        <v>111</v>
      </c>
      <c r="E1548" s="2"/>
      <c r="F1548" s="35">
        <v>8.9965005885644906</v>
      </c>
      <c r="G1548" s="35">
        <v>-39.479581330443722</v>
      </c>
      <c r="H1548" s="35">
        <v>22.42725248133657</v>
      </c>
      <c r="I1548" s="35">
        <v>-9.7552276376140043E-2</v>
      </c>
      <c r="J1548" s="35">
        <v>-8.0560493166699357E-4</v>
      </c>
      <c r="K1548" s="35">
        <v>-4.4814978058221835E-2</v>
      </c>
      <c r="L1548" s="35">
        <v>-65.103166365188144</v>
      </c>
      <c r="M1548" s="58" t="s">
        <v>23</v>
      </c>
      <c r="N1548" s="7">
        <v>9.5</v>
      </c>
      <c r="O1548" s="7" t="s">
        <v>179</v>
      </c>
      <c r="P1548" s="7" t="s">
        <v>179</v>
      </c>
    </row>
    <row r="1549" spans="1:16" x14ac:dyDescent="0.25">
      <c r="A1549" s="2" t="s">
        <v>181</v>
      </c>
      <c r="B1549" s="2" t="s">
        <v>193</v>
      </c>
      <c r="C1549" s="6" t="s">
        <v>140</v>
      </c>
      <c r="D1549" s="2" t="s">
        <v>112</v>
      </c>
      <c r="E1549" s="2"/>
      <c r="F1549" s="35">
        <v>0</v>
      </c>
      <c r="G1549" s="35">
        <v>63.241329823232938</v>
      </c>
      <c r="H1549" s="35">
        <v>-1.799001666599735</v>
      </c>
      <c r="I1549" s="35">
        <v>-4.2134754746049907</v>
      </c>
      <c r="J1549" s="35">
        <v>7.5063283150920024E-4</v>
      </c>
      <c r="K1549" s="35">
        <v>-6.7095374650319144</v>
      </c>
      <c r="L1549" s="35">
        <v>-43.620799642202108</v>
      </c>
      <c r="M1549" s="58" t="s">
        <v>22</v>
      </c>
      <c r="N1549" s="7">
        <v>9.5</v>
      </c>
      <c r="O1549" s="7" t="s">
        <v>179</v>
      </c>
      <c r="P1549" s="7" t="s">
        <v>179</v>
      </c>
    </row>
    <row r="1550" spans="1:16" x14ac:dyDescent="0.25">
      <c r="A1550" s="2" t="s">
        <v>181</v>
      </c>
      <c r="B1550" s="2" t="s">
        <v>193</v>
      </c>
      <c r="C1550" s="6" t="s">
        <v>140</v>
      </c>
      <c r="D1550" s="2" t="s">
        <v>112</v>
      </c>
      <c r="E1550" s="2"/>
      <c r="F1550" s="35">
        <v>2</v>
      </c>
      <c r="G1550" s="35">
        <v>64.055127423232932</v>
      </c>
      <c r="H1550" s="35">
        <v>-12.383001666599737</v>
      </c>
      <c r="I1550" s="35">
        <v>-4.2134754746049916</v>
      </c>
      <c r="J1550" s="35">
        <v>7.5063283150920024E-4</v>
      </c>
      <c r="K1550" s="35">
        <v>1.7174134841780675</v>
      </c>
      <c r="L1550" s="35">
        <v>-29.438796309002633</v>
      </c>
      <c r="M1550" s="58" t="s">
        <v>22</v>
      </c>
      <c r="N1550" s="7">
        <v>9.5</v>
      </c>
      <c r="O1550" s="7" t="s">
        <v>179</v>
      </c>
      <c r="P1550" s="7" t="s">
        <v>179</v>
      </c>
    </row>
    <row r="1551" spans="1:16" x14ac:dyDescent="0.25">
      <c r="A1551" s="2" t="s">
        <v>181</v>
      </c>
      <c r="B1551" s="2" t="s">
        <v>193</v>
      </c>
      <c r="C1551" s="6" t="s">
        <v>140</v>
      </c>
      <c r="D1551" s="2" t="s">
        <v>112</v>
      </c>
      <c r="E1551" s="2"/>
      <c r="F1551" s="35">
        <v>2</v>
      </c>
      <c r="G1551" s="35">
        <v>68.239089584932088</v>
      </c>
      <c r="H1551" s="35">
        <v>-12.382985209367083</v>
      </c>
      <c r="I1551" s="35">
        <v>0.22840337196179097</v>
      </c>
      <c r="J1551" s="35">
        <v>7.121904384120942E-4</v>
      </c>
      <c r="K1551" s="35">
        <v>1.7174134841780697</v>
      </c>
      <c r="L1551" s="35">
        <v>-29.438837314222042</v>
      </c>
      <c r="M1551" s="58" t="s">
        <v>22</v>
      </c>
      <c r="N1551" s="7">
        <v>9.5</v>
      </c>
      <c r="O1551" s="7" t="s">
        <v>179</v>
      </c>
      <c r="P1551" s="7" t="s">
        <v>179</v>
      </c>
    </row>
    <row r="1552" spans="1:16" x14ac:dyDescent="0.25">
      <c r="A1552" s="2" t="s">
        <v>181</v>
      </c>
      <c r="B1552" s="2" t="s">
        <v>193</v>
      </c>
      <c r="C1552" s="6" t="s">
        <v>140</v>
      </c>
      <c r="D1552" s="2" t="s">
        <v>112</v>
      </c>
      <c r="E1552" s="2"/>
      <c r="F1552" s="35">
        <v>4.4982502942822453</v>
      </c>
      <c r="G1552" s="35">
        <v>69.255624631775177</v>
      </c>
      <c r="H1552" s="35">
        <v>-25.603725766708724</v>
      </c>
      <c r="I1552" s="35">
        <v>0.22840337196179014</v>
      </c>
      <c r="J1552" s="35">
        <v>7.121904384120942E-4</v>
      </c>
      <c r="K1552" s="35">
        <v>1.1468046929594697</v>
      </c>
      <c r="L1552" s="35">
        <v>18.011318623175928</v>
      </c>
      <c r="M1552" s="58" t="s">
        <v>24</v>
      </c>
      <c r="N1552" s="7">
        <v>9.5</v>
      </c>
      <c r="O1552" s="7" t="s">
        <v>179</v>
      </c>
      <c r="P1552" s="7" t="s">
        <v>179</v>
      </c>
    </row>
    <row r="1553" spans="1:16" x14ac:dyDescent="0.25">
      <c r="A1553" s="2" t="s">
        <v>181</v>
      </c>
      <c r="B1553" s="2" t="s">
        <v>193</v>
      </c>
      <c r="C1553" s="6" t="s">
        <v>140</v>
      </c>
      <c r="D1553" s="2" t="s">
        <v>112</v>
      </c>
      <c r="E1553" s="2"/>
      <c r="F1553" s="35">
        <v>8.9965005885644906</v>
      </c>
      <c r="G1553" s="35">
        <v>71.085957278618267</v>
      </c>
      <c r="H1553" s="35">
        <v>-49.408466324050352</v>
      </c>
      <c r="I1553" s="35">
        <v>0.2284033719617887</v>
      </c>
      <c r="J1553" s="35">
        <v>7.121904384120942E-4</v>
      </c>
      <c r="K1553" s="35">
        <v>0.11938915781729344</v>
      </c>
      <c r="L1553" s="35">
        <v>186.72312619668261</v>
      </c>
      <c r="M1553" s="58" t="s">
        <v>23</v>
      </c>
      <c r="N1553" s="7">
        <v>9.5</v>
      </c>
      <c r="O1553" s="7" t="s">
        <v>179</v>
      </c>
      <c r="P1553" s="7" t="s">
        <v>179</v>
      </c>
    </row>
    <row r="1554" spans="1:16" x14ac:dyDescent="0.25">
      <c r="A1554" s="2" t="s">
        <v>181</v>
      </c>
      <c r="B1554" s="2" t="s">
        <v>193</v>
      </c>
      <c r="C1554" s="6" t="s">
        <v>140</v>
      </c>
      <c r="D1554" s="2" t="s">
        <v>113</v>
      </c>
      <c r="E1554" s="2"/>
      <c r="F1554" s="35">
        <v>0</v>
      </c>
      <c r="G1554" s="35">
        <v>24.689325971235917</v>
      </c>
      <c r="H1554" s="35">
        <v>2.312460924553386</v>
      </c>
      <c r="I1554" s="35">
        <v>-4.7581604637444785</v>
      </c>
      <c r="J1554" s="35">
        <v>1.2107646968744861E-3</v>
      </c>
      <c r="K1554" s="35">
        <v>-7.5675497159306291</v>
      </c>
      <c r="L1554" s="35">
        <v>-14.843371850203026</v>
      </c>
      <c r="M1554" s="58" t="s">
        <v>22</v>
      </c>
      <c r="N1554" s="7">
        <v>9.5</v>
      </c>
      <c r="O1554" s="7" t="s">
        <v>179</v>
      </c>
      <c r="P1554" s="7" t="s">
        <v>179</v>
      </c>
    </row>
    <row r="1555" spans="1:16" x14ac:dyDescent="0.25">
      <c r="A1555" s="2" t="s">
        <v>181</v>
      </c>
      <c r="B1555" s="2" t="s">
        <v>193</v>
      </c>
      <c r="C1555" s="6" t="s">
        <v>140</v>
      </c>
      <c r="D1555" s="2" t="s">
        <v>113</v>
      </c>
      <c r="E1555" s="2"/>
      <c r="F1555" s="35">
        <v>2</v>
      </c>
      <c r="G1555" s="35">
        <v>25.503123571235914</v>
      </c>
      <c r="H1555" s="35">
        <v>-4.0379390754466105</v>
      </c>
      <c r="I1555" s="35">
        <v>-4.7581604637444785</v>
      </c>
      <c r="J1555" s="35">
        <v>1.2107646968744861E-3</v>
      </c>
      <c r="K1555" s="35">
        <v>1.9487712115583284</v>
      </c>
      <c r="L1555" s="35">
        <v>-13.117893699309803</v>
      </c>
      <c r="M1555" s="58" t="s">
        <v>22</v>
      </c>
      <c r="N1555" s="7">
        <v>9.5</v>
      </c>
      <c r="O1555" s="7" t="s">
        <v>179</v>
      </c>
      <c r="P1555" s="7" t="s">
        <v>179</v>
      </c>
    </row>
    <row r="1556" spans="1:16" x14ac:dyDescent="0.25">
      <c r="A1556" s="2" t="s">
        <v>181</v>
      </c>
      <c r="B1556" s="2" t="s">
        <v>193</v>
      </c>
      <c r="C1556" s="6" t="s">
        <v>140</v>
      </c>
      <c r="D1556" s="2" t="s">
        <v>113</v>
      </c>
      <c r="E1556" s="2"/>
      <c r="F1556" s="35">
        <v>2</v>
      </c>
      <c r="G1556" s="35">
        <v>30.226647717238617</v>
      </c>
      <c r="H1556" s="35">
        <v>-4.0379345629860648</v>
      </c>
      <c r="I1556" s="35">
        <v>0.25925138914950591</v>
      </c>
      <c r="J1556" s="35">
        <v>1.1962116753197881E-3</v>
      </c>
      <c r="K1556" s="35">
        <v>1.9487712115583318</v>
      </c>
      <c r="L1556" s="35">
        <v>-13.117909222532786</v>
      </c>
      <c r="M1556" s="58" t="s">
        <v>22</v>
      </c>
      <c r="N1556" s="7">
        <v>9.5</v>
      </c>
      <c r="O1556" s="7" t="s">
        <v>179</v>
      </c>
      <c r="P1556" s="7" t="s">
        <v>179</v>
      </c>
    </row>
    <row r="1557" spans="1:16" x14ac:dyDescent="0.25">
      <c r="A1557" s="2" t="s">
        <v>181</v>
      </c>
      <c r="B1557" s="2" t="s">
        <v>193</v>
      </c>
      <c r="C1557" s="6" t="s">
        <v>140</v>
      </c>
      <c r="D1557" s="2" t="s">
        <v>113</v>
      </c>
      <c r="E1557" s="2"/>
      <c r="F1557" s="35">
        <v>4.4982502942822453</v>
      </c>
      <c r="G1557" s="35">
        <v>31.243182764081716</v>
      </c>
      <c r="H1557" s="35">
        <v>-11.970378897391051</v>
      </c>
      <c r="I1557" s="35">
        <v>0.25925138914950541</v>
      </c>
      <c r="J1557" s="35">
        <v>1.1962116753197881E-3</v>
      </c>
      <c r="K1557" s="35">
        <v>1.3010963523224983</v>
      </c>
      <c r="L1557" s="35">
        <v>6.878477684141977</v>
      </c>
      <c r="M1557" s="58" t="s">
        <v>24</v>
      </c>
      <c r="N1557" s="7">
        <v>9.5</v>
      </c>
      <c r="O1557" s="7" t="s">
        <v>179</v>
      </c>
      <c r="P1557" s="7" t="s">
        <v>179</v>
      </c>
    </row>
    <row r="1558" spans="1:16" x14ac:dyDescent="0.25">
      <c r="A1558" s="2" t="s">
        <v>181</v>
      </c>
      <c r="B1558" s="2" t="s">
        <v>193</v>
      </c>
      <c r="C1558" s="6" t="s">
        <v>140</v>
      </c>
      <c r="D1558" s="2" t="s">
        <v>113</v>
      </c>
      <c r="E1558" s="2"/>
      <c r="F1558" s="35">
        <v>8.9965005885644906</v>
      </c>
      <c r="G1558" s="35">
        <v>33.073515410924806</v>
      </c>
      <c r="H1558" s="35">
        <v>-26.253223231796035</v>
      </c>
      <c r="I1558" s="35">
        <v>0.25925138914950463</v>
      </c>
      <c r="J1558" s="35">
        <v>1.1962116753197881E-3</v>
      </c>
      <c r="K1558" s="35">
        <v>0.13491871478765674</v>
      </c>
      <c r="L1558" s="35">
        <v>92.84814244721359</v>
      </c>
      <c r="M1558" s="58" t="s">
        <v>23</v>
      </c>
      <c r="N1558" s="7">
        <v>9.5</v>
      </c>
      <c r="O1558" s="7" t="s">
        <v>179</v>
      </c>
      <c r="P1558" s="7" t="s">
        <v>179</v>
      </c>
    </row>
    <row r="1559" spans="1:16" x14ac:dyDescent="0.25">
      <c r="A1559" s="2" t="s">
        <v>181</v>
      </c>
      <c r="B1559" s="2" t="s">
        <v>193</v>
      </c>
      <c r="C1559" s="6" t="s">
        <v>140</v>
      </c>
      <c r="D1559" s="2" t="s">
        <v>114</v>
      </c>
      <c r="E1559" s="2"/>
      <c r="F1559" s="35">
        <v>0</v>
      </c>
      <c r="G1559" s="35">
        <v>36.415163614803838</v>
      </c>
      <c r="H1559" s="35">
        <v>8.3909043623518897</v>
      </c>
      <c r="I1559" s="35">
        <v>4.0002508759488364</v>
      </c>
      <c r="J1559" s="35">
        <v>-6.772842115916832E-4</v>
      </c>
      <c r="K1559" s="35">
        <v>6.3791585040985481</v>
      </c>
      <c r="L1559" s="35">
        <v>-1.6816556625114973</v>
      </c>
      <c r="M1559" s="58" t="s">
        <v>22</v>
      </c>
      <c r="N1559" s="7">
        <v>9.5</v>
      </c>
      <c r="O1559" s="7" t="s">
        <v>179</v>
      </c>
      <c r="P1559" s="7" t="s">
        <v>179</v>
      </c>
    </row>
    <row r="1560" spans="1:16" x14ac:dyDescent="0.25">
      <c r="A1560" s="2" t="s">
        <v>181</v>
      </c>
      <c r="B1560" s="2" t="s">
        <v>193</v>
      </c>
      <c r="C1560" s="6" t="s">
        <v>140</v>
      </c>
      <c r="D1560" s="2" t="s">
        <v>114</v>
      </c>
      <c r="E1560" s="2"/>
      <c r="F1560" s="35">
        <v>2</v>
      </c>
      <c r="G1560" s="35">
        <v>37.228961214803839</v>
      </c>
      <c r="H1560" s="35">
        <v>0.83090436235188814</v>
      </c>
      <c r="I1560" s="35">
        <v>4.0002508759488355</v>
      </c>
      <c r="J1560" s="35">
        <v>-6.772842115916832E-4</v>
      </c>
      <c r="K1560" s="35">
        <v>-1.6213432477991236</v>
      </c>
      <c r="L1560" s="35">
        <v>-10.90346438721528</v>
      </c>
      <c r="M1560" s="58" t="s">
        <v>22</v>
      </c>
      <c r="N1560" s="7">
        <v>9.5</v>
      </c>
      <c r="O1560" s="7" t="s">
        <v>179</v>
      </c>
      <c r="P1560" s="7" t="s">
        <v>179</v>
      </c>
    </row>
    <row r="1561" spans="1:16" x14ac:dyDescent="0.25">
      <c r="A1561" s="2" t="s">
        <v>181</v>
      </c>
      <c r="B1561" s="2" t="s">
        <v>193</v>
      </c>
      <c r="C1561" s="6" t="s">
        <v>140</v>
      </c>
      <c r="D1561" s="2" t="s">
        <v>114</v>
      </c>
      <c r="E1561" s="2"/>
      <c r="F1561" s="35">
        <v>2</v>
      </c>
      <c r="G1561" s="35">
        <v>33.295196587045993</v>
      </c>
      <c r="H1561" s="35">
        <v>0.83091339173444412</v>
      </c>
      <c r="I1561" s="35">
        <v>-0.21676638910962218</v>
      </c>
      <c r="J1561" s="35">
        <v>-6.8076573374798615E-4</v>
      </c>
      <c r="K1561" s="35">
        <v>-1.6213432477991254</v>
      </c>
      <c r="L1561" s="35">
        <v>-10.903468100838937</v>
      </c>
      <c r="M1561" s="58" t="s">
        <v>22</v>
      </c>
      <c r="N1561" s="7">
        <v>9.5</v>
      </c>
      <c r="O1561" s="7" t="s">
        <v>179</v>
      </c>
      <c r="P1561" s="7" t="s">
        <v>179</v>
      </c>
    </row>
    <row r="1562" spans="1:16" x14ac:dyDescent="0.25">
      <c r="A1562" s="2" t="s">
        <v>181</v>
      </c>
      <c r="B1562" s="2" t="s">
        <v>193</v>
      </c>
      <c r="C1562" s="6" t="s">
        <v>140</v>
      </c>
      <c r="D1562" s="2" t="s">
        <v>114</v>
      </c>
      <c r="E1562" s="2"/>
      <c r="F1562" s="35">
        <v>4.4982502942822453</v>
      </c>
      <c r="G1562" s="35">
        <v>34.311731633889089</v>
      </c>
      <c r="H1562" s="35">
        <v>-8.6124727206524465</v>
      </c>
      <c r="I1562" s="35">
        <v>-0.21676638910962279</v>
      </c>
      <c r="J1562" s="35">
        <v>-6.8076573374798615E-4</v>
      </c>
      <c r="K1562" s="35">
        <v>-1.0798065524155116</v>
      </c>
      <c r="L1562" s="35">
        <v>-1.1833266591168676</v>
      </c>
      <c r="M1562" s="58" t="s">
        <v>24</v>
      </c>
      <c r="N1562" s="7">
        <v>9.5</v>
      </c>
      <c r="O1562" s="7" t="s">
        <v>179</v>
      </c>
      <c r="P1562" s="7" t="s">
        <v>179</v>
      </c>
    </row>
    <row r="1563" spans="1:16" x14ac:dyDescent="0.25">
      <c r="A1563" s="2" t="s">
        <v>181</v>
      </c>
      <c r="B1563" s="2" t="s">
        <v>193</v>
      </c>
      <c r="C1563" s="6" t="s">
        <v>140</v>
      </c>
      <c r="D1563" s="2" t="s">
        <v>114</v>
      </c>
      <c r="E1563" s="2"/>
      <c r="F1563" s="35">
        <v>8.9965005885644906</v>
      </c>
      <c r="G1563" s="35">
        <v>36.142064280732178</v>
      </c>
      <c r="H1563" s="35">
        <v>-25.615858833039329</v>
      </c>
      <c r="I1563" s="35">
        <v>-0.21676638910962381</v>
      </c>
      <c r="J1563" s="35">
        <v>-6.8076573374798615E-4</v>
      </c>
      <c r="K1563" s="35">
        <v>-0.10473707881264895</v>
      </c>
      <c r="L1563" s="35">
        <v>75.800474582975255</v>
      </c>
      <c r="M1563" s="58" t="s">
        <v>23</v>
      </c>
      <c r="N1563" s="7">
        <v>9.5</v>
      </c>
      <c r="O1563" s="7" t="s">
        <v>179</v>
      </c>
      <c r="P1563" s="7" t="s">
        <v>179</v>
      </c>
    </row>
    <row r="1564" spans="1:16" x14ac:dyDescent="0.25">
      <c r="A1564" s="2" t="s">
        <v>181</v>
      </c>
      <c r="B1564" s="2" t="s">
        <v>193</v>
      </c>
      <c r="C1564" s="6" t="s">
        <v>140</v>
      </c>
      <c r="D1564" s="2" t="s">
        <v>115</v>
      </c>
      <c r="E1564" s="2"/>
      <c r="F1564" s="35">
        <v>0</v>
      </c>
      <c r="G1564" s="35">
        <v>-1.6919744606664022</v>
      </c>
      <c r="H1564" s="35">
        <v>12.382016333141712</v>
      </c>
      <c r="I1564" s="35">
        <v>3.4595463486774927</v>
      </c>
      <c r="J1564" s="35">
        <v>-2.1628352237645636E-4</v>
      </c>
      <c r="K1564" s="35">
        <v>5.527441074622983</v>
      </c>
      <c r="L1564" s="35">
        <v>26.73944430129086</v>
      </c>
      <c r="M1564" s="58" t="s">
        <v>22</v>
      </c>
      <c r="N1564" s="7">
        <v>9.5</v>
      </c>
      <c r="O1564" s="7" t="s">
        <v>179</v>
      </c>
      <c r="P1564" s="7" t="s">
        <v>179</v>
      </c>
    </row>
    <row r="1565" spans="1:16" x14ac:dyDescent="0.25">
      <c r="A1565" s="2" t="s">
        <v>181</v>
      </c>
      <c r="B1565" s="2" t="s">
        <v>193</v>
      </c>
      <c r="C1565" s="6" t="s">
        <v>140</v>
      </c>
      <c r="D1565" s="2" t="s">
        <v>115</v>
      </c>
      <c r="E1565" s="2"/>
      <c r="F1565" s="35">
        <v>2</v>
      </c>
      <c r="G1565" s="35">
        <v>-0.87817686066640432</v>
      </c>
      <c r="H1565" s="35">
        <v>9.0556163331417121</v>
      </c>
      <c r="I1565" s="35">
        <v>3.4595463486774927</v>
      </c>
      <c r="J1565" s="35">
        <v>-2.1628352237645636E-4</v>
      </c>
      <c r="K1565" s="35">
        <v>-1.3916516227320028</v>
      </c>
      <c r="L1565" s="35">
        <v>5.301811635007434</v>
      </c>
      <c r="M1565" s="58" t="s">
        <v>22</v>
      </c>
      <c r="N1565" s="7">
        <v>9.5</v>
      </c>
      <c r="O1565" s="7" t="s">
        <v>179</v>
      </c>
      <c r="P1565" s="7" t="s">
        <v>179</v>
      </c>
    </row>
    <row r="1566" spans="1:16" x14ac:dyDescent="0.25">
      <c r="A1566" s="2" t="s">
        <v>181</v>
      </c>
      <c r="B1566" s="2" t="s">
        <v>193</v>
      </c>
      <c r="C1566" s="6" t="s">
        <v>140</v>
      </c>
      <c r="D1566" s="2" t="s">
        <v>115</v>
      </c>
      <c r="E1566" s="2"/>
      <c r="F1566" s="35">
        <v>2</v>
      </c>
      <c r="G1566" s="35">
        <v>-4.2763194646338079</v>
      </c>
      <c r="H1566" s="35">
        <v>9.0556135189158891</v>
      </c>
      <c r="I1566" s="35">
        <v>-0.18614051544941934</v>
      </c>
      <c r="J1566" s="35">
        <v>-1.963680440000818E-4</v>
      </c>
      <c r="K1566" s="35">
        <v>-1.3916516227320062</v>
      </c>
      <c r="L1566" s="35">
        <v>5.3018328781843618</v>
      </c>
      <c r="M1566" s="58" t="s">
        <v>22</v>
      </c>
      <c r="N1566" s="7">
        <v>9.5</v>
      </c>
      <c r="O1566" s="7" t="s">
        <v>179</v>
      </c>
      <c r="P1566" s="7" t="s">
        <v>179</v>
      </c>
    </row>
    <row r="1567" spans="1:16" x14ac:dyDescent="0.25">
      <c r="A1567" s="2" t="s">
        <v>181</v>
      </c>
      <c r="B1567" s="2" t="s">
        <v>193</v>
      </c>
      <c r="C1567" s="6" t="s">
        <v>140</v>
      </c>
      <c r="D1567" s="2" t="s">
        <v>115</v>
      </c>
      <c r="E1567" s="2"/>
      <c r="F1567" s="35">
        <v>4.4982502942822453</v>
      </c>
      <c r="G1567" s="35">
        <v>-3.2597844177907094</v>
      </c>
      <c r="H1567" s="35">
        <v>4.900523629465658</v>
      </c>
      <c r="I1567" s="35">
        <v>-0.18614051544941956</v>
      </c>
      <c r="J1567" s="35">
        <v>-1.963680440000818E-4</v>
      </c>
      <c r="K1567" s="35">
        <v>-0.92662602523264526</v>
      </c>
      <c r="L1567" s="35">
        <v>-12.131128990809417</v>
      </c>
      <c r="M1567" s="58" t="s">
        <v>24</v>
      </c>
      <c r="N1567" s="7">
        <v>9.5</v>
      </c>
      <c r="O1567" s="7" t="s">
        <v>179</v>
      </c>
      <c r="P1567" s="7" t="s">
        <v>179</v>
      </c>
    </row>
    <row r="1568" spans="1:16" x14ac:dyDescent="0.25">
      <c r="A1568" s="2" t="s">
        <v>181</v>
      </c>
      <c r="B1568" s="2" t="s">
        <v>193</v>
      </c>
      <c r="C1568" s="6" t="s">
        <v>140</v>
      </c>
      <c r="D1568" s="2" t="s">
        <v>115</v>
      </c>
      <c r="E1568" s="2"/>
      <c r="F1568" s="35">
        <v>8.9965005885644906</v>
      </c>
      <c r="G1568" s="35">
        <v>-1.4294517709476202</v>
      </c>
      <c r="H1568" s="35">
        <v>-2.5809662599845757</v>
      </c>
      <c r="I1568" s="35">
        <v>-0.18614051544942004</v>
      </c>
      <c r="J1568" s="35">
        <v>-1.963680440000818E-4</v>
      </c>
      <c r="K1568" s="35">
        <v>-8.9319396834443857E-2</v>
      </c>
      <c r="L1568" s="35">
        <v>-17.348103800745839</v>
      </c>
      <c r="M1568" s="58" t="s">
        <v>23</v>
      </c>
      <c r="N1568" s="7">
        <v>9.5</v>
      </c>
      <c r="O1568" s="7" t="s">
        <v>179</v>
      </c>
      <c r="P1568" s="7" t="s">
        <v>179</v>
      </c>
    </row>
    <row r="1569" spans="1:16" x14ac:dyDescent="0.25">
      <c r="A1569" s="2" t="s">
        <v>181</v>
      </c>
      <c r="B1569" s="2" t="s">
        <v>193</v>
      </c>
      <c r="C1569" s="6" t="s">
        <v>140</v>
      </c>
      <c r="D1569" s="2" t="s">
        <v>116</v>
      </c>
      <c r="E1569" s="2"/>
      <c r="F1569" s="35">
        <v>0</v>
      </c>
      <c r="G1569" s="35">
        <v>23.93308592839449</v>
      </c>
      <c r="H1569" s="35">
        <v>9.513017502229177</v>
      </c>
      <c r="I1569" s="35">
        <v>1.6187149140280253</v>
      </c>
      <c r="J1569" s="35">
        <v>-1.1981844439755503E-3</v>
      </c>
      <c r="K1569" s="35">
        <v>2.5551219385245378</v>
      </c>
      <c r="L1569" s="35">
        <v>24.416939412243913</v>
      </c>
      <c r="M1569" s="58" t="s">
        <v>22</v>
      </c>
      <c r="N1569" s="7">
        <v>9.5</v>
      </c>
      <c r="O1569" s="7" t="s">
        <v>179</v>
      </c>
      <c r="P1569" s="7" t="s">
        <v>179</v>
      </c>
    </row>
    <row r="1570" spans="1:16" x14ac:dyDescent="0.25">
      <c r="A1570" s="2" t="s">
        <v>181</v>
      </c>
      <c r="B1570" s="2" t="s">
        <v>193</v>
      </c>
      <c r="C1570" s="6" t="s">
        <v>140</v>
      </c>
      <c r="D1570" s="2" t="s">
        <v>116</v>
      </c>
      <c r="E1570" s="2"/>
      <c r="F1570" s="35">
        <v>2</v>
      </c>
      <c r="G1570" s="35">
        <v>24.746883528394488</v>
      </c>
      <c r="H1570" s="35">
        <v>3.7674175022291756</v>
      </c>
      <c r="I1570" s="35">
        <v>1.6187149140280248</v>
      </c>
      <c r="J1570" s="35">
        <v>-1.1981844439755503E-3</v>
      </c>
      <c r="K1570" s="35">
        <v>-0.682307889531512</v>
      </c>
      <c r="L1570" s="35">
        <v>11.13650440778556</v>
      </c>
      <c r="M1570" s="58" t="s">
        <v>22</v>
      </c>
      <c r="N1570" s="7">
        <v>9.5</v>
      </c>
      <c r="O1570" s="7" t="s">
        <v>179</v>
      </c>
      <c r="P1570" s="7" t="s">
        <v>179</v>
      </c>
    </row>
    <row r="1571" spans="1:16" x14ac:dyDescent="0.25">
      <c r="A1571" s="2" t="s">
        <v>181</v>
      </c>
      <c r="B1571" s="2" t="s">
        <v>193</v>
      </c>
      <c r="C1571" s="6" t="s">
        <v>140</v>
      </c>
      <c r="D1571" s="2" t="s">
        <v>116</v>
      </c>
      <c r="E1571" s="2"/>
      <c r="F1571" s="35">
        <v>2</v>
      </c>
      <c r="G1571" s="35">
        <v>23.16321551465979</v>
      </c>
      <c r="H1571" s="35">
        <v>3.7674256948152665</v>
      </c>
      <c r="I1571" s="35">
        <v>-9.1541267981010185E-2</v>
      </c>
      <c r="J1571" s="35">
        <v>-1.220756471924154E-3</v>
      </c>
      <c r="K1571" s="35">
        <v>-0.68230788953151067</v>
      </c>
      <c r="L1571" s="35">
        <v>11.136480330955722</v>
      </c>
      <c r="M1571" s="58" t="s">
        <v>22</v>
      </c>
      <c r="N1571" s="7">
        <v>9.5</v>
      </c>
      <c r="O1571" s="7" t="s">
        <v>179</v>
      </c>
      <c r="P1571" s="7" t="s">
        <v>179</v>
      </c>
    </row>
    <row r="1572" spans="1:16" x14ac:dyDescent="0.25">
      <c r="A1572" s="2" t="s">
        <v>181</v>
      </c>
      <c r="B1572" s="2" t="s">
        <v>193</v>
      </c>
      <c r="C1572" s="6" t="s">
        <v>140</v>
      </c>
      <c r="D1572" s="2" t="s">
        <v>116</v>
      </c>
      <c r="E1572" s="2"/>
      <c r="F1572" s="35">
        <v>4.4982502942822453</v>
      </c>
      <c r="G1572" s="35">
        <v>24.179750561502889</v>
      </c>
      <c r="H1572" s="35">
        <v>-3.4095477505987684</v>
      </c>
      <c r="I1572" s="35">
        <v>-9.1541267981010629E-2</v>
      </c>
      <c r="J1572" s="35">
        <v>-1.220756471924154E-3</v>
      </c>
      <c r="K1572" s="35">
        <v>-0.45361488985898163</v>
      </c>
      <c r="L1572" s="35">
        <v>10.689445991227728</v>
      </c>
      <c r="M1572" s="58" t="s">
        <v>24</v>
      </c>
      <c r="N1572" s="7">
        <v>9.5</v>
      </c>
      <c r="O1572" s="7" t="s">
        <v>179</v>
      </c>
      <c r="P1572" s="7" t="s">
        <v>179</v>
      </c>
    </row>
    <row r="1573" spans="1:16" x14ac:dyDescent="0.25">
      <c r="A1573" s="2" t="s">
        <v>181</v>
      </c>
      <c r="B1573" s="2" t="s">
        <v>193</v>
      </c>
      <c r="C1573" s="6" t="s">
        <v>140</v>
      </c>
      <c r="D1573" s="2" t="s">
        <v>116</v>
      </c>
      <c r="E1573" s="2"/>
      <c r="F1573" s="35">
        <v>8.9965005885644906</v>
      </c>
      <c r="G1573" s="35">
        <v>26.010083208345979</v>
      </c>
      <c r="H1573" s="35">
        <v>-16.332121196012807</v>
      </c>
      <c r="I1573" s="35">
        <v>-9.154126798101142E-2</v>
      </c>
      <c r="J1573" s="35">
        <v>-1.220756471924154E-3</v>
      </c>
      <c r="K1573" s="35">
        <v>-4.1839354224429033E-2</v>
      </c>
      <c r="L1573" s="35">
        <v>55.090930065586818</v>
      </c>
      <c r="M1573" s="58" t="s">
        <v>23</v>
      </c>
      <c r="N1573" s="7">
        <v>9.5</v>
      </c>
      <c r="O1573" s="7" t="s">
        <v>179</v>
      </c>
      <c r="P1573" s="7" t="s">
        <v>179</v>
      </c>
    </row>
    <row r="1574" spans="1:16" x14ac:dyDescent="0.25">
      <c r="A1574" s="2" t="s">
        <v>181</v>
      </c>
      <c r="B1574" s="2" t="s">
        <v>193</v>
      </c>
      <c r="C1574" s="6" t="s">
        <v>140</v>
      </c>
      <c r="D1574" s="2" t="s">
        <v>117</v>
      </c>
      <c r="E1574" s="2"/>
      <c r="F1574" s="35">
        <v>0</v>
      </c>
      <c r="G1574" s="35">
        <v>-23.350523241813747</v>
      </c>
      <c r="H1574" s="35">
        <v>23.714106756402277</v>
      </c>
      <c r="I1574" s="35">
        <v>1.466698470341218</v>
      </c>
      <c r="J1574" s="35">
        <v>-7.1676936629476223E-4</v>
      </c>
      <c r="K1574" s="35">
        <v>2.3200603466091438</v>
      </c>
      <c r="L1574" s="35">
        <v>108.0930509135471</v>
      </c>
      <c r="M1574" s="58" t="s">
        <v>22</v>
      </c>
      <c r="N1574" s="7">
        <v>9.5</v>
      </c>
      <c r="O1574" s="7" t="s">
        <v>179</v>
      </c>
      <c r="P1574" s="7" t="s">
        <v>179</v>
      </c>
    </row>
    <row r="1575" spans="1:16" x14ac:dyDescent="0.25">
      <c r="A1575" s="2" t="s">
        <v>181</v>
      </c>
      <c r="B1575" s="2" t="s">
        <v>193</v>
      </c>
      <c r="C1575" s="6" t="s">
        <v>140</v>
      </c>
      <c r="D1575" s="2" t="s">
        <v>117</v>
      </c>
      <c r="E1575" s="2"/>
      <c r="F1575" s="35">
        <v>2</v>
      </c>
      <c r="G1575" s="35">
        <v>-22.536725641813749</v>
      </c>
      <c r="H1575" s="35">
        <v>22.202106756402276</v>
      </c>
      <c r="I1575" s="35">
        <v>1.466698470341218</v>
      </c>
      <c r="J1575" s="35">
        <v>-7.1676936629476223E-4</v>
      </c>
      <c r="K1575" s="35">
        <v>-0.613336594073292</v>
      </c>
      <c r="L1575" s="35">
        <v>62.176837400742556</v>
      </c>
      <c r="M1575" s="58" t="s">
        <v>22</v>
      </c>
      <c r="N1575" s="7">
        <v>9.5</v>
      </c>
      <c r="O1575" s="7" t="s">
        <v>179</v>
      </c>
      <c r="P1575" s="7" t="s">
        <v>179</v>
      </c>
    </row>
    <row r="1576" spans="1:16" x14ac:dyDescent="0.25">
      <c r="A1576" s="2" t="s">
        <v>181</v>
      </c>
      <c r="B1576" s="2" t="s">
        <v>193</v>
      </c>
      <c r="C1576" s="6" t="s">
        <v>140</v>
      </c>
      <c r="D1576" s="2" t="s">
        <v>117</v>
      </c>
      <c r="E1576" s="2"/>
      <c r="F1576" s="35">
        <v>2</v>
      </c>
      <c r="G1576" s="35">
        <v>-23.969254966477891</v>
      </c>
      <c r="H1576" s="35">
        <v>22.202094373569473</v>
      </c>
      <c r="I1576" s="35">
        <v>-8.2342060428984773E-2</v>
      </c>
      <c r="J1576" s="35">
        <v>-7.2884933138637694E-4</v>
      </c>
      <c r="K1576" s="35">
        <v>-0.613336594073293</v>
      </c>
      <c r="L1576" s="35">
        <v>62.176824515446441</v>
      </c>
      <c r="M1576" s="58" t="s">
        <v>22</v>
      </c>
      <c r="N1576" s="7">
        <v>9.5</v>
      </c>
      <c r="O1576" s="7" t="s">
        <v>179</v>
      </c>
      <c r="P1576" s="7" t="s">
        <v>179</v>
      </c>
    </row>
    <row r="1577" spans="1:16" x14ac:dyDescent="0.25">
      <c r="A1577" s="2" t="s">
        <v>181</v>
      </c>
      <c r="B1577" s="2" t="s">
        <v>193</v>
      </c>
      <c r="C1577" s="6" t="s">
        <v>140</v>
      </c>
      <c r="D1577" s="2" t="s">
        <v>117</v>
      </c>
      <c r="E1577" s="2"/>
      <c r="F1577" s="35">
        <v>4.4982502942822453</v>
      </c>
      <c r="G1577" s="35">
        <v>-22.952719919634792</v>
      </c>
      <c r="H1577" s="35">
        <v>20.313417151092096</v>
      </c>
      <c r="I1577" s="35">
        <v>-8.2342060428984898E-2</v>
      </c>
      <c r="J1577" s="35">
        <v>-7.2884933138637694E-4</v>
      </c>
      <c r="K1577" s="35">
        <v>-0.4076255173747752</v>
      </c>
      <c r="L1577" s="35">
        <v>9.0696299264234721</v>
      </c>
      <c r="M1577" s="58" t="s">
        <v>24</v>
      </c>
      <c r="N1577" s="7">
        <v>9.5</v>
      </c>
      <c r="O1577" s="7" t="s">
        <v>179</v>
      </c>
      <c r="P1577" s="7" t="s">
        <v>179</v>
      </c>
    </row>
    <row r="1578" spans="1:16" x14ac:dyDescent="0.25">
      <c r="A1578" s="2" t="s">
        <v>181</v>
      </c>
      <c r="B1578" s="2" t="s">
        <v>193</v>
      </c>
      <c r="C1578" s="6" t="s">
        <v>140</v>
      </c>
      <c r="D1578" s="2" t="s">
        <v>117</v>
      </c>
      <c r="E1578" s="2"/>
      <c r="F1578" s="35">
        <v>8.9965005885644906</v>
      </c>
      <c r="G1578" s="35">
        <v>-21.122387272791702</v>
      </c>
      <c r="H1578" s="35">
        <v>16.91273992861472</v>
      </c>
      <c r="I1578" s="35">
        <v>-8.2342060428985106E-2</v>
      </c>
      <c r="J1578" s="35">
        <v>-7.2884933138637694E-4</v>
      </c>
      <c r="K1578" s="35">
        <v>-3.7230319818287068E-2</v>
      </c>
      <c r="L1578" s="35">
        <v>-74.65665609297065</v>
      </c>
      <c r="M1578" s="58" t="s">
        <v>23</v>
      </c>
      <c r="N1578" s="7">
        <v>9.5</v>
      </c>
      <c r="O1578" s="7" t="s">
        <v>179</v>
      </c>
      <c r="P1578" s="7" t="s">
        <v>179</v>
      </c>
    </row>
    <row r="1579" spans="1:16" x14ac:dyDescent="0.25">
      <c r="A1579" s="2" t="s">
        <v>181</v>
      </c>
      <c r="B1579" s="2" t="s">
        <v>193</v>
      </c>
      <c r="C1579" s="6" t="s">
        <v>140</v>
      </c>
      <c r="D1579" s="2" t="s">
        <v>118</v>
      </c>
      <c r="E1579" s="2"/>
      <c r="F1579" s="35">
        <v>0</v>
      </c>
      <c r="G1579" s="35">
        <v>44.575780774379801</v>
      </c>
      <c r="H1579" s="35">
        <v>-34.598496690906842</v>
      </c>
      <c r="I1579" s="35">
        <v>1.9133580432592405</v>
      </c>
      <c r="J1579" s="35">
        <v>-1.1686048495282866E-3</v>
      </c>
      <c r="K1579" s="35">
        <v>3.013979485018293</v>
      </c>
      <c r="L1579" s="35">
        <v>-103.59901613733447</v>
      </c>
      <c r="M1579" s="58" t="s">
        <v>22</v>
      </c>
      <c r="N1579" s="7">
        <v>9.5</v>
      </c>
      <c r="O1579" s="7" t="s">
        <v>179</v>
      </c>
      <c r="P1579" s="7" t="s">
        <v>179</v>
      </c>
    </row>
    <row r="1580" spans="1:16" x14ac:dyDescent="0.25">
      <c r="A1580" s="2" t="s">
        <v>181</v>
      </c>
      <c r="B1580" s="2" t="s">
        <v>193</v>
      </c>
      <c r="C1580" s="6" t="s">
        <v>140</v>
      </c>
      <c r="D1580" s="2" t="s">
        <v>118</v>
      </c>
      <c r="E1580" s="2"/>
      <c r="F1580" s="35">
        <v>2</v>
      </c>
      <c r="G1580" s="35">
        <v>45.389578374379802</v>
      </c>
      <c r="H1580" s="35">
        <v>-29.155296690906841</v>
      </c>
      <c r="I1580" s="35">
        <v>1.913358043259241</v>
      </c>
      <c r="J1580" s="35">
        <v>-1.1686048495282866E-3</v>
      </c>
      <c r="K1580" s="35">
        <v>-0.81273660150018778</v>
      </c>
      <c r="L1580" s="35">
        <v>-39.845222755520808</v>
      </c>
      <c r="M1580" s="58" t="s">
        <v>22</v>
      </c>
      <c r="N1580" s="7">
        <v>9.5</v>
      </c>
      <c r="O1580" s="7" t="s">
        <v>179</v>
      </c>
      <c r="P1580" s="7" t="s">
        <v>179</v>
      </c>
    </row>
    <row r="1581" spans="1:16" x14ac:dyDescent="0.25">
      <c r="A1581" s="2" t="s">
        <v>181</v>
      </c>
      <c r="B1581" s="2" t="s">
        <v>193</v>
      </c>
      <c r="C1581" s="6" t="s">
        <v>140</v>
      </c>
      <c r="D1581" s="2" t="s">
        <v>118</v>
      </c>
      <c r="E1581" s="2"/>
      <c r="F1581" s="35">
        <v>2</v>
      </c>
      <c r="G1581" s="35">
        <v>43.513375333736249</v>
      </c>
      <c r="H1581" s="35">
        <v>-29.15527844271535</v>
      </c>
      <c r="I1581" s="35">
        <v>-0.10893680581357276</v>
      </c>
      <c r="J1581" s="35">
        <v>-1.2183934970539808E-3</v>
      </c>
      <c r="K1581" s="35">
        <v>-0.81273660150019011</v>
      </c>
      <c r="L1581" s="35">
        <v>-39.845275863411523</v>
      </c>
      <c r="M1581" s="58" t="s">
        <v>22</v>
      </c>
      <c r="N1581" s="7">
        <v>9.5</v>
      </c>
      <c r="O1581" s="7" t="s">
        <v>179</v>
      </c>
      <c r="P1581" s="7" t="s">
        <v>179</v>
      </c>
    </row>
    <row r="1582" spans="1:16" x14ac:dyDescent="0.25">
      <c r="A1582" s="2" t="s">
        <v>181</v>
      </c>
      <c r="B1582" s="2" t="s">
        <v>193</v>
      </c>
      <c r="C1582" s="6" t="s">
        <v>140</v>
      </c>
      <c r="D1582" s="2" t="s">
        <v>118</v>
      </c>
      <c r="E1582" s="2"/>
      <c r="F1582" s="35">
        <v>4.4982502942822453</v>
      </c>
      <c r="G1582" s="35">
        <v>44.529910380579345</v>
      </c>
      <c r="H1582" s="35">
        <v>-22.356040441796793</v>
      </c>
      <c r="I1582" s="35">
        <v>-0.10893680581357235</v>
      </c>
      <c r="J1582" s="35">
        <v>-1.2183934970539808E-3</v>
      </c>
      <c r="K1582" s="35">
        <v>-0.54058519431826479</v>
      </c>
      <c r="L1582" s="35">
        <v>24.49880791763799</v>
      </c>
      <c r="M1582" s="58" t="s">
        <v>24</v>
      </c>
      <c r="N1582" s="7">
        <v>9.5</v>
      </c>
      <c r="O1582" s="7" t="s">
        <v>179</v>
      </c>
      <c r="P1582" s="7" t="s">
        <v>179</v>
      </c>
    </row>
    <row r="1583" spans="1:16" x14ac:dyDescent="0.25">
      <c r="A1583" s="2" t="s">
        <v>181</v>
      </c>
      <c r="B1583" s="2" t="s">
        <v>193</v>
      </c>
      <c r="C1583" s="6" t="s">
        <v>140</v>
      </c>
      <c r="D1583" s="2" t="s">
        <v>118</v>
      </c>
      <c r="E1583" s="2"/>
      <c r="F1583" s="35">
        <v>8.9965005885644906</v>
      </c>
      <c r="G1583" s="35">
        <v>46.360243027422435</v>
      </c>
      <c r="H1583" s="35">
        <v>-10.113602440878234</v>
      </c>
      <c r="I1583" s="35">
        <v>-0.10893680581357158</v>
      </c>
      <c r="J1583" s="35">
        <v>-1.2183934970539808E-3</v>
      </c>
      <c r="K1583" s="35">
        <v>-5.0560175509196975E-2</v>
      </c>
      <c r="L1583" s="35">
        <v>97.527098243754125</v>
      </c>
      <c r="M1583" s="58" t="s">
        <v>23</v>
      </c>
      <c r="N1583" s="7">
        <v>9.5</v>
      </c>
      <c r="O1583" s="7" t="s">
        <v>179</v>
      </c>
      <c r="P1583" s="7" t="s">
        <v>179</v>
      </c>
    </row>
    <row r="1584" spans="1:16" x14ac:dyDescent="0.25">
      <c r="A1584" s="2" t="s">
        <v>181</v>
      </c>
      <c r="B1584" s="2" t="s">
        <v>193</v>
      </c>
      <c r="C1584" s="6" t="s">
        <v>140</v>
      </c>
      <c r="D1584" s="2" t="s">
        <v>119</v>
      </c>
      <c r="E1584" s="2"/>
      <c r="F1584" s="35">
        <v>0</v>
      </c>
      <c r="G1584" s="35">
        <v>-66.570697846561572</v>
      </c>
      <c r="H1584" s="35">
        <v>-10.727750579558801</v>
      </c>
      <c r="I1584" s="35">
        <v>1.710433678404232</v>
      </c>
      <c r="J1584" s="35">
        <v>-7.8379612699493672E-4</v>
      </c>
      <c r="K1584" s="35">
        <v>2.6975724041608107</v>
      </c>
      <c r="L1584" s="35">
        <v>-33.02938543283021</v>
      </c>
      <c r="M1584" s="58" t="s">
        <v>22</v>
      </c>
      <c r="N1584" s="7">
        <v>9.5</v>
      </c>
      <c r="O1584" s="7" t="s">
        <v>179</v>
      </c>
      <c r="P1584" s="7" t="s">
        <v>179</v>
      </c>
    </row>
    <row r="1585" spans="1:16" x14ac:dyDescent="0.25">
      <c r="A1585" s="2" t="s">
        <v>181</v>
      </c>
      <c r="B1585" s="2" t="s">
        <v>193</v>
      </c>
      <c r="C1585" s="6" t="s">
        <v>140</v>
      </c>
      <c r="D1585" s="2" t="s">
        <v>119</v>
      </c>
      <c r="E1585" s="2"/>
      <c r="F1585" s="35">
        <v>2</v>
      </c>
      <c r="G1585" s="35">
        <v>-65.756900246561571</v>
      </c>
      <c r="H1585" s="35">
        <v>-1.050950579558801</v>
      </c>
      <c r="I1585" s="35">
        <v>1.7104336784042327</v>
      </c>
      <c r="J1585" s="35">
        <v>-7.8379612699493672E-4</v>
      </c>
      <c r="K1585" s="35">
        <v>-0.72329495264765342</v>
      </c>
      <c r="L1585" s="35">
        <v>-21.250684273712597</v>
      </c>
      <c r="M1585" s="58" t="s">
        <v>22</v>
      </c>
      <c r="N1585" s="7">
        <v>9.5</v>
      </c>
      <c r="O1585" s="7" t="s">
        <v>179</v>
      </c>
      <c r="P1585" s="7" t="s">
        <v>179</v>
      </c>
    </row>
    <row r="1586" spans="1:16" x14ac:dyDescent="0.25">
      <c r="A1586" s="2" t="s">
        <v>181</v>
      </c>
      <c r="B1586" s="2" t="s">
        <v>193</v>
      </c>
      <c r="C1586" s="6" t="s">
        <v>140</v>
      </c>
      <c r="D1586" s="2" t="s">
        <v>119</v>
      </c>
      <c r="E1586" s="2"/>
      <c r="F1586" s="35">
        <v>2</v>
      </c>
      <c r="G1586" s="35">
        <v>-67.431679989209215</v>
      </c>
      <c r="H1586" s="35">
        <v>-1.0509606897365045</v>
      </c>
      <c r="I1586" s="35">
        <v>-9.7010203600509715E-2</v>
      </c>
      <c r="J1586" s="35">
        <v>-7.2323584796054729E-4</v>
      </c>
      <c r="K1586" s="35">
        <v>-0.72329495264765342</v>
      </c>
      <c r="L1586" s="35">
        <v>-21.250619676081662</v>
      </c>
      <c r="M1586" s="58" t="s">
        <v>22</v>
      </c>
      <c r="N1586" s="7">
        <v>9.5</v>
      </c>
      <c r="O1586" s="7" t="s">
        <v>179</v>
      </c>
      <c r="P1586" s="7" t="s">
        <v>179</v>
      </c>
    </row>
    <row r="1587" spans="1:16" x14ac:dyDescent="0.25">
      <c r="A1587" s="2" t="s">
        <v>181</v>
      </c>
      <c r="B1587" s="2" t="s">
        <v>193</v>
      </c>
      <c r="C1587" s="6" t="s">
        <v>140</v>
      </c>
      <c r="D1587" s="2" t="s">
        <v>119</v>
      </c>
      <c r="E1587" s="2"/>
      <c r="F1587" s="35">
        <v>4.4982502942822453</v>
      </c>
      <c r="G1587" s="35">
        <v>-66.415144942366126</v>
      </c>
      <c r="H1587" s="35">
        <v>11.036573534118707</v>
      </c>
      <c r="I1587" s="35">
        <v>-9.7010203600508979E-2</v>
      </c>
      <c r="J1587" s="35">
        <v>-7.2323584796054729E-4</v>
      </c>
      <c r="K1587" s="35">
        <v>-0.48093918295430055</v>
      </c>
      <c r="L1587" s="35">
        <v>-33.723899789614855</v>
      </c>
      <c r="M1587" s="58" t="s">
        <v>24</v>
      </c>
      <c r="N1587" s="7">
        <v>9.5</v>
      </c>
      <c r="O1587" s="7" t="s">
        <v>179</v>
      </c>
      <c r="P1587" s="7" t="s">
        <v>179</v>
      </c>
    </row>
    <row r="1588" spans="1:16" x14ac:dyDescent="0.25">
      <c r="A1588" s="2" t="s">
        <v>181</v>
      </c>
      <c r="B1588" s="2" t="s">
        <v>193</v>
      </c>
      <c r="C1588" s="6" t="s">
        <v>140</v>
      </c>
      <c r="D1588" s="2" t="s">
        <v>119</v>
      </c>
      <c r="E1588" s="2"/>
      <c r="F1588" s="35">
        <v>8.9965005885644906</v>
      </c>
      <c r="G1588" s="35">
        <v>-64.584812295523037</v>
      </c>
      <c r="H1588" s="35">
        <v>32.800907757973924</v>
      </c>
      <c r="I1588" s="35">
        <v>-9.7010203600507647E-2</v>
      </c>
      <c r="J1588" s="35">
        <v>-7.2323584796054729E-4</v>
      </c>
      <c r="K1588" s="35">
        <v>-4.456300605993354E-2</v>
      </c>
      <c r="L1588" s="35">
        <v>-132.31988135098888</v>
      </c>
      <c r="M1588" s="58" t="s">
        <v>23</v>
      </c>
      <c r="N1588" s="7">
        <v>9.5</v>
      </c>
      <c r="O1588" s="7" t="s">
        <v>179</v>
      </c>
      <c r="P1588" s="7" t="s">
        <v>179</v>
      </c>
    </row>
    <row r="1589" spans="1:16" x14ac:dyDescent="0.25">
      <c r="A1589" s="2" t="s">
        <v>181</v>
      </c>
      <c r="B1589" s="2" t="s">
        <v>193</v>
      </c>
      <c r="C1589" s="6" t="s">
        <v>140</v>
      </c>
      <c r="D1589" s="2" t="s">
        <v>120</v>
      </c>
      <c r="E1589" s="2"/>
      <c r="F1589" s="35">
        <v>0</v>
      </c>
      <c r="G1589" s="35">
        <v>78.297872126856944</v>
      </c>
      <c r="H1589" s="35">
        <v>-5.2854087766083495</v>
      </c>
      <c r="I1589" s="35">
        <v>-4.7257508098252217</v>
      </c>
      <c r="J1589" s="35">
        <v>8.413908437390036E-4</v>
      </c>
      <c r="K1589" s="35">
        <v>-7.525228297979206</v>
      </c>
      <c r="L1589" s="35">
        <v>-58.852328165781216</v>
      </c>
      <c r="M1589" s="58" t="s">
        <v>22</v>
      </c>
      <c r="N1589" s="7">
        <v>9.5</v>
      </c>
      <c r="O1589" s="7" t="s">
        <v>179</v>
      </c>
      <c r="P1589" s="7" t="s">
        <v>179</v>
      </c>
    </row>
    <row r="1590" spans="1:16" x14ac:dyDescent="0.25">
      <c r="A1590" s="2" t="s">
        <v>181</v>
      </c>
      <c r="B1590" s="2" t="s">
        <v>193</v>
      </c>
      <c r="C1590" s="6" t="s">
        <v>140</v>
      </c>
      <c r="D1590" s="2" t="s">
        <v>120</v>
      </c>
      <c r="E1590" s="2"/>
      <c r="F1590" s="35">
        <v>2</v>
      </c>
      <c r="G1590" s="35">
        <v>79.11166972685696</v>
      </c>
      <c r="H1590" s="35">
        <v>-17.045408776608351</v>
      </c>
      <c r="I1590" s="35">
        <v>-4.7257508098252226</v>
      </c>
      <c r="J1590" s="35">
        <v>8.413908437390036E-4</v>
      </c>
      <c r="K1590" s="35">
        <v>1.9262733216712387</v>
      </c>
      <c r="L1590" s="35">
        <v>-36.521510612564526</v>
      </c>
      <c r="M1590" s="58" t="s">
        <v>22</v>
      </c>
      <c r="N1590" s="7">
        <v>9.5</v>
      </c>
      <c r="O1590" s="7" t="s">
        <v>179</v>
      </c>
      <c r="P1590" s="7" t="s">
        <v>179</v>
      </c>
    </row>
    <row r="1591" spans="1:16" x14ac:dyDescent="0.25">
      <c r="A1591" s="2" t="s">
        <v>181</v>
      </c>
      <c r="B1591" s="2" t="s">
        <v>193</v>
      </c>
      <c r="C1591" s="6" t="s">
        <v>140</v>
      </c>
      <c r="D1591" s="2" t="s">
        <v>120</v>
      </c>
      <c r="E1591" s="2"/>
      <c r="F1591" s="35">
        <v>2</v>
      </c>
      <c r="G1591" s="35">
        <v>83.801996483782787</v>
      </c>
      <c r="H1591" s="35">
        <v>-17.04538806445678</v>
      </c>
      <c r="I1591" s="35">
        <v>0.2562497450135317</v>
      </c>
      <c r="J1591" s="35">
        <v>7.9059720580990729E-4</v>
      </c>
      <c r="K1591" s="35">
        <v>1.9262733216712411</v>
      </c>
      <c r="L1591" s="35">
        <v>-36.521564792445098</v>
      </c>
      <c r="M1591" s="58" t="s">
        <v>22</v>
      </c>
      <c r="N1591" s="7">
        <v>9.5</v>
      </c>
      <c r="O1591" s="7" t="s">
        <v>179</v>
      </c>
      <c r="P1591" s="7" t="s">
        <v>179</v>
      </c>
    </row>
    <row r="1592" spans="1:16" x14ac:dyDescent="0.25">
      <c r="A1592" s="2" t="s">
        <v>181</v>
      </c>
      <c r="B1592" s="2" t="s">
        <v>193</v>
      </c>
      <c r="C1592" s="6" t="s">
        <v>140</v>
      </c>
      <c r="D1592" s="2" t="s">
        <v>120</v>
      </c>
      <c r="E1592" s="2"/>
      <c r="F1592" s="35">
        <v>4.4982502942822453</v>
      </c>
      <c r="G1592" s="35">
        <v>84.81853153062589</v>
      </c>
      <c r="H1592" s="35">
        <v>-31.73509979483638</v>
      </c>
      <c r="I1592" s="35">
        <v>0.25624974501353082</v>
      </c>
      <c r="J1592" s="35">
        <v>7.9059720580990729E-4</v>
      </c>
      <c r="K1592" s="35">
        <v>1.2860973207814363</v>
      </c>
      <c r="L1592" s="35">
        <v>24.411369282410206</v>
      </c>
      <c r="M1592" s="58" t="s">
        <v>24</v>
      </c>
      <c r="N1592" s="7">
        <v>9.5</v>
      </c>
      <c r="O1592" s="7" t="s">
        <v>179</v>
      </c>
      <c r="P1592" s="7" t="s">
        <v>179</v>
      </c>
    </row>
    <row r="1593" spans="1:16" x14ac:dyDescent="0.25">
      <c r="A1593" s="2" t="s">
        <v>181</v>
      </c>
      <c r="B1593" s="2" t="s">
        <v>193</v>
      </c>
      <c r="C1593" s="6" t="s">
        <v>140</v>
      </c>
      <c r="D1593" s="2" t="s">
        <v>120</v>
      </c>
      <c r="E1593" s="2"/>
      <c r="F1593" s="35">
        <v>8.9965005885644906</v>
      </c>
      <c r="G1593" s="35">
        <v>86.64886417746898</v>
      </c>
      <c r="H1593" s="35">
        <v>-58.184811525215977</v>
      </c>
      <c r="I1593" s="35">
        <v>0.25624974501352921</v>
      </c>
      <c r="J1593" s="35">
        <v>7.9059720580990729E-4</v>
      </c>
      <c r="K1593" s="35">
        <v>0.13342182986457499</v>
      </c>
      <c r="L1593" s="35">
        <v>226.65250306103962</v>
      </c>
      <c r="M1593" s="58" t="s">
        <v>23</v>
      </c>
      <c r="N1593" s="7">
        <v>9.5</v>
      </c>
      <c r="O1593" s="7" t="s">
        <v>179</v>
      </c>
      <c r="P1593" s="7" t="s">
        <v>179</v>
      </c>
    </row>
    <row r="1594" spans="1:16" x14ac:dyDescent="0.25">
      <c r="A1594" s="2" t="s">
        <v>181</v>
      </c>
      <c r="B1594" s="2" t="s">
        <v>193</v>
      </c>
      <c r="C1594" s="6" t="s">
        <v>140</v>
      </c>
      <c r="D1594" s="2" t="s">
        <v>121</v>
      </c>
      <c r="E1594" s="2"/>
      <c r="F1594" s="35">
        <v>0</v>
      </c>
      <c r="G1594" s="35">
        <v>35.462312291304713</v>
      </c>
      <c r="H1594" s="35">
        <v>-0.71711700866043959</v>
      </c>
      <c r="I1594" s="35">
        <v>-5.3309563533135416</v>
      </c>
      <c r="J1594" s="35">
        <v>1.3526484719226543E-3</v>
      </c>
      <c r="K1594" s="35">
        <v>-8.4785752434222204</v>
      </c>
      <c r="L1594" s="35">
        <v>-26.877408396893362</v>
      </c>
      <c r="M1594" s="58" t="s">
        <v>22</v>
      </c>
      <c r="N1594" s="7">
        <v>9.5</v>
      </c>
      <c r="O1594" s="7" t="s">
        <v>179</v>
      </c>
      <c r="P1594" s="7" t="s">
        <v>179</v>
      </c>
    </row>
    <row r="1595" spans="1:16" x14ac:dyDescent="0.25">
      <c r="A1595" s="2" t="s">
        <v>181</v>
      </c>
      <c r="B1595" s="2" t="s">
        <v>193</v>
      </c>
      <c r="C1595" s="6" t="s">
        <v>140</v>
      </c>
      <c r="D1595" s="2" t="s">
        <v>121</v>
      </c>
      <c r="E1595" s="2"/>
      <c r="F1595" s="35">
        <v>2</v>
      </c>
      <c r="G1595" s="35">
        <v>36.276109891304714</v>
      </c>
      <c r="H1595" s="35">
        <v>-7.7731170086604386</v>
      </c>
      <c r="I1595" s="35">
        <v>-5.3309563533135416</v>
      </c>
      <c r="J1595" s="35">
        <v>1.3526484719226543E-3</v>
      </c>
      <c r="K1595" s="35">
        <v>2.1833374632048614</v>
      </c>
      <c r="L1595" s="35">
        <v>-18.387174379572492</v>
      </c>
      <c r="M1595" s="58" t="s">
        <v>22</v>
      </c>
      <c r="N1595" s="7">
        <v>9.5</v>
      </c>
      <c r="O1595" s="7" t="s">
        <v>179</v>
      </c>
      <c r="P1595" s="7" t="s">
        <v>179</v>
      </c>
    </row>
    <row r="1596" spans="1:16" x14ac:dyDescent="0.25">
      <c r="A1596" s="2" t="s">
        <v>181</v>
      </c>
      <c r="B1596" s="2" t="s">
        <v>193</v>
      </c>
      <c r="C1596" s="6" t="s">
        <v>140</v>
      </c>
      <c r="D1596" s="2" t="s">
        <v>121</v>
      </c>
      <c r="E1596" s="2"/>
      <c r="F1596" s="35">
        <v>2</v>
      </c>
      <c r="G1596" s="35">
        <v>41.565949964123362</v>
      </c>
      <c r="H1596" s="35">
        <v>-7.773109568477869</v>
      </c>
      <c r="I1596" s="35">
        <v>0.29052531966654832</v>
      </c>
      <c r="J1596" s="35">
        <v>1.328398580151789E-3</v>
      </c>
      <c r="K1596" s="35">
        <v>2.1833374632048654</v>
      </c>
      <c r="L1596" s="35">
        <v>-18.387200246123701</v>
      </c>
      <c r="M1596" s="58" t="s">
        <v>22</v>
      </c>
      <c r="N1596" s="7">
        <v>9.5</v>
      </c>
      <c r="O1596" s="7" t="s">
        <v>179</v>
      </c>
      <c r="P1596" s="7" t="s">
        <v>179</v>
      </c>
    </row>
    <row r="1597" spans="1:16" x14ac:dyDescent="0.25">
      <c r="A1597" s="2" t="s">
        <v>181</v>
      </c>
      <c r="B1597" s="2" t="s">
        <v>193</v>
      </c>
      <c r="C1597" s="6" t="s">
        <v>140</v>
      </c>
      <c r="D1597" s="2" t="s">
        <v>121</v>
      </c>
      <c r="E1597" s="2"/>
      <c r="F1597" s="35">
        <v>4.4982502942822453</v>
      </c>
      <c r="G1597" s="35">
        <v>42.582485010966458</v>
      </c>
      <c r="H1597" s="35">
        <v>-16.586936606705628</v>
      </c>
      <c r="I1597" s="35">
        <v>0.29052531966654782</v>
      </c>
      <c r="J1597" s="35">
        <v>1.328398580151789E-3</v>
      </c>
      <c r="K1597" s="35">
        <v>1.4575324978514683</v>
      </c>
      <c r="L1597" s="35">
        <v>12.041546016816925</v>
      </c>
      <c r="M1597" s="58" t="s">
        <v>24</v>
      </c>
      <c r="N1597" s="7">
        <v>9.5</v>
      </c>
      <c r="O1597" s="7" t="s">
        <v>179</v>
      </c>
      <c r="P1597" s="7" t="s">
        <v>179</v>
      </c>
    </row>
    <row r="1598" spans="1:16" x14ac:dyDescent="0.25">
      <c r="A1598" s="2" t="s">
        <v>181</v>
      </c>
      <c r="B1598" s="2" t="s">
        <v>193</v>
      </c>
      <c r="C1598" s="6" t="s">
        <v>140</v>
      </c>
      <c r="D1598" s="2" t="s">
        <v>121</v>
      </c>
      <c r="E1598" s="2"/>
      <c r="F1598" s="35">
        <v>8.9965005885644906</v>
      </c>
      <c r="G1598" s="35">
        <v>44.412817657809548</v>
      </c>
      <c r="H1598" s="35">
        <v>-32.456763644933389</v>
      </c>
      <c r="I1598" s="35">
        <v>0.29052531966654688</v>
      </c>
      <c r="J1598" s="35">
        <v>1.328398580151789E-3</v>
      </c>
      <c r="K1598" s="35">
        <v>0.15067689316497865</v>
      </c>
      <c r="L1598" s="35">
        <v>122.34696556162964</v>
      </c>
      <c r="M1598" s="58" t="s">
        <v>23</v>
      </c>
      <c r="N1598" s="7">
        <v>9.5</v>
      </c>
      <c r="O1598" s="7" t="s">
        <v>179</v>
      </c>
      <c r="P1598" s="7" t="s">
        <v>179</v>
      </c>
    </row>
    <row r="1599" spans="1:16" x14ac:dyDescent="0.25">
      <c r="A1599" s="2" t="s">
        <v>181</v>
      </c>
      <c r="B1599" s="2" t="s">
        <v>193</v>
      </c>
      <c r="C1599" s="6" t="s">
        <v>140</v>
      </c>
      <c r="D1599" s="2" t="s">
        <v>122</v>
      </c>
      <c r="E1599" s="2"/>
      <c r="F1599" s="35">
        <v>0</v>
      </c>
      <c r="G1599" s="35">
        <v>48.491020784157953</v>
      </c>
      <c r="H1599" s="35">
        <v>6.036709033337897</v>
      </c>
      <c r="I1599" s="35">
        <v>4.4006118019012526</v>
      </c>
      <c r="J1599" s="35">
        <v>-7.4518364859531131E-4</v>
      </c>
      <c r="K1599" s="35">
        <v>7.0177672232768638</v>
      </c>
      <c r="L1599" s="35">
        <v>-12.253279299458322</v>
      </c>
      <c r="M1599" s="58" t="s">
        <v>22</v>
      </c>
      <c r="N1599" s="7">
        <v>9.5</v>
      </c>
      <c r="O1599" s="7" t="s">
        <v>179</v>
      </c>
      <c r="P1599" s="7" t="s">
        <v>179</v>
      </c>
    </row>
    <row r="1600" spans="1:16" x14ac:dyDescent="0.25">
      <c r="A1600" s="2" t="s">
        <v>181</v>
      </c>
      <c r="B1600" s="2" t="s">
        <v>193</v>
      </c>
      <c r="C1600" s="6" t="s">
        <v>140</v>
      </c>
      <c r="D1600" s="2" t="s">
        <v>122</v>
      </c>
      <c r="E1600" s="2"/>
      <c r="F1600" s="35">
        <v>2</v>
      </c>
      <c r="G1600" s="35">
        <v>49.304818384157947</v>
      </c>
      <c r="H1600" s="35">
        <v>-2.3632909666621011</v>
      </c>
      <c r="I1600" s="35">
        <v>4.4006118019012526</v>
      </c>
      <c r="J1600" s="35">
        <v>-7.4518364859531131E-4</v>
      </c>
      <c r="K1600" s="35">
        <v>-1.7834563805256407</v>
      </c>
      <c r="L1600" s="35">
        <v>-15.926697366134125</v>
      </c>
      <c r="M1600" s="58" t="s">
        <v>22</v>
      </c>
      <c r="N1600" s="7">
        <v>9.5</v>
      </c>
      <c r="O1600" s="7" t="s">
        <v>179</v>
      </c>
      <c r="P1600" s="7" t="s">
        <v>179</v>
      </c>
    </row>
    <row r="1601" spans="1:16" x14ac:dyDescent="0.25">
      <c r="A1601" s="2" t="s">
        <v>181</v>
      </c>
      <c r="B1601" s="2" t="s">
        <v>193</v>
      </c>
      <c r="C1601" s="6" t="s">
        <v>140</v>
      </c>
      <c r="D1601" s="2" t="s">
        <v>122</v>
      </c>
      <c r="E1601" s="2"/>
      <c r="F1601" s="35">
        <v>2</v>
      </c>
      <c r="G1601" s="35">
        <v>44.975448708353788</v>
      </c>
      <c r="H1601" s="35">
        <v>-2.3632785076773066</v>
      </c>
      <c r="I1601" s="35">
        <v>-0.23838332284359398</v>
      </c>
      <c r="J1601" s="35">
        <v>-7.5713187436795984E-4</v>
      </c>
      <c r="K1601" s="35">
        <v>-1.783456380525642</v>
      </c>
      <c r="L1601" s="35">
        <v>-15.926710110908314</v>
      </c>
      <c r="M1601" s="58" t="s">
        <v>22</v>
      </c>
      <c r="N1601" s="7">
        <v>9.5</v>
      </c>
      <c r="O1601" s="7" t="s">
        <v>179</v>
      </c>
      <c r="P1601" s="7" t="s">
        <v>179</v>
      </c>
    </row>
    <row r="1602" spans="1:16" x14ac:dyDescent="0.25">
      <c r="A1602" s="2" t="s">
        <v>181</v>
      </c>
      <c r="B1602" s="2" t="s">
        <v>193</v>
      </c>
      <c r="C1602" s="6" t="s">
        <v>140</v>
      </c>
      <c r="D1602" s="2" t="s">
        <v>122</v>
      </c>
      <c r="E1602" s="2"/>
      <c r="F1602" s="35">
        <v>4.4982502942822453</v>
      </c>
      <c r="G1602" s="35">
        <v>45.991983755196884</v>
      </c>
      <c r="H1602" s="35">
        <v>-12.855929743662736</v>
      </c>
      <c r="I1602" s="35">
        <v>-0.23838332284359462</v>
      </c>
      <c r="J1602" s="35">
        <v>-7.5713187436795984E-4</v>
      </c>
      <c r="K1602" s="35">
        <v>-1.1879151740796534</v>
      </c>
      <c r="L1602" s="35">
        <v>3.0839856354182058</v>
      </c>
      <c r="M1602" s="58" t="s">
        <v>24</v>
      </c>
      <c r="N1602" s="7">
        <v>9.5</v>
      </c>
      <c r="O1602" s="7" t="s">
        <v>179</v>
      </c>
      <c r="P1602" s="7" t="s">
        <v>179</v>
      </c>
    </row>
    <row r="1603" spans="1:16" x14ac:dyDescent="0.25">
      <c r="A1603" s="2" t="s">
        <v>181</v>
      </c>
      <c r="B1603" s="2" t="s">
        <v>193</v>
      </c>
      <c r="C1603" s="6" t="s">
        <v>140</v>
      </c>
      <c r="D1603" s="2" t="s">
        <v>122</v>
      </c>
      <c r="E1603" s="2"/>
      <c r="F1603" s="35">
        <v>8.9965005885644906</v>
      </c>
      <c r="G1603" s="35">
        <v>47.822316402039974</v>
      </c>
      <c r="H1603" s="35">
        <v>-31.748580979648171</v>
      </c>
      <c r="I1603" s="35">
        <v>-0.23838332284359579</v>
      </c>
      <c r="J1603" s="35">
        <v>-7.5713187436795984E-4</v>
      </c>
      <c r="K1603" s="35">
        <v>-0.11560732194647211</v>
      </c>
      <c r="L1603" s="35">
        <v>103.40511237914258</v>
      </c>
      <c r="M1603" s="58" t="s">
        <v>23</v>
      </c>
      <c r="N1603" s="7">
        <v>9.5</v>
      </c>
      <c r="O1603" s="7" t="s">
        <v>179</v>
      </c>
      <c r="P1603" s="7" t="s">
        <v>179</v>
      </c>
    </row>
    <row r="1604" spans="1:16" x14ac:dyDescent="0.25">
      <c r="A1604" s="2" t="s">
        <v>181</v>
      </c>
      <c r="B1604" s="2" t="s">
        <v>193</v>
      </c>
      <c r="C1604" s="6" t="s">
        <v>140</v>
      </c>
      <c r="D1604" s="2" t="s">
        <v>123</v>
      </c>
      <c r="E1604" s="2"/>
      <c r="F1604" s="35">
        <v>0</v>
      </c>
      <c r="G1604" s="35">
        <v>6.1497562558576959</v>
      </c>
      <c r="H1604" s="35">
        <v>10.471277889771034</v>
      </c>
      <c r="I1604" s="35">
        <v>3.7998289938219818</v>
      </c>
      <c r="J1604" s="35">
        <v>-2.3296066057839268E-4</v>
      </c>
      <c r="K1604" s="35">
        <v>6.071414523859568</v>
      </c>
      <c r="L1604" s="35">
        <v>19.325720660322073</v>
      </c>
      <c r="M1604" s="58" t="s">
        <v>22</v>
      </c>
      <c r="N1604" s="7">
        <v>9.5</v>
      </c>
      <c r="O1604" s="7" t="s">
        <v>179</v>
      </c>
      <c r="P1604" s="7" t="s">
        <v>179</v>
      </c>
    </row>
    <row r="1605" spans="1:16" x14ac:dyDescent="0.25">
      <c r="A1605" s="2" t="s">
        <v>181</v>
      </c>
      <c r="B1605" s="2" t="s">
        <v>193</v>
      </c>
      <c r="C1605" s="6" t="s">
        <v>140</v>
      </c>
      <c r="D1605" s="2" t="s">
        <v>123</v>
      </c>
      <c r="E1605" s="2"/>
      <c r="F1605" s="35">
        <v>2</v>
      </c>
      <c r="G1605" s="35">
        <v>6.9635538558576942</v>
      </c>
      <c r="H1605" s="35">
        <v>6.7752778897710346</v>
      </c>
      <c r="I1605" s="35">
        <v>3.7998289938219818</v>
      </c>
      <c r="J1605" s="35">
        <v>-2.3296066057839268E-4</v>
      </c>
      <c r="K1605" s="35">
        <v>-1.5282434637843954</v>
      </c>
      <c r="L1605" s="35">
        <v>2.0791648807799996</v>
      </c>
      <c r="M1605" s="58" t="s">
        <v>22</v>
      </c>
      <c r="N1605" s="7">
        <v>9.5</v>
      </c>
      <c r="O1605" s="7" t="s">
        <v>179</v>
      </c>
      <c r="P1605" s="7" t="s">
        <v>179</v>
      </c>
    </row>
    <row r="1606" spans="1:16" x14ac:dyDescent="0.25">
      <c r="A1606" s="2" t="s">
        <v>181</v>
      </c>
      <c r="B1606" s="2" t="s">
        <v>193</v>
      </c>
      <c r="C1606" s="6" t="s">
        <v>140</v>
      </c>
      <c r="D1606" s="2" t="s">
        <v>123</v>
      </c>
      <c r="E1606" s="2"/>
      <c r="F1606" s="35">
        <v>2</v>
      </c>
      <c r="G1606" s="35">
        <v>3.2293197620428975</v>
      </c>
      <c r="H1606" s="35">
        <v>6.7752771891909642</v>
      </c>
      <c r="I1606" s="35">
        <v>-0.20435457433225748</v>
      </c>
      <c r="J1606" s="35">
        <v>-2.1891221909251055E-4</v>
      </c>
      <c r="K1606" s="35">
        <v>-1.5282434637843989</v>
      </c>
      <c r="L1606" s="35">
        <v>2.0791798657842424</v>
      </c>
      <c r="M1606" s="58" t="s">
        <v>22</v>
      </c>
      <c r="N1606" s="7">
        <v>9.5</v>
      </c>
      <c r="O1606" s="7" t="s">
        <v>179</v>
      </c>
      <c r="P1606" s="7" t="s">
        <v>179</v>
      </c>
    </row>
    <row r="1607" spans="1:16" x14ac:dyDescent="0.25">
      <c r="A1607" s="2" t="s">
        <v>181</v>
      </c>
      <c r="B1607" s="2" t="s">
        <v>193</v>
      </c>
      <c r="C1607" s="6" t="s">
        <v>140</v>
      </c>
      <c r="D1607" s="2" t="s">
        <v>123</v>
      </c>
      <c r="E1607" s="2"/>
      <c r="F1607" s="35">
        <v>4.4982502942822453</v>
      </c>
      <c r="G1607" s="35">
        <v>4.245854808885996</v>
      </c>
      <c r="H1607" s="35">
        <v>2.1585106453573748</v>
      </c>
      <c r="I1607" s="35">
        <v>-0.20435457433225773</v>
      </c>
      <c r="J1607" s="35">
        <v>-2.1891221909251055E-4</v>
      </c>
      <c r="K1607" s="35">
        <v>-1.0177145883209133</v>
      </c>
      <c r="L1607" s="35">
        <v>-9.0802391775735156</v>
      </c>
      <c r="M1607" s="58" t="s">
        <v>24</v>
      </c>
      <c r="N1607" s="7">
        <v>9.5</v>
      </c>
      <c r="O1607" s="7" t="s">
        <v>179</v>
      </c>
      <c r="P1607" s="7" t="s">
        <v>179</v>
      </c>
    </row>
    <row r="1608" spans="1:16" x14ac:dyDescent="0.25">
      <c r="A1608" s="2" t="s">
        <v>181</v>
      </c>
      <c r="B1608" s="2" t="s">
        <v>193</v>
      </c>
      <c r="C1608" s="6" t="s">
        <v>140</v>
      </c>
      <c r="D1608" s="2" t="s">
        <v>123</v>
      </c>
      <c r="E1608" s="2"/>
      <c r="F1608" s="35">
        <v>8.9965005885644906</v>
      </c>
      <c r="G1608" s="35">
        <v>6.0761874557290856</v>
      </c>
      <c r="H1608" s="35">
        <v>-6.154255898476217</v>
      </c>
      <c r="I1608" s="35">
        <v>-0.20435457433225826</v>
      </c>
      <c r="J1608" s="35">
        <v>-2.1891221909251055E-4</v>
      </c>
      <c r="K1608" s="35">
        <v>-9.8476564192910884E-2</v>
      </c>
      <c r="L1608" s="35">
        <v>-9.3308047214180206E-2</v>
      </c>
      <c r="M1608" s="58" t="s">
        <v>23</v>
      </c>
      <c r="N1608" s="7">
        <v>9.5</v>
      </c>
      <c r="O1608" s="7" t="s">
        <v>179</v>
      </c>
      <c r="P1608" s="7" t="s">
        <v>179</v>
      </c>
    </row>
    <row r="1609" spans="1:16" x14ac:dyDescent="0.25">
      <c r="A1609" s="2" t="s">
        <v>181</v>
      </c>
      <c r="B1609" s="2" t="s">
        <v>193</v>
      </c>
      <c r="C1609" s="6" t="s">
        <v>140</v>
      </c>
      <c r="D1609" s="2" t="s">
        <v>124</v>
      </c>
      <c r="E1609" s="2"/>
      <c r="F1609" s="35">
        <v>0</v>
      </c>
      <c r="G1609" s="35">
        <v>34.622045577036467</v>
      </c>
      <c r="H1609" s="35">
        <v>7.283501410979329</v>
      </c>
      <c r="I1609" s="35">
        <v>1.7544607331003514</v>
      </c>
      <c r="J1609" s="35">
        <v>-1.3239616845773859E-3</v>
      </c>
      <c r="K1609" s="35">
        <v>2.7688377059724081</v>
      </c>
      <c r="L1609" s="35">
        <v>16.745159672492129</v>
      </c>
      <c r="M1609" s="58" t="s">
        <v>22</v>
      </c>
      <c r="N1609" s="7">
        <v>9.5</v>
      </c>
      <c r="O1609" s="7" t="s">
        <v>179</v>
      </c>
      <c r="P1609" s="7" t="s">
        <v>179</v>
      </c>
    </row>
    <row r="1610" spans="1:16" x14ac:dyDescent="0.25">
      <c r="A1610" s="2" t="s">
        <v>181</v>
      </c>
      <c r="B1610" s="2" t="s">
        <v>193</v>
      </c>
      <c r="C1610" s="6" t="s">
        <v>140</v>
      </c>
      <c r="D1610" s="2" t="s">
        <v>124</v>
      </c>
      <c r="E1610" s="2"/>
      <c r="F1610" s="35">
        <v>2</v>
      </c>
      <c r="G1610" s="35">
        <v>35.43584317703646</v>
      </c>
      <c r="H1610" s="35">
        <v>0.89950141097932634</v>
      </c>
      <c r="I1610" s="35">
        <v>1.754460733100351</v>
      </c>
      <c r="J1610" s="35">
        <v>-1.3239616845773859E-3</v>
      </c>
      <c r="K1610" s="35">
        <v>-0.74008376022829425</v>
      </c>
      <c r="L1610" s="35">
        <v>8.5621568505334746</v>
      </c>
      <c r="M1610" s="58" t="s">
        <v>22</v>
      </c>
      <c r="N1610" s="7">
        <v>9.5</v>
      </c>
      <c r="O1610" s="7" t="s">
        <v>179</v>
      </c>
      <c r="P1610" s="7" t="s">
        <v>179</v>
      </c>
    </row>
    <row r="1611" spans="1:16" x14ac:dyDescent="0.25">
      <c r="A1611" s="2" t="s">
        <v>181</v>
      </c>
      <c r="B1611" s="2" t="s">
        <v>193</v>
      </c>
      <c r="C1611" s="6" t="s">
        <v>140</v>
      </c>
      <c r="D1611" s="2" t="s">
        <v>124</v>
      </c>
      <c r="E1611" s="2"/>
      <c r="F1611" s="35">
        <v>2</v>
      </c>
      <c r="G1611" s="35">
        <v>33.717691961258019</v>
      </c>
      <c r="H1611" s="35">
        <v>0.89951294019027395</v>
      </c>
      <c r="I1611" s="35">
        <v>-9.9244299367358416E-2</v>
      </c>
      <c r="J1611" s="35">
        <v>-1.3571215834525909E-3</v>
      </c>
      <c r="K1611" s="35">
        <v>-0.7400837602282927</v>
      </c>
      <c r="L1611" s="35">
        <v>8.5621214799746461</v>
      </c>
      <c r="M1611" s="58" t="s">
        <v>22</v>
      </c>
      <c r="N1611" s="7">
        <v>9.5</v>
      </c>
      <c r="O1611" s="7" t="s">
        <v>179</v>
      </c>
      <c r="P1611" s="7" t="s">
        <v>179</v>
      </c>
    </row>
    <row r="1612" spans="1:16" x14ac:dyDescent="0.25">
      <c r="A1612" s="2" t="s">
        <v>181</v>
      </c>
      <c r="B1612" s="2" t="s">
        <v>193</v>
      </c>
      <c r="C1612" s="6" t="s">
        <v>140</v>
      </c>
      <c r="D1612" s="2" t="s">
        <v>124</v>
      </c>
      <c r="E1612" s="2"/>
      <c r="F1612" s="35">
        <v>4.4982502942822453</v>
      </c>
      <c r="G1612" s="35">
        <v>34.734227008101115</v>
      </c>
      <c r="H1612" s="35">
        <v>-7.0749019991586559</v>
      </c>
      <c r="I1612" s="35">
        <v>-9.9244299367358915E-2</v>
      </c>
      <c r="J1612" s="35">
        <v>-1.3571215834525909E-3</v>
      </c>
      <c r="K1612" s="35">
        <v>-0.49214666012795377</v>
      </c>
      <c r="L1612" s="35">
        <v>16.275955246912201</v>
      </c>
      <c r="M1612" s="58" t="s">
        <v>24</v>
      </c>
      <c r="N1612" s="7">
        <v>9.5</v>
      </c>
      <c r="O1612" s="7" t="s">
        <v>179</v>
      </c>
      <c r="P1612" s="7" t="s">
        <v>179</v>
      </c>
    </row>
    <row r="1613" spans="1:16" x14ac:dyDescent="0.25">
      <c r="A1613" s="2" t="s">
        <v>181</v>
      </c>
      <c r="B1613" s="2" t="s">
        <v>193</v>
      </c>
      <c r="C1613" s="6" t="s">
        <v>140</v>
      </c>
      <c r="D1613" s="2" t="s">
        <v>124</v>
      </c>
      <c r="E1613" s="2"/>
      <c r="F1613" s="35">
        <v>8.9965005885644906</v>
      </c>
      <c r="G1613" s="35">
        <v>36.564559654944205</v>
      </c>
      <c r="H1613" s="35">
        <v>-21.433316938507584</v>
      </c>
      <c r="I1613" s="35">
        <v>-9.924429936735979E-2</v>
      </c>
      <c r="J1613" s="35">
        <v>-1.3571215834525909E-3</v>
      </c>
      <c r="K1613" s="35">
        <v>-4.5720961292894401E-2</v>
      </c>
      <c r="L1613" s="35">
        <v>80.3945073598221</v>
      </c>
      <c r="M1613" s="58" t="s">
        <v>23</v>
      </c>
      <c r="N1613" s="7">
        <v>9.5</v>
      </c>
      <c r="O1613" s="7" t="s">
        <v>179</v>
      </c>
      <c r="P1613" s="7" t="s">
        <v>179</v>
      </c>
    </row>
    <row r="1614" spans="1:16" x14ac:dyDescent="0.25">
      <c r="A1614" s="2" t="s">
        <v>181</v>
      </c>
      <c r="B1614" s="2" t="s">
        <v>193</v>
      </c>
      <c r="C1614" s="6" t="s">
        <v>140</v>
      </c>
      <c r="D1614" s="2" t="s">
        <v>125</v>
      </c>
      <c r="E1614" s="2"/>
      <c r="F1614" s="35">
        <v>0</v>
      </c>
      <c r="G1614" s="35">
        <v>-17.915297945417134</v>
      </c>
      <c r="H1614" s="35">
        <v>23.062489471171659</v>
      </c>
      <c r="I1614" s="35">
        <v>1.5855535734483435</v>
      </c>
      <c r="J1614" s="35">
        <v>-7.8905604270984358E-4</v>
      </c>
      <c r="K1614" s="35">
        <v>2.5076581593997482</v>
      </c>
      <c r="L1614" s="35">
        <v>109.71861689616235</v>
      </c>
      <c r="M1614" s="58" t="s">
        <v>22</v>
      </c>
      <c r="N1614" s="7">
        <v>9.5</v>
      </c>
      <c r="O1614" s="7" t="s">
        <v>179</v>
      </c>
      <c r="P1614" s="7" t="s">
        <v>179</v>
      </c>
    </row>
    <row r="1615" spans="1:16" x14ac:dyDescent="0.25">
      <c r="A1615" s="2" t="s">
        <v>181</v>
      </c>
      <c r="B1615" s="2" t="s">
        <v>193</v>
      </c>
      <c r="C1615" s="6" t="s">
        <v>140</v>
      </c>
      <c r="D1615" s="2" t="s">
        <v>125</v>
      </c>
      <c r="E1615" s="2"/>
      <c r="F1615" s="35">
        <v>2</v>
      </c>
      <c r="G1615" s="35">
        <v>-17.101500345417136</v>
      </c>
      <c r="H1615" s="35">
        <v>21.38248947117166</v>
      </c>
      <c r="I1615" s="35">
        <v>1.5855535734483435</v>
      </c>
      <c r="J1615" s="35">
        <v>-7.8905604270984358E-4</v>
      </c>
      <c r="K1615" s="35">
        <v>-0.66344898749693859</v>
      </c>
      <c r="L1615" s="35">
        <v>65.273637953819033</v>
      </c>
      <c r="M1615" s="58" t="s">
        <v>22</v>
      </c>
      <c r="N1615" s="7">
        <v>9.5</v>
      </c>
      <c r="O1615" s="7" t="s">
        <v>179</v>
      </c>
      <c r="P1615" s="7" t="s">
        <v>179</v>
      </c>
    </row>
    <row r="1616" spans="1:16" x14ac:dyDescent="0.25">
      <c r="A1616" s="2" t="s">
        <v>181</v>
      </c>
      <c r="B1616" s="2" t="s">
        <v>193</v>
      </c>
      <c r="C1616" s="6" t="s">
        <v>140</v>
      </c>
      <c r="D1616" s="2" t="s">
        <v>125</v>
      </c>
      <c r="E1616" s="2"/>
      <c r="F1616" s="35">
        <v>2</v>
      </c>
      <c r="G1616" s="35">
        <v>-18.651719684450526</v>
      </c>
      <c r="H1616" s="35">
        <v>21.382478138806061</v>
      </c>
      <c r="I1616" s="35">
        <v>-8.9022957642885758E-2</v>
      </c>
      <c r="J1616" s="35">
        <v>-8.1055809396617172E-4</v>
      </c>
      <c r="K1616" s="35">
        <v>-0.6634489874969397</v>
      </c>
      <c r="L1616" s="35">
        <v>65.273615018297676</v>
      </c>
      <c r="M1616" s="58" t="s">
        <v>22</v>
      </c>
      <c r="N1616" s="7">
        <v>9.5</v>
      </c>
      <c r="O1616" s="7" t="s">
        <v>179</v>
      </c>
      <c r="P1616" s="7" t="s">
        <v>179</v>
      </c>
    </row>
    <row r="1617" spans="1:16" x14ac:dyDescent="0.25">
      <c r="A1617" s="2" t="s">
        <v>181</v>
      </c>
      <c r="B1617" s="2" t="s">
        <v>193</v>
      </c>
      <c r="C1617" s="6" t="s">
        <v>140</v>
      </c>
      <c r="D1617" s="2" t="s">
        <v>125</v>
      </c>
      <c r="E1617" s="2"/>
      <c r="F1617" s="35">
        <v>4.4982502942822453</v>
      </c>
      <c r="G1617" s="35">
        <v>-17.635184637607427</v>
      </c>
      <c r="H1617" s="35">
        <v>19.283947891608975</v>
      </c>
      <c r="I1617" s="35">
        <v>-8.9022957642885883E-2</v>
      </c>
      <c r="J1617" s="35">
        <v>-8.1055809396617172E-4</v>
      </c>
      <c r="K1617" s="35">
        <v>-0.44104735736772438</v>
      </c>
      <c r="L1617" s="35">
        <v>14.476159619351913</v>
      </c>
      <c r="M1617" s="58" t="s">
        <v>24</v>
      </c>
      <c r="N1617" s="7">
        <v>9.5</v>
      </c>
      <c r="O1617" s="7" t="s">
        <v>179</v>
      </c>
      <c r="P1617" s="7" t="s">
        <v>179</v>
      </c>
    </row>
    <row r="1618" spans="1:16" x14ac:dyDescent="0.25">
      <c r="A1618" s="2" t="s">
        <v>181</v>
      </c>
      <c r="B1618" s="2" t="s">
        <v>193</v>
      </c>
      <c r="C1618" s="6" t="s">
        <v>140</v>
      </c>
      <c r="D1618" s="2" t="s">
        <v>125</v>
      </c>
      <c r="E1618" s="2"/>
      <c r="F1618" s="35">
        <v>8.9965005885644906</v>
      </c>
      <c r="G1618" s="35">
        <v>-15.804851990764339</v>
      </c>
      <c r="H1618" s="35">
        <v>15.505417644411891</v>
      </c>
      <c r="I1618" s="35">
        <v>-8.9022957642886119E-2</v>
      </c>
      <c r="J1618" s="35">
        <v>-8.1055809396617172E-4</v>
      </c>
      <c r="K1618" s="35">
        <v>-4.059981195273666E-2</v>
      </c>
      <c r="L1618" s="35">
        <v>-63.769477260797295</v>
      </c>
      <c r="M1618" s="58" t="s">
        <v>23</v>
      </c>
      <c r="N1618" s="7">
        <v>9.5</v>
      </c>
      <c r="O1618" s="7" t="s">
        <v>179</v>
      </c>
      <c r="P1618" s="7" t="s">
        <v>179</v>
      </c>
    </row>
    <row r="1619" spans="1:16" x14ac:dyDescent="0.25">
      <c r="A1619" s="2" t="s">
        <v>181</v>
      </c>
      <c r="B1619" s="2" t="s">
        <v>193</v>
      </c>
      <c r="C1619" s="6" t="s">
        <v>140</v>
      </c>
      <c r="D1619" s="2" t="s">
        <v>126</v>
      </c>
      <c r="E1619" s="2"/>
      <c r="F1619" s="35">
        <v>0</v>
      </c>
      <c r="G1619" s="35">
        <v>57.558373183686804</v>
      </c>
      <c r="H1619" s="35">
        <v>-41.729292136949582</v>
      </c>
      <c r="I1619" s="35">
        <v>2.0818419878017016</v>
      </c>
      <c r="J1619" s="35">
        <v>-1.2910954685248709E-3</v>
      </c>
      <c r="K1619" s="35">
        <v>3.2786794242988031</v>
      </c>
      <c r="L1619" s="35">
        <v>-125.49479093815052</v>
      </c>
      <c r="M1619" s="58" t="s">
        <v>22</v>
      </c>
      <c r="N1619" s="7">
        <v>9.5</v>
      </c>
      <c r="O1619" s="7" t="s">
        <v>179</v>
      </c>
      <c r="P1619" s="7" t="s">
        <v>179</v>
      </c>
    </row>
    <row r="1620" spans="1:16" x14ac:dyDescent="0.25">
      <c r="A1620" s="2" t="s">
        <v>181</v>
      </c>
      <c r="B1620" s="2" t="s">
        <v>193</v>
      </c>
      <c r="C1620" s="6" t="s">
        <v>140</v>
      </c>
      <c r="D1620" s="2" t="s">
        <v>126</v>
      </c>
      <c r="E1620" s="2"/>
      <c r="F1620" s="35">
        <v>2</v>
      </c>
      <c r="G1620" s="35">
        <v>58.372170783686805</v>
      </c>
      <c r="H1620" s="35">
        <v>-35.68129213694958</v>
      </c>
      <c r="I1620" s="35">
        <v>2.081841987801702</v>
      </c>
      <c r="J1620" s="35">
        <v>-1.2910954685248709E-3</v>
      </c>
      <c r="K1620" s="35">
        <v>-0.88500455130460065</v>
      </c>
      <c r="L1620" s="35">
        <v>-48.084206664251376</v>
      </c>
      <c r="M1620" s="58" t="s">
        <v>22</v>
      </c>
      <c r="N1620" s="7">
        <v>9.5</v>
      </c>
      <c r="O1620" s="7" t="s">
        <v>179</v>
      </c>
      <c r="P1620" s="7" t="s">
        <v>179</v>
      </c>
    </row>
    <row r="1621" spans="1:16" x14ac:dyDescent="0.25">
      <c r="A1621" s="2" t="s">
        <v>181</v>
      </c>
      <c r="B1621" s="2" t="s">
        <v>193</v>
      </c>
      <c r="C1621" s="6" t="s">
        <v>140</v>
      </c>
      <c r="D1621" s="2" t="s">
        <v>126</v>
      </c>
      <c r="E1621" s="2"/>
      <c r="F1621" s="35">
        <v>2</v>
      </c>
      <c r="G1621" s="35">
        <v>56.32898064912073</v>
      </c>
      <c r="H1621" s="35">
        <v>-35.681269434843742</v>
      </c>
      <c r="I1621" s="35">
        <v>-0.1185726747368724</v>
      </c>
      <c r="J1621" s="35">
        <v>-1.3544960558190653E-3</v>
      </c>
      <c r="K1621" s="35">
        <v>-0.8850045513046032</v>
      </c>
      <c r="L1621" s="35">
        <v>-48.084274291544517</v>
      </c>
      <c r="M1621" s="58" t="s">
        <v>22</v>
      </c>
      <c r="N1621" s="7">
        <v>9.5</v>
      </c>
      <c r="O1621" s="7" t="s">
        <v>179</v>
      </c>
      <c r="P1621" s="7" t="s">
        <v>179</v>
      </c>
    </row>
    <row r="1622" spans="1:16" x14ac:dyDescent="0.25">
      <c r="A1622" s="2" t="s">
        <v>181</v>
      </c>
      <c r="B1622" s="2" t="s">
        <v>193</v>
      </c>
      <c r="C1622" s="6" t="s">
        <v>140</v>
      </c>
      <c r="D1622" s="2" t="s">
        <v>126</v>
      </c>
      <c r="E1622" s="2"/>
      <c r="F1622" s="35">
        <v>4.4982502942822453</v>
      </c>
      <c r="G1622" s="35">
        <v>57.345515695963826</v>
      </c>
      <c r="H1622" s="35">
        <v>-28.126560544934236</v>
      </c>
      <c r="I1622" s="35">
        <v>-0.11857267473687194</v>
      </c>
      <c r="J1622" s="35">
        <v>-1.3544960558190653E-3</v>
      </c>
      <c r="K1622" s="35">
        <v>-0.58878033174937949</v>
      </c>
      <c r="L1622" s="35">
        <v>31.619690720701374</v>
      </c>
      <c r="M1622" s="58" t="s">
        <v>24</v>
      </c>
      <c r="N1622" s="7">
        <v>9.5</v>
      </c>
      <c r="O1622" s="7" t="s">
        <v>179</v>
      </c>
      <c r="P1622" s="7" t="s">
        <v>179</v>
      </c>
    </row>
    <row r="1623" spans="1:16" x14ac:dyDescent="0.25">
      <c r="A1623" s="2" t="s">
        <v>181</v>
      </c>
      <c r="B1623" s="2" t="s">
        <v>193</v>
      </c>
      <c r="C1623" s="6" t="s">
        <v>140</v>
      </c>
      <c r="D1623" s="2" t="s">
        <v>126</v>
      </c>
      <c r="E1623" s="2"/>
      <c r="F1623" s="35">
        <v>8.9965005885644906</v>
      </c>
      <c r="G1623" s="35">
        <v>59.175848342806916</v>
      </c>
      <c r="H1623" s="35">
        <v>-14.523851655024727</v>
      </c>
      <c r="I1623" s="35">
        <v>-0.11857267473687109</v>
      </c>
      <c r="J1623" s="35">
        <v>-1.3544960558190653E-3</v>
      </c>
      <c r="K1623" s="35">
        <v>-5.5410762720414335E-2</v>
      </c>
      <c r="L1623" s="35">
        <v>127.54580533556357</v>
      </c>
      <c r="M1623" s="58" t="s">
        <v>23</v>
      </c>
      <c r="N1623" s="7">
        <v>9.5</v>
      </c>
      <c r="O1623" s="7" t="s">
        <v>179</v>
      </c>
      <c r="P1623" s="7" t="s">
        <v>179</v>
      </c>
    </row>
    <row r="1624" spans="1:16" x14ac:dyDescent="0.25">
      <c r="A1624" s="2" t="s">
        <v>181</v>
      </c>
      <c r="B1624" s="2" t="s">
        <v>193</v>
      </c>
      <c r="C1624" s="6" t="s">
        <v>140</v>
      </c>
      <c r="D1624" s="2" t="s">
        <v>127</v>
      </c>
      <c r="E1624" s="2"/>
      <c r="F1624" s="35">
        <v>0</v>
      </c>
      <c r="G1624" s="35">
        <v>-65.937714172914696</v>
      </c>
      <c r="H1624" s="35">
        <v>-15.206240902118425</v>
      </c>
      <c r="I1624" s="35">
        <v>1.8563704712961366</v>
      </c>
      <c r="J1624" s="35">
        <v>-8.6353022126559303E-4</v>
      </c>
      <c r="K1624" s="35">
        <v>2.9271160011238226</v>
      </c>
      <c r="L1624" s="35">
        <v>-47.084090155368003</v>
      </c>
      <c r="M1624" s="58" t="s">
        <v>22</v>
      </c>
      <c r="N1624" s="7">
        <v>9.5</v>
      </c>
      <c r="O1624" s="7" t="s">
        <v>179</v>
      </c>
      <c r="P1624" s="7" t="s">
        <v>179</v>
      </c>
    </row>
    <row r="1625" spans="1:16" x14ac:dyDescent="0.25">
      <c r="A1625" s="2" t="s">
        <v>181</v>
      </c>
      <c r="B1625" s="2" t="s">
        <v>193</v>
      </c>
      <c r="C1625" s="6" t="s">
        <v>140</v>
      </c>
      <c r="D1625" s="2" t="s">
        <v>127</v>
      </c>
      <c r="E1625" s="2"/>
      <c r="F1625" s="35">
        <v>2</v>
      </c>
      <c r="G1625" s="35">
        <v>-65.123916572914709</v>
      </c>
      <c r="H1625" s="35">
        <v>-4.4542409021184239</v>
      </c>
      <c r="I1625" s="35">
        <v>1.8563704712961373</v>
      </c>
      <c r="J1625" s="35">
        <v>-8.6353022126559303E-4</v>
      </c>
      <c r="K1625" s="35">
        <v>-0.7856249414684513</v>
      </c>
      <c r="L1625" s="35">
        <v>-27.423608351131151</v>
      </c>
      <c r="M1625" s="58" t="s">
        <v>22</v>
      </c>
      <c r="N1625" s="7">
        <v>9.5</v>
      </c>
      <c r="O1625" s="7" t="s">
        <v>179</v>
      </c>
      <c r="P1625" s="7" t="s">
        <v>179</v>
      </c>
    </row>
    <row r="1626" spans="1:16" x14ac:dyDescent="0.25">
      <c r="A1626" s="2" t="s">
        <v>181</v>
      </c>
      <c r="B1626" s="2" t="s">
        <v>193</v>
      </c>
      <c r="C1626" s="6" t="s">
        <v>140</v>
      </c>
      <c r="D1626" s="2" t="s">
        <v>127</v>
      </c>
      <c r="E1626" s="2"/>
      <c r="F1626" s="35">
        <v>2</v>
      </c>
      <c r="G1626" s="35">
        <v>-66.943303043040885</v>
      </c>
      <c r="H1626" s="35">
        <v>-4.4542497093116937</v>
      </c>
      <c r="I1626" s="35">
        <v>-0.10532089450013568</v>
      </c>
      <c r="J1626" s="35">
        <v>-8.0432089015969441E-4</v>
      </c>
      <c r="K1626" s="35">
        <v>-0.7856249414684513</v>
      </c>
      <c r="L1626" s="35">
        <v>-27.423545194511334</v>
      </c>
      <c r="M1626" s="58" t="s">
        <v>22</v>
      </c>
      <c r="N1626" s="7">
        <v>9.5</v>
      </c>
      <c r="O1626" s="7" t="s">
        <v>179</v>
      </c>
      <c r="P1626" s="7" t="s">
        <v>179</v>
      </c>
    </row>
    <row r="1627" spans="1:16" x14ac:dyDescent="0.25">
      <c r="A1627" s="2" t="s">
        <v>181</v>
      </c>
      <c r="B1627" s="2" t="s">
        <v>193</v>
      </c>
      <c r="C1627" s="6" t="s">
        <v>140</v>
      </c>
      <c r="D1627" s="2" t="s">
        <v>127</v>
      </c>
      <c r="E1627" s="2"/>
      <c r="F1627" s="35">
        <v>4.4982502942822453</v>
      </c>
      <c r="G1627" s="35">
        <v>-65.926767996197782</v>
      </c>
      <c r="H1627" s="35">
        <v>8.9763438727496538</v>
      </c>
      <c r="I1627" s="35">
        <v>-0.10532089450013486</v>
      </c>
      <c r="J1627" s="35">
        <v>-8.0432089015969441E-4</v>
      </c>
      <c r="K1627" s="35">
        <v>-0.52250698578941923</v>
      </c>
      <c r="L1627" s="35">
        <v>-33.072206731801785</v>
      </c>
      <c r="M1627" s="58" t="s">
        <v>24</v>
      </c>
      <c r="N1627" s="7">
        <v>9.5</v>
      </c>
      <c r="O1627" s="7" t="s">
        <v>179</v>
      </c>
      <c r="P1627" s="7" t="s">
        <v>179</v>
      </c>
    </row>
    <row r="1628" spans="1:16" x14ac:dyDescent="0.25">
      <c r="A1628" s="2" t="s">
        <v>181</v>
      </c>
      <c r="B1628" s="2" t="s">
        <v>193</v>
      </c>
      <c r="C1628" s="6" t="s">
        <v>140</v>
      </c>
      <c r="D1628" s="2" t="s">
        <v>127</v>
      </c>
      <c r="E1628" s="2"/>
      <c r="F1628" s="35">
        <v>8.9965005885644906</v>
      </c>
      <c r="G1628" s="35">
        <v>-64.096435349354692</v>
      </c>
      <c r="H1628" s="35">
        <v>33.158937454811003</v>
      </c>
      <c r="I1628" s="35">
        <v>-0.10532089450013339</v>
      </c>
      <c r="J1628" s="35">
        <v>-8.0432089015969441E-4</v>
      </c>
      <c r="K1628" s="35">
        <v>-4.8747241110121624E-2</v>
      </c>
      <c r="L1628" s="35">
        <v>-127.83972754748422</v>
      </c>
      <c r="M1628" s="58" t="s">
        <v>23</v>
      </c>
      <c r="N1628" s="7">
        <v>9.5</v>
      </c>
      <c r="O1628" s="7" t="s">
        <v>179</v>
      </c>
      <c r="P1628" s="7" t="s">
        <v>179</v>
      </c>
    </row>
    <row r="1629" spans="1:16" x14ac:dyDescent="0.25">
      <c r="A1629" s="2" t="s">
        <v>181</v>
      </c>
      <c r="B1629" s="2" t="s">
        <v>194</v>
      </c>
      <c r="C1629" s="6" t="s">
        <v>141</v>
      </c>
      <c r="D1629" s="2" t="s">
        <v>105</v>
      </c>
      <c r="E1629" s="2"/>
      <c r="F1629" s="35">
        <v>0</v>
      </c>
      <c r="G1629" s="35">
        <v>-49.527135295272885</v>
      </c>
      <c r="H1629" s="35">
        <v>-17.688176203718683</v>
      </c>
      <c r="I1629" s="35">
        <v>2.6679135178620801E-3</v>
      </c>
      <c r="J1629" s="35">
        <v>-2.8754740313513994E-4</v>
      </c>
      <c r="K1629" s="35">
        <v>2.348387882233487E-2</v>
      </c>
      <c r="L1629" s="35">
        <v>-57.963068847611112</v>
      </c>
      <c r="M1629" s="58" t="s">
        <v>22</v>
      </c>
      <c r="N1629" s="7">
        <v>9.5</v>
      </c>
      <c r="O1629" s="7" t="s">
        <v>179</v>
      </c>
      <c r="P1629" s="7" t="s">
        <v>179</v>
      </c>
    </row>
    <row r="1630" spans="1:16" x14ac:dyDescent="0.25">
      <c r="A1630" s="2" t="s">
        <v>181</v>
      </c>
      <c r="B1630" s="2" t="s">
        <v>194</v>
      </c>
      <c r="C1630" s="6" t="s">
        <v>141</v>
      </c>
      <c r="D1630" s="2" t="s">
        <v>105</v>
      </c>
      <c r="E1630" s="2"/>
      <c r="F1630" s="35">
        <v>4.5</v>
      </c>
      <c r="G1630" s="35">
        <v>-47.696090695272879</v>
      </c>
      <c r="H1630" s="35">
        <v>-17.688176203718683</v>
      </c>
      <c r="I1630" s="35">
        <v>2.6679135178620801E-3</v>
      </c>
      <c r="J1630" s="35">
        <v>-2.8754740313513994E-4</v>
      </c>
      <c r="K1630" s="35">
        <v>1.1478267991955506E-2</v>
      </c>
      <c r="L1630" s="35">
        <v>21.633724069122952</v>
      </c>
      <c r="M1630" s="58" t="s">
        <v>24</v>
      </c>
      <c r="N1630" s="7">
        <v>9.5</v>
      </c>
      <c r="O1630" s="7" t="s">
        <v>179</v>
      </c>
      <c r="P1630" s="7" t="s">
        <v>179</v>
      </c>
    </row>
    <row r="1631" spans="1:16" x14ac:dyDescent="0.25">
      <c r="A1631" s="2" t="s">
        <v>181</v>
      </c>
      <c r="B1631" s="2" t="s">
        <v>194</v>
      </c>
      <c r="C1631" s="6" t="s">
        <v>141</v>
      </c>
      <c r="D1631" s="2" t="s">
        <v>105</v>
      </c>
      <c r="E1631" s="2"/>
      <c r="F1631" s="35">
        <v>4.5</v>
      </c>
      <c r="G1631" s="35">
        <v>-46.919143601441668</v>
      </c>
      <c r="H1631" s="35">
        <v>-17.688153046309285</v>
      </c>
      <c r="I1631" s="35">
        <v>2.2960411492825711E-3</v>
      </c>
      <c r="J1631" s="35">
        <v>2.2271216265997413E-4</v>
      </c>
      <c r="K1631" s="35">
        <v>1.1477708535637031E-2</v>
      </c>
      <c r="L1631" s="35">
        <v>22.604908528281758</v>
      </c>
      <c r="M1631" s="58" t="s">
        <v>24</v>
      </c>
      <c r="N1631" s="7">
        <v>9.5</v>
      </c>
      <c r="O1631" s="7" t="s">
        <v>179</v>
      </c>
      <c r="P1631" s="7" t="s">
        <v>179</v>
      </c>
    </row>
    <row r="1632" spans="1:16" x14ac:dyDescent="0.25">
      <c r="A1632" s="2" t="s">
        <v>181</v>
      </c>
      <c r="B1632" s="2" t="s">
        <v>194</v>
      </c>
      <c r="C1632" s="6" t="s">
        <v>141</v>
      </c>
      <c r="D1632" s="2" t="s">
        <v>105</v>
      </c>
      <c r="E1632" s="2"/>
      <c r="F1632" s="35">
        <v>8.9965005885644871</v>
      </c>
      <c r="G1632" s="35">
        <v>-45.08952290775548</v>
      </c>
      <c r="H1632" s="35">
        <v>-17.688153046309285</v>
      </c>
      <c r="I1632" s="35">
        <v>2.2960411492825711E-3</v>
      </c>
      <c r="J1632" s="35">
        <v>2.2271216265997413E-4</v>
      </c>
      <c r="K1632" s="35">
        <v>1.1535581565196669E-3</v>
      </c>
      <c r="L1632" s="35">
        <v>102.13969911163021</v>
      </c>
      <c r="M1632" s="58" t="s">
        <v>23</v>
      </c>
      <c r="N1632" s="7">
        <v>9.5</v>
      </c>
      <c r="O1632" s="7" t="s">
        <v>179</v>
      </c>
      <c r="P1632" s="7" t="s">
        <v>179</v>
      </c>
    </row>
    <row r="1633" spans="1:16" x14ac:dyDescent="0.25">
      <c r="A1633" s="2" t="s">
        <v>181</v>
      </c>
      <c r="B1633" s="2" t="s">
        <v>194</v>
      </c>
      <c r="C1633" s="6" t="s">
        <v>141</v>
      </c>
      <c r="D1633" s="2" t="s">
        <v>15</v>
      </c>
      <c r="E1633" s="2"/>
      <c r="F1633" s="35">
        <v>0</v>
      </c>
      <c r="G1633" s="35">
        <v>67.802645995333833</v>
      </c>
      <c r="H1633" s="35">
        <v>-4.1348239639361717</v>
      </c>
      <c r="I1633" s="35">
        <v>-5.5996370339196175E-2</v>
      </c>
      <c r="J1633" s="35">
        <v>4.2021878004467623E-3</v>
      </c>
      <c r="K1633" s="35">
        <v>-0.50087518464781289</v>
      </c>
      <c r="L1633" s="35">
        <v>32.46426771931759</v>
      </c>
      <c r="M1633" s="58" t="s">
        <v>22</v>
      </c>
      <c r="N1633" s="7">
        <v>9.5</v>
      </c>
      <c r="O1633" s="7" t="s">
        <v>179</v>
      </c>
      <c r="P1633" s="7" t="s">
        <v>179</v>
      </c>
    </row>
    <row r="1634" spans="1:16" x14ac:dyDescent="0.25">
      <c r="A1634" s="2" t="s">
        <v>181</v>
      </c>
      <c r="B1634" s="2" t="s">
        <v>194</v>
      </c>
      <c r="C1634" s="6" t="s">
        <v>141</v>
      </c>
      <c r="D1634" s="2" t="s">
        <v>15</v>
      </c>
      <c r="E1634" s="2"/>
      <c r="F1634" s="35">
        <v>4.5</v>
      </c>
      <c r="G1634" s="35">
        <v>69.633690595333846</v>
      </c>
      <c r="H1634" s="35">
        <v>22.325176036063823</v>
      </c>
      <c r="I1634" s="35">
        <v>-5.5996370339194551E-2</v>
      </c>
      <c r="J1634" s="35">
        <v>4.2021878004467623E-3</v>
      </c>
      <c r="K1634" s="35">
        <v>-0.24889151812143379</v>
      </c>
      <c r="L1634" s="35">
        <v>-8.4640244429696292</v>
      </c>
      <c r="M1634" s="58" t="s">
        <v>24</v>
      </c>
      <c r="N1634" s="7">
        <v>9.5</v>
      </c>
      <c r="O1634" s="7" t="s">
        <v>179</v>
      </c>
      <c r="P1634" s="7" t="s">
        <v>179</v>
      </c>
    </row>
    <row r="1635" spans="1:16" x14ac:dyDescent="0.25">
      <c r="A1635" s="2" t="s">
        <v>181</v>
      </c>
      <c r="B1635" s="2" t="s">
        <v>194</v>
      </c>
      <c r="C1635" s="6" t="s">
        <v>141</v>
      </c>
      <c r="D1635" s="2" t="s">
        <v>15</v>
      </c>
      <c r="E1635" s="2"/>
      <c r="F1635" s="35">
        <v>4.5</v>
      </c>
      <c r="G1635" s="35">
        <v>70.410636007503683</v>
      </c>
      <c r="H1635" s="35">
        <v>22.325063245482962</v>
      </c>
      <c r="I1635" s="35">
        <v>-4.9740283710952717E-2</v>
      </c>
      <c r="J1635" s="35">
        <v>-3.216374914675147E-3</v>
      </c>
      <c r="K1635" s="35">
        <v>-0.24889915096077278</v>
      </c>
      <c r="L1635" s="35">
        <v>-7.4928428439471126</v>
      </c>
      <c r="M1635" s="58" t="s">
        <v>24</v>
      </c>
      <c r="N1635" s="7">
        <v>9.5</v>
      </c>
      <c r="O1635" s="7" t="s">
        <v>179</v>
      </c>
      <c r="P1635" s="7" t="s">
        <v>179</v>
      </c>
    </row>
    <row r="1636" spans="1:16" x14ac:dyDescent="0.25">
      <c r="A1636" s="2" t="s">
        <v>181</v>
      </c>
      <c r="B1636" s="2" t="s">
        <v>194</v>
      </c>
      <c r="C1636" s="6" t="s">
        <v>141</v>
      </c>
      <c r="D1636" s="2" t="s">
        <v>15</v>
      </c>
      <c r="E1636" s="2"/>
      <c r="F1636" s="35">
        <v>8.9965005885644871</v>
      </c>
      <c r="G1636" s="35">
        <v>72.240256701189864</v>
      </c>
      <c r="H1636" s="35">
        <v>48.764486706242153</v>
      </c>
      <c r="I1636" s="35">
        <v>-4.9740283710951093E-2</v>
      </c>
      <c r="J1636" s="35">
        <v>-3.216374914675147E-3</v>
      </c>
      <c r="K1636" s="35">
        <v>-2.5241935979112978E-2</v>
      </c>
      <c r="L1636" s="35">
        <v>-167.31994444330533</v>
      </c>
      <c r="M1636" s="58" t="s">
        <v>23</v>
      </c>
      <c r="N1636" s="7">
        <v>9.5</v>
      </c>
      <c r="O1636" s="7" t="s">
        <v>179</v>
      </c>
      <c r="P1636" s="7" t="s">
        <v>179</v>
      </c>
    </row>
    <row r="1637" spans="1:16" x14ac:dyDescent="0.25">
      <c r="A1637" s="2" t="s">
        <v>181</v>
      </c>
      <c r="B1637" s="2" t="s">
        <v>194</v>
      </c>
      <c r="C1637" s="6" t="s">
        <v>141</v>
      </c>
      <c r="D1637" s="2" t="s">
        <v>16</v>
      </c>
      <c r="E1637" s="2"/>
      <c r="F1637" s="35">
        <v>0</v>
      </c>
      <c r="G1637" s="35">
        <v>25.91673005922307</v>
      </c>
      <c r="H1637" s="35">
        <v>-7.4647638180460945</v>
      </c>
      <c r="I1637" s="35">
        <v>-5.9187829034428319E-2</v>
      </c>
      <c r="J1637" s="35">
        <v>4.0139041888969662E-3</v>
      </c>
      <c r="K1637" s="35">
        <v>-0.5322227979298384</v>
      </c>
      <c r="L1637" s="35">
        <v>3.1375203109429508</v>
      </c>
      <c r="M1637" s="58" t="s">
        <v>22</v>
      </c>
      <c r="N1637" s="7">
        <v>9.5</v>
      </c>
      <c r="O1637" s="7" t="s">
        <v>179</v>
      </c>
      <c r="P1637" s="7" t="s">
        <v>179</v>
      </c>
    </row>
    <row r="1638" spans="1:16" x14ac:dyDescent="0.25">
      <c r="A1638" s="2" t="s">
        <v>181</v>
      </c>
      <c r="B1638" s="2" t="s">
        <v>194</v>
      </c>
      <c r="C1638" s="6" t="s">
        <v>141</v>
      </c>
      <c r="D1638" s="2" t="s">
        <v>16</v>
      </c>
      <c r="E1638" s="2"/>
      <c r="F1638" s="35">
        <v>4.5</v>
      </c>
      <c r="G1638" s="35">
        <v>27.747774659223072</v>
      </c>
      <c r="H1638" s="35">
        <v>8.4112361819539068</v>
      </c>
      <c r="I1638" s="35">
        <v>-5.9187829034427354E-2</v>
      </c>
      <c r="J1638" s="35">
        <v>4.0139041888969662E-3</v>
      </c>
      <c r="K1638" s="35">
        <v>-0.26587756727491318</v>
      </c>
      <c r="L1638" s="35">
        <v>1.0079574921503753</v>
      </c>
      <c r="M1638" s="58" t="s">
        <v>24</v>
      </c>
      <c r="N1638" s="7">
        <v>9.5</v>
      </c>
      <c r="O1638" s="7" t="s">
        <v>179</v>
      </c>
      <c r="P1638" s="7" t="s">
        <v>179</v>
      </c>
    </row>
    <row r="1639" spans="1:16" x14ac:dyDescent="0.25">
      <c r="A1639" s="2" t="s">
        <v>181</v>
      </c>
      <c r="B1639" s="2" t="s">
        <v>194</v>
      </c>
      <c r="C1639" s="6" t="s">
        <v>141</v>
      </c>
      <c r="D1639" s="2" t="s">
        <v>16</v>
      </c>
      <c r="E1639" s="2"/>
      <c r="F1639" s="35">
        <v>4.5</v>
      </c>
      <c r="G1639" s="35">
        <v>28.524719972319698</v>
      </c>
      <c r="H1639" s="35">
        <v>8.4111563699172276</v>
      </c>
      <c r="I1639" s="35">
        <v>-5.3138758660327912E-2</v>
      </c>
      <c r="J1639" s="35">
        <v>-3.0389082255473905E-3</v>
      </c>
      <c r="K1639" s="35">
        <v>-0.26588568483208996</v>
      </c>
      <c r="L1639" s="35">
        <v>1.9791397673456663</v>
      </c>
      <c r="M1639" s="58" t="s">
        <v>24</v>
      </c>
      <c r="N1639" s="7">
        <v>9.5</v>
      </c>
      <c r="O1639" s="7" t="s">
        <v>179</v>
      </c>
      <c r="P1639" s="7" t="s">
        <v>179</v>
      </c>
    </row>
    <row r="1640" spans="1:16" x14ac:dyDescent="0.25">
      <c r="A1640" s="2" t="s">
        <v>181</v>
      </c>
      <c r="B1640" s="2" t="s">
        <v>194</v>
      </c>
      <c r="C1640" s="6" t="s">
        <v>141</v>
      </c>
      <c r="D1640" s="2" t="s">
        <v>16</v>
      </c>
      <c r="E1640" s="2"/>
      <c r="F1640" s="35">
        <v>8.9965005885644871</v>
      </c>
      <c r="G1640" s="35">
        <v>30.354340666005886</v>
      </c>
      <c r="H1640" s="35">
        <v>24.27481044637274</v>
      </c>
      <c r="I1640" s="35">
        <v>-5.313875866032694E-2</v>
      </c>
      <c r="J1640" s="35">
        <v>-3.0389082255473905E-3</v>
      </c>
      <c r="K1640" s="35">
        <v>-2.694722524034145E-2</v>
      </c>
      <c r="L1640" s="35">
        <v>-71.507094746277915</v>
      </c>
      <c r="M1640" s="58" t="s">
        <v>23</v>
      </c>
      <c r="N1640" s="7">
        <v>9.5</v>
      </c>
      <c r="O1640" s="7" t="s">
        <v>179</v>
      </c>
      <c r="P1640" s="7" t="s">
        <v>179</v>
      </c>
    </row>
    <row r="1641" spans="1:16" x14ac:dyDescent="0.25">
      <c r="A1641" s="2" t="s">
        <v>181</v>
      </c>
      <c r="B1641" s="2" t="s">
        <v>194</v>
      </c>
      <c r="C1641" s="6" t="s">
        <v>141</v>
      </c>
      <c r="D1641" s="2" t="s">
        <v>106</v>
      </c>
      <c r="E1641" s="2"/>
      <c r="F1641" s="35">
        <v>0</v>
      </c>
      <c r="G1641" s="35">
        <v>61.515795683929738</v>
      </c>
      <c r="H1641" s="35">
        <v>2.9210548921591957</v>
      </c>
      <c r="I1641" s="35">
        <v>5.2133673358891623E-2</v>
      </c>
      <c r="J1641" s="35">
        <v>-3.3271389205843287E-3</v>
      </c>
      <c r="K1641" s="35">
        <v>0.46802676203511928</v>
      </c>
      <c r="L1641" s="35">
        <v>41.923536184450448</v>
      </c>
      <c r="M1641" s="58" t="s">
        <v>22</v>
      </c>
      <c r="N1641" s="7">
        <v>9.5</v>
      </c>
      <c r="O1641" s="7" t="s">
        <v>179</v>
      </c>
      <c r="P1641" s="7" t="s">
        <v>179</v>
      </c>
    </row>
    <row r="1642" spans="1:16" x14ac:dyDescent="0.25">
      <c r="A1642" s="2" t="s">
        <v>181</v>
      </c>
      <c r="B1642" s="2" t="s">
        <v>194</v>
      </c>
      <c r="C1642" s="6" t="s">
        <v>141</v>
      </c>
      <c r="D1642" s="2" t="s">
        <v>106</v>
      </c>
      <c r="E1642" s="2"/>
      <c r="F1642" s="35">
        <v>4.5</v>
      </c>
      <c r="G1642" s="35">
        <v>63.346840283929737</v>
      </c>
      <c r="H1642" s="35">
        <v>21.821054892159193</v>
      </c>
      <c r="I1642" s="35">
        <v>5.2133673358892782E-2</v>
      </c>
      <c r="J1642" s="35">
        <v>-3.3271389205843287E-3</v>
      </c>
      <c r="K1642" s="35">
        <v>0.23342523192010442</v>
      </c>
      <c r="L1642" s="35">
        <v>-13.746210830265921</v>
      </c>
      <c r="M1642" s="58" t="s">
        <v>24</v>
      </c>
      <c r="N1642" s="7">
        <v>9.5</v>
      </c>
      <c r="O1642" s="7" t="s">
        <v>179</v>
      </c>
      <c r="P1642" s="7" t="s">
        <v>179</v>
      </c>
    </row>
    <row r="1643" spans="1:16" x14ac:dyDescent="0.25">
      <c r="A1643" s="2" t="s">
        <v>181</v>
      </c>
      <c r="B1643" s="2" t="s">
        <v>194</v>
      </c>
      <c r="C1643" s="6" t="s">
        <v>141</v>
      </c>
      <c r="D1643" s="2" t="s">
        <v>106</v>
      </c>
      <c r="E1643" s="2"/>
      <c r="F1643" s="35">
        <v>4.5</v>
      </c>
      <c r="G1643" s="35">
        <v>64.123788844585064</v>
      </c>
      <c r="H1643" s="35">
        <v>21.820987290790033</v>
      </c>
      <c r="I1643" s="35">
        <v>4.6650374212140328E-2</v>
      </c>
      <c r="J1643" s="35">
        <v>2.5006921920443575E-3</v>
      </c>
      <c r="K1643" s="35">
        <v>0.23343067075159049</v>
      </c>
      <c r="L1643" s="35">
        <v>-12.77502464321763</v>
      </c>
      <c r="M1643" s="58" t="s">
        <v>24</v>
      </c>
      <c r="N1643" s="7">
        <v>9.5</v>
      </c>
      <c r="O1643" s="7" t="s">
        <v>179</v>
      </c>
      <c r="P1643" s="7" t="s">
        <v>179</v>
      </c>
    </row>
    <row r="1644" spans="1:16" x14ac:dyDescent="0.25">
      <c r="A1644" s="2" t="s">
        <v>181</v>
      </c>
      <c r="B1644" s="2" t="s">
        <v>194</v>
      </c>
      <c r="C1644" s="6" t="s">
        <v>141</v>
      </c>
      <c r="D1644" s="2" t="s">
        <v>106</v>
      </c>
      <c r="E1644" s="2"/>
      <c r="F1644" s="35">
        <v>8.9965005885644871</v>
      </c>
      <c r="G1644" s="35">
        <v>65.953409538271245</v>
      </c>
      <c r="H1644" s="35">
        <v>40.706289762760889</v>
      </c>
      <c r="I1644" s="35">
        <v>4.6650374212141486E-2</v>
      </c>
      <c r="J1644" s="35">
        <v>2.5006921920443575E-3</v>
      </c>
      <c r="K1644" s="35">
        <v>2.3667235649945311E-2</v>
      </c>
      <c r="L1644" s="35">
        <v>-153.35199367953084</v>
      </c>
      <c r="M1644" s="58" t="s">
        <v>23</v>
      </c>
      <c r="N1644" s="7">
        <v>9.5</v>
      </c>
      <c r="O1644" s="7" t="s">
        <v>179</v>
      </c>
      <c r="P1644" s="7" t="s">
        <v>179</v>
      </c>
    </row>
    <row r="1645" spans="1:16" x14ac:dyDescent="0.25">
      <c r="A1645" s="2" t="s">
        <v>181</v>
      </c>
      <c r="B1645" s="2" t="s">
        <v>194</v>
      </c>
      <c r="C1645" s="6" t="s">
        <v>141</v>
      </c>
      <c r="D1645" s="2" t="s">
        <v>107</v>
      </c>
      <c r="E1645" s="2"/>
      <c r="F1645" s="35">
        <v>0</v>
      </c>
      <c r="G1645" s="35">
        <v>19.629762766887772</v>
      </c>
      <c r="H1645" s="35">
        <v>-0.40812550356065813</v>
      </c>
      <c r="I1645" s="35">
        <v>4.898940805216289E-2</v>
      </c>
      <c r="J1645" s="35">
        <v>-3.5183887347731428E-3</v>
      </c>
      <c r="K1645" s="35">
        <v>0.43710185959425901</v>
      </c>
      <c r="L1645" s="35">
        <v>12.599032160380769</v>
      </c>
      <c r="M1645" s="58" t="s">
        <v>22</v>
      </c>
      <c r="N1645" s="7">
        <v>9.5</v>
      </c>
      <c r="O1645" s="7" t="s">
        <v>179</v>
      </c>
      <c r="P1645" s="7" t="s">
        <v>179</v>
      </c>
    </row>
    <row r="1646" spans="1:16" x14ac:dyDescent="0.25">
      <c r="A1646" s="2" t="s">
        <v>181</v>
      </c>
      <c r="B1646" s="2" t="s">
        <v>194</v>
      </c>
      <c r="C1646" s="6" t="s">
        <v>141</v>
      </c>
      <c r="D1646" s="2" t="s">
        <v>107</v>
      </c>
      <c r="E1646" s="2"/>
      <c r="F1646" s="35">
        <v>4.5</v>
      </c>
      <c r="G1646" s="35">
        <v>21.460807366887774</v>
      </c>
      <c r="H1646" s="35">
        <v>7.9078744964393426</v>
      </c>
      <c r="I1646" s="35">
        <v>4.8989408052163404E-2</v>
      </c>
      <c r="J1646" s="35">
        <v>-3.5183887347731428E-3</v>
      </c>
      <c r="K1646" s="35">
        <v>0.21664952335952486</v>
      </c>
      <c r="L1646" s="35">
        <v>-4.2754030735962631</v>
      </c>
      <c r="M1646" s="58" t="s">
        <v>24</v>
      </c>
      <c r="N1646" s="7">
        <v>9.5</v>
      </c>
      <c r="O1646" s="7" t="s">
        <v>179</v>
      </c>
      <c r="P1646" s="7" t="s">
        <v>179</v>
      </c>
    </row>
    <row r="1647" spans="1:16" x14ac:dyDescent="0.25">
      <c r="A1647" s="2" t="s">
        <v>181</v>
      </c>
      <c r="B1647" s="2" t="s">
        <v>194</v>
      </c>
      <c r="C1647" s="6" t="s">
        <v>141</v>
      </c>
      <c r="D1647" s="2" t="s">
        <v>107</v>
      </c>
      <c r="E1647" s="2"/>
      <c r="F1647" s="35">
        <v>4.5</v>
      </c>
      <c r="G1647" s="35">
        <v>22.237755829776102</v>
      </c>
      <c r="H1647" s="35">
        <v>7.9078396134215412</v>
      </c>
      <c r="I1647" s="35">
        <v>4.3294076102622724E-2</v>
      </c>
      <c r="J1647" s="35">
        <v>2.6797704190146517E-3</v>
      </c>
      <c r="K1647" s="35">
        <v>0.21665448297356238</v>
      </c>
      <c r="L1647" s="35">
        <v>-3.3042162122403114</v>
      </c>
      <c r="M1647" s="58" t="s">
        <v>24</v>
      </c>
      <c r="N1647" s="7">
        <v>9.5</v>
      </c>
      <c r="O1647" s="7" t="s">
        <v>179</v>
      </c>
      <c r="P1647" s="7" t="s">
        <v>179</v>
      </c>
    </row>
    <row r="1648" spans="1:16" x14ac:dyDescent="0.25">
      <c r="A1648" s="2" t="s">
        <v>181</v>
      </c>
      <c r="B1648" s="2" t="s">
        <v>194</v>
      </c>
      <c r="C1648" s="6" t="s">
        <v>141</v>
      </c>
      <c r="D1648" s="2" t="s">
        <v>107</v>
      </c>
      <c r="E1648" s="2"/>
      <c r="F1648" s="35">
        <v>8.9965005885644871</v>
      </c>
      <c r="G1648" s="35">
        <v>24.067376523462286</v>
      </c>
      <c r="H1648" s="35">
        <v>16.217372701088717</v>
      </c>
      <c r="I1648" s="35">
        <v>4.3294076102623237E-2</v>
      </c>
      <c r="J1648" s="35">
        <v>2.6797704190146517E-3</v>
      </c>
      <c r="K1648" s="35">
        <v>2.1982644296762419E-2</v>
      </c>
      <c r="L1648" s="35">
        <v>-57.54373189795961</v>
      </c>
      <c r="M1648" s="58" t="s">
        <v>23</v>
      </c>
      <c r="N1648" s="7">
        <v>9.5</v>
      </c>
      <c r="O1648" s="7" t="s">
        <v>179</v>
      </c>
      <c r="P1648" s="7" t="s">
        <v>179</v>
      </c>
    </row>
    <row r="1649" spans="1:16" x14ac:dyDescent="0.25">
      <c r="A1649" s="2" t="s">
        <v>181</v>
      </c>
      <c r="B1649" s="2" t="s">
        <v>194</v>
      </c>
      <c r="C1649" s="6" t="s">
        <v>141</v>
      </c>
      <c r="D1649" s="2" t="s">
        <v>108</v>
      </c>
      <c r="E1649" s="2"/>
      <c r="F1649" s="35">
        <v>0</v>
      </c>
      <c r="G1649" s="35">
        <v>73.541031711775673</v>
      </c>
      <c r="H1649" s="35">
        <v>49.800325027129922</v>
      </c>
      <c r="I1649" s="35">
        <v>1.1211700771897551E-2</v>
      </c>
      <c r="J1649" s="35">
        <v>2.5473392266983917E-4</v>
      </c>
      <c r="K1649" s="35">
        <v>0.10770911336551726</v>
      </c>
      <c r="L1649" s="35">
        <v>152.58055788171342</v>
      </c>
      <c r="M1649" s="58" t="s">
        <v>22</v>
      </c>
      <c r="N1649" s="7">
        <v>9.5</v>
      </c>
      <c r="O1649" s="7" t="s">
        <v>179</v>
      </c>
      <c r="P1649" s="7" t="s">
        <v>179</v>
      </c>
    </row>
    <row r="1650" spans="1:16" x14ac:dyDescent="0.25">
      <c r="A1650" s="2" t="s">
        <v>181</v>
      </c>
      <c r="B1650" s="2" t="s">
        <v>194</v>
      </c>
      <c r="C1650" s="6" t="s">
        <v>141</v>
      </c>
      <c r="D1650" s="2" t="s">
        <v>108</v>
      </c>
      <c r="E1650" s="2"/>
      <c r="F1650" s="35">
        <v>4.5</v>
      </c>
      <c r="G1650" s="35">
        <v>75.372076311775686</v>
      </c>
      <c r="H1650" s="35">
        <v>36.192325027129925</v>
      </c>
      <c r="I1650" s="35">
        <v>1.1211700771896716E-2</v>
      </c>
      <c r="J1650" s="35">
        <v>2.5473392266983917E-4</v>
      </c>
      <c r="K1650" s="35">
        <v>5.7256459891980166E-2</v>
      </c>
      <c r="L1650" s="35">
        <v>-40.902904740371241</v>
      </c>
      <c r="M1650" s="58" t="s">
        <v>24</v>
      </c>
      <c r="N1650" s="7">
        <v>9.5</v>
      </c>
      <c r="O1650" s="7" t="s">
        <v>179</v>
      </c>
      <c r="P1650" s="7" t="s">
        <v>179</v>
      </c>
    </row>
    <row r="1651" spans="1:16" x14ac:dyDescent="0.25">
      <c r="A1651" s="2" t="s">
        <v>181</v>
      </c>
      <c r="B1651" s="2" t="s">
        <v>194</v>
      </c>
      <c r="C1651" s="6" t="s">
        <v>141</v>
      </c>
      <c r="D1651" s="2" t="s">
        <v>108</v>
      </c>
      <c r="E1651" s="2"/>
      <c r="F1651" s="35">
        <v>4.5</v>
      </c>
      <c r="G1651" s="35">
        <v>76.149023682269629</v>
      </c>
      <c r="H1651" s="35">
        <v>36.192255670213925</v>
      </c>
      <c r="I1651" s="35">
        <v>1.145723705079211E-2</v>
      </c>
      <c r="J1651" s="35">
        <v>-3.0356137101980553E-4</v>
      </c>
      <c r="K1651" s="35">
        <v>5.7257248066849557E-2</v>
      </c>
      <c r="L1651" s="35">
        <v>-39.931722780215402</v>
      </c>
      <c r="M1651" s="58" t="s">
        <v>24</v>
      </c>
      <c r="N1651" s="7">
        <v>9.5</v>
      </c>
      <c r="O1651" s="7" t="s">
        <v>179</v>
      </c>
      <c r="P1651" s="7" t="s">
        <v>179</v>
      </c>
    </row>
    <row r="1652" spans="1:16" x14ac:dyDescent="0.25">
      <c r="A1652" s="2" t="s">
        <v>181</v>
      </c>
      <c r="B1652" s="2" t="s">
        <v>194</v>
      </c>
      <c r="C1652" s="6" t="s">
        <v>141</v>
      </c>
      <c r="D1652" s="2" t="s">
        <v>108</v>
      </c>
      <c r="E1652" s="2"/>
      <c r="F1652" s="35">
        <v>8.9965005885644871</v>
      </c>
      <c r="G1652" s="35">
        <v>77.97864437595581</v>
      </c>
      <c r="H1652" s="35">
        <v>22.594837890394917</v>
      </c>
      <c r="I1652" s="35">
        <v>1.1457237050791279E-2</v>
      </c>
      <c r="J1652" s="35">
        <v>-3.0356137101980553E-4</v>
      </c>
      <c r="K1652" s="35">
        <v>5.7397749246418505E-3</v>
      </c>
      <c r="L1652" s="35">
        <v>-172.09982317785202</v>
      </c>
      <c r="M1652" s="58" t="s">
        <v>23</v>
      </c>
      <c r="N1652" s="7">
        <v>9.5</v>
      </c>
      <c r="O1652" s="7" t="s">
        <v>179</v>
      </c>
      <c r="P1652" s="7" t="s">
        <v>179</v>
      </c>
    </row>
    <row r="1653" spans="1:16" x14ac:dyDescent="0.25">
      <c r="A1653" s="2" t="s">
        <v>181</v>
      </c>
      <c r="B1653" s="2" t="s">
        <v>194</v>
      </c>
      <c r="C1653" s="6" t="s">
        <v>141</v>
      </c>
      <c r="D1653" s="2" t="s">
        <v>109</v>
      </c>
      <c r="E1653" s="2"/>
      <c r="F1653" s="35">
        <v>0</v>
      </c>
      <c r="G1653" s="35">
        <v>-43.95161198466365</v>
      </c>
      <c r="H1653" s="35">
        <v>27.381445823703523</v>
      </c>
      <c r="I1653" s="35">
        <v>1.1310269876057712E-2</v>
      </c>
      <c r="J1653" s="35">
        <v>-3.530573978389708E-4</v>
      </c>
      <c r="K1653" s="35">
        <v>0.104928008164513</v>
      </c>
      <c r="L1653" s="35">
        <v>83.783721167591395</v>
      </c>
      <c r="M1653" s="58" t="s">
        <v>22</v>
      </c>
      <c r="N1653" s="7">
        <v>9.5</v>
      </c>
      <c r="O1653" s="7" t="s">
        <v>179</v>
      </c>
      <c r="P1653" s="7" t="s">
        <v>179</v>
      </c>
    </row>
    <row r="1654" spans="1:16" x14ac:dyDescent="0.25">
      <c r="A1654" s="2" t="s">
        <v>181</v>
      </c>
      <c r="B1654" s="2" t="s">
        <v>194</v>
      </c>
      <c r="C1654" s="6" t="s">
        <v>141</v>
      </c>
      <c r="D1654" s="2" t="s">
        <v>109</v>
      </c>
      <c r="E1654" s="2"/>
      <c r="F1654" s="35">
        <v>4.5</v>
      </c>
      <c r="G1654" s="35">
        <v>-42.120567384663659</v>
      </c>
      <c r="H1654" s="35">
        <v>3.1894458237035246</v>
      </c>
      <c r="I1654" s="35">
        <v>1.1310269876056229E-2</v>
      </c>
      <c r="J1654" s="35">
        <v>-3.530573978389708E-4</v>
      </c>
      <c r="K1654" s="35">
        <v>5.4031793722256645E-2</v>
      </c>
      <c r="L1654" s="35">
        <v>14.999214960925546</v>
      </c>
      <c r="M1654" s="58" t="s">
        <v>24</v>
      </c>
      <c r="N1654" s="7">
        <v>9.5</v>
      </c>
      <c r="O1654" s="7" t="s">
        <v>179</v>
      </c>
      <c r="P1654" s="7" t="s">
        <v>179</v>
      </c>
    </row>
    <row r="1655" spans="1:16" x14ac:dyDescent="0.25">
      <c r="A1655" s="2" t="s">
        <v>181</v>
      </c>
      <c r="B1655" s="2" t="s">
        <v>194</v>
      </c>
      <c r="C1655" s="6" t="s">
        <v>141</v>
      </c>
      <c r="D1655" s="2" t="s">
        <v>109</v>
      </c>
      <c r="E1655" s="2"/>
      <c r="F1655" s="35">
        <v>4.5</v>
      </c>
      <c r="G1655" s="35">
        <v>-41.343620038577001</v>
      </c>
      <c r="H1655" s="35">
        <v>3.1894463077293898</v>
      </c>
      <c r="I1655" s="35">
        <v>1.0811105456988834E-2</v>
      </c>
      <c r="J1655" s="35">
        <v>2.0707499857606308E-4</v>
      </c>
      <c r="K1655" s="35">
        <v>5.4032471549815698E-2</v>
      </c>
      <c r="L1655" s="35">
        <v>15.970397151019441</v>
      </c>
      <c r="M1655" s="58" t="s">
        <v>24</v>
      </c>
      <c r="N1655" s="7">
        <v>9.5</v>
      </c>
      <c r="O1655" s="7" t="s">
        <v>179</v>
      </c>
      <c r="P1655" s="7" t="s">
        <v>179</v>
      </c>
    </row>
    <row r="1656" spans="1:16" x14ac:dyDescent="0.25">
      <c r="A1656" s="2" t="s">
        <v>181</v>
      </c>
      <c r="B1656" s="2" t="s">
        <v>194</v>
      </c>
      <c r="C1656" s="6" t="s">
        <v>141</v>
      </c>
      <c r="D1656" s="2" t="s">
        <v>109</v>
      </c>
      <c r="E1656" s="2"/>
      <c r="F1656" s="35">
        <v>8.9965005885644871</v>
      </c>
      <c r="G1656" s="35">
        <v>-39.513999344890813</v>
      </c>
      <c r="H1656" s="35">
        <v>-20.983740856393297</v>
      </c>
      <c r="I1656" s="35">
        <v>1.0811105456987354E-2</v>
      </c>
      <c r="J1656" s="35">
        <v>2.0707499857606308E-4</v>
      </c>
      <c r="K1656" s="35">
        <v>5.420329499435988E-3</v>
      </c>
      <c r="L1656" s="35">
        <v>55.976425106598008</v>
      </c>
      <c r="M1656" s="58" t="s">
        <v>23</v>
      </c>
      <c r="N1656" s="7">
        <v>9.5</v>
      </c>
      <c r="O1656" s="7" t="s">
        <v>179</v>
      </c>
      <c r="P1656" s="7" t="s">
        <v>179</v>
      </c>
    </row>
    <row r="1657" spans="1:16" x14ac:dyDescent="0.25">
      <c r="A1657" s="2" t="s">
        <v>181</v>
      </c>
      <c r="B1657" s="2" t="s">
        <v>194</v>
      </c>
      <c r="C1657" s="6" t="s">
        <v>141</v>
      </c>
      <c r="D1657" s="2" t="s">
        <v>110</v>
      </c>
      <c r="E1657" s="2"/>
      <c r="F1657" s="35">
        <v>0</v>
      </c>
      <c r="G1657" s="35">
        <v>56.356802651767758</v>
      </c>
      <c r="H1657" s="35">
        <v>1.5944447629240055</v>
      </c>
      <c r="I1657" s="35">
        <v>9.3717588741694894E-3</v>
      </c>
      <c r="J1657" s="35">
        <v>2.219188270331663E-4</v>
      </c>
      <c r="K1657" s="35">
        <v>9.00802197287804E-2</v>
      </c>
      <c r="L1657" s="35">
        <v>13.161987877979163</v>
      </c>
      <c r="M1657" s="58" t="s">
        <v>22</v>
      </c>
      <c r="N1657" s="7">
        <v>9.5</v>
      </c>
      <c r="O1657" s="7" t="s">
        <v>179</v>
      </c>
      <c r="P1657" s="7" t="s">
        <v>179</v>
      </c>
    </row>
    <row r="1658" spans="1:16" x14ac:dyDescent="0.25">
      <c r="A1658" s="2" t="s">
        <v>181</v>
      </c>
      <c r="B1658" s="2" t="s">
        <v>194</v>
      </c>
      <c r="C1658" s="6" t="s">
        <v>141</v>
      </c>
      <c r="D1658" s="2" t="s">
        <v>110</v>
      </c>
      <c r="E1658" s="2"/>
      <c r="F1658" s="35">
        <v>4.5</v>
      </c>
      <c r="G1658" s="35">
        <v>58.187847251767764</v>
      </c>
      <c r="H1658" s="35">
        <v>15.958444762924008</v>
      </c>
      <c r="I1658" s="35">
        <v>9.3717588741703672E-3</v>
      </c>
      <c r="J1658" s="35">
        <v>2.219188270331663E-4</v>
      </c>
      <c r="K1658" s="35">
        <v>4.7907304795015745E-2</v>
      </c>
      <c r="L1658" s="35">
        <v>-26.332013555178857</v>
      </c>
      <c r="M1658" s="58" t="s">
        <v>24</v>
      </c>
      <c r="N1658" s="7">
        <v>9.5</v>
      </c>
      <c r="O1658" s="7" t="s">
        <v>179</v>
      </c>
      <c r="P1658" s="7" t="s">
        <v>179</v>
      </c>
    </row>
    <row r="1659" spans="1:16" x14ac:dyDescent="0.25">
      <c r="A1659" s="2" t="s">
        <v>181</v>
      </c>
      <c r="B1659" s="2" t="s">
        <v>194</v>
      </c>
      <c r="C1659" s="6" t="s">
        <v>141</v>
      </c>
      <c r="D1659" s="2" t="s">
        <v>110</v>
      </c>
      <c r="E1659" s="2"/>
      <c r="F1659" s="35">
        <v>4.5</v>
      </c>
      <c r="G1659" s="35">
        <v>58.964794567337179</v>
      </c>
      <c r="H1659" s="35">
        <v>15.958390222863612</v>
      </c>
      <c r="I1659" s="35">
        <v>9.5827029804488231E-3</v>
      </c>
      <c r="J1659" s="35">
        <v>-2.3749400349768352E-4</v>
      </c>
      <c r="K1659" s="35">
        <v>4.7907827527972527E-2</v>
      </c>
      <c r="L1659" s="35">
        <v>-25.360829400522736</v>
      </c>
      <c r="M1659" s="58" t="s">
        <v>24</v>
      </c>
      <c r="N1659" s="7">
        <v>9.5</v>
      </c>
      <c r="O1659" s="7" t="s">
        <v>179</v>
      </c>
      <c r="P1659" s="7" t="s">
        <v>179</v>
      </c>
    </row>
    <row r="1660" spans="1:16" x14ac:dyDescent="0.25">
      <c r="A1660" s="2" t="s">
        <v>181</v>
      </c>
      <c r="B1660" s="2" t="s">
        <v>194</v>
      </c>
      <c r="C1660" s="6" t="s">
        <v>141</v>
      </c>
      <c r="D1660" s="2" t="s">
        <v>110</v>
      </c>
      <c r="E1660" s="2"/>
      <c r="F1660" s="35">
        <v>8.9965005885644871</v>
      </c>
      <c r="G1660" s="35">
        <v>60.794415261023367</v>
      </c>
      <c r="H1660" s="35">
        <v>30.31122010156146</v>
      </c>
      <c r="I1660" s="35">
        <v>9.5827029804497026E-3</v>
      </c>
      <c r="J1660" s="35">
        <v>-2.3749400349768352E-4</v>
      </c>
      <c r="K1660" s="35">
        <v>4.8191979363437516E-3</v>
      </c>
      <c r="L1660" s="35">
        <v>-129.38649442873614</v>
      </c>
      <c r="M1660" s="58" t="s">
        <v>23</v>
      </c>
      <c r="N1660" s="7">
        <v>9.5</v>
      </c>
      <c r="O1660" s="7" t="s">
        <v>179</v>
      </c>
      <c r="P1660" s="7" t="s">
        <v>179</v>
      </c>
    </row>
    <row r="1661" spans="1:16" x14ac:dyDescent="0.25">
      <c r="A1661" s="2" t="s">
        <v>181</v>
      </c>
      <c r="B1661" s="2" t="s">
        <v>194</v>
      </c>
      <c r="C1661" s="6" t="s">
        <v>141</v>
      </c>
      <c r="D1661" s="2" t="s">
        <v>111</v>
      </c>
      <c r="E1661" s="2"/>
      <c r="F1661" s="35">
        <v>0</v>
      </c>
      <c r="G1661" s="35">
        <v>3.1075598203218973</v>
      </c>
      <c r="H1661" s="35">
        <v>-13.453507003969619</v>
      </c>
      <c r="I1661" s="35">
        <v>9.8665937250282682E-3</v>
      </c>
      <c r="J1661" s="35">
        <v>-7.3171620003995323E-5</v>
      </c>
      <c r="K1661" s="35">
        <v>9.276792933832459E-2</v>
      </c>
      <c r="L1661" s="35">
        <v>-80.90092784724537</v>
      </c>
      <c r="M1661" s="58" t="s">
        <v>22</v>
      </c>
      <c r="N1661" s="7">
        <v>9.5</v>
      </c>
      <c r="O1661" s="7" t="s">
        <v>179</v>
      </c>
      <c r="P1661" s="7" t="s">
        <v>179</v>
      </c>
    </row>
    <row r="1662" spans="1:16" x14ac:dyDescent="0.25">
      <c r="A1662" s="2" t="s">
        <v>181</v>
      </c>
      <c r="B1662" s="2" t="s">
        <v>194</v>
      </c>
      <c r="C1662" s="6" t="s">
        <v>141</v>
      </c>
      <c r="D1662" s="2" t="s">
        <v>111</v>
      </c>
      <c r="E1662" s="2"/>
      <c r="F1662" s="35">
        <v>4.5</v>
      </c>
      <c r="G1662" s="35">
        <v>4.9386044203218979</v>
      </c>
      <c r="H1662" s="35">
        <v>-9.6735070039696183</v>
      </c>
      <c r="I1662" s="35">
        <v>9.8665937250285007E-3</v>
      </c>
      <c r="J1662" s="35">
        <v>-7.3171620003995323E-5</v>
      </c>
      <c r="K1662" s="35">
        <v>4.8368257575696863E-2</v>
      </c>
      <c r="L1662" s="35">
        <v>-28.865146329382085</v>
      </c>
      <c r="M1662" s="58" t="s">
        <v>24</v>
      </c>
      <c r="N1662" s="7">
        <v>9.5</v>
      </c>
      <c r="O1662" s="7" t="s">
        <v>179</v>
      </c>
      <c r="P1662" s="7" t="s">
        <v>179</v>
      </c>
    </row>
    <row r="1663" spans="1:16" x14ac:dyDescent="0.25">
      <c r="A1663" s="2" t="s">
        <v>181</v>
      </c>
      <c r="B1663" s="2" t="s">
        <v>194</v>
      </c>
      <c r="C1663" s="6" t="s">
        <v>141</v>
      </c>
      <c r="D1663" s="2" t="s">
        <v>111</v>
      </c>
      <c r="E1663" s="2"/>
      <c r="F1663" s="35">
        <v>4.5</v>
      </c>
      <c r="G1663" s="35">
        <v>5.7155517285718327</v>
      </c>
      <c r="H1663" s="35">
        <v>-9.6735440798415393</v>
      </c>
      <c r="I1663" s="35">
        <v>9.6803525832457778E-3</v>
      </c>
      <c r="J1663" s="35">
        <v>-1.5614574895479217E-5</v>
      </c>
      <c r="K1663" s="35">
        <v>4.8368739506442819E-2</v>
      </c>
      <c r="L1663" s="35">
        <v>-27.893962123638605</v>
      </c>
      <c r="M1663" s="58" t="s">
        <v>24</v>
      </c>
      <c r="N1663" s="7">
        <v>9.5</v>
      </c>
      <c r="O1663" s="7" t="s">
        <v>179</v>
      </c>
      <c r="P1663" s="7" t="s">
        <v>179</v>
      </c>
    </row>
    <row r="1664" spans="1:16" x14ac:dyDescent="0.25">
      <c r="A1664" s="2" t="s">
        <v>181</v>
      </c>
      <c r="B1664" s="2" t="s">
        <v>194</v>
      </c>
      <c r="C1664" s="6" t="s">
        <v>141</v>
      </c>
      <c r="D1664" s="2" t="s">
        <v>111</v>
      </c>
      <c r="E1664" s="2"/>
      <c r="F1664" s="35">
        <v>8.9965005885644871</v>
      </c>
      <c r="G1664" s="35">
        <v>7.5451724222580179</v>
      </c>
      <c r="H1664" s="35">
        <v>-5.8964835854473705</v>
      </c>
      <c r="I1664" s="35">
        <v>9.6803525832460085E-3</v>
      </c>
      <c r="J1664" s="35">
        <v>-1.5614574895479217E-5</v>
      </c>
      <c r="K1664" s="35">
        <v>4.8410284183659068E-3</v>
      </c>
      <c r="L1664" s="35">
        <v>7.111357156829869</v>
      </c>
      <c r="M1664" s="58" t="s">
        <v>23</v>
      </c>
      <c r="N1664" s="7">
        <v>9.5</v>
      </c>
      <c r="O1664" s="7" t="s">
        <v>179</v>
      </c>
      <c r="P1664" s="7" t="s">
        <v>179</v>
      </c>
    </row>
    <row r="1665" spans="1:16" x14ac:dyDescent="0.25">
      <c r="A1665" s="2" t="s">
        <v>181</v>
      </c>
      <c r="B1665" s="2" t="s">
        <v>194</v>
      </c>
      <c r="C1665" s="6" t="s">
        <v>141</v>
      </c>
      <c r="D1665" s="2" t="s">
        <v>112</v>
      </c>
      <c r="E1665" s="2"/>
      <c r="F1665" s="35">
        <v>0</v>
      </c>
      <c r="G1665" s="35">
        <v>31.238212777432004</v>
      </c>
      <c r="H1665" s="35">
        <v>-15.545719482566021</v>
      </c>
      <c r="I1665" s="35">
        <v>-4.9003540863293817E-2</v>
      </c>
      <c r="J1665" s="35">
        <v>3.605705709518374E-3</v>
      </c>
      <c r="K1665" s="35">
        <v>-0.43861912889449478</v>
      </c>
      <c r="L1665" s="35">
        <v>-9.2287087132372232</v>
      </c>
      <c r="M1665" s="58" t="s">
        <v>22</v>
      </c>
      <c r="N1665" s="7">
        <v>9.5</v>
      </c>
      <c r="O1665" s="7" t="s">
        <v>179</v>
      </c>
      <c r="P1665" s="7" t="s">
        <v>179</v>
      </c>
    </row>
    <row r="1666" spans="1:16" x14ac:dyDescent="0.25">
      <c r="A1666" s="2" t="s">
        <v>181</v>
      </c>
      <c r="B1666" s="2" t="s">
        <v>194</v>
      </c>
      <c r="C1666" s="6" t="s">
        <v>141</v>
      </c>
      <c r="D1666" s="2" t="s">
        <v>112</v>
      </c>
      <c r="E1666" s="2"/>
      <c r="F1666" s="35">
        <v>4.5</v>
      </c>
      <c r="G1666" s="35">
        <v>33.069257377432002</v>
      </c>
      <c r="H1666" s="35">
        <v>8.2682805174339791</v>
      </c>
      <c r="I1666" s="35">
        <v>-4.9003540863292359E-2</v>
      </c>
      <c r="J1666" s="35">
        <v>3.605705709518374E-3</v>
      </c>
      <c r="K1666" s="35">
        <v>-0.21810319500967584</v>
      </c>
      <c r="L1666" s="35">
        <v>7.145528958309872</v>
      </c>
      <c r="M1666" s="58" t="s">
        <v>24</v>
      </c>
      <c r="N1666" s="7">
        <v>9.5</v>
      </c>
      <c r="O1666" s="7" t="s">
        <v>179</v>
      </c>
      <c r="P1666" s="7" t="s">
        <v>179</v>
      </c>
    </row>
    <row r="1667" spans="1:16" x14ac:dyDescent="0.25">
      <c r="A1667" s="2" t="s">
        <v>181</v>
      </c>
      <c r="B1667" s="2" t="s">
        <v>194</v>
      </c>
      <c r="C1667" s="6" t="s">
        <v>141</v>
      </c>
      <c r="D1667" s="2" t="s">
        <v>112</v>
      </c>
      <c r="E1667" s="2"/>
      <c r="F1667" s="35">
        <v>4.5</v>
      </c>
      <c r="G1667" s="35">
        <v>33.846202987086755</v>
      </c>
      <c r="H1667" s="35">
        <v>8.2681982432289498</v>
      </c>
      <c r="I1667" s="35">
        <v>-4.3586580551501851E-2</v>
      </c>
      <c r="J1667" s="35">
        <v>-2.7538297579152993E-3</v>
      </c>
      <c r="K1667" s="35">
        <v>-0.21810997723616535</v>
      </c>
      <c r="L1667" s="35">
        <v>8.116711397970457</v>
      </c>
      <c r="M1667" s="58" t="s">
        <v>24</v>
      </c>
      <c r="N1667" s="7">
        <v>9.5</v>
      </c>
      <c r="O1667" s="7" t="s">
        <v>179</v>
      </c>
      <c r="P1667" s="7" t="s">
        <v>179</v>
      </c>
    </row>
    <row r="1668" spans="1:16" x14ac:dyDescent="0.25">
      <c r="A1668" s="2" t="s">
        <v>181</v>
      </c>
      <c r="B1668" s="2" t="s">
        <v>194</v>
      </c>
      <c r="C1668" s="6" t="s">
        <v>141</v>
      </c>
      <c r="D1668" s="2" t="s">
        <v>112</v>
      </c>
      <c r="E1668" s="2"/>
      <c r="F1668" s="35">
        <v>8.9965005885644871</v>
      </c>
      <c r="G1668" s="35">
        <v>35.675823680772943</v>
      </c>
      <c r="H1668" s="35">
        <v>32.063679357912221</v>
      </c>
      <c r="I1668" s="35">
        <v>-4.3586580551500394E-2</v>
      </c>
      <c r="J1668" s="35">
        <v>-2.7538297579152993E-3</v>
      </c>
      <c r="K1668" s="35">
        <v>-2.2122892132827102E-2</v>
      </c>
      <c r="L1668" s="35">
        <v>-82.55944428775058</v>
      </c>
      <c r="M1668" s="58" t="s">
        <v>23</v>
      </c>
      <c r="N1668" s="7">
        <v>9.5</v>
      </c>
      <c r="O1668" s="7" t="s">
        <v>179</v>
      </c>
      <c r="P1668" s="7" t="s">
        <v>179</v>
      </c>
    </row>
    <row r="1669" spans="1:16" x14ac:dyDescent="0.25">
      <c r="A1669" s="2" t="s">
        <v>181</v>
      </c>
      <c r="B1669" s="2" t="s">
        <v>194</v>
      </c>
      <c r="C1669" s="6" t="s">
        <v>141</v>
      </c>
      <c r="D1669" s="2" t="s">
        <v>113</v>
      </c>
      <c r="E1669" s="2"/>
      <c r="F1669" s="35">
        <v>0</v>
      </c>
      <c r="G1669" s="35">
        <v>-6.4591115650676931</v>
      </c>
      <c r="H1669" s="35">
        <v>-18.542665351264951</v>
      </c>
      <c r="I1669" s="35">
        <v>-5.1875853689002757E-2</v>
      </c>
      <c r="J1669" s="35">
        <v>3.4362504591235574E-3</v>
      </c>
      <c r="K1669" s="35">
        <v>-0.46683198084831773</v>
      </c>
      <c r="L1669" s="35">
        <v>-35.622781380774398</v>
      </c>
      <c r="M1669" s="58" t="s">
        <v>22</v>
      </c>
      <c r="N1669" s="7">
        <v>9.5</v>
      </c>
      <c r="O1669" s="7" t="s">
        <v>179</v>
      </c>
      <c r="P1669" s="7" t="s">
        <v>179</v>
      </c>
    </row>
    <row r="1670" spans="1:16" x14ac:dyDescent="0.25">
      <c r="A1670" s="2" t="s">
        <v>181</v>
      </c>
      <c r="B1670" s="2" t="s">
        <v>194</v>
      </c>
      <c r="C1670" s="6" t="s">
        <v>141</v>
      </c>
      <c r="D1670" s="2" t="s">
        <v>113</v>
      </c>
      <c r="E1670" s="2"/>
      <c r="F1670" s="35">
        <v>4.5</v>
      </c>
      <c r="G1670" s="35">
        <v>-4.6280669650676929</v>
      </c>
      <c r="H1670" s="35">
        <v>-4.2542653512649498</v>
      </c>
      <c r="I1670" s="35">
        <v>-5.1875853689001883E-2</v>
      </c>
      <c r="J1670" s="35">
        <v>3.4362504591235574E-3</v>
      </c>
      <c r="K1670" s="35">
        <v>-0.23339063924780729</v>
      </c>
      <c r="L1670" s="35">
        <v>15.670312699917876</v>
      </c>
      <c r="M1670" s="58" t="s">
        <v>24</v>
      </c>
      <c r="N1670" s="7">
        <v>9.5</v>
      </c>
      <c r="O1670" s="7" t="s">
        <v>179</v>
      </c>
      <c r="P1670" s="7" t="s">
        <v>179</v>
      </c>
    </row>
    <row r="1671" spans="1:16" x14ac:dyDescent="0.25">
      <c r="A1671" s="2" t="s">
        <v>181</v>
      </c>
      <c r="B1671" s="2" t="s">
        <v>194</v>
      </c>
      <c r="C1671" s="6" t="s">
        <v>141</v>
      </c>
      <c r="D1671" s="2" t="s">
        <v>113</v>
      </c>
      <c r="E1671" s="2"/>
      <c r="F1671" s="35">
        <v>4.5</v>
      </c>
      <c r="G1671" s="35">
        <v>-3.85112144457882</v>
      </c>
      <c r="H1671" s="35">
        <v>-4.2543179447802117</v>
      </c>
      <c r="I1671" s="35">
        <v>-4.6645208005939534E-2</v>
      </c>
      <c r="J1671" s="35">
        <v>-2.5941097377003182E-3</v>
      </c>
      <c r="K1671" s="35">
        <v>-0.23339785772035082</v>
      </c>
      <c r="L1671" s="35">
        <v>16.641495748133956</v>
      </c>
      <c r="M1671" s="58" t="s">
        <v>24</v>
      </c>
      <c r="N1671" s="7">
        <v>9.5</v>
      </c>
      <c r="O1671" s="7" t="s">
        <v>179</v>
      </c>
      <c r="P1671" s="7" t="s">
        <v>179</v>
      </c>
    </row>
    <row r="1672" spans="1:16" x14ac:dyDescent="0.25">
      <c r="A1672" s="2" t="s">
        <v>181</v>
      </c>
      <c r="B1672" s="2" t="s">
        <v>194</v>
      </c>
      <c r="C1672" s="6" t="s">
        <v>141</v>
      </c>
      <c r="D1672" s="2" t="s">
        <v>113</v>
      </c>
      <c r="E1672" s="2"/>
      <c r="F1672" s="35">
        <v>8.9965005885644871</v>
      </c>
      <c r="G1672" s="35">
        <v>-2.0215007508926353</v>
      </c>
      <c r="H1672" s="35">
        <v>10.022970724029753</v>
      </c>
      <c r="I1672" s="35">
        <v>-4.664520800593866E-2</v>
      </c>
      <c r="J1672" s="35">
        <v>-2.5941097377003182E-3</v>
      </c>
      <c r="K1672" s="35">
        <v>-2.3657652467932725E-2</v>
      </c>
      <c r="L1672" s="35">
        <v>3.6721204395741065</v>
      </c>
      <c r="M1672" s="58" t="s">
        <v>23</v>
      </c>
      <c r="N1672" s="7">
        <v>9.5</v>
      </c>
      <c r="O1672" s="7" t="s">
        <v>179</v>
      </c>
      <c r="P1672" s="7" t="s">
        <v>179</v>
      </c>
    </row>
    <row r="1673" spans="1:16" x14ac:dyDescent="0.25">
      <c r="A1673" s="2" t="s">
        <v>181</v>
      </c>
      <c r="B1673" s="2" t="s">
        <v>194</v>
      </c>
      <c r="C1673" s="6" t="s">
        <v>141</v>
      </c>
      <c r="D1673" s="2" t="s">
        <v>114</v>
      </c>
      <c r="E1673" s="2"/>
      <c r="F1673" s="35">
        <v>0</v>
      </c>
      <c r="G1673" s="35">
        <v>25.580047497168309</v>
      </c>
      <c r="H1673" s="35">
        <v>-9.1954285120801913</v>
      </c>
      <c r="I1673" s="35">
        <v>4.83134984649852E-2</v>
      </c>
      <c r="J1673" s="35">
        <v>-3.1706883394096086E-3</v>
      </c>
      <c r="K1673" s="35">
        <v>0.43339262312014426</v>
      </c>
      <c r="L1673" s="35">
        <v>-0.71536709461764969</v>
      </c>
      <c r="M1673" s="58" t="s">
        <v>22</v>
      </c>
      <c r="N1673" s="7">
        <v>9.5</v>
      </c>
      <c r="O1673" s="7" t="s">
        <v>179</v>
      </c>
      <c r="P1673" s="7" t="s">
        <v>179</v>
      </c>
    </row>
    <row r="1674" spans="1:16" x14ac:dyDescent="0.25">
      <c r="A1674" s="2" t="s">
        <v>181</v>
      </c>
      <c r="B1674" s="2" t="s">
        <v>194</v>
      </c>
      <c r="C1674" s="6" t="s">
        <v>141</v>
      </c>
      <c r="D1674" s="2" t="s">
        <v>114</v>
      </c>
      <c r="E1674" s="2"/>
      <c r="F1674" s="35">
        <v>4.5</v>
      </c>
      <c r="G1674" s="35">
        <v>27.411092097168311</v>
      </c>
      <c r="H1674" s="35">
        <v>7.8145714879198112</v>
      </c>
      <c r="I1674" s="35">
        <v>4.831349846498624E-2</v>
      </c>
      <c r="J1674" s="35">
        <v>-3.1706883394096086E-3</v>
      </c>
      <c r="K1674" s="35">
        <v>0.21598188002770854</v>
      </c>
      <c r="L1674" s="35">
        <v>2.3915612097432084</v>
      </c>
      <c r="M1674" s="58" t="s">
        <v>24</v>
      </c>
      <c r="N1674" s="7">
        <v>9.5</v>
      </c>
      <c r="O1674" s="7" t="s">
        <v>179</v>
      </c>
      <c r="P1674" s="7" t="s">
        <v>179</v>
      </c>
    </row>
    <row r="1675" spans="1:16" x14ac:dyDescent="0.25">
      <c r="A1675" s="2" t="s">
        <v>181</v>
      </c>
      <c r="B1675" s="2" t="s">
        <v>194</v>
      </c>
      <c r="C1675" s="6" t="s">
        <v>141</v>
      </c>
      <c r="D1675" s="2" t="s">
        <v>114</v>
      </c>
      <c r="E1675" s="2"/>
      <c r="F1675" s="35">
        <v>4.5</v>
      </c>
      <c r="G1675" s="35">
        <v>28.188040540460019</v>
      </c>
      <c r="H1675" s="35">
        <v>7.8145298840053128</v>
      </c>
      <c r="I1675" s="35">
        <v>4.3165011579281883E-2</v>
      </c>
      <c r="J1675" s="35">
        <v>2.3915306381322552E-3</v>
      </c>
      <c r="K1675" s="35">
        <v>0.21598686230496161</v>
      </c>
      <c r="L1675" s="35">
        <v>3.3627477786269888</v>
      </c>
      <c r="M1675" s="58" t="s">
        <v>24</v>
      </c>
      <c r="N1675" s="7">
        <v>9.5</v>
      </c>
      <c r="O1675" s="7" t="s">
        <v>179</v>
      </c>
      <c r="P1675" s="7" t="s">
        <v>179</v>
      </c>
    </row>
    <row r="1676" spans="1:16" x14ac:dyDescent="0.25">
      <c r="A1676" s="2" t="s">
        <v>181</v>
      </c>
      <c r="B1676" s="2" t="s">
        <v>194</v>
      </c>
      <c r="C1676" s="6" t="s">
        <v>141</v>
      </c>
      <c r="D1676" s="2" t="s">
        <v>114</v>
      </c>
      <c r="E1676" s="2"/>
      <c r="F1676" s="35">
        <v>8.9965005885644871</v>
      </c>
      <c r="G1676" s="35">
        <v>30.017661234146203</v>
      </c>
      <c r="H1676" s="35">
        <v>24.811302108779081</v>
      </c>
      <c r="I1676" s="35">
        <v>4.3165011579282916E-2</v>
      </c>
      <c r="J1676" s="35">
        <v>2.3915306381322552E-3</v>
      </c>
      <c r="K1676" s="35">
        <v>2.1895362333325362E-2</v>
      </c>
      <c r="L1676" s="35">
        <v>-69.988288600353556</v>
      </c>
      <c r="M1676" s="58" t="s">
        <v>23</v>
      </c>
      <c r="N1676" s="7">
        <v>9.5</v>
      </c>
      <c r="O1676" s="7" t="s">
        <v>179</v>
      </c>
      <c r="P1676" s="7" t="s">
        <v>179</v>
      </c>
    </row>
    <row r="1677" spans="1:16" x14ac:dyDescent="0.25">
      <c r="A1677" s="2" t="s">
        <v>181</v>
      </c>
      <c r="B1677" s="2" t="s">
        <v>194</v>
      </c>
      <c r="C1677" s="6" t="s">
        <v>141</v>
      </c>
      <c r="D1677" s="2" t="s">
        <v>115</v>
      </c>
      <c r="E1677" s="2"/>
      <c r="F1677" s="35">
        <v>0</v>
      </c>
      <c r="G1677" s="35">
        <v>-12.117382128169467</v>
      </c>
      <c r="H1677" s="35">
        <v>-12.191690868228058</v>
      </c>
      <c r="I1677" s="35">
        <v>4.548365968892934E-2</v>
      </c>
      <c r="J1677" s="35">
        <v>-3.3428131721795411E-3</v>
      </c>
      <c r="K1677" s="35">
        <v>0.40556021092336997</v>
      </c>
      <c r="L1677" s="35">
        <v>-27.107420716280362</v>
      </c>
      <c r="M1677" s="58" t="s">
        <v>22</v>
      </c>
      <c r="N1677" s="7">
        <v>9.5</v>
      </c>
      <c r="O1677" s="7" t="s">
        <v>179</v>
      </c>
      <c r="P1677" s="7" t="s">
        <v>179</v>
      </c>
    </row>
    <row r="1678" spans="1:16" x14ac:dyDescent="0.25">
      <c r="A1678" s="2" t="s">
        <v>181</v>
      </c>
      <c r="B1678" s="2" t="s">
        <v>194</v>
      </c>
      <c r="C1678" s="6" t="s">
        <v>141</v>
      </c>
      <c r="D1678" s="2" t="s">
        <v>115</v>
      </c>
      <c r="E1678" s="2"/>
      <c r="F1678" s="35">
        <v>4.5</v>
      </c>
      <c r="G1678" s="35">
        <v>-10.286337528169465</v>
      </c>
      <c r="H1678" s="35">
        <v>-4.707290868228057</v>
      </c>
      <c r="I1678" s="35">
        <v>4.5483659688929798E-2</v>
      </c>
      <c r="J1678" s="35">
        <v>-3.3428131721795411E-3</v>
      </c>
      <c r="K1678" s="35">
        <v>0.20088374232318695</v>
      </c>
      <c r="L1678" s="35">
        <v>10.915288190745901</v>
      </c>
      <c r="M1678" s="58" t="s">
        <v>24</v>
      </c>
      <c r="N1678" s="7">
        <v>9.5</v>
      </c>
      <c r="O1678" s="7" t="s">
        <v>179</v>
      </c>
      <c r="P1678" s="7" t="s">
        <v>179</v>
      </c>
    </row>
    <row r="1679" spans="1:16" x14ac:dyDescent="0.25">
      <c r="A1679" s="2" t="s">
        <v>181</v>
      </c>
      <c r="B1679" s="2" t="s">
        <v>194</v>
      </c>
      <c r="C1679" s="6" t="s">
        <v>141</v>
      </c>
      <c r="D1679" s="2" t="s">
        <v>115</v>
      </c>
      <c r="E1679" s="2"/>
      <c r="F1679" s="35">
        <v>4.5</v>
      </c>
      <c r="G1679" s="35">
        <v>-9.50938917286806</v>
      </c>
      <c r="H1679" s="35">
        <v>-4.7073030256263273</v>
      </c>
      <c r="I1679" s="35">
        <v>4.014434328071604E-2</v>
      </c>
      <c r="J1679" s="35">
        <v>2.5527010424055197E-3</v>
      </c>
      <c r="K1679" s="35">
        <v>0.20088829330473629</v>
      </c>
      <c r="L1679" s="35">
        <v>11.886475366506575</v>
      </c>
      <c r="M1679" s="58" t="s">
        <v>24</v>
      </c>
      <c r="N1679" s="7">
        <v>9.5</v>
      </c>
      <c r="O1679" s="7" t="s">
        <v>179</v>
      </c>
      <c r="P1679" s="7" t="s">
        <v>179</v>
      </c>
    </row>
    <row r="1680" spans="1:16" x14ac:dyDescent="0.25">
      <c r="A1680" s="2" t="s">
        <v>181</v>
      </c>
      <c r="B1680" s="2" t="s">
        <v>194</v>
      </c>
      <c r="C1680" s="6" t="s">
        <v>141</v>
      </c>
      <c r="D1680" s="2" t="s">
        <v>115</v>
      </c>
      <c r="E1680" s="2"/>
      <c r="F1680" s="35">
        <v>8.9965005885644871</v>
      </c>
      <c r="G1680" s="35">
        <v>-7.6797684791818739</v>
      </c>
      <c r="H1680" s="35">
        <v>2.7712767532741305</v>
      </c>
      <c r="I1680" s="35">
        <v>4.0144343280716498E-2</v>
      </c>
      <c r="J1680" s="35">
        <v>2.5527010424055197E-3</v>
      </c>
      <c r="K1680" s="35">
        <v>2.0379230115460757E-2</v>
      </c>
      <c r="L1680" s="35">
        <v>16.239147003060559</v>
      </c>
      <c r="M1680" s="58" t="s">
        <v>23</v>
      </c>
      <c r="N1680" s="7">
        <v>9.5</v>
      </c>
      <c r="O1680" s="7" t="s">
        <v>179</v>
      </c>
      <c r="P1680" s="7" t="s">
        <v>179</v>
      </c>
    </row>
    <row r="1681" spans="1:16" x14ac:dyDescent="0.25">
      <c r="A1681" s="2" t="s">
        <v>181</v>
      </c>
      <c r="B1681" s="2" t="s">
        <v>194</v>
      </c>
      <c r="C1681" s="6" t="s">
        <v>141</v>
      </c>
      <c r="D1681" s="2" t="s">
        <v>116</v>
      </c>
      <c r="E1681" s="2"/>
      <c r="F1681" s="35">
        <v>0</v>
      </c>
      <c r="G1681" s="35">
        <v>36.402759922229649</v>
      </c>
      <c r="H1681" s="35">
        <v>32.995914609393466</v>
      </c>
      <c r="I1681" s="35">
        <v>1.1483723136690528E-2</v>
      </c>
      <c r="J1681" s="35">
        <v>5.2997219519143173E-5</v>
      </c>
      <c r="K1681" s="35">
        <v>0.10910673931750242</v>
      </c>
      <c r="L1681" s="35">
        <v>98.875952432918993</v>
      </c>
      <c r="M1681" s="58" t="s">
        <v>22</v>
      </c>
      <c r="N1681" s="7">
        <v>9.5</v>
      </c>
      <c r="O1681" s="7" t="s">
        <v>179</v>
      </c>
      <c r="P1681" s="7" t="s">
        <v>179</v>
      </c>
    </row>
    <row r="1682" spans="1:16" x14ac:dyDescent="0.25">
      <c r="A1682" s="2" t="s">
        <v>181</v>
      </c>
      <c r="B1682" s="2" t="s">
        <v>194</v>
      </c>
      <c r="C1682" s="6" t="s">
        <v>141</v>
      </c>
      <c r="D1682" s="2" t="s">
        <v>116</v>
      </c>
      <c r="E1682" s="2"/>
      <c r="F1682" s="35">
        <v>4.5</v>
      </c>
      <c r="G1682" s="35">
        <v>38.233804522229647</v>
      </c>
      <c r="H1682" s="35">
        <v>20.748714609393467</v>
      </c>
      <c r="I1682" s="35">
        <v>1.1483723136689779E-2</v>
      </c>
      <c r="J1682" s="35">
        <v>5.2997219519143173E-5</v>
      </c>
      <c r="K1682" s="35">
        <v>5.742998520239672E-2</v>
      </c>
      <c r="L1682" s="35">
        <v>-22.049463309351577</v>
      </c>
      <c r="M1682" s="58" t="s">
        <v>24</v>
      </c>
      <c r="N1682" s="7">
        <v>9.5</v>
      </c>
      <c r="O1682" s="7" t="s">
        <v>179</v>
      </c>
      <c r="P1682" s="7" t="s">
        <v>179</v>
      </c>
    </row>
    <row r="1683" spans="1:16" x14ac:dyDescent="0.25">
      <c r="A1683" s="2" t="s">
        <v>181</v>
      </c>
      <c r="B1683" s="2" t="s">
        <v>194</v>
      </c>
      <c r="C1683" s="6" t="s">
        <v>141</v>
      </c>
      <c r="D1683" s="2" t="s">
        <v>116</v>
      </c>
      <c r="E1683" s="2"/>
      <c r="F1683" s="35">
        <v>4.5</v>
      </c>
      <c r="G1683" s="35">
        <v>39.010751894376135</v>
      </c>
      <c r="H1683" s="35">
        <v>20.748671425486819</v>
      </c>
      <c r="I1683" s="35">
        <v>1.1491188134068483E-2</v>
      </c>
      <c r="J1683" s="35">
        <v>-1.3229756862549199E-4</v>
      </c>
      <c r="K1683" s="35">
        <v>5.743078188869475E-2</v>
      </c>
      <c r="L1683" s="35">
        <v>-21.078280544670999</v>
      </c>
      <c r="M1683" s="58" t="s">
        <v>24</v>
      </c>
      <c r="N1683" s="7">
        <v>9.5</v>
      </c>
      <c r="O1683" s="7" t="s">
        <v>179</v>
      </c>
      <c r="P1683" s="7" t="s">
        <v>179</v>
      </c>
    </row>
    <row r="1684" spans="1:16" x14ac:dyDescent="0.25">
      <c r="A1684" s="2" t="s">
        <v>181</v>
      </c>
      <c r="B1684" s="2" t="s">
        <v>194</v>
      </c>
      <c r="C1684" s="6" t="s">
        <v>141</v>
      </c>
      <c r="D1684" s="2" t="s">
        <v>116</v>
      </c>
      <c r="E1684" s="2"/>
      <c r="F1684" s="35">
        <v>8.9965005885644871</v>
      </c>
      <c r="G1684" s="35">
        <v>40.840372588062323</v>
      </c>
      <c r="H1684" s="35">
        <v>8.5109954236497085</v>
      </c>
      <c r="I1684" s="35">
        <v>1.1491188134067734E-2</v>
      </c>
      <c r="J1684" s="35">
        <v>-1.3229756862549199E-4</v>
      </c>
      <c r="K1684" s="35">
        <v>5.7606476805522481E-3</v>
      </c>
      <c r="L1684" s="35">
        <v>-86.861335148842613</v>
      </c>
      <c r="M1684" s="58" t="s">
        <v>23</v>
      </c>
      <c r="N1684" s="7">
        <v>9.5</v>
      </c>
      <c r="O1684" s="7" t="s">
        <v>179</v>
      </c>
      <c r="P1684" s="7" t="s">
        <v>179</v>
      </c>
    </row>
    <row r="1685" spans="1:16" x14ac:dyDescent="0.25">
      <c r="A1685" s="2" t="s">
        <v>181</v>
      </c>
      <c r="B1685" s="2" t="s">
        <v>194</v>
      </c>
      <c r="C1685" s="6" t="s">
        <v>141</v>
      </c>
      <c r="D1685" s="2" t="s">
        <v>117</v>
      </c>
      <c r="E1685" s="2"/>
      <c r="F1685" s="35">
        <v>0</v>
      </c>
      <c r="G1685" s="35">
        <v>-69.340619404565743</v>
      </c>
      <c r="H1685" s="35">
        <v>12.818923326309706</v>
      </c>
      <c r="I1685" s="35">
        <v>1.1572435330434672E-2</v>
      </c>
      <c r="J1685" s="35">
        <v>-4.9401496893878584E-4</v>
      </c>
      <c r="K1685" s="35">
        <v>0.10660374463659857</v>
      </c>
      <c r="L1685" s="35">
        <v>36.958799390209201</v>
      </c>
      <c r="M1685" s="58" t="s">
        <v>22</v>
      </c>
      <c r="N1685" s="7">
        <v>9.5</v>
      </c>
      <c r="O1685" s="7" t="s">
        <v>179</v>
      </c>
      <c r="P1685" s="7" t="s">
        <v>179</v>
      </c>
    </row>
    <row r="1686" spans="1:16" x14ac:dyDescent="0.25">
      <c r="A1686" s="2" t="s">
        <v>181</v>
      </c>
      <c r="B1686" s="2" t="s">
        <v>194</v>
      </c>
      <c r="C1686" s="6" t="s">
        <v>141</v>
      </c>
      <c r="D1686" s="2" t="s">
        <v>117</v>
      </c>
      <c r="E1686" s="2"/>
      <c r="F1686" s="35">
        <v>4.5</v>
      </c>
      <c r="G1686" s="35">
        <v>-67.509574804565744</v>
      </c>
      <c r="H1686" s="35">
        <v>-8.9538766736902939</v>
      </c>
      <c r="I1686" s="35">
        <v>1.1572435330433339E-2</v>
      </c>
      <c r="J1686" s="35">
        <v>-4.9401496893878584E-4</v>
      </c>
      <c r="K1686" s="35">
        <v>5.4527785649645548E-2</v>
      </c>
      <c r="L1686" s="35">
        <v>28.26244442181553</v>
      </c>
      <c r="M1686" s="58" t="s">
        <v>24</v>
      </c>
      <c r="N1686" s="7">
        <v>9.5</v>
      </c>
      <c r="O1686" s="7" t="s">
        <v>179</v>
      </c>
      <c r="P1686" s="7" t="s">
        <v>179</v>
      </c>
    </row>
    <row r="1687" spans="1:16" x14ac:dyDescent="0.25">
      <c r="A1687" s="2" t="s">
        <v>181</v>
      </c>
      <c r="B1687" s="2" t="s">
        <v>194</v>
      </c>
      <c r="C1687" s="6" t="s">
        <v>141</v>
      </c>
      <c r="D1687" s="2" t="s">
        <v>117</v>
      </c>
      <c r="E1687" s="2"/>
      <c r="F1687" s="35">
        <v>4.5</v>
      </c>
      <c r="G1687" s="35">
        <v>-66.732627454385849</v>
      </c>
      <c r="H1687" s="35">
        <v>-8.9538570007492631</v>
      </c>
      <c r="I1687" s="35">
        <v>1.0909669699645533E-2</v>
      </c>
      <c r="J1687" s="35">
        <v>3.2727516401078973E-4</v>
      </c>
      <c r="K1687" s="35">
        <v>5.4528483023364285E-2</v>
      </c>
      <c r="L1687" s="35">
        <v>29.233627393440354</v>
      </c>
      <c r="M1687" s="58" t="s">
        <v>24</v>
      </c>
      <c r="N1687" s="7">
        <v>9.5</v>
      </c>
      <c r="O1687" s="7" t="s">
        <v>179</v>
      </c>
      <c r="P1687" s="7" t="s">
        <v>179</v>
      </c>
    </row>
    <row r="1688" spans="1:16" x14ac:dyDescent="0.25">
      <c r="A1688" s="2" t="s">
        <v>181</v>
      </c>
      <c r="B1688" s="2" t="s">
        <v>194</v>
      </c>
      <c r="C1688" s="6" t="s">
        <v>141</v>
      </c>
      <c r="D1688" s="2" t="s">
        <v>117</v>
      </c>
      <c r="E1688" s="2"/>
      <c r="F1688" s="35">
        <v>8.9965005885644871</v>
      </c>
      <c r="G1688" s="35">
        <v>-64.903006760699668</v>
      </c>
      <c r="H1688" s="35">
        <v>-30.709725448459682</v>
      </c>
      <c r="I1688" s="35">
        <v>1.0909669699644201E-2</v>
      </c>
      <c r="J1688" s="35">
        <v>3.2727516401078973E-4</v>
      </c>
      <c r="K1688" s="35">
        <v>5.4731467978669729E-3</v>
      </c>
      <c r="L1688" s="35">
        <v>118.40728830716242</v>
      </c>
      <c r="M1688" s="58" t="s">
        <v>23</v>
      </c>
      <c r="N1688" s="7">
        <v>9.5</v>
      </c>
      <c r="O1688" s="7" t="s">
        <v>179</v>
      </c>
      <c r="P1688" s="7" t="s">
        <v>179</v>
      </c>
    </row>
    <row r="1689" spans="1:16" x14ac:dyDescent="0.25">
      <c r="A1689" s="2" t="s">
        <v>181</v>
      </c>
      <c r="B1689" s="2" t="s">
        <v>194</v>
      </c>
      <c r="C1689" s="6" t="s">
        <v>141</v>
      </c>
      <c r="D1689" s="2" t="s">
        <v>118</v>
      </c>
      <c r="E1689" s="2"/>
      <c r="F1689" s="35">
        <v>0</v>
      </c>
      <c r="G1689" s="35">
        <v>20.93695376822253</v>
      </c>
      <c r="H1689" s="35">
        <v>-10.389377628391861</v>
      </c>
      <c r="I1689" s="35">
        <v>9.8277754287352716E-3</v>
      </c>
      <c r="J1689" s="35">
        <v>2.3463633446137573E-5</v>
      </c>
      <c r="K1689" s="35">
        <v>9.3240735044439235E-2</v>
      </c>
      <c r="L1689" s="35">
        <v>-26.600760570441807</v>
      </c>
      <c r="M1689" s="58" t="s">
        <v>22</v>
      </c>
      <c r="N1689" s="7">
        <v>9.5</v>
      </c>
      <c r="O1689" s="7" t="s">
        <v>179</v>
      </c>
      <c r="P1689" s="7" t="s">
        <v>179</v>
      </c>
    </row>
    <row r="1690" spans="1:16" x14ac:dyDescent="0.25">
      <c r="A1690" s="2" t="s">
        <v>181</v>
      </c>
      <c r="B1690" s="2" t="s">
        <v>194</v>
      </c>
      <c r="C1690" s="6" t="s">
        <v>141</v>
      </c>
      <c r="D1690" s="2" t="s">
        <v>118</v>
      </c>
      <c r="E1690" s="2"/>
      <c r="F1690" s="35">
        <v>4.5</v>
      </c>
      <c r="G1690" s="35">
        <v>22.767998368222532</v>
      </c>
      <c r="H1690" s="35">
        <v>2.5382223716081422</v>
      </c>
      <c r="I1690" s="35">
        <v>9.8277754287360627E-3</v>
      </c>
      <c r="J1690" s="35">
        <v>2.3463633446137573E-5</v>
      </c>
      <c r="K1690" s="35">
        <v>4.9015745615128746E-2</v>
      </c>
      <c r="L1690" s="35">
        <v>-8.9356612426784352</v>
      </c>
      <c r="M1690" s="58" t="s">
        <v>24</v>
      </c>
      <c r="N1690" s="7">
        <v>9.5</v>
      </c>
      <c r="O1690" s="7" t="s">
        <v>179</v>
      </c>
      <c r="P1690" s="7" t="s">
        <v>179</v>
      </c>
    </row>
    <row r="1691" spans="1:16" x14ac:dyDescent="0.25">
      <c r="A1691" s="2" t="s">
        <v>181</v>
      </c>
      <c r="B1691" s="2" t="s">
        <v>194</v>
      </c>
      <c r="C1691" s="6" t="s">
        <v>141</v>
      </c>
      <c r="D1691" s="2" t="s">
        <v>118</v>
      </c>
      <c r="E1691" s="2"/>
      <c r="F1691" s="35">
        <v>4.5</v>
      </c>
      <c r="G1691" s="35">
        <v>23.54494569093692</v>
      </c>
      <c r="H1691" s="35">
        <v>2.5381925228715367</v>
      </c>
      <c r="I1691" s="35">
        <v>9.8041074707595263E-3</v>
      </c>
      <c r="J1691" s="35">
        <v>-7.2836937855582208E-5</v>
      </c>
      <c r="K1691" s="35">
        <v>4.9016303403705434E-2</v>
      </c>
      <c r="L1691" s="35">
        <v>-7.9644765029476039</v>
      </c>
      <c r="M1691" s="58" t="s">
        <v>24</v>
      </c>
      <c r="N1691" s="7">
        <v>9.5</v>
      </c>
      <c r="O1691" s="7" t="s">
        <v>179</v>
      </c>
      <c r="P1691" s="7" t="s">
        <v>179</v>
      </c>
    </row>
    <row r="1692" spans="1:16" x14ac:dyDescent="0.25">
      <c r="A1692" s="2" t="s">
        <v>181</v>
      </c>
      <c r="B1692" s="2" t="s">
        <v>194</v>
      </c>
      <c r="C1692" s="6" t="s">
        <v>141</v>
      </c>
      <c r="D1692" s="2" t="s">
        <v>118</v>
      </c>
      <c r="E1692" s="2"/>
      <c r="F1692" s="35">
        <v>8.9965005885644871</v>
      </c>
      <c r="G1692" s="35">
        <v>25.374566384623105</v>
      </c>
      <c r="H1692" s="35">
        <v>15.455739413699602</v>
      </c>
      <c r="I1692" s="35">
        <v>9.8041074707603156E-3</v>
      </c>
      <c r="J1692" s="35">
        <v>-7.2836937855582208E-5</v>
      </c>
      <c r="K1692" s="35">
        <v>4.9321283910839604E-3</v>
      </c>
      <c r="L1692" s="35">
        <v>-48.419339274638311</v>
      </c>
      <c r="M1692" s="58" t="s">
        <v>23</v>
      </c>
      <c r="N1692" s="7">
        <v>9.5</v>
      </c>
      <c r="O1692" s="7" t="s">
        <v>179</v>
      </c>
      <c r="P1692" s="7" t="s">
        <v>179</v>
      </c>
    </row>
    <row r="1693" spans="1:16" x14ac:dyDescent="0.25">
      <c r="A1693" s="2" t="s">
        <v>181</v>
      </c>
      <c r="B1693" s="2" t="s">
        <v>194</v>
      </c>
      <c r="C1693" s="6" t="s">
        <v>141</v>
      </c>
      <c r="D1693" s="2" t="s">
        <v>119</v>
      </c>
      <c r="E1693" s="2"/>
      <c r="F1693" s="35">
        <v>0</v>
      </c>
      <c r="G1693" s="35">
        <v>-26.98736478007875</v>
      </c>
      <c r="H1693" s="35">
        <v>-23.932534218596121</v>
      </c>
      <c r="I1693" s="35">
        <v>1.0273126794508173E-2</v>
      </c>
      <c r="J1693" s="35">
        <v>-2.4211776888730793E-4</v>
      </c>
      <c r="K1693" s="35">
        <v>9.565967369302901E-2</v>
      </c>
      <c r="L1693" s="35">
        <v>-111.2573847231439</v>
      </c>
      <c r="M1693" s="58" t="s">
        <v>22</v>
      </c>
      <c r="N1693" s="7">
        <v>9.5</v>
      </c>
      <c r="O1693" s="7" t="s">
        <v>179</v>
      </c>
      <c r="P1693" s="7" t="s">
        <v>179</v>
      </c>
    </row>
    <row r="1694" spans="1:16" x14ac:dyDescent="0.25">
      <c r="A1694" s="2" t="s">
        <v>181</v>
      </c>
      <c r="B1694" s="2" t="s">
        <v>194</v>
      </c>
      <c r="C1694" s="6" t="s">
        <v>141</v>
      </c>
      <c r="D1694" s="2" t="s">
        <v>119</v>
      </c>
      <c r="E1694" s="2"/>
      <c r="F1694" s="35">
        <v>4.5</v>
      </c>
      <c r="G1694" s="35">
        <v>-25.156320180078747</v>
      </c>
      <c r="H1694" s="35">
        <v>-20.530534218596124</v>
      </c>
      <c r="I1694" s="35">
        <v>1.0273126794508383E-2</v>
      </c>
      <c r="J1694" s="35">
        <v>-2.4211776888730793E-4</v>
      </c>
      <c r="K1694" s="35">
        <v>4.9430603117741743E-2</v>
      </c>
      <c r="L1694" s="35">
        <v>-11.215480739461341</v>
      </c>
      <c r="M1694" s="58" t="s">
        <v>24</v>
      </c>
      <c r="N1694" s="7">
        <v>9.5</v>
      </c>
      <c r="O1694" s="7" t="s">
        <v>179</v>
      </c>
      <c r="P1694" s="7" t="s">
        <v>179</v>
      </c>
    </row>
    <row r="1695" spans="1:16" x14ac:dyDescent="0.25">
      <c r="A1695" s="2" t="s">
        <v>181</v>
      </c>
      <c r="B1695" s="2" t="s">
        <v>194</v>
      </c>
      <c r="C1695" s="6" t="s">
        <v>141</v>
      </c>
      <c r="D1695" s="2" t="s">
        <v>119</v>
      </c>
      <c r="E1695" s="2"/>
      <c r="F1695" s="35">
        <v>4.5</v>
      </c>
      <c r="G1695" s="35">
        <v>-24.379372863951897</v>
      </c>
      <c r="H1695" s="35">
        <v>-20.530548349563102</v>
      </c>
      <c r="I1695" s="35">
        <v>9.8919921132767843E-3</v>
      </c>
      <c r="J1695" s="35">
        <v>1.2685454788640167E-4</v>
      </c>
      <c r="K1695" s="35">
        <v>4.9431124184328698E-2</v>
      </c>
      <c r="L1695" s="35">
        <v>-10.244295953751886</v>
      </c>
      <c r="M1695" s="58" t="s">
        <v>24</v>
      </c>
      <c r="N1695" s="7">
        <v>9.5</v>
      </c>
      <c r="O1695" s="7" t="s">
        <v>179</v>
      </c>
      <c r="P1695" s="7" t="s">
        <v>179</v>
      </c>
    </row>
    <row r="1696" spans="1:16" x14ac:dyDescent="0.25">
      <c r="A1696" s="2" t="s">
        <v>181</v>
      </c>
      <c r="B1696" s="2" t="s">
        <v>194</v>
      </c>
      <c r="C1696" s="6" t="s">
        <v>141</v>
      </c>
      <c r="D1696" s="2" t="s">
        <v>119</v>
      </c>
      <c r="E1696" s="2"/>
      <c r="F1696" s="35">
        <v>8.9965005885644871</v>
      </c>
      <c r="G1696" s="35">
        <v>-22.549752170265712</v>
      </c>
      <c r="H1696" s="35">
        <v>-17.131193904608345</v>
      </c>
      <c r="I1696" s="35">
        <v>9.8919921132769924E-3</v>
      </c>
      <c r="J1696" s="35">
        <v>1.2685454788640167E-4</v>
      </c>
      <c r="K1696" s="35">
        <v>4.9517758249038989E-3</v>
      </c>
      <c r="L1696" s="35">
        <v>74.428727152371096</v>
      </c>
      <c r="M1696" s="58" t="s">
        <v>23</v>
      </c>
      <c r="N1696" s="7">
        <v>9.5</v>
      </c>
      <c r="O1696" s="7" t="s">
        <v>179</v>
      </c>
      <c r="P1696" s="7" t="s">
        <v>179</v>
      </c>
    </row>
    <row r="1697" spans="1:16" x14ac:dyDescent="0.25">
      <c r="A1697" s="2" t="s">
        <v>181</v>
      </c>
      <c r="B1697" s="2" t="s">
        <v>194</v>
      </c>
      <c r="C1697" s="6" t="s">
        <v>141</v>
      </c>
      <c r="D1697" s="2" t="s">
        <v>120</v>
      </c>
      <c r="E1697" s="2"/>
      <c r="F1697" s="35">
        <v>0</v>
      </c>
      <c r="G1697" s="35">
        <v>42.971190906492666</v>
      </c>
      <c r="H1697" s="35">
        <v>-14.190384258587773</v>
      </c>
      <c r="I1697" s="35">
        <v>-5.4869969248999652E-2</v>
      </c>
      <c r="J1697" s="35">
        <v>4.0546792298765642E-3</v>
      </c>
      <c r="K1697" s="35">
        <v>-0.49105503524150956</v>
      </c>
      <c r="L1697" s="35">
        <v>-0.185975056544356</v>
      </c>
      <c r="M1697" s="58" t="s">
        <v>22</v>
      </c>
      <c r="N1697" s="7">
        <v>9.5</v>
      </c>
      <c r="O1697" s="7" t="s">
        <v>179</v>
      </c>
      <c r="P1697" s="7" t="s">
        <v>179</v>
      </c>
    </row>
    <row r="1698" spans="1:16" x14ac:dyDescent="0.25">
      <c r="A1698" s="2" t="s">
        <v>181</v>
      </c>
      <c r="B1698" s="2" t="s">
        <v>194</v>
      </c>
      <c r="C1698" s="6" t="s">
        <v>141</v>
      </c>
      <c r="D1698" s="2" t="s">
        <v>120</v>
      </c>
      <c r="E1698" s="2"/>
      <c r="F1698" s="35">
        <v>4.5</v>
      </c>
      <c r="G1698" s="35">
        <v>44.802235506492671</v>
      </c>
      <c r="H1698" s="35">
        <v>12.269615741412226</v>
      </c>
      <c r="I1698" s="35">
        <v>-5.4869969248998028E-2</v>
      </c>
      <c r="J1698" s="35">
        <v>4.0546792298765642E-3</v>
      </c>
      <c r="K1698" s="35">
        <v>-0.24414017362101478</v>
      </c>
      <c r="L1698" s="35">
        <v>4.1357541071006159</v>
      </c>
      <c r="M1698" s="58" t="s">
        <v>24</v>
      </c>
      <c r="N1698" s="7">
        <v>9.5</v>
      </c>
      <c r="O1698" s="7" t="s">
        <v>179</v>
      </c>
      <c r="P1698" s="7" t="s">
        <v>179</v>
      </c>
    </row>
    <row r="1699" spans="1:16" x14ac:dyDescent="0.25">
      <c r="A1699" s="2" t="s">
        <v>181</v>
      </c>
      <c r="B1699" s="2" t="s">
        <v>194</v>
      </c>
      <c r="C1699" s="6" t="s">
        <v>141</v>
      </c>
      <c r="D1699" s="2" t="s">
        <v>120</v>
      </c>
      <c r="E1699" s="2"/>
      <c r="F1699" s="35">
        <v>4.5</v>
      </c>
      <c r="G1699" s="35">
        <v>45.579180947981285</v>
      </c>
      <c r="H1699" s="35">
        <v>12.269519872408173</v>
      </c>
      <c r="I1699" s="35">
        <v>-4.8790213037525385E-2</v>
      </c>
      <c r="J1699" s="35">
        <v>-3.0977384656488112E-3</v>
      </c>
      <c r="K1699" s="35">
        <v>-0.24414766318580633</v>
      </c>
      <c r="L1699" s="35">
        <v>5.1069362607475677</v>
      </c>
      <c r="M1699" s="58" t="s">
        <v>24</v>
      </c>
      <c r="N1699" s="7">
        <v>9.5</v>
      </c>
      <c r="O1699" s="7" t="s">
        <v>179</v>
      </c>
      <c r="P1699" s="7" t="s">
        <v>179</v>
      </c>
    </row>
    <row r="1700" spans="1:16" x14ac:dyDescent="0.25">
      <c r="A1700" s="2" t="s">
        <v>181</v>
      </c>
      <c r="B1700" s="2" t="s">
        <v>194</v>
      </c>
      <c r="C1700" s="6" t="s">
        <v>141</v>
      </c>
      <c r="D1700" s="2" t="s">
        <v>120</v>
      </c>
      <c r="E1700" s="2"/>
      <c r="F1700" s="35">
        <v>8.9965005885644871</v>
      </c>
      <c r="G1700" s="35">
        <v>47.408801641667473</v>
      </c>
      <c r="H1700" s="35">
        <v>38.708943333167355</v>
      </c>
      <c r="I1700" s="35">
        <v>-4.8790213037523768E-2</v>
      </c>
      <c r="J1700" s="35">
        <v>-3.0977384656488112E-3</v>
      </c>
      <c r="K1700" s="35">
        <v>-2.4762441546390367E-2</v>
      </c>
      <c r="L1700" s="35">
        <v>-109.50540864324415</v>
      </c>
      <c r="M1700" s="58" t="s">
        <v>23</v>
      </c>
      <c r="N1700" s="7">
        <v>9.5</v>
      </c>
      <c r="O1700" s="7" t="s">
        <v>179</v>
      </c>
      <c r="P1700" s="7" t="s">
        <v>179</v>
      </c>
    </row>
    <row r="1701" spans="1:16" x14ac:dyDescent="0.25">
      <c r="A1701" s="2" t="s">
        <v>181</v>
      </c>
      <c r="B1701" s="2" t="s">
        <v>194</v>
      </c>
      <c r="C1701" s="6" t="s">
        <v>141</v>
      </c>
      <c r="D1701" s="2" t="s">
        <v>121</v>
      </c>
      <c r="E1701" s="2"/>
      <c r="F1701" s="35">
        <v>0</v>
      </c>
      <c r="G1701" s="35">
        <v>1.0852749703818916</v>
      </c>
      <c r="H1701" s="35">
        <v>-17.520324112697693</v>
      </c>
      <c r="I1701" s="35">
        <v>-5.8061427944231796E-2</v>
      </c>
      <c r="J1701" s="35">
        <v>3.8663956183267673E-3</v>
      </c>
      <c r="K1701" s="35">
        <v>-0.52240264852353513</v>
      </c>
      <c r="L1701" s="35">
        <v>-29.512722464918998</v>
      </c>
      <c r="M1701" s="58" t="s">
        <v>22</v>
      </c>
      <c r="N1701" s="7">
        <v>9.5</v>
      </c>
      <c r="O1701" s="7" t="s">
        <v>179</v>
      </c>
      <c r="P1701" s="7" t="s">
        <v>179</v>
      </c>
    </row>
    <row r="1702" spans="1:16" x14ac:dyDescent="0.25">
      <c r="A1702" s="2" t="s">
        <v>181</v>
      </c>
      <c r="B1702" s="2" t="s">
        <v>194</v>
      </c>
      <c r="C1702" s="6" t="s">
        <v>141</v>
      </c>
      <c r="D1702" s="2" t="s">
        <v>121</v>
      </c>
      <c r="E1702" s="2"/>
      <c r="F1702" s="35">
        <v>4.5</v>
      </c>
      <c r="G1702" s="35">
        <v>2.9163195703818996</v>
      </c>
      <c r="H1702" s="35">
        <v>-1.6443241126976933</v>
      </c>
      <c r="I1702" s="35">
        <v>-5.8061427944230831E-2</v>
      </c>
      <c r="J1702" s="35">
        <v>3.8663956183267673E-3</v>
      </c>
      <c r="K1702" s="35">
        <v>-0.26112622277449415</v>
      </c>
      <c r="L1702" s="35">
        <v>13.607736042220619</v>
      </c>
      <c r="M1702" s="58" t="s">
        <v>24</v>
      </c>
      <c r="N1702" s="7">
        <v>9.5</v>
      </c>
      <c r="O1702" s="7" t="s">
        <v>179</v>
      </c>
      <c r="P1702" s="7" t="s">
        <v>179</v>
      </c>
    </row>
    <row r="1703" spans="1:16" x14ac:dyDescent="0.25">
      <c r="A1703" s="2" t="s">
        <v>181</v>
      </c>
      <c r="B1703" s="2" t="s">
        <v>194</v>
      </c>
      <c r="C1703" s="6" t="s">
        <v>141</v>
      </c>
      <c r="D1703" s="2" t="s">
        <v>121</v>
      </c>
      <c r="E1703" s="2"/>
      <c r="F1703" s="35">
        <v>4.5</v>
      </c>
      <c r="G1703" s="35">
        <v>3.6932649127973121</v>
      </c>
      <c r="H1703" s="35">
        <v>-1.6443870031575623</v>
      </c>
      <c r="I1703" s="35">
        <v>-5.2188687986900587E-2</v>
      </c>
      <c r="J1703" s="35">
        <v>-2.9202717765210548E-3</v>
      </c>
      <c r="K1703" s="35">
        <v>-0.26113419705712348</v>
      </c>
      <c r="L1703" s="35">
        <v>14.578918872040346</v>
      </c>
      <c r="M1703" s="58" t="s">
        <v>24</v>
      </c>
      <c r="N1703" s="7">
        <v>9.5</v>
      </c>
      <c r="O1703" s="7" t="s">
        <v>179</v>
      </c>
      <c r="P1703" s="7" t="s">
        <v>179</v>
      </c>
    </row>
    <row r="1704" spans="1:16" x14ac:dyDescent="0.25">
      <c r="A1704" s="2" t="s">
        <v>181</v>
      </c>
      <c r="B1704" s="2" t="s">
        <v>194</v>
      </c>
      <c r="C1704" s="6" t="s">
        <v>141</v>
      </c>
      <c r="D1704" s="2" t="s">
        <v>121</v>
      </c>
      <c r="E1704" s="2"/>
      <c r="F1704" s="35">
        <v>8.9965005885644871</v>
      </c>
      <c r="G1704" s="35">
        <v>5.5228856064834968</v>
      </c>
      <c r="H1704" s="35">
        <v>14.219267073297951</v>
      </c>
      <c r="I1704" s="35">
        <v>-5.2188687986899615E-2</v>
      </c>
      <c r="J1704" s="35">
        <v>-2.9202717765210548E-3</v>
      </c>
      <c r="K1704" s="35">
        <v>-2.6467730807618835E-2</v>
      </c>
      <c r="L1704" s="35">
        <v>-13.692558946216714</v>
      </c>
      <c r="M1704" s="58" t="s">
        <v>23</v>
      </c>
      <c r="N1704" s="7">
        <v>9.5</v>
      </c>
      <c r="O1704" s="7" t="s">
        <v>179</v>
      </c>
      <c r="P1704" s="7" t="s">
        <v>179</v>
      </c>
    </row>
    <row r="1705" spans="1:16" x14ac:dyDescent="0.25">
      <c r="A1705" s="2" t="s">
        <v>181</v>
      </c>
      <c r="B1705" s="2" t="s">
        <v>194</v>
      </c>
      <c r="C1705" s="6" t="s">
        <v>141</v>
      </c>
      <c r="D1705" s="2" t="s">
        <v>122</v>
      </c>
      <c r="E1705" s="2"/>
      <c r="F1705" s="35">
        <v>0</v>
      </c>
      <c r="G1705" s="35">
        <v>36.684340595088557</v>
      </c>
      <c r="H1705" s="35">
        <v>-7.1345054024924055</v>
      </c>
      <c r="I1705" s="35">
        <v>5.3260074449088146E-2</v>
      </c>
      <c r="J1705" s="35">
        <v>-3.4746474911545276E-3</v>
      </c>
      <c r="K1705" s="35">
        <v>0.47784691144142266</v>
      </c>
      <c r="L1705" s="35">
        <v>9.2732934085885041</v>
      </c>
      <c r="M1705" s="58" t="s">
        <v>22</v>
      </c>
      <c r="N1705" s="7">
        <v>9.5</v>
      </c>
      <c r="O1705" s="7" t="s">
        <v>179</v>
      </c>
      <c r="P1705" s="7" t="s">
        <v>179</v>
      </c>
    </row>
    <row r="1706" spans="1:16" x14ac:dyDescent="0.25">
      <c r="A1706" s="2" t="s">
        <v>181</v>
      </c>
      <c r="B1706" s="2" t="s">
        <v>194</v>
      </c>
      <c r="C1706" s="6" t="s">
        <v>141</v>
      </c>
      <c r="D1706" s="2" t="s">
        <v>122</v>
      </c>
      <c r="E1706" s="2"/>
      <c r="F1706" s="35">
        <v>4.5</v>
      </c>
      <c r="G1706" s="35">
        <v>38.515385195088562</v>
      </c>
      <c r="H1706" s="35">
        <v>11.765494597507594</v>
      </c>
      <c r="I1706" s="35">
        <v>5.3260074449089305E-2</v>
      </c>
      <c r="J1706" s="35">
        <v>-3.4746474911545276E-3</v>
      </c>
      <c r="K1706" s="35">
        <v>0.23817657642052342</v>
      </c>
      <c r="L1706" s="35">
        <v>-1.1464322801956754</v>
      </c>
      <c r="M1706" s="58" t="s">
        <v>24</v>
      </c>
      <c r="N1706" s="7">
        <v>9.5</v>
      </c>
      <c r="O1706" s="7" t="s">
        <v>179</v>
      </c>
      <c r="P1706" s="7" t="s">
        <v>179</v>
      </c>
    </row>
    <row r="1707" spans="1:16" x14ac:dyDescent="0.25">
      <c r="A1707" s="2" t="s">
        <v>181</v>
      </c>
      <c r="B1707" s="2" t="s">
        <v>194</v>
      </c>
      <c r="C1707" s="6" t="s">
        <v>141</v>
      </c>
      <c r="D1707" s="2" t="s">
        <v>122</v>
      </c>
      <c r="E1707" s="2"/>
      <c r="F1707" s="35">
        <v>4.5</v>
      </c>
      <c r="G1707" s="35">
        <v>39.292333785062674</v>
      </c>
      <c r="H1707" s="35">
        <v>11.765443917715244</v>
      </c>
      <c r="I1707" s="35">
        <v>4.7600444885567653E-2</v>
      </c>
      <c r="J1707" s="35">
        <v>2.6193286410706937E-3</v>
      </c>
      <c r="K1707" s="35">
        <v>0.23818215852655694</v>
      </c>
      <c r="L1707" s="35">
        <v>-0.17524553852295127</v>
      </c>
      <c r="M1707" s="58" t="s">
        <v>24</v>
      </c>
      <c r="N1707" s="7">
        <v>9.5</v>
      </c>
      <c r="O1707" s="7" t="s">
        <v>179</v>
      </c>
      <c r="P1707" s="7" t="s">
        <v>179</v>
      </c>
    </row>
    <row r="1708" spans="1:16" x14ac:dyDescent="0.25">
      <c r="A1708" s="2" t="s">
        <v>181</v>
      </c>
      <c r="B1708" s="2" t="s">
        <v>194</v>
      </c>
      <c r="C1708" s="6" t="s">
        <v>141</v>
      </c>
      <c r="D1708" s="2" t="s">
        <v>122</v>
      </c>
      <c r="E1708" s="2"/>
      <c r="F1708" s="35">
        <v>8.9965005885644871</v>
      </c>
      <c r="G1708" s="35">
        <v>41.121954478748862</v>
      </c>
      <c r="H1708" s="35">
        <v>30.650746389686098</v>
      </c>
      <c r="I1708" s="35">
        <v>4.7600444885568811E-2</v>
      </c>
      <c r="J1708" s="35">
        <v>2.6193286410706937E-3</v>
      </c>
      <c r="K1708" s="35">
        <v>2.4146730082667926E-2</v>
      </c>
      <c r="L1708" s="35">
        <v>-95.53745787946967</v>
      </c>
      <c r="M1708" s="58" t="s">
        <v>23</v>
      </c>
      <c r="N1708" s="7">
        <v>9.5</v>
      </c>
      <c r="O1708" s="7" t="s">
        <v>179</v>
      </c>
      <c r="P1708" s="7" t="s">
        <v>179</v>
      </c>
    </row>
    <row r="1709" spans="1:16" x14ac:dyDescent="0.25">
      <c r="A1709" s="2" t="s">
        <v>181</v>
      </c>
      <c r="B1709" s="2" t="s">
        <v>194</v>
      </c>
      <c r="C1709" s="6" t="s">
        <v>141</v>
      </c>
      <c r="D1709" s="2" t="s">
        <v>123</v>
      </c>
      <c r="E1709" s="2"/>
      <c r="F1709" s="35">
        <v>0</v>
      </c>
      <c r="G1709" s="35">
        <v>-5.2016923219534066</v>
      </c>
      <c r="H1709" s="35">
        <v>-10.463685798212259</v>
      </c>
      <c r="I1709" s="35">
        <v>5.0115809142359413E-2</v>
      </c>
      <c r="J1709" s="35">
        <v>-3.6658973053433413E-3</v>
      </c>
      <c r="K1709" s="35">
        <v>0.44692200900056239</v>
      </c>
      <c r="L1709" s="35">
        <v>-20.051210615481178</v>
      </c>
      <c r="M1709" s="58" t="s">
        <v>22</v>
      </c>
      <c r="N1709" s="7">
        <v>9.5</v>
      </c>
      <c r="O1709" s="7" t="s">
        <v>179</v>
      </c>
      <c r="P1709" s="7" t="s">
        <v>179</v>
      </c>
    </row>
    <row r="1710" spans="1:16" x14ac:dyDescent="0.25">
      <c r="A1710" s="2" t="s">
        <v>181</v>
      </c>
      <c r="B1710" s="2" t="s">
        <v>194</v>
      </c>
      <c r="C1710" s="6" t="s">
        <v>141</v>
      </c>
      <c r="D1710" s="2" t="s">
        <v>123</v>
      </c>
      <c r="E1710" s="2"/>
      <c r="F1710" s="35">
        <v>4.5</v>
      </c>
      <c r="G1710" s="35">
        <v>-3.3706477219533983</v>
      </c>
      <c r="H1710" s="35">
        <v>-2.1476857982122577</v>
      </c>
      <c r="I1710" s="35">
        <v>5.0115809142359927E-2</v>
      </c>
      <c r="J1710" s="35">
        <v>-3.6658973053433413E-3</v>
      </c>
      <c r="K1710" s="35">
        <v>0.2214008678599439</v>
      </c>
      <c r="L1710" s="35">
        <v>8.3243754764739819</v>
      </c>
      <c r="M1710" s="58" t="s">
        <v>24</v>
      </c>
      <c r="N1710" s="7">
        <v>9.5</v>
      </c>
      <c r="O1710" s="7" t="s">
        <v>179</v>
      </c>
      <c r="P1710" s="7" t="s">
        <v>179</v>
      </c>
    </row>
    <row r="1711" spans="1:16" x14ac:dyDescent="0.25">
      <c r="A1711" s="2" t="s">
        <v>181</v>
      </c>
      <c r="B1711" s="2" t="s">
        <v>194</v>
      </c>
      <c r="C1711" s="6" t="s">
        <v>141</v>
      </c>
      <c r="D1711" s="2" t="s">
        <v>123</v>
      </c>
      <c r="E1711" s="2"/>
      <c r="F1711" s="35">
        <v>4.5</v>
      </c>
      <c r="G1711" s="35">
        <v>-2.5936992297462851</v>
      </c>
      <c r="H1711" s="35">
        <v>-2.1477037596532478</v>
      </c>
      <c r="I1711" s="35">
        <v>4.4244146776050049E-2</v>
      </c>
      <c r="J1711" s="35">
        <v>2.7984068680409874E-3</v>
      </c>
      <c r="K1711" s="35">
        <v>0.22140597074852883</v>
      </c>
      <c r="L1711" s="35">
        <v>9.2955628924543685</v>
      </c>
      <c r="M1711" s="58" t="s">
        <v>24</v>
      </c>
      <c r="N1711" s="7">
        <v>9.5</v>
      </c>
      <c r="O1711" s="7" t="s">
        <v>179</v>
      </c>
      <c r="P1711" s="7" t="s">
        <v>179</v>
      </c>
    </row>
    <row r="1712" spans="1:16" x14ac:dyDescent="0.25">
      <c r="A1712" s="2" t="s">
        <v>181</v>
      </c>
      <c r="B1712" s="2" t="s">
        <v>194</v>
      </c>
      <c r="C1712" s="6" t="s">
        <v>141</v>
      </c>
      <c r="D1712" s="2" t="s">
        <v>123</v>
      </c>
      <c r="E1712" s="2"/>
      <c r="F1712" s="35">
        <v>8.9965005885644871</v>
      </c>
      <c r="G1712" s="35">
        <v>-0.76407853606010012</v>
      </c>
      <c r="H1712" s="35">
        <v>6.161829328013928</v>
      </c>
      <c r="I1712" s="35">
        <v>4.4244146776050562E-2</v>
      </c>
      <c r="J1712" s="35">
        <v>2.7984068680409874E-3</v>
      </c>
      <c r="K1712" s="35">
        <v>2.2462138729485034E-2</v>
      </c>
      <c r="L1712" s="35">
        <v>0.27080390210157623</v>
      </c>
      <c r="M1712" s="58" t="s">
        <v>23</v>
      </c>
      <c r="N1712" s="7">
        <v>9.5</v>
      </c>
      <c r="O1712" s="7" t="s">
        <v>179</v>
      </c>
      <c r="P1712" s="7" t="s">
        <v>179</v>
      </c>
    </row>
    <row r="1713" spans="1:16" x14ac:dyDescent="0.25">
      <c r="A1713" s="2" t="s">
        <v>181</v>
      </c>
      <c r="B1713" s="2" t="s">
        <v>194</v>
      </c>
      <c r="C1713" s="6" t="s">
        <v>141</v>
      </c>
      <c r="D1713" s="2" t="s">
        <v>124</v>
      </c>
      <c r="E1713" s="2"/>
      <c r="F1713" s="35">
        <v>0</v>
      </c>
      <c r="G1713" s="35">
        <v>48.709576622934506</v>
      </c>
      <c r="H1713" s="35">
        <v>39.744764732478323</v>
      </c>
      <c r="I1713" s="35">
        <v>1.2338101862094076E-2</v>
      </c>
      <c r="J1713" s="35">
        <v>1.0722535209964102E-4</v>
      </c>
      <c r="K1713" s="35">
        <v>0.11752926277182064</v>
      </c>
      <c r="L1713" s="35">
        <v>119.93031510585143</v>
      </c>
      <c r="M1713" s="58" t="s">
        <v>22</v>
      </c>
      <c r="N1713" s="7">
        <v>9.5</v>
      </c>
      <c r="O1713" s="7" t="s">
        <v>179</v>
      </c>
      <c r="P1713" s="7" t="s">
        <v>179</v>
      </c>
    </row>
    <row r="1714" spans="1:16" x14ac:dyDescent="0.25">
      <c r="A1714" s="2" t="s">
        <v>181</v>
      </c>
      <c r="B1714" s="2" t="s">
        <v>194</v>
      </c>
      <c r="C1714" s="6" t="s">
        <v>141</v>
      </c>
      <c r="D1714" s="2" t="s">
        <v>124</v>
      </c>
      <c r="E1714" s="2"/>
      <c r="F1714" s="35">
        <v>4.5</v>
      </c>
      <c r="G1714" s="35">
        <v>50.540621222934519</v>
      </c>
      <c r="H1714" s="35">
        <v>26.136764732478326</v>
      </c>
      <c r="I1714" s="35">
        <v>1.2338101862093243E-2</v>
      </c>
      <c r="J1714" s="35">
        <v>1.0722535209964102E-4</v>
      </c>
      <c r="K1714" s="35">
        <v>6.2007804392399175E-2</v>
      </c>
      <c r="L1714" s="35">
        <v>-28.303126190300993</v>
      </c>
      <c r="M1714" s="58" t="s">
        <v>24</v>
      </c>
      <c r="N1714" s="7">
        <v>9.5</v>
      </c>
      <c r="O1714" s="7" t="s">
        <v>179</v>
      </c>
      <c r="P1714" s="7" t="s">
        <v>179</v>
      </c>
    </row>
    <row r="1715" spans="1:16" x14ac:dyDescent="0.25">
      <c r="A1715" s="2" t="s">
        <v>181</v>
      </c>
      <c r="B1715" s="2" t="s">
        <v>194</v>
      </c>
      <c r="C1715" s="6" t="s">
        <v>141</v>
      </c>
      <c r="D1715" s="2" t="s">
        <v>124</v>
      </c>
      <c r="E1715" s="2"/>
      <c r="F1715" s="35">
        <v>4.5</v>
      </c>
      <c r="G1715" s="35">
        <v>51.317568622747253</v>
      </c>
      <c r="H1715" s="35">
        <v>26.136712297139134</v>
      </c>
      <c r="I1715" s="35">
        <v>1.2407307724219437E-2</v>
      </c>
      <c r="J1715" s="35">
        <v>-1.8492492199346995E-4</v>
      </c>
      <c r="K1715" s="35">
        <v>6.2008735841816001E-2</v>
      </c>
      <c r="L1715" s="35">
        <v>-27.331943675520719</v>
      </c>
      <c r="M1715" s="58" t="s">
        <v>24</v>
      </c>
      <c r="N1715" s="7">
        <v>9.5</v>
      </c>
      <c r="O1715" s="7" t="s">
        <v>179</v>
      </c>
      <c r="P1715" s="7" t="s">
        <v>179</v>
      </c>
    </row>
    <row r="1716" spans="1:16" x14ac:dyDescent="0.25">
      <c r="A1716" s="2" t="s">
        <v>181</v>
      </c>
      <c r="B1716" s="2" t="s">
        <v>194</v>
      </c>
      <c r="C1716" s="6" t="s">
        <v>141</v>
      </c>
      <c r="D1716" s="2" t="s">
        <v>124</v>
      </c>
      <c r="E1716" s="2"/>
      <c r="F1716" s="35">
        <v>8.9965005885644871</v>
      </c>
      <c r="G1716" s="35">
        <v>53.147189316433433</v>
      </c>
      <c r="H1716" s="35">
        <v>12.539294517320128</v>
      </c>
      <c r="I1716" s="35">
        <v>1.2407307724218606E-2</v>
      </c>
      <c r="J1716" s="35">
        <v>-1.8492492199346995E-4</v>
      </c>
      <c r="K1716" s="35">
        <v>6.2192693573644665E-3</v>
      </c>
      <c r="L1716" s="35">
        <v>-114.28528737779084</v>
      </c>
      <c r="M1716" s="58" t="s">
        <v>23</v>
      </c>
      <c r="N1716" s="7">
        <v>9.5</v>
      </c>
      <c r="O1716" s="7" t="s">
        <v>179</v>
      </c>
      <c r="P1716" s="7" t="s">
        <v>179</v>
      </c>
    </row>
    <row r="1717" spans="1:16" x14ac:dyDescent="0.25">
      <c r="A1717" s="2" t="s">
        <v>181</v>
      </c>
      <c r="B1717" s="2" t="s">
        <v>194</v>
      </c>
      <c r="C1717" s="6" t="s">
        <v>141</v>
      </c>
      <c r="D1717" s="2" t="s">
        <v>125</v>
      </c>
      <c r="E1717" s="2"/>
      <c r="F1717" s="35">
        <v>0</v>
      </c>
      <c r="G1717" s="35">
        <v>-68.783067073504839</v>
      </c>
      <c r="H1717" s="35">
        <v>17.325885529051924</v>
      </c>
      <c r="I1717" s="35">
        <v>1.2436670966254237E-2</v>
      </c>
      <c r="J1717" s="35">
        <v>-5.0056596840916895E-4</v>
      </c>
      <c r="K1717" s="35">
        <v>0.11474815757081638</v>
      </c>
      <c r="L1717" s="35">
        <v>51.133478391729454</v>
      </c>
      <c r="M1717" s="58" t="s">
        <v>22</v>
      </c>
      <c r="N1717" s="7">
        <v>9.5</v>
      </c>
      <c r="O1717" s="7" t="s">
        <v>179</v>
      </c>
      <c r="P1717" s="7" t="s">
        <v>179</v>
      </c>
    </row>
    <row r="1718" spans="1:16" x14ac:dyDescent="0.25">
      <c r="A1718" s="2" t="s">
        <v>181</v>
      </c>
      <c r="B1718" s="2" t="s">
        <v>194</v>
      </c>
      <c r="C1718" s="6" t="s">
        <v>141</v>
      </c>
      <c r="D1718" s="2" t="s">
        <v>125</v>
      </c>
      <c r="E1718" s="2"/>
      <c r="F1718" s="35">
        <v>4.5</v>
      </c>
      <c r="G1718" s="35">
        <v>-66.952022473504826</v>
      </c>
      <c r="H1718" s="35">
        <v>-6.8661144709480766</v>
      </c>
      <c r="I1718" s="35">
        <v>1.2436670966252755E-2</v>
      </c>
      <c r="J1718" s="35">
        <v>-5.0056596840916895E-4</v>
      </c>
      <c r="K1718" s="35">
        <v>5.8783138222675668E-2</v>
      </c>
      <c r="L1718" s="35">
        <v>27.59899351099579</v>
      </c>
      <c r="M1718" s="58" t="s">
        <v>24</v>
      </c>
      <c r="N1718" s="7">
        <v>9.5</v>
      </c>
      <c r="O1718" s="7" t="s">
        <v>179</v>
      </c>
      <c r="P1718" s="7" t="s">
        <v>179</v>
      </c>
    </row>
    <row r="1719" spans="1:16" x14ac:dyDescent="0.25">
      <c r="A1719" s="2" t="s">
        <v>181</v>
      </c>
      <c r="B1719" s="2" t="s">
        <v>194</v>
      </c>
      <c r="C1719" s="6" t="s">
        <v>141</v>
      </c>
      <c r="D1719" s="2" t="s">
        <v>125</v>
      </c>
      <c r="E1719" s="2"/>
      <c r="F1719" s="35">
        <v>4.5</v>
      </c>
      <c r="G1719" s="35">
        <v>-66.175075098099398</v>
      </c>
      <c r="H1719" s="35">
        <v>-6.8660970653453992</v>
      </c>
      <c r="I1719" s="35">
        <v>1.176117613041616E-2</v>
      </c>
      <c r="J1719" s="35">
        <v>3.2571144760239863E-4</v>
      </c>
      <c r="K1719" s="35">
        <v>5.8783959324782149E-2</v>
      </c>
      <c r="L1719" s="35">
        <v>28.57017625571412</v>
      </c>
      <c r="M1719" s="58" t="s">
        <v>24</v>
      </c>
      <c r="N1719" s="7">
        <v>9.5</v>
      </c>
      <c r="O1719" s="7" t="s">
        <v>179</v>
      </c>
      <c r="P1719" s="7" t="s">
        <v>179</v>
      </c>
    </row>
    <row r="1720" spans="1:16" x14ac:dyDescent="0.25">
      <c r="A1720" s="2" t="s">
        <v>181</v>
      </c>
      <c r="B1720" s="2" t="s">
        <v>194</v>
      </c>
      <c r="C1720" s="6" t="s">
        <v>141</v>
      </c>
      <c r="D1720" s="2" t="s">
        <v>125</v>
      </c>
      <c r="E1720" s="2"/>
      <c r="F1720" s="35">
        <v>8.9965005885644871</v>
      </c>
      <c r="G1720" s="35">
        <v>-64.345454404413204</v>
      </c>
      <c r="H1720" s="35">
        <v>-31.039284229468088</v>
      </c>
      <c r="I1720" s="35">
        <v>1.1761176130414681E-2</v>
      </c>
      <c r="J1720" s="35">
        <v>3.2571144760239863E-4</v>
      </c>
      <c r="K1720" s="35">
        <v>5.8998239321586049E-3</v>
      </c>
      <c r="L1720" s="35">
        <v>113.79096090665918</v>
      </c>
      <c r="M1720" s="58" t="s">
        <v>23</v>
      </c>
      <c r="N1720" s="7">
        <v>9.5</v>
      </c>
      <c r="O1720" s="7" t="s">
        <v>179</v>
      </c>
      <c r="P1720" s="7" t="s">
        <v>179</v>
      </c>
    </row>
    <row r="1721" spans="1:16" x14ac:dyDescent="0.25">
      <c r="A1721" s="2" t="s">
        <v>181</v>
      </c>
      <c r="B1721" s="2" t="s">
        <v>194</v>
      </c>
      <c r="C1721" s="6" t="s">
        <v>141</v>
      </c>
      <c r="D1721" s="2" t="s">
        <v>126</v>
      </c>
      <c r="E1721" s="2"/>
      <c r="F1721" s="35">
        <v>0</v>
      </c>
      <c r="G1721" s="35">
        <v>31.525347562926584</v>
      </c>
      <c r="H1721" s="35">
        <v>-8.4611155317275948</v>
      </c>
      <c r="I1721" s="35">
        <v>1.0498159964366014E-2</v>
      </c>
      <c r="J1721" s="35">
        <v>7.4410256462968146E-5</v>
      </c>
      <c r="K1721" s="35">
        <v>9.9900369135083794E-2</v>
      </c>
      <c r="L1721" s="35">
        <v>-19.488254897882783</v>
      </c>
      <c r="M1721" s="58" t="s">
        <v>22</v>
      </c>
      <c r="N1721" s="7">
        <v>9.5</v>
      </c>
      <c r="O1721" s="7" t="s">
        <v>179</v>
      </c>
      <c r="P1721" s="7" t="s">
        <v>179</v>
      </c>
    </row>
    <row r="1722" spans="1:16" x14ac:dyDescent="0.25">
      <c r="A1722" s="2" t="s">
        <v>181</v>
      </c>
      <c r="B1722" s="2" t="s">
        <v>194</v>
      </c>
      <c r="C1722" s="6" t="s">
        <v>141</v>
      </c>
      <c r="D1722" s="2" t="s">
        <v>126</v>
      </c>
      <c r="E1722" s="2"/>
      <c r="F1722" s="35">
        <v>4.5</v>
      </c>
      <c r="G1722" s="35">
        <v>33.356392162926589</v>
      </c>
      <c r="H1722" s="35">
        <v>5.9028844682724069</v>
      </c>
      <c r="I1722" s="35">
        <v>1.0498159964366894E-2</v>
      </c>
      <c r="J1722" s="35">
        <v>7.4410256462968146E-5</v>
      </c>
      <c r="K1722" s="35">
        <v>5.2658649295434762E-2</v>
      </c>
      <c r="L1722" s="35">
        <v>-13.732235005108613</v>
      </c>
      <c r="M1722" s="58" t="s">
        <v>24</v>
      </c>
      <c r="N1722" s="7">
        <v>9.5</v>
      </c>
      <c r="O1722" s="7" t="s">
        <v>179</v>
      </c>
      <c r="P1722" s="7" t="s">
        <v>179</v>
      </c>
    </row>
    <row r="1723" spans="1:16" x14ac:dyDescent="0.25">
      <c r="A1723" s="2" t="s">
        <v>181</v>
      </c>
      <c r="B1723" s="2" t="s">
        <v>194</v>
      </c>
      <c r="C1723" s="6" t="s">
        <v>141</v>
      </c>
      <c r="D1723" s="2" t="s">
        <v>126</v>
      </c>
      <c r="E1723" s="2"/>
      <c r="F1723" s="35">
        <v>4.5</v>
      </c>
      <c r="G1723" s="35">
        <v>34.133339507814796</v>
      </c>
      <c r="H1723" s="35">
        <v>5.9028468497888236</v>
      </c>
      <c r="I1723" s="35">
        <v>1.053277365387615E-2</v>
      </c>
      <c r="J1723" s="35">
        <v>-1.1885755447134795E-4</v>
      </c>
      <c r="K1723" s="35">
        <v>5.2659315302938978E-2</v>
      </c>
      <c r="L1723" s="35">
        <v>-12.761050295828056</v>
      </c>
      <c r="M1723" s="58" t="s">
        <v>24</v>
      </c>
      <c r="N1723" s="7">
        <v>9.5</v>
      </c>
      <c r="O1723" s="7" t="s">
        <v>179</v>
      </c>
      <c r="P1723" s="7" t="s">
        <v>179</v>
      </c>
    </row>
    <row r="1724" spans="1:16" x14ac:dyDescent="0.25">
      <c r="A1724" s="2" t="s">
        <v>181</v>
      </c>
      <c r="B1724" s="2" t="s">
        <v>194</v>
      </c>
      <c r="C1724" s="6" t="s">
        <v>141</v>
      </c>
      <c r="D1724" s="2" t="s">
        <v>126</v>
      </c>
      <c r="E1724" s="2"/>
      <c r="F1724" s="35">
        <v>8.9965005885644871</v>
      </c>
      <c r="G1724" s="35">
        <v>35.962960201500984</v>
      </c>
      <c r="H1724" s="35">
        <v>20.255676728486673</v>
      </c>
      <c r="I1724" s="35">
        <v>1.0532773653877029E-2</v>
      </c>
      <c r="J1724" s="35">
        <v>-1.1885755447134795E-4</v>
      </c>
      <c r="K1724" s="35">
        <v>5.2986923690663684E-3</v>
      </c>
      <c r="L1724" s="35">
        <v>-71.571958628674963</v>
      </c>
      <c r="M1724" s="58" t="s">
        <v>23</v>
      </c>
      <c r="N1724" s="7">
        <v>9.5</v>
      </c>
      <c r="O1724" s="7" t="s">
        <v>179</v>
      </c>
      <c r="P1724" s="7" t="s">
        <v>179</v>
      </c>
    </row>
    <row r="1725" spans="1:16" x14ac:dyDescent="0.25">
      <c r="A1725" s="2" t="s">
        <v>181</v>
      </c>
      <c r="B1725" s="2" t="s">
        <v>194</v>
      </c>
      <c r="C1725" s="6" t="s">
        <v>141</v>
      </c>
      <c r="D1725" s="2" t="s">
        <v>127</v>
      </c>
      <c r="E1725" s="2"/>
      <c r="F1725" s="35">
        <v>0</v>
      </c>
      <c r="G1725" s="35">
        <v>-21.723895268519282</v>
      </c>
      <c r="H1725" s="35">
        <v>-23.509067298621218</v>
      </c>
      <c r="I1725" s="35">
        <v>1.0992994815224793E-2</v>
      </c>
      <c r="J1725" s="35">
        <v>-2.2068019057419348E-4</v>
      </c>
      <c r="K1725" s="35">
        <v>0.10258807874462797</v>
      </c>
      <c r="L1725" s="35">
        <v>-113.55117062310731</v>
      </c>
      <c r="M1725" s="58" t="s">
        <v>22</v>
      </c>
      <c r="N1725" s="7">
        <v>9.5</v>
      </c>
      <c r="O1725" s="7" t="s">
        <v>179</v>
      </c>
      <c r="P1725" s="7" t="s">
        <v>179</v>
      </c>
    </row>
    <row r="1726" spans="1:16" x14ac:dyDescent="0.25">
      <c r="A1726" s="2" t="s">
        <v>181</v>
      </c>
      <c r="B1726" s="2" t="s">
        <v>194</v>
      </c>
      <c r="C1726" s="6" t="s">
        <v>141</v>
      </c>
      <c r="D1726" s="2" t="s">
        <v>127</v>
      </c>
      <c r="E1726" s="2"/>
      <c r="F1726" s="35">
        <v>4.5</v>
      </c>
      <c r="G1726" s="35">
        <v>-19.892850668519273</v>
      </c>
      <c r="H1726" s="35">
        <v>-19.729067298621221</v>
      </c>
      <c r="I1726" s="35">
        <v>1.0992994815225025E-2</v>
      </c>
      <c r="J1726" s="35">
        <v>-2.2068019057419348E-4</v>
      </c>
      <c r="K1726" s="35">
        <v>5.3119602076115872E-2</v>
      </c>
      <c r="L1726" s="35">
        <v>-16.265367779311838</v>
      </c>
      <c r="M1726" s="58" t="s">
        <v>24</v>
      </c>
      <c r="N1726" s="7">
        <v>9.5</v>
      </c>
      <c r="O1726" s="7" t="s">
        <v>179</v>
      </c>
      <c r="P1726" s="7" t="s">
        <v>179</v>
      </c>
    </row>
    <row r="1727" spans="1:16" x14ac:dyDescent="0.25">
      <c r="A1727" s="2" t="s">
        <v>181</v>
      </c>
      <c r="B1727" s="2" t="s">
        <v>194</v>
      </c>
      <c r="C1727" s="6" t="s">
        <v>141</v>
      </c>
      <c r="D1727" s="2" t="s">
        <v>127</v>
      </c>
      <c r="E1727" s="2"/>
      <c r="F1727" s="35">
        <v>4.5</v>
      </c>
      <c r="G1727" s="35">
        <v>-19.115903330950555</v>
      </c>
      <c r="H1727" s="35">
        <v>-19.729087452916328</v>
      </c>
      <c r="I1727" s="35">
        <v>1.0630423256673105E-2</v>
      </c>
      <c r="J1727" s="35">
        <v>1.0302187413085635E-4</v>
      </c>
      <c r="K1727" s="35">
        <v>5.312022728140927E-2</v>
      </c>
      <c r="L1727" s="35">
        <v>-15.294183018943924</v>
      </c>
      <c r="M1727" s="58" t="s">
        <v>24</v>
      </c>
      <c r="N1727" s="7">
        <v>9.5</v>
      </c>
      <c r="O1727" s="7" t="s">
        <v>179</v>
      </c>
      <c r="P1727" s="7" t="s">
        <v>179</v>
      </c>
    </row>
    <row r="1728" spans="1:16" x14ac:dyDescent="0.25">
      <c r="A1728" s="2" t="s">
        <v>181</v>
      </c>
      <c r="B1728" s="2" t="s">
        <v>194</v>
      </c>
      <c r="C1728" s="6" t="s">
        <v>141</v>
      </c>
      <c r="D1728" s="2" t="s">
        <v>127</v>
      </c>
      <c r="E1728" s="2"/>
      <c r="F1728" s="35">
        <v>8.9965005885644871</v>
      </c>
      <c r="G1728" s="35">
        <v>-17.286282637264367</v>
      </c>
      <c r="H1728" s="35">
        <v>-15.952026958522158</v>
      </c>
      <c r="I1728" s="35">
        <v>1.0630423256673335E-2</v>
      </c>
      <c r="J1728" s="35">
        <v>1.0302187413085635E-4</v>
      </c>
      <c r="K1728" s="35">
        <v>5.3205228510885228E-3</v>
      </c>
      <c r="L1728" s="35">
        <v>64.925892956891062</v>
      </c>
      <c r="M1728" s="58" t="s">
        <v>23</v>
      </c>
      <c r="N1728" s="7">
        <v>9.5</v>
      </c>
      <c r="O1728" s="7" t="s">
        <v>179</v>
      </c>
      <c r="P1728" s="7" t="s">
        <v>179</v>
      </c>
    </row>
    <row r="1729" spans="1:16" x14ac:dyDescent="0.25">
      <c r="A1729" s="2" t="s">
        <v>183</v>
      </c>
      <c r="B1729" s="2" t="s">
        <v>195</v>
      </c>
      <c r="C1729" s="6" t="s">
        <v>142</v>
      </c>
      <c r="D1729" s="2" t="s">
        <v>105</v>
      </c>
      <c r="E1729" s="2"/>
      <c r="F1729" s="35">
        <v>0</v>
      </c>
      <c r="G1729" s="35">
        <v>-97.362583582874493</v>
      </c>
      <c r="H1729" s="35">
        <v>1.1763449872876965</v>
      </c>
      <c r="I1729" s="35">
        <v>-7.9019424622706579E-4</v>
      </c>
      <c r="J1729" s="35">
        <v>-3.5205502621946179E-5</v>
      </c>
      <c r="K1729" s="35">
        <v>-9.321822598915978E-3</v>
      </c>
      <c r="L1729" s="35">
        <v>1.3095385972891562</v>
      </c>
      <c r="M1729" s="58" t="s">
        <v>22</v>
      </c>
      <c r="N1729" s="7">
        <v>11.333333333333334</v>
      </c>
      <c r="O1729" s="7" t="s">
        <v>180</v>
      </c>
      <c r="P1729" s="7" t="s">
        <v>180</v>
      </c>
    </row>
    <row r="1730" spans="1:16" x14ac:dyDescent="0.25">
      <c r="A1730" s="2" t="s">
        <v>183</v>
      </c>
      <c r="B1730" s="2" t="s">
        <v>195</v>
      </c>
      <c r="C1730" s="6" t="s">
        <v>142</v>
      </c>
      <c r="D1730" s="2" t="s">
        <v>105</v>
      </c>
      <c r="E1730" s="2"/>
      <c r="F1730" s="35">
        <v>5.4149169609489114</v>
      </c>
      <c r="G1730" s="35">
        <v>-94.783172726759005</v>
      </c>
      <c r="H1730" s="35">
        <v>1.1763449872876965</v>
      </c>
      <c r="I1730" s="35">
        <v>-7.9019424622706579E-4</v>
      </c>
      <c r="J1730" s="35">
        <v>-3.5205502621946179E-5</v>
      </c>
      <c r="K1730" s="35">
        <v>-5.0429863725768003E-3</v>
      </c>
      <c r="L1730" s="35">
        <v>-5.0602718263022224</v>
      </c>
      <c r="M1730" s="58" t="s">
        <v>24</v>
      </c>
      <c r="N1730" s="7">
        <v>11.333333333333334</v>
      </c>
      <c r="O1730" s="7" t="s">
        <v>180</v>
      </c>
      <c r="P1730" s="7" t="s">
        <v>180</v>
      </c>
    </row>
    <row r="1731" spans="1:16" x14ac:dyDescent="0.25">
      <c r="A1731" s="2" t="s">
        <v>183</v>
      </c>
      <c r="B1731" s="2" t="s">
        <v>195</v>
      </c>
      <c r="C1731" s="6" t="s">
        <v>142</v>
      </c>
      <c r="D1731" s="2" t="s">
        <v>105</v>
      </c>
      <c r="E1731" s="2"/>
      <c r="F1731" s="35">
        <v>10.829833921897823</v>
      </c>
      <c r="G1731" s="35">
        <v>-92.20376187064349</v>
      </c>
      <c r="H1731" s="35">
        <v>1.1763449872876965</v>
      </c>
      <c r="I1731" s="35">
        <v>-7.9019424622706579E-4</v>
      </c>
      <c r="J1731" s="35">
        <v>-3.5205502621946179E-5</v>
      </c>
      <c r="K1731" s="35">
        <v>-7.6415014623762217E-4</v>
      </c>
      <c r="L1731" s="35">
        <v>-11.4300822498936</v>
      </c>
      <c r="M1731" s="58" t="s">
        <v>23</v>
      </c>
      <c r="N1731" s="7">
        <v>11.333333333333334</v>
      </c>
      <c r="O1731" s="7" t="s">
        <v>180</v>
      </c>
      <c r="P1731" s="7" t="s">
        <v>180</v>
      </c>
    </row>
    <row r="1732" spans="1:16" x14ac:dyDescent="0.25">
      <c r="A1732" s="2" t="s">
        <v>183</v>
      </c>
      <c r="B1732" s="2" t="s">
        <v>195</v>
      </c>
      <c r="C1732" s="6" t="s">
        <v>142</v>
      </c>
      <c r="D1732" s="2" t="s">
        <v>15</v>
      </c>
      <c r="E1732" s="2"/>
      <c r="F1732" s="35">
        <v>0</v>
      </c>
      <c r="G1732" s="35">
        <v>130.5626375013496</v>
      </c>
      <c r="H1732" s="35">
        <v>-4.9236715407038742</v>
      </c>
      <c r="I1732" s="35">
        <v>-4.0019641417815749E-2</v>
      </c>
      <c r="J1732" s="35">
        <v>-3.0680267913009841E-4</v>
      </c>
      <c r="K1732" s="35">
        <v>-0.45453919487539335</v>
      </c>
      <c r="L1732" s="35">
        <v>-15.145219986690929</v>
      </c>
      <c r="M1732" s="58" t="s">
        <v>22</v>
      </c>
      <c r="N1732" s="7">
        <v>11.333333333333334</v>
      </c>
      <c r="O1732" s="7" t="s">
        <v>180</v>
      </c>
      <c r="P1732" s="7" t="s">
        <v>180</v>
      </c>
    </row>
    <row r="1733" spans="1:16" x14ac:dyDescent="0.25">
      <c r="A1733" s="2" t="s">
        <v>183</v>
      </c>
      <c r="B1733" s="2" t="s">
        <v>195</v>
      </c>
      <c r="C1733" s="6" t="s">
        <v>142</v>
      </c>
      <c r="D1733" s="2" t="s">
        <v>15</v>
      </c>
      <c r="E1733" s="2"/>
      <c r="F1733" s="35">
        <v>5.4149169609489114</v>
      </c>
      <c r="G1733" s="35">
        <v>133.14204835746511</v>
      </c>
      <c r="H1733" s="35">
        <v>-4.9236715407038742</v>
      </c>
      <c r="I1733" s="35">
        <v>-4.0019641417815749E-2</v>
      </c>
      <c r="J1733" s="35">
        <v>-3.0680267913009841E-4</v>
      </c>
      <c r="K1733" s="35">
        <v>-0.23783615979096934</v>
      </c>
      <c r="L1733" s="35">
        <v>11.516052549207936</v>
      </c>
      <c r="M1733" s="58" t="s">
        <v>24</v>
      </c>
      <c r="N1733" s="7">
        <v>11.333333333333334</v>
      </c>
      <c r="O1733" s="7" t="s">
        <v>180</v>
      </c>
      <c r="P1733" s="7" t="s">
        <v>180</v>
      </c>
    </row>
    <row r="1734" spans="1:16" x14ac:dyDescent="0.25">
      <c r="A1734" s="2" t="s">
        <v>183</v>
      </c>
      <c r="B1734" s="2" t="s">
        <v>195</v>
      </c>
      <c r="C1734" s="6" t="s">
        <v>142</v>
      </c>
      <c r="D1734" s="2" t="s">
        <v>15</v>
      </c>
      <c r="E1734" s="2"/>
      <c r="F1734" s="35">
        <v>10.829833921897823</v>
      </c>
      <c r="G1734" s="35">
        <v>135.7214592135806</v>
      </c>
      <c r="H1734" s="35">
        <v>-4.9236715407038742</v>
      </c>
      <c r="I1734" s="35">
        <v>-4.0019641417815749E-2</v>
      </c>
      <c r="J1734" s="35">
        <v>-3.0680267913009841E-4</v>
      </c>
      <c r="K1734" s="35">
        <v>-2.1133124706545301E-2</v>
      </c>
      <c r="L1734" s="35">
        <v>38.177325085106794</v>
      </c>
      <c r="M1734" s="58" t="s">
        <v>23</v>
      </c>
      <c r="N1734" s="7">
        <v>11.333333333333334</v>
      </c>
      <c r="O1734" s="7" t="s">
        <v>180</v>
      </c>
      <c r="P1734" s="7" t="s">
        <v>180</v>
      </c>
    </row>
    <row r="1735" spans="1:16" x14ac:dyDescent="0.25">
      <c r="A1735" s="2" t="s">
        <v>183</v>
      </c>
      <c r="B1735" s="2" t="s">
        <v>195</v>
      </c>
      <c r="C1735" s="6" t="s">
        <v>142</v>
      </c>
      <c r="D1735" s="2" t="s">
        <v>16</v>
      </c>
      <c r="E1735" s="2"/>
      <c r="F1735" s="35">
        <v>0</v>
      </c>
      <c r="G1735" s="35">
        <v>50.064532564227989</v>
      </c>
      <c r="H1735" s="35">
        <v>-2.590728441411887</v>
      </c>
      <c r="I1735" s="35">
        <v>-4.4748655193902906E-2</v>
      </c>
      <c r="J1735" s="35">
        <v>-3.6908544249292621E-4</v>
      </c>
      <c r="K1735" s="35">
        <v>-0.50817302649591523</v>
      </c>
      <c r="L1735" s="35">
        <v>-8.5852183046166601</v>
      </c>
      <c r="M1735" s="58" t="s">
        <v>22</v>
      </c>
      <c r="N1735" s="7">
        <v>11.333333333333334</v>
      </c>
      <c r="O1735" s="7" t="s">
        <v>180</v>
      </c>
      <c r="P1735" s="7" t="s">
        <v>180</v>
      </c>
    </row>
    <row r="1736" spans="1:16" x14ac:dyDescent="0.25">
      <c r="A1736" s="2" t="s">
        <v>183</v>
      </c>
      <c r="B1736" s="2" t="s">
        <v>195</v>
      </c>
      <c r="C1736" s="6" t="s">
        <v>142</v>
      </c>
      <c r="D1736" s="2" t="s">
        <v>16</v>
      </c>
      <c r="E1736" s="2"/>
      <c r="F1736" s="35">
        <v>5.4149169609489114</v>
      </c>
      <c r="G1736" s="35">
        <v>52.643943420343497</v>
      </c>
      <c r="H1736" s="35">
        <v>-2.590728441411887</v>
      </c>
      <c r="I1736" s="35">
        <v>-4.4748655193902906E-2</v>
      </c>
      <c r="J1736" s="35">
        <v>-3.6908544249292621E-4</v>
      </c>
      <c r="K1736" s="35">
        <v>-0.26586277450679585</v>
      </c>
      <c r="L1736" s="35">
        <v>5.4433610739973046</v>
      </c>
      <c r="M1736" s="58" t="s">
        <v>24</v>
      </c>
      <c r="N1736" s="7">
        <v>11.333333333333334</v>
      </c>
      <c r="O1736" s="7" t="s">
        <v>180</v>
      </c>
      <c r="P1736" s="7" t="s">
        <v>180</v>
      </c>
    </row>
    <row r="1737" spans="1:16" x14ac:dyDescent="0.25">
      <c r="A1737" s="2" t="s">
        <v>183</v>
      </c>
      <c r="B1737" s="2" t="s">
        <v>195</v>
      </c>
      <c r="C1737" s="6" t="s">
        <v>142</v>
      </c>
      <c r="D1737" s="2" t="s">
        <v>16</v>
      </c>
      <c r="E1737" s="2"/>
      <c r="F1737" s="35">
        <v>10.829833921897823</v>
      </c>
      <c r="G1737" s="35">
        <v>55.223354276458998</v>
      </c>
      <c r="H1737" s="35">
        <v>-2.590728441411887</v>
      </c>
      <c r="I1737" s="35">
        <v>-4.4748655193902906E-2</v>
      </c>
      <c r="J1737" s="35">
        <v>-3.6908544249292621E-4</v>
      </c>
      <c r="K1737" s="35">
        <v>-2.3552522517676418E-2</v>
      </c>
      <c r="L1737" s="35">
        <v>19.471940452611268</v>
      </c>
      <c r="M1737" s="58" t="s">
        <v>23</v>
      </c>
      <c r="N1737" s="7">
        <v>11.333333333333334</v>
      </c>
      <c r="O1737" s="7" t="s">
        <v>180</v>
      </c>
      <c r="P1737" s="7" t="s">
        <v>180</v>
      </c>
    </row>
    <row r="1738" spans="1:16" x14ac:dyDescent="0.25">
      <c r="A1738" s="2" t="s">
        <v>183</v>
      </c>
      <c r="B1738" s="2" t="s">
        <v>195</v>
      </c>
      <c r="C1738" s="6" t="s">
        <v>142</v>
      </c>
      <c r="D1738" s="2" t="s">
        <v>106</v>
      </c>
      <c r="E1738" s="2"/>
      <c r="F1738" s="35">
        <v>0</v>
      </c>
      <c r="G1738" s="35">
        <v>120.99072205380639</v>
      </c>
      <c r="H1738" s="35">
        <v>-4.4906060491327784</v>
      </c>
      <c r="I1738" s="35">
        <v>4.3884588372805004E-2</v>
      </c>
      <c r="J1738" s="35">
        <v>3.9156741224147436E-4</v>
      </c>
      <c r="K1738" s="35">
        <v>0.49825954522765586</v>
      </c>
      <c r="L1738" s="35">
        <v>-13.668022812777412</v>
      </c>
      <c r="M1738" s="58" t="s">
        <v>22</v>
      </c>
      <c r="N1738" s="7">
        <v>11.333333333333334</v>
      </c>
      <c r="O1738" s="7" t="s">
        <v>180</v>
      </c>
      <c r="P1738" s="7" t="s">
        <v>180</v>
      </c>
    </row>
    <row r="1739" spans="1:16" x14ac:dyDescent="0.25">
      <c r="A1739" s="2" t="s">
        <v>183</v>
      </c>
      <c r="B1739" s="2" t="s">
        <v>195</v>
      </c>
      <c r="C1739" s="6" t="s">
        <v>142</v>
      </c>
      <c r="D1739" s="2" t="s">
        <v>106</v>
      </c>
      <c r="E1739" s="2"/>
      <c r="F1739" s="35">
        <v>5.4149169609489114</v>
      </c>
      <c r="G1739" s="35">
        <v>123.5701329099219</v>
      </c>
      <c r="H1739" s="35">
        <v>-4.4906060491327784</v>
      </c>
      <c r="I1739" s="35">
        <v>4.3884588372805004E-2</v>
      </c>
      <c r="J1739" s="35">
        <v>3.9156741224147436E-4</v>
      </c>
      <c r="K1739" s="35">
        <v>0.26062814332349271</v>
      </c>
      <c r="L1739" s="35">
        <v>10.648236047611441</v>
      </c>
      <c r="M1739" s="58" t="s">
        <v>24</v>
      </c>
      <c r="N1739" s="7">
        <v>11.333333333333334</v>
      </c>
      <c r="O1739" s="7" t="s">
        <v>180</v>
      </c>
      <c r="P1739" s="7" t="s">
        <v>180</v>
      </c>
    </row>
    <row r="1740" spans="1:16" x14ac:dyDescent="0.25">
      <c r="A1740" s="2" t="s">
        <v>183</v>
      </c>
      <c r="B1740" s="2" t="s">
        <v>195</v>
      </c>
      <c r="C1740" s="6" t="s">
        <v>142</v>
      </c>
      <c r="D1740" s="2" t="s">
        <v>106</v>
      </c>
      <c r="E1740" s="2"/>
      <c r="F1740" s="35">
        <v>10.829833921897823</v>
      </c>
      <c r="G1740" s="35">
        <v>126.1495437660374</v>
      </c>
      <c r="H1740" s="35">
        <v>-4.4906060491327784</v>
      </c>
      <c r="I1740" s="35">
        <v>4.3884588372805004E-2</v>
      </c>
      <c r="J1740" s="35">
        <v>3.9156741224147436E-4</v>
      </c>
      <c r="K1740" s="35">
        <v>2.2996741419329548E-2</v>
      </c>
      <c r="L1740" s="35">
        <v>34.964494908000297</v>
      </c>
      <c r="M1740" s="58" t="s">
        <v>23</v>
      </c>
      <c r="N1740" s="7">
        <v>11.333333333333334</v>
      </c>
      <c r="O1740" s="7" t="s">
        <v>180</v>
      </c>
      <c r="P1740" s="7" t="s">
        <v>180</v>
      </c>
    </row>
    <row r="1741" spans="1:16" x14ac:dyDescent="0.25">
      <c r="A1741" s="2" t="s">
        <v>183</v>
      </c>
      <c r="B1741" s="2" t="s">
        <v>195</v>
      </c>
      <c r="C1741" s="6" t="s">
        <v>142</v>
      </c>
      <c r="D1741" s="2" t="s">
        <v>107</v>
      </c>
      <c r="E1741" s="2"/>
      <c r="F1741" s="35">
        <v>0</v>
      </c>
      <c r="G1741" s="35">
        <v>40.492726105551526</v>
      </c>
      <c r="H1741" s="35">
        <v>-2.1578190744865799</v>
      </c>
      <c r="I1741" s="35">
        <v>3.9107916869103539E-2</v>
      </c>
      <c r="J1741" s="35">
        <v>3.2845884037962158E-4</v>
      </c>
      <c r="K1741" s="35">
        <v>0.4440905995752002</v>
      </c>
      <c r="L1741" s="35">
        <v>-7.1086012961002689</v>
      </c>
      <c r="M1741" s="58" t="s">
        <v>22</v>
      </c>
      <c r="N1741" s="7">
        <v>11.333333333333334</v>
      </c>
      <c r="O1741" s="7" t="s">
        <v>180</v>
      </c>
      <c r="P1741" s="7" t="s">
        <v>180</v>
      </c>
    </row>
    <row r="1742" spans="1:16" x14ac:dyDescent="0.25">
      <c r="A1742" s="2" t="s">
        <v>183</v>
      </c>
      <c r="B1742" s="2" t="s">
        <v>195</v>
      </c>
      <c r="C1742" s="6" t="s">
        <v>142</v>
      </c>
      <c r="D1742" s="2" t="s">
        <v>107</v>
      </c>
      <c r="E1742" s="2"/>
      <c r="F1742" s="35">
        <v>5.4149169609489114</v>
      </c>
      <c r="G1742" s="35">
        <v>43.072136961667034</v>
      </c>
      <c r="H1742" s="35">
        <v>-2.1578190744865799</v>
      </c>
      <c r="I1742" s="35">
        <v>3.9107916869103539E-2</v>
      </c>
      <c r="J1742" s="35">
        <v>3.2845884037962158E-4</v>
      </c>
      <c r="K1742" s="35">
        <v>0.23232447721331143</v>
      </c>
      <c r="L1742" s="35">
        <v>4.5758098089961958</v>
      </c>
      <c r="M1742" s="58" t="s">
        <v>24</v>
      </c>
      <c r="N1742" s="7">
        <v>11.333333333333334</v>
      </c>
      <c r="O1742" s="7" t="s">
        <v>180</v>
      </c>
      <c r="P1742" s="7" t="s">
        <v>180</v>
      </c>
    </row>
    <row r="1743" spans="1:16" x14ac:dyDescent="0.25">
      <c r="A1743" s="2" t="s">
        <v>183</v>
      </c>
      <c r="B1743" s="2" t="s">
        <v>195</v>
      </c>
      <c r="C1743" s="6" t="s">
        <v>142</v>
      </c>
      <c r="D1743" s="2" t="s">
        <v>107</v>
      </c>
      <c r="E1743" s="2"/>
      <c r="F1743" s="35">
        <v>10.829833921897823</v>
      </c>
      <c r="G1743" s="35">
        <v>45.651547817782536</v>
      </c>
      <c r="H1743" s="35">
        <v>-2.1578190744865799</v>
      </c>
      <c r="I1743" s="35">
        <v>3.9107916869103539E-2</v>
      </c>
      <c r="J1743" s="35">
        <v>3.2845884037962158E-4</v>
      </c>
      <c r="K1743" s="35">
        <v>2.0558354851422652E-2</v>
      </c>
      <c r="L1743" s="35">
        <v>16.260220914092656</v>
      </c>
      <c r="M1743" s="58" t="s">
        <v>23</v>
      </c>
      <c r="N1743" s="7">
        <v>11.333333333333334</v>
      </c>
      <c r="O1743" s="7" t="s">
        <v>180</v>
      </c>
      <c r="P1743" s="7" t="s">
        <v>180</v>
      </c>
    </row>
    <row r="1744" spans="1:16" x14ac:dyDescent="0.25">
      <c r="A1744" s="2" t="s">
        <v>183</v>
      </c>
      <c r="B1744" s="2" t="s">
        <v>195</v>
      </c>
      <c r="C1744" s="6" t="s">
        <v>142</v>
      </c>
      <c r="D1744" s="2" t="s">
        <v>108</v>
      </c>
      <c r="E1744" s="2"/>
      <c r="F1744" s="35">
        <v>0</v>
      </c>
      <c r="G1744" s="35">
        <v>119.96852972736193</v>
      </c>
      <c r="H1744" s="35">
        <v>1.5026763689492439</v>
      </c>
      <c r="I1744" s="35">
        <v>1.1772510767580456E-2</v>
      </c>
      <c r="J1744" s="35">
        <v>1.2833935025556857E-4</v>
      </c>
      <c r="K1744" s="35">
        <v>0.13335163625710111</v>
      </c>
      <c r="L1744" s="35">
        <v>23.837226101659414</v>
      </c>
      <c r="M1744" s="58" t="s">
        <v>22</v>
      </c>
      <c r="N1744" s="7">
        <v>11.333333333333334</v>
      </c>
      <c r="O1744" s="7" t="s">
        <v>180</v>
      </c>
      <c r="P1744" s="7" t="s">
        <v>180</v>
      </c>
    </row>
    <row r="1745" spans="1:16" x14ac:dyDescent="0.25">
      <c r="A1745" s="2" t="s">
        <v>183</v>
      </c>
      <c r="B1745" s="2" t="s">
        <v>195</v>
      </c>
      <c r="C1745" s="6" t="s">
        <v>142</v>
      </c>
      <c r="D1745" s="2" t="s">
        <v>108</v>
      </c>
      <c r="E1745" s="2"/>
      <c r="F1745" s="35">
        <v>5.4149169609489114</v>
      </c>
      <c r="G1745" s="35">
        <v>122.54794058347743</v>
      </c>
      <c r="H1745" s="35">
        <v>1.5026763689492439</v>
      </c>
      <c r="I1745" s="35">
        <v>1.1772510767580456E-2</v>
      </c>
      <c r="J1745" s="35">
        <v>1.2833935025556857E-4</v>
      </c>
      <c r="K1745" s="35">
        <v>6.960446802877604E-2</v>
      </c>
      <c r="L1745" s="35">
        <v>15.700358344619028</v>
      </c>
      <c r="M1745" s="58" t="s">
        <v>24</v>
      </c>
      <c r="N1745" s="7">
        <v>11.333333333333334</v>
      </c>
      <c r="O1745" s="7" t="s">
        <v>180</v>
      </c>
      <c r="P1745" s="7" t="s">
        <v>180</v>
      </c>
    </row>
    <row r="1746" spans="1:16" x14ac:dyDescent="0.25">
      <c r="A1746" s="2" t="s">
        <v>183</v>
      </c>
      <c r="B1746" s="2" t="s">
        <v>195</v>
      </c>
      <c r="C1746" s="6" t="s">
        <v>142</v>
      </c>
      <c r="D1746" s="2" t="s">
        <v>108</v>
      </c>
      <c r="E1746" s="2"/>
      <c r="F1746" s="35">
        <v>10.829833921897823</v>
      </c>
      <c r="G1746" s="35">
        <v>125.12735143959293</v>
      </c>
      <c r="H1746" s="35">
        <v>1.5026763689492439</v>
      </c>
      <c r="I1746" s="35">
        <v>1.1772510767580456E-2</v>
      </c>
      <c r="J1746" s="35">
        <v>1.2833935025556857E-4</v>
      </c>
      <c r="K1746" s="35">
        <v>5.8572998004509467E-3</v>
      </c>
      <c r="L1746" s="35">
        <v>7.563490587578646</v>
      </c>
      <c r="M1746" s="58" t="s">
        <v>23</v>
      </c>
      <c r="N1746" s="7">
        <v>11.333333333333334</v>
      </c>
      <c r="O1746" s="7" t="s">
        <v>180</v>
      </c>
      <c r="P1746" s="7" t="s">
        <v>180</v>
      </c>
    </row>
    <row r="1747" spans="1:16" x14ac:dyDescent="0.25">
      <c r="A1747" s="2" t="s">
        <v>183</v>
      </c>
      <c r="B1747" s="2" t="s">
        <v>195</v>
      </c>
      <c r="C1747" s="6" t="s">
        <v>142</v>
      </c>
      <c r="D1747" s="2" t="s">
        <v>109</v>
      </c>
      <c r="E1747" s="2"/>
      <c r="F1747" s="35">
        <v>0</v>
      </c>
      <c r="G1747" s="35">
        <v>-93.351056028218053</v>
      </c>
      <c r="H1747" s="35">
        <v>12.96984988632868</v>
      </c>
      <c r="I1747" s="35">
        <v>5.6384727486682865E-3</v>
      </c>
      <c r="J1747" s="35">
        <v>1.2166319525405524E-5</v>
      </c>
      <c r="K1747" s="35">
        <v>6.3153601794250794E-2</v>
      </c>
      <c r="L1747" s="35">
        <v>79.222266251538159</v>
      </c>
      <c r="M1747" s="58" t="s">
        <v>22</v>
      </c>
      <c r="N1747" s="7">
        <v>11.333333333333334</v>
      </c>
      <c r="O1747" s="7" t="s">
        <v>180</v>
      </c>
      <c r="P1747" s="7" t="s">
        <v>180</v>
      </c>
    </row>
    <row r="1748" spans="1:16" x14ac:dyDescent="0.25">
      <c r="A1748" s="2" t="s">
        <v>183</v>
      </c>
      <c r="B1748" s="2" t="s">
        <v>195</v>
      </c>
      <c r="C1748" s="6" t="s">
        <v>142</v>
      </c>
      <c r="D1748" s="2" t="s">
        <v>109</v>
      </c>
      <c r="E1748" s="2"/>
      <c r="F1748" s="35">
        <v>5.4149169609489114</v>
      </c>
      <c r="G1748" s="35">
        <v>-90.771645172102538</v>
      </c>
      <c r="H1748" s="35">
        <v>12.96984988632868</v>
      </c>
      <c r="I1748" s="35">
        <v>5.6384727486682865E-3</v>
      </c>
      <c r="J1748" s="35">
        <v>1.2166319525405524E-5</v>
      </c>
      <c r="K1748" s="35">
        <v>3.2621740073638675E-2</v>
      </c>
      <c r="L1748" s="35">
        <v>8.9916061210956801</v>
      </c>
      <c r="M1748" s="58" t="s">
        <v>24</v>
      </c>
      <c r="N1748" s="7">
        <v>11.333333333333334</v>
      </c>
      <c r="O1748" s="7" t="s">
        <v>180</v>
      </c>
      <c r="P1748" s="7" t="s">
        <v>180</v>
      </c>
    </row>
    <row r="1749" spans="1:16" x14ac:dyDescent="0.25">
      <c r="A1749" s="2" t="s">
        <v>183</v>
      </c>
      <c r="B1749" s="2" t="s">
        <v>195</v>
      </c>
      <c r="C1749" s="6" t="s">
        <v>142</v>
      </c>
      <c r="D1749" s="2" t="s">
        <v>109</v>
      </c>
      <c r="E1749" s="2"/>
      <c r="F1749" s="35">
        <v>10.829833921897823</v>
      </c>
      <c r="G1749" s="35">
        <v>-88.192234315987037</v>
      </c>
      <c r="H1749" s="35">
        <v>12.96984988632868</v>
      </c>
      <c r="I1749" s="35">
        <v>5.6384727486682865E-3</v>
      </c>
      <c r="J1749" s="35">
        <v>1.2166319525405524E-5</v>
      </c>
      <c r="K1749" s="35">
        <v>2.089878353026541E-3</v>
      </c>
      <c r="L1749" s="35">
        <v>-61.239054009346788</v>
      </c>
      <c r="M1749" s="58" t="s">
        <v>23</v>
      </c>
      <c r="N1749" s="7">
        <v>11.333333333333334</v>
      </c>
      <c r="O1749" s="7" t="s">
        <v>180</v>
      </c>
      <c r="P1749" s="7" t="s">
        <v>180</v>
      </c>
    </row>
    <row r="1750" spans="1:16" x14ac:dyDescent="0.25">
      <c r="A1750" s="2" t="s">
        <v>183</v>
      </c>
      <c r="B1750" s="2" t="s">
        <v>195</v>
      </c>
      <c r="C1750" s="6" t="s">
        <v>142</v>
      </c>
      <c r="D1750" s="2" t="s">
        <v>110</v>
      </c>
      <c r="E1750" s="2"/>
      <c r="F1750" s="35">
        <v>0</v>
      </c>
      <c r="G1750" s="35">
        <v>122.14349219777476</v>
      </c>
      <c r="H1750" s="35">
        <v>-8.6230571460005425</v>
      </c>
      <c r="I1750" s="35">
        <v>1.1446536902816832E-2</v>
      </c>
      <c r="J1750" s="35">
        <v>1.3899967481937819E-4</v>
      </c>
      <c r="K1750" s="35">
        <v>0.12960453194996177</v>
      </c>
      <c r="L1750" s="35">
        <v>-43.162650573089387</v>
      </c>
      <c r="M1750" s="58" t="s">
        <v>22</v>
      </c>
      <c r="N1750" s="7">
        <v>11.333333333333334</v>
      </c>
      <c r="O1750" s="7" t="s">
        <v>180</v>
      </c>
      <c r="P1750" s="7" t="s">
        <v>180</v>
      </c>
    </row>
    <row r="1751" spans="1:16" x14ac:dyDescent="0.25">
      <c r="A1751" s="2" t="s">
        <v>183</v>
      </c>
      <c r="B1751" s="2" t="s">
        <v>195</v>
      </c>
      <c r="C1751" s="6" t="s">
        <v>142</v>
      </c>
      <c r="D1751" s="2" t="s">
        <v>110</v>
      </c>
      <c r="E1751" s="2"/>
      <c r="F1751" s="35">
        <v>5.4149169609489114</v>
      </c>
      <c r="G1751" s="35">
        <v>124.72290305389026</v>
      </c>
      <c r="H1751" s="35">
        <v>-8.6230571460005425</v>
      </c>
      <c r="I1751" s="35">
        <v>1.1446536902816832E-2</v>
      </c>
      <c r="J1751" s="35">
        <v>1.3899967481937819E-4</v>
      </c>
      <c r="K1751" s="35">
        <v>6.7622485130771265E-2</v>
      </c>
      <c r="L1751" s="35">
        <v>3.5304878220206652</v>
      </c>
      <c r="M1751" s="58" t="s">
        <v>24</v>
      </c>
      <c r="N1751" s="7">
        <v>11.333333333333334</v>
      </c>
      <c r="O1751" s="7" t="s">
        <v>180</v>
      </c>
      <c r="P1751" s="7" t="s">
        <v>180</v>
      </c>
    </row>
    <row r="1752" spans="1:16" x14ac:dyDescent="0.25">
      <c r="A1752" s="2" t="s">
        <v>183</v>
      </c>
      <c r="B1752" s="2" t="s">
        <v>195</v>
      </c>
      <c r="C1752" s="6" t="s">
        <v>142</v>
      </c>
      <c r="D1752" s="2" t="s">
        <v>110</v>
      </c>
      <c r="E1752" s="2"/>
      <c r="F1752" s="35">
        <v>10.829833921897823</v>
      </c>
      <c r="G1752" s="35">
        <v>127.30231391000576</v>
      </c>
      <c r="H1752" s="35">
        <v>-8.6230571460005425</v>
      </c>
      <c r="I1752" s="35">
        <v>1.1446536902816832E-2</v>
      </c>
      <c r="J1752" s="35">
        <v>1.3899967481937819E-4</v>
      </c>
      <c r="K1752" s="35">
        <v>5.6404383115807961E-3</v>
      </c>
      <c r="L1752" s="35">
        <v>50.223626217130715</v>
      </c>
      <c r="M1752" s="58" t="s">
        <v>23</v>
      </c>
      <c r="N1752" s="7">
        <v>11.333333333333334</v>
      </c>
      <c r="O1752" s="7" t="s">
        <v>180</v>
      </c>
      <c r="P1752" s="7" t="s">
        <v>180</v>
      </c>
    </row>
    <row r="1753" spans="1:16" x14ac:dyDescent="0.25">
      <c r="A1753" s="2" t="s">
        <v>183</v>
      </c>
      <c r="B1753" s="2" t="s">
        <v>195</v>
      </c>
      <c r="C1753" s="6" t="s">
        <v>142</v>
      </c>
      <c r="D1753" s="2" t="s">
        <v>111</v>
      </c>
      <c r="E1753" s="2"/>
      <c r="F1753" s="35">
        <v>0</v>
      </c>
      <c r="G1753" s="35">
        <v>3.9113549774325431</v>
      </c>
      <c r="H1753" s="35">
        <v>-21.414658968671883</v>
      </c>
      <c r="I1753" s="35">
        <v>5.5337672008482818E-3</v>
      </c>
      <c r="J1753" s="35">
        <v>2.2168545602750234E-5</v>
      </c>
      <c r="K1753" s="35">
        <v>6.2007877570285946E-2</v>
      </c>
      <c r="L1753" s="35">
        <v>-115.78132762014745</v>
      </c>
      <c r="M1753" s="58" t="s">
        <v>22</v>
      </c>
      <c r="N1753" s="7">
        <v>11.333333333333334</v>
      </c>
      <c r="O1753" s="7" t="s">
        <v>180</v>
      </c>
      <c r="P1753" s="7" t="s">
        <v>180</v>
      </c>
    </row>
    <row r="1754" spans="1:16" x14ac:dyDescent="0.25">
      <c r="A1754" s="2" t="s">
        <v>183</v>
      </c>
      <c r="B1754" s="2" t="s">
        <v>195</v>
      </c>
      <c r="C1754" s="6" t="s">
        <v>142</v>
      </c>
      <c r="D1754" s="2" t="s">
        <v>111</v>
      </c>
      <c r="E1754" s="2"/>
      <c r="F1754" s="35">
        <v>5.4149169609489114</v>
      </c>
      <c r="G1754" s="35">
        <v>6.4907658335480507</v>
      </c>
      <c r="H1754" s="35">
        <v>-21.414658968671883</v>
      </c>
      <c r="I1754" s="35">
        <v>5.5337672008482818E-3</v>
      </c>
      <c r="J1754" s="35">
        <v>2.2168545602750234E-5</v>
      </c>
      <c r="K1754" s="35">
        <v>3.2042987696469814E-2</v>
      </c>
      <c r="L1754" s="35">
        <v>0.17727244225063776</v>
      </c>
      <c r="M1754" s="58" t="s">
        <v>24</v>
      </c>
      <c r="N1754" s="7">
        <v>11.333333333333334</v>
      </c>
      <c r="O1754" s="7" t="s">
        <v>180</v>
      </c>
      <c r="P1754" s="7" t="s">
        <v>180</v>
      </c>
    </row>
    <row r="1755" spans="1:16" x14ac:dyDescent="0.25">
      <c r="A1755" s="2" t="s">
        <v>183</v>
      </c>
      <c r="B1755" s="2" t="s">
        <v>195</v>
      </c>
      <c r="C1755" s="6" t="s">
        <v>142</v>
      </c>
      <c r="D1755" s="2" t="s">
        <v>111</v>
      </c>
      <c r="E1755" s="2"/>
      <c r="F1755" s="35">
        <v>10.829833921897823</v>
      </c>
      <c r="G1755" s="35">
        <v>9.0701766896635512</v>
      </c>
      <c r="H1755" s="35">
        <v>-21.414658968671883</v>
      </c>
      <c r="I1755" s="35">
        <v>5.5337672008482818E-3</v>
      </c>
      <c r="J1755" s="35">
        <v>2.2168545602750234E-5</v>
      </c>
      <c r="K1755" s="35">
        <v>2.0780978226536827E-3</v>
      </c>
      <c r="L1755" s="35">
        <v>116.13587250464872</v>
      </c>
      <c r="M1755" s="58" t="s">
        <v>23</v>
      </c>
      <c r="N1755" s="7">
        <v>11.333333333333334</v>
      </c>
      <c r="O1755" s="7" t="s">
        <v>180</v>
      </c>
      <c r="P1755" s="7" t="s">
        <v>180</v>
      </c>
    </row>
    <row r="1756" spans="1:16" x14ac:dyDescent="0.25">
      <c r="A1756" s="2" t="s">
        <v>183</v>
      </c>
      <c r="B1756" s="2" t="s">
        <v>195</v>
      </c>
      <c r="C1756" s="6" t="s">
        <v>142</v>
      </c>
      <c r="D1756" s="2" t="s">
        <v>112</v>
      </c>
      <c r="E1756" s="2"/>
      <c r="F1756" s="35">
        <v>0</v>
      </c>
      <c r="G1756" s="35">
        <v>56.43973902471533</v>
      </c>
      <c r="H1756" s="35">
        <v>-3.3748076360852681</v>
      </c>
      <c r="I1756" s="35">
        <v>-3.6494071921665629E-2</v>
      </c>
      <c r="J1756" s="35">
        <v>-2.97486098040596E-4</v>
      </c>
      <c r="K1756" s="35">
        <v>-0.41471105369413785</v>
      </c>
      <c r="L1756" s="35">
        <v>-11.640506665810348</v>
      </c>
      <c r="M1756" s="58" t="s">
        <v>22</v>
      </c>
      <c r="N1756" s="7">
        <v>11.333333333333334</v>
      </c>
      <c r="O1756" s="7" t="s">
        <v>180</v>
      </c>
      <c r="P1756" s="7" t="s">
        <v>180</v>
      </c>
    </row>
    <row r="1757" spans="1:16" x14ac:dyDescent="0.25">
      <c r="A1757" s="2" t="s">
        <v>183</v>
      </c>
      <c r="B1757" s="2" t="s">
        <v>195</v>
      </c>
      <c r="C1757" s="6" t="s">
        <v>142</v>
      </c>
      <c r="D1757" s="2" t="s">
        <v>112</v>
      </c>
      <c r="E1757" s="2"/>
      <c r="F1757" s="35">
        <v>5.4149169609489114</v>
      </c>
      <c r="G1757" s="35">
        <v>59.019149880830824</v>
      </c>
      <c r="H1757" s="35">
        <v>-3.3748076360852681</v>
      </c>
      <c r="I1757" s="35">
        <v>-3.6494071921665629E-2</v>
      </c>
      <c r="J1757" s="35">
        <v>-2.97486098040596E-4</v>
      </c>
      <c r="K1757" s="35">
        <v>-0.21709868467142121</v>
      </c>
      <c r="L1757" s="35">
        <v>6.6337964427676734</v>
      </c>
      <c r="M1757" s="58" t="s">
        <v>24</v>
      </c>
      <c r="N1757" s="7">
        <v>11.333333333333334</v>
      </c>
      <c r="O1757" s="7" t="s">
        <v>180</v>
      </c>
      <c r="P1757" s="7" t="s">
        <v>180</v>
      </c>
    </row>
    <row r="1758" spans="1:16" x14ac:dyDescent="0.25">
      <c r="A1758" s="2" t="s">
        <v>183</v>
      </c>
      <c r="B1758" s="2" t="s">
        <v>195</v>
      </c>
      <c r="C1758" s="6" t="s">
        <v>142</v>
      </c>
      <c r="D1758" s="2" t="s">
        <v>112</v>
      </c>
      <c r="E1758" s="2"/>
      <c r="F1758" s="35">
        <v>10.829833921897823</v>
      </c>
      <c r="G1758" s="35">
        <v>61.598560736946339</v>
      </c>
      <c r="H1758" s="35">
        <v>-3.3748076360852681</v>
      </c>
      <c r="I1758" s="35">
        <v>-3.6494071921665629E-2</v>
      </c>
      <c r="J1758" s="35">
        <v>-2.97486098040596E-4</v>
      </c>
      <c r="K1758" s="35">
        <v>-1.9486315648704632E-2</v>
      </c>
      <c r="L1758" s="35">
        <v>24.908099551345696</v>
      </c>
      <c r="M1758" s="58" t="s">
        <v>23</v>
      </c>
      <c r="N1758" s="7">
        <v>11.333333333333334</v>
      </c>
      <c r="O1758" s="7" t="s">
        <v>180</v>
      </c>
      <c r="P1758" s="7" t="s">
        <v>180</v>
      </c>
    </row>
    <row r="1759" spans="1:16" x14ac:dyDescent="0.25">
      <c r="A1759" s="2" t="s">
        <v>183</v>
      </c>
      <c r="B1759" s="2" t="s">
        <v>195</v>
      </c>
      <c r="C1759" s="6" t="s">
        <v>142</v>
      </c>
      <c r="D1759" s="2" t="s">
        <v>113</v>
      </c>
      <c r="E1759" s="2"/>
      <c r="F1759" s="35">
        <v>0</v>
      </c>
      <c r="G1759" s="35">
        <v>-16.008555418694097</v>
      </c>
      <c r="H1759" s="35">
        <v>-1.2751588467224799</v>
      </c>
      <c r="I1759" s="35">
        <v>-4.0750184320144073E-2</v>
      </c>
      <c r="J1759" s="35">
        <v>-3.5354058506714101E-4</v>
      </c>
      <c r="K1759" s="35">
        <v>-0.46298150215260758</v>
      </c>
      <c r="L1759" s="35">
        <v>-5.7365051519435051</v>
      </c>
      <c r="M1759" s="58" t="s">
        <v>22</v>
      </c>
      <c r="N1759" s="7">
        <v>11.333333333333334</v>
      </c>
      <c r="O1759" s="7" t="s">
        <v>180</v>
      </c>
      <c r="P1759" s="7" t="s">
        <v>180</v>
      </c>
    </row>
    <row r="1760" spans="1:16" x14ac:dyDescent="0.25">
      <c r="A1760" s="2" t="s">
        <v>183</v>
      </c>
      <c r="B1760" s="2" t="s">
        <v>195</v>
      </c>
      <c r="C1760" s="6" t="s">
        <v>142</v>
      </c>
      <c r="D1760" s="2" t="s">
        <v>113</v>
      </c>
      <c r="E1760" s="2"/>
      <c r="F1760" s="35">
        <v>5.4149169609489114</v>
      </c>
      <c r="G1760" s="35">
        <v>-13.429144562578598</v>
      </c>
      <c r="H1760" s="35">
        <v>-1.2751588467224799</v>
      </c>
      <c r="I1760" s="35">
        <v>-4.0750184320144073E-2</v>
      </c>
      <c r="J1760" s="35">
        <v>-3.5354058506714101E-4</v>
      </c>
      <c r="K1760" s="35">
        <v>-0.24232263791566511</v>
      </c>
      <c r="L1760" s="35">
        <v>1.1683741150781035</v>
      </c>
      <c r="M1760" s="58" t="s">
        <v>24</v>
      </c>
      <c r="N1760" s="7">
        <v>11.333333333333334</v>
      </c>
      <c r="O1760" s="7" t="s">
        <v>180</v>
      </c>
      <c r="P1760" s="7" t="s">
        <v>180</v>
      </c>
    </row>
    <row r="1761" spans="1:16" x14ac:dyDescent="0.25">
      <c r="A1761" s="2" t="s">
        <v>183</v>
      </c>
      <c r="B1761" s="2" t="s">
        <v>195</v>
      </c>
      <c r="C1761" s="6" t="s">
        <v>142</v>
      </c>
      <c r="D1761" s="2" t="s">
        <v>113</v>
      </c>
      <c r="E1761" s="2"/>
      <c r="F1761" s="35">
        <v>10.829833921897823</v>
      </c>
      <c r="G1761" s="35">
        <v>-10.849733706463082</v>
      </c>
      <c r="H1761" s="35">
        <v>-1.2751588467224799</v>
      </c>
      <c r="I1761" s="35">
        <v>-4.0750184320144073E-2</v>
      </c>
      <c r="J1761" s="35">
        <v>-3.5354058506714101E-4</v>
      </c>
      <c r="K1761" s="35">
        <v>-2.1663773678722641E-2</v>
      </c>
      <c r="L1761" s="35">
        <v>8.0732533820997165</v>
      </c>
      <c r="M1761" s="58" t="s">
        <v>23</v>
      </c>
      <c r="N1761" s="7">
        <v>11.333333333333334</v>
      </c>
      <c r="O1761" s="7" t="s">
        <v>180</v>
      </c>
      <c r="P1761" s="7" t="s">
        <v>180</v>
      </c>
    </row>
    <row r="1762" spans="1:16" x14ac:dyDescent="0.25">
      <c r="A1762" s="2" t="s">
        <v>183</v>
      </c>
      <c r="B1762" s="2" t="s">
        <v>195</v>
      </c>
      <c r="C1762" s="6" t="s">
        <v>142</v>
      </c>
      <c r="D1762" s="2" t="s">
        <v>114</v>
      </c>
      <c r="E1762" s="2"/>
      <c r="F1762" s="35">
        <v>0</v>
      </c>
      <c r="G1762" s="35">
        <v>47.825015121926469</v>
      </c>
      <c r="H1762" s="35">
        <v>-2.9850486936712812</v>
      </c>
      <c r="I1762" s="35">
        <v>3.9019734889893049E-2</v>
      </c>
      <c r="J1762" s="35">
        <v>3.3104698419381947E-4</v>
      </c>
      <c r="K1762" s="35">
        <v>0.44280781239860645</v>
      </c>
      <c r="L1762" s="35">
        <v>-10.311029209288181</v>
      </c>
      <c r="M1762" s="58" t="s">
        <v>22</v>
      </c>
      <c r="N1762" s="7">
        <v>11.333333333333334</v>
      </c>
      <c r="O1762" s="7" t="s">
        <v>180</v>
      </c>
      <c r="P1762" s="7" t="s">
        <v>180</v>
      </c>
    </row>
    <row r="1763" spans="1:16" x14ac:dyDescent="0.25">
      <c r="A1763" s="2" t="s">
        <v>183</v>
      </c>
      <c r="B1763" s="2" t="s">
        <v>195</v>
      </c>
      <c r="C1763" s="6" t="s">
        <v>142</v>
      </c>
      <c r="D1763" s="2" t="s">
        <v>114</v>
      </c>
      <c r="E1763" s="2"/>
      <c r="F1763" s="35">
        <v>5.4149169609489114</v>
      </c>
      <c r="G1763" s="35">
        <v>50.404425978041971</v>
      </c>
      <c r="H1763" s="35">
        <v>-2.9850486936712812</v>
      </c>
      <c r="I1763" s="35">
        <v>3.9019734889893049E-2</v>
      </c>
      <c r="J1763" s="35">
        <v>3.3104698419381947E-4</v>
      </c>
      <c r="K1763" s="35">
        <v>0.23151918813159458</v>
      </c>
      <c r="L1763" s="35">
        <v>5.852761591330828</v>
      </c>
      <c r="M1763" s="58" t="s">
        <v>24</v>
      </c>
      <c r="N1763" s="7">
        <v>11.333333333333334</v>
      </c>
      <c r="O1763" s="7" t="s">
        <v>180</v>
      </c>
      <c r="P1763" s="7" t="s">
        <v>180</v>
      </c>
    </row>
    <row r="1764" spans="1:16" x14ac:dyDescent="0.25">
      <c r="A1764" s="2" t="s">
        <v>183</v>
      </c>
      <c r="B1764" s="2" t="s">
        <v>195</v>
      </c>
      <c r="C1764" s="6" t="s">
        <v>142</v>
      </c>
      <c r="D1764" s="2" t="s">
        <v>114</v>
      </c>
      <c r="E1764" s="2"/>
      <c r="F1764" s="35">
        <v>10.829833921897823</v>
      </c>
      <c r="G1764" s="35">
        <v>52.983836834157486</v>
      </c>
      <c r="H1764" s="35">
        <v>-2.9850486936712812</v>
      </c>
      <c r="I1764" s="35">
        <v>3.9019734889893049E-2</v>
      </c>
      <c r="J1764" s="35">
        <v>3.3104698419381947E-4</v>
      </c>
      <c r="K1764" s="35">
        <v>2.0230563864582735E-2</v>
      </c>
      <c r="L1764" s="35">
        <v>22.016552391949837</v>
      </c>
      <c r="M1764" s="58" t="s">
        <v>23</v>
      </c>
      <c r="N1764" s="7">
        <v>11.333333333333334</v>
      </c>
      <c r="O1764" s="7" t="s">
        <v>180</v>
      </c>
      <c r="P1764" s="7" t="s">
        <v>180</v>
      </c>
    </row>
    <row r="1765" spans="1:16" x14ac:dyDescent="0.25">
      <c r="A1765" s="2" t="s">
        <v>183</v>
      </c>
      <c r="B1765" s="2" t="s">
        <v>195</v>
      </c>
      <c r="C1765" s="6" t="s">
        <v>142</v>
      </c>
      <c r="D1765" s="2" t="s">
        <v>115</v>
      </c>
      <c r="E1765" s="2"/>
      <c r="F1765" s="35">
        <v>0</v>
      </c>
      <c r="G1765" s="35">
        <v>-24.623181231502919</v>
      </c>
      <c r="H1765" s="35">
        <v>-0.88554041648970383</v>
      </c>
      <c r="I1765" s="35">
        <v>3.4720730536561731E-2</v>
      </c>
      <c r="J1765" s="35">
        <v>2.74249269518152E-4</v>
      </c>
      <c r="K1765" s="35">
        <v>0.39405576131139641</v>
      </c>
      <c r="L1765" s="35">
        <v>-4.407549844278754</v>
      </c>
      <c r="M1765" s="58" t="s">
        <v>22</v>
      </c>
      <c r="N1765" s="7">
        <v>11.333333333333334</v>
      </c>
      <c r="O1765" s="7" t="s">
        <v>180</v>
      </c>
      <c r="P1765" s="7" t="s">
        <v>180</v>
      </c>
    </row>
    <row r="1766" spans="1:16" x14ac:dyDescent="0.25">
      <c r="A1766" s="2" t="s">
        <v>183</v>
      </c>
      <c r="B1766" s="2" t="s">
        <v>195</v>
      </c>
      <c r="C1766" s="6" t="s">
        <v>142</v>
      </c>
      <c r="D1766" s="2" t="s">
        <v>115</v>
      </c>
      <c r="E1766" s="2"/>
      <c r="F1766" s="35">
        <v>5.4149169609489114</v>
      </c>
      <c r="G1766" s="35">
        <v>-22.043770375387417</v>
      </c>
      <c r="H1766" s="35">
        <v>-0.88554041648970383</v>
      </c>
      <c r="I1766" s="35">
        <v>3.4720730536561731E-2</v>
      </c>
      <c r="J1766" s="35">
        <v>2.74249269518152E-4</v>
      </c>
      <c r="K1766" s="35">
        <v>0.20604588863243142</v>
      </c>
      <c r="L1766" s="35">
        <v>0.38757797657710585</v>
      </c>
      <c r="M1766" s="58" t="s">
        <v>24</v>
      </c>
      <c r="N1766" s="7">
        <v>11.333333333333334</v>
      </c>
      <c r="O1766" s="7" t="s">
        <v>180</v>
      </c>
      <c r="P1766" s="7" t="s">
        <v>180</v>
      </c>
    </row>
    <row r="1767" spans="1:16" x14ac:dyDescent="0.25">
      <c r="A1767" s="2" t="s">
        <v>183</v>
      </c>
      <c r="B1767" s="2" t="s">
        <v>195</v>
      </c>
      <c r="C1767" s="6" t="s">
        <v>142</v>
      </c>
      <c r="D1767" s="2" t="s">
        <v>115</v>
      </c>
      <c r="E1767" s="2"/>
      <c r="F1767" s="35">
        <v>10.829833921897823</v>
      </c>
      <c r="G1767" s="35">
        <v>-19.464359519271905</v>
      </c>
      <c r="H1767" s="35">
        <v>-0.88554041648970383</v>
      </c>
      <c r="I1767" s="35">
        <v>3.4720730536561731E-2</v>
      </c>
      <c r="J1767" s="35">
        <v>2.74249269518152E-4</v>
      </c>
      <c r="K1767" s="35">
        <v>1.8036015953466527E-2</v>
      </c>
      <c r="L1767" s="35">
        <v>5.1827057974329653</v>
      </c>
      <c r="M1767" s="58" t="s">
        <v>23</v>
      </c>
      <c r="N1767" s="7">
        <v>11.333333333333334</v>
      </c>
      <c r="O1767" s="7" t="s">
        <v>180</v>
      </c>
      <c r="P1767" s="7" t="s">
        <v>180</v>
      </c>
    </row>
    <row r="1768" spans="1:16" x14ac:dyDescent="0.25">
      <c r="A1768" s="2" t="s">
        <v>183</v>
      </c>
      <c r="B1768" s="2" t="s">
        <v>195</v>
      </c>
      <c r="C1768" s="6" t="s">
        <v>142</v>
      </c>
      <c r="D1768" s="2" t="s">
        <v>116</v>
      </c>
      <c r="E1768" s="2"/>
      <c r="F1768" s="35">
        <v>0</v>
      </c>
      <c r="G1768" s="35">
        <v>46.905042028126431</v>
      </c>
      <c r="H1768" s="35">
        <v>2.4089054826025382</v>
      </c>
      <c r="I1768" s="35">
        <v>1.0118865045190956E-2</v>
      </c>
      <c r="J1768" s="35">
        <v>9.4141728406504295E-5</v>
      </c>
      <c r="K1768" s="35">
        <v>0.11439069432510715</v>
      </c>
      <c r="L1768" s="35">
        <v>23.443694813704962</v>
      </c>
      <c r="M1768" s="58" t="s">
        <v>22</v>
      </c>
      <c r="N1768" s="7">
        <v>11.333333333333334</v>
      </c>
      <c r="O1768" s="7" t="s">
        <v>180</v>
      </c>
      <c r="P1768" s="7" t="s">
        <v>180</v>
      </c>
    </row>
    <row r="1769" spans="1:16" x14ac:dyDescent="0.25">
      <c r="A1769" s="2" t="s">
        <v>183</v>
      </c>
      <c r="B1769" s="2" t="s">
        <v>195</v>
      </c>
      <c r="C1769" s="6" t="s">
        <v>142</v>
      </c>
      <c r="D1769" s="2" t="s">
        <v>116</v>
      </c>
      <c r="E1769" s="2"/>
      <c r="F1769" s="35">
        <v>5.4149169609489114</v>
      </c>
      <c r="G1769" s="35">
        <v>49.484452884241932</v>
      </c>
      <c r="H1769" s="35">
        <v>2.4089054826025382</v>
      </c>
      <c r="I1769" s="35">
        <v>1.0118865045190956E-2</v>
      </c>
      <c r="J1769" s="35">
        <v>9.4141728406504295E-5</v>
      </c>
      <c r="K1769" s="35">
        <v>5.9597880366349575E-2</v>
      </c>
      <c r="L1769" s="35">
        <v>10.39967165863766</v>
      </c>
      <c r="M1769" s="58" t="s">
        <v>24</v>
      </c>
      <c r="N1769" s="7">
        <v>11.333333333333334</v>
      </c>
      <c r="O1769" s="7" t="s">
        <v>180</v>
      </c>
      <c r="P1769" s="7" t="s">
        <v>180</v>
      </c>
    </row>
    <row r="1770" spans="1:16" x14ac:dyDescent="0.25">
      <c r="A1770" s="2" t="s">
        <v>183</v>
      </c>
      <c r="B1770" s="2" t="s">
        <v>195</v>
      </c>
      <c r="C1770" s="6" t="s">
        <v>142</v>
      </c>
      <c r="D1770" s="2" t="s">
        <v>116</v>
      </c>
      <c r="E1770" s="2"/>
      <c r="F1770" s="35">
        <v>10.829833921897823</v>
      </c>
      <c r="G1770" s="35">
        <v>52.063863740357441</v>
      </c>
      <c r="H1770" s="35">
        <v>2.4089054826025382</v>
      </c>
      <c r="I1770" s="35">
        <v>1.0118865045190956E-2</v>
      </c>
      <c r="J1770" s="35">
        <v>9.4141728406504295E-5</v>
      </c>
      <c r="K1770" s="35">
        <v>4.8050664075919933E-3</v>
      </c>
      <c r="L1770" s="35">
        <v>-2.6443514964296457</v>
      </c>
      <c r="M1770" s="58" t="s">
        <v>23</v>
      </c>
      <c r="N1770" s="7">
        <v>11.333333333333334</v>
      </c>
      <c r="O1770" s="7" t="s">
        <v>180</v>
      </c>
      <c r="P1770" s="7" t="s">
        <v>180</v>
      </c>
    </row>
    <row r="1771" spans="1:16" x14ac:dyDescent="0.25">
      <c r="A1771" s="2" t="s">
        <v>183</v>
      </c>
      <c r="B1771" s="2" t="s">
        <v>195</v>
      </c>
      <c r="C1771" s="6" t="s">
        <v>142</v>
      </c>
      <c r="D1771" s="2" t="s">
        <v>117</v>
      </c>
      <c r="E1771" s="2"/>
      <c r="F1771" s="35">
        <v>0</v>
      </c>
      <c r="G1771" s="35">
        <v>-145.08258515189553</v>
      </c>
      <c r="H1771" s="35">
        <v>12.729361648244032</v>
      </c>
      <c r="I1771" s="35">
        <v>4.5982308281700066E-3</v>
      </c>
      <c r="J1771" s="35">
        <v>-1.0413999250642453E-5</v>
      </c>
      <c r="K1771" s="35">
        <v>5.1212463308541879E-2</v>
      </c>
      <c r="L1771" s="35">
        <v>73.29023094859582</v>
      </c>
      <c r="M1771" s="58" t="s">
        <v>22</v>
      </c>
      <c r="N1771" s="7">
        <v>11.333333333333334</v>
      </c>
      <c r="O1771" s="7" t="s">
        <v>180</v>
      </c>
      <c r="P1771" s="7" t="s">
        <v>180</v>
      </c>
    </row>
    <row r="1772" spans="1:16" x14ac:dyDescent="0.25">
      <c r="A1772" s="2" t="s">
        <v>183</v>
      </c>
      <c r="B1772" s="2" t="s">
        <v>195</v>
      </c>
      <c r="C1772" s="6" t="s">
        <v>142</v>
      </c>
      <c r="D1772" s="2" t="s">
        <v>117</v>
      </c>
      <c r="E1772" s="2"/>
      <c r="F1772" s="35">
        <v>5.4149169609489114</v>
      </c>
      <c r="G1772" s="35">
        <v>-142.50317429578001</v>
      </c>
      <c r="H1772" s="35">
        <v>12.729361648244032</v>
      </c>
      <c r="I1772" s="35">
        <v>4.5982308281700066E-3</v>
      </c>
      <c r="J1772" s="35">
        <v>-1.0413999250642453E-5</v>
      </c>
      <c r="K1772" s="35">
        <v>2.631342520672595E-2</v>
      </c>
      <c r="L1772" s="35">
        <v>4.3617946574666426</v>
      </c>
      <c r="M1772" s="58" t="s">
        <v>24</v>
      </c>
      <c r="N1772" s="7">
        <v>11.333333333333334</v>
      </c>
      <c r="O1772" s="7" t="s">
        <v>180</v>
      </c>
      <c r="P1772" s="7" t="s">
        <v>180</v>
      </c>
    </row>
    <row r="1773" spans="1:16" x14ac:dyDescent="0.25">
      <c r="A1773" s="2" t="s">
        <v>183</v>
      </c>
      <c r="B1773" s="2" t="s">
        <v>195</v>
      </c>
      <c r="C1773" s="6" t="s">
        <v>142</v>
      </c>
      <c r="D1773" s="2" t="s">
        <v>117</v>
      </c>
      <c r="E1773" s="2"/>
      <c r="F1773" s="35">
        <v>10.829833921897823</v>
      </c>
      <c r="G1773" s="35">
        <v>-139.9237634396645</v>
      </c>
      <c r="H1773" s="35">
        <v>12.729361648244032</v>
      </c>
      <c r="I1773" s="35">
        <v>4.5982308281700066E-3</v>
      </c>
      <c r="J1773" s="35">
        <v>-1.0413999250642453E-5</v>
      </c>
      <c r="K1773" s="35">
        <v>1.4143871049100277E-3</v>
      </c>
      <c r="L1773" s="35">
        <v>-64.566641633662542</v>
      </c>
      <c r="M1773" s="58" t="s">
        <v>23</v>
      </c>
      <c r="N1773" s="7">
        <v>11.333333333333334</v>
      </c>
      <c r="O1773" s="7" t="s">
        <v>180</v>
      </c>
      <c r="P1773" s="7" t="s">
        <v>180</v>
      </c>
    </row>
    <row r="1774" spans="1:16" x14ac:dyDescent="0.25">
      <c r="A1774" s="2" t="s">
        <v>183</v>
      </c>
      <c r="B1774" s="2" t="s">
        <v>195</v>
      </c>
      <c r="C1774" s="6" t="s">
        <v>142</v>
      </c>
      <c r="D1774" s="2" t="s">
        <v>118</v>
      </c>
      <c r="E1774" s="2"/>
      <c r="F1774" s="35">
        <v>0</v>
      </c>
      <c r="G1774" s="35">
        <v>48.862508251497992</v>
      </c>
      <c r="H1774" s="35">
        <v>-6.7042546808522721</v>
      </c>
      <c r="I1774" s="35">
        <v>9.8254885669036961E-3</v>
      </c>
      <c r="J1774" s="35">
        <v>1.0373602051393297E-4</v>
      </c>
      <c r="K1774" s="35">
        <v>0.11101830044868172</v>
      </c>
      <c r="L1774" s="35">
        <v>-36.85619419356896</v>
      </c>
      <c r="M1774" s="58" t="s">
        <v>22</v>
      </c>
      <c r="N1774" s="7">
        <v>11.333333333333334</v>
      </c>
      <c r="O1774" s="7" t="s">
        <v>180</v>
      </c>
      <c r="P1774" s="7" t="s">
        <v>180</v>
      </c>
    </row>
    <row r="1775" spans="1:16" x14ac:dyDescent="0.25">
      <c r="A1775" s="2" t="s">
        <v>183</v>
      </c>
      <c r="B1775" s="2" t="s">
        <v>195</v>
      </c>
      <c r="C1775" s="6" t="s">
        <v>142</v>
      </c>
      <c r="D1775" s="2" t="s">
        <v>118</v>
      </c>
      <c r="E1775" s="2"/>
      <c r="F1775" s="35">
        <v>5.4149169609489114</v>
      </c>
      <c r="G1775" s="35">
        <v>51.441919107613494</v>
      </c>
      <c r="H1775" s="35">
        <v>-6.7042546808522721</v>
      </c>
      <c r="I1775" s="35">
        <v>9.8254885669036961E-3</v>
      </c>
      <c r="J1775" s="35">
        <v>1.0373602051393297E-4</v>
      </c>
      <c r="K1775" s="35">
        <v>5.7814095758145292E-2</v>
      </c>
      <c r="L1775" s="35">
        <v>-0.55321181170087108</v>
      </c>
      <c r="M1775" s="58" t="s">
        <v>24</v>
      </c>
      <c r="N1775" s="7">
        <v>11.333333333333334</v>
      </c>
      <c r="O1775" s="7" t="s">
        <v>180</v>
      </c>
      <c r="P1775" s="7" t="s">
        <v>180</v>
      </c>
    </row>
    <row r="1776" spans="1:16" x14ac:dyDescent="0.25">
      <c r="A1776" s="2" t="s">
        <v>183</v>
      </c>
      <c r="B1776" s="2" t="s">
        <v>195</v>
      </c>
      <c r="C1776" s="6" t="s">
        <v>142</v>
      </c>
      <c r="D1776" s="2" t="s">
        <v>118</v>
      </c>
      <c r="E1776" s="2"/>
      <c r="F1776" s="35">
        <v>10.829833921897823</v>
      </c>
      <c r="G1776" s="35">
        <v>54.021329963729009</v>
      </c>
      <c r="H1776" s="35">
        <v>-6.7042546808522721</v>
      </c>
      <c r="I1776" s="35">
        <v>9.8254885669036961E-3</v>
      </c>
      <c r="J1776" s="35">
        <v>1.0373602051393297E-4</v>
      </c>
      <c r="K1776" s="35">
        <v>4.6098910676088565E-3</v>
      </c>
      <c r="L1776" s="35">
        <v>35.749770570167222</v>
      </c>
      <c r="M1776" s="58" t="s">
        <v>23</v>
      </c>
      <c r="N1776" s="7">
        <v>11.333333333333334</v>
      </c>
      <c r="O1776" s="7" t="s">
        <v>180</v>
      </c>
      <c r="P1776" s="7" t="s">
        <v>180</v>
      </c>
    </row>
    <row r="1777" spans="1:16" x14ac:dyDescent="0.25">
      <c r="A1777" s="2" t="s">
        <v>183</v>
      </c>
      <c r="B1777" s="2" t="s">
        <v>195</v>
      </c>
      <c r="C1777" s="6" t="s">
        <v>142</v>
      </c>
      <c r="D1777" s="2" t="s">
        <v>119</v>
      </c>
      <c r="E1777" s="2"/>
      <c r="F1777" s="35">
        <v>0</v>
      </c>
      <c r="G1777" s="35">
        <v>-57.54641524681</v>
      </c>
      <c r="H1777" s="35">
        <v>-18.216696321256478</v>
      </c>
      <c r="I1777" s="35">
        <v>4.5039958351320011E-3</v>
      </c>
      <c r="J1777" s="35">
        <v>-1.4119957810322102E-6</v>
      </c>
      <c r="K1777" s="35">
        <v>5.0181311506973511E-2</v>
      </c>
      <c r="L1777" s="35">
        <v>-102.2130035359212</v>
      </c>
      <c r="M1777" s="58" t="s">
        <v>22</v>
      </c>
      <c r="N1777" s="7">
        <v>11.333333333333334</v>
      </c>
      <c r="O1777" s="7" t="s">
        <v>180</v>
      </c>
      <c r="P1777" s="7" t="s">
        <v>180</v>
      </c>
    </row>
    <row r="1778" spans="1:16" x14ac:dyDescent="0.25">
      <c r="A1778" s="2" t="s">
        <v>183</v>
      </c>
      <c r="B1778" s="2" t="s">
        <v>195</v>
      </c>
      <c r="C1778" s="6" t="s">
        <v>142</v>
      </c>
      <c r="D1778" s="2" t="s">
        <v>119</v>
      </c>
      <c r="E1778" s="2"/>
      <c r="F1778" s="35">
        <v>5.4149169609489114</v>
      </c>
      <c r="G1778" s="35">
        <v>-54.967004390694498</v>
      </c>
      <c r="H1778" s="35">
        <v>-18.216696321256478</v>
      </c>
      <c r="I1778" s="35">
        <v>4.5039958351320011E-3</v>
      </c>
      <c r="J1778" s="35">
        <v>-1.4119957810322102E-6</v>
      </c>
      <c r="K1778" s="35">
        <v>2.5792548067273987E-2</v>
      </c>
      <c r="L1778" s="35">
        <v>-3.5711056534938956</v>
      </c>
      <c r="M1778" s="58" t="s">
        <v>24</v>
      </c>
      <c r="N1778" s="7">
        <v>11.333333333333334</v>
      </c>
      <c r="O1778" s="7" t="s">
        <v>180</v>
      </c>
      <c r="P1778" s="7" t="s">
        <v>180</v>
      </c>
    </row>
    <row r="1779" spans="1:16" x14ac:dyDescent="0.25">
      <c r="A1779" s="2" t="s">
        <v>183</v>
      </c>
      <c r="B1779" s="2" t="s">
        <v>195</v>
      </c>
      <c r="C1779" s="6" t="s">
        <v>142</v>
      </c>
      <c r="D1779" s="2" t="s">
        <v>119</v>
      </c>
      <c r="E1779" s="2"/>
      <c r="F1779" s="35">
        <v>10.829833921897823</v>
      </c>
      <c r="G1779" s="35">
        <v>-52.387593534578983</v>
      </c>
      <c r="H1779" s="35">
        <v>-18.216696321256478</v>
      </c>
      <c r="I1779" s="35">
        <v>4.5039958351320011E-3</v>
      </c>
      <c r="J1779" s="35">
        <v>-1.4119957810322102E-6</v>
      </c>
      <c r="K1779" s="35">
        <v>1.4037846275744557E-3</v>
      </c>
      <c r="L1779" s="35">
        <v>95.070792228933428</v>
      </c>
      <c r="M1779" s="58" t="s">
        <v>23</v>
      </c>
      <c r="N1779" s="7">
        <v>11.333333333333334</v>
      </c>
      <c r="O1779" s="7" t="s">
        <v>180</v>
      </c>
      <c r="P1779" s="7" t="s">
        <v>180</v>
      </c>
    </row>
    <row r="1780" spans="1:16" x14ac:dyDescent="0.25">
      <c r="A1780" s="2" t="s">
        <v>183</v>
      </c>
      <c r="B1780" s="2" t="s">
        <v>195</v>
      </c>
      <c r="C1780" s="6" t="s">
        <v>142</v>
      </c>
      <c r="D1780" s="2" t="s">
        <v>120</v>
      </c>
      <c r="E1780" s="2"/>
      <c r="F1780" s="35">
        <v>0</v>
      </c>
      <c r="G1780" s="35">
        <v>79.23226113313774</v>
      </c>
      <c r="H1780" s="35">
        <v>-3.9848092888844251</v>
      </c>
      <c r="I1780" s="35">
        <v>-4.04170166388245E-2</v>
      </c>
      <c r="J1780" s="35">
        <v>-3.246458156914112E-4</v>
      </c>
      <c r="K1780" s="35">
        <v>-0.45923279092178565</v>
      </c>
      <c r="L1780" s="35">
        <v>-13.285982524208354</v>
      </c>
      <c r="M1780" s="58" t="s">
        <v>22</v>
      </c>
      <c r="N1780" s="7">
        <v>11.333333333333334</v>
      </c>
      <c r="O1780" s="7" t="s">
        <v>180</v>
      </c>
      <c r="P1780" s="7" t="s">
        <v>180</v>
      </c>
    </row>
    <row r="1781" spans="1:16" x14ac:dyDescent="0.25">
      <c r="A1781" s="2" t="s">
        <v>183</v>
      </c>
      <c r="B1781" s="2" t="s">
        <v>195</v>
      </c>
      <c r="C1781" s="6" t="s">
        <v>142</v>
      </c>
      <c r="D1781" s="2" t="s">
        <v>120</v>
      </c>
      <c r="E1781" s="2"/>
      <c r="F1781" s="35">
        <v>5.4149169609489114</v>
      </c>
      <c r="G1781" s="35">
        <v>81.811671989253242</v>
      </c>
      <c r="H1781" s="35">
        <v>-3.9848092888844251</v>
      </c>
      <c r="I1781" s="35">
        <v>-4.04170166388245E-2</v>
      </c>
      <c r="J1781" s="35">
        <v>-3.246458156914112E-4</v>
      </c>
      <c r="K1781" s="35">
        <v>-0.24037800201326048</v>
      </c>
      <c r="L1781" s="35">
        <v>8.2914288803186889</v>
      </c>
      <c r="M1781" s="58" t="s">
        <v>24</v>
      </c>
      <c r="N1781" s="7">
        <v>11.333333333333334</v>
      </c>
      <c r="O1781" s="7" t="s">
        <v>180</v>
      </c>
      <c r="P1781" s="7" t="s">
        <v>180</v>
      </c>
    </row>
    <row r="1782" spans="1:16" x14ac:dyDescent="0.25">
      <c r="A1782" s="2" t="s">
        <v>183</v>
      </c>
      <c r="B1782" s="2" t="s">
        <v>195</v>
      </c>
      <c r="C1782" s="6" t="s">
        <v>142</v>
      </c>
      <c r="D1782" s="2" t="s">
        <v>120</v>
      </c>
      <c r="E1782" s="2"/>
      <c r="F1782" s="35">
        <v>10.829833921897823</v>
      </c>
      <c r="G1782" s="35">
        <v>84.391082845368757</v>
      </c>
      <c r="H1782" s="35">
        <v>-3.9848092888844251</v>
      </c>
      <c r="I1782" s="35">
        <v>-4.04170166388245E-2</v>
      </c>
      <c r="J1782" s="35">
        <v>-3.246458156914112E-4</v>
      </c>
      <c r="K1782" s="35">
        <v>-2.15232131047354E-2</v>
      </c>
      <c r="L1782" s="35">
        <v>29.868840284845728</v>
      </c>
      <c r="M1782" s="58" t="s">
        <v>23</v>
      </c>
      <c r="N1782" s="7">
        <v>11.333333333333334</v>
      </c>
      <c r="O1782" s="7" t="s">
        <v>180</v>
      </c>
      <c r="P1782" s="7" t="s">
        <v>180</v>
      </c>
    </row>
    <row r="1783" spans="1:16" x14ac:dyDescent="0.25">
      <c r="A1783" s="2" t="s">
        <v>183</v>
      </c>
      <c r="B1783" s="2" t="s">
        <v>195</v>
      </c>
      <c r="C1783" s="6" t="s">
        <v>142</v>
      </c>
      <c r="D1783" s="2" t="s">
        <v>121</v>
      </c>
      <c r="E1783" s="2"/>
      <c r="F1783" s="35">
        <v>0</v>
      </c>
      <c r="G1783" s="35">
        <v>-1.2658438039838509</v>
      </c>
      <c r="H1783" s="35">
        <v>-1.6518661895924382</v>
      </c>
      <c r="I1783" s="35">
        <v>-4.5146030414911657E-2</v>
      </c>
      <c r="J1783" s="35">
        <v>-3.86928579054239E-4</v>
      </c>
      <c r="K1783" s="35">
        <v>-0.51286662254230753</v>
      </c>
      <c r="L1783" s="35">
        <v>-6.7259808421340868</v>
      </c>
      <c r="M1783" s="58" t="s">
        <v>22</v>
      </c>
      <c r="N1783" s="7">
        <v>11.333333333333334</v>
      </c>
      <c r="O1783" s="7" t="s">
        <v>180</v>
      </c>
      <c r="P1783" s="7" t="s">
        <v>180</v>
      </c>
    </row>
    <row r="1784" spans="1:16" x14ac:dyDescent="0.25">
      <c r="A1784" s="2" t="s">
        <v>183</v>
      </c>
      <c r="B1784" s="2" t="s">
        <v>195</v>
      </c>
      <c r="C1784" s="6" t="s">
        <v>142</v>
      </c>
      <c r="D1784" s="2" t="s">
        <v>121</v>
      </c>
      <c r="E1784" s="2"/>
      <c r="F1784" s="35">
        <v>5.4149169609489114</v>
      </c>
      <c r="G1784" s="35">
        <v>1.3135670521316494</v>
      </c>
      <c r="H1784" s="35">
        <v>-1.6518661895924382</v>
      </c>
      <c r="I1784" s="35">
        <v>-4.5146030414911657E-2</v>
      </c>
      <c r="J1784" s="35">
        <v>-3.86928579054239E-4</v>
      </c>
      <c r="K1784" s="35">
        <v>-0.268404616729087</v>
      </c>
      <c r="L1784" s="35">
        <v>2.2187374051080564</v>
      </c>
      <c r="M1784" s="58" t="s">
        <v>24</v>
      </c>
      <c r="N1784" s="7">
        <v>11.333333333333334</v>
      </c>
      <c r="O1784" s="7" t="s">
        <v>180</v>
      </c>
      <c r="P1784" s="7" t="s">
        <v>180</v>
      </c>
    </row>
    <row r="1785" spans="1:16" x14ac:dyDescent="0.25">
      <c r="A1785" s="2" t="s">
        <v>183</v>
      </c>
      <c r="B1785" s="2" t="s">
        <v>195</v>
      </c>
      <c r="C1785" s="6" t="s">
        <v>142</v>
      </c>
      <c r="D1785" s="2" t="s">
        <v>121</v>
      </c>
      <c r="E1785" s="2"/>
      <c r="F1785" s="35">
        <v>10.829833921897823</v>
      </c>
      <c r="G1785" s="35">
        <v>3.8929779082471643</v>
      </c>
      <c r="H1785" s="35">
        <v>-1.6518661895924382</v>
      </c>
      <c r="I1785" s="35">
        <v>-4.5146030414911657E-2</v>
      </c>
      <c r="J1785" s="35">
        <v>-3.86928579054239E-4</v>
      </c>
      <c r="K1785" s="35">
        <v>-2.3942610915866518E-2</v>
      </c>
      <c r="L1785" s="35">
        <v>11.1634556523502</v>
      </c>
      <c r="M1785" s="58" t="s">
        <v>23</v>
      </c>
      <c r="N1785" s="7">
        <v>11.333333333333334</v>
      </c>
      <c r="O1785" s="7" t="s">
        <v>180</v>
      </c>
      <c r="P1785" s="7" t="s">
        <v>180</v>
      </c>
    </row>
    <row r="1786" spans="1:16" x14ac:dyDescent="0.25">
      <c r="A1786" s="2" t="s">
        <v>183</v>
      </c>
      <c r="B1786" s="2" t="s">
        <v>195</v>
      </c>
      <c r="C1786" s="6" t="s">
        <v>142</v>
      </c>
      <c r="D1786" s="2" t="s">
        <v>122</v>
      </c>
      <c r="E1786" s="2"/>
      <c r="F1786" s="35">
        <v>0</v>
      </c>
      <c r="G1786" s="35">
        <v>69.660345685594535</v>
      </c>
      <c r="H1786" s="35">
        <v>-3.5517437973133283</v>
      </c>
      <c r="I1786" s="35">
        <v>4.3487213151796253E-2</v>
      </c>
      <c r="J1786" s="35">
        <v>3.7372427568016156E-4</v>
      </c>
      <c r="K1786" s="35">
        <v>0.49356594918126356</v>
      </c>
      <c r="L1786" s="35">
        <v>-11.808785350294837</v>
      </c>
      <c r="M1786" s="58" t="s">
        <v>22</v>
      </c>
      <c r="N1786" s="7">
        <v>11.333333333333334</v>
      </c>
      <c r="O1786" s="7" t="s">
        <v>180</v>
      </c>
      <c r="P1786" s="7" t="s">
        <v>180</v>
      </c>
    </row>
    <row r="1787" spans="1:16" x14ac:dyDescent="0.25">
      <c r="A1787" s="2" t="s">
        <v>183</v>
      </c>
      <c r="B1787" s="2" t="s">
        <v>195</v>
      </c>
      <c r="C1787" s="6" t="s">
        <v>142</v>
      </c>
      <c r="D1787" s="2" t="s">
        <v>122</v>
      </c>
      <c r="E1787" s="2"/>
      <c r="F1787" s="35">
        <v>5.4149169609489114</v>
      </c>
      <c r="G1787" s="35">
        <v>72.239756541710037</v>
      </c>
      <c r="H1787" s="35">
        <v>-3.5517437973133283</v>
      </c>
      <c r="I1787" s="35">
        <v>4.3487213151796253E-2</v>
      </c>
      <c r="J1787" s="35">
        <v>3.7372427568016156E-4</v>
      </c>
      <c r="K1787" s="35">
        <v>0.25808630110120157</v>
      </c>
      <c r="L1787" s="35">
        <v>7.4236123787221935</v>
      </c>
      <c r="M1787" s="58" t="s">
        <v>24</v>
      </c>
      <c r="N1787" s="7">
        <v>11.333333333333334</v>
      </c>
      <c r="O1787" s="7" t="s">
        <v>180</v>
      </c>
      <c r="P1787" s="7" t="s">
        <v>180</v>
      </c>
    </row>
    <row r="1788" spans="1:16" x14ac:dyDescent="0.25">
      <c r="A1788" s="2" t="s">
        <v>183</v>
      </c>
      <c r="B1788" s="2" t="s">
        <v>195</v>
      </c>
      <c r="C1788" s="6" t="s">
        <v>142</v>
      </c>
      <c r="D1788" s="2" t="s">
        <v>122</v>
      </c>
      <c r="E1788" s="2"/>
      <c r="F1788" s="35">
        <v>10.829833921897823</v>
      </c>
      <c r="G1788" s="35">
        <v>74.819167397825552</v>
      </c>
      <c r="H1788" s="35">
        <v>-3.5517437973133283</v>
      </c>
      <c r="I1788" s="35">
        <v>4.3487213151796253E-2</v>
      </c>
      <c r="J1788" s="35">
        <v>3.7372427568016156E-4</v>
      </c>
      <c r="K1788" s="35">
        <v>2.2606653021139452E-2</v>
      </c>
      <c r="L1788" s="35">
        <v>26.656010107739231</v>
      </c>
      <c r="M1788" s="58" t="s">
        <v>23</v>
      </c>
      <c r="N1788" s="7">
        <v>11.333333333333334</v>
      </c>
      <c r="O1788" s="7" t="s">
        <v>180</v>
      </c>
      <c r="P1788" s="7" t="s">
        <v>180</v>
      </c>
    </row>
    <row r="1789" spans="1:16" x14ac:dyDescent="0.25">
      <c r="A1789" s="2" t="s">
        <v>183</v>
      </c>
      <c r="B1789" s="2" t="s">
        <v>195</v>
      </c>
      <c r="C1789" s="6" t="s">
        <v>142</v>
      </c>
      <c r="D1789" s="2" t="s">
        <v>123</v>
      </c>
      <c r="E1789" s="2"/>
      <c r="F1789" s="35">
        <v>0</v>
      </c>
      <c r="G1789" s="35">
        <v>-10.837650262660315</v>
      </c>
      <c r="H1789" s="35">
        <v>-1.2189568226671312</v>
      </c>
      <c r="I1789" s="35">
        <v>3.8710541648094787E-2</v>
      </c>
      <c r="J1789" s="35">
        <v>3.1061570381830879E-4</v>
      </c>
      <c r="K1789" s="35">
        <v>0.43939700352880789</v>
      </c>
      <c r="L1789" s="35">
        <v>-5.2493638336176955</v>
      </c>
      <c r="M1789" s="58" t="s">
        <v>22</v>
      </c>
      <c r="N1789" s="7">
        <v>11.333333333333334</v>
      </c>
      <c r="O1789" s="7" t="s">
        <v>180</v>
      </c>
      <c r="P1789" s="7" t="s">
        <v>180</v>
      </c>
    </row>
    <row r="1790" spans="1:16" x14ac:dyDescent="0.25">
      <c r="A1790" s="2" t="s">
        <v>183</v>
      </c>
      <c r="B1790" s="2" t="s">
        <v>195</v>
      </c>
      <c r="C1790" s="6" t="s">
        <v>142</v>
      </c>
      <c r="D1790" s="2" t="s">
        <v>123</v>
      </c>
      <c r="E1790" s="2"/>
      <c r="F1790" s="35">
        <v>5.4149169609489114</v>
      </c>
      <c r="G1790" s="35">
        <v>-8.2582394065448153</v>
      </c>
      <c r="H1790" s="35">
        <v>-1.2189568226671312</v>
      </c>
      <c r="I1790" s="35">
        <v>3.8710541648094787E-2</v>
      </c>
      <c r="J1790" s="35">
        <v>3.1061570381830879E-4</v>
      </c>
      <c r="K1790" s="35">
        <v>0.22978263499102025</v>
      </c>
      <c r="L1790" s="35">
        <v>1.3511861401069478</v>
      </c>
      <c r="M1790" s="58" t="s">
        <v>24</v>
      </c>
      <c r="N1790" s="7">
        <v>11.333333333333334</v>
      </c>
      <c r="O1790" s="7" t="s">
        <v>180</v>
      </c>
      <c r="P1790" s="7" t="s">
        <v>180</v>
      </c>
    </row>
    <row r="1791" spans="1:16" x14ac:dyDescent="0.25">
      <c r="A1791" s="2" t="s">
        <v>183</v>
      </c>
      <c r="B1791" s="2" t="s">
        <v>195</v>
      </c>
      <c r="C1791" s="6" t="s">
        <v>142</v>
      </c>
      <c r="D1791" s="2" t="s">
        <v>123</v>
      </c>
      <c r="E1791" s="2"/>
      <c r="F1791" s="35">
        <v>10.829833921897823</v>
      </c>
      <c r="G1791" s="35">
        <v>-5.6788285504293006</v>
      </c>
      <c r="H1791" s="35">
        <v>-1.2189568226671312</v>
      </c>
      <c r="I1791" s="35">
        <v>3.8710541648094787E-2</v>
      </c>
      <c r="J1791" s="35">
        <v>3.1061570381830879E-4</v>
      </c>
      <c r="K1791" s="35">
        <v>2.0168266453232553E-2</v>
      </c>
      <c r="L1791" s="35">
        <v>7.951736113831589</v>
      </c>
      <c r="M1791" s="58" t="s">
        <v>23</v>
      </c>
      <c r="N1791" s="7">
        <v>11.333333333333334</v>
      </c>
      <c r="O1791" s="7" t="s">
        <v>180</v>
      </c>
      <c r="P1791" s="7" t="s">
        <v>180</v>
      </c>
    </row>
    <row r="1792" spans="1:16" x14ac:dyDescent="0.25">
      <c r="A1792" s="2" t="s">
        <v>183</v>
      </c>
      <c r="B1792" s="2" t="s">
        <v>195</v>
      </c>
      <c r="C1792" s="6" t="s">
        <v>142</v>
      </c>
      <c r="D1792" s="2" t="s">
        <v>124</v>
      </c>
      <c r="E1792" s="2"/>
      <c r="F1792" s="35">
        <v>0</v>
      </c>
      <c r="G1792" s="35">
        <v>68.638153359150081</v>
      </c>
      <c r="H1792" s="35">
        <v>2.4415386207686929</v>
      </c>
      <c r="I1792" s="35">
        <v>1.137513554657171E-2</v>
      </c>
      <c r="J1792" s="35">
        <v>1.1049621369425575E-4</v>
      </c>
      <c r="K1792" s="35">
        <v>0.12865804021070887</v>
      </c>
      <c r="L1792" s="35">
        <v>25.69646356414199</v>
      </c>
      <c r="M1792" s="58" t="s">
        <v>22</v>
      </c>
      <c r="N1792" s="7">
        <v>11.333333333333334</v>
      </c>
      <c r="O1792" s="7" t="s">
        <v>180</v>
      </c>
      <c r="P1792" s="7" t="s">
        <v>180</v>
      </c>
    </row>
    <row r="1793" spans="1:16" x14ac:dyDescent="0.25">
      <c r="A1793" s="2" t="s">
        <v>183</v>
      </c>
      <c r="B1793" s="2" t="s">
        <v>195</v>
      </c>
      <c r="C1793" s="6" t="s">
        <v>142</v>
      </c>
      <c r="D1793" s="2" t="s">
        <v>124</v>
      </c>
      <c r="E1793" s="2"/>
      <c r="F1793" s="35">
        <v>5.4149169609489114</v>
      </c>
      <c r="G1793" s="35">
        <v>71.217564215265583</v>
      </c>
      <c r="H1793" s="35">
        <v>2.4415386207686929</v>
      </c>
      <c r="I1793" s="35">
        <v>1.137513554657171E-2</v>
      </c>
      <c r="J1793" s="35">
        <v>1.1049621369425575E-4</v>
      </c>
      <c r="K1793" s="35">
        <v>6.7062625806484866E-2</v>
      </c>
      <c r="L1793" s="35">
        <v>12.475734675729782</v>
      </c>
      <c r="M1793" s="58" t="s">
        <v>24</v>
      </c>
      <c r="N1793" s="7">
        <v>11.333333333333334</v>
      </c>
      <c r="O1793" s="7" t="s">
        <v>180</v>
      </c>
      <c r="P1793" s="7" t="s">
        <v>180</v>
      </c>
    </row>
    <row r="1794" spans="1:16" x14ac:dyDescent="0.25">
      <c r="A1794" s="2" t="s">
        <v>183</v>
      </c>
      <c r="B1794" s="2" t="s">
        <v>195</v>
      </c>
      <c r="C1794" s="6" t="s">
        <v>142</v>
      </c>
      <c r="D1794" s="2" t="s">
        <v>124</v>
      </c>
      <c r="E1794" s="2"/>
      <c r="F1794" s="35">
        <v>10.829833921897823</v>
      </c>
      <c r="G1794" s="35">
        <v>73.796975071381098</v>
      </c>
      <c r="H1794" s="35">
        <v>2.4415386207686929</v>
      </c>
      <c r="I1794" s="35">
        <v>1.137513554657171E-2</v>
      </c>
      <c r="J1794" s="35">
        <v>1.1049621369425575E-4</v>
      </c>
      <c r="K1794" s="35">
        <v>5.4672114022608501E-3</v>
      </c>
      <c r="L1794" s="35">
        <v>-0.74499421268242205</v>
      </c>
      <c r="M1794" s="58" t="s">
        <v>23</v>
      </c>
      <c r="N1794" s="7">
        <v>11.333333333333334</v>
      </c>
      <c r="O1794" s="7" t="s">
        <v>180</v>
      </c>
      <c r="P1794" s="7" t="s">
        <v>180</v>
      </c>
    </row>
    <row r="1795" spans="1:16" x14ac:dyDescent="0.25">
      <c r="A1795" s="2" t="s">
        <v>183</v>
      </c>
      <c r="B1795" s="2" t="s">
        <v>195</v>
      </c>
      <c r="C1795" s="6" t="s">
        <v>142</v>
      </c>
      <c r="D1795" s="2" t="s">
        <v>125</v>
      </c>
      <c r="E1795" s="2"/>
      <c r="F1795" s="35">
        <v>0</v>
      </c>
      <c r="G1795" s="35">
        <v>-144.68143239642987</v>
      </c>
      <c r="H1795" s="35">
        <v>13.908712138148127</v>
      </c>
      <c r="I1795" s="35">
        <v>5.2410975276595412E-3</v>
      </c>
      <c r="J1795" s="35">
        <v>-5.6768170359072863E-6</v>
      </c>
      <c r="K1795" s="35">
        <v>5.8460005747858548E-2</v>
      </c>
      <c r="L1795" s="35">
        <v>81.081503714020727</v>
      </c>
      <c r="M1795" s="58" t="s">
        <v>22</v>
      </c>
      <c r="N1795" s="7">
        <v>11.333333333333334</v>
      </c>
      <c r="O1795" s="7" t="s">
        <v>180</v>
      </c>
      <c r="P1795" s="7" t="s">
        <v>180</v>
      </c>
    </row>
    <row r="1796" spans="1:16" x14ac:dyDescent="0.25">
      <c r="A1796" s="2" t="s">
        <v>183</v>
      </c>
      <c r="B1796" s="2" t="s">
        <v>195</v>
      </c>
      <c r="C1796" s="6" t="s">
        <v>142</v>
      </c>
      <c r="D1796" s="2" t="s">
        <v>125</v>
      </c>
      <c r="E1796" s="2"/>
      <c r="F1796" s="35">
        <v>5.4149169609489114</v>
      </c>
      <c r="G1796" s="35">
        <v>-142.10202154031441</v>
      </c>
      <c r="H1796" s="35">
        <v>13.908712138148127</v>
      </c>
      <c r="I1796" s="35">
        <v>5.2410975276595412E-3</v>
      </c>
      <c r="J1796" s="35">
        <v>-5.6768170359072863E-6</v>
      </c>
      <c r="K1796" s="35">
        <v>3.0079897851347501E-2</v>
      </c>
      <c r="L1796" s="35">
        <v>5.7669824522064319</v>
      </c>
      <c r="M1796" s="58" t="s">
        <v>24</v>
      </c>
      <c r="N1796" s="7">
        <v>11.333333333333334</v>
      </c>
      <c r="O1796" s="7" t="s">
        <v>180</v>
      </c>
      <c r="P1796" s="7" t="s">
        <v>180</v>
      </c>
    </row>
    <row r="1797" spans="1:16" x14ac:dyDescent="0.25">
      <c r="A1797" s="2" t="s">
        <v>183</v>
      </c>
      <c r="B1797" s="2" t="s">
        <v>195</v>
      </c>
      <c r="C1797" s="6" t="s">
        <v>142</v>
      </c>
      <c r="D1797" s="2" t="s">
        <v>125</v>
      </c>
      <c r="E1797" s="2"/>
      <c r="F1797" s="35">
        <v>10.829833921897823</v>
      </c>
      <c r="G1797" s="35">
        <v>-139.5226106841989</v>
      </c>
      <c r="H1797" s="35">
        <v>13.908712138148127</v>
      </c>
      <c r="I1797" s="35">
        <v>5.2410975276595412E-3</v>
      </c>
      <c r="J1797" s="35">
        <v>-5.6768170359072863E-6</v>
      </c>
      <c r="K1797" s="35">
        <v>1.699789954836444E-3</v>
      </c>
      <c r="L1797" s="35">
        <v>-69.547538809607858</v>
      </c>
      <c r="M1797" s="58" t="s">
        <v>23</v>
      </c>
      <c r="N1797" s="7">
        <v>11.333333333333334</v>
      </c>
      <c r="O1797" s="7" t="s">
        <v>180</v>
      </c>
      <c r="P1797" s="7" t="s">
        <v>180</v>
      </c>
    </row>
    <row r="1798" spans="1:16" x14ac:dyDescent="0.25">
      <c r="A1798" s="2" t="s">
        <v>183</v>
      </c>
      <c r="B1798" s="2" t="s">
        <v>195</v>
      </c>
      <c r="C1798" s="6" t="s">
        <v>142</v>
      </c>
      <c r="D1798" s="2" t="s">
        <v>126</v>
      </c>
      <c r="E1798" s="2"/>
      <c r="F1798" s="35">
        <v>0</v>
      </c>
      <c r="G1798" s="35">
        <v>70.813115829562918</v>
      </c>
      <c r="H1798" s="35">
        <v>-7.6841948941810942</v>
      </c>
      <c r="I1798" s="35">
        <v>1.1049161681808087E-2</v>
      </c>
      <c r="J1798" s="35">
        <v>1.2115653825806539E-4</v>
      </c>
      <c r="K1798" s="35">
        <v>0.12491093590356951</v>
      </c>
      <c r="L1798" s="35">
        <v>-41.303413110606819</v>
      </c>
      <c r="M1798" s="58" t="s">
        <v>22</v>
      </c>
      <c r="N1798" s="7">
        <v>11.333333333333334</v>
      </c>
      <c r="O1798" s="7" t="s">
        <v>180</v>
      </c>
      <c r="P1798" s="7" t="s">
        <v>180</v>
      </c>
    </row>
    <row r="1799" spans="1:16" x14ac:dyDescent="0.25">
      <c r="A1799" s="2" t="s">
        <v>183</v>
      </c>
      <c r="B1799" s="2" t="s">
        <v>195</v>
      </c>
      <c r="C1799" s="6" t="s">
        <v>142</v>
      </c>
      <c r="D1799" s="2" t="s">
        <v>126</v>
      </c>
      <c r="E1799" s="2"/>
      <c r="F1799" s="35">
        <v>5.4149169609489114</v>
      </c>
      <c r="G1799" s="35">
        <v>73.392526685678419</v>
      </c>
      <c r="H1799" s="35">
        <v>-7.6841948941810942</v>
      </c>
      <c r="I1799" s="35">
        <v>1.1049161681808087E-2</v>
      </c>
      <c r="J1799" s="35">
        <v>1.2115653825806539E-4</v>
      </c>
      <c r="K1799" s="35">
        <v>6.5080642908480091E-2</v>
      </c>
      <c r="L1799" s="35">
        <v>0.30586415313141785</v>
      </c>
      <c r="M1799" s="58" t="s">
        <v>24</v>
      </c>
      <c r="N1799" s="7">
        <v>11.333333333333334</v>
      </c>
      <c r="O1799" s="7" t="s">
        <v>180</v>
      </c>
      <c r="P1799" s="7" t="s">
        <v>180</v>
      </c>
    </row>
    <row r="1800" spans="1:16" x14ac:dyDescent="0.25">
      <c r="A1800" s="2" t="s">
        <v>183</v>
      </c>
      <c r="B1800" s="2" t="s">
        <v>195</v>
      </c>
      <c r="C1800" s="6" t="s">
        <v>142</v>
      </c>
      <c r="D1800" s="2" t="s">
        <v>126</v>
      </c>
      <c r="E1800" s="2"/>
      <c r="F1800" s="35">
        <v>10.829833921897823</v>
      </c>
      <c r="G1800" s="35">
        <v>75.971937541793935</v>
      </c>
      <c r="H1800" s="35">
        <v>-7.6841948941810942</v>
      </c>
      <c r="I1800" s="35">
        <v>1.1049161681808087E-2</v>
      </c>
      <c r="J1800" s="35">
        <v>1.2115653825806539E-4</v>
      </c>
      <c r="K1800" s="35">
        <v>5.2503499133906995E-3</v>
      </c>
      <c r="L1800" s="35">
        <v>41.915141416869645</v>
      </c>
      <c r="M1800" s="58" t="s">
        <v>23</v>
      </c>
      <c r="N1800" s="7">
        <v>11.333333333333334</v>
      </c>
      <c r="O1800" s="7" t="s">
        <v>180</v>
      </c>
      <c r="P1800" s="7" t="s">
        <v>180</v>
      </c>
    </row>
    <row r="1801" spans="1:16" x14ac:dyDescent="0.25">
      <c r="A1801" s="2" t="s">
        <v>183</v>
      </c>
      <c r="B1801" s="2" t="s">
        <v>195</v>
      </c>
      <c r="C1801" s="6" t="s">
        <v>142</v>
      </c>
      <c r="D1801" s="2" t="s">
        <v>127</v>
      </c>
      <c r="E1801" s="2"/>
      <c r="F1801" s="35">
        <v>0</v>
      </c>
      <c r="G1801" s="35">
        <v>-47.419021390779299</v>
      </c>
      <c r="H1801" s="35">
        <v>-20.475796716852432</v>
      </c>
      <c r="I1801" s="35">
        <v>5.1363919798395373E-3</v>
      </c>
      <c r="J1801" s="35">
        <v>4.3254090414374233E-6</v>
      </c>
      <c r="K1801" s="35">
        <v>5.7314281523893701E-2</v>
      </c>
      <c r="L1801" s="35">
        <v>-113.92209015766488</v>
      </c>
      <c r="M1801" s="58" t="s">
        <v>22</v>
      </c>
      <c r="N1801" s="7">
        <v>11.333333333333334</v>
      </c>
      <c r="O1801" s="7" t="s">
        <v>180</v>
      </c>
      <c r="P1801" s="7" t="s">
        <v>180</v>
      </c>
    </row>
    <row r="1802" spans="1:16" x14ac:dyDescent="0.25">
      <c r="A1802" s="2" t="s">
        <v>183</v>
      </c>
      <c r="B1802" s="2" t="s">
        <v>195</v>
      </c>
      <c r="C1802" s="6" t="s">
        <v>142</v>
      </c>
      <c r="D1802" s="2" t="s">
        <v>127</v>
      </c>
      <c r="E1802" s="2"/>
      <c r="F1802" s="35">
        <v>5.4149169609489114</v>
      </c>
      <c r="G1802" s="35">
        <v>-44.839610534663798</v>
      </c>
      <c r="H1802" s="35">
        <v>-20.475796716852432</v>
      </c>
      <c r="I1802" s="35">
        <v>5.1363919798395373E-3</v>
      </c>
      <c r="J1802" s="35">
        <v>4.3254090414374233E-6</v>
      </c>
      <c r="K1802" s="35">
        <v>2.9501145474178644E-2</v>
      </c>
      <c r="L1802" s="35">
        <v>-3.0473512266386096</v>
      </c>
      <c r="M1802" s="58" t="s">
        <v>24</v>
      </c>
      <c r="N1802" s="7">
        <v>11.333333333333334</v>
      </c>
      <c r="O1802" s="7" t="s">
        <v>180</v>
      </c>
      <c r="P1802" s="7" t="s">
        <v>180</v>
      </c>
    </row>
    <row r="1803" spans="1:16" x14ac:dyDescent="0.25">
      <c r="A1803" s="2" t="s">
        <v>183</v>
      </c>
      <c r="B1803" s="2" t="s">
        <v>195</v>
      </c>
      <c r="C1803" s="6" t="s">
        <v>142</v>
      </c>
      <c r="D1803" s="2" t="s">
        <v>127</v>
      </c>
      <c r="E1803" s="2"/>
      <c r="F1803" s="35">
        <v>10.829833921897823</v>
      </c>
      <c r="G1803" s="35">
        <v>-42.260199678548283</v>
      </c>
      <c r="H1803" s="35">
        <v>-20.475796716852432</v>
      </c>
      <c r="I1803" s="35">
        <v>5.1363919798395373E-3</v>
      </c>
      <c r="J1803" s="35">
        <v>4.3254090414374233E-6</v>
      </c>
      <c r="K1803" s="35">
        <v>1.6880094244635857E-3</v>
      </c>
      <c r="L1803" s="35">
        <v>107.82738770438765</v>
      </c>
      <c r="M1803" s="58" t="s">
        <v>23</v>
      </c>
      <c r="N1803" s="7">
        <v>11.333333333333334</v>
      </c>
      <c r="O1803" s="7" t="s">
        <v>180</v>
      </c>
      <c r="P1803" s="7" t="s">
        <v>180</v>
      </c>
    </row>
    <row r="1804" spans="1:16" x14ac:dyDescent="0.25">
      <c r="A1804" s="2" t="s">
        <v>183</v>
      </c>
      <c r="B1804" s="2" t="s">
        <v>196</v>
      </c>
      <c r="C1804" s="6" t="s">
        <v>143</v>
      </c>
      <c r="D1804" s="2" t="s">
        <v>105</v>
      </c>
      <c r="E1804" s="2"/>
      <c r="F1804" s="35">
        <v>0</v>
      </c>
      <c r="G1804" s="35">
        <v>-96.277781931847898</v>
      </c>
      <c r="H1804" s="35">
        <v>-1.8455768401422794</v>
      </c>
      <c r="I1804" s="35">
        <v>-8.3133028719885511E-4</v>
      </c>
      <c r="J1804" s="35">
        <v>4.2673720375990389E-5</v>
      </c>
      <c r="K1804" s="35">
        <v>-9.9512353455277168E-3</v>
      </c>
      <c r="L1804" s="35">
        <v>-5.0448925909239044</v>
      </c>
      <c r="M1804" s="58" t="s">
        <v>22</v>
      </c>
      <c r="N1804" s="7">
        <v>11.333333333333334</v>
      </c>
      <c r="O1804" s="7" t="s">
        <v>180</v>
      </c>
      <c r="P1804" s="7" t="s">
        <v>180</v>
      </c>
    </row>
    <row r="1805" spans="1:16" x14ac:dyDescent="0.25">
      <c r="A1805" s="2" t="s">
        <v>183</v>
      </c>
      <c r="B1805" s="2" t="s">
        <v>196</v>
      </c>
      <c r="C1805" s="6" t="s">
        <v>143</v>
      </c>
      <c r="D1805" s="2" t="s">
        <v>105</v>
      </c>
      <c r="E1805" s="2"/>
      <c r="F1805" s="35">
        <v>5.4149169609489114</v>
      </c>
      <c r="G1805" s="35">
        <v>-93.698371075732382</v>
      </c>
      <c r="H1805" s="35">
        <v>-1.8455768401422794</v>
      </c>
      <c r="I1805" s="35">
        <v>-8.3133028719885511E-4</v>
      </c>
      <c r="J1805" s="35">
        <v>4.2673720375990389E-5</v>
      </c>
      <c r="K1805" s="35">
        <v>-5.4496508732241062E-3</v>
      </c>
      <c r="L1805" s="35">
        <v>4.948752743497022</v>
      </c>
      <c r="M1805" s="58" t="s">
        <v>24</v>
      </c>
      <c r="N1805" s="7">
        <v>11.333333333333334</v>
      </c>
      <c r="O1805" s="7" t="s">
        <v>180</v>
      </c>
      <c r="P1805" s="7" t="s">
        <v>180</v>
      </c>
    </row>
    <row r="1806" spans="1:16" x14ac:dyDescent="0.25">
      <c r="A1806" s="2" t="s">
        <v>183</v>
      </c>
      <c r="B1806" s="2" t="s">
        <v>196</v>
      </c>
      <c r="C1806" s="6" t="s">
        <v>143</v>
      </c>
      <c r="D1806" s="2" t="s">
        <v>105</v>
      </c>
      <c r="E1806" s="2"/>
      <c r="F1806" s="35">
        <v>10.829833921897823</v>
      </c>
      <c r="G1806" s="35">
        <v>-91.118960219616881</v>
      </c>
      <c r="H1806" s="35">
        <v>-1.8455768401422794</v>
      </c>
      <c r="I1806" s="35">
        <v>-8.3133028719885511E-4</v>
      </c>
      <c r="J1806" s="35">
        <v>4.2673720375990389E-5</v>
      </c>
      <c r="K1806" s="35">
        <v>-9.4806640092049636E-4</v>
      </c>
      <c r="L1806" s="35">
        <v>14.942398077917948</v>
      </c>
      <c r="M1806" s="58" t="s">
        <v>23</v>
      </c>
      <c r="N1806" s="7">
        <v>11.333333333333334</v>
      </c>
      <c r="O1806" s="7" t="s">
        <v>180</v>
      </c>
      <c r="P1806" s="7" t="s">
        <v>180</v>
      </c>
    </row>
    <row r="1807" spans="1:16" x14ac:dyDescent="0.25">
      <c r="A1807" s="2" t="s">
        <v>183</v>
      </c>
      <c r="B1807" s="2" t="s">
        <v>196</v>
      </c>
      <c r="C1807" s="6" t="s">
        <v>143</v>
      </c>
      <c r="D1807" s="2" t="s">
        <v>15</v>
      </c>
      <c r="E1807" s="2"/>
      <c r="F1807" s="35">
        <v>0</v>
      </c>
      <c r="G1807" s="35">
        <v>131.81844519429674</v>
      </c>
      <c r="H1807" s="35">
        <v>6.9028187159440551</v>
      </c>
      <c r="I1807" s="35">
        <v>-3.2996533988464367E-2</v>
      </c>
      <c r="J1807" s="35">
        <v>5.038313270318397E-4</v>
      </c>
      <c r="K1807" s="35">
        <v>-0.37481934713871667</v>
      </c>
      <c r="L1807" s="35">
        <v>24.481427566027183</v>
      </c>
      <c r="M1807" s="58" t="s">
        <v>22</v>
      </c>
      <c r="N1807" s="7">
        <v>11.333333333333334</v>
      </c>
      <c r="O1807" s="7" t="s">
        <v>180</v>
      </c>
      <c r="P1807" s="7" t="s">
        <v>180</v>
      </c>
    </row>
    <row r="1808" spans="1:16" x14ac:dyDescent="0.25">
      <c r="A1808" s="2" t="s">
        <v>183</v>
      </c>
      <c r="B1808" s="2" t="s">
        <v>196</v>
      </c>
      <c r="C1808" s="6" t="s">
        <v>143</v>
      </c>
      <c r="D1808" s="2" t="s">
        <v>15</v>
      </c>
      <c r="E1808" s="2"/>
      <c r="F1808" s="35">
        <v>5.4149169609489114</v>
      </c>
      <c r="G1808" s="35">
        <v>134.39785605041226</v>
      </c>
      <c r="H1808" s="35">
        <v>6.9028187159440551</v>
      </c>
      <c r="I1808" s="35">
        <v>-3.2996533988464367E-2</v>
      </c>
      <c r="J1808" s="35">
        <v>5.038313270318397E-4</v>
      </c>
      <c r="K1808" s="35">
        <v>-0.19614585559205386</v>
      </c>
      <c r="L1808" s="35">
        <v>-12.896762577293861</v>
      </c>
      <c r="M1808" s="58" t="s">
        <v>24</v>
      </c>
      <c r="N1808" s="7">
        <v>11.333333333333334</v>
      </c>
      <c r="O1808" s="7" t="s">
        <v>180</v>
      </c>
      <c r="P1808" s="7" t="s">
        <v>180</v>
      </c>
    </row>
    <row r="1809" spans="1:16" x14ac:dyDescent="0.25">
      <c r="A1809" s="2" t="s">
        <v>183</v>
      </c>
      <c r="B1809" s="2" t="s">
        <v>196</v>
      </c>
      <c r="C1809" s="6" t="s">
        <v>143</v>
      </c>
      <c r="D1809" s="2" t="s">
        <v>15</v>
      </c>
      <c r="E1809" s="2"/>
      <c r="F1809" s="35">
        <v>10.829833921897823</v>
      </c>
      <c r="G1809" s="35">
        <v>136.97726690652775</v>
      </c>
      <c r="H1809" s="35">
        <v>6.9028187159440551</v>
      </c>
      <c r="I1809" s="35">
        <v>-3.2996533988464367E-2</v>
      </c>
      <c r="J1809" s="35">
        <v>5.038313270318397E-4</v>
      </c>
      <c r="K1809" s="35">
        <v>-1.747236404539098E-2</v>
      </c>
      <c r="L1809" s="35">
        <v>-50.274952720614912</v>
      </c>
      <c r="M1809" s="58" t="s">
        <v>23</v>
      </c>
      <c r="N1809" s="7">
        <v>11.333333333333334</v>
      </c>
      <c r="O1809" s="7" t="s">
        <v>180</v>
      </c>
      <c r="P1809" s="7" t="s">
        <v>180</v>
      </c>
    </row>
    <row r="1810" spans="1:16" x14ac:dyDescent="0.25">
      <c r="A1810" s="2" t="s">
        <v>183</v>
      </c>
      <c r="B1810" s="2" t="s">
        <v>196</v>
      </c>
      <c r="C1810" s="6" t="s">
        <v>143</v>
      </c>
      <c r="D1810" s="2" t="s">
        <v>16</v>
      </c>
      <c r="E1810" s="2"/>
      <c r="F1810" s="35">
        <v>0</v>
      </c>
      <c r="G1810" s="35">
        <v>51.251615849708102</v>
      </c>
      <c r="H1810" s="35">
        <v>3.6289932897981747</v>
      </c>
      <c r="I1810" s="35">
        <v>-3.738143034211059E-2</v>
      </c>
      <c r="J1810" s="35">
        <v>5.8832461514178223E-4</v>
      </c>
      <c r="K1810" s="35">
        <v>-0.42472808673866802</v>
      </c>
      <c r="L1810" s="35">
        <v>13.293741591160792</v>
      </c>
      <c r="M1810" s="58" t="s">
        <v>22</v>
      </c>
      <c r="N1810" s="7">
        <v>11.333333333333334</v>
      </c>
      <c r="O1810" s="7" t="s">
        <v>180</v>
      </c>
      <c r="P1810" s="7" t="s">
        <v>180</v>
      </c>
    </row>
    <row r="1811" spans="1:16" x14ac:dyDescent="0.25">
      <c r="A1811" s="2" t="s">
        <v>183</v>
      </c>
      <c r="B1811" s="2" t="s">
        <v>196</v>
      </c>
      <c r="C1811" s="6" t="s">
        <v>143</v>
      </c>
      <c r="D1811" s="2" t="s">
        <v>16</v>
      </c>
      <c r="E1811" s="2"/>
      <c r="F1811" s="35">
        <v>5.4149169609489114</v>
      </c>
      <c r="G1811" s="35">
        <v>53.831026705823611</v>
      </c>
      <c r="H1811" s="35">
        <v>3.6289932897981747</v>
      </c>
      <c r="I1811" s="35">
        <v>-3.738143034211059E-2</v>
      </c>
      <c r="J1811" s="35">
        <v>5.8832461514178223E-4</v>
      </c>
      <c r="K1811" s="35">
        <v>-0.2223107455546432</v>
      </c>
      <c r="L1811" s="35">
        <v>-6.3569557249371291</v>
      </c>
      <c r="M1811" s="58" t="s">
        <v>24</v>
      </c>
      <c r="N1811" s="7">
        <v>11.333333333333334</v>
      </c>
      <c r="O1811" s="7" t="s">
        <v>180</v>
      </c>
      <c r="P1811" s="7" t="s">
        <v>180</v>
      </c>
    </row>
    <row r="1812" spans="1:16" x14ac:dyDescent="0.25">
      <c r="A1812" s="2" t="s">
        <v>183</v>
      </c>
      <c r="B1812" s="2" t="s">
        <v>196</v>
      </c>
      <c r="C1812" s="6" t="s">
        <v>143</v>
      </c>
      <c r="D1812" s="2" t="s">
        <v>16</v>
      </c>
      <c r="E1812" s="2"/>
      <c r="F1812" s="35">
        <v>10.829833921897823</v>
      </c>
      <c r="G1812" s="35">
        <v>56.410437561939112</v>
      </c>
      <c r="H1812" s="35">
        <v>3.6289932897981747</v>
      </c>
      <c r="I1812" s="35">
        <v>-3.738143034211059E-2</v>
      </c>
      <c r="J1812" s="35">
        <v>5.8832461514178223E-4</v>
      </c>
      <c r="K1812" s="35">
        <v>-1.9893404370618321E-2</v>
      </c>
      <c r="L1812" s="35">
        <v>-26.007653041035049</v>
      </c>
      <c r="M1812" s="58" t="s">
        <v>23</v>
      </c>
      <c r="N1812" s="7">
        <v>11.333333333333334</v>
      </c>
      <c r="O1812" s="7" t="s">
        <v>180</v>
      </c>
      <c r="P1812" s="7" t="s">
        <v>180</v>
      </c>
    </row>
    <row r="1813" spans="1:16" x14ac:dyDescent="0.25">
      <c r="A1813" s="2" t="s">
        <v>183</v>
      </c>
      <c r="B1813" s="2" t="s">
        <v>196</v>
      </c>
      <c r="C1813" s="6" t="s">
        <v>143</v>
      </c>
      <c r="D1813" s="2" t="s">
        <v>106</v>
      </c>
      <c r="E1813" s="2"/>
      <c r="F1813" s="35">
        <v>0</v>
      </c>
      <c r="G1813" s="35">
        <v>122.21961162462912</v>
      </c>
      <c r="H1813" s="35">
        <v>6.3597261601887833</v>
      </c>
      <c r="I1813" s="35">
        <v>3.7186559409053473E-2</v>
      </c>
      <c r="J1813" s="35">
        <v>-6.1027096733953128E-4</v>
      </c>
      <c r="K1813" s="35">
        <v>0.42278005199780427</v>
      </c>
      <c r="L1813" s="35">
        <v>22.49915611729477</v>
      </c>
      <c r="M1813" s="58" t="s">
        <v>22</v>
      </c>
      <c r="N1813" s="7">
        <v>11.333333333333334</v>
      </c>
      <c r="O1813" s="7" t="s">
        <v>180</v>
      </c>
      <c r="P1813" s="7" t="s">
        <v>180</v>
      </c>
    </row>
    <row r="1814" spans="1:16" x14ac:dyDescent="0.25">
      <c r="A1814" s="2" t="s">
        <v>183</v>
      </c>
      <c r="B1814" s="2" t="s">
        <v>196</v>
      </c>
      <c r="C1814" s="6" t="s">
        <v>143</v>
      </c>
      <c r="D1814" s="2" t="s">
        <v>106</v>
      </c>
      <c r="E1814" s="2"/>
      <c r="F1814" s="35">
        <v>5.4149169609489114</v>
      </c>
      <c r="G1814" s="35">
        <v>124.79902248074463</v>
      </c>
      <c r="H1814" s="35">
        <v>6.3597261601887833</v>
      </c>
      <c r="I1814" s="35">
        <v>3.7186559409053473E-2</v>
      </c>
      <c r="J1814" s="35">
        <v>-6.1027096733953128E-4</v>
      </c>
      <c r="K1814" s="35">
        <v>0.22141792073438626</v>
      </c>
      <c r="L1814" s="35">
        <v>-11.938232934501961</v>
      </c>
      <c r="M1814" s="58" t="s">
        <v>24</v>
      </c>
      <c r="N1814" s="7">
        <v>11.333333333333334</v>
      </c>
      <c r="O1814" s="7" t="s">
        <v>180</v>
      </c>
      <c r="P1814" s="7" t="s">
        <v>180</v>
      </c>
    </row>
    <row r="1815" spans="1:16" x14ac:dyDescent="0.25">
      <c r="A1815" s="2" t="s">
        <v>183</v>
      </c>
      <c r="B1815" s="2" t="s">
        <v>196</v>
      </c>
      <c r="C1815" s="6" t="s">
        <v>143</v>
      </c>
      <c r="D1815" s="2" t="s">
        <v>106</v>
      </c>
      <c r="E1815" s="2"/>
      <c r="F1815" s="35">
        <v>10.829833921897823</v>
      </c>
      <c r="G1815" s="35">
        <v>127.37843333686013</v>
      </c>
      <c r="H1815" s="35">
        <v>6.3597261601887833</v>
      </c>
      <c r="I1815" s="35">
        <v>3.7186559409053473E-2</v>
      </c>
      <c r="J1815" s="35">
        <v>-6.1027096733953128E-4</v>
      </c>
      <c r="K1815" s="35">
        <v>2.0055789470968293E-2</v>
      </c>
      <c r="L1815" s="35">
        <v>-46.37562198629869</v>
      </c>
      <c r="M1815" s="58" t="s">
        <v>23</v>
      </c>
      <c r="N1815" s="7">
        <v>11.333333333333334</v>
      </c>
      <c r="O1815" s="7" t="s">
        <v>180</v>
      </c>
      <c r="P1815" s="7" t="s">
        <v>180</v>
      </c>
    </row>
    <row r="1816" spans="1:16" x14ac:dyDescent="0.25">
      <c r="A1816" s="2" t="s">
        <v>183</v>
      </c>
      <c r="B1816" s="2" t="s">
        <v>196</v>
      </c>
      <c r="C1816" s="6" t="s">
        <v>143</v>
      </c>
      <c r="D1816" s="2" t="s">
        <v>107</v>
      </c>
      <c r="E1816" s="2"/>
      <c r="F1816" s="35">
        <v>0</v>
      </c>
      <c r="G1816" s="35">
        <v>41.652886244136781</v>
      </c>
      <c r="H1816" s="35">
        <v>3.0860700526545877</v>
      </c>
      <c r="I1816" s="35">
        <v>3.2758291025551514E-2</v>
      </c>
      <c r="J1816" s="35">
        <v>-5.2482285497033908E-4</v>
      </c>
      <c r="K1816" s="35">
        <v>0.37238439686310093</v>
      </c>
      <c r="L1816" s="35">
        <v>11.312126966152384</v>
      </c>
      <c r="M1816" s="58" t="s">
        <v>22</v>
      </c>
      <c r="N1816" s="7">
        <v>11.333333333333334</v>
      </c>
      <c r="O1816" s="7" t="s">
        <v>180</v>
      </c>
      <c r="P1816" s="7" t="s">
        <v>180</v>
      </c>
    </row>
    <row r="1817" spans="1:16" x14ac:dyDescent="0.25">
      <c r="A1817" s="2" t="s">
        <v>183</v>
      </c>
      <c r="B1817" s="2" t="s">
        <v>196</v>
      </c>
      <c r="C1817" s="6" t="s">
        <v>143</v>
      </c>
      <c r="D1817" s="2" t="s">
        <v>107</v>
      </c>
      <c r="E1817" s="2"/>
      <c r="F1817" s="35">
        <v>5.4149169609489114</v>
      </c>
      <c r="G1817" s="35">
        <v>44.232297100252289</v>
      </c>
      <c r="H1817" s="35">
        <v>3.0860700526545877</v>
      </c>
      <c r="I1817" s="35">
        <v>3.2758291025551514E-2</v>
      </c>
      <c r="J1817" s="35">
        <v>-5.2482285497033908E-4</v>
      </c>
      <c r="K1817" s="35">
        <v>0.19500097117714157</v>
      </c>
      <c r="L1817" s="35">
        <v>-5.3986861046434402</v>
      </c>
      <c r="M1817" s="58" t="s">
        <v>24</v>
      </c>
      <c r="N1817" s="7">
        <v>11.333333333333334</v>
      </c>
      <c r="O1817" s="7" t="s">
        <v>180</v>
      </c>
      <c r="P1817" s="7" t="s">
        <v>180</v>
      </c>
    </row>
    <row r="1818" spans="1:16" x14ac:dyDescent="0.25">
      <c r="A1818" s="2" t="s">
        <v>183</v>
      </c>
      <c r="B1818" s="2" t="s">
        <v>196</v>
      </c>
      <c r="C1818" s="6" t="s">
        <v>143</v>
      </c>
      <c r="D1818" s="2" t="s">
        <v>107</v>
      </c>
      <c r="E1818" s="2"/>
      <c r="F1818" s="35">
        <v>10.829833921897823</v>
      </c>
      <c r="G1818" s="35">
        <v>46.81170795636779</v>
      </c>
      <c r="H1818" s="35">
        <v>3.0860700526545877</v>
      </c>
      <c r="I1818" s="35">
        <v>3.2758291025551514E-2</v>
      </c>
      <c r="J1818" s="35">
        <v>-5.2482285497033908E-4</v>
      </c>
      <c r="K1818" s="35">
        <v>1.7617545491182187E-2</v>
      </c>
      <c r="L1818" s="35">
        <v>-22.109499175439272</v>
      </c>
      <c r="M1818" s="58" t="s">
        <v>23</v>
      </c>
      <c r="N1818" s="7">
        <v>11.333333333333334</v>
      </c>
      <c r="O1818" s="7" t="s">
        <v>180</v>
      </c>
      <c r="P1818" s="7" t="s">
        <v>180</v>
      </c>
    </row>
    <row r="1819" spans="1:16" x14ac:dyDescent="0.25">
      <c r="A1819" s="2" t="s">
        <v>183</v>
      </c>
      <c r="B1819" s="2" t="s">
        <v>196</v>
      </c>
      <c r="C1819" s="6" t="s">
        <v>143</v>
      </c>
      <c r="D1819" s="2" t="s">
        <v>108</v>
      </c>
      <c r="E1819" s="2"/>
      <c r="F1819" s="35">
        <v>0</v>
      </c>
      <c r="G1819" s="35">
        <v>123.17592890728035</v>
      </c>
      <c r="H1819" s="35">
        <v>10.346800948177989</v>
      </c>
      <c r="I1819" s="35">
        <v>1.0467842074525977E-2</v>
      </c>
      <c r="J1819" s="35">
        <v>-1.9037475635893365E-4</v>
      </c>
      <c r="K1819" s="35">
        <v>0.11886622588684352</v>
      </c>
      <c r="L1819" s="35">
        <v>51.60744840320524</v>
      </c>
      <c r="M1819" s="58" t="s">
        <v>22</v>
      </c>
      <c r="N1819" s="7">
        <v>11.333333333333334</v>
      </c>
      <c r="O1819" s="7" t="s">
        <v>180</v>
      </c>
      <c r="P1819" s="7" t="s">
        <v>180</v>
      </c>
    </row>
    <row r="1820" spans="1:16" x14ac:dyDescent="0.25">
      <c r="A1820" s="2" t="s">
        <v>183</v>
      </c>
      <c r="B1820" s="2" t="s">
        <v>196</v>
      </c>
      <c r="C1820" s="6" t="s">
        <v>143</v>
      </c>
      <c r="D1820" s="2" t="s">
        <v>108</v>
      </c>
      <c r="E1820" s="2"/>
      <c r="F1820" s="35">
        <v>5.4149169609489114</v>
      </c>
      <c r="G1820" s="35">
        <v>125.75533976339585</v>
      </c>
      <c r="H1820" s="35">
        <v>10.346800948177989</v>
      </c>
      <c r="I1820" s="35">
        <v>1.0467842074525977E-2</v>
      </c>
      <c r="J1820" s="35">
        <v>-1.9037475635893365E-4</v>
      </c>
      <c r="K1820" s="35">
        <v>6.2183730292958171E-2</v>
      </c>
      <c r="L1820" s="35">
        <v>-4.419619542646025</v>
      </c>
      <c r="M1820" s="58" t="s">
        <v>24</v>
      </c>
      <c r="N1820" s="7">
        <v>11.333333333333334</v>
      </c>
      <c r="O1820" s="7" t="s">
        <v>180</v>
      </c>
      <c r="P1820" s="7" t="s">
        <v>180</v>
      </c>
    </row>
    <row r="1821" spans="1:16" x14ac:dyDescent="0.25">
      <c r="A1821" s="2" t="s">
        <v>183</v>
      </c>
      <c r="B1821" s="2" t="s">
        <v>196</v>
      </c>
      <c r="C1821" s="6" t="s">
        <v>143</v>
      </c>
      <c r="D1821" s="2" t="s">
        <v>108</v>
      </c>
      <c r="E1821" s="2"/>
      <c r="F1821" s="35">
        <v>10.829833921897823</v>
      </c>
      <c r="G1821" s="35">
        <v>128.33475061951137</v>
      </c>
      <c r="H1821" s="35">
        <v>10.346800948177989</v>
      </c>
      <c r="I1821" s="35">
        <v>1.0467842074525977E-2</v>
      </c>
      <c r="J1821" s="35">
        <v>-1.9037475635893365E-4</v>
      </c>
      <c r="K1821" s="35">
        <v>5.5012346990728316E-3</v>
      </c>
      <c r="L1821" s="35">
        <v>-60.44668748849729</v>
      </c>
      <c r="M1821" s="58" t="s">
        <v>23</v>
      </c>
      <c r="N1821" s="7">
        <v>11.333333333333334</v>
      </c>
      <c r="O1821" s="7" t="s">
        <v>180</v>
      </c>
      <c r="P1821" s="7" t="s">
        <v>180</v>
      </c>
    </row>
    <row r="1822" spans="1:16" x14ac:dyDescent="0.25">
      <c r="A1822" s="2" t="s">
        <v>183</v>
      </c>
      <c r="B1822" s="2" t="s">
        <v>196</v>
      </c>
      <c r="C1822" s="6" t="s">
        <v>143</v>
      </c>
      <c r="D1822" s="2" t="s">
        <v>109</v>
      </c>
      <c r="E1822" s="2"/>
      <c r="F1822" s="35">
        <v>0</v>
      </c>
      <c r="G1822" s="35">
        <v>4.6050009401684795</v>
      </c>
      <c r="H1822" s="35">
        <v>21.870321722342787</v>
      </c>
      <c r="I1822" s="35">
        <v>4.9661224189368617E-3</v>
      </c>
      <c r="J1822" s="35">
        <v>-3.7469756980585531E-5</v>
      </c>
      <c r="K1822" s="35">
        <v>5.5516935613352025E-2</v>
      </c>
      <c r="L1822" s="35">
        <v>117.14023387196609</v>
      </c>
      <c r="M1822" s="58" t="s">
        <v>22</v>
      </c>
      <c r="N1822" s="7">
        <v>11.333333333333334</v>
      </c>
      <c r="O1822" s="7" t="s">
        <v>180</v>
      </c>
      <c r="P1822" s="7" t="s">
        <v>180</v>
      </c>
    </row>
    <row r="1823" spans="1:16" x14ac:dyDescent="0.25">
      <c r="A1823" s="2" t="s">
        <v>183</v>
      </c>
      <c r="B1823" s="2" t="s">
        <v>196</v>
      </c>
      <c r="C1823" s="6" t="s">
        <v>143</v>
      </c>
      <c r="D1823" s="2" t="s">
        <v>109</v>
      </c>
      <c r="E1823" s="2"/>
      <c r="F1823" s="35">
        <v>5.4149169609489114</v>
      </c>
      <c r="G1823" s="35">
        <v>7.1844117962839871</v>
      </c>
      <c r="H1823" s="35">
        <v>21.870321722342787</v>
      </c>
      <c r="I1823" s="35">
        <v>4.9661224189368617E-3</v>
      </c>
      <c r="J1823" s="35">
        <v>-3.7469756980585531E-5</v>
      </c>
      <c r="K1823" s="35">
        <v>2.8625795096902183E-2</v>
      </c>
      <c r="L1823" s="35">
        <v>-1.2857421637572561</v>
      </c>
      <c r="M1823" s="58" t="s">
        <v>24</v>
      </c>
      <c r="N1823" s="7">
        <v>11.333333333333334</v>
      </c>
      <c r="O1823" s="7" t="s">
        <v>180</v>
      </c>
      <c r="P1823" s="7" t="s">
        <v>180</v>
      </c>
    </row>
    <row r="1824" spans="1:16" x14ac:dyDescent="0.25">
      <c r="A1824" s="2" t="s">
        <v>183</v>
      </c>
      <c r="B1824" s="2" t="s">
        <v>196</v>
      </c>
      <c r="C1824" s="6" t="s">
        <v>143</v>
      </c>
      <c r="D1824" s="2" t="s">
        <v>109</v>
      </c>
      <c r="E1824" s="2"/>
      <c r="F1824" s="35">
        <v>10.829833921897823</v>
      </c>
      <c r="G1824" s="35">
        <v>9.7638226523994867</v>
      </c>
      <c r="H1824" s="35">
        <v>21.870321722342787</v>
      </c>
      <c r="I1824" s="35">
        <v>4.9661224189368617E-3</v>
      </c>
      <c r="J1824" s="35">
        <v>-3.7469756980585531E-5</v>
      </c>
      <c r="K1824" s="35">
        <v>1.7346545804523411E-3</v>
      </c>
      <c r="L1824" s="35">
        <v>-119.7117181994806</v>
      </c>
      <c r="M1824" s="58" t="s">
        <v>23</v>
      </c>
      <c r="N1824" s="7">
        <v>11.333333333333334</v>
      </c>
      <c r="O1824" s="7" t="s">
        <v>180</v>
      </c>
      <c r="P1824" s="7" t="s">
        <v>180</v>
      </c>
    </row>
    <row r="1825" spans="1:16" x14ac:dyDescent="0.25">
      <c r="A1825" s="2" t="s">
        <v>183</v>
      </c>
      <c r="B1825" s="2" t="s">
        <v>196</v>
      </c>
      <c r="C1825" s="6" t="s">
        <v>143</v>
      </c>
      <c r="D1825" s="2" t="s">
        <v>110</v>
      </c>
      <c r="E1825" s="2"/>
      <c r="F1825" s="35">
        <v>0</v>
      </c>
      <c r="G1825" s="35">
        <v>121.21430823782055</v>
      </c>
      <c r="H1825" s="35">
        <v>0.49947519435614074</v>
      </c>
      <c r="I1825" s="35">
        <v>1.0838130484038803E-2</v>
      </c>
      <c r="J1825" s="35">
        <v>-1.8294587722210065E-4</v>
      </c>
      <c r="K1825" s="35">
        <v>0.12307791899490465</v>
      </c>
      <c r="L1825" s="35">
        <v>-14.33323653755113</v>
      </c>
      <c r="M1825" s="58" t="s">
        <v>22</v>
      </c>
      <c r="N1825" s="7">
        <v>11.333333333333334</v>
      </c>
      <c r="O1825" s="7" t="s">
        <v>180</v>
      </c>
      <c r="P1825" s="7" t="s">
        <v>180</v>
      </c>
    </row>
    <row r="1826" spans="1:16" x14ac:dyDescent="0.25">
      <c r="A1826" s="2" t="s">
        <v>183</v>
      </c>
      <c r="B1826" s="2" t="s">
        <v>196</v>
      </c>
      <c r="C1826" s="6" t="s">
        <v>143</v>
      </c>
      <c r="D1826" s="2" t="s">
        <v>110</v>
      </c>
      <c r="E1826" s="2"/>
      <c r="F1826" s="35">
        <v>5.4149169609489114</v>
      </c>
      <c r="G1826" s="35">
        <v>123.79371909393605</v>
      </c>
      <c r="H1826" s="35">
        <v>0.49947519435614074</v>
      </c>
      <c r="I1826" s="35">
        <v>1.0838130484038803E-2</v>
      </c>
      <c r="J1826" s="35">
        <v>-1.8294587722210065E-4</v>
      </c>
      <c r="K1826" s="35">
        <v>6.4390342411905513E-2</v>
      </c>
      <c r="L1826" s="35">
        <v>-17.037853239043447</v>
      </c>
      <c r="M1826" s="58" t="s">
        <v>24</v>
      </c>
      <c r="N1826" s="7">
        <v>11.333333333333334</v>
      </c>
      <c r="O1826" s="7" t="s">
        <v>180</v>
      </c>
      <c r="P1826" s="7" t="s">
        <v>180</v>
      </c>
    </row>
    <row r="1827" spans="1:16" x14ac:dyDescent="0.25">
      <c r="A1827" s="2" t="s">
        <v>183</v>
      </c>
      <c r="B1827" s="2" t="s">
        <v>196</v>
      </c>
      <c r="C1827" s="6" t="s">
        <v>143</v>
      </c>
      <c r="D1827" s="2" t="s">
        <v>110</v>
      </c>
      <c r="E1827" s="2"/>
      <c r="F1827" s="35">
        <v>10.829833921897823</v>
      </c>
      <c r="G1827" s="35">
        <v>126.37312995005155</v>
      </c>
      <c r="H1827" s="35">
        <v>0.49947519435614074</v>
      </c>
      <c r="I1827" s="35">
        <v>1.0838130484038803E-2</v>
      </c>
      <c r="J1827" s="35">
        <v>-1.8294587722210065E-4</v>
      </c>
      <c r="K1827" s="35">
        <v>5.7027658289063865E-3</v>
      </c>
      <c r="L1827" s="35">
        <v>-19.74246994053577</v>
      </c>
      <c r="M1827" s="58" t="s">
        <v>23</v>
      </c>
      <c r="N1827" s="7">
        <v>11.333333333333334</v>
      </c>
      <c r="O1827" s="7" t="s">
        <v>180</v>
      </c>
      <c r="P1827" s="7" t="s">
        <v>180</v>
      </c>
    </row>
    <row r="1828" spans="1:16" x14ac:dyDescent="0.25">
      <c r="A1828" s="2" t="s">
        <v>183</v>
      </c>
      <c r="B1828" s="2" t="s">
        <v>196</v>
      </c>
      <c r="C1828" s="6" t="s">
        <v>143</v>
      </c>
      <c r="D1828" s="2" t="s">
        <v>111</v>
      </c>
      <c r="E1828" s="2"/>
      <c r="F1828" s="35">
        <v>0</v>
      </c>
      <c r="G1828" s="35">
        <v>-91.620543390274378</v>
      </c>
      <c r="H1828" s="35">
        <v>-13.131847438502236</v>
      </c>
      <c r="I1828" s="35">
        <v>5.1785224756871022E-3</v>
      </c>
      <c r="J1828" s="35">
        <v>-3.3383799278736548E-5</v>
      </c>
      <c r="K1828" s="35">
        <v>5.7949476710366418E-2</v>
      </c>
      <c r="L1828" s="35">
        <v>-80.270721673819835</v>
      </c>
      <c r="M1828" s="58" t="s">
        <v>22</v>
      </c>
      <c r="N1828" s="7">
        <v>11.333333333333334</v>
      </c>
      <c r="O1828" s="7" t="s">
        <v>180</v>
      </c>
      <c r="P1828" s="7" t="s">
        <v>180</v>
      </c>
    </row>
    <row r="1829" spans="1:16" x14ac:dyDescent="0.25">
      <c r="A1829" s="2" t="s">
        <v>183</v>
      </c>
      <c r="B1829" s="2" t="s">
        <v>196</v>
      </c>
      <c r="C1829" s="6" t="s">
        <v>143</v>
      </c>
      <c r="D1829" s="2" t="s">
        <v>111</v>
      </c>
      <c r="E1829" s="2"/>
      <c r="F1829" s="35">
        <v>5.4149169609489114</v>
      </c>
      <c r="G1829" s="35">
        <v>-89.041132534158862</v>
      </c>
      <c r="H1829" s="35">
        <v>-13.131847438502236</v>
      </c>
      <c r="I1829" s="35">
        <v>5.1785224756871022E-3</v>
      </c>
      <c r="J1829" s="35">
        <v>-3.3383799278736548E-5</v>
      </c>
      <c r="K1829" s="35">
        <v>2.9908207524113186E-2</v>
      </c>
      <c r="L1829" s="35">
        <v>-9.1628582504805749</v>
      </c>
      <c r="M1829" s="58" t="s">
        <v>24</v>
      </c>
      <c r="N1829" s="7">
        <v>11.333333333333334</v>
      </c>
      <c r="O1829" s="7" t="s">
        <v>180</v>
      </c>
      <c r="P1829" s="7" t="s">
        <v>180</v>
      </c>
    </row>
    <row r="1830" spans="1:16" x14ac:dyDescent="0.25">
      <c r="A1830" s="2" t="s">
        <v>183</v>
      </c>
      <c r="B1830" s="2" t="s">
        <v>196</v>
      </c>
      <c r="C1830" s="6" t="s">
        <v>143</v>
      </c>
      <c r="D1830" s="2" t="s">
        <v>111</v>
      </c>
      <c r="E1830" s="2"/>
      <c r="F1830" s="35">
        <v>10.829833921897823</v>
      </c>
      <c r="G1830" s="35">
        <v>-86.461721678043375</v>
      </c>
      <c r="H1830" s="35">
        <v>-13.131847438502236</v>
      </c>
      <c r="I1830" s="35">
        <v>5.1785224756871022E-3</v>
      </c>
      <c r="J1830" s="35">
        <v>-3.3383799278736548E-5</v>
      </c>
      <c r="K1830" s="35">
        <v>1.8669383378599523E-3</v>
      </c>
      <c r="L1830" s="35">
        <v>61.945005172858693</v>
      </c>
      <c r="M1830" s="58" t="s">
        <v>23</v>
      </c>
      <c r="N1830" s="7">
        <v>11.333333333333334</v>
      </c>
      <c r="O1830" s="7" t="s">
        <v>180</v>
      </c>
      <c r="P1830" s="7" t="s">
        <v>180</v>
      </c>
    </row>
    <row r="1831" spans="1:16" x14ac:dyDescent="0.25">
      <c r="A1831" s="2" t="s">
        <v>183</v>
      </c>
      <c r="B1831" s="2" t="s">
        <v>196</v>
      </c>
      <c r="C1831" s="6" t="s">
        <v>143</v>
      </c>
      <c r="D1831" s="2" t="s">
        <v>112</v>
      </c>
      <c r="E1831" s="2"/>
      <c r="F1831" s="35">
        <v>0</v>
      </c>
      <c r="G1831" s="35">
        <v>57.666534866474706</v>
      </c>
      <c r="H1831" s="35">
        <v>4.5024685670317819</v>
      </c>
      <c r="I1831" s="35">
        <v>-3.0221705175727288E-2</v>
      </c>
      <c r="J1831" s="35">
        <v>4.8005962087555086E-4</v>
      </c>
      <c r="K1831" s="35">
        <v>-0.34363345036487231</v>
      </c>
      <c r="L1831" s="35">
        <v>16.722938987769883</v>
      </c>
      <c r="M1831" s="58" t="s">
        <v>22</v>
      </c>
      <c r="N1831" s="7">
        <v>11.333333333333334</v>
      </c>
      <c r="O1831" s="7" t="s">
        <v>180</v>
      </c>
      <c r="P1831" s="7" t="s">
        <v>180</v>
      </c>
    </row>
    <row r="1832" spans="1:16" x14ac:dyDescent="0.25">
      <c r="A1832" s="2" t="s">
        <v>183</v>
      </c>
      <c r="B1832" s="2" t="s">
        <v>196</v>
      </c>
      <c r="C1832" s="6" t="s">
        <v>143</v>
      </c>
      <c r="D1832" s="2" t="s">
        <v>112</v>
      </c>
      <c r="E1832" s="2"/>
      <c r="F1832" s="35">
        <v>5.4149169609489114</v>
      </c>
      <c r="G1832" s="35">
        <v>60.245945722590221</v>
      </c>
      <c r="H1832" s="35">
        <v>4.5024685670317819</v>
      </c>
      <c r="I1832" s="35">
        <v>-3.0221705175727288E-2</v>
      </c>
      <c r="J1832" s="35">
        <v>4.8005962087555086E-4</v>
      </c>
      <c r="K1832" s="35">
        <v>-0.17998542642002918</v>
      </c>
      <c r="L1832" s="35">
        <v>-7.6575544219898468</v>
      </c>
      <c r="M1832" s="58" t="s">
        <v>24</v>
      </c>
      <c r="N1832" s="7">
        <v>11.333333333333334</v>
      </c>
      <c r="O1832" s="7" t="s">
        <v>180</v>
      </c>
      <c r="P1832" s="7" t="s">
        <v>180</v>
      </c>
    </row>
    <row r="1833" spans="1:16" x14ac:dyDescent="0.25">
      <c r="A1833" s="2" t="s">
        <v>183</v>
      </c>
      <c r="B1833" s="2" t="s">
        <v>196</v>
      </c>
      <c r="C1833" s="6" t="s">
        <v>143</v>
      </c>
      <c r="D1833" s="2" t="s">
        <v>112</v>
      </c>
      <c r="E1833" s="2"/>
      <c r="F1833" s="35">
        <v>10.829833921897823</v>
      </c>
      <c r="G1833" s="35">
        <v>62.825356578705716</v>
      </c>
      <c r="H1833" s="35">
        <v>4.5024685670317819</v>
      </c>
      <c r="I1833" s="35">
        <v>-3.0221705175727288E-2</v>
      </c>
      <c r="J1833" s="35">
        <v>4.8005962087555086E-4</v>
      </c>
      <c r="K1833" s="35">
        <v>-1.6337402475186009E-2</v>
      </c>
      <c r="L1833" s="35">
        <v>-32.038047831749587</v>
      </c>
      <c r="M1833" s="58" t="s">
        <v>23</v>
      </c>
      <c r="N1833" s="7">
        <v>11.333333333333334</v>
      </c>
      <c r="O1833" s="7" t="s">
        <v>180</v>
      </c>
      <c r="P1833" s="7" t="s">
        <v>180</v>
      </c>
    </row>
    <row r="1834" spans="1:16" x14ac:dyDescent="0.25">
      <c r="A1834" s="2" t="s">
        <v>183</v>
      </c>
      <c r="B1834" s="2" t="s">
        <v>196</v>
      </c>
      <c r="C1834" s="6" t="s">
        <v>143</v>
      </c>
      <c r="D1834" s="2" t="s">
        <v>113</v>
      </c>
      <c r="E1834" s="2"/>
      <c r="F1834" s="35">
        <v>0</v>
      </c>
      <c r="G1834" s="35">
        <v>-14.843611543655058</v>
      </c>
      <c r="H1834" s="35">
        <v>1.5560256835004891</v>
      </c>
      <c r="I1834" s="35">
        <v>-3.4168111894008889E-2</v>
      </c>
      <c r="J1834" s="35">
        <v>5.5610358017449911E-4</v>
      </c>
      <c r="K1834" s="35">
        <v>-0.38855131600482851</v>
      </c>
      <c r="L1834" s="35">
        <v>6.6540216103901306</v>
      </c>
      <c r="M1834" s="58" t="s">
        <v>22</v>
      </c>
      <c r="N1834" s="7">
        <v>11.333333333333334</v>
      </c>
      <c r="O1834" s="7" t="s">
        <v>180</v>
      </c>
      <c r="P1834" s="7" t="s">
        <v>180</v>
      </c>
    </row>
    <row r="1835" spans="1:16" x14ac:dyDescent="0.25">
      <c r="A1835" s="2" t="s">
        <v>183</v>
      </c>
      <c r="B1835" s="2" t="s">
        <v>196</v>
      </c>
      <c r="C1835" s="6" t="s">
        <v>143</v>
      </c>
      <c r="D1835" s="2" t="s">
        <v>113</v>
      </c>
      <c r="E1835" s="2"/>
      <c r="F1835" s="35">
        <v>5.4149169609489114</v>
      </c>
      <c r="G1835" s="35">
        <v>-12.264200687539542</v>
      </c>
      <c r="H1835" s="35">
        <v>1.5560256835004891</v>
      </c>
      <c r="I1835" s="35">
        <v>-3.4168111894008889E-2</v>
      </c>
      <c r="J1835" s="35">
        <v>5.5610358017449911E-4</v>
      </c>
      <c r="K1835" s="35">
        <v>-0.20353382738635958</v>
      </c>
      <c r="L1835" s="35">
        <v>-1.7717282548687872</v>
      </c>
      <c r="M1835" s="58" t="s">
        <v>24</v>
      </c>
      <c r="N1835" s="7">
        <v>11.333333333333334</v>
      </c>
      <c r="O1835" s="7" t="s">
        <v>180</v>
      </c>
      <c r="P1835" s="7" t="s">
        <v>180</v>
      </c>
    </row>
    <row r="1836" spans="1:16" x14ac:dyDescent="0.25">
      <c r="A1836" s="2" t="s">
        <v>183</v>
      </c>
      <c r="B1836" s="2" t="s">
        <v>196</v>
      </c>
      <c r="C1836" s="6" t="s">
        <v>143</v>
      </c>
      <c r="D1836" s="2" t="s">
        <v>113</v>
      </c>
      <c r="E1836" s="2"/>
      <c r="F1836" s="35">
        <v>10.829833921897823</v>
      </c>
      <c r="G1836" s="35">
        <v>-9.6847898314240428</v>
      </c>
      <c r="H1836" s="35">
        <v>1.5560256835004891</v>
      </c>
      <c r="I1836" s="35">
        <v>-3.4168111894008889E-2</v>
      </c>
      <c r="J1836" s="35">
        <v>5.5610358017449911E-4</v>
      </c>
      <c r="K1836" s="35">
        <v>-1.8516338767890612E-2</v>
      </c>
      <c r="L1836" s="35">
        <v>-10.197478120127705</v>
      </c>
      <c r="M1836" s="58" t="s">
        <v>23</v>
      </c>
      <c r="N1836" s="7">
        <v>11.333333333333334</v>
      </c>
      <c r="O1836" s="7" t="s">
        <v>180</v>
      </c>
      <c r="P1836" s="7" t="s">
        <v>180</v>
      </c>
    </row>
    <row r="1837" spans="1:16" x14ac:dyDescent="0.25">
      <c r="A1837" s="2" t="s">
        <v>183</v>
      </c>
      <c r="B1837" s="2" t="s">
        <v>196</v>
      </c>
      <c r="C1837" s="6" t="s">
        <v>143</v>
      </c>
      <c r="D1837" s="2" t="s">
        <v>114</v>
      </c>
      <c r="E1837" s="2"/>
      <c r="F1837" s="35">
        <v>0</v>
      </c>
      <c r="G1837" s="35">
        <v>49.027584653773857</v>
      </c>
      <c r="H1837" s="35">
        <v>4.0136852668520371</v>
      </c>
      <c r="I1837" s="35">
        <v>3.2943078882038769E-2</v>
      </c>
      <c r="J1837" s="35">
        <v>-5.2263244405868325E-4</v>
      </c>
      <c r="K1837" s="35">
        <v>0.37420600885799654</v>
      </c>
      <c r="L1837" s="35">
        <v>14.938894683910712</v>
      </c>
      <c r="M1837" s="58" t="s">
        <v>22</v>
      </c>
      <c r="N1837" s="7">
        <v>11.333333333333334</v>
      </c>
      <c r="O1837" s="7" t="s">
        <v>180</v>
      </c>
      <c r="P1837" s="7" t="s">
        <v>180</v>
      </c>
    </row>
    <row r="1838" spans="1:16" x14ac:dyDescent="0.25">
      <c r="A1838" s="2" t="s">
        <v>183</v>
      </c>
      <c r="B1838" s="2" t="s">
        <v>196</v>
      </c>
      <c r="C1838" s="6" t="s">
        <v>143</v>
      </c>
      <c r="D1838" s="2" t="s">
        <v>114</v>
      </c>
      <c r="E1838" s="2"/>
      <c r="F1838" s="35">
        <v>5.4149169609489114</v>
      </c>
      <c r="G1838" s="35">
        <v>51.606995509889373</v>
      </c>
      <c r="H1838" s="35">
        <v>4.0136852668520371</v>
      </c>
      <c r="I1838" s="35">
        <v>3.2943078882038769E-2</v>
      </c>
      <c r="J1838" s="35">
        <v>-5.2263244405868325E-4</v>
      </c>
      <c r="K1838" s="35">
        <v>0.19582197227376691</v>
      </c>
      <c r="L1838" s="35">
        <v>-6.7948777434771364</v>
      </c>
      <c r="M1838" s="58" t="s">
        <v>24</v>
      </c>
      <c r="N1838" s="7">
        <v>11.333333333333334</v>
      </c>
      <c r="O1838" s="7" t="s">
        <v>180</v>
      </c>
      <c r="P1838" s="7" t="s">
        <v>180</v>
      </c>
    </row>
    <row r="1839" spans="1:16" x14ac:dyDescent="0.25">
      <c r="A1839" s="2" t="s">
        <v>183</v>
      </c>
      <c r="B1839" s="2" t="s">
        <v>196</v>
      </c>
      <c r="C1839" s="6" t="s">
        <v>143</v>
      </c>
      <c r="D1839" s="2" t="s">
        <v>114</v>
      </c>
      <c r="E1839" s="2"/>
      <c r="F1839" s="35">
        <v>10.829833921897823</v>
      </c>
      <c r="G1839" s="35">
        <v>54.186406366004874</v>
      </c>
      <c r="H1839" s="35">
        <v>4.0136852668520371</v>
      </c>
      <c r="I1839" s="35">
        <v>3.2943078882038769E-2</v>
      </c>
      <c r="J1839" s="35">
        <v>-5.2263244405868325E-4</v>
      </c>
      <c r="K1839" s="35">
        <v>1.7437935689537342E-2</v>
      </c>
      <c r="L1839" s="35">
        <v>-28.528650170864989</v>
      </c>
      <c r="M1839" s="58" t="s">
        <v>23</v>
      </c>
      <c r="N1839" s="7">
        <v>11.333333333333334</v>
      </c>
      <c r="O1839" s="7" t="s">
        <v>180</v>
      </c>
      <c r="P1839" s="7" t="s">
        <v>180</v>
      </c>
    </row>
    <row r="1840" spans="1:16" x14ac:dyDescent="0.25">
      <c r="A1840" s="2" t="s">
        <v>183</v>
      </c>
      <c r="B1840" s="2" t="s">
        <v>196</v>
      </c>
      <c r="C1840" s="6" t="s">
        <v>143</v>
      </c>
      <c r="D1840" s="2" t="s">
        <v>115</v>
      </c>
      <c r="E1840" s="2"/>
      <c r="F1840" s="35">
        <v>0</v>
      </c>
      <c r="G1840" s="35">
        <v>-23.482468188669237</v>
      </c>
      <c r="H1840" s="35">
        <v>1.0673947700712609</v>
      </c>
      <c r="I1840" s="35">
        <v>2.8957637336887002E-2</v>
      </c>
      <c r="J1840" s="35">
        <v>-4.4572914292641014E-4</v>
      </c>
      <c r="K1840" s="35">
        <v>0.3288499192367636</v>
      </c>
      <c r="L1840" s="35">
        <v>4.8705684478825635</v>
      </c>
      <c r="M1840" s="58" t="s">
        <v>22</v>
      </c>
      <c r="N1840" s="7">
        <v>11.333333333333334</v>
      </c>
      <c r="O1840" s="7" t="s">
        <v>180</v>
      </c>
      <c r="P1840" s="7" t="s">
        <v>180</v>
      </c>
    </row>
    <row r="1841" spans="1:16" x14ac:dyDescent="0.25">
      <c r="A1841" s="2" t="s">
        <v>183</v>
      </c>
      <c r="B1841" s="2" t="s">
        <v>196</v>
      </c>
      <c r="C1841" s="6" t="s">
        <v>143</v>
      </c>
      <c r="D1841" s="2" t="s">
        <v>115</v>
      </c>
      <c r="E1841" s="2"/>
      <c r="F1841" s="35">
        <v>5.4149169609489114</v>
      </c>
      <c r="G1841" s="35">
        <v>-20.903057332553722</v>
      </c>
      <c r="H1841" s="35">
        <v>1.0673947700712609</v>
      </c>
      <c r="I1841" s="35">
        <v>2.8957637336887002E-2</v>
      </c>
      <c r="J1841" s="35">
        <v>-4.4572914292641014E-4</v>
      </c>
      <c r="K1841" s="35">
        <v>0.17204671767224669</v>
      </c>
      <c r="L1841" s="35">
        <v>-0.90928559660446806</v>
      </c>
      <c r="M1841" s="58" t="s">
        <v>24</v>
      </c>
      <c r="N1841" s="7">
        <v>11.333333333333334</v>
      </c>
      <c r="O1841" s="7" t="s">
        <v>180</v>
      </c>
      <c r="P1841" s="7" t="s">
        <v>180</v>
      </c>
    </row>
    <row r="1842" spans="1:16" x14ac:dyDescent="0.25">
      <c r="A1842" s="2" t="s">
        <v>183</v>
      </c>
      <c r="B1842" s="2" t="s">
        <v>196</v>
      </c>
      <c r="C1842" s="6" t="s">
        <v>143</v>
      </c>
      <c r="D1842" s="2" t="s">
        <v>115</v>
      </c>
      <c r="E1842" s="2"/>
      <c r="F1842" s="35">
        <v>10.829833921897823</v>
      </c>
      <c r="G1842" s="35">
        <v>-18.323646476438221</v>
      </c>
      <c r="H1842" s="35">
        <v>1.0673947700712609</v>
      </c>
      <c r="I1842" s="35">
        <v>2.8957637336887002E-2</v>
      </c>
      <c r="J1842" s="35">
        <v>-4.4572914292641014E-4</v>
      </c>
      <c r="K1842" s="35">
        <v>1.5243516107729843E-2</v>
      </c>
      <c r="L1842" s="35">
        <v>-6.6891396410915016</v>
      </c>
      <c r="M1842" s="58" t="s">
        <v>23</v>
      </c>
      <c r="N1842" s="7">
        <v>11.333333333333334</v>
      </c>
      <c r="O1842" s="7" t="s">
        <v>180</v>
      </c>
      <c r="P1842" s="7" t="s">
        <v>180</v>
      </c>
    </row>
    <row r="1843" spans="1:16" x14ac:dyDescent="0.25">
      <c r="A1843" s="2" t="s">
        <v>183</v>
      </c>
      <c r="B1843" s="2" t="s">
        <v>196</v>
      </c>
      <c r="C1843" s="6" t="s">
        <v>143</v>
      </c>
      <c r="D1843" s="2" t="s">
        <v>116</v>
      </c>
      <c r="E1843" s="2"/>
      <c r="F1843" s="35">
        <v>0</v>
      </c>
      <c r="G1843" s="35">
        <v>49.888270208159973</v>
      </c>
      <c r="H1843" s="35">
        <v>7.6020525760423228</v>
      </c>
      <c r="I1843" s="35">
        <v>8.8962332809640176E-3</v>
      </c>
      <c r="J1843" s="35">
        <v>-1.4472585417614521E-4</v>
      </c>
      <c r="K1843" s="35">
        <v>0.10068356535813186</v>
      </c>
      <c r="L1843" s="35">
        <v>41.136357741230135</v>
      </c>
      <c r="M1843" s="58" t="s">
        <v>22</v>
      </c>
      <c r="N1843" s="7">
        <v>11.333333333333334</v>
      </c>
      <c r="O1843" s="7" t="s">
        <v>180</v>
      </c>
      <c r="P1843" s="7" t="s">
        <v>180</v>
      </c>
    </row>
    <row r="1844" spans="1:16" x14ac:dyDescent="0.25">
      <c r="A1844" s="2" t="s">
        <v>183</v>
      </c>
      <c r="B1844" s="2" t="s">
        <v>196</v>
      </c>
      <c r="C1844" s="6" t="s">
        <v>143</v>
      </c>
      <c r="D1844" s="2" t="s">
        <v>116</v>
      </c>
      <c r="E1844" s="2"/>
      <c r="F1844" s="35">
        <v>5.4149169609489114</v>
      </c>
      <c r="G1844" s="35">
        <v>52.467681064275489</v>
      </c>
      <c r="H1844" s="35">
        <v>7.6020525760423228</v>
      </c>
      <c r="I1844" s="35">
        <v>8.8962332809640176E-3</v>
      </c>
      <c r="J1844" s="35">
        <v>-1.4472585417614521E-4</v>
      </c>
      <c r="K1844" s="35">
        <v>5.2511200876481652E-2</v>
      </c>
      <c r="L1844" s="35">
        <v>-2.8125690806793974E-2</v>
      </c>
      <c r="M1844" s="58" t="s">
        <v>24</v>
      </c>
      <c r="N1844" s="7">
        <v>11.333333333333334</v>
      </c>
      <c r="O1844" s="7" t="s">
        <v>180</v>
      </c>
      <c r="P1844" s="7" t="s">
        <v>180</v>
      </c>
    </row>
    <row r="1845" spans="1:16" x14ac:dyDescent="0.25">
      <c r="A1845" s="2" t="s">
        <v>183</v>
      </c>
      <c r="B1845" s="2" t="s">
        <v>196</v>
      </c>
      <c r="C1845" s="6" t="s">
        <v>143</v>
      </c>
      <c r="D1845" s="2" t="s">
        <v>116</v>
      </c>
      <c r="E1845" s="2"/>
      <c r="F1845" s="35">
        <v>10.829833921897823</v>
      </c>
      <c r="G1845" s="35">
        <v>55.04709192039099</v>
      </c>
      <c r="H1845" s="35">
        <v>7.6020525760423228</v>
      </c>
      <c r="I1845" s="35">
        <v>8.8962332809640176E-3</v>
      </c>
      <c r="J1845" s="35">
        <v>-1.4472585417614521E-4</v>
      </c>
      <c r="K1845" s="35">
        <v>4.3388363948314232E-3</v>
      </c>
      <c r="L1845" s="35">
        <v>-41.19260912284372</v>
      </c>
      <c r="M1845" s="58" t="s">
        <v>23</v>
      </c>
      <c r="N1845" s="7">
        <v>11.333333333333334</v>
      </c>
      <c r="O1845" s="7" t="s">
        <v>180</v>
      </c>
      <c r="P1845" s="7" t="s">
        <v>180</v>
      </c>
    </row>
    <row r="1846" spans="1:16" x14ac:dyDescent="0.25">
      <c r="A1846" s="2" t="s">
        <v>183</v>
      </c>
      <c r="B1846" s="2" t="s">
        <v>196</v>
      </c>
      <c r="C1846" s="6" t="s">
        <v>143</v>
      </c>
      <c r="D1846" s="2" t="s">
        <v>117</v>
      </c>
      <c r="E1846" s="2"/>
      <c r="F1846" s="35">
        <v>0</v>
      </c>
      <c r="G1846" s="35">
        <v>-56.825564962240712</v>
      </c>
      <c r="H1846" s="35">
        <v>17.973221272790642</v>
      </c>
      <c r="I1846" s="35">
        <v>3.9446855909338122E-3</v>
      </c>
      <c r="J1846" s="35">
        <v>-7.1113547356318968E-6</v>
      </c>
      <c r="K1846" s="35">
        <v>4.3669204111989525E-2</v>
      </c>
      <c r="L1846" s="35">
        <v>100.11586466311489</v>
      </c>
      <c r="M1846" s="58" t="s">
        <v>22</v>
      </c>
      <c r="N1846" s="7">
        <v>11.333333333333334</v>
      </c>
      <c r="O1846" s="7" t="s">
        <v>180</v>
      </c>
      <c r="P1846" s="7" t="s">
        <v>180</v>
      </c>
    </row>
    <row r="1847" spans="1:16" x14ac:dyDescent="0.25">
      <c r="A1847" s="2" t="s">
        <v>183</v>
      </c>
      <c r="B1847" s="2" t="s">
        <v>196</v>
      </c>
      <c r="C1847" s="6" t="s">
        <v>143</v>
      </c>
      <c r="D1847" s="2" t="s">
        <v>117</v>
      </c>
      <c r="E1847" s="2"/>
      <c r="F1847" s="35">
        <v>5.4149169609489114</v>
      </c>
      <c r="G1847" s="35">
        <v>-54.246154106125196</v>
      </c>
      <c r="H1847" s="35">
        <v>17.973221272790642</v>
      </c>
      <c r="I1847" s="35">
        <v>3.9446855909338122E-3</v>
      </c>
      <c r="J1847" s="35">
        <v>-7.1113547356318968E-6</v>
      </c>
      <c r="K1847" s="35">
        <v>2.2309059200031255E-2</v>
      </c>
      <c r="L1847" s="35">
        <v>2.7923639501930984</v>
      </c>
      <c r="M1847" s="58" t="s">
        <v>24</v>
      </c>
      <c r="N1847" s="7">
        <v>11.333333333333334</v>
      </c>
      <c r="O1847" s="7" t="s">
        <v>180</v>
      </c>
      <c r="P1847" s="7" t="s">
        <v>180</v>
      </c>
    </row>
    <row r="1848" spans="1:16" x14ac:dyDescent="0.25">
      <c r="A1848" s="2" t="s">
        <v>183</v>
      </c>
      <c r="B1848" s="2" t="s">
        <v>196</v>
      </c>
      <c r="C1848" s="6" t="s">
        <v>143</v>
      </c>
      <c r="D1848" s="2" t="s">
        <v>117</v>
      </c>
      <c r="E1848" s="2"/>
      <c r="F1848" s="35">
        <v>10.829833921897823</v>
      </c>
      <c r="G1848" s="35">
        <v>-51.666743250009695</v>
      </c>
      <c r="H1848" s="35">
        <v>17.973221272790642</v>
      </c>
      <c r="I1848" s="35">
        <v>3.9446855909338122E-3</v>
      </c>
      <c r="J1848" s="35">
        <v>-7.1113547356318968E-6</v>
      </c>
      <c r="K1848" s="35">
        <v>9.4891428807298238E-4</v>
      </c>
      <c r="L1848" s="35">
        <v>-94.531136762728707</v>
      </c>
      <c r="M1848" s="58" t="s">
        <v>23</v>
      </c>
      <c r="N1848" s="7">
        <v>11.333333333333334</v>
      </c>
      <c r="O1848" s="7" t="s">
        <v>180</v>
      </c>
      <c r="P1848" s="7" t="s">
        <v>180</v>
      </c>
    </row>
    <row r="1849" spans="1:16" x14ac:dyDescent="0.25">
      <c r="A1849" s="2" t="s">
        <v>183</v>
      </c>
      <c r="B1849" s="2" t="s">
        <v>196</v>
      </c>
      <c r="C1849" s="6" t="s">
        <v>143</v>
      </c>
      <c r="D1849" s="2" t="s">
        <v>118</v>
      </c>
      <c r="E1849" s="2"/>
      <c r="F1849" s="35">
        <v>0</v>
      </c>
      <c r="G1849" s="35">
        <v>48.122811605646149</v>
      </c>
      <c r="H1849" s="35">
        <v>-1.2605406023973416</v>
      </c>
      <c r="I1849" s="35">
        <v>9.2294928495255581E-3</v>
      </c>
      <c r="J1849" s="35">
        <v>-1.380398629529955E-4</v>
      </c>
      <c r="K1849" s="35">
        <v>0.1044740891553869</v>
      </c>
      <c r="L1849" s="35">
        <v>-18.210258705450599</v>
      </c>
      <c r="M1849" s="58" t="s">
        <v>22</v>
      </c>
      <c r="N1849" s="7">
        <v>11.333333333333334</v>
      </c>
      <c r="O1849" s="7" t="s">
        <v>180</v>
      </c>
      <c r="P1849" s="7" t="s">
        <v>180</v>
      </c>
    </row>
    <row r="1850" spans="1:16" x14ac:dyDescent="0.25">
      <c r="A1850" s="2" t="s">
        <v>183</v>
      </c>
      <c r="B1850" s="2" t="s">
        <v>196</v>
      </c>
      <c r="C1850" s="6" t="s">
        <v>143</v>
      </c>
      <c r="D1850" s="2" t="s">
        <v>118</v>
      </c>
      <c r="E1850" s="2"/>
      <c r="F1850" s="35">
        <v>5.4149169609489114</v>
      </c>
      <c r="G1850" s="35">
        <v>50.702222461761664</v>
      </c>
      <c r="H1850" s="35">
        <v>-1.2605406023973416</v>
      </c>
      <c r="I1850" s="35">
        <v>9.2294928495255581E-3</v>
      </c>
      <c r="J1850" s="35">
        <v>-1.380398629529955E-4</v>
      </c>
      <c r="K1850" s="35">
        <v>5.4497151783534259E-2</v>
      </c>
      <c r="L1850" s="35">
        <v>-11.384536017564477</v>
      </c>
      <c r="M1850" s="58" t="s">
        <v>24</v>
      </c>
      <c r="N1850" s="7">
        <v>11.333333333333334</v>
      </c>
      <c r="O1850" s="7" t="s">
        <v>180</v>
      </c>
      <c r="P1850" s="7" t="s">
        <v>180</v>
      </c>
    </row>
    <row r="1851" spans="1:16" x14ac:dyDescent="0.25">
      <c r="A1851" s="2" t="s">
        <v>183</v>
      </c>
      <c r="B1851" s="2" t="s">
        <v>196</v>
      </c>
      <c r="C1851" s="6" t="s">
        <v>143</v>
      </c>
      <c r="D1851" s="2" t="s">
        <v>118</v>
      </c>
      <c r="E1851" s="2"/>
      <c r="F1851" s="35">
        <v>10.829833921897823</v>
      </c>
      <c r="G1851" s="35">
        <v>53.281633317877166</v>
      </c>
      <c r="H1851" s="35">
        <v>-1.2605406023973416</v>
      </c>
      <c r="I1851" s="35">
        <v>9.2294928495255581E-3</v>
      </c>
      <c r="J1851" s="35">
        <v>-1.380398629529955E-4</v>
      </c>
      <c r="K1851" s="35">
        <v>4.5202144116816244E-3</v>
      </c>
      <c r="L1851" s="35">
        <v>-4.558813329678352</v>
      </c>
      <c r="M1851" s="58" t="s">
        <v>23</v>
      </c>
      <c r="N1851" s="7">
        <v>11.333333333333334</v>
      </c>
      <c r="O1851" s="7" t="s">
        <v>180</v>
      </c>
      <c r="P1851" s="7" t="s">
        <v>180</v>
      </c>
    </row>
    <row r="1852" spans="1:16" x14ac:dyDescent="0.25">
      <c r="A1852" s="2" t="s">
        <v>183</v>
      </c>
      <c r="B1852" s="2" t="s">
        <v>196</v>
      </c>
      <c r="C1852" s="6" t="s">
        <v>143</v>
      </c>
      <c r="D1852" s="2" t="s">
        <v>119</v>
      </c>
      <c r="E1852" s="2"/>
      <c r="F1852" s="35">
        <v>0</v>
      </c>
      <c r="G1852" s="35">
        <v>-143.42855485963929</v>
      </c>
      <c r="H1852" s="35">
        <v>-13.52873097196988</v>
      </c>
      <c r="I1852" s="35">
        <v>4.1358456420090292E-3</v>
      </c>
      <c r="J1852" s="35">
        <v>-3.4339928039678032E-6</v>
      </c>
      <c r="K1852" s="35">
        <v>4.5858491099302477E-2</v>
      </c>
      <c r="L1852" s="35">
        <v>-77.553995328092441</v>
      </c>
      <c r="M1852" s="58" t="s">
        <v>22</v>
      </c>
      <c r="N1852" s="7">
        <v>11.333333333333334</v>
      </c>
      <c r="O1852" s="7" t="s">
        <v>180</v>
      </c>
      <c r="P1852" s="7" t="s">
        <v>180</v>
      </c>
    </row>
    <row r="1853" spans="1:16" x14ac:dyDescent="0.25">
      <c r="A1853" s="2" t="s">
        <v>183</v>
      </c>
      <c r="B1853" s="2" t="s">
        <v>196</v>
      </c>
      <c r="C1853" s="6" t="s">
        <v>143</v>
      </c>
      <c r="D1853" s="2" t="s">
        <v>119</v>
      </c>
      <c r="E1853" s="2"/>
      <c r="F1853" s="35">
        <v>5.4149169609489114</v>
      </c>
      <c r="G1853" s="35">
        <v>-140.84914400352378</v>
      </c>
      <c r="H1853" s="35">
        <v>-13.52873097196988</v>
      </c>
      <c r="I1853" s="35">
        <v>4.1358456420090292E-3</v>
      </c>
      <c r="J1853" s="35">
        <v>-3.4339928039678032E-6</v>
      </c>
      <c r="K1853" s="35">
        <v>2.346323038452116E-2</v>
      </c>
      <c r="L1853" s="35">
        <v>-4.2970405278578871</v>
      </c>
      <c r="M1853" s="58" t="s">
        <v>24</v>
      </c>
      <c r="N1853" s="7">
        <v>11.333333333333334</v>
      </c>
      <c r="O1853" s="7" t="s">
        <v>180</v>
      </c>
      <c r="P1853" s="7" t="s">
        <v>180</v>
      </c>
    </row>
    <row r="1854" spans="1:16" x14ac:dyDescent="0.25">
      <c r="A1854" s="2" t="s">
        <v>183</v>
      </c>
      <c r="B1854" s="2" t="s">
        <v>196</v>
      </c>
      <c r="C1854" s="6" t="s">
        <v>143</v>
      </c>
      <c r="D1854" s="2" t="s">
        <v>119</v>
      </c>
      <c r="E1854" s="2"/>
      <c r="F1854" s="35">
        <v>10.829833921897823</v>
      </c>
      <c r="G1854" s="35">
        <v>-138.26973314740826</v>
      </c>
      <c r="H1854" s="35">
        <v>-13.52873097196988</v>
      </c>
      <c r="I1854" s="35">
        <v>4.1358456420090292E-3</v>
      </c>
      <c r="J1854" s="35">
        <v>-3.4339928039678032E-6</v>
      </c>
      <c r="K1854" s="35">
        <v>1.0679696697398319E-3</v>
      </c>
      <c r="L1854" s="35">
        <v>68.959914272376665</v>
      </c>
      <c r="M1854" s="58" t="s">
        <v>23</v>
      </c>
      <c r="N1854" s="7">
        <v>11.333333333333334</v>
      </c>
      <c r="O1854" s="7" t="s">
        <v>180</v>
      </c>
      <c r="P1854" s="7" t="s">
        <v>180</v>
      </c>
    </row>
    <row r="1855" spans="1:16" x14ac:dyDescent="0.25">
      <c r="A1855" s="2" t="s">
        <v>183</v>
      </c>
      <c r="B1855" s="2" t="s">
        <v>196</v>
      </c>
      <c r="C1855" s="6" t="s">
        <v>143</v>
      </c>
      <c r="D1855" s="2" t="s">
        <v>120</v>
      </c>
      <c r="E1855" s="2"/>
      <c r="F1855" s="35">
        <v>0</v>
      </c>
      <c r="G1855" s="35">
        <v>80.47615757908919</v>
      </c>
      <c r="H1855" s="35">
        <v>5.3773081226404145</v>
      </c>
      <c r="I1855" s="35">
        <v>-3.3438225545853843E-2</v>
      </c>
      <c r="J1855" s="35">
        <v>5.2617538154113585E-4</v>
      </c>
      <c r="K1855" s="35">
        <v>-0.38012026154419126</v>
      </c>
      <c r="L1855" s="35">
        <v>19.675571003464992</v>
      </c>
      <c r="M1855" s="58" t="s">
        <v>22</v>
      </c>
      <c r="N1855" s="7">
        <v>11.333333333333334</v>
      </c>
      <c r="O1855" s="7" t="s">
        <v>180</v>
      </c>
      <c r="P1855" s="7" t="s">
        <v>180</v>
      </c>
    </row>
    <row r="1856" spans="1:16" x14ac:dyDescent="0.25">
      <c r="A1856" s="2" t="s">
        <v>183</v>
      </c>
      <c r="B1856" s="2" t="s">
        <v>196</v>
      </c>
      <c r="C1856" s="6" t="s">
        <v>143</v>
      </c>
      <c r="D1856" s="2" t="s">
        <v>120</v>
      </c>
      <c r="E1856" s="2"/>
      <c r="F1856" s="35">
        <v>5.4149169609489114</v>
      </c>
      <c r="G1856" s="35">
        <v>83.055568435204691</v>
      </c>
      <c r="H1856" s="35">
        <v>5.3773081226404145</v>
      </c>
      <c r="I1856" s="35">
        <v>-3.3438225545853843E-2</v>
      </c>
      <c r="J1856" s="35">
        <v>5.2617538154113585E-4</v>
      </c>
      <c r="K1856" s="35">
        <v>-0.19905504689191217</v>
      </c>
      <c r="L1856" s="35">
        <v>-9.4421059540689338</v>
      </c>
      <c r="M1856" s="58" t="s">
        <v>24</v>
      </c>
      <c r="N1856" s="7">
        <v>11.333333333333334</v>
      </c>
      <c r="O1856" s="7" t="s">
        <v>180</v>
      </c>
      <c r="P1856" s="7" t="s">
        <v>180</v>
      </c>
    </row>
    <row r="1857" spans="1:16" x14ac:dyDescent="0.25">
      <c r="A1857" s="2" t="s">
        <v>183</v>
      </c>
      <c r="B1857" s="2" t="s">
        <v>196</v>
      </c>
      <c r="C1857" s="6" t="s">
        <v>143</v>
      </c>
      <c r="D1857" s="2" t="s">
        <v>120</v>
      </c>
      <c r="E1857" s="2"/>
      <c r="F1857" s="35">
        <v>10.829833921897823</v>
      </c>
      <c r="G1857" s="35">
        <v>85.634979291320207</v>
      </c>
      <c r="H1857" s="35">
        <v>5.3773081226404145</v>
      </c>
      <c r="I1857" s="35">
        <v>-3.3438225545853843E-2</v>
      </c>
      <c r="J1857" s="35">
        <v>5.2617538154113585E-4</v>
      </c>
      <c r="K1857" s="35">
        <v>-1.7989832239633054E-2</v>
      </c>
      <c r="L1857" s="35">
        <v>-38.559782911602866</v>
      </c>
      <c r="M1857" s="58" t="s">
        <v>23</v>
      </c>
      <c r="N1857" s="7">
        <v>11.333333333333334</v>
      </c>
      <c r="O1857" s="7" t="s">
        <v>180</v>
      </c>
      <c r="P1857" s="7" t="s">
        <v>180</v>
      </c>
    </row>
    <row r="1858" spans="1:16" x14ac:dyDescent="0.25">
      <c r="A1858" s="2" t="s">
        <v>183</v>
      </c>
      <c r="B1858" s="2" t="s">
        <v>196</v>
      </c>
      <c r="C1858" s="6" t="s">
        <v>143</v>
      </c>
      <c r="D1858" s="2" t="s">
        <v>121</v>
      </c>
      <c r="E1858" s="2"/>
      <c r="F1858" s="35">
        <v>0</v>
      </c>
      <c r="G1858" s="35">
        <v>-9.0671765499442683E-2</v>
      </c>
      <c r="H1858" s="35">
        <v>2.1034826964945341</v>
      </c>
      <c r="I1858" s="35">
        <v>-3.7823121899500066E-2</v>
      </c>
      <c r="J1858" s="35">
        <v>6.1066866965107827E-4</v>
      </c>
      <c r="K1858" s="35">
        <v>-0.43002900114414261</v>
      </c>
      <c r="L1858" s="35">
        <v>8.4878850285985994</v>
      </c>
      <c r="M1858" s="58" t="s">
        <v>22</v>
      </c>
      <c r="N1858" s="7">
        <v>11.333333333333334</v>
      </c>
      <c r="O1858" s="7" t="s">
        <v>180</v>
      </c>
      <c r="P1858" s="7" t="s">
        <v>180</v>
      </c>
    </row>
    <row r="1859" spans="1:16" x14ac:dyDescent="0.25">
      <c r="A1859" s="2" t="s">
        <v>183</v>
      </c>
      <c r="B1859" s="2" t="s">
        <v>196</v>
      </c>
      <c r="C1859" s="6" t="s">
        <v>143</v>
      </c>
      <c r="D1859" s="2" t="s">
        <v>121</v>
      </c>
      <c r="E1859" s="2"/>
      <c r="F1859" s="35">
        <v>5.4149169609489114</v>
      </c>
      <c r="G1859" s="35">
        <v>2.4887390906160576</v>
      </c>
      <c r="H1859" s="35">
        <v>2.1034826964945341</v>
      </c>
      <c r="I1859" s="35">
        <v>-3.7823121899500066E-2</v>
      </c>
      <c r="J1859" s="35">
        <v>6.1066866965107827E-4</v>
      </c>
      <c r="K1859" s="35">
        <v>-0.22521993685450148</v>
      </c>
      <c r="L1859" s="35">
        <v>-2.9022991017122028</v>
      </c>
      <c r="M1859" s="58" t="s">
        <v>24</v>
      </c>
      <c r="N1859" s="7">
        <v>11.333333333333334</v>
      </c>
      <c r="O1859" s="7" t="s">
        <v>180</v>
      </c>
      <c r="P1859" s="7" t="s">
        <v>180</v>
      </c>
    </row>
    <row r="1860" spans="1:16" x14ac:dyDescent="0.25">
      <c r="A1860" s="2" t="s">
        <v>183</v>
      </c>
      <c r="B1860" s="2" t="s">
        <v>196</v>
      </c>
      <c r="C1860" s="6" t="s">
        <v>143</v>
      </c>
      <c r="D1860" s="2" t="s">
        <v>121</v>
      </c>
      <c r="E1860" s="2"/>
      <c r="F1860" s="35">
        <v>10.829833921897823</v>
      </c>
      <c r="G1860" s="35">
        <v>5.0681499467315723</v>
      </c>
      <c r="H1860" s="35">
        <v>2.1034826964945341</v>
      </c>
      <c r="I1860" s="35">
        <v>-3.7823121899500066E-2</v>
      </c>
      <c r="J1860" s="35">
        <v>6.1066866965107827E-4</v>
      </c>
      <c r="K1860" s="35">
        <v>-2.0410872564860395E-2</v>
      </c>
      <c r="L1860" s="35">
        <v>-14.292483232023001</v>
      </c>
      <c r="M1860" s="58" t="s">
        <v>23</v>
      </c>
      <c r="N1860" s="7">
        <v>11.333333333333334</v>
      </c>
      <c r="O1860" s="7" t="s">
        <v>180</v>
      </c>
      <c r="P1860" s="7" t="s">
        <v>180</v>
      </c>
    </row>
    <row r="1861" spans="1:16" x14ac:dyDescent="0.25">
      <c r="A1861" s="2" t="s">
        <v>183</v>
      </c>
      <c r="B1861" s="2" t="s">
        <v>196</v>
      </c>
      <c r="C1861" s="6" t="s">
        <v>143</v>
      </c>
      <c r="D1861" s="2" t="s">
        <v>122</v>
      </c>
      <c r="E1861" s="2"/>
      <c r="F1861" s="35">
        <v>0</v>
      </c>
      <c r="G1861" s="35">
        <v>70.877324009421571</v>
      </c>
      <c r="H1861" s="35">
        <v>4.8342155668851436</v>
      </c>
      <c r="I1861" s="35">
        <v>3.6744867851663997E-2</v>
      </c>
      <c r="J1861" s="35">
        <v>-5.8792691283023524E-4</v>
      </c>
      <c r="K1861" s="35">
        <v>0.41747913759232969</v>
      </c>
      <c r="L1861" s="35">
        <v>17.69329955473258</v>
      </c>
      <c r="M1861" s="58" t="s">
        <v>22</v>
      </c>
      <c r="N1861" s="7">
        <v>11.333333333333334</v>
      </c>
      <c r="O1861" s="7" t="s">
        <v>180</v>
      </c>
      <c r="P1861" s="7" t="s">
        <v>180</v>
      </c>
    </row>
    <row r="1862" spans="1:16" x14ac:dyDescent="0.25">
      <c r="A1862" s="2" t="s">
        <v>183</v>
      </c>
      <c r="B1862" s="2" t="s">
        <v>196</v>
      </c>
      <c r="C1862" s="6" t="s">
        <v>143</v>
      </c>
      <c r="D1862" s="2" t="s">
        <v>122</v>
      </c>
      <c r="E1862" s="2"/>
      <c r="F1862" s="35">
        <v>5.4149169609489114</v>
      </c>
      <c r="G1862" s="35">
        <v>73.456734865537072</v>
      </c>
      <c r="H1862" s="35">
        <v>4.8342155668851436</v>
      </c>
      <c r="I1862" s="35">
        <v>3.6744867851663997E-2</v>
      </c>
      <c r="J1862" s="35">
        <v>-5.8792691283023524E-4</v>
      </c>
      <c r="K1862" s="35">
        <v>0.21850872943452795</v>
      </c>
      <c r="L1862" s="35">
        <v>-8.4835763112770337</v>
      </c>
      <c r="M1862" s="58" t="s">
        <v>24</v>
      </c>
      <c r="N1862" s="7">
        <v>11.333333333333334</v>
      </c>
      <c r="O1862" s="7" t="s">
        <v>180</v>
      </c>
      <c r="P1862" s="7" t="s">
        <v>180</v>
      </c>
    </row>
    <row r="1863" spans="1:16" x14ac:dyDescent="0.25">
      <c r="A1863" s="2" t="s">
        <v>183</v>
      </c>
      <c r="B1863" s="2" t="s">
        <v>196</v>
      </c>
      <c r="C1863" s="6" t="s">
        <v>143</v>
      </c>
      <c r="D1863" s="2" t="s">
        <v>122</v>
      </c>
      <c r="E1863" s="2"/>
      <c r="F1863" s="35">
        <v>10.829833921897823</v>
      </c>
      <c r="G1863" s="35">
        <v>76.036145721652588</v>
      </c>
      <c r="H1863" s="35">
        <v>4.8342155668851436</v>
      </c>
      <c r="I1863" s="35">
        <v>3.6744867851663997E-2</v>
      </c>
      <c r="J1863" s="35">
        <v>-5.8792691283023524E-4</v>
      </c>
      <c r="K1863" s="35">
        <v>1.9538321276726219E-2</v>
      </c>
      <c r="L1863" s="35">
        <v>-34.660452177286643</v>
      </c>
      <c r="M1863" s="58" t="s">
        <v>23</v>
      </c>
      <c r="N1863" s="7">
        <v>11.333333333333334</v>
      </c>
      <c r="O1863" s="7" t="s">
        <v>180</v>
      </c>
      <c r="P1863" s="7" t="s">
        <v>180</v>
      </c>
    </row>
    <row r="1864" spans="1:16" x14ac:dyDescent="0.25">
      <c r="A1864" s="2" t="s">
        <v>183</v>
      </c>
      <c r="B1864" s="2" t="s">
        <v>196</v>
      </c>
      <c r="C1864" s="6" t="s">
        <v>143</v>
      </c>
      <c r="D1864" s="2" t="s">
        <v>123</v>
      </c>
      <c r="E1864" s="2"/>
      <c r="F1864" s="35">
        <v>0</v>
      </c>
      <c r="G1864" s="35">
        <v>-9.6894013710707636</v>
      </c>
      <c r="H1864" s="35">
        <v>1.5605594593509473</v>
      </c>
      <c r="I1864" s="35">
        <v>3.2316599468162038E-2</v>
      </c>
      <c r="J1864" s="35">
        <v>-5.0247880046104304E-4</v>
      </c>
      <c r="K1864" s="35">
        <v>0.3670834824576264</v>
      </c>
      <c r="L1864" s="35">
        <v>6.5062704035901913</v>
      </c>
      <c r="M1864" s="58" t="s">
        <v>22</v>
      </c>
      <c r="N1864" s="7">
        <v>11.333333333333334</v>
      </c>
      <c r="O1864" s="7" t="s">
        <v>180</v>
      </c>
      <c r="P1864" s="7" t="s">
        <v>180</v>
      </c>
    </row>
    <row r="1865" spans="1:16" x14ac:dyDescent="0.25">
      <c r="A1865" s="2" t="s">
        <v>183</v>
      </c>
      <c r="B1865" s="2" t="s">
        <v>196</v>
      </c>
      <c r="C1865" s="6" t="s">
        <v>143</v>
      </c>
      <c r="D1865" s="2" t="s">
        <v>123</v>
      </c>
      <c r="E1865" s="2"/>
      <c r="F1865" s="35">
        <v>5.4149169609489114</v>
      </c>
      <c r="G1865" s="35">
        <v>-7.109990514955264</v>
      </c>
      <c r="H1865" s="35">
        <v>1.5605594593509473</v>
      </c>
      <c r="I1865" s="35">
        <v>3.2316599468162038E-2</v>
      </c>
      <c r="J1865" s="35">
        <v>-5.0247880046104304E-4</v>
      </c>
      <c r="K1865" s="35">
        <v>0.19209177987728326</v>
      </c>
      <c r="L1865" s="35">
        <v>-1.9440294814185142</v>
      </c>
      <c r="M1865" s="58" t="s">
        <v>24</v>
      </c>
      <c r="N1865" s="7">
        <v>11.333333333333334</v>
      </c>
      <c r="O1865" s="7" t="s">
        <v>180</v>
      </c>
      <c r="P1865" s="7" t="s">
        <v>180</v>
      </c>
    </row>
    <row r="1866" spans="1:16" x14ac:dyDescent="0.25">
      <c r="A1866" s="2" t="s">
        <v>183</v>
      </c>
      <c r="B1866" s="2" t="s">
        <v>196</v>
      </c>
      <c r="C1866" s="6" t="s">
        <v>143</v>
      </c>
      <c r="D1866" s="2" t="s">
        <v>123</v>
      </c>
      <c r="E1866" s="2"/>
      <c r="F1866" s="35">
        <v>10.829833921897823</v>
      </c>
      <c r="G1866" s="35">
        <v>-4.5305796588397484</v>
      </c>
      <c r="H1866" s="35">
        <v>1.5605594593509473</v>
      </c>
      <c r="I1866" s="35">
        <v>3.2316599468162038E-2</v>
      </c>
      <c r="J1866" s="35">
        <v>-5.0247880046104304E-4</v>
      </c>
      <c r="K1866" s="35">
        <v>1.710007729694011E-2</v>
      </c>
      <c r="L1866" s="35">
        <v>-10.394329366427222</v>
      </c>
      <c r="M1866" s="58" t="s">
        <v>23</v>
      </c>
      <c r="N1866" s="7">
        <v>11.333333333333334</v>
      </c>
      <c r="O1866" s="7" t="s">
        <v>180</v>
      </c>
      <c r="P1866" s="7" t="s">
        <v>180</v>
      </c>
    </row>
    <row r="1867" spans="1:16" x14ac:dyDescent="0.25">
      <c r="A1867" s="2" t="s">
        <v>183</v>
      </c>
      <c r="B1867" s="2" t="s">
        <v>196</v>
      </c>
      <c r="C1867" s="6" t="s">
        <v>143</v>
      </c>
      <c r="D1867" s="2" t="s">
        <v>124</v>
      </c>
      <c r="E1867" s="2"/>
      <c r="F1867" s="35">
        <v>0</v>
      </c>
      <c r="G1867" s="35">
        <v>71.833641292072798</v>
      </c>
      <c r="H1867" s="35">
        <v>8.8212903548743498</v>
      </c>
      <c r="I1867" s="35">
        <v>1.0026150517136498E-2</v>
      </c>
      <c r="J1867" s="35">
        <v>-1.680307018496376E-4</v>
      </c>
      <c r="K1867" s="35">
        <v>0.11356531148136899</v>
      </c>
      <c r="L1867" s="35">
        <v>46.801591840643049</v>
      </c>
      <c r="M1867" s="58" t="s">
        <v>22</v>
      </c>
      <c r="N1867" s="7">
        <v>11.333333333333334</v>
      </c>
      <c r="O1867" s="7" t="s">
        <v>180</v>
      </c>
      <c r="P1867" s="7" t="s">
        <v>180</v>
      </c>
    </row>
    <row r="1868" spans="1:16" x14ac:dyDescent="0.25">
      <c r="A1868" s="2" t="s">
        <v>183</v>
      </c>
      <c r="B1868" s="2" t="s">
        <v>196</v>
      </c>
      <c r="C1868" s="6" t="s">
        <v>143</v>
      </c>
      <c r="D1868" s="2" t="s">
        <v>124</v>
      </c>
      <c r="E1868" s="2"/>
      <c r="F1868" s="35">
        <v>5.4149169609489114</v>
      </c>
      <c r="G1868" s="35">
        <v>74.413052148188299</v>
      </c>
      <c r="H1868" s="35">
        <v>8.8212903548743498</v>
      </c>
      <c r="I1868" s="35">
        <v>1.0026150517136498E-2</v>
      </c>
      <c r="J1868" s="35">
        <v>-1.680307018496376E-4</v>
      </c>
      <c r="K1868" s="35">
        <v>5.9274538993099868E-2</v>
      </c>
      <c r="L1868" s="35">
        <v>-0.96496291942109891</v>
      </c>
      <c r="M1868" s="58" t="s">
        <v>24</v>
      </c>
      <c r="N1868" s="7">
        <v>11.333333333333334</v>
      </c>
      <c r="O1868" s="7" t="s">
        <v>180</v>
      </c>
      <c r="P1868" s="7" t="s">
        <v>180</v>
      </c>
    </row>
    <row r="1869" spans="1:16" x14ac:dyDescent="0.25">
      <c r="A1869" s="2" t="s">
        <v>183</v>
      </c>
      <c r="B1869" s="2" t="s">
        <v>196</v>
      </c>
      <c r="C1869" s="6" t="s">
        <v>143</v>
      </c>
      <c r="D1869" s="2" t="s">
        <v>124</v>
      </c>
      <c r="E1869" s="2"/>
      <c r="F1869" s="35">
        <v>10.829833921897823</v>
      </c>
      <c r="G1869" s="35">
        <v>76.992463004303815</v>
      </c>
      <c r="H1869" s="35">
        <v>8.8212903548743498</v>
      </c>
      <c r="I1869" s="35">
        <v>1.0026150517136498E-2</v>
      </c>
      <c r="J1869" s="35">
        <v>-1.680307018496376E-4</v>
      </c>
      <c r="K1869" s="35">
        <v>4.9837665048307559E-3</v>
      </c>
      <c r="L1869" s="35">
        <v>-48.731517679485243</v>
      </c>
      <c r="M1869" s="58" t="s">
        <v>23</v>
      </c>
      <c r="N1869" s="7">
        <v>11.333333333333334</v>
      </c>
      <c r="O1869" s="7" t="s">
        <v>180</v>
      </c>
      <c r="P1869" s="7" t="s">
        <v>180</v>
      </c>
    </row>
    <row r="1870" spans="1:16" x14ac:dyDescent="0.25">
      <c r="A1870" s="2" t="s">
        <v>183</v>
      </c>
      <c r="B1870" s="2" t="s">
        <v>196</v>
      </c>
      <c r="C1870" s="6" t="s">
        <v>143</v>
      </c>
      <c r="D1870" s="2" t="s">
        <v>125</v>
      </c>
      <c r="E1870" s="2"/>
      <c r="F1870" s="35">
        <v>0</v>
      </c>
      <c r="G1870" s="35">
        <v>-46.737286675039066</v>
      </c>
      <c r="H1870" s="35">
        <v>20.344811129039147</v>
      </c>
      <c r="I1870" s="35">
        <v>4.5244308615473832E-3</v>
      </c>
      <c r="J1870" s="35">
        <v>-1.512570247128949E-5</v>
      </c>
      <c r="K1870" s="35">
        <v>5.02160212078775E-2</v>
      </c>
      <c r="L1870" s="35">
        <v>112.33437730940389</v>
      </c>
      <c r="M1870" s="58" t="s">
        <v>22</v>
      </c>
      <c r="N1870" s="7">
        <v>11.333333333333334</v>
      </c>
      <c r="O1870" s="7" t="s">
        <v>180</v>
      </c>
      <c r="P1870" s="7" t="s">
        <v>180</v>
      </c>
    </row>
    <row r="1871" spans="1:16" x14ac:dyDescent="0.25">
      <c r="A1871" s="2" t="s">
        <v>183</v>
      </c>
      <c r="B1871" s="2" t="s">
        <v>196</v>
      </c>
      <c r="C1871" s="6" t="s">
        <v>143</v>
      </c>
      <c r="D1871" s="2" t="s">
        <v>125</v>
      </c>
      <c r="E1871" s="2"/>
      <c r="F1871" s="35">
        <v>5.4149169609489114</v>
      </c>
      <c r="G1871" s="35">
        <v>-44.157875818923564</v>
      </c>
      <c r="H1871" s="35">
        <v>20.344811129039147</v>
      </c>
      <c r="I1871" s="35">
        <v>4.5244308615473832E-3</v>
      </c>
      <c r="J1871" s="35">
        <v>-1.512570247128949E-5</v>
      </c>
      <c r="K1871" s="35">
        <v>2.5716603797043887E-2</v>
      </c>
      <c r="L1871" s="35">
        <v>2.1689144594676701</v>
      </c>
      <c r="M1871" s="58" t="s">
        <v>24</v>
      </c>
      <c r="N1871" s="7">
        <v>11.333333333333334</v>
      </c>
      <c r="O1871" s="7" t="s">
        <v>180</v>
      </c>
      <c r="P1871" s="7" t="s">
        <v>180</v>
      </c>
    </row>
    <row r="1872" spans="1:16" x14ac:dyDescent="0.25">
      <c r="A1872" s="2" t="s">
        <v>183</v>
      </c>
      <c r="B1872" s="2" t="s">
        <v>196</v>
      </c>
      <c r="C1872" s="6" t="s">
        <v>143</v>
      </c>
      <c r="D1872" s="2" t="s">
        <v>125</v>
      </c>
      <c r="E1872" s="2"/>
      <c r="F1872" s="35">
        <v>10.829833921897823</v>
      </c>
      <c r="G1872" s="35">
        <v>-41.578464962808049</v>
      </c>
      <c r="H1872" s="35">
        <v>20.344811129039147</v>
      </c>
      <c r="I1872" s="35">
        <v>4.5244308615473832E-3</v>
      </c>
      <c r="J1872" s="35">
        <v>-1.512570247128949E-5</v>
      </c>
      <c r="K1872" s="35">
        <v>1.2171863862102659E-3</v>
      </c>
      <c r="L1872" s="35">
        <v>-107.99654839046858</v>
      </c>
      <c r="M1872" s="58" t="s">
        <v>23</v>
      </c>
      <c r="N1872" s="7">
        <v>11.333333333333334</v>
      </c>
      <c r="O1872" s="7" t="s">
        <v>180</v>
      </c>
      <c r="P1872" s="7" t="s">
        <v>180</v>
      </c>
    </row>
    <row r="1873" spans="1:16" x14ac:dyDescent="0.25">
      <c r="A1873" s="2" t="s">
        <v>183</v>
      </c>
      <c r="B1873" s="2" t="s">
        <v>196</v>
      </c>
      <c r="C1873" s="6" t="s">
        <v>143</v>
      </c>
      <c r="D1873" s="2" t="s">
        <v>126</v>
      </c>
      <c r="E1873" s="2"/>
      <c r="F1873" s="35">
        <v>0</v>
      </c>
      <c r="G1873" s="35">
        <v>69.872020622612993</v>
      </c>
      <c r="H1873" s="35">
        <v>-1.0260353989474997</v>
      </c>
      <c r="I1873" s="35">
        <v>1.0396438926649326E-2</v>
      </c>
      <c r="J1873" s="35">
        <v>-1.6060182271280461E-4</v>
      </c>
      <c r="K1873" s="35">
        <v>0.11777700458943013</v>
      </c>
      <c r="L1873" s="35">
        <v>-19.139093100113321</v>
      </c>
      <c r="M1873" s="58" t="s">
        <v>22</v>
      </c>
      <c r="N1873" s="7">
        <v>11.333333333333334</v>
      </c>
      <c r="O1873" s="7" t="s">
        <v>180</v>
      </c>
      <c r="P1873" s="7" t="s">
        <v>180</v>
      </c>
    </row>
    <row r="1874" spans="1:16" x14ac:dyDescent="0.25">
      <c r="A1874" s="2" t="s">
        <v>183</v>
      </c>
      <c r="B1874" s="2" t="s">
        <v>196</v>
      </c>
      <c r="C1874" s="6" t="s">
        <v>143</v>
      </c>
      <c r="D1874" s="2" t="s">
        <v>126</v>
      </c>
      <c r="E1874" s="2"/>
      <c r="F1874" s="35">
        <v>5.4149169609489114</v>
      </c>
      <c r="G1874" s="35">
        <v>72.451431478728495</v>
      </c>
      <c r="H1874" s="35">
        <v>-1.0260353989474997</v>
      </c>
      <c r="I1874" s="35">
        <v>1.0396438926649326E-2</v>
      </c>
      <c r="J1874" s="35">
        <v>-1.6060182271280461E-4</v>
      </c>
      <c r="K1874" s="35">
        <v>6.1481151112047217E-2</v>
      </c>
      <c r="L1874" s="35">
        <v>-13.583196615818522</v>
      </c>
      <c r="M1874" s="58" t="s">
        <v>24</v>
      </c>
      <c r="N1874" s="7">
        <v>11.333333333333334</v>
      </c>
      <c r="O1874" s="7" t="s">
        <v>180</v>
      </c>
      <c r="P1874" s="7" t="s">
        <v>180</v>
      </c>
    </row>
    <row r="1875" spans="1:16" x14ac:dyDescent="0.25">
      <c r="A1875" s="2" t="s">
        <v>183</v>
      </c>
      <c r="B1875" s="2" t="s">
        <v>196</v>
      </c>
      <c r="C1875" s="6" t="s">
        <v>143</v>
      </c>
      <c r="D1875" s="2" t="s">
        <v>126</v>
      </c>
      <c r="E1875" s="2"/>
      <c r="F1875" s="35">
        <v>10.829833921897823</v>
      </c>
      <c r="G1875" s="35">
        <v>75.03084233484401</v>
      </c>
      <c r="H1875" s="35">
        <v>-1.0260353989474997</v>
      </c>
      <c r="I1875" s="35">
        <v>1.0396438926649326E-2</v>
      </c>
      <c r="J1875" s="35">
        <v>-1.6060182271280461E-4</v>
      </c>
      <c r="K1875" s="35">
        <v>5.1852976346643117E-3</v>
      </c>
      <c r="L1875" s="35">
        <v>-8.027300131523722</v>
      </c>
      <c r="M1875" s="58" t="s">
        <v>23</v>
      </c>
      <c r="N1875" s="7">
        <v>11.333333333333334</v>
      </c>
      <c r="O1875" s="7" t="s">
        <v>180</v>
      </c>
      <c r="P1875" s="7" t="s">
        <v>180</v>
      </c>
    </row>
    <row r="1876" spans="1:16" x14ac:dyDescent="0.25">
      <c r="A1876" s="2" t="s">
        <v>183</v>
      </c>
      <c r="B1876" s="2" t="s">
        <v>196</v>
      </c>
      <c r="C1876" s="6" t="s">
        <v>143</v>
      </c>
      <c r="D1876" s="2" t="s">
        <v>127</v>
      </c>
      <c r="E1876" s="2"/>
      <c r="F1876" s="35">
        <v>0</v>
      </c>
      <c r="G1876" s="35">
        <v>-142.96283100548192</v>
      </c>
      <c r="H1876" s="35">
        <v>-14.657358031805877</v>
      </c>
      <c r="I1876" s="35">
        <v>4.7368309182976237E-3</v>
      </c>
      <c r="J1876" s="35">
        <v>-1.10397447694405E-5</v>
      </c>
      <c r="K1876" s="35">
        <v>5.2648562304891892E-2</v>
      </c>
      <c r="L1876" s="35">
        <v>-85.076578236382034</v>
      </c>
      <c r="M1876" s="58" t="s">
        <v>22</v>
      </c>
      <c r="N1876" s="7">
        <v>11.333333333333334</v>
      </c>
      <c r="O1876" s="7" t="s">
        <v>180</v>
      </c>
      <c r="P1876" s="7" t="s">
        <v>180</v>
      </c>
    </row>
    <row r="1877" spans="1:16" x14ac:dyDescent="0.25">
      <c r="A1877" s="2" t="s">
        <v>183</v>
      </c>
      <c r="B1877" s="2" t="s">
        <v>196</v>
      </c>
      <c r="C1877" s="6" t="s">
        <v>143</v>
      </c>
      <c r="D1877" s="2" t="s">
        <v>127</v>
      </c>
      <c r="E1877" s="2"/>
      <c r="F1877" s="35">
        <v>5.4149169609489114</v>
      </c>
      <c r="G1877" s="35">
        <v>-140.38342014936643</v>
      </c>
      <c r="H1877" s="35">
        <v>-14.657358031805877</v>
      </c>
      <c r="I1877" s="35">
        <v>4.7368309182976237E-3</v>
      </c>
      <c r="J1877" s="35">
        <v>-1.10397447694405E-5</v>
      </c>
      <c r="K1877" s="35">
        <v>2.6999016224254883E-2</v>
      </c>
      <c r="L1877" s="35">
        <v>-5.7082016272556482</v>
      </c>
      <c r="M1877" s="58" t="s">
        <v>24</v>
      </c>
      <c r="N1877" s="7">
        <v>11.333333333333334</v>
      </c>
      <c r="O1877" s="7" t="s">
        <v>180</v>
      </c>
      <c r="P1877" s="7" t="s">
        <v>180</v>
      </c>
    </row>
    <row r="1878" spans="1:16" x14ac:dyDescent="0.25">
      <c r="A1878" s="2" t="s">
        <v>183</v>
      </c>
      <c r="B1878" s="2" t="s">
        <v>196</v>
      </c>
      <c r="C1878" s="6" t="s">
        <v>143</v>
      </c>
      <c r="D1878" s="2" t="s">
        <v>127</v>
      </c>
      <c r="E1878" s="2"/>
      <c r="F1878" s="35">
        <v>10.829833921897823</v>
      </c>
      <c r="G1878" s="35">
        <v>-137.80400929325091</v>
      </c>
      <c r="H1878" s="35">
        <v>-14.657358031805877</v>
      </c>
      <c r="I1878" s="35">
        <v>4.7368309182976237E-3</v>
      </c>
      <c r="J1878" s="35">
        <v>-1.10397447694405E-5</v>
      </c>
      <c r="K1878" s="35">
        <v>1.3494701436178769E-3</v>
      </c>
      <c r="L1878" s="35">
        <v>73.660174981870739</v>
      </c>
      <c r="M1878" s="58" t="s">
        <v>23</v>
      </c>
      <c r="N1878" s="7">
        <v>11.333333333333334</v>
      </c>
      <c r="O1878" s="7" t="s">
        <v>180</v>
      </c>
      <c r="P1878" s="7" t="s">
        <v>180</v>
      </c>
    </row>
    <row r="1879" spans="1:16" x14ac:dyDescent="0.25">
      <c r="A1879" s="2" t="s">
        <v>181</v>
      </c>
      <c r="B1879" s="2" t="s">
        <v>197</v>
      </c>
      <c r="C1879" s="6" t="s">
        <v>144</v>
      </c>
      <c r="D1879" s="2" t="s">
        <v>105</v>
      </c>
      <c r="E1879" s="2"/>
      <c r="F1879" s="35">
        <v>0</v>
      </c>
      <c r="G1879" s="35">
        <v>-49.078269070828036</v>
      </c>
      <c r="H1879" s="35">
        <v>18.358274105314987</v>
      </c>
      <c r="I1879" s="35">
        <v>2.7964376466299685E-3</v>
      </c>
      <c r="J1879" s="35">
        <v>3.2671621269810935E-4</v>
      </c>
      <c r="K1879" s="35">
        <v>2.4639768138036498E-2</v>
      </c>
      <c r="L1879" s="35">
        <v>58.404431922318174</v>
      </c>
      <c r="M1879" s="58" t="s">
        <v>22</v>
      </c>
      <c r="N1879" s="7">
        <v>9.5</v>
      </c>
      <c r="O1879" s="7" t="s">
        <v>179</v>
      </c>
      <c r="P1879" s="7" t="s">
        <v>179</v>
      </c>
    </row>
    <row r="1880" spans="1:16" x14ac:dyDescent="0.25">
      <c r="A1880" s="2" t="s">
        <v>181</v>
      </c>
      <c r="B1880" s="2" t="s">
        <v>197</v>
      </c>
      <c r="C1880" s="6" t="s">
        <v>144</v>
      </c>
      <c r="D1880" s="2" t="s">
        <v>105</v>
      </c>
      <c r="E1880" s="2"/>
      <c r="F1880" s="35">
        <v>4.5</v>
      </c>
      <c r="G1880" s="35">
        <v>-47.24722447082803</v>
      </c>
      <c r="H1880" s="35">
        <v>18.358274105314987</v>
      </c>
      <c r="I1880" s="35">
        <v>2.7964376466299685E-3</v>
      </c>
      <c r="J1880" s="35">
        <v>3.2671621269810935E-4</v>
      </c>
      <c r="K1880" s="35">
        <v>1.2055798728201639E-2</v>
      </c>
      <c r="L1880" s="35">
        <v>-24.207801551599257</v>
      </c>
      <c r="M1880" s="58" t="s">
        <v>24</v>
      </c>
      <c r="N1880" s="7">
        <v>9.5</v>
      </c>
      <c r="O1880" s="7" t="s">
        <v>179</v>
      </c>
      <c r="P1880" s="7" t="s">
        <v>179</v>
      </c>
    </row>
    <row r="1881" spans="1:16" x14ac:dyDescent="0.25">
      <c r="A1881" s="2" t="s">
        <v>181</v>
      </c>
      <c r="B1881" s="2" t="s">
        <v>197</v>
      </c>
      <c r="C1881" s="6" t="s">
        <v>144</v>
      </c>
      <c r="D1881" s="2" t="s">
        <v>105</v>
      </c>
      <c r="E1881" s="2"/>
      <c r="F1881" s="35">
        <v>4.5</v>
      </c>
      <c r="G1881" s="35">
        <v>-46.470277328100238</v>
      </c>
      <c r="H1881" s="35">
        <v>18.35823545875596</v>
      </c>
      <c r="I1881" s="35">
        <v>2.4092127596014208E-3</v>
      </c>
      <c r="J1881" s="35">
        <v>-2.6300664564897394E-4</v>
      </c>
      <c r="K1881" s="35">
        <v>1.2055435741225518E-2</v>
      </c>
      <c r="L1881" s="35">
        <v>-25.17899458220511</v>
      </c>
      <c r="M1881" s="58" t="s">
        <v>24</v>
      </c>
      <c r="N1881" s="7">
        <v>9.5</v>
      </c>
      <c r="O1881" s="7" t="s">
        <v>179</v>
      </c>
      <c r="P1881" s="7" t="s">
        <v>179</v>
      </c>
    </row>
    <row r="1882" spans="1:16" x14ac:dyDescent="0.25">
      <c r="A1882" s="2" t="s">
        <v>181</v>
      </c>
      <c r="B1882" s="2" t="s">
        <v>197</v>
      </c>
      <c r="C1882" s="6" t="s">
        <v>144</v>
      </c>
      <c r="D1882" s="2" t="s">
        <v>105</v>
      </c>
      <c r="E1882" s="2"/>
      <c r="F1882" s="35">
        <v>8.9965005885644906</v>
      </c>
      <c r="G1882" s="35">
        <v>-44.64065663441405</v>
      </c>
      <c r="H1882" s="35">
        <v>18.35823545875596</v>
      </c>
      <c r="I1882" s="35">
        <v>2.4092127596014208E-3</v>
      </c>
      <c r="J1882" s="35">
        <v>-2.6300664564897394E-4</v>
      </c>
      <c r="K1882" s="35">
        <v>1.222409149700654E-3</v>
      </c>
      <c r="L1882" s="35">
        <v>-107.72681112750674</v>
      </c>
      <c r="M1882" s="58" t="s">
        <v>23</v>
      </c>
      <c r="N1882" s="7">
        <v>9.5</v>
      </c>
      <c r="O1882" s="7" t="s">
        <v>179</v>
      </c>
      <c r="P1882" s="7" t="s">
        <v>179</v>
      </c>
    </row>
    <row r="1883" spans="1:16" x14ac:dyDescent="0.25">
      <c r="A1883" s="2" t="s">
        <v>181</v>
      </c>
      <c r="B1883" s="2" t="s">
        <v>197</v>
      </c>
      <c r="C1883" s="6" t="s">
        <v>144</v>
      </c>
      <c r="D1883" s="2" t="s">
        <v>15</v>
      </c>
      <c r="E1883" s="2"/>
      <c r="F1883" s="35">
        <v>0</v>
      </c>
      <c r="G1883" s="35">
        <v>68.56085684144233</v>
      </c>
      <c r="H1883" s="35">
        <v>2.1539035874058805</v>
      </c>
      <c r="I1883" s="35">
        <v>-5.8628958513509549E-2</v>
      </c>
      <c r="J1883" s="35">
        <v>-4.3148254291444444E-3</v>
      </c>
      <c r="K1883" s="35">
        <v>-0.52528177718925884</v>
      </c>
      <c r="L1883" s="35">
        <v>-35.841165075485129</v>
      </c>
      <c r="M1883" s="58" t="s">
        <v>22</v>
      </c>
      <c r="N1883" s="7">
        <v>9.5</v>
      </c>
      <c r="O1883" s="7" t="s">
        <v>179</v>
      </c>
      <c r="P1883" s="7" t="s">
        <v>179</v>
      </c>
    </row>
    <row r="1884" spans="1:16" x14ac:dyDescent="0.25">
      <c r="A1884" s="2" t="s">
        <v>181</v>
      </c>
      <c r="B1884" s="2" t="s">
        <v>197</v>
      </c>
      <c r="C1884" s="6" t="s">
        <v>144</v>
      </c>
      <c r="D1884" s="2" t="s">
        <v>15</v>
      </c>
      <c r="E1884" s="2"/>
      <c r="F1884" s="35">
        <v>4.5</v>
      </c>
      <c r="G1884" s="35">
        <v>70.391901441442329</v>
      </c>
      <c r="H1884" s="35">
        <v>-24.306096412594119</v>
      </c>
      <c r="I1884" s="35">
        <v>-5.8628958513511166E-2</v>
      </c>
      <c r="J1884" s="35">
        <v>-4.3148254291444444E-3</v>
      </c>
      <c r="K1884" s="35">
        <v>-0.26145146387846213</v>
      </c>
      <c r="L1884" s="35">
        <v>14.00126878118841</v>
      </c>
      <c r="M1884" s="58" t="s">
        <v>24</v>
      </c>
      <c r="N1884" s="7">
        <v>9.5</v>
      </c>
      <c r="O1884" s="7" t="s">
        <v>179</v>
      </c>
      <c r="P1884" s="7" t="s">
        <v>179</v>
      </c>
    </row>
    <row r="1885" spans="1:16" x14ac:dyDescent="0.25">
      <c r="A1885" s="2" t="s">
        <v>181</v>
      </c>
      <c r="B1885" s="2" t="s">
        <v>197</v>
      </c>
      <c r="C1885" s="6" t="s">
        <v>144</v>
      </c>
      <c r="D1885" s="2" t="s">
        <v>15</v>
      </c>
      <c r="E1885" s="2"/>
      <c r="F1885" s="35">
        <v>4.5</v>
      </c>
      <c r="G1885" s="35">
        <v>71.168846736158969</v>
      </c>
      <c r="H1885" s="35">
        <v>-24.306065267637369</v>
      </c>
      <c r="I1885" s="35">
        <v>-5.2263172936612111E-2</v>
      </c>
      <c r="J1885" s="35">
        <v>2.878296834844129E-3</v>
      </c>
      <c r="K1885" s="35">
        <v>-0.26145958510279704</v>
      </c>
      <c r="L1885" s="35">
        <v>13.030095062664181</v>
      </c>
      <c r="M1885" s="58" t="s">
        <v>24</v>
      </c>
      <c r="N1885" s="7">
        <v>9.5</v>
      </c>
      <c r="O1885" s="7" t="s">
        <v>179</v>
      </c>
      <c r="P1885" s="7" t="s">
        <v>179</v>
      </c>
    </row>
    <row r="1886" spans="1:16" x14ac:dyDescent="0.25">
      <c r="A1886" s="2" t="s">
        <v>181</v>
      </c>
      <c r="B1886" s="2" t="s">
        <v>197</v>
      </c>
      <c r="C1886" s="6" t="s">
        <v>144</v>
      </c>
      <c r="D1886" s="2" t="s">
        <v>15</v>
      </c>
      <c r="E1886" s="2"/>
      <c r="F1886" s="35">
        <v>8.9965005885644906</v>
      </c>
      <c r="G1886" s="35">
        <v>72.998467429845164</v>
      </c>
      <c r="H1886" s="35">
        <v>-50.745488728396559</v>
      </c>
      <c r="I1886" s="35">
        <v>-5.2263172936613735E-2</v>
      </c>
      <c r="J1886" s="35">
        <v>2.878296834844129E-3</v>
      </c>
      <c r="K1886" s="35">
        <v>-2.6458197233069414E-2</v>
      </c>
      <c r="L1886" s="35">
        <v>181.7647734205872</v>
      </c>
      <c r="M1886" s="58" t="s">
        <v>23</v>
      </c>
      <c r="N1886" s="7">
        <v>9.5</v>
      </c>
      <c r="O1886" s="7" t="s">
        <v>179</v>
      </c>
      <c r="P1886" s="7" t="s">
        <v>179</v>
      </c>
    </row>
    <row r="1887" spans="1:16" x14ac:dyDescent="0.25">
      <c r="A1887" s="2" t="s">
        <v>181</v>
      </c>
      <c r="B1887" s="2" t="s">
        <v>197</v>
      </c>
      <c r="C1887" s="6" t="s">
        <v>144</v>
      </c>
      <c r="D1887" s="2" t="s">
        <v>16</v>
      </c>
      <c r="E1887" s="2"/>
      <c r="F1887" s="35">
        <v>0</v>
      </c>
      <c r="G1887" s="35">
        <v>26.56901217831334</v>
      </c>
      <c r="H1887" s="35">
        <v>6.4253555273781062</v>
      </c>
      <c r="I1887" s="35">
        <v>-6.2930277169871845E-2</v>
      </c>
      <c r="J1887" s="35">
        <v>-4.1987948038829772E-3</v>
      </c>
      <c r="K1887" s="35">
        <v>-0.56669980650927099</v>
      </c>
      <c r="L1887" s="35">
        <v>-5.1438176061380867</v>
      </c>
      <c r="M1887" s="58" t="s">
        <v>22</v>
      </c>
      <c r="N1887" s="7">
        <v>9.5</v>
      </c>
      <c r="O1887" s="7" t="s">
        <v>179</v>
      </c>
      <c r="P1887" s="7" t="s">
        <v>179</v>
      </c>
    </row>
    <row r="1888" spans="1:16" x14ac:dyDescent="0.25">
      <c r="A1888" s="2" t="s">
        <v>181</v>
      </c>
      <c r="B1888" s="2" t="s">
        <v>197</v>
      </c>
      <c r="C1888" s="6" t="s">
        <v>144</v>
      </c>
      <c r="D1888" s="2" t="s">
        <v>16</v>
      </c>
      <c r="E1888" s="2"/>
      <c r="F1888" s="35">
        <v>4.5</v>
      </c>
      <c r="G1888" s="35">
        <v>28.400056778313338</v>
      </c>
      <c r="H1888" s="35">
        <v>-9.4506444726218959</v>
      </c>
      <c r="I1888" s="35">
        <v>-6.2930277169872831E-2</v>
      </c>
      <c r="J1888" s="35">
        <v>-4.1987948038829772E-3</v>
      </c>
      <c r="K1888" s="35">
        <v>-0.28351355924484539</v>
      </c>
      <c r="L1888" s="35">
        <v>1.66308252066044</v>
      </c>
      <c r="M1888" s="58" t="s">
        <v>24</v>
      </c>
      <c r="N1888" s="7">
        <v>9.5</v>
      </c>
      <c r="O1888" s="7" t="s">
        <v>179</v>
      </c>
      <c r="P1888" s="7" t="s">
        <v>179</v>
      </c>
    </row>
    <row r="1889" spans="1:16" x14ac:dyDescent="0.25">
      <c r="A1889" s="2" t="s">
        <v>181</v>
      </c>
      <c r="B1889" s="2" t="s">
        <v>197</v>
      </c>
      <c r="C1889" s="6" t="s">
        <v>144</v>
      </c>
      <c r="D1889" s="2" t="s">
        <v>16</v>
      </c>
      <c r="E1889" s="2"/>
      <c r="F1889" s="35">
        <v>4.5</v>
      </c>
      <c r="G1889" s="35">
        <v>29.177001973415308</v>
      </c>
      <c r="H1889" s="35">
        <v>-9.4506523057165204</v>
      </c>
      <c r="I1889" s="35">
        <v>-5.667951005882952E-2</v>
      </c>
      <c r="J1889" s="35">
        <v>2.7048982506811983E-3</v>
      </c>
      <c r="K1889" s="35">
        <v>-0.28352217512600492</v>
      </c>
      <c r="L1889" s="35">
        <v>0.691902195479417</v>
      </c>
      <c r="M1889" s="58" t="s">
        <v>24</v>
      </c>
      <c r="N1889" s="7">
        <v>9.5</v>
      </c>
      <c r="O1889" s="7" t="s">
        <v>179</v>
      </c>
      <c r="P1889" s="7" t="s">
        <v>179</v>
      </c>
    </row>
    <row r="1890" spans="1:16" x14ac:dyDescent="0.25">
      <c r="A1890" s="2" t="s">
        <v>181</v>
      </c>
      <c r="B1890" s="2" t="s">
        <v>197</v>
      </c>
      <c r="C1890" s="6" t="s">
        <v>144</v>
      </c>
      <c r="D1890" s="2" t="s">
        <v>16</v>
      </c>
      <c r="E1890" s="2"/>
      <c r="F1890" s="35">
        <v>8.9965005885644906</v>
      </c>
      <c r="G1890" s="35">
        <v>31.006622667101489</v>
      </c>
      <c r="H1890" s="35">
        <v>-25.314306382172038</v>
      </c>
      <c r="I1890" s="35">
        <v>-5.6679510058830491E-2</v>
      </c>
      <c r="J1890" s="35">
        <v>2.7048982506811983E-3</v>
      </c>
      <c r="K1890" s="35">
        <v>-2.8662724786928943E-2</v>
      </c>
      <c r="L1890" s="35">
        <v>78.85223079623492</v>
      </c>
      <c r="M1890" s="58" t="s">
        <v>23</v>
      </c>
      <c r="N1890" s="7">
        <v>9.5</v>
      </c>
      <c r="O1890" s="7" t="s">
        <v>179</v>
      </c>
      <c r="P1890" s="7" t="s">
        <v>179</v>
      </c>
    </row>
    <row r="1891" spans="1:16" x14ac:dyDescent="0.25">
      <c r="A1891" s="2" t="s">
        <v>181</v>
      </c>
      <c r="B1891" s="2" t="s">
        <v>197</v>
      </c>
      <c r="C1891" s="6" t="s">
        <v>144</v>
      </c>
      <c r="D1891" s="2" t="s">
        <v>106</v>
      </c>
      <c r="E1891" s="2"/>
      <c r="F1891" s="35">
        <v>0</v>
      </c>
      <c r="G1891" s="35">
        <v>62.270184182102767</v>
      </c>
      <c r="H1891" s="35">
        <v>-4.7913143280833443</v>
      </c>
      <c r="I1891" s="35">
        <v>5.434335688864713E-2</v>
      </c>
      <c r="J1891" s="35">
        <v>3.5086659231980538E-3</v>
      </c>
      <c r="K1891" s="35">
        <v>0.48864648048216697</v>
      </c>
      <c r="L1891" s="35">
        <v>-45.107189270458164</v>
      </c>
      <c r="M1891" s="58" t="s">
        <v>22</v>
      </c>
      <c r="N1891" s="7">
        <v>9.5</v>
      </c>
      <c r="O1891" s="7" t="s">
        <v>179</v>
      </c>
      <c r="P1891" s="7" t="s">
        <v>179</v>
      </c>
    </row>
    <row r="1892" spans="1:16" x14ac:dyDescent="0.25">
      <c r="A1892" s="2" t="s">
        <v>181</v>
      </c>
      <c r="B1892" s="2" t="s">
        <v>197</v>
      </c>
      <c r="C1892" s="6" t="s">
        <v>144</v>
      </c>
      <c r="D1892" s="2" t="s">
        <v>106</v>
      </c>
      <c r="E1892" s="2"/>
      <c r="F1892" s="35">
        <v>4.5</v>
      </c>
      <c r="G1892" s="35">
        <v>64.101228782102766</v>
      </c>
      <c r="H1892" s="35">
        <v>-23.691314328083344</v>
      </c>
      <c r="I1892" s="35">
        <v>5.4343356888645972E-2</v>
      </c>
      <c r="J1892" s="35">
        <v>3.5086659231980538E-3</v>
      </c>
      <c r="K1892" s="35">
        <v>0.2441013744832575</v>
      </c>
      <c r="L1892" s="35">
        <v>18.978725205916891</v>
      </c>
      <c r="M1892" s="58" t="s">
        <v>24</v>
      </c>
      <c r="N1892" s="7">
        <v>9.5</v>
      </c>
      <c r="O1892" s="7" t="s">
        <v>179</v>
      </c>
      <c r="P1892" s="7" t="s">
        <v>179</v>
      </c>
    </row>
    <row r="1893" spans="1:16" x14ac:dyDescent="0.25">
      <c r="A1893" s="2" t="s">
        <v>181</v>
      </c>
      <c r="B1893" s="2" t="s">
        <v>197</v>
      </c>
      <c r="C1893" s="6" t="s">
        <v>144</v>
      </c>
      <c r="D1893" s="2" t="s">
        <v>106</v>
      </c>
      <c r="E1893" s="2"/>
      <c r="F1893" s="35">
        <v>4.5</v>
      </c>
      <c r="G1893" s="35">
        <v>64.878177366974228</v>
      </c>
      <c r="H1893" s="35">
        <v>-23.691208573718072</v>
      </c>
      <c r="I1893" s="35">
        <v>4.8798375644658568E-2</v>
      </c>
      <c r="J1893" s="35">
        <v>-2.213179149677428E-3</v>
      </c>
      <c r="K1893" s="35">
        <v>0.24410692586267183</v>
      </c>
      <c r="L1893" s="35">
        <v>18.007546974859071</v>
      </c>
      <c r="M1893" s="58" t="s">
        <v>24</v>
      </c>
      <c r="N1893" s="7">
        <v>9.5</v>
      </c>
      <c r="O1893" s="7" t="s">
        <v>179</v>
      </c>
      <c r="P1893" s="7" t="s">
        <v>179</v>
      </c>
    </row>
    <row r="1894" spans="1:16" x14ac:dyDescent="0.25">
      <c r="A1894" s="2" t="s">
        <v>181</v>
      </c>
      <c r="B1894" s="2" t="s">
        <v>197</v>
      </c>
      <c r="C1894" s="6" t="s">
        <v>144</v>
      </c>
      <c r="D1894" s="2" t="s">
        <v>106</v>
      </c>
      <c r="E1894" s="2"/>
      <c r="F1894" s="35">
        <v>8.9965005885644906</v>
      </c>
      <c r="G1894" s="35">
        <v>66.707798060660409</v>
      </c>
      <c r="H1894" s="35">
        <v>-42.576511045688925</v>
      </c>
      <c r="I1894" s="35">
        <v>4.8798375644657409E-2</v>
      </c>
      <c r="J1894" s="35">
        <v>-2.213179149677428E-3</v>
      </c>
      <c r="K1894" s="35">
        <v>2.4685001055476215E-2</v>
      </c>
      <c r="L1894" s="35">
        <v>166.99396711060407</v>
      </c>
      <c r="M1894" s="58" t="s">
        <v>23</v>
      </c>
      <c r="N1894" s="7">
        <v>9.5</v>
      </c>
      <c r="O1894" s="7" t="s">
        <v>179</v>
      </c>
      <c r="P1894" s="7" t="s">
        <v>179</v>
      </c>
    </row>
    <row r="1895" spans="1:16" x14ac:dyDescent="0.25">
      <c r="A1895" s="2" t="s">
        <v>181</v>
      </c>
      <c r="B1895" s="2" t="s">
        <v>197</v>
      </c>
      <c r="C1895" s="6" t="s">
        <v>144</v>
      </c>
      <c r="D1895" s="2" t="s">
        <v>107</v>
      </c>
      <c r="E1895" s="2"/>
      <c r="F1895" s="35">
        <v>0</v>
      </c>
      <c r="G1895" s="35">
        <v>20.278226852483179</v>
      </c>
      <c r="H1895" s="35">
        <v>-0.5206350019297169</v>
      </c>
      <c r="I1895" s="35">
        <v>5.0088306513522078E-2</v>
      </c>
      <c r="J1895" s="35">
        <v>3.6276059877703021E-3</v>
      </c>
      <c r="K1895" s="35">
        <v>0.44764264327075154</v>
      </c>
      <c r="L1895" s="35">
        <v>-14.412089404497079</v>
      </c>
      <c r="M1895" s="58" t="s">
        <v>22</v>
      </c>
      <c r="N1895" s="7">
        <v>9.5</v>
      </c>
      <c r="O1895" s="7" t="s">
        <v>179</v>
      </c>
      <c r="P1895" s="7" t="s">
        <v>179</v>
      </c>
    </row>
    <row r="1896" spans="1:16" x14ac:dyDescent="0.25">
      <c r="A1896" s="2" t="s">
        <v>181</v>
      </c>
      <c r="B1896" s="2" t="s">
        <v>197</v>
      </c>
      <c r="C1896" s="6" t="s">
        <v>144</v>
      </c>
      <c r="D1896" s="2" t="s">
        <v>107</v>
      </c>
      <c r="E1896" s="2"/>
      <c r="F1896" s="35">
        <v>4.5</v>
      </c>
      <c r="G1896" s="35">
        <v>22.109271452483178</v>
      </c>
      <c r="H1896" s="35">
        <v>-8.8366350019297197</v>
      </c>
      <c r="I1896" s="35">
        <v>5.0088306513521565E-2</v>
      </c>
      <c r="J1896" s="35">
        <v>3.6276059877703021E-3</v>
      </c>
      <c r="K1896" s="35">
        <v>0.22224526395990332</v>
      </c>
      <c r="L1896" s="35">
        <v>6.6417681041866512</v>
      </c>
      <c r="M1896" s="58" t="s">
        <v>24</v>
      </c>
      <c r="N1896" s="7">
        <v>9.5</v>
      </c>
      <c r="O1896" s="7" t="s">
        <v>179</v>
      </c>
      <c r="P1896" s="7" t="s">
        <v>179</v>
      </c>
    </row>
    <row r="1897" spans="1:16" x14ac:dyDescent="0.25">
      <c r="A1897" s="2" t="s">
        <v>181</v>
      </c>
      <c r="B1897" s="2" t="s">
        <v>197</v>
      </c>
      <c r="C1897" s="6" t="s">
        <v>144</v>
      </c>
      <c r="D1897" s="2" t="s">
        <v>107</v>
      </c>
      <c r="E1897" s="2"/>
      <c r="F1897" s="35">
        <v>4.5</v>
      </c>
      <c r="G1897" s="35">
        <v>22.886219939018744</v>
      </c>
      <c r="H1897" s="35">
        <v>-8.8365679986082668</v>
      </c>
      <c r="I1897" s="35">
        <v>4.4423285753778963E-2</v>
      </c>
      <c r="J1897" s="35">
        <v>-2.3883968577518974E-3</v>
      </c>
      <c r="K1897" s="35">
        <v>0.22225032606689615</v>
      </c>
      <c r="L1897" s="35">
        <v>5.6705832684506312</v>
      </c>
      <c r="M1897" s="58" t="s">
        <v>24</v>
      </c>
      <c r="N1897" s="7">
        <v>9.5</v>
      </c>
      <c r="O1897" s="7" t="s">
        <v>179</v>
      </c>
      <c r="P1897" s="7" t="s">
        <v>179</v>
      </c>
    </row>
    <row r="1898" spans="1:16" x14ac:dyDescent="0.25">
      <c r="A1898" s="2" t="s">
        <v>181</v>
      </c>
      <c r="B1898" s="2" t="s">
        <v>197</v>
      </c>
      <c r="C1898" s="6" t="s">
        <v>144</v>
      </c>
      <c r="D1898" s="2" t="s">
        <v>107</v>
      </c>
      <c r="E1898" s="2"/>
      <c r="F1898" s="35">
        <v>8.9965005885644906</v>
      </c>
      <c r="G1898" s="35">
        <v>24.715840632704925</v>
      </c>
      <c r="H1898" s="35">
        <v>-17.146101086275443</v>
      </c>
      <c r="I1898" s="35">
        <v>4.4423285753778456E-2</v>
      </c>
      <c r="J1898" s="35">
        <v>-2.3883968577518974E-3</v>
      </c>
      <c r="K1898" s="35">
        <v>2.2500995529061731E-2</v>
      </c>
      <c r="L1898" s="35">
        <v>64.086126684778606</v>
      </c>
      <c r="M1898" s="58" t="s">
        <v>23</v>
      </c>
      <c r="N1898" s="7">
        <v>9.5</v>
      </c>
      <c r="O1898" s="7" t="s">
        <v>179</v>
      </c>
      <c r="P1898" s="7" t="s">
        <v>179</v>
      </c>
    </row>
    <row r="1899" spans="1:16" x14ac:dyDescent="0.25">
      <c r="A1899" s="2" t="s">
        <v>181</v>
      </c>
      <c r="B1899" s="2" t="s">
        <v>197</v>
      </c>
      <c r="C1899" s="6" t="s">
        <v>144</v>
      </c>
      <c r="D1899" s="2" t="s">
        <v>108</v>
      </c>
      <c r="E1899" s="2"/>
      <c r="F1899" s="35">
        <v>0</v>
      </c>
      <c r="G1899" s="35">
        <v>57.260216105598566</v>
      </c>
      <c r="H1899" s="35">
        <v>-3.5329458924510146</v>
      </c>
      <c r="I1899" s="35">
        <v>1.2275222292152098E-2</v>
      </c>
      <c r="J1899" s="35">
        <v>-8.6118300936867888E-6</v>
      </c>
      <c r="K1899" s="35">
        <v>0.11641947722507499</v>
      </c>
      <c r="L1899" s="35">
        <v>-16.397220019482262</v>
      </c>
      <c r="M1899" s="58" t="s">
        <v>22</v>
      </c>
      <c r="N1899" s="7">
        <v>9.5</v>
      </c>
      <c r="O1899" s="7" t="s">
        <v>179</v>
      </c>
      <c r="P1899" s="7" t="s">
        <v>179</v>
      </c>
    </row>
    <row r="1900" spans="1:16" x14ac:dyDescent="0.25">
      <c r="A1900" s="2" t="s">
        <v>181</v>
      </c>
      <c r="B1900" s="2" t="s">
        <v>197</v>
      </c>
      <c r="C1900" s="6" t="s">
        <v>144</v>
      </c>
      <c r="D1900" s="2" t="s">
        <v>108</v>
      </c>
      <c r="E1900" s="2"/>
      <c r="F1900" s="35">
        <v>4.5</v>
      </c>
      <c r="G1900" s="35">
        <v>59.091260705598565</v>
      </c>
      <c r="H1900" s="35">
        <v>-17.896945892451015</v>
      </c>
      <c r="I1900" s="35">
        <v>1.2275222292151217E-2</v>
      </c>
      <c r="J1900" s="35">
        <v>-8.6118300936867888E-6</v>
      </c>
      <c r="K1900" s="35">
        <v>6.118097691039253E-2</v>
      </c>
      <c r="L1900" s="35">
        <v>31.82003649654731</v>
      </c>
      <c r="M1900" s="58" t="s">
        <v>24</v>
      </c>
      <c r="N1900" s="7">
        <v>9.5</v>
      </c>
      <c r="O1900" s="7" t="s">
        <v>179</v>
      </c>
      <c r="P1900" s="7" t="s">
        <v>179</v>
      </c>
    </row>
    <row r="1901" spans="1:16" x14ac:dyDescent="0.25">
      <c r="A1901" s="2" t="s">
        <v>181</v>
      </c>
      <c r="B1901" s="2" t="s">
        <v>197</v>
      </c>
      <c r="C1901" s="6" t="s">
        <v>144</v>
      </c>
      <c r="D1901" s="2" t="s">
        <v>108</v>
      </c>
      <c r="E1901" s="2"/>
      <c r="F1901" s="35">
        <v>4.5</v>
      </c>
      <c r="G1901" s="35">
        <v>59.868208058089444</v>
      </c>
      <c r="H1901" s="35">
        <v>-17.89688803107428</v>
      </c>
      <c r="I1901" s="35">
        <v>1.2242943499031459E-2</v>
      </c>
      <c r="J1901" s="35">
        <v>1.9842726293144473E-4</v>
      </c>
      <c r="K1901" s="35">
        <v>6.1181667688369926E-2</v>
      </c>
      <c r="L1901" s="35">
        <v>30.848861181269999</v>
      </c>
      <c r="M1901" s="58" t="s">
        <v>24</v>
      </c>
      <c r="N1901" s="7">
        <v>9.5</v>
      </c>
      <c r="O1901" s="7" t="s">
        <v>179</v>
      </c>
      <c r="P1901" s="7" t="s">
        <v>179</v>
      </c>
    </row>
    <row r="1902" spans="1:16" x14ac:dyDescent="0.25">
      <c r="A1902" s="2" t="s">
        <v>181</v>
      </c>
      <c r="B1902" s="2" t="s">
        <v>197</v>
      </c>
      <c r="C1902" s="6" t="s">
        <v>144</v>
      </c>
      <c r="D1902" s="2" t="s">
        <v>108</v>
      </c>
      <c r="E1902" s="2"/>
      <c r="F1902" s="35">
        <v>8.9965005885644906</v>
      </c>
      <c r="G1902" s="35">
        <v>61.697828751775624</v>
      </c>
      <c r="H1902" s="35">
        <v>-32.24971790977213</v>
      </c>
      <c r="I1902" s="35">
        <v>1.224294349903058E-2</v>
      </c>
      <c r="J1902" s="35">
        <v>1.9842726293144473E-4</v>
      </c>
      <c r="K1902" s="35">
        <v>6.1312650392151627E-3</v>
      </c>
      <c r="L1902" s="35">
        <v>143.59098274503364</v>
      </c>
      <c r="M1902" s="58" t="s">
        <v>23</v>
      </c>
      <c r="N1902" s="7">
        <v>9.5</v>
      </c>
      <c r="O1902" s="7" t="s">
        <v>179</v>
      </c>
      <c r="P1902" s="7" t="s">
        <v>179</v>
      </c>
    </row>
    <row r="1903" spans="1:16" x14ac:dyDescent="0.25">
      <c r="A1903" s="2" t="s">
        <v>181</v>
      </c>
      <c r="B1903" s="2" t="s">
        <v>197</v>
      </c>
      <c r="C1903" s="6" t="s">
        <v>144</v>
      </c>
      <c r="D1903" s="2" t="s">
        <v>109</v>
      </c>
      <c r="E1903" s="2"/>
      <c r="F1903" s="35">
        <v>0</v>
      </c>
      <c r="G1903" s="35">
        <v>4.1317115010713161</v>
      </c>
      <c r="H1903" s="35">
        <v>11.961351145853671</v>
      </c>
      <c r="I1903" s="35">
        <v>1.1698596071148726E-2</v>
      </c>
      <c r="J1903" s="35">
        <v>3.8043806858171299E-4</v>
      </c>
      <c r="K1903" s="35">
        <v>0.10937856345260526</v>
      </c>
      <c r="L1903" s="35">
        <v>75.95830610277028</v>
      </c>
      <c r="M1903" s="58" t="s">
        <v>22</v>
      </c>
      <c r="N1903" s="7">
        <v>9.5</v>
      </c>
      <c r="O1903" s="7" t="s">
        <v>179</v>
      </c>
      <c r="P1903" s="7" t="s">
        <v>179</v>
      </c>
    </row>
    <row r="1904" spans="1:16" x14ac:dyDescent="0.25">
      <c r="A1904" s="2" t="s">
        <v>181</v>
      </c>
      <c r="B1904" s="2" t="s">
        <v>197</v>
      </c>
      <c r="C1904" s="6" t="s">
        <v>144</v>
      </c>
      <c r="D1904" s="2" t="s">
        <v>109</v>
      </c>
      <c r="E1904" s="2"/>
      <c r="F1904" s="35">
        <v>4.5</v>
      </c>
      <c r="G1904" s="35">
        <v>5.9627561010713164</v>
      </c>
      <c r="H1904" s="35">
        <v>8.1813511458536698</v>
      </c>
      <c r="I1904" s="35">
        <v>1.1698596071148495E-2</v>
      </c>
      <c r="J1904" s="35">
        <v>3.8043806858171299E-4</v>
      </c>
      <c r="K1904" s="35">
        <v>5.6734881132436521E-2</v>
      </c>
      <c r="L1904" s="35">
        <v>30.637225946428774</v>
      </c>
      <c r="M1904" s="58" t="s">
        <v>24</v>
      </c>
      <c r="N1904" s="7">
        <v>9.5</v>
      </c>
      <c r="O1904" s="7" t="s">
        <v>179</v>
      </c>
      <c r="P1904" s="7" t="s">
        <v>179</v>
      </c>
    </row>
    <row r="1905" spans="1:16" x14ac:dyDescent="0.25">
      <c r="A1905" s="2" t="s">
        <v>181</v>
      </c>
      <c r="B1905" s="2" t="s">
        <v>197</v>
      </c>
      <c r="C1905" s="6" t="s">
        <v>144</v>
      </c>
      <c r="D1905" s="2" t="s">
        <v>109</v>
      </c>
      <c r="E1905" s="2"/>
      <c r="F1905" s="35">
        <v>4.5</v>
      </c>
      <c r="G1905" s="35">
        <v>6.7397035331407409</v>
      </c>
      <c r="H1905" s="35">
        <v>8.1813058627827875</v>
      </c>
      <c r="I1905" s="35">
        <v>1.1350574653178881E-2</v>
      </c>
      <c r="J1905" s="35">
        <v>-1.8466431969815715E-4</v>
      </c>
      <c r="K1905" s="35">
        <v>5.673587131878953E-2</v>
      </c>
      <c r="L1905" s="35">
        <v>29.666028182895442</v>
      </c>
      <c r="M1905" s="58" t="s">
        <v>24</v>
      </c>
      <c r="N1905" s="7">
        <v>9.5</v>
      </c>
      <c r="O1905" s="7" t="s">
        <v>179</v>
      </c>
      <c r="P1905" s="7" t="s">
        <v>179</v>
      </c>
    </row>
    <row r="1906" spans="1:16" x14ac:dyDescent="0.25">
      <c r="A1906" s="2" t="s">
        <v>181</v>
      </c>
      <c r="B1906" s="2" t="s">
        <v>197</v>
      </c>
      <c r="C1906" s="6" t="s">
        <v>144</v>
      </c>
      <c r="D1906" s="2" t="s">
        <v>109</v>
      </c>
      <c r="E1906" s="2"/>
      <c r="F1906" s="35">
        <v>8.9965005885644906</v>
      </c>
      <c r="G1906" s="35">
        <v>8.5693242268269216</v>
      </c>
      <c r="H1906" s="35">
        <v>4.4042453683886151</v>
      </c>
      <c r="I1906" s="35">
        <v>1.135057465317865E-2</v>
      </c>
      <c r="J1906" s="35">
        <v>-1.8466431969815715E-4</v>
      </c>
      <c r="K1906" s="35">
        <v>5.6980057102260393E-3</v>
      </c>
      <c r="L1906" s="35">
        <v>1.3705589237100777</v>
      </c>
      <c r="M1906" s="58" t="s">
        <v>23</v>
      </c>
      <c r="N1906" s="7">
        <v>9.5</v>
      </c>
      <c r="O1906" s="7" t="s">
        <v>179</v>
      </c>
      <c r="P1906" s="7" t="s">
        <v>179</v>
      </c>
    </row>
    <row r="1907" spans="1:16" x14ac:dyDescent="0.25">
      <c r="A1907" s="2" t="s">
        <v>181</v>
      </c>
      <c r="B1907" s="2" t="s">
        <v>197</v>
      </c>
      <c r="C1907" s="6" t="s">
        <v>144</v>
      </c>
      <c r="D1907" s="2" t="s">
        <v>110</v>
      </c>
      <c r="E1907" s="2"/>
      <c r="F1907" s="35">
        <v>0</v>
      </c>
      <c r="G1907" s="35">
        <v>74.231134953333424</v>
      </c>
      <c r="H1907" s="35">
        <v>-51.589767055146986</v>
      </c>
      <c r="I1907" s="35">
        <v>1.4108538097882197E-2</v>
      </c>
      <c r="J1907" s="35">
        <v>-6.048682678212039E-5</v>
      </c>
      <c r="K1907" s="35">
        <v>0.13399725091597706</v>
      </c>
      <c r="L1907" s="35">
        <v>-155.33641257971479</v>
      </c>
      <c r="M1907" s="58" t="s">
        <v>22</v>
      </c>
      <c r="N1907" s="7">
        <v>9.5</v>
      </c>
      <c r="O1907" s="7" t="s">
        <v>179</v>
      </c>
      <c r="P1907" s="7" t="s">
        <v>179</v>
      </c>
    </row>
    <row r="1908" spans="1:16" x14ac:dyDescent="0.25">
      <c r="A1908" s="2" t="s">
        <v>181</v>
      </c>
      <c r="B1908" s="2" t="s">
        <v>197</v>
      </c>
      <c r="C1908" s="6" t="s">
        <v>144</v>
      </c>
      <c r="D1908" s="2" t="s">
        <v>110</v>
      </c>
      <c r="E1908" s="2"/>
      <c r="F1908" s="35">
        <v>4.5</v>
      </c>
      <c r="G1908" s="35">
        <v>76.062179553333422</v>
      </c>
      <c r="H1908" s="35">
        <v>-37.981767055146989</v>
      </c>
      <c r="I1908" s="35">
        <v>1.4108538097883032E-2</v>
      </c>
      <c r="J1908" s="35">
        <v>-6.048682678212039E-5</v>
      </c>
      <c r="K1908" s="35">
        <v>7.0508829475505311E-2</v>
      </c>
      <c r="L1908" s="35">
        <v>46.199539168446613</v>
      </c>
      <c r="M1908" s="58" t="s">
        <v>24</v>
      </c>
      <c r="N1908" s="7">
        <v>9.5</v>
      </c>
      <c r="O1908" s="7" t="s">
        <v>179</v>
      </c>
      <c r="P1908" s="7" t="s">
        <v>179</v>
      </c>
    </row>
    <row r="1909" spans="1:16" x14ac:dyDescent="0.25">
      <c r="A1909" s="2" t="s">
        <v>181</v>
      </c>
      <c r="B1909" s="2" t="s">
        <v>197</v>
      </c>
      <c r="C1909" s="6" t="s">
        <v>144</v>
      </c>
      <c r="D1909" s="2" t="s">
        <v>110</v>
      </c>
      <c r="E1909" s="2"/>
      <c r="F1909" s="35">
        <v>4.5</v>
      </c>
      <c r="G1909" s="35">
        <v>76.839126953872992</v>
      </c>
      <c r="H1909" s="35">
        <v>-37.981685138415571</v>
      </c>
      <c r="I1909" s="35">
        <v>1.4112489801694694E-2</v>
      </c>
      <c r="J1909" s="35">
        <v>2.8441243318529108E-4</v>
      </c>
      <c r="K1909" s="35">
        <v>7.0509758074789569E-2</v>
      </c>
      <c r="L1909" s="35">
        <v>45.228367297383002</v>
      </c>
      <c r="M1909" s="58" t="s">
        <v>24</v>
      </c>
      <c r="N1909" s="7">
        <v>9.5</v>
      </c>
      <c r="O1909" s="7" t="s">
        <v>179</v>
      </c>
      <c r="P1909" s="7" t="s">
        <v>179</v>
      </c>
    </row>
    <row r="1910" spans="1:16" x14ac:dyDescent="0.25">
      <c r="A1910" s="2" t="s">
        <v>181</v>
      </c>
      <c r="B1910" s="2" t="s">
        <v>197</v>
      </c>
      <c r="C1910" s="6" t="s">
        <v>144</v>
      </c>
      <c r="D1910" s="2" t="s">
        <v>110</v>
      </c>
      <c r="E1910" s="2"/>
      <c r="F1910" s="35">
        <v>8.9965005885644906</v>
      </c>
      <c r="G1910" s="35">
        <v>78.668747647559186</v>
      </c>
      <c r="H1910" s="35">
        <v>-24.384267358596556</v>
      </c>
      <c r="I1910" s="35">
        <v>1.4112489801695525E-2</v>
      </c>
      <c r="J1910" s="35">
        <v>2.8441243318529108E-4</v>
      </c>
      <c r="K1910" s="35">
        <v>7.052939375357164E-3</v>
      </c>
      <c r="L1910" s="35">
        <v>185.44263835198299</v>
      </c>
      <c r="M1910" s="58" t="s">
        <v>23</v>
      </c>
      <c r="N1910" s="7">
        <v>9.5</v>
      </c>
      <c r="O1910" s="7" t="s">
        <v>179</v>
      </c>
      <c r="P1910" s="7" t="s">
        <v>179</v>
      </c>
    </row>
    <row r="1911" spans="1:16" x14ac:dyDescent="0.25">
      <c r="A1911" s="2" t="s">
        <v>181</v>
      </c>
      <c r="B1911" s="2" t="s">
        <v>197</v>
      </c>
      <c r="C1911" s="6" t="s">
        <v>144</v>
      </c>
      <c r="D1911" s="2" t="s">
        <v>111</v>
      </c>
      <c r="E1911" s="2"/>
      <c r="F1911" s="35">
        <v>0</v>
      </c>
      <c r="G1911" s="35">
        <v>-43.96439418315579</v>
      </c>
      <c r="H1911" s="35">
        <v>-26.181875507533036</v>
      </c>
      <c r="I1911" s="35">
        <v>1.3268155888159147E-2</v>
      </c>
      <c r="J1911" s="35">
        <v>3.7151962030892402E-4</v>
      </c>
      <c r="K1911" s="35">
        <v>0.1226608834320622</v>
      </c>
      <c r="L1911" s="35">
        <v>-80.737655958393788</v>
      </c>
      <c r="M1911" s="58" t="s">
        <v>22</v>
      </c>
      <c r="N1911" s="7">
        <v>9.5</v>
      </c>
      <c r="O1911" s="7" t="s">
        <v>179</v>
      </c>
      <c r="P1911" s="7" t="s">
        <v>179</v>
      </c>
    </row>
    <row r="1912" spans="1:16" x14ac:dyDescent="0.25">
      <c r="A1912" s="2" t="s">
        <v>181</v>
      </c>
      <c r="B1912" s="2" t="s">
        <v>197</v>
      </c>
      <c r="C1912" s="6" t="s">
        <v>144</v>
      </c>
      <c r="D1912" s="2" t="s">
        <v>111</v>
      </c>
      <c r="E1912" s="2"/>
      <c r="F1912" s="35">
        <v>4.5</v>
      </c>
      <c r="G1912" s="35">
        <v>-42.133349583155784</v>
      </c>
      <c r="H1912" s="35">
        <v>-1.9898755075330341</v>
      </c>
      <c r="I1912" s="35">
        <v>1.3268155888160629E-2</v>
      </c>
      <c r="J1912" s="35">
        <v>3.7151962030892402E-4</v>
      </c>
      <c r="K1912" s="35">
        <v>6.2954181935342718E-2</v>
      </c>
      <c r="L1912" s="35">
        <v>-17.351216174495139</v>
      </c>
      <c r="M1912" s="58" t="s">
        <v>24</v>
      </c>
      <c r="N1912" s="7">
        <v>9.5</v>
      </c>
      <c r="O1912" s="7" t="s">
        <v>179</v>
      </c>
      <c r="P1912" s="7" t="s">
        <v>179</v>
      </c>
    </row>
    <row r="1913" spans="1:16" x14ac:dyDescent="0.25">
      <c r="A1913" s="2" t="s">
        <v>181</v>
      </c>
      <c r="B1913" s="2" t="s">
        <v>197</v>
      </c>
      <c r="C1913" s="6" t="s">
        <v>144</v>
      </c>
      <c r="D1913" s="2" t="s">
        <v>111</v>
      </c>
      <c r="E1913" s="2"/>
      <c r="F1913" s="35">
        <v>4.5</v>
      </c>
      <c r="G1913" s="35">
        <v>-41.356402200022487</v>
      </c>
      <c r="H1913" s="35">
        <v>-1.9898171946754024</v>
      </c>
      <c r="I1913" s="35">
        <v>1.259699919108536E-2</v>
      </c>
      <c r="J1913" s="35">
        <v>-1.4248066672558547E-4</v>
      </c>
      <c r="K1913" s="35">
        <v>6.2955021446166382E-2</v>
      </c>
      <c r="L1913" s="35">
        <v>-18.322394852222363</v>
      </c>
      <c r="M1913" s="58" t="s">
        <v>24</v>
      </c>
      <c r="N1913" s="7">
        <v>9.5</v>
      </c>
      <c r="O1913" s="7" t="s">
        <v>179</v>
      </c>
      <c r="P1913" s="7" t="s">
        <v>179</v>
      </c>
    </row>
    <row r="1914" spans="1:16" x14ac:dyDescent="0.25">
      <c r="A1914" s="2" t="s">
        <v>181</v>
      </c>
      <c r="B1914" s="2" t="s">
        <v>197</v>
      </c>
      <c r="C1914" s="6" t="s">
        <v>144</v>
      </c>
      <c r="D1914" s="2" t="s">
        <v>111</v>
      </c>
      <c r="E1914" s="2"/>
      <c r="F1914" s="35">
        <v>8.9965005885644906</v>
      </c>
      <c r="G1914" s="35">
        <v>-39.526781506336299</v>
      </c>
      <c r="H1914" s="35">
        <v>22.183369969447291</v>
      </c>
      <c r="I1914" s="35">
        <v>1.2596999191086842E-2</v>
      </c>
      <c r="J1914" s="35">
        <v>-1.4248066672558547E-4</v>
      </c>
      <c r="K1914" s="35">
        <v>6.3126071693013356E-3</v>
      </c>
      <c r="L1914" s="35">
        <v>-63.722555820707292</v>
      </c>
      <c r="M1914" s="58" t="s">
        <v>23</v>
      </c>
      <c r="N1914" s="7">
        <v>9.5</v>
      </c>
      <c r="O1914" s="7" t="s">
        <v>179</v>
      </c>
      <c r="P1914" s="7" t="s">
        <v>179</v>
      </c>
    </row>
    <row r="1915" spans="1:16" x14ac:dyDescent="0.25">
      <c r="A1915" s="2" t="s">
        <v>181</v>
      </c>
      <c r="B1915" s="2" t="s">
        <v>197</v>
      </c>
      <c r="C1915" s="6" t="s">
        <v>144</v>
      </c>
      <c r="D1915" s="2" t="s">
        <v>112</v>
      </c>
      <c r="E1915" s="2"/>
      <c r="F1915" s="35">
        <v>0</v>
      </c>
      <c r="G1915" s="35">
        <v>31.884664062042262</v>
      </c>
      <c r="H1915" s="35">
        <v>14.417104363256975</v>
      </c>
      <c r="I1915" s="35">
        <v>-5.129265443509113E-2</v>
      </c>
      <c r="J1915" s="35">
        <v>-3.6997720117763096E-3</v>
      </c>
      <c r="K1915" s="35">
        <v>-0.45986659599567309</v>
      </c>
      <c r="L1915" s="35">
        <v>7.0333615131375025</v>
      </c>
      <c r="M1915" s="58" t="s">
        <v>22</v>
      </c>
      <c r="N1915" s="7">
        <v>9.5</v>
      </c>
      <c r="O1915" s="7" t="s">
        <v>179</v>
      </c>
      <c r="P1915" s="7" t="s">
        <v>179</v>
      </c>
    </row>
    <row r="1916" spans="1:16" x14ac:dyDescent="0.25">
      <c r="A1916" s="2" t="s">
        <v>181</v>
      </c>
      <c r="B1916" s="2" t="s">
        <v>197</v>
      </c>
      <c r="C1916" s="6" t="s">
        <v>144</v>
      </c>
      <c r="D1916" s="2" t="s">
        <v>112</v>
      </c>
      <c r="E1916" s="2"/>
      <c r="F1916" s="35">
        <v>4.5</v>
      </c>
      <c r="G1916" s="35">
        <v>33.715708662042267</v>
      </c>
      <c r="H1916" s="35">
        <v>-9.3968956367430234</v>
      </c>
      <c r="I1916" s="35">
        <v>-5.1292654435092587E-2</v>
      </c>
      <c r="J1916" s="35">
        <v>-3.6997720117763096E-3</v>
      </c>
      <c r="K1916" s="35">
        <v>-0.22904965103775973</v>
      </c>
      <c r="L1916" s="35">
        <v>-4.2621081215188754</v>
      </c>
      <c r="M1916" s="58" t="s">
        <v>24</v>
      </c>
      <c r="N1916" s="7">
        <v>9.5</v>
      </c>
      <c r="O1916" s="7" t="s">
        <v>179</v>
      </c>
      <c r="P1916" s="7" t="s">
        <v>179</v>
      </c>
    </row>
    <row r="1917" spans="1:16" x14ac:dyDescent="0.25">
      <c r="A1917" s="2" t="s">
        <v>181</v>
      </c>
      <c r="B1917" s="2" t="s">
        <v>197</v>
      </c>
      <c r="C1917" s="6" t="s">
        <v>144</v>
      </c>
      <c r="D1917" s="2" t="s">
        <v>112</v>
      </c>
      <c r="E1917" s="2"/>
      <c r="F1917" s="35">
        <v>4.5</v>
      </c>
      <c r="G1917" s="35">
        <v>34.492654194044</v>
      </c>
      <c r="H1917" s="35">
        <v>-9.3968884458363959</v>
      </c>
      <c r="I1917" s="35">
        <v>-4.5786667626724169E-2</v>
      </c>
      <c r="J1917" s="35">
        <v>2.4393749418447526E-3</v>
      </c>
      <c r="K1917" s="35">
        <v>-0.22905676004316441</v>
      </c>
      <c r="L1917" s="35">
        <v>-5.2332884078434247</v>
      </c>
      <c r="M1917" s="58" t="s">
        <v>24</v>
      </c>
      <c r="N1917" s="7">
        <v>9.5</v>
      </c>
      <c r="O1917" s="7" t="s">
        <v>179</v>
      </c>
      <c r="P1917" s="7" t="s">
        <v>179</v>
      </c>
    </row>
    <row r="1918" spans="1:16" x14ac:dyDescent="0.25">
      <c r="A1918" s="2" t="s">
        <v>181</v>
      </c>
      <c r="B1918" s="2" t="s">
        <v>197</v>
      </c>
      <c r="C1918" s="6" t="s">
        <v>144</v>
      </c>
      <c r="D1918" s="2" t="s">
        <v>112</v>
      </c>
      <c r="E1918" s="2"/>
      <c r="F1918" s="35">
        <v>8.9965005885644906</v>
      </c>
      <c r="G1918" s="35">
        <v>36.322274887730188</v>
      </c>
      <c r="H1918" s="35">
        <v>-33.192369560519666</v>
      </c>
      <c r="I1918" s="35">
        <v>-4.5786667626725619E-2</v>
      </c>
      <c r="J1918" s="35">
        <v>2.4393749418447526E-3</v>
      </c>
      <c r="K1918" s="35">
        <v>-2.3176982111189313E-2</v>
      </c>
      <c r="L1918" s="35">
        <v>90.518023438209028</v>
      </c>
      <c r="M1918" s="58" t="s">
        <v>23</v>
      </c>
      <c r="N1918" s="7">
        <v>9.5</v>
      </c>
      <c r="O1918" s="7" t="s">
        <v>179</v>
      </c>
      <c r="P1918" s="7" t="s">
        <v>179</v>
      </c>
    </row>
    <row r="1919" spans="1:16" x14ac:dyDescent="0.25">
      <c r="A1919" s="2" t="s">
        <v>181</v>
      </c>
      <c r="B1919" s="2" t="s">
        <v>197</v>
      </c>
      <c r="C1919" s="6" t="s">
        <v>144</v>
      </c>
      <c r="D1919" s="2" t="s">
        <v>113</v>
      </c>
      <c r="E1919" s="2"/>
      <c r="F1919" s="35">
        <v>0</v>
      </c>
      <c r="G1919" s="35">
        <v>-5.9079961347738346</v>
      </c>
      <c r="H1919" s="35">
        <v>18.261411109231979</v>
      </c>
      <c r="I1919" s="35">
        <v>-5.5163841225817196E-2</v>
      </c>
      <c r="J1919" s="35">
        <v>-3.5953444490409887E-3</v>
      </c>
      <c r="K1919" s="35">
        <v>-0.49714282238368401</v>
      </c>
      <c r="L1919" s="35">
        <v>34.660974235549844</v>
      </c>
      <c r="M1919" s="58" t="s">
        <v>22</v>
      </c>
      <c r="N1919" s="7">
        <v>9.5</v>
      </c>
      <c r="O1919" s="7" t="s">
        <v>179</v>
      </c>
      <c r="P1919" s="7" t="s">
        <v>179</v>
      </c>
    </row>
    <row r="1920" spans="1:16" x14ac:dyDescent="0.25">
      <c r="A1920" s="2" t="s">
        <v>181</v>
      </c>
      <c r="B1920" s="2" t="s">
        <v>197</v>
      </c>
      <c r="C1920" s="6" t="s">
        <v>144</v>
      </c>
      <c r="D1920" s="2" t="s">
        <v>113</v>
      </c>
      <c r="E1920" s="2"/>
      <c r="F1920" s="35">
        <v>4.5</v>
      </c>
      <c r="G1920" s="35">
        <v>-4.0769515347738334</v>
      </c>
      <c r="H1920" s="35">
        <v>3.9730111092319778</v>
      </c>
      <c r="I1920" s="35">
        <v>-5.5163841225818071E-2</v>
      </c>
      <c r="J1920" s="35">
        <v>-3.5953444490409887E-3</v>
      </c>
      <c r="K1920" s="35">
        <v>-0.24890553686750466</v>
      </c>
      <c r="L1920" s="35">
        <v>-15.366475755994049</v>
      </c>
      <c r="M1920" s="58" t="s">
        <v>24</v>
      </c>
      <c r="N1920" s="7">
        <v>9.5</v>
      </c>
      <c r="O1920" s="7" t="s">
        <v>179</v>
      </c>
      <c r="P1920" s="7" t="s">
        <v>179</v>
      </c>
    </row>
    <row r="1921" spans="1:16" x14ac:dyDescent="0.25">
      <c r="A1921" s="2" t="s">
        <v>181</v>
      </c>
      <c r="B1921" s="2" t="s">
        <v>197</v>
      </c>
      <c r="C1921" s="6" t="s">
        <v>144</v>
      </c>
      <c r="D1921" s="2" t="s">
        <v>113</v>
      </c>
      <c r="E1921" s="2"/>
      <c r="F1921" s="35">
        <v>4.5</v>
      </c>
      <c r="G1921" s="35">
        <v>-3.3000060924252894</v>
      </c>
      <c r="H1921" s="35">
        <v>3.9729832198923698</v>
      </c>
      <c r="I1921" s="35">
        <v>-4.9761371036719834E-2</v>
      </c>
      <c r="J1921" s="35">
        <v>2.2833162160981152E-3</v>
      </c>
      <c r="K1921" s="35">
        <v>-0.24891309106405149</v>
      </c>
      <c r="L1921" s="35">
        <v>-16.337661988309716</v>
      </c>
      <c r="M1921" s="58" t="s">
        <v>24</v>
      </c>
      <c r="N1921" s="7">
        <v>9.5</v>
      </c>
      <c r="O1921" s="7" t="s">
        <v>179</v>
      </c>
      <c r="P1921" s="7" t="s">
        <v>179</v>
      </c>
    </row>
    <row r="1922" spans="1:16" x14ac:dyDescent="0.25">
      <c r="A1922" s="2" t="s">
        <v>181</v>
      </c>
      <c r="B1922" s="2" t="s">
        <v>197</v>
      </c>
      <c r="C1922" s="6" t="s">
        <v>144</v>
      </c>
      <c r="D1922" s="2" t="s">
        <v>113</v>
      </c>
      <c r="E1922" s="2"/>
      <c r="F1922" s="35">
        <v>8.9965005885644906</v>
      </c>
      <c r="G1922" s="35">
        <v>-1.4703853987391047</v>
      </c>
      <c r="H1922" s="35">
        <v>-10.304305448917598</v>
      </c>
      <c r="I1922" s="35">
        <v>-4.9761371036720708E-2</v>
      </c>
      <c r="J1922" s="35">
        <v>2.2833162160981152E-3</v>
      </c>
      <c r="K1922" s="35">
        <v>-2.5161056909662888E-2</v>
      </c>
      <c r="L1922" s="35">
        <v>-2.1032649237080361</v>
      </c>
      <c r="M1922" s="58" t="s">
        <v>23</v>
      </c>
      <c r="N1922" s="7">
        <v>9.5</v>
      </c>
      <c r="O1922" s="7" t="s">
        <v>179</v>
      </c>
      <c r="P1922" s="7" t="s">
        <v>179</v>
      </c>
    </row>
    <row r="1923" spans="1:16" x14ac:dyDescent="0.25">
      <c r="A1923" s="2" t="s">
        <v>181</v>
      </c>
      <c r="B1923" s="2" t="s">
        <v>197</v>
      </c>
      <c r="C1923" s="6" t="s">
        <v>144</v>
      </c>
      <c r="D1923" s="2" t="s">
        <v>114</v>
      </c>
      <c r="E1923" s="2"/>
      <c r="F1923" s="35">
        <v>0</v>
      </c>
      <c r="G1923" s="35">
        <v>26.223058668636654</v>
      </c>
      <c r="H1923" s="35">
        <v>8.1664082393166719</v>
      </c>
      <c r="I1923" s="35">
        <v>5.0382429426849895E-2</v>
      </c>
      <c r="J1923" s="35">
        <v>3.3413702053319396E-3</v>
      </c>
      <c r="K1923" s="35">
        <v>0.45266883590861007</v>
      </c>
      <c r="L1923" s="35">
        <v>-1.3060602623382207</v>
      </c>
      <c r="M1923" s="58" t="s">
        <v>22</v>
      </c>
      <c r="N1923" s="7">
        <v>9.5</v>
      </c>
      <c r="O1923" s="7" t="s">
        <v>179</v>
      </c>
      <c r="P1923" s="7" t="s">
        <v>179</v>
      </c>
    </row>
    <row r="1924" spans="1:16" x14ac:dyDescent="0.25">
      <c r="A1924" s="2" t="s">
        <v>181</v>
      </c>
      <c r="B1924" s="2" t="s">
        <v>197</v>
      </c>
      <c r="C1924" s="6" t="s">
        <v>144</v>
      </c>
      <c r="D1924" s="2" t="s">
        <v>114</v>
      </c>
      <c r="E1924" s="2"/>
      <c r="F1924" s="35">
        <v>4.5</v>
      </c>
      <c r="G1924" s="35">
        <v>28.054103268636656</v>
      </c>
      <c r="H1924" s="35">
        <v>-8.8435917606833296</v>
      </c>
      <c r="I1924" s="35">
        <v>5.0382429426848847E-2</v>
      </c>
      <c r="J1924" s="35">
        <v>3.3413702053319396E-3</v>
      </c>
      <c r="K1924" s="35">
        <v>0.22594790348778795</v>
      </c>
      <c r="L1924" s="35">
        <v>0.21760266073675821</v>
      </c>
      <c r="M1924" s="58" t="s">
        <v>24</v>
      </c>
      <c r="N1924" s="7">
        <v>9.5</v>
      </c>
      <c r="O1924" s="7" t="s">
        <v>179</v>
      </c>
      <c r="P1924" s="7" t="s">
        <v>179</v>
      </c>
    </row>
    <row r="1925" spans="1:16" x14ac:dyDescent="0.25">
      <c r="A1925" s="2" t="s">
        <v>181</v>
      </c>
      <c r="B1925" s="2" t="s">
        <v>197</v>
      </c>
      <c r="C1925" s="6" t="s">
        <v>144</v>
      </c>
      <c r="D1925" s="2" t="s">
        <v>114</v>
      </c>
      <c r="E1925" s="2"/>
      <c r="F1925" s="35">
        <v>4.5</v>
      </c>
      <c r="G1925" s="35">
        <v>28.831051761777733</v>
      </c>
      <c r="H1925" s="35">
        <v>-8.8435174213090235</v>
      </c>
      <c r="I1925" s="35">
        <v>4.5168726096419448E-2</v>
      </c>
      <c r="J1925" s="35">
        <v>-2.1429534442246488E-3</v>
      </c>
      <c r="K1925" s="35">
        <v>0.22595309982575759</v>
      </c>
      <c r="L1925" s="35">
        <v>-0.75358168686802662</v>
      </c>
      <c r="M1925" s="58" t="s">
        <v>24</v>
      </c>
      <c r="N1925" s="7">
        <v>9.5</v>
      </c>
      <c r="O1925" s="7" t="s">
        <v>179</v>
      </c>
      <c r="P1925" s="7" t="s">
        <v>179</v>
      </c>
    </row>
    <row r="1926" spans="1:16" x14ac:dyDescent="0.25">
      <c r="A1926" s="2" t="s">
        <v>181</v>
      </c>
      <c r="B1926" s="2" t="s">
        <v>197</v>
      </c>
      <c r="C1926" s="6" t="s">
        <v>144</v>
      </c>
      <c r="D1926" s="2" t="s">
        <v>114</v>
      </c>
      <c r="E1926" s="2"/>
      <c r="F1926" s="35">
        <v>8.9965005885644906</v>
      </c>
      <c r="G1926" s="35">
        <v>30.660672455463917</v>
      </c>
      <c r="H1926" s="35">
        <v>-25.840289646082788</v>
      </c>
      <c r="I1926" s="35">
        <v>4.51687260964184E-2</v>
      </c>
      <c r="J1926" s="35">
        <v>-2.1429534442246488E-3</v>
      </c>
      <c r="K1926" s="35">
        <v>2.2851896348501752E-2</v>
      </c>
      <c r="L1926" s="35">
        <v>77.224297759224214</v>
      </c>
      <c r="M1926" s="58" t="s">
        <v>23</v>
      </c>
      <c r="N1926" s="7">
        <v>9.5</v>
      </c>
      <c r="O1926" s="7" t="s">
        <v>179</v>
      </c>
      <c r="P1926" s="7" t="s">
        <v>179</v>
      </c>
    </row>
    <row r="1927" spans="1:16" x14ac:dyDescent="0.25">
      <c r="A1927" s="2" t="s">
        <v>181</v>
      </c>
      <c r="B1927" s="2" t="s">
        <v>197</v>
      </c>
      <c r="C1927" s="6" t="s">
        <v>144</v>
      </c>
      <c r="D1927" s="2" t="s">
        <v>115</v>
      </c>
      <c r="E1927" s="2"/>
      <c r="F1927" s="35">
        <v>0</v>
      </c>
      <c r="G1927" s="35">
        <v>-11.56970292802098</v>
      </c>
      <c r="H1927" s="35">
        <v>12.010019632854936</v>
      </c>
      <c r="I1927" s="35">
        <v>4.6552884089237336E-2</v>
      </c>
      <c r="J1927" s="35">
        <v>3.4484162634469632E-3</v>
      </c>
      <c r="K1927" s="35">
        <v>0.41576538241833616</v>
      </c>
      <c r="L1927" s="35">
        <v>26.319529617026756</v>
      </c>
      <c r="M1927" s="58" t="s">
        <v>22</v>
      </c>
      <c r="N1927" s="7">
        <v>9.5</v>
      </c>
      <c r="O1927" s="7" t="s">
        <v>179</v>
      </c>
      <c r="P1927" s="7" t="s">
        <v>179</v>
      </c>
    </row>
    <row r="1928" spans="1:16" x14ac:dyDescent="0.25">
      <c r="A1928" s="2" t="s">
        <v>181</v>
      </c>
      <c r="B1928" s="2" t="s">
        <v>197</v>
      </c>
      <c r="C1928" s="6" t="s">
        <v>144</v>
      </c>
      <c r="D1928" s="2" t="s">
        <v>115</v>
      </c>
      <c r="E1928" s="2"/>
      <c r="F1928" s="35">
        <v>4.5</v>
      </c>
      <c r="G1928" s="35">
        <v>-9.7386583280209802</v>
      </c>
      <c r="H1928" s="35">
        <v>4.5256196328549372</v>
      </c>
      <c r="I1928" s="35">
        <v>4.6552884089236884E-2</v>
      </c>
      <c r="J1928" s="35">
        <v>3.4484162634469632E-3</v>
      </c>
      <c r="K1928" s="35">
        <v>0.20627740401676919</v>
      </c>
      <c r="L1928" s="35">
        <v>-10.88565873082046</v>
      </c>
      <c r="M1928" s="58" t="s">
        <v>24</v>
      </c>
      <c r="N1928" s="7">
        <v>9.5</v>
      </c>
      <c r="O1928" s="7" t="s">
        <v>179</v>
      </c>
      <c r="P1928" s="7" t="s">
        <v>179</v>
      </c>
    </row>
    <row r="1929" spans="1:16" x14ac:dyDescent="0.25">
      <c r="A1929" s="2" t="s">
        <v>181</v>
      </c>
      <c r="B1929" s="2" t="s">
        <v>197</v>
      </c>
      <c r="C1929" s="6" t="s">
        <v>144</v>
      </c>
      <c r="D1929" s="2" t="s">
        <v>115</v>
      </c>
      <c r="E1929" s="2"/>
      <c r="F1929" s="35">
        <v>4.5</v>
      </c>
      <c r="G1929" s="35">
        <v>-8.9617099233822</v>
      </c>
      <c r="H1929" s="35">
        <v>4.5256590962897985</v>
      </c>
      <c r="I1929" s="35">
        <v>4.1231145194627797E-2</v>
      </c>
      <c r="J1929" s="35">
        <v>-2.3006493814916717E-3</v>
      </c>
      <c r="K1929" s="35">
        <v>0.20628216000955946</v>
      </c>
      <c r="L1929" s="35">
        <v>-11.856849022635622</v>
      </c>
      <c r="M1929" s="58" t="s">
        <v>24</v>
      </c>
      <c r="N1929" s="7">
        <v>9.5</v>
      </c>
      <c r="O1929" s="7" t="s">
        <v>179</v>
      </c>
      <c r="P1929" s="7" t="s">
        <v>179</v>
      </c>
    </row>
    <row r="1930" spans="1:16" x14ac:dyDescent="0.25">
      <c r="A1930" s="2" t="s">
        <v>181</v>
      </c>
      <c r="B1930" s="2" t="s">
        <v>197</v>
      </c>
      <c r="C1930" s="6" t="s">
        <v>144</v>
      </c>
      <c r="D1930" s="2" t="s">
        <v>115</v>
      </c>
      <c r="E1930" s="2"/>
      <c r="F1930" s="35">
        <v>8.9965005885644906</v>
      </c>
      <c r="G1930" s="35">
        <v>-7.1320892296960139</v>
      </c>
      <c r="H1930" s="35">
        <v>-2.9529206826106598</v>
      </c>
      <c r="I1930" s="35">
        <v>4.1231145194627346E-2</v>
      </c>
      <c r="J1930" s="35">
        <v>-2.3006493814916717E-3</v>
      </c>
      <c r="K1930" s="35">
        <v>2.0886291374728718E-2</v>
      </c>
      <c r="L1930" s="35">
        <v>-15.392758624018709</v>
      </c>
      <c r="M1930" s="58" t="s">
        <v>23</v>
      </c>
      <c r="N1930" s="7">
        <v>9.5</v>
      </c>
      <c r="O1930" s="7" t="s">
        <v>179</v>
      </c>
      <c r="P1930" s="7" t="s">
        <v>179</v>
      </c>
    </row>
    <row r="1931" spans="1:16" x14ac:dyDescent="0.25">
      <c r="A1931" s="2" t="s">
        <v>181</v>
      </c>
      <c r="B1931" s="2" t="s">
        <v>197</v>
      </c>
      <c r="C1931" s="6" t="s">
        <v>144</v>
      </c>
      <c r="D1931" s="2" t="s">
        <v>116</v>
      </c>
      <c r="E1931" s="2"/>
      <c r="F1931" s="35">
        <v>0</v>
      </c>
      <c r="G1931" s="35">
        <v>21.714087399782869</v>
      </c>
      <c r="H1931" s="35">
        <v>9.2989398313857716</v>
      </c>
      <c r="I1931" s="35">
        <v>1.2521108290004357E-2</v>
      </c>
      <c r="J1931" s="35">
        <v>1.7582022736937307E-4</v>
      </c>
      <c r="K1931" s="35">
        <v>0.1176645329772273</v>
      </c>
      <c r="L1931" s="35">
        <v>24.532912063540088</v>
      </c>
      <c r="M1931" s="58" t="s">
        <v>22</v>
      </c>
      <c r="N1931" s="7">
        <v>9.5</v>
      </c>
      <c r="O1931" s="7" t="s">
        <v>179</v>
      </c>
      <c r="P1931" s="7" t="s">
        <v>179</v>
      </c>
    </row>
    <row r="1932" spans="1:16" x14ac:dyDescent="0.25">
      <c r="A1932" s="2" t="s">
        <v>181</v>
      </c>
      <c r="B1932" s="2" t="s">
        <v>197</v>
      </c>
      <c r="C1932" s="6" t="s">
        <v>144</v>
      </c>
      <c r="D1932" s="2" t="s">
        <v>116</v>
      </c>
      <c r="E1932" s="2"/>
      <c r="F1932" s="35">
        <v>4.5</v>
      </c>
      <c r="G1932" s="35">
        <v>23.545131999782871</v>
      </c>
      <c r="H1932" s="35">
        <v>-3.6286601686142306</v>
      </c>
      <c r="I1932" s="35">
        <v>1.2521108290003566E-2</v>
      </c>
      <c r="J1932" s="35">
        <v>1.7582022736937307E-4</v>
      </c>
      <c r="K1932" s="35">
        <v>6.1319545672209465E-2</v>
      </c>
      <c r="L1932" s="35">
        <v>11.774782822304134</v>
      </c>
      <c r="M1932" s="58" t="s">
        <v>24</v>
      </c>
      <c r="N1932" s="7">
        <v>9.5</v>
      </c>
      <c r="O1932" s="7" t="s">
        <v>179</v>
      </c>
      <c r="P1932" s="7" t="s">
        <v>179</v>
      </c>
    </row>
    <row r="1933" spans="1:16" x14ac:dyDescent="0.25">
      <c r="A1933" s="2" t="s">
        <v>181</v>
      </c>
      <c r="B1933" s="2" t="s">
        <v>197</v>
      </c>
      <c r="C1933" s="6" t="s">
        <v>144</v>
      </c>
      <c r="D1933" s="2" t="s">
        <v>116</v>
      </c>
      <c r="E1933" s="2"/>
      <c r="F1933" s="35">
        <v>4.5</v>
      </c>
      <c r="G1933" s="35">
        <v>24.322079383781436</v>
      </c>
      <c r="H1933" s="35">
        <v>-3.6286289329296153</v>
      </c>
      <c r="I1933" s="35">
        <v>1.226883716535505E-2</v>
      </c>
      <c r="J1933" s="35">
        <v>2.749232712333673E-5</v>
      </c>
      <c r="K1933" s="35">
        <v>6.1320367468885875E-2</v>
      </c>
      <c r="L1933" s="35">
        <v>10.803601098901813</v>
      </c>
      <c r="M1933" s="58" t="s">
        <v>24</v>
      </c>
      <c r="N1933" s="7">
        <v>9.5</v>
      </c>
      <c r="O1933" s="7" t="s">
        <v>179</v>
      </c>
      <c r="P1933" s="7" t="s">
        <v>179</v>
      </c>
    </row>
    <row r="1934" spans="1:16" x14ac:dyDescent="0.25">
      <c r="A1934" s="2" t="s">
        <v>181</v>
      </c>
      <c r="B1934" s="2" t="s">
        <v>197</v>
      </c>
      <c r="C1934" s="6" t="s">
        <v>144</v>
      </c>
      <c r="D1934" s="2" t="s">
        <v>116</v>
      </c>
      <c r="E1934" s="2"/>
      <c r="F1934" s="35">
        <v>8.9965005885644906</v>
      </c>
      <c r="G1934" s="35">
        <v>26.151700077467623</v>
      </c>
      <c r="H1934" s="35">
        <v>-16.546175823757679</v>
      </c>
      <c r="I1934" s="35">
        <v>1.2268837165354259E-2</v>
      </c>
      <c r="J1934" s="35">
        <v>2.749232712333673E-5</v>
      </c>
      <c r="K1934" s="35">
        <v>6.153533933866806E-3</v>
      </c>
      <c r="L1934" s="35">
        <v>56.161611830210823</v>
      </c>
      <c r="M1934" s="58" t="s">
        <v>23</v>
      </c>
      <c r="N1934" s="7">
        <v>9.5</v>
      </c>
      <c r="O1934" s="7" t="s">
        <v>179</v>
      </c>
      <c r="P1934" s="7" t="s">
        <v>179</v>
      </c>
    </row>
    <row r="1935" spans="1:16" x14ac:dyDescent="0.25">
      <c r="A1935" s="2" t="s">
        <v>181</v>
      </c>
      <c r="B1935" s="2" t="s">
        <v>197</v>
      </c>
      <c r="C1935" s="6" t="s">
        <v>144</v>
      </c>
      <c r="D1935" s="2" t="s">
        <v>117</v>
      </c>
      <c r="E1935" s="2"/>
      <c r="F1935" s="35">
        <v>0</v>
      </c>
      <c r="G1935" s="35">
        <v>-26.101566744291656</v>
      </c>
      <c r="H1935" s="35">
        <v>23.243807165859987</v>
      </c>
      <c r="I1935" s="35">
        <v>1.2002144691101323E-2</v>
      </c>
      <c r="J1935" s="35">
        <v>5.2596513617723288E-4</v>
      </c>
      <c r="K1935" s="35">
        <v>0.11132771058200454</v>
      </c>
      <c r="L1935" s="35">
        <v>107.65288557356737</v>
      </c>
      <c r="M1935" s="58" t="s">
        <v>22</v>
      </c>
      <c r="N1935" s="7">
        <v>9.5</v>
      </c>
      <c r="O1935" s="7" t="s">
        <v>179</v>
      </c>
      <c r="P1935" s="7" t="s">
        <v>179</v>
      </c>
    </row>
    <row r="1936" spans="1:16" x14ac:dyDescent="0.25">
      <c r="A1936" s="2" t="s">
        <v>181</v>
      </c>
      <c r="B1936" s="2" t="s">
        <v>197</v>
      </c>
      <c r="C1936" s="6" t="s">
        <v>144</v>
      </c>
      <c r="D1936" s="2" t="s">
        <v>117</v>
      </c>
      <c r="E1936" s="2"/>
      <c r="F1936" s="35">
        <v>4.5</v>
      </c>
      <c r="G1936" s="35">
        <v>-24.270522144291654</v>
      </c>
      <c r="H1936" s="35">
        <v>19.841807165859986</v>
      </c>
      <c r="I1936" s="35">
        <v>1.2002144691101117E-2</v>
      </c>
      <c r="J1936" s="35">
        <v>5.2596513617723288E-4</v>
      </c>
      <c r="K1936" s="35">
        <v>5.7318059472049064E-2</v>
      </c>
      <c r="L1936" s="35">
        <v>10.710253327197453</v>
      </c>
      <c r="M1936" s="58" t="s">
        <v>24</v>
      </c>
      <c r="N1936" s="7">
        <v>9.5</v>
      </c>
      <c r="O1936" s="7" t="s">
        <v>179</v>
      </c>
      <c r="P1936" s="7" t="s">
        <v>179</v>
      </c>
    </row>
    <row r="1937" spans="1:16" x14ac:dyDescent="0.25">
      <c r="A1937" s="2" t="s">
        <v>181</v>
      </c>
      <c r="B1937" s="2" t="s">
        <v>197</v>
      </c>
      <c r="C1937" s="6" t="s">
        <v>144</v>
      </c>
      <c r="D1937" s="2" t="s">
        <v>117</v>
      </c>
      <c r="E1937" s="2"/>
      <c r="F1937" s="35">
        <v>4.5</v>
      </c>
      <c r="G1937" s="35">
        <v>-23.493574688672403</v>
      </c>
      <c r="H1937" s="35">
        <v>19.841745571541747</v>
      </c>
      <c r="I1937" s="35">
        <v>1.1465705204087729E-2</v>
      </c>
      <c r="J1937" s="35">
        <v>-3.1729009724330506E-4</v>
      </c>
      <c r="K1937" s="35">
        <v>5.7319150736263515E-2</v>
      </c>
      <c r="L1937" s="35">
        <v>9.7390514003647102</v>
      </c>
      <c r="M1937" s="58" t="s">
        <v>24</v>
      </c>
      <c r="N1937" s="7">
        <v>9.5</v>
      </c>
      <c r="O1937" s="7" t="s">
        <v>179</v>
      </c>
      <c r="P1937" s="7" t="s">
        <v>179</v>
      </c>
    </row>
    <row r="1938" spans="1:16" x14ac:dyDescent="0.25">
      <c r="A1938" s="2" t="s">
        <v>181</v>
      </c>
      <c r="B1938" s="2" t="s">
        <v>197</v>
      </c>
      <c r="C1938" s="6" t="s">
        <v>144</v>
      </c>
      <c r="D1938" s="2" t="s">
        <v>117</v>
      </c>
      <c r="E1938" s="2"/>
      <c r="F1938" s="35">
        <v>8.9965005885644906</v>
      </c>
      <c r="G1938" s="35">
        <v>-21.663953994986219</v>
      </c>
      <c r="H1938" s="35">
        <v>16.44239112658699</v>
      </c>
      <c r="I1938" s="35">
        <v>1.1465705204087521E-2</v>
      </c>
      <c r="J1938" s="35">
        <v>-3.1729009724330506E-4</v>
      </c>
      <c r="K1938" s="35">
        <v>5.7636005377765948E-3</v>
      </c>
      <c r="L1938" s="35">
        <v>-71.836769608980404</v>
      </c>
      <c r="M1938" s="58" t="s">
        <v>23</v>
      </c>
      <c r="N1938" s="7">
        <v>9.5</v>
      </c>
      <c r="O1938" s="7" t="s">
        <v>179</v>
      </c>
      <c r="P1938" s="7" t="s">
        <v>179</v>
      </c>
    </row>
    <row r="1939" spans="1:16" x14ac:dyDescent="0.25">
      <c r="A1939" s="2" t="s">
        <v>181</v>
      </c>
      <c r="B1939" s="2" t="s">
        <v>197</v>
      </c>
      <c r="C1939" s="6" t="s">
        <v>144</v>
      </c>
      <c r="D1939" s="2" t="s">
        <v>118</v>
      </c>
      <c r="E1939" s="2"/>
      <c r="F1939" s="35">
        <v>0</v>
      </c>
      <c r="G1939" s="35">
        <v>36.987914362744249</v>
      </c>
      <c r="H1939" s="35">
        <v>-33.952199215040608</v>
      </c>
      <c r="I1939" s="35">
        <v>1.4171092515161448E-2</v>
      </c>
      <c r="J1939" s="35">
        <v>1.291327303497828E-4</v>
      </c>
      <c r="K1939" s="35">
        <v>0.13348452929903915</v>
      </c>
      <c r="L1939" s="35">
        <v>-100.51236124066919</v>
      </c>
      <c r="M1939" s="58" t="s">
        <v>22</v>
      </c>
      <c r="N1939" s="7">
        <v>9.5</v>
      </c>
      <c r="O1939" s="7" t="s">
        <v>179</v>
      </c>
      <c r="P1939" s="7" t="s">
        <v>179</v>
      </c>
    </row>
    <row r="1940" spans="1:16" x14ac:dyDescent="0.25">
      <c r="A1940" s="2" t="s">
        <v>181</v>
      </c>
      <c r="B1940" s="2" t="s">
        <v>197</v>
      </c>
      <c r="C1940" s="6" t="s">
        <v>144</v>
      </c>
      <c r="D1940" s="2" t="s">
        <v>118</v>
      </c>
      <c r="E1940" s="2"/>
      <c r="F1940" s="35">
        <v>4.5</v>
      </c>
      <c r="G1940" s="35">
        <v>38.818958962744247</v>
      </c>
      <c r="H1940" s="35">
        <v>-21.704999215040601</v>
      </c>
      <c r="I1940" s="35">
        <v>1.4171092515162197E-2</v>
      </c>
      <c r="J1940" s="35">
        <v>1.291327303497828E-4</v>
      </c>
      <c r="K1940" s="35">
        <v>6.9714612980810983E-2</v>
      </c>
      <c r="L1940" s="35">
        <v>24.716335227013506</v>
      </c>
      <c r="M1940" s="58" t="s">
        <v>24</v>
      </c>
      <c r="N1940" s="7">
        <v>9.5</v>
      </c>
      <c r="O1940" s="7" t="s">
        <v>179</v>
      </c>
      <c r="P1940" s="7" t="s">
        <v>179</v>
      </c>
    </row>
    <row r="1941" spans="1:16" x14ac:dyDescent="0.25">
      <c r="A1941" s="2" t="s">
        <v>181</v>
      </c>
      <c r="B1941" s="2" t="s">
        <v>197</v>
      </c>
      <c r="C1941" s="6" t="s">
        <v>144</v>
      </c>
      <c r="D1941" s="2" t="s">
        <v>118</v>
      </c>
      <c r="E1941" s="2"/>
      <c r="F1941" s="35">
        <v>4.5</v>
      </c>
      <c r="G1941" s="35">
        <v>39.595906389986638</v>
      </c>
      <c r="H1941" s="35">
        <v>-21.704946329536774</v>
      </c>
      <c r="I1941" s="35">
        <v>1.395142883775196E-2</v>
      </c>
      <c r="J1941" s="35">
        <v>1.0487898035179845E-4</v>
      </c>
      <c r="K1941" s="35">
        <v>6.9715648816663547E-2</v>
      </c>
      <c r="L1941" s="35">
        <v>23.745156603403512</v>
      </c>
      <c r="M1941" s="58" t="s">
        <v>24</v>
      </c>
      <c r="N1941" s="7">
        <v>9.5</v>
      </c>
      <c r="O1941" s="7" t="s">
        <v>179</v>
      </c>
      <c r="P1941" s="7" t="s">
        <v>179</v>
      </c>
    </row>
    <row r="1942" spans="1:16" x14ac:dyDescent="0.25">
      <c r="A1942" s="2" t="s">
        <v>181</v>
      </c>
      <c r="B1942" s="2" t="s">
        <v>197</v>
      </c>
      <c r="C1942" s="6" t="s">
        <v>144</v>
      </c>
      <c r="D1942" s="2" t="s">
        <v>118</v>
      </c>
      <c r="E1942" s="2"/>
      <c r="F1942" s="35">
        <v>8.9965005885644906</v>
      </c>
      <c r="G1942" s="35">
        <v>41.425527083672826</v>
      </c>
      <c r="H1942" s="35">
        <v>-9.4672703276996675</v>
      </c>
      <c r="I1942" s="35">
        <v>1.3951428837752709E-2</v>
      </c>
      <c r="J1942" s="35">
        <v>1.0487898035179845E-4</v>
      </c>
      <c r="K1942" s="35">
        <v>6.9830408363946066E-3</v>
      </c>
      <c r="L1942" s="35">
        <v>93.82810187646524</v>
      </c>
      <c r="M1942" s="58" t="s">
        <v>23</v>
      </c>
      <c r="N1942" s="7">
        <v>9.5</v>
      </c>
      <c r="O1942" s="7" t="s">
        <v>179</v>
      </c>
      <c r="P1942" s="7" t="s">
        <v>179</v>
      </c>
    </row>
    <row r="1943" spans="1:16" x14ac:dyDescent="0.25">
      <c r="A1943" s="2" t="s">
        <v>181</v>
      </c>
      <c r="B1943" s="2" t="s">
        <v>197</v>
      </c>
      <c r="C1943" s="6" t="s">
        <v>144</v>
      </c>
      <c r="D1943" s="2" t="s">
        <v>119</v>
      </c>
      <c r="E1943" s="2"/>
      <c r="F1943" s="35">
        <v>0</v>
      </c>
      <c r="G1943" s="35">
        <v>-69.388061860096045</v>
      </c>
      <c r="H1943" s="35">
        <v>-11.085096822188047</v>
      </c>
      <c r="I1943" s="35">
        <v>1.3414748526410702E-2</v>
      </c>
      <c r="J1943" s="35">
        <v>5.1793853273172279E-4</v>
      </c>
      <c r="K1943" s="35">
        <v>0.12328179856351579</v>
      </c>
      <c r="L1943" s="35">
        <v>-33.373480281480305</v>
      </c>
      <c r="M1943" s="58" t="s">
        <v>22</v>
      </c>
      <c r="N1943" s="7">
        <v>9.5</v>
      </c>
      <c r="O1943" s="7" t="s">
        <v>179</v>
      </c>
      <c r="P1943" s="7" t="s">
        <v>179</v>
      </c>
    </row>
    <row r="1944" spans="1:16" x14ac:dyDescent="0.25">
      <c r="A1944" s="2" t="s">
        <v>181</v>
      </c>
      <c r="B1944" s="2" t="s">
        <v>197</v>
      </c>
      <c r="C1944" s="6" t="s">
        <v>144</v>
      </c>
      <c r="D1944" s="2" t="s">
        <v>119</v>
      </c>
      <c r="E1944" s="2"/>
      <c r="F1944" s="35">
        <v>4.5</v>
      </c>
      <c r="G1944" s="35">
        <v>-67.557017260096046</v>
      </c>
      <c r="H1944" s="35">
        <v>10.687703177811951</v>
      </c>
      <c r="I1944" s="35">
        <v>1.3414748526412034E-2</v>
      </c>
      <c r="J1944" s="35">
        <v>5.1793853273172279E-4</v>
      </c>
      <c r="K1944" s="35">
        <v>6.2915430194664626E-2</v>
      </c>
      <c r="L1944" s="35">
        <v>-32.479344581634066</v>
      </c>
      <c r="M1944" s="58" t="s">
        <v>24</v>
      </c>
      <c r="N1944" s="7">
        <v>9.5</v>
      </c>
      <c r="O1944" s="7" t="s">
        <v>179</v>
      </c>
      <c r="P1944" s="7" t="s">
        <v>179</v>
      </c>
    </row>
    <row r="1945" spans="1:16" x14ac:dyDescent="0.25">
      <c r="A1945" s="2" t="s">
        <v>181</v>
      </c>
      <c r="B1945" s="2" t="s">
        <v>197</v>
      </c>
      <c r="C1945" s="6" t="s">
        <v>144</v>
      </c>
      <c r="D1945" s="2" t="s">
        <v>119</v>
      </c>
      <c r="E1945" s="2"/>
      <c r="F1945" s="35">
        <v>4.5</v>
      </c>
      <c r="G1945" s="35">
        <v>-66.780069848519304</v>
      </c>
      <c r="H1945" s="35">
        <v>10.687734819829375</v>
      </c>
      <c r="I1945" s="35">
        <v>1.2587487288203561E-2</v>
      </c>
      <c r="J1945" s="35">
        <v>-2.7932480956799046E-4</v>
      </c>
      <c r="K1945" s="35">
        <v>6.2916385850902687E-2</v>
      </c>
      <c r="L1945" s="35">
        <v>-33.450529331241313</v>
      </c>
      <c r="M1945" s="58" t="s">
        <v>24</v>
      </c>
      <c r="N1945" s="7">
        <v>9.5</v>
      </c>
      <c r="O1945" s="7" t="s">
        <v>179</v>
      </c>
      <c r="P1945" s="7" t="s">
        <v>179</v>
      </c>
    </row>
    <row r="1946" spans="1:16" x14ac:dyDescent="0.25">
      <c r="A1946" s="2" t="s">
        <v>181</v>
      </c>
      <c r="B1946" s="2" t="s">
        <v>197</v>
      </c>
      <c r="C1946" s="6" t="s">
        <v>144</v>
      </c>
      <c r="D1946" s="2" t="s">
        <v>119</v>
      </c>
      <c r="E1946" s="2"/>
      <c r="F1946" s="35">
        <v>8.9965005885644906</v>
      </c>
      <c r="G1946" s="35">
        <v>-64.950449154833123</v>
      </c>
      <c r="H1946" s="35">
        <v>32.4436032675398</v>
      </c>
      <c r="I1946" s="35">
        <v>1.2587487288204894E-2</v>
      </c>
      <c r="J1946" s="35">
        <v>-2.7932480956799046E-4</v>
      </c>
      <c r="K1946" s="35">
        <v>6.31674185094436E-3</v>
      </c>
      <c r="L1946" s="35">
        <v>-130.42057287895602</v>
      </c>
      <c r="M1946" s="58" t="s">
        <v>23</v>
      </c>
      <c r="N1946" s="7">
        <v>9.5</v>
      </c>
      <c r="O1946" s="7" t="s">
        <v>179</v>
      </c>
      <c r="P1946" s="7" t="s">
        <v>179</v>
      </c>
    </row>
    <row r="1947" spans="1:16" x14ac:dyDescent="0.25">
      <c r="A1947" s="2" t="s">
        <v>181</v>
      </c>
      <c r="B1947" s="2" t="s">
        <v>197</v>
      </c>
      <c r="C1947" s="6" t="s">
        <v>144</v>
      </c>
      <c r="D1947" s="2" t="s">
        <v>120</v>
      </c>
      <c r="E1947" s="2"/>
      <c r="F1947" s="35">
        <v>0</v>
      </c>
      <c r="G1947" s="35">
        <v>43.648576653269302</v>
      </c>
      <c r="H1947" s="35">
        <v>12.796667311466067</v>
      </c>
      <c r="I1947" s="35">
        <v>-5.7435194051105073E-2</v>
      </c>
      <c r="J1947" s="35">
        <v>-4.1639261759605639E-3</v>
      </c>
      <c r="K1947" s="35">
        <v>-0.51485875052840258</v>
      </c>
      <c r="L1947" s="35">
        <v>-2.3911981866428249</v>
      </c>
      <c r="M1947" s="58" t="s">
        <v>22</v>
      </c>
      <c r="N1947" s="7">
        <v>9.5</v>
      </c>
      <c r="O1947" s="7" t="s">
        <v>179</v>
      </c>
      <c r="P1947" s="7" t="s">
        <v>179</v>
      </c>
    </row>
    <row r="1948" spans="1:16" x14ac:dyDescent="0.25">
      <c r="A1948" s="2" t="s">
        <v>181</v>
      </c>
      <c r="B1948" s="2" t="s">
        <v>197</v>
      </c>
      <c r="C1948" s="6" t="s">
        <v>144</v>
      </c>
      <c r="D1948" s="2" t="s">
        <v>120</v>
      </c>
      <c r="E1948" s="2"/>
      <c r="F1948" s="35">
        <v>4.5</v>
      </c>
      <c r="G1948" s="35">
        <v>45.479621253269293</v>
      </c>
      <c r="H1948" s="35">
        <v>-13.663332688533934</v>
      </c>
      <c r="I1948" s="35">
        <v>-5.7435194051106697E-2</v>
      </c>
      <c r="J1948" s="35">
        <v>-4.1639261759605639E-3</v>
      </c>
      <c r="K1948" s="35">
        <v>-0.25640037729842613</v>
      </c>
      <c r="L1948" s="35">
        <v>-0.44120108824010928</v>
      </c>
      <c r="M1948" s="58" t="s">
        <v>24</v>
      </c>
      <c r="N1948" s="7">
        <v>9.5</v>
      </c>
      <c r="O1948" s="7" t="s">
        <v>179</v>
      </c>
      <c r="P1948" s="7" t="s">
        <v>179</v>
      </c>
    </row>
    <row r="1949" spans="1:16" x14ac:dyDescent="0.25">
      <c r="A1949" s="2" t="s">
        <v>181</v>
      </c>
      <c r="B1949" s="2" t="s">
        <v>197</v>
      </c>
      <c r="C1949" s="6" t="s">
        <v>144</v>
      </c>
      <c r="D1949" s="2" t="s">
        <v>120</v>
      </c>
      <c r="E1949" s="2"/>
      <c r="F1949" s="35">
        <v>4.5</v>
      </c>
      <c r="G1949" s="35">
        <v>46.256566600469938</v>
      </c>
      <c r="H1949" s="35">
        <v>-13.663318518475725</v>
      </c>
      <c r="I1949" s="35">
        <v>-5.1253906196345525E-2</v>
      </c>
      <c r="J1949" s="35">
        <v>2.7535052898940622E-3</v>
      </c>
      <c r="K1949" s="35">
        <v>-0.25640826212756668</v>
      </c>
      <c r="L1949" s="35">
        <v>-1.4123794433564987</v>
      </c>
      <c r="M1949" s="58" t="s">
        <v>24</v>
      </c>
      <c r="N1949" s="7">
        <v>9.5</v>
      </c>
      <c r="O1949" s="7" t="s">
        <v>179</v>
      </c>
      <c r="P1949" s="7" t="s">
        <v>179</v>
      </c>
    </row>
    <row r="1950" spans="1:16" x14ac:dyDescent="0.25">
      <c r="A1950" s="2" t="s">
        <v>181</v>
      </c>
      <c r="B1950" s="2" t="s">
        <v>197</v>
      </c>
      <c r="C1950" s="6" t="s">
        <v>144</v>
      </c>
      <c r="D1950" s="2" t="s">
        <v>120</v>
      </c>
      <c r="E1950" s="2"/>
      <c r="F1950" s="35">
        <v>8.9965005885644906</v>
      </c>
      <c r="G1950" s="35">
        <v>48.086187294156112</v>
      </c>
      <c r="H1950" s="35">
        <v>-40.102741979234906</v>
      </c>
      <c r="I1950" s="35">
        <v>-5.1253906196347142E-2</v>
      </c>
      <c r="J1950" s="35">
        <v>2.7535052898940622E-3</v>
      </c>
      <c r="K1950" s="35">
        <v>-2.594504274946632E-2</v>
      </c>
      <c r="L1950" s="35">
        <v>119.46718189301838</v>
      </c>
      <c r="M1950" s="58" t="s">
        <v>23</v>
      </c>
      <c r="N1950" s="7">
        <v>9.5</v>
      </c>
      <c r="O1950" s="7" t="s">
        <v>179</v>
      </c>
      <c r="P1950" s="7" t="s">
        <v>179</v>
      </c>
    </row>
    <row r="1951" spans="1:16" x14ac:dyDescent="0.25">
      <c r="A1951" s="2" t="s">
        <v>181</v>
      </c>
      <c r="B1951" s="2" t="s">
        <v>197</v>
      </c>
      <c r="C1951" s="6" t="s">
        <v>144</v>
      </c>
      <c r="D1951" s="2" t="s">
        <v>121</v>
      </c>
      <c r="E1951" s="2"/>
      <c r="F1951" s="35">
        <v>0</v>
      </c>
      <c r="G1951" s="35">
        <v>1.6567319901403021</v>
      </c>
      <c r="H1951" s="35">
        <v>17.068119251438294</v>
      </c>
      <c r="I1951" s="35">
        <v>-6.1736512707467377E-2</v>
      </c>
      <c r="J1951" s="35">
        <v>-4.0478955506990976E-3</v>
      </c>
      <c r="K1951" s="35">
        <v>-0.55627677984841484</v>
      </c>
      <c r="L1951" s="35">
        <v>28.306149282704222</v>
      </c>
      <c r="M1951" s="58" t="s">
        <v>22</v>
      </c>
      <c r="N1951" s="7">
        <v>9.5</v>
      </c>
      <c r="O1951" s="7" t="s">
        <v>179</v>
      </c>
      <c r="P1951" s="7" t="s">
        <v>179</v>
      </c>
    </row>
    <row r="1952" spans="1:16" x14ac:dyDescent="0.25">
      <c r="A1952" s="2" t="s">
        <v>181</v>
      </c>
      <c r="B1952" s="2" t="s">
        <v>197</v>
      </c>
      <c r="C1952" s="6" t="s">
        <v>144</v>
      </c>
      <c r="D1952" s="2" t="s">
        <v>121</v>
      </c>
      <c r="E1952" s="2"/>
      <c r="F1952" s="35">
        <v>4.5</v>
      </c>
      <c r="G1952" s="35">
        <v>3.4877765901402955</v>
      </c>
      <c r="H1952" s="35">
        <v>1.1921192514382908</v>
      </c>
      <c r="I1952" s="35">
        <v>-6.1736512707468362E-2</v>
      </c>
      <c r="J1952" s="35">
        <v>-4.0478955506990976E-3</v>
      </c>
      <c r="K1952" s="35">
        <v>-0.27846247266480939</v>
      </c>
      <c r="L1952" s="35">
        <v>-12.779387348768081</v>
      </c>
      <c r="M1952" s="58" t="s">
        <v>24</v>
      </c>
      <c r="N1952" s="7">
        <v>9.5</v>
      </c>
      <c r="O1952" s="7" t="s">
        <v>179</v>
      </c>
      <c r="P1952" s="7" t="s">
        <v>179</v>
      </c>
    </row>
    <row r="1953" spans="1:16" x14ac:dyDescent="0.25">
      <c r="A1953" s="2" t="s">
        <v>181</v>
      </c>
      <c r="B1953" s="2" t="s">
        <v>197</v>
      </c>
      <c r="C1953" s="6" t="s">
        <v>144</v>
      </c>
      <c r="D1953" s="2" t="s">
        <v>121</v>
      </c>
      <c r="E1953" s="2"/>
      <c r="F1953" s="35">
        <v>4.5</v>
      </c>
      <c r="G1953" s="35">
        <v>4.2647218377262677</v>
      </c>
      <c r="H1953" s="35">
        <v>1.1920944434451246</v>
      </c>
      <c r="I1953" s="35">
        <v>-5.5670243318562927E-2</v>
      </c>
      <c r="J1953" s="35">
        <v>2.5801067057311319E-3</v>
      </c>
      <c r="K1953" s="35">
        <v>-0.27847085215077449</v>
      </c>
      <c r="L1953" s="35">
        <v>-13.750572310541264</v>
      </c>
      <c r="M1953" s="58" t="s">
        <v>24</v>
      </c>
      <c r="N1953" s="7">
        <v>9.5</v>
      </c>
      <c r="O1953" s="7" t="s">
        <v>179</v>
      </c>
      <c r="P1953" s="7" t="s">
        <v>179</v>
      </c>
    </row>
    <row r="1954" spans="1:16" x14ac:dyDescent="0.25">
      <c r="A1954" s="2" t="s">
        <v>181</v>
      </c>
      <c r="B1954" s="2" t="s">
        <v>197</v>
      </c>
      <c r="C1954" s="6" t="s">
        <v>144</v>
      </c>
      <c r="D1954" s="2" t="s">
        <v>121</v>
      </c>
      <c r="E1954" s="2"/>
      <c r="F1954" s="35">
        <v>8.9965005885644906</v>
      </c>
      <c r="G1954" s="35">
        <v>6.0943425314124458</v>
      </c>
      <c r="H1954" s="35">
        <v>-14.671559633010391</v>
      </c>
      <c r="I1954" s="35">
        <v>-5.5670243318563899E-2</v>
      </c>
      <c r="J1954" s="35">
        <v>2.5801067057311319E-3</v>
      </c>
      <c r="K1954" s="35">
        <v>-2.8149570303325849E-2</v>
      </c>
      <c r="L1954" s="35">
        <v>16.554639268666115</v>
      </c>
      <c r="M1954" s="58" t="s">
        <v>23</v>
      </c>
      <c r="N1954" s="7">
        <v>9.5</v>
      </c>
      <c r="O1954" s="7" t="s">
        <v>179</v>
      </c>
      <c r="P1954" s="7" t="s">
        <v>179</v>
      </c>
    </row>
    <row r="1955" spans="1:16" x14ac:dyDescent="0.25">
      <c r="A1955" s="2" t="s">
        <v>181</v>
      </c>
      <c r="B1955" s="2" t="s">
        <v>197</v>
      </c>
      <c r="C1955" s="6" t="s">
        <v>144</v>
      </c>
      <c r="D1955" s="2" t="s">
        <v>122</v>
      </c>
      <c r="E1955" s="2"/>
      <c r="F1955" s="35">
        <v>0</v>
      </c>
      <c r="G1955" s="35">
        <v>37.357903993929732</v>
      </c>
      <c r="H1955" s="35">
        <v>5.8514493959768412</v>
      </c>
      <c r="I1955" s="35">
        <v>5.5537121351051606E-2</v>
      </c>
      <c r="J1955" s="35">
        <v>3.6595651763819338E-3</v>
      </c>
      <c r="K1955" s="35">
        <v>0.49906950714302312</v>
      </c>
      <c r="L1955" s="35">
        <v>-11.657222381615853</v>
      </c>
      <c r="M1955" s="58" t="s">
        <v>22</v>
      </c>
      <c r="N1955" s="7">
        <v>9.5</v>
      </c>
      <c r="O1955" s="7" t="s">
        <v>179</v>
      </c>
      <c r="P1955" s="7" t="s">
        <v>179</v>
      </c>
    </row>
    <row r="1956" spans="1:16" x14ac:dyDescent="0.25">
      <c r="A1956" s="2" t="s">
        <v>181</v>
      </c>
      <c r="B1956" s="2" t="s">
        <v>197</v>
      </c>
      <c r="C1956" s="6" t="s">
        <v>144</v>
      </c>
      <c r="D1956" s="2" t="s">
        <v>122</v>
      </c>
      <c r="E1956" s="2"/>
      <c r="F1956" s="35">
        <v>4.5</v>
      </c>
      <c r="G1956" s="35">
        <v>39.188948593929723</v>
      </c>
      <c r="H1956" s="35">
        <v>-13.048550604023161</v>
      </c>
      <c r="I1956" s="35">
        <v>5.5537121351050447E-2</v>
      </c>
      <c r="J1956" s="35">
        <v>3.6595651763819338E-3</v>
      </c>
      <c r="K1956" s="35">
        <v>0.24915246106329353</v>
      </c>
      <c r="L1956" s="35">
        <v>4.536255336488372</v>
      </c>
      <c r="M1956" s="58" t="s">
        <v>24</v>
      </c>
      <c r="N1956" s="7">
        <v>9.5</v>
      </c>
      <c r="O1956" s="7" t="s">
        <v>179</v>
      </c>
      <c r="P1956" s="7" t="s">
        <v>179</v>
      </c>
    </row>
    <row r="1957" spans="1:16" x14ac:dyDescent="0.25">
      <c r="A1957" s="2" t="s">
        <v>181</v>
      </c>
      <c r="B1957" s="2" t="s">
        <v>197</v>
      </c>
      <c r="C1957" s="6" t="s">
        <v>144</v>
      </c>
      <c r="D1957" s="2" t="s">
        <v>122</v>
      </c>
      <c r="E1957" s="2"/>
      <c r="F1957" s="35">
        <v>4.5</v>
      </c>
      <c r="G1957" s="35">
        <v>39.96589723128519</v>
      </c>
      <c r="H1957" s="35">
        <v>-13.048461824556425</v>
      </c>
      <c r="I1957" s="35">
        <v>4.980764238492516E-2</v>
      </c>
      <c r="J1957" s="35">
        <v>-2.3379706946274944E-3</v>
      </c>
      <c r="K1957" s="35">
        <v>0.24915824883790225</v>
      </c>
      <c r="L1957" s="35">
        <v>3.5650724688383928</v>
      </c>
      <c r="M1957" s="58" t="s">
        <v>24</v>
      </c>
      <c r="N1957" s="7">
        <v>9.5</v>
      </c>
      <c r="O1957" s="7" t="s">
        <v>179</v>
      </c>
      <c r="P1957" s="7" t="s">
        <v>179</v>
      </c>
    </row>
    <row r="1958" spans="1:16" x14ac:dyDescent="0.25">
      <c r="A1958" s="2" t="s">
        <v>181</v>
      </c>
      <c r="B1958" s="2" t="s">
        <v>197</v>
      </c>
      <c r="C1958" s="6" t="s">
        <v>144</v>
      </c>
      <c r="D1958" s="2" t="s">
        <v>122</v>
      </c>
      <c r="E1958" s="2"/>
      <c r="F1958" s="35">
        <v>8.9965005885644906</v>
      </c>
      <c r="G1958" s="35">
        <v>41.795517924971371</v>
      </c>
      <c r="H1958" s="35">
        <v>-31.933764296527276</v>
      </c>
      <c r="I1958" s="35">
        <v>4.9807642384924002E-2</v>
      </c>
      <c r="J1958" s="35">
        <v>-2.3379706946274944E-3</v>
      </c>
      <c r="K1958" s="35">
        <v>2.5198155539079309E-2</v>
      </c>
      <c r="L1958" s="35">
        <v>104.69637558303525</v>
      </c>
      <c r="M1958" s="58" t="s">
        <v>23</v>
      </c>
      <c r="N1958" s="7">
        <v>9.5</v>
      </c>
      <c r="O1958" s="7" t="s">
        <v>179</v>
      </c>
      <c r="P1958" s="7" t="s">
        <v>179</v>
      </c>
    </row>
    <row r="1959" spans="1:16" x14ac:dyDescent="0.25">
      <c r="A1959" s="2" t="s">
        <v>181</v>
      </c>
      <c r="B1959" s="2" t="s">
        <v>197</v>
      </c>
      <c r="C1959" s="6" t="s">
        <v>144</v>
      </c>
      <c r="D1959" s="2" t="s">
        <v>123</v>
      </c>
      <c r="E1959" s="2"/>
      <c r="F1959" s="35">
        <v>0</v>
      </c>
      <c r="G1959" s="35">
        <v>-4.6340533356898588</v>
      </c>
      <c r="H1959" s="35">
        <v>10.122128722130467</v>
      </c>
      <c r="I1959" s="35">
        <v>5.1282070975926547E-2</v>
      </c>
      <c r="J1959" s="35">
        <v>3.7785052409541821E-3</v>
      </c>
      <c r="K1959" s="35">
        <v>0.45806566993160769</v>
      </c>
      <c r="L1959" s="35">
        <v>19.037877484345231</v>
      </c>
      <c r="M1959" s="58" t="s">
        <v>22</v>
      </c>
      <c r="N1959" s="7">
        <v>9.5</v>
      </c>
      <c r="O1959" s="7" t="s">
        <v>179</v>
      </c>
      <c r="P1959" s="7" t="s">
        <v>179</v>
      </c>
    </row>
    <row r="1960" spans="1:16" x14ac:dyDescent="0.25">
      <c r="A1960" s="2" t="s">
        <v>181</v>
      </c>
      <c r="B1960" s="2" t="s">
        <v>197</v>
      </c>
      <c r="C1960" s="6" t="s">
        <v>144</v>
      </c>
      <c r="D1960" s="2" t="s">
        <v>123</v>
      </c>
      <c r="E1960" s="2"/>
      <c r="F1960" s="35">
        <v>4.5</v>
      </c>
      <c r="G1960" s="35">
        <v>-2.8030087356898652</v>
      </c>
      <c r="H1960" s="35">
        <v>1.806128722130468</v>
      </c>
      <c r="I1960" s="35">
        <v>5.1282070975926033E-2</v>
      </c>
      <c r="J1960" s="35">
        <v>3.7785052409541821E-3</v>
      </c>
      <c r="K1960" s="35">
        <v>0.22729635053993935</v>
      </c>
      <c r="L1960" s="35">
        <v>-7.8007017652418691</v>
      </c>
      <c r="M1960" s="58" t="s">
        <v>24</v>
      </c>
      <c r="N1960" s="7">
        <v>9.5</v>
      </c>
      <c r="O1960" s="7" t="s">
        <v>179</v>
      </c>
      <c r="P1960" s="7" t="s">
        <v>179</v>
      </c>
    </row>
    <row r="1961" spans="1:16" x14ac:dyDescent="0.25">
      <c r="A1961" s="2" t="s">
        <v>181</v>
      </c>
      <c r="B1961" s="2" t="s">
        <v>197</v>
      </c>
      <c r="C1961" s="6" t="s">
        <v>144</v>
      </c>
      <c r="D1961" s="2" t="s">
        <v>123</v>
      </c>
      <c r="E1961" s="2"/>
      <c r="F1961" s="35">
        <v>4.5</v>
      </c>
      <c r="G1961" s="35">
        <v>-2.0260601966702958</v>
      </c>
      <c r="H1961" s="35">
        <v>1.8061787505533773</v>
      </c>
      <c r="I1961" s="35">
        <v>4.5432552494045549E-2</v>
      </c>
      <c r="J1961" s="35">
        <v>-2.5131884027019638E-3</v>
      </c>
      <c r="K1961" s="35">
        <v>0.22730164904212655</v>
      </c>
      <c r="L1961" s="35">
        <v>-8.7718912375700491</v>
      </c>
      <c r="M1961" s="58" t="s">
        <v>24</v>
      </c>
      <c r="N1961" s="7">
        <v>9.5</v>
      </c>
      <c r="O1961" s="7" t="s">
        <v>179</v>
      </c>
      <c r="P1961" s="7" t="s">
        <v>179</v>
      </c>
    </row>
    <row r="1962" spans="1:16" x14ac:dyDescent="0.25">
      <c r="A1962" s="2" t="s">
        <v>181</v>
      </c>
      <c r="B1962" s="2" t="s">
        <v>197</v>
      </c>
      <c r="C1962" s="6" t="s">
        <v>144</v>
      </c>
      <c r="D1962" s="2" t="s">
        <v>123</v>
      </c>
      <c r="E1962" s="2"/>
      <c r="F1962" s="35">
        <v>8.9965005885644906</v>
      </c>
      <c r="G1962" s="35">
        <v>-0.19643950298411797</v>
      </c>
      <c r="H1962" s="35">
        <v>-6.503354337113799</v>
      </c>
      <c r="I1962" s="35">
        <v>4.5432552494045049E-2</v>
      </c>
      <c r="J1962" s="35">
        <v>-2.5131884027019638E-3</v>
      </c>
      <c r="K1962" s="35">
        <v>2.3014150012664821E-2</v>
      </c>
      <c r="L1962" s="35">
        <v>1.7885351572097983</v>
      </c>
      <c r="M1962" s="58" t="s">
        <v>23</v>
      </c>
      <c r="N1962" s="7">
        <v>9.5</v>
      </c>
      <c r="O1962" s="7" t="s">
        <v>179</v>
      </c>
      <c r="P1962" s="7" t="s">
        <v>179</v>
      </c>
    </row>
    <row r="1963" spans="1:16" x14ac:dyDescent="0.25">
      <c r="A1963" s="2" t="s">
        <v>181</v>
      </c>
      <c r="B1963" s="2" t="s">
        <v>197</v>
      </c>
      <c r="C1963" s="6" t="s">
        <v>144</v>
      </c>
      <c r="D1963" s="2" t="s">
        <v>124</v>
      </c>
      <c r="E1963" s="2"/>
      <c r="F1963" s="35">
        <v>0</v>
      </c>
      <c r="G1963" s="35">
        <v>32.347935917425531</v>
      </c>
      <c r="H1963" s="35">
        <v>7.1098178316091714</v>
      </c>
      <c r="I1963" s="35">
        <v>1.3468986754556572E-2</v>
      </c>
      <c r="J1963" s="35">
        <v>1.4228742309019339E-4</v>
      </c>
      <c r="K1963" s="35">
        <v>0.12684250388593113</v>
      </c>
      <c r="L1963" s="35">
        <v>17.052746869360046</v>
      </c>
      <c r="M1963" s="58" t="s">
        <v>22</v>
      </c>
      <c r="N1963" s="7">
        <v>9.5</v>
      </c>
      <c r="O1963" s="7" t="s">
        <v>179</v>
      </c>
      <c r="P1963" s="7" t="s">
        <v>179</v>
      </c>
    </row>
    <row r="1964" spans="1:16" x14ac:dyDescent="0.25">
      <c r="A1964" s="2" t="s">
        <v>181</v>
      </c>
      <c r="B1964" s="2" t="s">
        <v>197</v>
      </c>
      <c r="C1964" s="6" t="s">
        <v>144</v>
      </c>
      <c r="D1964" s="2" t="s">
        <v>124</v>
      </c>
      <c r="E1964" s="2"/>
      <c r="F1964" s="35">
        <v>4.5</v>
      </c>
      <c r="G1964" s="35">
        <v>34.178980517425522</v>
      </c>
      <c r="H1964" s="35">
        <v>-7.2541821683908294</v>
      </c>
      <c r="I1964" s="35">
        <v>1.3468986754555691E-2</v>
      </c>
      <c r="J1964" s="35">
        <v>1.4228742309019339E-4</v>
      </c>
      <c r="K1964" s="35">
        <v>6.6232063490428553E-2</v>
      </c>
      <c r="L1964" s="35">
        <v>17.377566627118792</v>
      </c>
      <c r="M1964" s="58" t="s">
        <v>24</v>
      </c>
      <c r="N1964" s="7">
        <v>9.5</v>
      </c>
      <c r="O1964" s="7" t="s">
        <v>179</v>
      </c>
      <c r="P1964" s="7" t="s">
        <v>179</v>
      </c>
    </row>
    <row r="1965" spans="1:16" x14ac:dyDescent="0.25">
      <c r="A1965" s="2" t="s">
        <v>181</v>
      </c>
      <c r="B1965" s="2" t="s">
        <v>197</v>
      </c>
      <c r="C1965" s="6" t="s">
        <v>144</v>
      </c>
      <c r="D1965" s="2" t="s">
        <v>124</v>
      </c>
      <c r="E1965" s="2"/>
      <c r="F1965" s="35">
        <v>4.5</v>
      </c>
      <c r="G1965" s="35">
        <v>34.955927922400406</v>
      </c>
      <c r="H1965" s="35">
        <v>-7.2541412819126334</v>
      </c>
      <c r="I1965" s="35">
        <v>1.3252210239298052E-2</v>
      </c>
      <c r="J1965" s="35">
        <v>7.3635717981378583E-5</v>
      </c>
      <c r="K1965" s="35">
        <v>6.6232990663600305E-2</v>
      </c>
      <c r="L1965" s="35">
        <v>16.406386675249319</v>
      </c>
      <c r="M1965" s="58" t="s">
        <v>24</v>
      </c>
      <c r="N1965" s="7">
        <v>9.5</v>
      </c>
      <c r="O1965" s="7" t="s">
        <v>179</v>
      </c>
      <c r="P1965" s="7" t="s">
        <v>179</v>
      </c>
    </row>
    <row r="1966" spans="1:16" x14ac:dyDescent="0.25">
      <c r="A1966" s="2" t="s">
        <v>181</v>
      </c>
      <c r="B1966" s="2" t="s">
        <v>197</v>
      </c>
      <c r="C1966" s="6" t="s">
        <v>144</v>
      </c>
      <c r="D1966" s="2" t="s">
        <v>124</v>
      </c>
      <c r="E1966" s="2"/>
      <c r="F1966" s="35">
        <v>8.9965005885644906</v>
      </c>
      <c r="G1966" s="35">
        <v>36.785548616086587</v>
      </c>
      <c r="H1966" s="35">
        <v>-21.606971160610485</v>
      </c>
      <c r="I1966" s="35">
        <v>1.3252210239297174E-2</v>
      </c>
      <c r="J1966" s="35">
        <v>7.3635717981378583E-5</v>
      </c>
      <c r="K1966" s="35">
        <v>6.6444195228182561E-3</v>
      </c>
      <c r="L1966" s="35">
        <v>81.29339121746483</v>
      </c>
      <c r="M1966" s="58" t="s">
        <v>23</v>
      </c>
      <c r="N1966" s="7">
        <v>9.5</v>
      </c>
      <c r="O1966" s="7" t="s">
        <v>179</v>
      </c>
      <c r="P1966" s="7" t="s">
        <v>179</v>
      </c>
    </row>
    <row r="1967" spans="1:16" x14ac:dyDescent="0.25">
      <c r="A1967" s="2" t="s">
        <v>181</v>
      </c>
      <c r="B1967" s="2" t="s">
        <v>197</v>
      </c>
      <c r="C1967" s="6" t="s">
        <v>144</v>
      </c>
      <c r="D1967" s="2" t="s">
        <v>125</v>
      </c>
      <c r="E1967" s="2"/>
      <c r="F1967" s="35">
        <v>0</v>
      </c>
      <c r="G1967" s="35">
        <v>-20.78056868710172</v>
      </c>
      <c r="H1967" s="35">
        <v>22.604114869913857</v>
      </c>
      <c r="I1967" s="35">
        <v>1.2892360533553198E-2</v>
      </c>
      <c r="J1967" s="35">
        <v>5.3133732176559312E-4</v>
      </c>
      <c r="K1967" s="35">
        <v>0.11980159011346141</v>
      </c>
      <c r="L1967" s="35">
        <v>109.40827299161259</v>
      </c>
      <c r="M1967" s="58" t="s">
        <v>22</v>
      </c>
      <c r="N1967" s="7">
        <v>9.5</v>
      </c>
      <c r="O1967" s="7" t="s">
        <v>179</v>
      </c>
      <c r="P1967" s="7" t="s">
        <v>179</v>
      </c>
    </row>
    <row r="1968" spans="1:16" x14ac:dyDescent="0.25">
      <c r="A1968" s="2" t="s">
        <v>181</v>
      </c>
      <c r="B1968" s="2" t="s">
        <v>197</v>
      </c>
      <c r="C1968" s="6" t="s">
        <v>144</v>
      </c>
      <c r="D1968" s="2" t="s">
        <v>125</v>
      </c>
      <c r="E1968" s="2"/>
      <c r="F1968" s="35">
        <v>4.5</v>
      </c>
      <c r="G1968" s="35">
        <v>-18.949524087101725</v>
      </c>
      <c r="H1968" s="35">
        <v>18.824114869913856</v>
      </c>
      <c r="I1968" s="35">
        <v>1.2892360533552966E-2</v>
      </c>
      <c r="J1968" s="35">
        <v>5.3133732176559312E-4</v>
      </c>
      <c r="K1968" s="35">
        <v>6.1785967712472557E-2</v>
      </c>
      <c r="L1968" s="35">
        <v>16.194756077000257</v>
      </c>
      <c r="M1968" s="58" t="s">
        <v>24</v>
      </c>
      <c r="N1968" s="7">
        <v>9.5</v>
      </c>
      <c r="O1968" s="7" t="s">
        <v>179</v>
      </c>
      <c r="P1968" s="7" t="s">
        <v>179</v>
      </c>
    </row>
    <row r="1969" spans="1:16" x14ac:dyDescent="0.25">
      <c r="A1969" s="2" t="s">
        <v>181</v>
      </c>
      <c r="B1969" s="2" t="s">
        <v>197</v>
      </c>
      <c r="C1969" s="6" t="s">
        <v>144</v>
      </c>
      <c r="D1969" s="2" t="s">
        <v>125</v>
      </c>
      <c r="E1969" s="2"/>
      <c r="F1969" s="35">
        <v>4.5</v>
      </c>
      <c r="G1969" s="35">
        <v>-18.1725766025483</v>
      </c>
      <c r="H1969" s="35">
        <v>18.824052611944428</v>
      </c>
      <c r="I1969" s="35">
        <v>1.2359841393445476E-2</v>
      </c>
      <c r="J1969" s="35">
        <v>-3.0945586464822328E-4</v>
      </c>
      <c r="K1969" s="35">
        <v>6.1787194294019916E-2</v>
      </c>
      <c r="L1969" s="35">
        <v>15.22355367687476</v>
      </c>
      <c r="M1969" s="58" t="s">
        <v>24</v>
      </c>
      <c r="N1969" s="7">
        <v>9.5</v>
      </c>
      <c r="O1969" s="7" t="s">
        <v>179</v>
      </c>
      <c r="P1969" s="7" t="s">
        <v>179</v>
      </c>
    </row>
    <row r="1970" spans="1:16" x14ac:dyDescent="0.25">
      <c r="A1970" s="2" t="s">
        <v>181</v>
      </c>
      <c r="B1970" s="2" t="s">
        <v>197</v>
      </c>
      <c r="C1970" s="6" t="s">
        <v>144</v>
      </c>
      <c r="D1970" s="2" t="s">
        <v>125</v>
      </c>
      <c r="E1970" s="2"/>
      <c r="F1970" s="35">
        <v>8.9965005885644906</v>
      </c>
      <c r="G1970" s="35">
        <v>-16.34295590886212</v>
      </c>
      <c r="H1970" s="35">
        <v>15.046992117550259</v>
      </c>
      <c r="I1970" s="35">
        <v>1.2359841393445245E-2</v>
      </c>
      <c r="J1970" s="35">
        <v>-3.0945586464822328E-4</v>
      </c>
      <c r="K1970" s="35">
        <v>6.2111601938291327E-3</v>
      </c>
      <c r="L1970" s="35">
        <v>-60.927032603858734</v>
      </c>
      <c r="M1970" s="58" t="s">
        <v>23</v>
      </c>
      <c r="N1970" s="7">
        <v>9.5</v>
      </c>
      <c r="O1970" s="7" t="s">
        <v>179</v>
      </c>
      <c r="P1970" s="7" t="s">
        <v>179</v>
      </c>
    </row>
    <row r="1971" spans="1:16" x14ac:dyDescent="0.25">
      <c r="A1971" s="2" t="s">
        <v>181</v>
      </c>
      <c r="B1971" s="2" t="s">
        <v>197</v>
      </c>
      <c r="C1971" s="6" t="s">
        <v>144</v>
      </c>
      <c r="D1971" s="2" t="s">
        <v>126</v>
      </c>
      <c r="E1971" s="2"/>
      <c r="F1971" s="35">
        <v>0</v>
      </c>
      <c r="G1971" s="35">
        <v>49.318854765160395</v>
      </c>
      <c r="H1971" s="35">
        <v>-40.947003331086798</v>
      </c>
      <c r="I1971" s="35">
        <v>1.530230256028667E-2</v>
      </c>
      <c r="J1971" s="35">
        <v>9.0412426401759782E-5</v>
      </c>
      <c r="K1971" s="35">
        <v>0.14442027757683323</v>
      </c>
      <c r="L1971" s="35">
        <v>-121.88644569087249</v>
      </c>
      <c r="M1971" s="58" t="s">
        <v>22</v>
      </c>
      <c r="N1971" s="7">
        <v>9.5</v>
      </c>
      <c r="O1971" s="7" t="s">
        <v>179</v>
      </c>
      <c r="P1971" s="7" t="s">
        <v>179</v>
      </c>
    </row>
    <row r="1972" spans="1:16" x14ac:dyDescent="0.25">
      <c r="A1972" s="2" t="s">
        <v>181</v>
      </c>
      <c r="B1972" s="2" t="s">
        <v>197</v>
      </c>
      <c r="C1972" s="6" t="s">
        <v>144</v>
      </c>
      <c r="D1972" s="2" t="s">
        <v>126</v>
      </c>
      <c r="E1972" s="2"/>
      <c r="F1972" s="35">
        <v>4.5</v>
      </c>
      <c r="G1972" s="35">
        <v>51.149899365160387</v>
      </c>
      <c r="H1972" s="35">
        <v>-27.339003331086797</v>
      </c>
      <c r="I1972" s="35">
        <v>1.5302302560287502E-2</v>
      </c>
      <c r="J1972" s="35">
        <v>9.0412426401759782E-5</v>
      </c>
      <c r="K1972" s="35">
        <v>7.5559916055541354E-2</v>
      </c>
      <c r="L1972" s="35">
        <v>31.757069299018092</v>
      </c>
      <c r="M1972" s="58" t="s">
        <v>24</v>
      </c>
      <c r="N1972" s="7">
        <v>9.5</v>
      </c>
      <c r="O1972" s="7" t="s">
        <v>179</v>
      </c>
      <c r="P1972" s="7" t="s">
        <v>179</v>
      </c>
    </row>
    <row r="1973" spans="1:16" x14ac:dyDescent="0.25">
      <c r="A1973" s="2" t="s">
        <v>181</v>
      </c>
      <c r="B1973" s="2" t="s">
        <v>197</v>
      </c>
      <c r="C1973" s="6" t="s">
        <v>144</v>
      </c>
      <c r="D1973" s="2" t="s">
        <v>126</v>
      </c>
      <c r="E1973" s="2"/>
      <c r="F1973" s="35">
        <v>4.5</v>
      </c>
      <c r="G1973" s="35">
        <v>51.926846818183961</v>
      </c>
      <c r="H1973" s="35">
        <v>-27.338938389253929</v>
      </c>
      <c r="I1973" s="35">
        <v>1.5121756541961287E-2</v>
      </c>
      <c r="J1973" s="35">
        <v>1.5962088823522495E-4</v>
      </c>
      <c r="K1973" s="35">
        <v>7.5561081050019949E-2</v>
      </c>
      <c r="L1973" s="35">
        <v>30.785892791362322</v>
      </c>
      <c r="M1973" s="58" t="s">
        <v>24</v>
      </c>
      <c r="N1973" s="7">
        <v>9.5</v>
      </c>
      <c r="O1973" s="7" t="s">
        <v>179</v>
      </c>
      <c r="P1973" s="7" t="s">
        <v>179</v>
      </c>
    </row>
    <row r="1974" spans="1:16" x14ac:dyDescent="0.25">
      <c r="A1974" s="2" t="s">
        <v>181</v>
      </c>
      <c r="B1974" s="2" t="s">
        <v>197</v>
      </c>
      <c r="C1974" s="6" t="s">
        <v>144</v>
      </c>
      <c r="D1974" s="2" t="s">
        <v>126</v>
      </c>
      <c r="E1974" s="2"/>
      <c r="F1974" s="35">
        <v>8.9965005885644906</v>
      </c>
      <c r="G1974" s="35">
        <v>53.756467511870142</v>
      </c>
      <c r="H1974" s="35">
        <v>-13.741520609434913</v>
      </c>
      <c r="I1974" s="35">
        <v>1.5121756541962118E-2</v>
      </c>
      <c r="J1974" s="35">
        <v>1.5962088823522495E-4</v>
      </c>
      <c r="K1974" s="35">
        <v>7.5660938589602574E-3</v>
      </c>
      <c r="L1974" s="35">
        <v>123.14504682441418</v>
      </c>
      <c r="M1974" s="58" t="s">
        <v>23</v>
      </c>
      <c r="N1974" s="7">
        <v>9.5</v>
      </c>
      <c r="O1974" s="7" t="s">
        <v>179</v>
      </c>
      <c r="P1974" s="7" t="s">
        <v>179</v>
      </c>
    </row>
    <row r="1975" spans="1:16" x14ac:dyDescent="0.25">
      <c r="A1975" s="2" t="s">
        <v>181</v>
      </c>
      <c r="B1975" s="2" t="s">
        <v>197</v>
      </c>
      <c r="C1975" s="6" t="s">
        <v>144</v>
      </c>
      <c r="D1975" s="2" t="s">
        <v>127</v>
      </c>
      <c r="E1975" s="2"/>
      <c r="F1975" s="35">
        <v>0</v>
      </c>
      <c r="G1975" s="35">
        <v>-68.876674371328832</v>
      </c>
      <c r="H1975" s="35">
        <v>-15.539111783472851</v>
      </c>
      <c r="I1975" s="35">
        <v>1.4461920350563621E-2</v>
      </c>
      <c r="J1975" s="35">
        <v>5.2241887349280421E-4</v>
      </c>
      <c r="K1975" s="35">
        <v>0.13308391009291834</v>
      </c>
      <c r="L1975" s="35">
        <v>-47.287689069551483</v>
      </c>
      <c r="M1975" s="58" t="s">
        <v>22</v>
      </c>
      <c r="N1975" s="7">
        <v>9.5</v>
      </c>
      <c r="O1975" s="7" t="s">
        <v>179</v>
      </c>
      <c r="P1975" s="7" t="s">
        <v>179</v>
      </c>
    </row>
    <row r="1976" spans="1:16" x14ac:dyDescent="0.25">
      <c r="A1976" s="2" t="s">
        <v>181</v>
      </c>
      <c r="B1976" s="2" t="s">
        <v>197</v>
      </c>
      <c r="C1976" s="6" t="s">
        <v>144</v>
      </c>
      <c r="D1976" s="2" t="s">
        <v>127</v>
      </c>
      <c r="E1976" s="2"/>
      <c r="F1976" s="35">
        <v>4.5</v>
      </c>
      <c r="G1976" s="35">
        <v>-67.045629771328834</v>
      </c>
      <c r="H1976" s="35">
        <v>8.6528882165271526</v>
      </c>
      <c r="I1976" s="35">
        <v>1.4461920350565103E-2</v>
      </c>
      <c r="J1976" s="35">
        <v>5.2241887349280421E-4</v>
      </c>
      <c r="K1976" s="35">
        <v>6.8005268515378747E-2</v>
      </c>
      <c r="L1976" s="35">
        <v>-31.793686043923657</v>
      </c>
      <c r="M1976" s="58" t="s">
        <v>24</v>
      </c>
      <c r="N1976" s="7">
        <v>9.5</v>
      </c>
      <c r="O1976" s="7" t="s">
        <v>179</v>
      </c>
      <c r="P1976" s="7" t="s">
        <v>179</v>
      </c>
    </row>
    <row r="1977" spans="1:16" x14ac:dyDescent="0.25">
      <c r="A1977" s="2" t="s">
        <v>181</v>
      </c>
      <c r="B1977" s="2" t="s">
        <v>197</v>
      </c>
      <c r="C1977" s="6" t="s">
        <v>144</v>
      </c>
      <c r="D1977" s="2" t="s">
        <v>127</v>
      </c>
      <c r="E1977" s="2"/>
      <c r="F1977" s="35">
        <v>4.5</v>
      </c>
      <c r="G1977" s="35">
        <v>-66.268682335711517</v>
      </c>
      <c r="H1977" s="35">
        <v>8.6529295544862421</v>
      </c>
      <c r="I1977" s="35">
        <v>1.3606265931351953E-2</v>
      </c>
      <c r="J1977" s="35">
        <v>-2.6727221167565166E-4</v>
      </c>
      <c r="K1977" s="35">
        <v>6.8006344421396775E-2</v>
      </c>
      <c r="L1977" s="35">
        <v>-32.764869358243047</v>
      </c>
      <c r="M1977" s="58" t="s">
        <v>24</v>
      </c>
      <c r="N1977" s="7">
        <v>9.5</v>
      </c>
      <c r="O1977" s="7" t="s">
        <v>179</v>
      </c>
      <c r="P1977" s="7" t="s">
        <v>179</v>
      </c>
    </row>
    <row r="1978" spans="1:16" x14ac:dyDescent="0.25">
      <c r="A1978" s="2" t="s">
        <v>181</v>
      </c>
      <c r="B1978" s="2" t="s">
        <v>197</v>
      </c>
      <c r="C1978" s="6" t="s">
        <v>144</v>
      </c>
      <c r="D1978" s="2" t="s">
        <v>127</v>
      </c>
      <c r="E1978" s="2"/>
      <c r="F1978" s="35">
        <v>8.9965005885644906</v>
      </c>
      <c r="G1978" s="35">
        <v>-64.439061642025351</v>
      </c>
      <c r="H1978" s="35">
        <v>32.826116718608937</v>
      </c>
      <c r="I1978" s="35">
        <v>1.3606265931353435E-2</v>
      </c>
      <c r="J1978" s="35">
        <v>-2.6727221167565166E-4</v>
      </c>
      <c r="K1978" s="35">
        <v>6.8257616529044289E-3</v>
      </c>
      <c r="L1978" s="35">
        <v>-126.0201473482761</v>
      </c>
      <c r="M1978" s="58" t="s">
        <v>23</v>
      </c>
      <c r="N1978" s="7">
        <v>9.5</v>
      </c>
      <c r="O1978" s="7" t="s">
        <v>179</v>
      </c>
      <c r="P1978" s="7" t="s">
        <v>179</v>
      </c>
    </row>
    <row r="1979" spans="1:16" x14ac:dyDescent="0.25">
      <c r="A1979" s="2" t="s">
        <v>181</v>
      </c>
      <c r="B1979" s="2" t="s">
        <v>198</v>
      </c>
      <c r="C1979" s="6" t="s">
        <v>145</v>
      </c>
      <c r="D1979" s="2" t="s">
        <v>105</v>
      </c>
      <c r="E1979" s="2"/>
      <c r="F1979" s="35">
        <v>0</v>
      </c>
      <c r="G1979" s="35">
        <v>-49.897990651510618</v>
      </c>
      <c r="H1979" s="35">
        <v>-18.843380609052101</v>
      </c>
      <c r="I1979" s="35">
        <v>0.24569233614980154</v>
      </c>
      <c r="J1979" s="35">
        <v>1.089164556637458E-4</v>
      </c>
      <c r="K1979" s="35">
        <v>0.38257151657337113</v>
      </c>
      <c r="L1979" s="35">
        <v>-60.575660387652398</v>
      </c>
      <c r="M1979" s="58" t="s">
        <v>22</v>
      </c>
      <c r="N1979" s="7">
        <v>9.5</v>
      </c>
      <c r="O1979" s="7" t="s">
        <v>179</v>
      </c>
      <c r="P1979" s="7" t="s">
        <v>179</v>
      </c>
    </row>
    <row r="1980" spans="1:16" x14ac:dyDescent="0.25">
      <c r="A1980" s="2" t="s">
        <v>181</v>
      </c>
      <c r="B1980" s="2" t="s">
        <v>198</v>
      </c>
      <c r="C1980" s="6" t="s">
        <v>145</v>
      </c>
      <c r="D1980" s="2" t="s">
        <v>105</v>
      </c>
      <c r="E1980" s="2"/>
      <c r="F1980" s="35">
        <v>2</v>
      </c>
      <c r="G1980" s="35">
        <v>-49.084193051510624</v>
      </c>
      <c r="H1980" s="35">
        <v>-18.843380609052101</v>
      </c>
      <c r="I1980" s="35">
        <v>0.24569233614980154</v>
      </c>
      <c r="J1980" s="35">
        <v>1.089164556637458E-4</v>
      </c>
      <c r="K1980" s="35">
        <v>-0.10881315572623197</v>
      </c>
      <c r="L1980" s="35">
        <v>-22.8888991695482</v>
      </c>
      <c r="M1980" s="58" t="s">
        <v>22</v>
      </c>
      <c r="N1980" s="7">
        <v>9.5</v>
      </c>
      <c r="O1980" s="7" t="s">
        <v>179</v>
      </c>
      <c r="P1980" s="7" t="s">
        <v>179</v>
      </c>
    </row>
    <row r="1981" spans="1:16" x14ac:dyDescent="0.25">
      <c r="A1981" s="2" t="s">
        <v>181</v>
      </c>
      <c r="B1981" s="2" t="s">
        <v>198</v>
      </c>
      <c r="C1981" s="6" t="s">
        <v>145</v>
      </c>
      <c r="D1981" s="2" t="s">
        <v>105</v>
      </c>
      <c r="E1981" s="2"/>
      <c r="F1981" s="35">
        <v>2</v>
      </c>
      <c r="G1981" s="35">
        <v>-48.821051802847975</v>
      </c>
      <c r="H1981" s="35">
        <v>-18.843369557246263</v>
      </c>
      <c r="I1981" s="35">
        <v>-1.3980873734141504E-2</v>
      </c>
      <c r="J1981" s="35">
        <v>1.6897206204799866E-4</v>
      </c>
      <c r="K1981" s="35">
        <v>-0.10881315572623201</v>
      </c>
      <c r="L1981" s="35">
        <v>-22.888963228861652</v>
      </c>
      <c r="M1981" s="58" t="s">
        <v>22</v>
      </c>
      <c r="N1981" s="7">
        <v>9.5</v>
      </c>
      <c r="O1981" s="7" t="s">
        <v>179</v>
      </c>
      <c r="P1981" s="7" t="s">
        <v>179</v>
      </c>
    </row>
    <row r="1982" spans="1:16" x14ac:dyDescent="0.25">
      <c r="A1982" s="2" t="s">
        <v>181</v>
      </c>
      <c r="B1982" s="2" t="s">
        <v>198</v>
      </c>
      <c r="C1982" s="6" t="s">
        <v>145</v>
      </c>
      <c r="D1982" s="2" t="s">
        <v>105</v>
      </c>
      <c r="E1982" s="2"/>
      <c r="F1982" s="35">
        <v>4.5</v>
      </c>
      <c r="G1982" s="35">
        <v>-47.803804802847971</v>
      </c>
      <c r="H1982" s="35">
        <v>-18.843369557246263</v>
      </c>
      <c r="I1982" s="35">
        <v>-1.3980873734141504E-2</v>
      </c>
      <c r="J1982" s="35">
        <v>1.6897206204799866E-4</v>
      </c>
      <c r="K1982" s="35">
        <v>-7.3860971390878244E-2</v>
      </c>
      <c r="L1982" s="35">
        <v>24.219460664254004</v>
      </c>
      <c r="M1982" s="58" t="s">
        <v>24</v>
      </c>
      <c r="N1982" s="7">
        <v>9.5</v>
      </c>
      <c r="O1982" s="7" t="s">
        <v>179</v>
      </c>
      <c r="P1982" s="7" t="s">
        <v>179</v>
      </c>
    </row>
    <row r="1983" spans="1:16" x14ac:dyDescent="0.25">
      <c r="A1983" s="2" t="s">
        <v>181</v>
      </c>
      <c r="B1983" s="2" t="s">
        <v>198</v>
      </c>
      <c r="C1983" s="6" t="s">
        <v>145</v>
      </c>
      <c r="D1983" s="2" t="s">
        <v>105</v>
      </c>
      <c r="E1983" s="2"/>
      <c r="F1983" s="35">
        <v>4.5</v>
      </c>
      <c r="G1983" s="35">
        <v>-47.026857824685685</v>
      </c>
      <c r="H1983" s="35">
        <v>-18.843392714656066</v>
      </c>
      <c r="I1983" s="35">
        <v>-1.36090013655581E-2</v>
      </c>
      <c r="J1983" s="35">
        <v>-1.5602822591958919E-4</v>
      </c>
      <c r="K1983" s="35">
        <v>-7.3859949258749752E-2</v>
      </c>
      <c r="L1983" s="35">
        <v>25.19064379508707</v>
      </c>
      <c r="M1983" s="58" t="s">
        <v>24</v>
      </c>
      <c r="N1983" s="7">
        <v>9.5</v>
      </c>
      <c r="O1983" s="7" t="s">
        <v>179</v>
      </c>
      <c r="P1983" s="7" t="s">
        <v>179</v>
      </c>
    </row>
    <row r="1984" spans="1:16" x14ac:dyDescent="0.25">
      <c r="A1984" s="2" t="s">
        <v>181</v>
      </c>
      <c r="B1984" s="2" t="s">
        <v>198</v>
      </c>
      <c r="C1984" s="6" t="s">
        <v>145</v>
      </c>
      <c r="D1984" s="2" t="s">
        <v>105</v>
      </c>
      <c r="E1984" s="2"/>
      <c r="F1984" s="35">
        <v>8.9965005885644871</v>
      </c>
      <c r="G1984" s="35">
        <v>-45.197237130999504</v>
      </c>
      <c r="H1984" s="35">
        <v>-18.843392714656066</v>
      </c>
      <c r="I1984" s="35">
        <v>-1.36090013655581E-2</v>
      </c>
      <c r="J1984" s="35">
        <v>-1.5602822591958919E-4</v>
      </c>
      <c r="K1984" s="35">
        <v>-1.2667066608742837E-2</v>
      </c>
      <c r="L1984" s="35">
        <v>109.91997022708985</v>
      </c>
      <c r="M1984" s="58" t="s">
        <v>23</v>
      </c>
      <c r="N1984" s="7">
        <v>9.5</v>
      </c>
      <c r="O1984" s="7" t="s">
        <v>179</v>
      </c>
      <c r="P1984" s="7" t="s">
        <v>179</v>
      </c>
    </row>
    <row r="1985" spans="1:16" x14ac:dyDescent="0.25">
      <c r="A1985" s="2" t="s">
        <v>181</v>
      </c>
      <c r="B1985" s="2" t="s">
        <v>198</v>
      </c>
      <c r="C1985" s="6" t="s">
        <v>145</v>
      </c>
      <c r="D1985" s="2" t="s">
        <v>15</v>
      </c>
      <c r="E1985" s="2"/>
      <c r="F1985" s="35">
        <v>0</v>
      </c>
      <c r="G1985" s="35">
        <v>70.252626496497115</v>
      </c>
      <c r="H1985" s="35">
        <v>4.9327667237347894</v>
      </c>
      <c r="I1985" s="35">
        <v>-4.3868384732771881</v>
      </c>
      <c r="J1985" s="35">
        <v>-3.5195379483539211E-3</v>
      </c>
      <c r="K1985" s="35">
        <v>-6.9883573374826726</v>
      </c>
      <c r="L1985" s="35">
        <v>46.868504256426469</v>
      </c>
      <c r="M1985" s="58" t="s">
        <v>22</v>
      </c>
      <c r="N1985" s="7">
        <v>9.5</v>
      </c>
      <c r="O1985" s="7" t="s">
        <v>179</v>
      </c>
      <c r="P1985" s="7" t="s">
        <v>179</v>
      </c>
    </row>
    <row r="1986" spans="1:16" x14ac:dyDescent="0.25">
      <c r="A1986" s="2" t="s">
        <v>181</v>
      </c>
      <c r="B1986" s="2" t="s">
        <v>198</v>
      </c>
      <c r="C1986" s="6" t="s">
        <v>145</v>
      </c>
      <c r="D1986" s="2" t="s">
        <v>15</v>
      </c>
      <c r="E1986" s="2"/>
      <c r="F1986" s="35">
        <v>2</v>
      </c>
      <c r="G1986" s="35">
        <v>71.06642409649713</v>
      </c>
      <c r="H1986" s="35">
        <v>13.332766723734789</v>
      </c>
      <c r="I1986" s="35">
        <v>-4.3868384732771872</v>
      </c>
      <c r="J1986" s="35">
        <v>-3.5195379483539211E-3</v>
      </c>
      <c r="K1986" s="35">
        <v>1.7853196090717036</v>
      </c>
      <c r="L1986" s="35">
        <v>28.602970808956883</v>
      </c>
      <c r="M1986" s="58" t="s">
        <v>22</v>
      </c>
      <c r="N1986" s="7">
        <v>9.5</v>
      </c>
      <c r="O1986" s="7" t="s">
        <v>179</v>
      </c>
      <c r="P1986" s="7" t="s">
        <v>179</v>
      </c>
    </row>
    <row r="1987" spans="1:16" x14ac:dyDescent="0.25">
      <c r="A1987" s="2" t="s">
        <v>181</v>
      </c>
      <c r="B1987" s="2" t="s">
        <v>198</v>
      </c>
      <c r="C1987" s="6" t="s">
        <v>145</v>
      </c>
      <c r="D1987" s="2" t="s">
        <v>15</v>
      </c>
      <c r="E1987" s="2"/>
      <c r="F1987" s="35">
        <v>2</v>
      </c>
      <c r="G1987" s="35">
        <v>66.745727733350719</v>
      </c>
      <c r="H1987" s="35">
        <v>13.332748915247155</v>
      </c>
      <c r="I1987" s="35">
        <v>0.24291160408715509</v>
      </c>
      <c r="J1987" s="35">
        <v>-3.5964203788398535E-3</v>
      </c>
      <c r="K1987" s="35">
        <v>1.7853196090717021</v>
      </c>
      <c r="L1987" s="35">
        <v>28.603052816882929</v>
      </c>
      <c r="M1987" s="58" t="s">
        <v>22</v>
      </c>
      <c r="N1987" s="7">
        <v>9.5</v>
      </c>
      <c r="O1987" s="7" t="s">
        <v>179</v>
      </c>
      <c r="P1987" s="7" t="s">
        <v>179</v>
      </c>
    </row>
    <row r="1988" spans="1:16" x14ac:dyDescent="0.25">
      <c r="A1988" s="2" t="s">
        <v>181</v>
      </c>
      <c r="B1988" s="2" t="s">
        <v>198</v>
      </c>
      <c r="C1988" s="6" t="s">
        <v>145</v>
      </c>
      <c r="D1988" s="2" t="s">
        <v>15</v>
      </c>
      <c r="E1988" s="2"/>
      <c r="F1988" s="35">
        <v>4.5</v>
      </c>
      <c r="G1988" s="35">
        <v>67.762974733350731</v>
      </c>
      <c r="H1988" s="35">
        <v>23.832748915247155</v>
      </c>
      <c r="I1988" s="35">
        <v>0.24291160408715573</v>
      </c>
      <c r="J1988" s="35">
        <v>-3.5964203788398535E-3</v>
      </c>
      <c r="K1988" s="35">
        <v>1.1780405988538134</v>
      </c>
      <c r="L1988" s="35">
        <v>-17.853819471234956</v>
      </c>
      <c r="M1988" s="58" t="s">
        <v>24</v>
      </c>
      <c r="N1988" s="7">
        <v>9.5</v>
      </c>
      <c r="O1988" s="7" t="s">
        <v>179</v>
      </c>
      <c r="P1988" s="7" t="s">
        <v>179</v>
      </c>
    </row>
    <row r="1989" spans="1:16" x14ac:dyDescent="0.25">
      <c r="A1989" s="2" t="s">
        <v>181</v>
      </c>
      <c r="B1989" s="2" t="s">
        <v>198</v>
      </c>
      <c r="C1989" s="6" t="s">
        <v>145</v>
      </c>
      <c r="D1989" s="2" t="s">
        <v>15</v>
      </c>
      <c r="E1989" s="2"/>
      <c r="F1989" s="35">
        <v>4.5</v>
      </c>
      <c r="G1989" s="35">
        <v>68.539923393174377</v>
      </c>
      <c r="H1989" s="35">
        <v>23.832861705828229</v>
      </c>
      <c r="I1989" s="35">
        <v>0.23665551745891203</v>
      </c>
      <c r="J1989" s="35">
        <v>2.9198176871338792E-3</v>
      </c>
      <c r="K1989" s="35">
        <v>1.1780352410777937</v>
      </c>
      <c r="L1989" s="35">
        <v>-16.882633480265461</v>
      </c>
      <c r="M1989" s="58" t="s">
        <v>24</v>
      </c>
      <c r="N1989" s="7">
        <v>9.5</v>
      </c>
      <c r="O1989" s="7" t="s">
        <v>179</v>
      </c>
      <c r="P1989" s="7" t="s">
        <v>179</v>
      </c>
    </row>
    <row r="1990" spans="1:16" x14ac:dyDescent="0.25">
      <c r="A1990" s="2" t="s">
        <v>181</v>
      </c>
      <c r="B1990" s="2" t="s">
        <v>198</v>
      </c>
      <c r="C1990" s="6" t="s">
        <v>145</v>
      </c>
      <c r="D1990" s="2" t="s">
        <v>15</v>
      </c>
      <c r="E1990" s="2"/>
      <c r="F1990" s="35">
        <v>8.9965005885644871</v>
      </c>
      <c r="G1990" s="35">
        <v>70.369544086860571</v>
      </c>
      <c r="H1990" s="35">
        <v>42.718164177799082</v>
      </c>
      <c r="I1990" s="35">
        <v>0.23665551745891319</v>
      </c>
      <c r="J1990" s="35">
        <v>2.9198176871338792E-3</v>
      </c>
      <c r="K1990" s="35">
        <v>0.11391356753675995</v>
      </c>
      <c r="L1990" s="35">
        <v>-166.50599700791579</v>
      </c>
      <c r="M1990" s="58" t="s">
        <v>23</v>
      </c>
      <c r="N1990" s="7">
        <v>9.5</v>
      </c>
      <c r="O1990" s="7" t="s">
        <v>179</v>
      </c>
      <c r="P1990" s="7" t="s">
        <v>179</v>
      </c>
    </row>
    <row r="1991" spans="1:16" x14ac:dyDescent="0.25">
      <c r="A1991" s="2" t="s">
        <v>181</v>
      </c>
      <c r="B1991" s="2" t="s">
        <v>198</v>
      </c>
      <c r="C1991" s="6" t="s">
        <v>145</v>
      </c>
      <c r="D1991" s="2" t="s">
        <v>16</v>
      </c>
      <c r="E1991" s="2"/>
      <c r="F1991" s="35">
        <v>0</v>
      </c>
      <c r="G1991" s="35">
        <v>28.436560477081091</v>
      </c>
      <c r="H1991" s="35">
        <v>0.43908545708079411</v>
      </c>
      <c r="I1991" s="35">
        <v>-4.3184140142542784</v>
      </c>
      <c r="J1991" s="35">
        <v>-3.5035709402624245E-3</v>
      </c>
      <c r="K1991" s="35">
        <v>-6.9036778594382824</v>
      </c>
      <c r="L1991" s="35">
        <v>14.885458767827689</v>
      </c>
      <c r="M1991" s="58" t="s">
        <v>22</v>
      </c>
      <c r="N1991" s="7">
        <v>9.5</v>
      </c>
      <c r="O1991" s="7" t="s">
        <v>179</v>
      </c>
      <c r="P1991" s="7" t="s">
        <v>179</v>
      </c>
    </row>
    <row r="1992" spans="1:16" x14ac:dyDescent="0.25">
      <c r="A1992" s="2" t="s">
        <v>181</v>
      </c>
      <c r="B1992" s="2" t="s">
        <v>198</v>
      </c>
      <c r="C1992" s="6" t="s">
        <v>145</v>
      </c>
      <c r="D1992" s="2" t="s">
        <v>16</v>
      </c>
      <c r="E1992" s="2"/>
      <c r="F1992" s="35">
        <v>2</v>
      </c>
      <c r="G1992" s="35">
        <v>29.250358077081088</v>
      </c>
      <c r="H1992" s="35">
        <v>4.1350854570807947</v>
      </c>
      <c r="I1992" s="35">
        <v>-4.3184140142542784</v>
      </c>
      <c r="J1992" s="35">
        <v>-3.5035709402624245E-3</v>
      </c>
      <c r="K1992" s="35">
        <v>1.7331501690702742</v>
      </c>
      <c r="L1992" s="35">
        <v>10.3112878536661</v>
      </c>
      <c r="M1992" s="58" t="s">
        <v>22</v>
      </c>
      <c r="N1992" s="7">
        <v>9.5</v>
      </c>
      <c r="O1992" s="7" t="s">
        <v>179</v>
      </c>
      <c r="P1992" s="7" t="s">
        <v>179</v>
      </c>
    </row>
    <row r="1993" spans="1:16" x14ac:dyDescent="0.25">
      <c r="A1993" s="2" t="s">
        <v>181</v>
      </c>
      <c r="B1993" s="2" t="s">
        <v>198</v>
      </c>
      <c r="C1993" s="6" t="s">
        <v>145</v>
      </c>
      <c r="D1993" s="2" t="s">
        <v>16</v>
      </c>
      <c r="E1993" s="2"/>
      <c r="F1993" s="35">
        <v>2</v>
      </c>
      <c r="G1993" s="35">
        <v>25.000451944057549</v>
      </c>
      <c r="H1993" s="35">
        <v>4.1350780917937371</v>
      </c>
      <c r="I1993" s="35">
        <v>0.23582863520168423</v>
      </c>
      <c r="J1993" s="35">
        <v>-3.5394085096286756E-3</v>
      </c>
      <c r="K1993" s="35">
        <v>1.733150169070274</v>
      </c>
      <c r="L1993" s="35">
        <v>10.311326080406751</v>
      </c>
      <c r="M1993" s="58" t="s">
        <v>22</v>
      </c>
      <c r="N1993" s="7">
        <v>9.5</v>
      </c>
      <c r="O1993" s="7" t="s">
        <v>179</v>
      </c>
      <c r="P1993" s="7" t="s">
        <v>179</v>
      </c>
    </row>
    <row r="1994" spans="1:16" x14ac:dyDescent="0.25">
      <c r="A1994" s="2" t="s">
        <v>181</v>
      </c>
      <c r="B1994" s="2" t="s">
        <v>198</v>
      </c>
      <c r="C1994" s="6" t="s">
        <v>145</v>
      </c>
      <c r="D1994" s="2" t="s">
        <v>16</v>
      </c>
      <c r="E1994" s="2"/>
      <c r="F1994" s="35">
        <v>4.5</v>
      </c>
      <c r="G1994" s="35">
        <v>26.017698944057546</v>
      </c>
      <c r="H1994" s="35">
        <v>8.7550780917937399</v>
      </c>
      <c r="I1994" s="35">
        <v>0.23582863520168448</v>
      </c>
      <c r="J1994" s="35">
        <v>-3.5394085096286756E-3</v>
      </c>
      <c r="K1994" s="35">
        <v>1.1435785810660628</v>
      </c>
      <c r="L1994" s="35">
        <v>-5.8013691490775905</v>
      </c>
      <c r="M1994" s="58" t="s">
        <v>24</v>
      </c>
      <c r="N1994" s="7">
        <v>9.5</v>
      </c>
      <c r="O1994" s="7" t="s">
        <v>179</v>
      </c>
      <c r="P1994" s="7" t="s">
        <v>179</v>
      </c>
    </row>
    <row r="1995" spans="1:16" x14ac:dyDescent="0.25">
      <c r="A1995" s="2" t="s">
        <v>181</v>
      </c>
      <c r="B1995" s="2" t="s">
        <v>198</v>
      </c>
      <c r="C1995" s="6" t="s">
        <v>145</v>
      </c>
      <c r="D1995" s="2" t="s">
        <v>16</v>
      </c>
      <c r="E1995" s="2"/>
      <c r="F1995" s="35">
        <v>4.5</v>
      </c>
      <c r="G1995" s="35">
        <v>26.794647702954389</v>
      </c>
      <c r="H1995" s="35">
        <v>8.7551579038305292</v>
      </c>
      <c r="I1995" s="35">
        <v>0.22977956482758749</v>
      </c>
      <c r="J1995" s="35">
        <v>2.8749076107700573E-3</v>
      </c>
      <c r="K1995" s="35">
        <v>1.1435729154222765</v>
      </c>
      <c r="L1995" s="35">
        <v>-4.8301838342810637</v>
      </c>
      <c r="M1995" s="58" t="s">
        <v>24</v>
      </c>
      <c r="N1995" s="7">
        <v>9.5</v>
      </c>
      <c r="O1995" s="7" t="s">
        <v>179</v>
      </c>
      <c r="P1995" s="7" t="s">
        <v>179</v>
      </c>
    </row>
    <row r="1996" spans="1:16" x14ac:dyDescent="0.25">
      <c r="A1996" s="2" t="s">
        <v>181</v>
      </c>
      <c r="B1996" s="2" t="s">
        <v>198</v>
      </c>
      <c r="C1996" s="6" t="s">
        <v>145</v>
      </c>
      <c r="D1996" s="2" t="s">
        <v>16</v>
      </c>
      <c r="E1996" s="2"/>
      <c r="F1996" s="35">
        <v>8.9965005885644871</v>
      </c>
      <c r="G1996" s="35">
        <v>28.62426839664057</v>
      </c>
      <c r="H1996" s="35">
        <v>17.064690991497706</v>
      </c>
      <c r="I1996" s="35">
        <v>0.22977956482758796</v>
      </c>
      <c r="J1996" s="35">
        <v>2.8749076107700573E-3</v>
      </c>
      <c r="K1996" s="35">
        <v>0.11036896693493656</v>
      </c>
      <c r="L1996" s="35">
        <v>-62.87966671152585</v>
      </c>
      <c r="M1996" s="58" t="s">
        <v>23</v>
      </c>
      <c r="N1996" s="7">
        <v>9.5</v>
      </c>
      <c r="O1996" s="7" t="s">
        <v>179</v>
      </c>
      <c r="P1996" s="7" t="s">
        <v>179</v>
      </c>
    </row>
    <row r="1997" spans="1:16" x14ac:dyDescent="0.25">
      <c r="A1997" s="2" t="s">
        <v>181</v>
      </c>
      <c r="B1997" s="2" t="s">
        <v>198</v>
      </c>
      <c r="C1997" s="6" t="s">
        <v>145</v>
      </c>
      <c r="D1997" s="2" t="s">
        <v>106</v>
      </c>
      <c r="E1997" s="2"/>
      <c r="F1997" s="35">
        <v>0</v>
      </c>
      <c r="G1997" s="35">
        <v>54.026405117004394</v>
      </c>
      <c r="H1997" s="35">
        <v>4.9245210456969462</v>
      </c>
      <c r="I1997" s="35">
        <v>3.8359567282296054</v>
      </c>
      <c r="J1997" s="35">
        <v>3.5809283849495624E-3</v>
      </c>
      <c r="K1997" s="35">
        <v>6.1444638608052182</v>
      </c>
      <c r="L1997" s="35">
        <v>46.267799960028967</v>
      </c>
      <c r="M1997" s="58" t="s">
        <v>22</v>
      </c>
      <c r="N1997" s="7">
        <v>9.5</v>
      </c>
      <c r="O1997" s="7" t="s">
        <v>179</v>
      </c>
      <c r="P1997" s="7" t="s">
        <v>179</v>
      </c>
    </row>
    <row r="1998" spans="1:16" x14ac:dyDescent="0.25">
      <c r="A1998" s="2" t="s">
        <v>181</v>
      </c>
      <c r="B1998" s="2" t="s">
        <v>198</v>
      </c>
      <c r="C1998" s="6" t="s">
        <v>145</v>
      </c>
      <c r="D1998" s="2" t="s">
        <v>106</v>
      </c>
      <c r="E1998" s="2"/>
      <c r="F1998" s="35">
        <v>2</v>
      </c>
      <c r="G1998" s="35">
        <v>54.840202717004388</v>
      </c>
      <c r="H1998" s="35">
        <v>13.324521045696947</v>
      </c>
      <c r="I1998" s="35">
        <v>3.8359567282296059</v>
      </c>
      <c r="J1998" s="35">
        <v>3.5809283849495624E-3</v>
      </c>
      <c r="K1998" s="35">
        <v>-1.527449595653992</v>
      </c>
      <c r="L1998" s="35">
        <v>28.018757868635074</v>
      </c>
      <c r="M1998" s="58" t="s">
        <v>22</v>
      </c>
      <c r="N1998" s="7">
        <v>9.5</v>
      </c>
      <c r="O1998" s="7" t="s">
        <v>179</v>
      </c>
      <c r="P1998" s="7" t="s">
        <v>179</v>
      </c>
    </row>
    <row r="1999" spans="1:16" x14ac:dyDescent="0.25">
      <c r="A1999" s="2" t="s">
        <v>181</v>
      </c>
      <c r="B1999" s="2" t="s">
        <v>198</v>
      </c>
      <c r="C1999" s="6" t="s">
        <v>145</v>
      </c>
      <c r="D1999" s="2" t="s">
        <v>106</v>
      </c>
      <c r="E1999" s="2"/>
      <c r="F1999" s="35">
        <v>2</v>
      </c>
      <c r="G1999" s="35">
        <v>58.649736037951655</v>
      </c>
      <c r="H1999" s="35">
        <v>13.324505217038624</v>
      </c>
      <c r="I1999" s="35">
        <v>-0.20653830626438729</v>
      </c>
      <c r="J1999" s="35">
        <v>3.5306294651812594E-3</v>
      </c>
      <c r="K1999" s="35">
        <v>-1.5274495956539971</v>
      </c>
      <c r="L1999" s="35">
        <v>28.018811520816186</v>
      </c>
      <c r="M1999" s="58" t="s">
        <v>22</v>
      </c>
      <c r="N1999" s="7">
        <v>9.5</v>
      </c>
      <c r="O1999" s="7" t="s">
        <v>179</v>
      </c>
      <c r="P1999" s="7" t="s">
        <v>179</v>
      </c>
    </row>
    <row r="2000" spans="1:16" x14ac:dyDescent="0.25">
      <c r="A2000" s="2" t="s">
        <v>181</v>
      </c>
      <c r="B2000" s="2" t="s">
        <v>198</v>
      </c>
      <c r="C2000" s="6" t="s">
        <v>145</v>
      </c>
      <c r="D2000" s="2" t="s">
        <v>106</v>
      </c>
      <c r="E2000" s="2"/>
      <c r="F2000" s="35">
        <v>4.5</v>
      </c>
      <c r="G2000" s="35">
        <v>59.666983037951653</v>
      </c>
      <c r="H2000" s="35">
        <v>23.824505217038624</v>
      </c>
      <c r="I2000" s="35">
        <v>-0.20653830626438663</v>
      </c>
      <c r="J2000" s="35">
        <v>3.5306294651812594E-3</v>
      </c>
      <c r="K2000" s="35">
        <v>-1.0111038299930297</v>
      </c>
      <c r="L2000" s="35">
        <v>-18.417451521780368</v>
      </c>
      <c r="M2000" s="58" t="s">
        <v>24</v>
      </c>
      <c r="N2000" s="7">
        <v>9.5</v>
      </c>
      <c r="O2000" s="7" t="s">
        <v>179</v>
      </c>
      <c r="P2000" s="7" t="s">
        <v>179</v>
      </c>
    </row>
    <row r="2001" spans="1:16" x14ac:dyDescent="0.25">
      <c r="A2001" s="2" t="s">
        <v>181</v>
      </c>
      <c r="B2001" s="2" t="s">
        <v>198</v>
      </c>
      <c r="C2001" s="6" t="s">
        <v>145</v>
      </c>
      <c r="D2001" s="2" t="s">
        <v>106</v>
      </c>
      <c r="E2001" s="2"/>
      <c r="F2001" s="35">
        <v>4.5</v>
      </c>
      <c r="G2001" s="35">
        <v>60.443928549289765</v>
      </c>
      <c r="H2001" s="35">
        <v>23.824572818408154</v>
      </c>
      <c r="I2001" s="35">
        <v>-0.20105500711764301</v>
      </c>
      <c r="J2001" s="35">
        <v>-2.8380126032939543E-3</v>
      </c>
      <c r="K2001" s="35">
        <v>-1.0110970715554968</v>
      </c>
      <c r="L2001" s="35">
        <v>-17.446270118836878</v>
      </c>
      <c r="M2001" s="58" t="s">
        <v>24</v>
      </c>
      <c r="N2001" s="7">
        <v>9.5</v>
      </c>
      <c r="O2001" s="7" t="s">
        <v>179</v>
      </c>
      <c r="P2001" s="7" t="s">
        <v>179</v>
      </c>
    </row>
    <row r="2002" spans="1:16" x14ac:dyDescent="0.25">
      <c r="A2002" s="2" t="s">
        <v>181</v>
      </c>
      <c r="B2002" s="2" t="s">
        <v>198</v>
      </c>
      <c r="C2002" s="6" t="s">
        <v>145</v>
      </c>
      <c r="D2002" s="2" t="s">
        <v>106</v>
      </c>
      <c r="E2002" s="2"/>
      <c r="F2002" s="35">
        <v>8.9965005885644871</v>
      </c>
      <c r="G2002" s="35">
        <v>62.273549242975939</v>
      </c>
      <c r="H2002" s="35">
        <v>42.70987529037901</v>
      </c>
      <c r="I2002" s="35">
        <v>-0.20105500711764185</v>
      </c>
      <c r="J2002" s="35">
        <v>-2.8380126032939543E-3</v>
      </c>
      <c r="K2002" s="35">
        <v>-0.10705311371718033</v>
      </c>
      <c r="L2002" s="35">
        <v>-167.03236265932429</v>
      </c>
      <c r="M2002" s="58" t="s">
        <v>23</v>
      </c>
      <c r="N2002" s="7">
        <v>9.5</v>
      </c>
      <c r="O2002" s="7" t="s">
        <v>179</v>
      </c>
      <c r="P2002" s="7" t="s">
        <v>179</v>
      </c>
    </row>
    <row r="2003" spans="1:16" x14ac:dyDescent="0.25">
      <c r="A2003" s="2" t="s">
        <v>181</v>
      </c>
      <c r="B2003" s="2" t="s">
        <v>198</v>
      </c>
      <c r="C2003" s="6" t="s">
        <v>145</v>
      </c>
      <c r="D2003" s="2" t="s">
        <v>107</v>
      </c>
      <c r="E2003" s="2"/>
      <c r="F2003" s="35">
        <v>0</v>
      </c>
      <c r="G2003" s="35">
        <v>12.203456998235035</v>
      </c>
      <c r="H2003" s="35">
        <v>0.43090461834060617</v>
      </c>
      <c r="I2003" s="35">
        <v>3.9077351261098796</v>
      </c>
      <c r="J2003" s="35">
        <v>3.5998376027243368E-3</v>
      </c>
      <c r="K2003" s="35">
        <v>6.234507959088238</v>
      </c>
      <c r="L2003" s="35">
        <v>14.285933460638971</v>
      </c>
      <c r="M2003" s="58" t="s">
        <v>22</v>
      </c>
      <c r="N2003" s="7">
        <v>9.5</v>
      </c>
      <c r="O2003" s="7" t="s">
        <v>179</v>
      </c>
      <c r="P2003" s="7" t="s">
        <v>179</v>
      </c>
    </row>
    <row r="2004" spans="1:16" x14ac:dyDescent="0.25">
      <c r="A2004" s="2" t="s">
        <v>181</v>
      </c>
      <c r="B2004" s="2" t="s">
        <v>198</v>
      </c>
      <c r="C2004" s="6" t="s">
        <v>145</v>
      </c>
      <c r="D2004" s="2" t="s">
        <v>107</v>
      </c>
      <c r="E2004" s="2"/>
      <c r="F2004" s="35">
        <v>2</v>
      </c>
      <c r="G2004" s="35">
        <v>13.017254598235033</v>
      </c>
      <c r="H2004" s="35">
        <v>4.1269046183406051</v>
      </c>
      <c r="I2004" s="35">
        <v>3.9077351261098796</v>
      </c>
      <c r="J2004" s="35">
        <v>3.5998376027243368E-3</v>
      </c>
      <c r="K2004" s="35">
        <v>-1.5809622931315199</v>
      </c>
      <c r="L2004" s="35">
        <v>9.7281242239577583</v>
      </c>
      <c r="M2004" s="58" t="s">
        <v>22</v>
      </c>
      <c r="N2004" s="7">
        <v>9.5</v>
      </c>
      <c r="O2004" s="7" t="s">
        <v>179</v>
      </c>
      <c r="P2004" s="7" t="s">
        <v>179</v>
      </c>
    </row>
    <row r="2005" spans="1:16" x14ac:dyDescent="0.25">
      <c r="A2005" s="2" t="s">
        <v>181</v>
      </c>
      <c r="B2005" s="2" t="s">
        <v>198</v>
      </c>
      <c r="C2005" s="6" t="s">
        <v>145</v>
      </c>
      <c r="D2005" s="2" t="s">
        <v>107</v>
      </c>
      <c r="E2005" s="2"/>
      <c r="F2005" s="35">
        <v>2</v>
      </c>
      <c r="G2005" s="35">
        <v>16.900893489644425</v>
      </c>
      <c r="H2005" s="35">
        <v>4.1268992292878997</v>
      </c>
      <c r="I2005" s="35">
        <v>-0.21380369963746554</v>
      </c>
      <c r="J2005" s="35">
        <v>3.5905969519008109E-3</v>
      </c>
      <c r="K2005" s="35">
        <v>-1.5809622931315228</v>
      </c>
      <c r="L2005" s="35">
        <v>9.7281340806519712</v>
      </c>
      <c r="M2005" s="58" t="s">
        <v>22</v>
      </c>
      <c r="N2005" s="7">
        <v>9.5</v>
      </c>
      <c r="O2005" s="7" t="s">
        <v>179</v>
      </c>
      <c r="P2005" s="7" t="s">
        <v>179</v>
      </c>
    </row>
    <row r="2006" spans="1:16" x14ac:dyDescent="0.25">
      <c r="A2006" s="2" t="s">
        <v>181</v>
      </c>
      <c r="B2006" s="2" t="s">
        <v>198</v>
      </c>
      <c r="C2006" s="6" t="s">
        <v>145</v>
      </c>
      <c r="D2006" s="2" t="s">
        <v>107</v>
      </c>
      <c r="E2006" s="2"/>
      <c r="F2006" s="35">
        <v>4.5</v>
      </c>
      <c r="G2006" s="35">
        <v>17.918140489644422</v>
      </c>
      <c r="H2006" s="35">
        <v>8.7468992292879033</v>
      </c>
      <c r="I2006" s="35">
        <v>-0.21380369963746523</v>
      </c>
      <c r="J2006" s="35">
        <v>3.5905969519008109E-3</v>
      </c>
      <c r="K2006" s="35">
        <v>-1.0464530440378594</v>
      </c>
      <c r="L2006" s="35">
        <v>-6.3641139925677779</v>
      </c>
      <c r="M2006" s="58" t="s">
        <v>24</v>
      </c>
      <c r="N2006" s="7">
        <v>9.5</v>
      </c>
      <c r="O2006" s="7" t="s">
        <v>179</v>
      </c>
      <c r="P2006" s="7" t="s">
        <v>179</v>
      </c>
    </row>
    <row r="2007" spans="1:16" x14ac:dyDescent="0.25">
      <c r="A2007" s="2" t="s">
        <v>181</v>
      </c>
      <c r="B2007" s="2" t="s">
        <v>198</v>
      </c>
      <c r="C2007" s="6" t="s">
        <v>145</v>
      </c>
      <c r="D2007" s="2" t="s">
        <v>107</v>
      </c>
      <c r="E2007" s="2"/>
      <c r="F2007" s="35">
        <v>4.5</v>
      </c>
      <c r="G2007" s="35">
        <v>18.695086098749577</v>
      </c>
      <c r="H2007" s="35">
        <v>8.7469341123058229</v>
      </c>
      <c r="I2007" s="35">
        <v>-0.20810836768792609</v>
      </c>
      <c r="J2007" s="35">
        <v>-2.8866263451397681E-3</v>
      </c>
      <c r="K2007" s="35">
        <v>-1.0464465885192702</v>
      </c>
      <c r="L2007" s="35">
        <v>-5.3929332639319432</v>
      </c>
      <c r="M2007" s="58" t="s">
        <v>24</v>
      </c>
      <c r="N2007" s="7">
        <v>9.5</v>
      </c>
      <c r="O2007" s="7" t="s">
        <v>179</v>
      </c>
      <c r="P2007" s="7" t="s">
        <v>179</v>
      </c>
    </row>
    <row r="2008" spans="1:16" x14ac:dyDescent="0.25">
      <c r="A2008" s="2" t="s">
        <v>181</v>
      </c>
      <c r="B2008" s="2" t="s">
        <v>198</v>
      </c>
      <c r="C2008" s="6" t="s">
        <v>145</v>
      </c>
      <c r="D2008" s="2" t="s">
        <v>107</v>
      </c>
      <c r="E2008" s="2"/>
      <c r="F2008" s="35">
        <v>8.9965005885644871</v>
      </c>
      <c r="G2008" s="35">
        <v>20.524706792435758</v>
      </c>
      <c r="H2008" s="35">
        <v>17.056467199973</v>
      </c>
      <c r="I2008" s="35">
        <v>-0.20810836768792559</v>
      </c>
      <c r="J2008" s="35">
        <v>-2.8866263451397681E-3</v>
      </c>
      <c r="K2008" s="35">
        <v>-0.11068719072531687</v>
      </c>
      <c r="L2008" s="35">
        <v>-63.405437857745639</v>
      </c>
      <c r="M2008" s="58" t="s">
        <v>23</v>
      </c>
      <c r="N2008" s="7">
        <v>9.5</v>
      </c>
      <c r="O2008" s="7" t="s">
        <v>179</v>
      </c>
      <c r="P2008" s="7" t="s">
        <v>179</v>
      </c>
    </row>
    <row r="2009" spans="1:16" x14ac:dyDescent="0.25">
      <c r="A2009" s="2" t="s">
        <v>181</v>
      </c>
      <c r="B2009" s="2" t="s">
        <v>198</v>
      </c>
      <c r="C2009" s="6" t="s">
        <v>145</v>
      </c>
      <c r="D2009" s="2" t="s">
        <v>108</v>
      </c>
      <c r="E2009" s="2"/>
      <c r="F2009" s="35">
        <v>0</v>
      </c>
      <c r="G2009" s="35">
        <v>72.930427044004588</v>
      </c>
      <c r="H2009" s="35">
        <v>51.805206216339201</v>
      </c>
      <c r="I2009" s="35">
        <v>4.1741986204551711E-2</v>
      </c>
      <c r="J2009" s="35">
        <v>7.1968995218393955E-5</v>
      </c>
      <c r="K2009" s="35">
        <v>0.12639167428808737</v>
      </c>
      <c r="L2009" s="35">
        <v>157.26244113431588</v>
      </c>
      <c r="M2009" s="58" t="s">
        <v>22</v>
      </c>
      <c r="N2009" s="7">
        <v>9.5</v>
      </c>
      <c r="O2009" s="7" t="s">
        <v>179</v>
      </c>
      <c r="P2009" s="7" t="s">
        <v>179</v>
      </c>
    </row>
    <row r="2010" spans="1:16" x14ac:dyDescent="0.25">
      <c r="A2010" s="2" t="s">
        <v>181</v>
      </c>
      <c r="B2010" s="2" t="s">
        <v>198</v>
      </c>
      <c r="C2010" s="6" t="s">
        <v>145</v>
      </c>
      <c r="D2010" s="2" t="s">
        <v>108</v>
      </c>
      <c r="E2010" s="2"/>
      <c r="F2010" s="35">
        <v>2</v>
      </c>
      <c r="G2010" s="35">
        <v>73.744224644004603</v>
      </c>
      <c r="H2010" s="35">
        <v>45.757206216339199</v>
      </c>
      <c r="I2010" s="35">
        <v>4.1741986204551343E-2</v>
      </c>
      <c r="J2010" s="35">
        <v>7.1968995218393955E-5</v>
      </c>
      <c r="K2010" s="35">
        <v>4.2907701878984329E-2</v>
      </c>
      <c r="L2010" s="35">
        <v>59.700028701637464</v>
      </c>
      <c r="M2010" s="58" t="s">
        <v>22</v>
      </c>
      <c r="N2010" s="7">
        <v>9.5</v>
      </c>
      <c r="O2010" s="7" t="s">
        <v>179</v>
      </c>
      <c r="P2010" s="7" t="s">
        <v>179</v>
      </c>
    </row>
    <row r="2011" spans="1:16" x14ac:dyDescent="0.25">
      <c r="A2011" s="2" t="s">
        <v>181</v>
      </c>
      <c r="B2011" s="2" t="s">
        <v>198</v>
      </c>
      <c r="C2011" s="6" t="s">
        <v>145</v>
      </c>
      <c r="D2011" s="2" t="s">
        <v>108</v>
      </c>
      <c r="E2011" s="2"/>
      <c r="F2011" s="35">
        <v>2</v>
      </c>
      <c r="G2011" s="35">
        <v>73.796834607185204</v>
      </c>
      <c r="H2011" s="35">
        <v>45.757186328705913</v>
      </c>
      <c r="I2011" s="35">
        <v>6.62925342901178E-3</v>
      </c>
      <c r="J2011" s="35">
        <v>-2.6456899261556423E-5</v>
      </c>
      <c r="K2011" s="35">
        <v>4.2907701878984149E-2</v>
      </c>
      <c r="L2011" s="35">
        <v>59.700133689258273</v>
      </c>
      <c r="M2011" s="58" t="s">
        <v>22</v>
      </c>
      <c r="N2011" s="7">
        <v>9.5</v>
      </c>
      <c r="O2011" s="7" t="s">
        <v>179</v>
      </c>
      <c r="P2011" s="7" t="s">
        <v>179</v>
      </c>
    </row>
    <row r="2012" spans="1:16" x14ac:dyDescent="0.25">
      <c r="A2012" s="2" t="s">
        <v>181</v>
      </c>
      <c r="B2012" s="2" t="s">
        <v>198</v>
      </c>
      <c r="C2012" s="6" t="s">
        <v>145</v>
      </c>
      <c r="D2012" s="2" t="s">
        <v>108</v>
      </c>
      <c r="E2012" s="2"/>
      <c r="F2012" s="35">
        <v>4.5</v>
      </c>
      <c r="G2012" s="35">
        <v>74.814081607185187</v>
      </c>
      <c r="H2012" s="35">
        <v>38.197186328705918</v>
      </c>
      <c r="I2012" s="35">
        <v>6.6292534290113177E-3</v>
      </c>
      <c r="J2012" s="35">
        <v>-2.6456899261556423E-5</v>
      </c>
      <c r="K2012" s="35">
        <v>2.633456830645528E-2</v>
      </c>
      <c r="L2012" s="35">
        <v>-45.242832132506507</v>
      </c>
      <c r="M2012" s="58" t="s">
        <v>24</v>
      </c>
      <c r="N2012" s="7">
        <v>9.5</v>
      </c>
      <c r="O2012" s="7" t="s">
        <v>179</v>
      </c>
      <c r="P2012" s="7" t="s">
        <v>179</v>
      </c>
    </row>
    <row r="2013" spans="1:16" x14ac:dyDescent="0.25">
      <c r="A2013" s="2" t="s">
        <v>181</v>
      </c>
      <c r="B2013" s="2" t="s">
        <v>198</v>
      </c>
      <c r="C2013" s="6" t="s">
        <v>145</v>
      </c>
      <c r="D2013" s="2" t="s">
        <v>108</v>
      </c>
      <c r="E2013" s="2"/>
      <c r="F2013" s="35">
        <v>4.5</v>
      </c>
      <c r="G2013" s="35">
        <v>75.591028308684685</v>
      </c>
      <c r="H2013" s="35">
        <v>38.19725568562302</v>
      </c>
      <c r="I2013" s="35">
        <v>6.3837171501046792E-3</v>
      </c>
      <c r="J2013" s="35">
        <v>-2.3016940502151691E-5</v>
      </c>
      <c r="K2013" s="35">
        <v>2.6336456109257254E-2</v>
      </c>
      <c r="L2013" s="35">
        <v>-44.271646502670798</v>
      </c>
      <c r="M2013" s="58" t="s">
        <v>24</v>
      </c>
      <c r="N2013" s="7">
        <v>9.5</v>
      </c>
      <c r="O2013" s="7" t="s">
        <v>179</v>
      </c>
      <c r="P2013" s="7" t="s">
        <v>179</v>
      </c>
    </row>
    <row r="2014" spans="1:16" x14ac:dyDescent="0.25">
      <c r="A2014" s="2" t="s">
        <v>181</v>
      </c>
      <c r="B2014" s="2" t="s">
        <v>198</v>
      </c>
      <c r="C2014" s="6" t="s">
        <v>145</v>
      </c>
      <c r="D2014" s="2" t="s">
        <v>108</v>
      </c>
      <c r="E2014" s="2"/>
      <c r="F2014" s="35">
        <v>8.9965005885644871</v>
      </c>
      <c r="G2014" s="35">
        <v>77.42064900237088</v>
      </c>
      <c r="H2014" s="35">
        <v>24.599837905804016</v>
      </c>
      <c r="I2014" s="35">
        <v>6.3837171501038483E-3</v>
      </c>
      <c r="J2014" s="35">
        <v>-2.3016940502151691E-5</v>
      </c>
      <c r="K2014" s="35">
        <v>-2.3679318134157733E-3</v>
      </c>
      <c r="L2014" s="35">
        <v>-185.45523064966622</v>
      </c>
      <c r="M2014" s="58" t="s">
        <v>23</v>
      </c>
      <c r="N2014" s="7">
        <v>9.5</v>
      </c>
      <c r="O2014" s="7" t="s">
        <v>179</v>
      </c>
      <c r="P2014" s="7" t="s">
        <v>179</v>
      </c>
    </row>
    <row r="2015" spans="1:16" x14ac:dyDescent="0.25">
      <c r="A2015" s="2" t="s">
        <v>181</v>
      </c>
      <c r="B2015" s="2" t="s">
        <v>198</v>
      </c>
      <c r="C2015" s="6" t="s">
        <v>145</v>
      </c>
      <c r="D2015" s="2" t="s">
        <v>109</v>
      </c>
      <c r="E2015" s="2"/>
      <c r="F2015" s="35">
        <v>0</v>
      </c>
      <c r="G2015" s="35">
        <v>-45.365766505035069</v>
      </c>
      <c r="H2015" s="35">
        <v>26.184833394777364</v>
      </c>
      <c r="I2015" s="35">
        <v>0.47460052187588908</v>
      </c>
      <c r="J2015" s="35">
        <v>2.1337394284022155E-4</v>
      </c>
      <c r="K2015" s="35">
        <v>0.77413285534074061</v>
      </c>
      <c r="L2015" s="35">
        <v>81.391961277623039</v>
      </c>
      <c r="M2015" s="58" t="s">
        <v>22</v>
      </c>
      <c r="N2015" s="7">
        <v>9.5</v>
      </c>
      <c r="O2015" s="7" t="s">
        <v>179</v>
      </c>
      <c r="P2015" s="7" t="s">
        <v>179</v>
      </c>
    </row>
    <row r="2016" spans="1:16" x14ac:dyDescent="0.25">
      <c r="A2016" s="2" t="s">
        <v>181</v>
      </c>
      <c r="B2016" s="2" t="s">
        <v>198</v>
      </c>
      <c r="C2016" s="6" t="s">
        <v>145</v>
      </c>
      <c r="D2016" s="2" t="s">
        <v>109</v>
      </c>
      <c r="E2016" s="2"/>
      <c r="F2016" s="35">
        <v>2</v>
      </c>
      <c r="G2016" s="35">
        <v>-44.551968905035075</v>
      </c>
      <c r="H2016" s="35">
        <v>15.432833394777361</v>
      </c>
      <c r="I2016" s="35">
        <v>0.47460052187588841</v>
      </c>
      <c r="J2016" s="35">
        <v>2.1337394284022155E-4</v>
      </c>
      <c r="K2016" s="35">
        <v>-0.1750681884110368</v>
      </c>
      <c r="L2016" s="35">
        <v>39.774294488068307</v>
      </c>
      <c r="M2016" s="58" t="s">
        <v>22</v>
      </c>
      <c r="N2016" s="7">
        <v>9.5</v>
      </c>
      <c r="O2016" s="7" t="s">
        <v>179</v>
      </c>
      <c r="P2016" s="7" t="s">
        <v>179</v>
      </c>
    </row>
    <row r="2017" spans="1:16" x14ac:dyDescent="0.25">
      <c r="A2017" s="2" t="s">
        <v>181</v>
      </c>
      <c r="B2017" s="2" t="s">
        <v>198</v>
      </c>
      <c r="C2017" s="6" t="s">
        <v>145</v>
      </c>
      <c r="D2017" s="2" t="s">
        <v>109</v>
      </c>
      <c r="E2017" s="2"/>
      <c r="F2017" s="35">
        <v>2</v>
      </c>
      <c r="G2017" s="35">
        <v>-44.065878472065464</v>
      </c>
      <c r="H2017" s="35">
        <v>15.432836202653824</v>
      </c>
      <c r="I2017" s="35">
        <v>-2.2886797816380124E-2</v>
      </c>
      <c r="J2017" s="35">
        <v>2.7125468255703142E-4</v>
      </c>
      <c r="K2017" s="35">
        <v>-0.17506818841103669</v>
      </c>
      <c r="L2017" s="35">
        <v>39.774232748612619</v>
      </c>
      <c r="M2017" s="58" t="s">
        <v>22</v>
      </c>
      <c r="N2017" s="7">
        <v>9.5</v>
      </c>
      <c r="O2017" s="7" t="s">
        <v>179</v>
      </c>
      <c r="P2017" s="7" t="s">
        <v>179</v>
      </c>
    </row>
    <row r="2018" spans="1:16" x14ac:dyDescent="0.25">
      <c r="A2018" s="2" t="s">
        <v>181</v>
      </c>
      <c r="B2018" s="2" t="s">
        <v>198</v>
      </c>
      <c r="C2018" s="6" t="s">
        <v>145</v>
      </c>
      <c r="D2018" s="2" t="s">
        <v>109</v>
      </c>
      <c r="E2018" s="2"/>
      <c r="F2018" s="35">
        <v>4.5</v>
      </c>
      <c r="G2018" s="35">
        <v>-43.048631472065466</v>
      </c>
      <c r="H2018" s="35">
        <v>1.992836202653824</v>
      </c>
      <c r="I2018" s="35">
        <v>-2.2886797816380946E-2</v>
      </c>
      <c r="J2018" s="35">
        <v>2.7125468255703142E-4</v>
      </c>
      <c r="K2018" s="35">
        <v>-0.11785119387008534</v>
      </c>
      <c r="L2018" s="35">
        <v>17.992142241978058</v>
      </c>
      <c r="M2018" s="58" t="s">
        <v>24</v>
      </c>
      <c r="N2018" s="7">
        <v>9.5</v>
      </c>
      <c r="O2018" s="7" t="s">
        <v>179</v>
      </c>
      <c r="P2018" s="7" t="s">
        <v>179</v>
      </c>
    </row>
    <row r="2019" spans="1:16" x14ac:dyDescent="0.25">
      <c r="A2019" s="2" t="s">
        <v>181</v>
      </c>
      <c r="B2019" s="2" t="s">
        <v>198</v>
      </c>
      <c r="C2019" s="6" t="s">
        <v>145</v>
      </c>
      <c r="D2019" s="2" t="s">
        <v>109</v>
      </c>
      <c r="E2019" s="2"/>
      <c r="F2019" s="35">
        <v>4.5</v>
      </c>
      <c r="G2019" s="35">
        <v>-42.27168474615862</v>
      </c>
      <c r="H2019" s="35">
        <v>1.9928357186285661</v>
      </c>
      <c r="I2019" s="35">
        <v>-2.2387633397320555E-2</v>
      </c>
      <c r="J2019" s="35">
        <v>-2.8500551090712397E-4</v>
      </c>
      <c r="K2019" s="35">
        <v>-0.11784939097836031</v>
      </c>
      <c r="L2019" s="35">
        <v>18.963327641876056</v>
      </c>
      <c r="M2019" s="58" t="s">
        <v>24</v>
      </c>
      <c r="N2019" s="7">
        <v>9.5</v>
      </c>
      <c r="O2019" s="7" t="s">
        <v>179</v>
      </c>
      <c r="P2019" s="7" t="s">
        <v>179</v>
      </c>
    </row>
    <row r="2020" spans="1:16" x14ac:dyDescent="0.25">
      <c r="A2020" s="2" t="s">
        <v>181</v>
      </c>
      <c r="B2020" s="2" t="s">
        <v>198</v>
      </c>
      <c r="C2020" s="6" t="s">
        <v>145</v>
      </c>
      <c r="D2020" s="2" t="s">
        <v>109</v>
      </c>
      <c r="E2020" s="2"/>
      <c r="F2020" s="35">
        <v>8.9965005885644871</v>
      </c>
      <c r="G2020" s="35">
        <v>-40.442064052472439</v>
      </c>
      <c r="H2020" s="35">
        <v>-22.180351445494122</v>
      </c>
      <c r="I2020" s="35">
        <v>-2.2387633397322033E-2</v>
      </c>
      <c r="J2020" s="35">
        <v>-2.8500551090712397E-4</v>
      </c>
      <c r="K2020" s="35">
        <v>-1.7183384230739129E-2</v>
      </c>
      <c r="L2020" s="35">
        <v>64.349915815628961</v>
      </c>
      <c r="M2020" s="58" t="s">
        <v>23</v>
      </c>
      <c r="N2020" s="7">
        <v>9.5</v>
      </c>
      <c r="O2020" s="7" t="s">
        <v>179</v>
      </c>
      <c r="P2020" s="7" t="s">
        <v>179</v>
      </c>
    </row>
    <row r="2021" spans="1:16" x14ac:dyDescent="0.25">
      <c r="A2021" s="2" t="s">
        <v>181</v>
      </c>
      <c r="B2021" s="2" t="s">
        <v>198</v>
      </c>
      <c r="C2021" s="6" t="s">
        <v>145</v>
      </c>
      <c r="D2021" s="2" t="s">
        <v>110</v>
      </c>
      <c r="E2021" s="2"/>
      <c r="F2021" s="35">
        <v>0</v>
      </c>
      <c r="G2021" s="35">
        <v>56.140529802375688</v>
      </c>
      <c r="H2021" s="35">
        <v>3.6433403088440928</v>
      </c>
      <c r="I2021" s="35">
        <v>2.6195955396592946E-2</v>
      </c>
      <c r="J2021" s="35">
        <v>6.3940734096607342E-5</v>
      </c>
      <c r="K2021" s="35">
        <v>9.1241972364153767E-2</v>
      </c>
      <c r="L2021" s="35">
        <v>17.666741488589757</v>
      </c>
      <c r="M2021" s="58" t="s">
        <v>22</v>
      </c>
      <c r="N2021" s="7">
        <v>9.5</v>
      </c>
      <c r="O2021" s="7" t="s">
        <v>179</v>
      </c>
      <c r="P2021" s="7" t="s">
        <v>179</v>
      </c>
    </row>
    <row r="2022" spans="1:16" x14ac:dyDescent="0.25">
      <c r="A2022" s="2" t="s">
        <v>181</v>
      </c>
      <c r="B2022" s="2" t="s">
        <v>198</v>
      </c>
      <c r="C2022" s="6" t="s">
        <v>145</v>
      </c>
      <c r="D2022" s="2" t="s">
        <v>110</v>
      </c>
      <c r="E2022" s="2"/>
      <c r="F2022" s="35">
        <v>2</v>
      </c>
      <c r="G2022" s="35">
        <v>56.954327402375682</v>
      </c>
      <c r="H2022" s="35">
        <v>10.027340308844092</v>
      </c>
      <c r="I2022" s="35">
        <v>2.6195955396593328E-2</v>
      </c>
      <c r="J2022" s="35">
        <v>6.3940734096607342E-5</v>
      </c>
      <c r="K2022" s="35">
        <v>3.8850061570967494E-2</v>
      </c>
      <c r="L2022" s="35">
        <v>3.9960608709015704</v>
      </c>
      <c r="M2022" s="58" t="s">
        <v>22</v>
      </c>
      <c r="N2022" s="7">
        <v>9.5</v>
      </c>
      <c r="O2022" s="7" t="s">
        <v>179</v>
      </c>
      <c r="P2022" s="7" t="s">
        <v>179</v>
      </c>
    </row>
    <row r="2023" spans="1:16" x14ac:dyDescent="0.25">
      <c r="A2023" s="2" t="s">
        <v>181</v>
      </c>
      <c r="B2023" s="2" t="s">
        <v>198</v>
      </c>
      <c r="C2023" s="6" t="s">
        <v>145</v>
      </c>
      <c r="D2023" s="2" t="s">
        <v>110</v>
      </c>
      <c r="E2023" s="2"/>
      <c r="F2023" s="35">
        <v>2</v>
      </c>
      <c r="G2023" s="35">
        <v>56.992898338757236</v>
      </c>
      <c r="H2023" s="35">
        <v>10.027327767609457</v>
      </c>
      <c r="I2023" s="35">
        <v>6.0591232944815525E-3</v>
      </c>
      <c r="J2023" s="35">
        <v>-1.9251699720140247E-5</v>
      </c>
      <c r="K2023" s="35">
        <v>3.8850061570967459E-2</v>
      </c>
      <c r="L2023" s="35">
        <v>3.9961496094976767</v>
      </c>
      <c r="M2023" s="58" t="s">
        <v>22</v>
      </c>
      <c r="N2023" s="7">
        <v>9.5</v>
      </c>
      <c r="O2023" s="7" t="s">
        <v>179</v>
      </c>
      <c r="P2023" s="7" t="s">
        <v>179</v>
      </c>
    </row>
    <row r="2024" spans="1:16" x14ac:dyDescent="0.25">
      <c r="A2024" s="2" t="s">
        <v>181</v>
      </c>
      <c r="B2024" s="2" t="s">
        <v>198</v>
      </c>
      <c r="C2024" s="6" t="s">
        <v>145</v>
      </c>
      <c r="D2024" s="2" t="s">
        <v>110</v>
      </c>
      <c r="E2024" s="2"/>
      <c r="F2024" s="35">
        <v>4.5</v>
      </c>
      <c r="G2024" s="35">
        <v>58.010145338757226</v>
      </c>
      <c r="H2024" s="35">
        <v>18.007327767609457</v>
      </c>
      <c r="I2024" s="35">
        <v>6.0591232944820408E-3</v>
      </c>
      <c r="J2024" s="35">
        <v>-1.9251699720140247E-5</v>
      </c>
      <c r="K2024" s="35">
        <v>2.3702253334762967E-2</v>
      </c>
      <c r="L2024" s="35">
        <v>-31.047169809525958</v>
      </c>
      <c r="M2024" s="58" t="s">
        <v>24</v>
      </c>
      <c r="N2024" s="7">
        <v>9.5</v>
      </c>
      <c r="O2024" s="7" t="s">
        <v>179</v>
      </c>
      <c r="P2024" s="7" t="s">
        <v>179</v>
      </c>
    </row>
    <row r="2025" spans="1:16" x14ac:dyDescent="0.25">
      <c r="A2025" s="2" t="s">
        <v>181</v>
      </c>
      <c r="B2025" s="2" t="s">
        <v>198</v>
      </c>
      <c r="C2025" s="6" t="s">
        <v>145</v>
      </c>
      <c r="D2025" s="2" t="s">
        <v>110</v>
      </c>
      <c r="E2025" s="2"/>
      <c r="F2025" s="35">
        <v>4.5</v>
      </c>
      <c r="G2025" s="35">
        <v>58.787092095181265</v>
      </c>
      <c r="H2025" s="35">
        <v>18.007382307669914</v>
      </c>
      <c r="I2025" s="35">
        <v>5.8481791882019074E-3</v>
      </c>
      <c r="J2025" s="35">
        <v>3.8406471301213389E-6</v>
      </c>
      <c r="K2025" s="35">
        <v>2.3703967183207608E-2</v>
      </c>
      <c r="L2025" s="35">
        <v>-30.075986374190183</v>
      </c>
      <c r="M2025" s="58" t="s">
        <v>24</v>
      </c>
      <c r="N2025" s="7">
        <v>9.5</v>
      </c>
      <c r="O2025" s="7" t="s">
        <v>179</v>
      </c>
      <c r="P2025" s="7" t="s">
        <v>179</v>
      </c>
    </row>
    <row r="2026" spans="1:16" x14ac:dyDescent="0.25">
      <c r="A2026" s="2" t="s">
        <v>181</v>
      </c>
      <c r="B2026" s="2" t="s">
        <v>198</v>
      </c>
      <c r="C2026" s="6" t="s">
        <v>145</v>
      </c>
      <c r="D2026" s="2" t="s">
        <v>110</v>
      </c>
      <c r="E2026" s="2"/>
      <c r="F2026" s="35">
        <v>8.9965005885644871</v>
      </c>
      <c r="G2026" s="35">
        <v>60.616712788867439</v>
      </c>
      <c r="H2026" s="35">
        <v>32.360212186367761</v>
      </c>
      <c r="I2026" s="35">
        <v>5.848179188202786E-3</v>
      </c>
      <c r="J2026" s="35">
        <v>3.8406471301213389E-6</v>
      </c>
      <c r="K2026" s="35">
        <v>-2.5923739785748304E-3</v>
      </c>
      <c r="L2026" s="35">
        <v>-143.31494551769916</v>
      </c>
      <c r="M2026" s="58" t="s">
        <v>23</v>
      </c>
      <c r="N2026" s="7">
        <v>9.5</v>
      </c>
      <c r="O2026" s="7" t="s">
        <v>179</v>
      </c>
      <c r="P2026" s="7" t="s">
        <v>179</v>
      </c>
    </row>
    <row r="2027" spans="1:16" x14ac:dyDescent="0.25">
      <c r="A2027" s="2" t="s">
        <v>181</v>
      </c>
      <c r="B2027" s="2" t="s">
        <v>198</v>
      </c>
      <c r="C2027" s="6" t="s">
        <v>145</v>
      </c>
      <c r="D2027" s="2" t="s">
        <v>111</v>
      </c>
      <c r="E2027" s="2"/>
      <c r="F2027" s="35">
        <v>0</v>
      </c>
      <c r="G2027" s="35">
        <v>2.6057817410688946</v>
      </c>
      <c r="H2027" s="35">
        <v>-12.597206095564635</v>
      </c>
      <c r="I2027" s="35">
        <v>0.25195921899347923</v>
      </c>
      <c r="J2027" s="35">
        <v>2.0532424949356443E-4</v>
      </c>
      <c r="K2027" s="35">
        <v>0.43193555348980184</v>
      </c>
      <c r="L2027" s="35">
        <v>-79.0262719025515</v>
      </c>
      <c r="M2027" s="58" t="s">
        <v>22</v>
      </c>
      <c r="N2027" s="7">
        <v>9.5</v>
      </c>
      <c r="O2027" s="7" t="s">
        <v>179</v>
      </c>
      <c r="P2027" s="7" t="s">
        <v>179</v>
      </c>
    </row>
    <row r="2028" spans="1:16" x14ac:dyDescent="0.25">
      <c r="A2028" s="2" t="s">
        <v>181</v>
      </c>
      <c r="B2028" s="2" t="s">
        <v>198</v>
      </c>
      <c r="C2028" s="6" t="s">
        <v>145</v>
      </c>
      <c r="D2028" s="2" t="s">
        <v>111</v>
      </c>
      <c r="E2028" s="2"/>
      <c r="F2028" s="35">
        <v>2</v>
      </c>
      <c r="G2028" s="35">
        <v>3.4195793410688924</v>
      </c>
      <c r="H2028" s="35">
        <v>-10.917206095564636</v>
      </c>
      <c r="I2028" s="35">
        <v>0.25195921899347934</v>
      </c>
      <c r="J2028" s="35">
        <v>2.0532424949356443E-4</v>
      </c>
      <c r="K2028" s="35">
        <v>-7.1982884497156757E-2</v>
      </c>
      <c r="L2028" s="35">
        <v>-55.511859711422233</v>
      </c>
      <c r="M2028" s="58" t="s">
        <v>22</v>
      </c>
      <c r="N2028" s="7">
        <v>9.5</v>
      </c>
      <c r="O2028" s="7" t="s">
        <v>179</v>
      </c>
      <c r="P2028" s="7" t="s">
        <v>179</v>
      </c>
    </row>
    <row r="2029" spans="1:16" x14ac:dyDescent="0.25">
      <c r="A2029" s="2" t="s">
        <v>181</v>
      </c>
      <c r="B2029" s="2" t="s">
        <v>198</v>
      </c>
      <c r="C2029" s="6" t="s">
        <v>145</v>
      </c>
      <c r="D2029" s="2" t="s">
        <v>111</v>
      </c>
      <c r="E2029" s="2"/>
      <c r="F2029" s="35">
        <v>2</v>
      </c>
      <c r="G2029" s="35">
        <v>3.6839021615573211</v>
      </c>
      <c r="H2029" s="35">
        <v>-10.917201501529371</v>
      </c>
      <c r="I2029" s="35">
        <v>-8.9774946588578267E-3</v>
      </c>
      <c r="J2029" s="35">
        <v>1.4527030857665709E-4</v>
      </c>
      <c r="K2029" s="35">
        <v>-7.1982884497156924E-2</v>
      </c>
      <c r="L2029" s="35">
        <v>-55.511795653885315</v>
      </c>
      <c r="M2029" s="58" t="s">
        <v>22</v>
      </c>
      <c r="N2029" s="7">
        <v>9.5</v>
      </c>
      <c r="O2029" s="7" t="s">
        <v>179</v>
      </c>
      <c r="P2029" s="7" t="s">
        <v>179</v>
      </c>
    </row>
    <row r="2030" spans="1:16" x14ac:dyDescent="0.25">
      <c r="A2030" s="2" t="s">
        <v>181</v>
      </c>
      <c r="B2030" s="2" t="s">
        <v>198</v>
      </c>
      <c r="C2030" s="6" t="s">
        <v>145</v>
      </c>
      <c r="D2030" s="2" t="s">
        <v>111</v>
      </c>
      <c r="E2030" s="2"/>
      <c r="F2030" s="35">
        <v>4.5</v>
      </c>
      <c r="G2030" s="35">
        <v>4.7011491615573204</v>
      </c>
      <c r="H2030" s="35">
        <v>-8.8172015015293717</v>
      </c>
      <c r="I2030" s="35">
        <v>-8.9774946588576984E-3</v>
      </c>
      <c r="J2030" s="35">
        <v>1.4527030857665709E-4</v>
      </c>
      <c r="K2030" s="35">
        <v>-4.9539147850012524E-2</v>
      </c>
      <c r="L2030" s="35">
        <v>-30.843791900061884</v>
      </c>
      <c r="M2030" s="58" t="s">
        <v>24</v>
      </c>
      <c r="N2030" s="7">
        <v>9.5</v>
      </c>
      <c r="O2030" s="7" t="s">
        <v>179</v>
      </c>
      <c r="P2030" s="7" t="s">
        <v>179</v>
      </c>
    </row>
    <row r="2031" spans="1:16" x14ac:dyDescent="0.25">
      <c r="A2031" s="2" t="s">
        <v>181</v>
      </c>
      <c r="B2031" s="2" t="s">
        <v>198</v>
      </c>
      <c r="C2031" s="6" t="s">
        <v>145</v>
      </c>
      <c r="D2031" s="2" t="s">
        <v>111</v>
      </c>
      <c r="E2031" s="2"/>
      <c r="F2031" s="35">
        <v>4.5</v>
      </c>
      <c r="G2031" s="35">
        <v>5.4780959253008543</v>
      </c>
      <c r="H2031" s="35">
        <v>-8.817164425658202</v>
      </c>
      <c r="I2031" s="35">
        <v>-8.7912535170684009E-3</v>
      </c>
      <c r="J2031" s="35">
        <v>-2.0889370688118006E-4</v>
      </c>
      <c r="K2031" s="35">
        <v>-4.9537451755109922E-2</v>
      </c>
      <c r="L2031" s="35">
        <v>-29.872608515813464</v>
      </c>
      <c r="M2031" s="58" t="s">
        <v>24</v>
      </c>
      <c r="N2031" s="7">
        <v>9.5</v>
      </c>
      <c r="O2031" s="7" t="s">
        <v>179</v>
      </c>
      <c r="P2031" s="7" t="s">
        <v>179</v>
      </c>
    </row>
    <row r="2032" spans="1:16" x14ac:dyDescent="0.25">
      <c r="A2032" s="2" t="s">
        <v>181</v>
      </c>
      <c r="B2032" s="2" t="s">
        <v>198</v>
      </c>
      <c r="C2032" s="6" t="s">
        <v>145</v>
      </c>
      <c r="D2032" s="2" t="s">
        <v>111</v>
      </c>
      <c r="E2032" s="2"/>
      <c r="F2032" s="35">
        <v>8.9965005885644871</v>
      </c>
      <c r="G2032" s="35">
        <v>7.3077166189870351</v>
      </c>
      <c r="H2032" s="35">
        <v>-5.0401039312640323</v>
      </c>
      <c r="I2032" s="35">
        <v>-8.7912535170681701E-3</v>
      </c>
      <c r="J2032" s="35">
        <v>-2.0889370688118006E-4</v>
      </c>
      <c r="K2032" s="35">
        <v>-1.0007575141392753E-2</v>
      </c>
      <c r="L2032" s="35">
        <v>1.2819991455849777</v>
      </c>
      <c r="M2032" s="58" t="s">
        <v>23</v>
      </c>
      <c r="N2032" s="7">
        <v>9.5</v>
      </c>
      <c r="O2032" s="7" t="s">
        <v>179</v>
      </c>
      <c r="P2032" s="7" t="s">
        <v>179</v>
      </c>
    </row>
    <row r="2033" spans="1:16" x14ac:dyDescent="0.25">
      <c r="A2033" s="2" t="s">
        <v>181</v>
      </c>
      <c r="B2033" s="2" t="s">
        <v>198</v>
      </c>
      <c r="C2033" s="6" t="s">
        <v>145</v>
      </c>
      <c r="D2033" s="2" t="s">
        <v>112</v>
      </c>
      <c r="E2033" s="2"/>
      <c r="F2033" s="35">
        <v>0</v>
      </c>
      <c r="G2033" s="35">
        <v>33.156442370135167</v>
      </c>
      <c r="H2033" s="35">
        <v>-8.2388313467608612</v>
      </c>
      <c r="I2033" s="35">
        <v>-3.8034207538153213</v>
      </c>
      <c r="J2033" s="35">
        <v>-3.1234663467580377E-3</v>
      </c>
      <c r="K2033" s="35">
        <v>-6.0654014679416317</v>
      </c>
      <c r="L2033" s="35">
        <v>1.7869434344151089</v>
      </c>
      <c r="M2033" s="58" t="s">
        <v>22</v>
      </c>
      <c r="N2033" s="7">
        <v>9.5</v>
      </c>
      <c r="O2033" s="7" t="s">
        <v>179</v>
      </c>
      <c r="P2033" s="7" t="s">
        <v>179</v>
      </c>
    </row>
    <row r="2034" spans="1:16" x14ac:dyDescent="0.25">
      <c r="A2034" s="2" t="s">
        <v>181</v>
      </c>
      <c r="B2034" s="2" t="s">
        <v>198</v>
      </c>
      <c r="C2034" s="6" t="s">
        <v>145</v>
      </c>
      <c r="D2034" s="2" t="s">
        <v>112</v>
      </c>
      <c r="E2034" s="2"/>
      <c r="F2034" s="35">
        <v>2</v>
      </c>
      <c r="G2034" s="35">
        <v>33.970239970135161</v>
      </c>
      <c r="H2034" s="35">
        <v>-0.67883134676086032</v>
      </c>
      <c r="I2034" s="35">
        <v>-3.8034207538153204</v>
      </c>
      <c r="J2034" s="35">
        <v>-3.1234663467580377E-3</v>
      </c>
      <c r="K2034" s="35">
        <v>1.5414400396890091</v>
      </c>
      <c r="L2034" s="35">
        <v>10.704606127936838</v>
      </c>
      <c r="M2034" s="58" t="s">
        <v>22</v>
      </c>
      <c r="N2034" s="7">
        <v>9.5</v>
      </c>
      <c r="O2034" s="7" t="s">
        <v>179</v>
      </c>
      <c r="P2034" s="7" t="s">
        <v>179</v>
      </c>
    </row>
    <row r="2035" spans="1:16" x14ac:dyDescent="0.25">
      <c r="A2035" s="2" t="s">
        <v>181</v>
      </c>
      <c r="B2035" s="2" t="s">
        <v>198</v>
      </c>
      <c r="C2035" s="6" t="s">
        <v>145</v>
      </c>
      <c r="D2035" s="2" t="s">
        <v>112</v>
      </c>
      <c r="E2035" s="2"/>
      <c r="F2035" s="35">
        <v>2</v>
      </c>
      <c r="G2035" s="35">
        <v>30.227492039585886</v>
      </c>
      <c r="H2035" s="35">
        <v>-0.67883999261850458</v>
      </c>
      <c r="I2035" s="35">
        <v>0.20985213333318753</v>
      </c>
      <c r="J2035" s="35">
        <v>-3.1521826966219957E-3</v>
      </c>
      <c r="K2035" s="35">
        <v>1.5414400396890076</v>
      </c>
      <c r="L2035" s="35">
        <v>10.704636758710214</v>
      </c>
      <c r="M2035" s="58" t="s">
        <v>22</v>
      </c>
      <c r="N2035" s="7">
        <v>9.5</v>
      </c>
      <c r="O2035" s="7" t="s">
        <v>179</v>
      </c>
      <c r="P2035" s="7" t="s">
        <v>179</v>
      </c>
    </row>
    <row r="2036" spans="1:16" x14ac:dyDescent="0.25">
      <c r="A2036" s="2" t="s">
        <v>181</v>
      </c>
      <c r="B2036" s="2" t="s">
        <v>198</v>
      </c>
      <c r="C2036" s="6" t="s">
        <v>145</v>
      </c>
      <c r="D2036" s="2" t="s">
        <v>112</v>
      </c>
      <c r="E2036" s="2"/>
      <c r="F2036" s="35">
        <v>4.5</v>
      </c>
      <c r="G2036" s="35">
        <v>31.244739039585891</v>
      </c>
      <c r="H2036" s="35">
        <v>8.7711600073814964</v>
      </c>
      <c r="I2036" s="35">
        <v>0.20985213333318811</v>
      </c>
      <c r="J2036" s="35">
        <v>-3.1521826966219957E-3</v>
      </c>
      <c r="K2036" s="35">
        <v>1.0168097063560382</v>
      </c>
      <c r="L2036" s="35">
        <v>0.58923674025646577</v>
      </c>
      <c r="M2036" s="58" t="s">
        <v>24</v>
      </c>
      <c r="N2036" s="7">
        <v>9.5</v>
      </c>
      <c r="O2036" s="7" t="s">
        <v>179</v>
      </c>
      <c r="P2036" s="7" t="s">
        <v>179</v>
      </c>
    </row>
    <row r="2037" spans="1:16" x14ac:dyDescent="0.25">
      <c r="A2037" s="2" t="s">
        <v>181</v>
      </c>
      <c r="B2037" s="2" t="s">
        <v>198</v>
      </c>
      <c r="C2037" s="6" t="s">
        <v>145</v>
      </c>
      <c r="D2037" s="2" t="s">
        <v>112</v>
      </c>
      <c r="E2037" s="2"/>
      <c r="F2037" s="35">
        <v>4.5</v>
      </c>
      <c r="G2037" s="35">
        <v>32.021687501924632</v>
      </c>
      <c r="H2037" s="35">
        <v>8.7712422815864421</v>
      </c>
      <c r="I2037" s="35">
        <v>0.20443517302139849</v>
      </c>
      <c r="J2037" s="35">
        <v>2.5491591303464091E-3</v>
      </c>
      <c r="K2037" s="35">
        <v>1.016805077846616</v>
      </c>
      <c r="L2037" s="35">
        <v>1.5604218905878919</v>
      </c>
      <c r="M2037" s="58" t="s">
        <v>24</v>
      </c>
      <c r="N2037" s="7">
        <v>9.5</v>
      </c>
      <c r="O2037" s="7" t="s">
        <v>179</v>
      </c>
      <c r="P2037" s="7" t="s">
        <v>179</v>
      </c>
    </row>
    <row r="2038" spans="1:16" x14ac:dyDescent="0.25">
      <c r="A2038" s="2" t="s">
        <v>181</v>
      </c>
      <c r="B2038" s="2" t="s">
        <v>198</v>
      </c>
      <c r="C2038" s="6" t="s">
        <v>145</v>
      </c>
      <c r="D2038" s="2" t="s">
        <v>112</v>
      </c>
      <c r="E2038" s="2"/>
      <c r="F2038" s="35">
        <v>8.9965005885644871</v>
      </c>
      <c r="G2038" s="35">
        <v>33.851308195610805</v>
      </c>
      <c r="H2038" s="35">
        <v>25.76801450636021</v>
      </c>
      <c r="I2038" s="35">
        <v>0.20443517302139955</v>
      </c>
      <c r="J2038" s="35">
        <v>2.5491591303464091E-3</v>
      </c>
      <c r="K2038" s="35">
        <v>9.75622020326124E-2</v>
      </c>
      <c r="L2038" s="35">
        <v>-76.092472347203142</v>
      </c>
      <c r="M2038" s="58" t="s">
        <v>23</v>
      </c>
      <c r="N2038" s="7">
        <v>9.5</v>
      </c>
      <c r="O2038" s="7" t="s">
        <v>179</v>
      </c>
      <c r="P2038" s="7" t="s">
        <v>179</v>
      </c>
    </row>
    <row r="2039" spans="1:16" x14ac:dyDescent="0.25">
      <c r="A2039" s="2" t="s">
        <v>181</v>
      </c>
      <c r="B2039" s="2" t="s">
        <v>198</v>
      </c>
      <c r="C2039" s="6" t="s">
        <v>145</v>
      </c>
      <c r="D2039" s="2" t="s">
        <v>113</v>
      </c>
      <c r="E2039" s="2"/>
      <c r="F2039" s="35">
        <v>0</v>
      </c>
      <c r="G2039" s="35">
        <v>-4.4780170473392564</v>
      </c>
      <c r="H2039" s="35">
        <v>-12.283144486749455</v>
      </c>
      <c r="I2039" s="35">
        <v>-3.741838740694702</v>
      </c>
      <c r="J2039" s="35">
        <v>-3.1090960394756918E-3</v>
      </c>
      <c r="K2039" s="35">
        <v>-5.9891899377016813</v>
      </c>
      <c r="L2039" s="35">
        <v>-26.997797505323792</v>
      </c>
      <c r="M2039" s="58" t="s">
        <v>22</v>
      </c>
      <c r="N2039" s="7">
        <v>9.5</v>
      </c>
      <c r="O2039" s="7" t="s">
        <v>179</v>
      </c>
      <c r="P2039" s="7" t="s">
        <v>179</v>
      </c>
    </row>
    <row r="2040" spans="1:16" x14ac:dyDescent="0.25">
      <c r="A2040" s="2" t="s">
        <v>181</v>
      </c>
      <c r="B2040" s="2" t="s">
        <v>198</v>
      </c>
      <c r="C2040" s="6" t="s">
        <v>145</v>
      </c>
      <c r="D2040" s="2" t="s">
        <v>113</v>
      </c>
      <c r="E2040" s="2"/>
      <c r="F2040" s="35">
        <v>2</v>
      </c>
      <c r="G2040" s="35">
        <v>-3.6642194473392657</v>
      </c>
      <c r="H2040" s="35">
        <v>-8.9567444867494554</v>
      </c>
      <c r="I2040" s="35">
        <v>-3.741838740694702</v>
      </c>
      <c r="J2040" s="35">
        <v>-3.1090960394756918E-3</v>
      </c>
      <c r="K2040" s="35">
        <v>1.4944875436877225</v>
      </c>
      <c r="L2040" s="35">
        <v>-5.7579085318248744</v>
      </c>
      <c r="M2040" s="58" t="s">
        <v>22</v>
      </c>
      <c r="N2040" s="7">
        <v>9.5</v>
      </c>
      <c r="O2040" s="7" t="s">
        <v>179</v>
      </c>
      <c r="P2040" s="7" t="s">
        <v>179</v>
      </c>
    </row>
    <row r="2041" spans="1:16" x14ac:dyDescent="0.25">
      <c r="A2041" s="2" t="s">
        <v>181</v>
      </c>
      <c r="B2041" s="2" t="s">
        <v>198</v>
      </c>
      <c r="C2041" s="6" t="s">
        <v>145</v>
      </c>
      <c r="D2041" s="2" t="s">
        <v>113</v>
      </c>
      <c r="E2041" s="2"/>
      <c r="F2041" s="35">
        <v>2</v>
      </c>
      <c r="G2041" s="35">
        <v>-7.3432561707779662</v>
      </c>
      <c r="H2041" s="35">
        <v>-8.9567437337265794</v>
      </c>
      <c r="I2041" s="35">
        <v>0.20347746133626377</v>
      </c>
      <c r="J2041" s="35">
        <v>-3.1008720143319356E-3</v>
      </c>
      <c r="K2041" s="35">
        <v>1.4944875436877223</v>
      </c>
      <c r="L2041" s="35">
        <v>-5.7579173041183482</v>
      </c>
      <c r="M2041" s="58" t="s">
        <v>22</v>
      </c>
      <c r="N2041" s="7">
        <v>9.5</v>
      </c>
      <c r="O2041" s="7" t="s">
        <v>179</v>
      </c>
      <c r="P2041" s="7" t="s">
        <v>179</v>
      </c>
    </row>
    <row r="2042" spans="1:16" x14ac:dyDescent="0.25">
      <c r="A2042" s="2" t="s">
        <v>181</v>
      </c>
      <c r="B2042" s="2" t="s">
        <v>198</v>
      </c>
      <c r="C2042" s="6" t="s">
        <v>145</v>
      </c>
      <c r="D2042" s="2" t="s">
        <v>113</v>
      </c>
      <c r="E2042" s="2"/>
      <c r="F2042" s="35">
        <v>4.5</v>
      </c>
      <c r="G2042" s="35">
        <v>-6.3260091707779633</v>
      </c>
      <c r="H2042" s="35">
        <v>-4.798743733726579</v>
      </c>
      <c r="I2042" s="35">
        <v>0.20347746133626401</v>
      </c>
      <c r="J2042" s="35">
        <v>-3.1008720143319356E-3</v>
      </c>
      <c r="K2042" s="35">
        <v>0.98579389034706255</v>
      </c>
      <c r="L2042" s="35">
        <v>11.436442030198096</v>
      </c>
      <c r="M2042" s="58" t="s">
        <v>24</v>
      </c>
      <c r="N2042" s="7">
        <v>9.5</v>
      </c>
      <c r="O2042" s="7" t="s">
        <v>179</v>
      </c>
      <c r="P2042" s="7" t="s">
        <v>179</v>
      </c>
    </row>
    <row r="2043" spans="1:16" x14ac:dyDescent="0.25">
      <c r="A2043" s="2" t="s">
        <v>181</v>
      </c>
      <c r="B2043" s="2" t="s">
        <v>198</v>
      </c>
      <c r="C2043" s="6" t="s">
        <v>145</v>
      </c>
      <c r="D2043" s="2" t="s">
        <v>113</v>
      </c>
      <c r="E2043" s="2"/>
      <c r="F2043" s="35">
        <v>4.5</v>
      </c>
      <c r="G2043" s="35">
        <v>-5.5490606192733525</v>
      </c>
      <c r="H2043" s="35">
        <v>-4.7986911402114849</v>
      </c>
      <c r="I2043" s="35">
        <v>0.19824681565320643</v>
      </c>
      <c r="J2043" s="35">
        <v>2.5087400616189697E-3</v>
      </c>
      <c r="K2043" s="35">
        <v>0.98578898475665044</v>
      </c>
      <c r="L2043" s="35">
        <v>12.407626571973848</v>
      </c>
      <c r="M2043" s="58" t="s">
        <v>24</v>
      </c>
      <c r="N2043" s="7">
        <v>9.5</v>
      </c>
      <c r="O2043" s="7" t="s">
        <v>179</v>
      </c>
      <c r="P2043" s="7" t="s">
        <v>179</v>
      </c>
    </row>
    <row r="2044" spans="1:16" x14ac:dyDescent="0.25">
      <c r="A2044" s="2" t="s">
        <v>181</v>
      </c>
      <c r="B2044" s="2" t="s">
        <v>198</v>
      </c>
      <c r="C2044" s="6" t="s">
        <v>145</v>
      </c>
      <c r="D2044" s="2" t="s">
        <v>113</v>
      </c>
      <c r="E2044" s="2"/>
      <c r="F2044" s="35">
        <v>8.9965005885644871</v>
      </c>
      <c r="G2044" s="35">
        <v>-3.7194399255871753</v>
      </c>
      <c r="H2044" s="35">
        <v>2.6798886386889711</v>
      </c>
      <c r="I2044" s="35">
        <v>0.19824681565320687</v>
      </c>
      <c r="J2044" s="35">
        <v>2.5087400616189697E-3</v>
      </c>
      <c r="K2044" s="35">
        <v>9.437206149097134E-2</v>
      </c>
      <c r="L2044" s="35">
        <v>17.171224919547793</v>
      </c>
      <c r="M2044" s="58" t="s">
        <v>23</v>
      </c>
      <c r="N2044" s="7">
        <v>9.5</v>
      </c>
      <c r="O2044" s="7" t="s">
        <v>179</v>
      </c>
      <c r="P2044" s="7" t="s">
        <v>179</v>
      </c>
    </row>
    <row r="2045" spans="1:16" x14ac:dyDescent="0.25">
      <c r="A2045" s="2" t="s">
        <v>181</v>
      </c>
      <c r="B2045" s="2" t="s">
        <v>198</v>
      </c>
      <c r="C2045" s="6" t="s">
        <v>145</v>
      </c>
      <c r="D2045" s="2" t="s">
        <v>114</v>
      </c>
      <c r="E2045" s="2"/>
      <c r="F2045" s="35">
        <v>0</v>
      </c>
      <c r="G2045" s="35">
        <v>18.552843128591714</v>
      </c>
      <c r="H2045" s="35">
        <v>-8.2462524569949185</v>
      </c>
      <c r="I2045" s="35">
        <v>3.5970949275407933</v>
      </c>
      <c r="J2045" s="35">
        <v>3.2669533532150969E-3</v>
      </c>
      <c r="K2045" s="35">
        <v>5.7541376105174695</v>
      </c>
      <c r="L2045" s="35">
        <v>1.2463095676573586</v>
      </c>
      <c r="M2045" s="58" t="s">
        <v>22</v>
      </c>
      <c r="N2045" s="7">
        <v>9.5</v>
      </c>
      <c r="O2045" s="7" t="s">
        <v>179</v>
      </c>
      <c r="P2045" s="7" t="s">
        <v>179</v>
      </c>
    </row>
    <row r="2046" spans="1:16" x14ac:dyDescent="0.25">
      <c r="A2046" s="2" t="s">
        <v>181</v>
      </c>
      <c r="B2046" s="2" t="s">
        <v>198</v>
      </c>
      <c r="C2046" s="6" t="s">
        <v>145</v>
      </c>
      <c r="D2046" s="2" t="s">
        <v>114</v>
      </c>
      <c r="E2046" s="2"/>
      <c r="F2046" s="35">
        <v>2</v>
      </c>
      <c r="G2046" s="35">
        <v>19.366640728591705</v>
      </c>
      <c r="H2046" s="35">
        <v>-0.68625245699491633</v>
      </c>
      <c r="I2046" s="35">
        <v>3.5970949275407937</v>
      </c>
      <c r="J2046" s="35">
        <v>3.2669533532150969E-3</v>
      </c>
      <c r="K2046" s="35">
        <v>-1.4400522445641171</v>
      </c>
      <c r="L2046" s="35">
        <v>10.178814481647198</v>
      </c>
      <c r="M2046" s="58" t="s">
        <v>22</v>
      </c>
      <c r="N2046" s="7">
        <v>9.5</v>
      </c>
      <c r="O2046" s="7" t="s">
        <v>179</v>
      </c>
      <c r="P2046" s="7" t="s">
        <v>179</v>
      </c>
    </row>
    <row r="2047" spans="1:16" x14ac:dyDescent="0.25">
      <c r="A2047" s="2" t="s">
        <v>181</v>
      </c>
      <c r="B2047" s="2" t="s">
        <v>198</v>
      </c>
      <c r="C2047" s="6" t="s">
        <v>145</v>
      </c>
      <c r="D2047" s="2" t="s">
        <v>114</v>
      </c>
      <c r="E2047" s="2"/>
      <c r="F2047" s="35">
        <v>2</v>
      </c>
      <c r="G2047" s="35">
        <v>22.941099513726726</v>
      </c>
      <c r="H2047" s="35">
        <v>-0.68625932100618214</v>
      </c>
      <c r="I2047" s="35">
        <v>-0.19465278598320063</v>
      </c>
      <c r="J2047" s="35">
        <v>3.262162162997006E-3</v>
      </c>
      <c r="K2047" s="35">
        <v>-1.4400522445641217</v>
      </c>
      <c r="L2047" s="35">
        <v>10.178819592250147</v>
      </c>
      <c r="M2047" s="58" t="s">
        <v>22</v>
      </c>
      <c r="N2047" s="7">
        <v>9.5</v>
      </c>
      <c r="O2047" s="7" t="s">
        <v>179</v>
      </c>
      <c r="P2047" s="7" t="s">
        <v>179</v>
      </c>
    </row>
    <row r="2048" spans="1:16" x14ac:dyDescent="0.25">
      <c r="A2048" s="2" t="s">
        <v>181</v>
      </c>
      <c r="B2048" s="2" t="s">
        <v>198</v>
      </c>
      <c r="C2048" s="6" t="s">
        <v>145</v>
      </c>
      <c r="D2048" s="2" t="s">
        <v>114</v>
      </c>
      <c r="E2048" s="2"/>
      <c r="F2048" s="35">
        <v>4.5</v>
      </c>
      <c r="G2048" s="35">
        <v>23.958346513726728</v>
      </c>
      <c r="H2048" s="35">
        <v>8.7637406789938197</v>
      </c>
      <c r="I2048" s="35">
        <v>-0.19465278598320002</v>
      </c>
      <c r="J2048" s="35">
        <v>3.262162162997006E-3</v>
      </c>
      <c r="K2048" s="35">
        <v>-0.95342027960612086</v>
      </c>
      <c r="L2048" s="35">
        <v>8.1967894765596822E-2</v>
      </c>
      <c r="M2048" s="58" t="s">
        <v>24</v>
      </c>
      <c r="N2048" s="7">
        <v>9.5</v>
      </c>
      <c r="O2048" s="7" t="s">
        <v>179</v>
      </c>
      <c r="P2048" s="7" t="s">
        <v>179</v>
      </c>
    </row>
    <row r="2049" spans="1:16" x14ac:dyDescent="0.25">
      <c r="A2049" s="2" t="s">
        <v>181</v>
      </c>
      <c r="B2049" s="2" t="s">
        <v>198</v>
      </c>
      <c r="C2049" s="6" t="s">
        <v>145</v>
      </c>
      <c r="D2049" s="2" t="s">
        <v>114</v>
      </c>
      <c r="E2049" s="2"/>
      <c r="F2049" s="35">
        <v>4.5</v>
      </c>
      <c r="G2049" s="35">
        <v>24.735292142428481</v>
      </c>
      <c r="H2049" s="35">
        <v>8.7637822829083767</v>
      </c>
      <c r="I2049" s="35">
        <v>-0.18950429909750105</v>
      </c>
      <c r="J2049" s="35">
        <v>-2.6328881310386412E-3</v>
      </c>
      <c r="K2049" s="35">
        <v>-0.9534140035233456</v>
      </c>
      <c r="L2049" s="35">
        <v>1.0531489158736129</v>
      </c>
      <c r="M2049" s="58" t="s">
        <v>24</v>
      </c>
      <c r="N2049" s="7">
        <v>9.5</v>
      </c>
      <c r="O2049" s="7" t="s">
        <v>179</v>
      </c>
      <c r="P2049" s="7" t="s">
        <v>179</v>
      </c>
    </row>
    <row r="2050" spans="1:16" x14ac:dyDescent="0.25">
      <c r="A2050" s="2" t="s">
        <v>181</v>
      </c>
      <c r="B2050" s="2" t="s">
        <v>198</v>
      </c>
      <c r="C2050" s="6" t="s">
        <v>145</v>
      </c>
      <c r="D2050" s="2" t="s">
        <v>114</v>
      </c>
      <c r="E2050" s="2"/>
      <c r="F2050" s="35">
        <v>8.9965005885644871</v>
      </c>
      <c r="G2050" s="35">
        <v>26.564912836114658</v>
      </c>
      <c r="H2050" s="35">
        <v>25.760554507682148</v>
      </c>
      <c r="I2050" s="35">
        <v>-0.1895042990975</v>
      </c>
      <c r="J2050" s="35">
        <v>-2.6328881310386412E-3</v>
      </c>
      <c r="K2050" s="35">
        <v>-0.10130781109593386</v>
      </c>
      <c r="L2050" s="35">
        <v>-76.566201433470823</v>
      </c>
      <c r="M2050" s="58" t="s">
        <v>23</v>
      </c>
      <c r="N2050" s="7">
        <v>9.5</v>
      </c>
      <c r="O2050" s="7" t="s">
        <v>179</v>
      </c>
      <c r="P2050" s="7" t="s">
        <v>179</v>
      </c>
    </row>
    <row r="2051" spans="1:16" x14ac:dyDescent="0.25">
      <c r="A2051" s="2" t="s">
        <v>181</v>
      </c>
      <c r="B2051" s="2" t="s">
        <v>198</v>
      </c>
      <c r="C2051" s="6" t="s">
        <v>145</v>
      </c>
      <c r="D2051" s="2" t="s">
        <v>115</v>
      </c>
      <c r="E2051" s="2"/>
      <c r="F2051" s="35">
        <v>0</v>
      </c>
      <c r="G2051" s="35">
        <v>-19.087810178300707</v>
      </c>
      <c r="H2051" s="35">
        <v>-12.290507241615625</v>
      </c>
      <c r="I2051" s="35">
        <v>3.6616954856330399</v>
      </c>
      <c r="J2051" s="35">
        <v>3.283971649212394E-3</v>
      </c>
      <c r="K2051" s="35">
        <v>5.8351772989721882</v>
      </c>
      <c r="L2051" s="35">
        <v>-27.537370281793635</v>
      </c>
      <c r="M2051" s="58" t="s">
        <v>22</v>
      </c>
      <c r="N2051" s="7">
        <v>9.5</v>
      </c>
      <c r="O2051" s="7" t="s">
        <v>179</v>
      </c>
      <c r="P2051" s="7" t="s">
        <v>179</v>
      </c>
    </row>
    <row r="2052" spans="1:16" x14ac:dyDescent="0.25">
      <c r="A2052" s="2" t="s">
        <v>181</v>
      </c>
      <c r="B2052" s="2" t="s">
        <v>198</v>
      </c>
      <c r="C2052" s="6" t="s">
        <v>145</v>
      </c>
      <c r="D2052" s="2" t="s">
        <v>115</v>
      </c>
      <c r="E2052" s="2"/>
      <c r="F2052" s="35">
        <v>2</v>
      </c>
      <c r="G2052" s="35">
        <v>-18.274012578300717</v>
      </c>
      <c r="H2052" s="35">
        <v>-8.9641072416156256</v>
      </c>
      <c r="I2052" s="35">
        <v>3.6616954856330399</v>
      </c>
      <c r="J2052" s="35">
        <v>3.283971649212394E-3</v>
      </c>
      <c r="K2052" s="35">
        <v>-1.4882136722938921</v>
      </c>
      <c r="L2052" s="35">
        <v>-6.2827557985623832</v>
      </c>
      <c r="M2052" s="58" t="s">
        <v>22</v>
      </c>
      <c r="N2052" s="7">
        <v>9.5</v>
      </c>
      <c r="O2052" s="7" t="s">
        <v>179</v>
      </c>
      <c r="P2052" s="7" t="s">
        <v>179</v>
      </c>
    </row>
    <row r="2053" spans="1:16" x14ac:dyDescent="0.25">
      <c r="A2053" s="2" t="s">
        <v>181</v>
      </c>
      <c r="B2053" s="2" t="s">
        <v>198</v>
      </c>
      <c r="C2053" s="6" t="s">
        <v>145</v>
      </c>
      <c r="D2053" s="2" t="s">
        <v>115</v>
      </c>
      <c r="E2053" s="2"/>
      <c r="F2053" s="35">
        <v>2</v>
      </c>
      <c r="G2053" s="35">
        <v>-14.63285877974978</v>
      </c>
      <c r="H2053" s="35">
        <v>-8.9641047099818341</v>
      </c>
      <c r="I2053" s="35">
        <v>-0.201191640018971</v>
      </c>
      <c r="J2053" s="35">
        <v>3.3161329010446025E-3</v>
      </c>
      <c r="K2053" s="35">
        <v>-1.488213672293895</v>
      </c>
      <c r="L2053" s="35">
        <v>-6.2827901038976481</v>
      </c>
      <c r="M2053" s="58" t="s">
        <v>22</v>
      </c>
      <c r="N2053" s="7">
        <v>9.5</v>
      </c>
      <c r="O2053" s="7" t="s">
        <v>179</v>
      </c>
      <c r="P2053" s="7" t="s">
        <v>179</v>
      </c>
    </row>
    <row r="2054" spans="1:16" x14ac:dyDescent="0.25">
      <c r="A2054" s="2" t="s">
        <v>181</v>
      </c>
      <c r="B2054" s="2" t="s">
        <v>198</v>
      </c>
      <c r="C2054" s="6" t="s">
        <v>145</v>
      </c>
      <c r="D2054" s="2" t="s">
        <v>115</v>
      </c>
      <c r="E2054" s="2"/>
      <c r="F2054" s="35">
        <v>4.5</v>
      </c>
      <c r="G2054" s="35">
        <v>-13.615611779749777</v>
      </c>
      <c r="H2054" s="35">
        <v>-4.806104709981831</v>
      </c>
      <c r="I2054" s="35">
        <v>-0.20119164001897077</v>
      </c>
      <c r="J2054" s="35">
        <v>3.3161329010446025E-3</v>
      </c>
      <c r="K2054" s="35">
        <v>-0.98523457224646771</v>
      </c>
      <c r="L2054" s="35">
        <v>10.929971671056927</v>
      </c>
      <c r="M2054" s="58" t="s">
        <v>24</v>
      </c>
      <c r="N2054" s="7">
        <v>9.5</v>
      </c>
      <c r="O2054" s="7" t="s">
        <v>179</v>
      </c>
      <c r="P2054" s="7" t="s">
        <v>179</v>
      </c>
    </row>
    <row r="2055" spans="1:16" x14ac:dyDescent="0.25">
      <c r="A2055" s="2" t="s">
        <v>181</v>
      </c>
      <c r="B2055" s="2" t="s">
        <v>198</v>
      </c>
      <c r="C2055" s="6" t="s">
        <v>145</v>
      </c>
      <c r="D2055" s="2" t="s">
        <v>115</v>
      </c>
      <c r="E2055" s="2"/>
      <c r="F2055" s="35">
        <v>4.5</v>
      </c>
      <c r="G2055" s="35">
        <v>-12.838666063057685</v>
      </c>
      <c r="H2055" s="35">
        <v>-4.8060925525837215</v>
      </c>
      <c r="I2055" s="35">
        <v>-0.19585232361075583</v>
      </c>
      <c r="J2055" s="35">
        <v>-2.6766404986998736E-3</v>
      </c>
      <c r="K2055" s="35">
        <v>-0.98522856879074172</v>
      </c>
      <c r="L2055" s="35">
        <v>11.901152085288055</v>
      </c>
      <c r="M2055" s="58" t="s">
        <v>24</v>
      </c>
      <c r="N2055" s="7">
        <v>9.5</v>
      </c>
      <c r="O2055" s="7" t="s">
        <v>179</v>
      </c>
      <c r="P2055" s="7" t="s">
        <v>179</v>
      </c>
    </row>
    <row r="2056" spans="1:16" x14ac:dyDescent="0.25">
      <c r="A2056" s="2" t="s">
        <v>181</v>
      </c>
      <c r="B2056" s="2" t="s">
        <v>198</v>
      </c>
      <c r="C2056" s="6" t="s">
        <v>145</v>
      </c>
      <c r="D2056" s="2" t="s">
        <v>115</v>
      </c>
      <c r="E2056" s="2"/>
      <c r="F2056" s="35">
        <v>8.9965005885644871</v>
      </c>
      <c r="G2056" s="35">
        <v>-11.009045369371508</v>
      </c>
      <c r="H2056" s="35">
        <v>2.6724872263167376</v>
      </c>
      <c r="I2056" s="35">
        <v>-0.19585232361075536</v>
      </c>
      <c r="J2056" s="35">
        <v>-2.6766404986998736E-3</v>
      </c>
      <c r="K2056" s="35">
        <v>-0.10457848040325673</v>
      </c>
      <c r="L2056" s="35">
        <v>16.698030887949969</v>
      </c>
      <c r="M2056" s="58" t="s">
        <v>23</v>
      </c>
      <c r="N2056" s="7">
        <v>9.5</v>
      </c>
      <c r="O2056" s="7" t="s">
        <v>179</v>
      </c>
      <c r="P2056" s="7" t="s">
        <v>179</v>
      </c>
    </row>
    <row r="2057" spans="1:16" x14ac:dyDescent="0.25">
      <c r="A2057" s="2" t="s">
        <v>181</v>
      </c>
      <c r="B2057" s="2" t="s">
        <v>198</v>
      </c>
      <c r="C2057" s="6" t="s">
        <v>145</v>
      </c>
      <c r="D2057" s="2" t="s">
        <v>116</v>
      </c>
      <c r="E2057" s="2"/>
      <c r="F2057" s="35">
        <v>0</v>
      </c>
      <c r="G2057" s="35">
        <v>35.56646286289191</v>
      </c>
      <c r="H2057" s="35">
        <v>33.946364196583112</v>
      </c>
      <c r="I2057" s="35">
        <v>0.18230165971824525</v>
      </c>
      <c r="J2057" s="35">
        <v>1.0888990245704546E-4</v>
      </c>
      <c r="K2057" s="35">
        <v>0.33787264265205197</v>
      </c>
      <c r="L2057" s="35">
        <v>101.14148662451558</v>
      </c>
      <c r="M2057" s="58" t="s">
        <v>22</v>
      </c>
      <c r="N2057" s="7">
        <v>9.5</v>
      </c>
      <c r="O2057" s="7" t="s">
        <v>179</v>
      </c>
      <c r="P2057" s="7" t="s">
        <v>179</v>
      </c>
    </row>
    <row r="2058" spans="1:16" x14ac:dyDescent="0.25">
      <c r="A2058" s="2" t="s">
        <v>181</v>
      </c>
      <c r="B2058" s="2" t="s">
        <v>198</v>
      </c>
      <c r="C2058" s="6" t="s">
        <v>145</v>
      </c>
      <c r="D2058" s="2" t="s">
        <v>116</v>
      </c>
      <c r="E2058" s="2"/>
      <c r="F2058" s="35">
        <v>2</v>
      </c>
      <c r="G2058" s="35">
        <v>36.380260462891897</v>
      </c>
      <c r="H2058" s="35">
        <v>28.503164196583111</v>
      </c>
      <c r="I2058" s="35">
        <v>0.18230165971824489</v>
      </c>
      <c r="J2058" s="35">
        <v>1.0888990245704546E-4</v>
      </c>
      <c r="K2058" s="35">
        <v>-2.6730676784438221E-2</v>
      </c>
      <c r="L2058" s="35">
        <v>38.691958231349354</v>
      </c>
      <c r="M2058" s="58" t="s">
        <v>22</v>
      </c>
      <c r="N2058" s="7">
        <v>9.5</v>
      </c>
      <c r="O2058" s="7" t="s">
        <v>179</v>
      </c>
      <c r="P2058" s="7" t="s">
        <v>179</v>
      </c>
    </row>
    <row r="2059" spans="1:16" x14ac:dyDescent="0.25">
      <c r="A2059" s="2" t="s">
        <v>181</v>
      </c>
      <c r="B2059" s="2" t="s">
        <v>198</v>
      </c>
      <c r="C2059" s="6" t="s">
        <v>145</v>
      </c>
      <c r="D2059" s="2" t="s">
        <v>116</v>
      </c>
      <c r="E2059" s="2"/>
      <c r="F2059" s="35">
        <v>2</v>
      </c>
      <c r="G2059" s="35">
        <v>36.573488226036915</v>
      </c>
      <c r="H2059" s="35">
        <v>28.503153679494385</v>
      </c>
      <c r="I2059" s="35">
        <v>-2.8019822591414389E-3</v>
      </c>
      <c r="J2059" s="35">
        <v>6.0784434998471583E-5</v>
      </c>
      <c r="K2059" s="35">
        <v>-2.6730676784438408E-2</v>
      </c>
      <c r="L2059" s="35">
        <v>38.692009543848016</v>
      </c>
      <c r="M2059" s="58" t="s">
        <v>22</v>
      </c>
      <c r="N2059" s="7">
        <v>9.5</v>
      </c>
      <c r="O2059" s="7" t="s">
        <v>179</v>
      </c>
      <c r="P2059" s="7" t="s">
        <v>179</v>
      </c>
    </row>
    <row r="2060" spans="1:16" x14ac:dyDescent="0.25">
      <c r="A2060" s="2" t="s">
        <v>181</v>
      </c>
      <c r="B2060" s="2" t="s">
        <v>198</v>
      </c>
      <c r="C2060" s="6" t="s">
        <v>145</v>
      </c>
      <c r="D2060" s="2" t="s">
        <v>116</v>
      </c>
      <c r="E2060" s="2"/>
      <c r="F2060" s="35">
        <v>4.5</v>
      </c>
      <c r="G2060" s="35">
        <v>37.590735226036912</v>
      </c>
      <c r="H2060" s="35">
        <v>21.699153679494387</v>
      </c>
      <c r="I2060" s="35">
        <v>-2.8019822591418566E-3</v>
      </c>
      <c r="J2060" s="35">
        <v>6.0784434998471583E-5</v>
      </c>
      <c r="K2060" s="35">
        <v>-1.972572113658427E-2</v>
      </c>
      <c r="L2060" s="35">
        <v>-24.060874654887932</v>
      </c>
      <c r="M2060" s="58" t="s">
        <v>24</v>
      </c>
      <c r="N2060" s="7">
        <v>9.5</v>
      </c>
      <c r="O2060" s="7" t="s">
        <v>179</v>
      </c>
      <c r="P2060" s="7" t="s">
        <v>179</v>
      </c>
    </row>
    <row r="2061" spans="1:16" x14ac:dyDescent="0.25">
      <c r="A2061" s="2" t="s">
        <v>181</v>
      </c>
      <c r="B2061" s="2" t="s">
        <v>198</v>
      </c>
      <c r="C2061" s="6" t="s">
        <v>145</v>
      </c>
      <c r="D2061" s="2" t="s">
        <v>116</v>
      </c>
      <c r="E2061" s="2"/>
      <c r="F2061" s="35">
        <v>4.5</v>
      </c>
      <c r="G2061" s="35">
        <v>38.367681925883915</v>
      </c>
      <c r="H2061" s="35">
        <v>21.69919686340176</v>
      </c>
      <c r="I2061" s="35">
        <v>-2.8094472565281087E-3</v>
      </c>
      <c r="J2061" s="35">
        <v>-9.93920345260186E-5</v>
      </c>
      <c r="K2061" s="35">
        <v>-1.9723828625066973E-2</v>
      </c>
      <c r="L2061" s="35">
        <v>-23.089689829576912</v>
      </c>
      <c r="M2061" s="58" t="s">
        <v>24</v>
      </c>
      <c r="N2061" s="7">
        <v>9.5</v>
      </c>
      <c r="O2061" s="7" t="s">
        <v>179</v>
      </c>
      <c r="P2061" s="7" t="s">
        <v>179</v>
      </c>
    </row>
    <row r="2062" spans="1:16" x14ac:dyDescent="0.25">
      <c r="A2062" s="2" t="s">
        <v>181</v>
      </c>
      <c r="B2062" s="2" t="s">
        <v>198</v>
      </c>
      <c r="C2062" s="6" t="s">
        <v>145</v>
      </c>
      <c r="D2062" s="2" t="s">
        <v>116</v>
      </c>
      <c r="E2062" s="2"/>
      <c r="F2062" s="35">
        <v>8.9965005885644871</v>
      </c>
      <c r="G2062" s="35">
        <v>40.197302619570095</v>
      </c>
      <c r="H2062" s="35">
        <v>9.4615208615646491</v>
      </c>
      <c r="I2062" s="35">
        <v>-2.8094472565288568E-3</v>
      </c>
      <c r="J2062" s="35">
        <v>-9.93920345260186E-5</v>
      </c>
      <c r="K2062" s="35">
        <v>-7.0911473825457589E-3</v>
      </c>
      <c r="L2062" s="35">
        <v>-93.146782624778581</v>
      </c>
      <c r="M2062" s="58" t="s">
        <v>23</v>
      </c>
      <c r="N2062" s="7">
        <v>9.5</v>
      </c>
      <c r="O2062" s="7" t="s">
        <v>179</v>
      </c>
      <c r="P2062" s="7" t="s">
        <v>179</v>
      </c>
    </row>
    <row r="2063" spans="1:16" x14ac:dyDescent="0.25">
      <c r="A2063" s="2" t="s">
        <v>181</v>
      </c>
      <c r="B2063" s="2" t="s">
        <v>198</v>
      </c>
      <c r="C2063" s="6" t="s">
        <v>145</v>
      </c>
      <c r="D2063" s="2" t="s">
        <v>117</v>
      </c>
      <c r="E2063" s="2"/>
      <c r="F2063" s="35">
        <v>0</v>
      </c>
      <c r="G2063" s="35">
        <v>-70.900111331243792</v>
      </c>
      <c r="H2063" s="35">
        <v>10.888028657177458</v>
      </c>
      <c r="I2063" s="35">
        <v>0.5718743418224489</v>
      </c>
      <c r="J2063" s="35">
        <v>2.3615435531669033E-4</v>
      </c>
      <c r="K2063" s="35">
        <v>0.92083970559943984</v>
      </c>
      <c r="L2063" s="35">
        <v>32.858054753492034</v>
      </c>
      <c r="M2063" s="58" t="s">
        <v>22</v>
      </c>
      <c r="N2063" s="7">
        <v>9.5</v>
      </c>
      <c r="O2063" s="7" t="s">
        <v>179</v>
      </c>
      <c r="P2063" s="7" t="s">
        <v>179</v>
      </c>
    </row>
    <row r="2064" spans="1:16" x14ac:dyDescent="0.25">
      <c r="A2064" s="2" t="s">
        <v>181</v>
      </c>
      <c r="B2064" s="2" t="s">
        <v>198</v>
      </c>
      <c r="C2064" s="6" t="s">
        <v>145</v>
      </c>
      <c r="D2064" s="2" t="s">
        <v>117</v>
      </c>
      <c r="E2064" s="2"/>
      <c r="F2064" s="35">
        <v>2</v>
      </c>
      <c r="G2064" s="35">
        <v>-70.086313731243806</v>
      </c>
      <c r="H2064" s="35">
        <v>1.2112286571774527</v>
      </c>
      <c r="I2064" s="35">
        <v>0.57187434182244834</v>
      </c>
      <c r="J2064" s="35">
        <v>2.3615435531669033E-4</v>
      </c>
      <c r="K2064" s="35">
        <v>-0.22290897804545728</v>
      </c>
      <c r="L2064" s="35">
        <v>20.758797439137119</v>
      </c>
      <c r="M2064" s="58" t="s">
        <v>22</v>
      </c>
      <c r="N2064" s="7">
        <v>9.5</v>
      </c>
      <c r="O2064" s="7" t="s">
        <v>179</v>
      </c>
      <c r="P2064" s="7" t="s">
        <v>179</v>
      </c>
    </row>
    <row r="2065" spans="1:16" x14ac:dyDescent="0.25">
      <c r="A2065" s="2" t="s">
        <v>181</v>
      </c>
      <c r="B2065" s="2" t="s">
        <v>198</v>
      </c>
      <c r="C2065" s="6" t="s">
        <v>145</v>
      </c>
      <c r="D2065" s="2" t="s">
        <v>117</v>
      </c>
      <c r="E2065" s="2"/>
      <c r="F2065" s="35">
        <v>2</v>
      </c>
      <c r="G2065" s="35">
        <v>-69.502953545288676</v>
      </c>
      <c r="H2065" s="35">
        <v>1.2112385660475009</v>
      </c>
      <c r="I2065" s="35">
        <v>-2.9366428379994154E-2</v>
      </c>
      <c r="J2065" s="35">
        <v>3.2872485863520072E-4</v>
      </c>
      <c r="K2065" s="35">
        <v>-0.22290897804545717</v>
      </c>
      <c r="L2065" s="35">
        <v>20.758698697266933</v>
      </c>
      <c r="M2065" s="58" t="s">
        <v>22</v>
      </c>
      <c r="N2065" s="7">
        <v>9.5</v>
      </c>
      <c r="O2065" s="7" t="s">
        <v>179</v>
      </c>
      <c r="P2065" s="7" t="s">
        <v>179</v>
      </c>
    </row>
    <row r="2066" spans="1:16" x14ac:dyDescent="0.25">
      <c r="A2066" s="2" t="s">
        <v>181</v>
      </c>
      <c r="B2066" s="2" t="s">
        <v>198</v>
      </c>
      <c r="C2066" s="6" t="s">
        <v>145</v>
      </c>
      <c r="D2066" s="2" t="s">
        <v>117</v>
      </c>
      <c r="E2066" s="2"/>
      <c r="F2066" s="35">
        <v>4.5</v>
      </c>
      <c r="G2066" s="35">
        <v>-68.485706545288679</v>
      </c>
      <c r="H2066" s="35">
        <v>-10.8847614339525</v>
      </c>
      <c r="I2066" s="35">
        <v>-2.9366428379994893E-2</v>
      </c>
      <c r="J2066" s="35">
        <v>3.2872485863520072E-4</v>
      </c>
      <c r="K2066" s="35">
        <v>-0.14949290709547083</v>
      </c>
      <c r="L2066" s="35">
        <v>32.850602282148181</v>
      </c>
      <c r="M2066" s="58" t="s">
        <v>24</v>
      </c>
      <c r="N2066" s="7">
        <v>9.5</v>
      </c>
      <c r="O2066" s="7" t="s">
        <v>179</v>
      </c>
      <c r="P2066" s="7" t="s">
        <v>179</v>
      </c>
    </row>
    <row r="2067" spans="1:16" x14ac:dyDescent="0.25">
      <c r="A2067" s="2" t="s">
        <v>181</v>
      </c>
      <c r="B2067" s="2" t="s">
        <v>198</v>
      </c>
      <c r="C2067" s="6" t="s">
        <v>145</v>
      </c>
      <c r="D2067" s="2" t="s">
        <v>117</v>
      </c>
      <c r="E2067" s="2"/>
      <c r="F2067" s="35">
        <v>4.5</v>
      </c>
      <c r="G2067" s="35">
        <v>-67.708759823475063</v>
      </c>
      <c r="H2067" s="35">
        <v>-10.884781106893252</v>
      </c>
      <c r="I2067" s="35">
        <v>-2.8703662749210823E-2</v>
      </c>
      <c r="J2067" s="35">
        <v>-3.3518174789049372E-4</v>
      </c>
      <c r="K2067" s="35">
        <v>-0.14949109100392277</v>
      </c>
      <c r="L2067" s="35">
        <v>33.821786900515256</v>
      </c>
      <c r="M2067" s="58" t="s">
        <v>24</v>
      </c>
      <c r="N2067" s="7">
        <v>9.5</v>
      </c>
      <c r="O2067" s="7" t="s">
        <v>179</v>
      </c>
      <c r="P2067" s="7" t="s">
        <v>179</v>
      </c>
    </row>
    <row r="2068" spans="1:16" x14ac:dyDescent="0.25">
      <c r="A2068" s="2" t="s">
        <v>181</v>
      </c>
      <c r="B2068" s="2" t="s">
        <v>198</v>
      </c>
      <c r="C2068" s="6" t="s">
        <v>145</v>
      </c>
      <c r="D2068" s="2" t="s">
        <v>117</v>
      </c>
      <c r="E2068" s="2"/>
      <c r="F2068" s="35">
        <v>8.9965005885644871</v>
      </c>
      <c r="G2068" s="35">
        <v>-65.879139129788882</v>
      </c>
      <c r="H2068" s="35">
        <v>-32.640649554603669</v>
      </c>
      <c r="I2068" s="35">
        <v>-2.8703662749212152E-2</v>
      </c>
      <c r="J2068" s="35">
        <v>-3.3518174789049372E-4</v>
      </c>
      <c r="K2068" s="35">
        <v>-2.0425054558136774E-2</v>
      </c>
      <c r="L2068" s="35">
        <v>131.6778491939871</v>
      </c>
      <c r="M2068" s="58" t="s">
        <v>23</v>
      </c>
      <c r="N2068" s="7">
        <v>9.5</v>
      </c>
      <c r="O2068" s="7" t="s">
        <v>179</v>
      </c>
      <c r="P2068" s="7" t="s">
        <v>179</v>
      </c>
    </row>
    <row r="2069" spans="1:16" x14ac:dyDescent="0.25">
      <c r="A2069" s="2" t="s">
        <v>181</v>
      </c>
      <c r="B2069" s="2" t="s">
        <v>198</v>
      </c>
      <c r="C2069" s="6" t="s">
        <v>145</v>
      </c>
      <c r="D2069" s="2" t="s">
        <v>118</v>
      </c>
      <c r="E2069" s="2"/>
      <c r="F2069" s="35">
        <v>0</v>
      </c>
      <c r="G2069" s="35">
        <v>20.455555345425889</v>
      </c>
      <c r="H2069" s="35">
        <v>-9.3993151201624876</v>
      </c>
      <c r="I2069" s="35">
        <v>0.16831023199108236</v>
      </c>
      <c r="J2069" s="35">
        <v>1.0166446744743754E-4</v>
      </c>
      <c r="K2069" s="35">
        <v>0.30623791092051167</v>
      </c>
      <c r="L2069" s="35">
        <v>-24.49464305663793</v>
      </c>
      <c r="M2069" s="58" t="s">
        <v>22</v>
      </c>
      <c r="N2069" s="7">
        <v>9.5</v>
      </c>
      <c r="O2069" s="7" t="s">
        <v>179</v>
      </c>
      <c r="P2069" s="7" t="s">
        <v>179</v>
      </c>
    </row>
    <row r="2070" spans="1:16" x14ac:dyDescent="0.25">
      <c r="A2070" s="2" t="s">
        <v>181</v>
      </c>
      <c r="B2070" s="2" t="s">
        <v>198</v>
      </c>
      <c r="C2070" s="6" t="s">
        <v>145</v>
      </c>
      <c r="D2070" s="2" t="s">
        <v>118</v>
      </c>
      <c r="E2070" s="2"/>
      <c r="F2070" s="35">
        <v>2</v>
      </c>
      <c r="G2070" s="35">
        <v>21.269352945425879</v>
      </c>
      <c r="H2070" s="35">
        <v>-3.6537151201624867</v>
      </c>
      <c r="I2070" s="35">
        <v>0.16831023199108269</v>
      </c>
      <c r="J2070" s="35">
        <v>1.0166446744743754E-4</v>
      </c>
      <c r="K2070" s="35">
        <v>-3.0382553061653387E-2</v>
      </c>
      <c r="L2070" s="35">
        <v>-11.441612816312952</v>
      </c>
      <c r="M2070" s="58" t="s">
        <v>22</v>
      </c>
      <c r="N2070" s="7">
        <v>9.5</v>
      </c>
      <c r="O2070" s="7" t="s">
        <v>179</v>
      </c>
      <c r="P2070" s="7" t="s">
        <v>179</v>
      </c>
    </row>
    <row r="2071" spans="1:16" x14ac:dyDescent="0.25">
      <c r="A2071" s="2" t="s">
        <v>181</v>
      </c>
      <c r="B2071" s="2" t="s">
        <v>198</v>
      </c>
      <c r="C2071" s="6" t="s">
        <v>145</v>
      </c>
      <c r="D2071" s="2" t="s">
        <v>118</v>
      </c>
      <c r="E2071" s="2"/>
      <c r="F2071" s="35">
        <v>2</v>
      </c>
      <c r="G2071" s="35">
        <v>21.449945584451747</v>
      </c>
      <c r="H2071" s="35">
        <v>-3.653719025492431</v>
      </c>
      <c r="I2071" s="35">
        <v>-3.3150993802186454E-3</v>
      </c>
      <c r="J2071" s="35">
        <v>6.7269114585746147E-5</v>
      </c>
      <c r="K2071" s="35">
        <v>-3.0382553061653429E-2</v>
      </c>
      <c r="L2071" s="35">
        <v>-11.441576127936512</v>
      </c>
      <c r="M2071" s="58" t="s">
        <v>22</v>
      </c>
      <c r="N2071" s="7">
        <v>9.5</v>
      </c>
      <c r="O2071" s="7" t="s">
        <v>179</v>
      </c>
      <c r="P2071" s="7" t="s">
        <v>179</v>
      </c>
    </row>
    <row r="2072" spans="1:16" x14ac:dyDescent="0.25">
      <c r="A2072" s="2" t="s">
        <v>181</v>
      </c>
      <c r="B2072" s="2" t="s">
        <v>198</v>
      </c>
      <c r="C2072" s="6" t="s">
        <v>145</v>
      </c>
      <c r="D2072" s="2" t="s">
        <v>118</v>
      </c>
      <c r="E2072" s="2"/>
      <c r="F2072" s="35">
        <v>4.5</v>
      </c>
      <c r="G2072" s="35">
        <v>22.467192584451748</v>
      </c>
      <c r="H2072" s="35">
        <v>3.5282809745075712</v>
      </c>
      <c r="I2072" s="35">
        <v>-3.3150993802182047E-3</v>
      </c>
      <c r="J2072" s="35">
        <v>6.7269114585746147E-5</v>
      </c>
      <c r="K2072" s="35">
        <v>-2.2094804611107351E-2</v>
      </c>
      <c r="L2072" s="35">
        <v>-11.284778564205443</v>
      </c>
      <c r="M2072" s="58" t="s">
        <v>24</v>
      </c>
      <c r="N2072" s="7">
        <v>9.5</v>
      </c>
      <c r="O2072" s="7" t="s">
        <v>179</v>
      </c>
      <c r="P2072" s="7" t="s">
        <v>179</v>
      </c>
    </row>
    <row r="2073" spans="1:16" x14ac:dyDescent="0.25">
      <c r="A2073" s="2" t="s">
        <v>181</v>
      </c>
      <c r="B2073" s="2" t="s">
        <v>198</v>
      </c>
      <c r="C2073" s="6" t="s">
        <v>145</v>
      </c>
      <c r="D2073" s="2" t="s">
        <v>118</v>
      </c>
      <c r="E2073" s="2"/>
      <c r="F2073" s="35">
        <v>4.5</v>
      </c>
      <c r="G2073" s="35">
        <v>23.244139333730821</v>
      </c>
      <c r="H2073" s="35">
        <v>3.5283108232439622</v>
      </c>
      <c r="I2073" s="35">
        <v>-3.2914314222406036E-3</v>
      </c>
      <c r="J2073" s="35">
        <v>-7.5220205656972871E-5</v>
      </c>
      <c r="K2073" s="35">
        <v>-2.2093068658511659E-2</v>
      </c>
      <c r="L2073" s="35">
        <v>-10.313595713944366</v>
      </c>
      <c r="M2073" s="58" t="s">
        <v>24</v>
      </c>
      <c r="N2073" s="7">
        <v>9.5</v>
      </c>
      <c r="O2073" s="7" t="s">
        <v>179</v>
      </c>
      <c r="P2073" s="7" t="s">
        <v>179</v>
      </c>
    </row>
    <row r="2074" spans="1:16" x14ac:dyDescent="0.25">
      <c r="A2074" s="2" t="s">
        <v>181</v>
      </c>
      <c r="B2074" s="2" t="s">
        <v>198</v>
      </c>
      <c r="C2074" s="6" t="s">
        <v>145</v>
      </c>
      <c r="D2074" s="2" t="s">
        <v>118</v>
      </c>
      <c r="E2074" s="2"/>
      <c r="F2074" s="35">
        <v>8.9965005885644871</v>
      </c>
      <c r="G2074" s="35">
        <v>25.073760027416998</v>
      </c>
      <c r="H2074" s="35">
        <v>16.445857714072023</v>
      </c>
      <c r="I2074" s="35">
        <v>-3.2914314222398135E-3</v>
      </c>
      <c r="J2074" s="35">
        <v>-7.5220205656972871E-5</v>
      </c>
      <c r="K2074" s="35">
        <v>-7.2931453311889096E-3</v>
      </c>
      <c r="L2074" s="35">
        <v>-55.220526006008164</v>
      </c>
      <c r="M2074" s="58" t="s">
        <v>23</v>
      </c>
      <c r="N2074" s="7">
        <v>9.5</v>
      </c>
      <c r="O2074" s="7" t="s">
        <v>179</v>
      </c>
      <c r="P2074" s="7" t="s">
        <v>179</v>
      </c>
    </row>
    <row r="2075" spans="1:16" x14ac:dyDescent="0.25">
      <c r="A2075" s="2" t="s">
        <v>181</v>
      </c>
      <c r="B2075" s="2" t="s">
        <v>198</v>
      </c>
      <c r="C2075" s="6" t="s">
        <v>145</v>
      </c>
      <c r="D2075" s="2" t="s">
        <v>119</v>
      </c>
      <c r="E2075" s="2"/>
      <c r="F2075" s="35">
        <v>0</v>
      </c>
      <c r="G2075" s="35">
        <v>-27.725717909750234</v>
      </c>
      <c r="H2075" s="35">
        <v>-24.015806884130342</v>
      </c>
      <c r="I2075" s="35">
        <v>0.37149716922828002</v>
      </c>
      <c r="J2075" s="35">
        <v>2.2890963130469891E-4</v>
      </c>
      <c r="K2075" s="35">
        <v>0.6128621339335949</v>
      </c>
      <c r="L2075" s="35">
        <v>-111.51835510866505</v>
      </c>
      <c r="M2075" s="58" t="s">
        <v>22</v>
      </c>
      <c r="N2075" s="7">
        <v>9.5</v>
      </c>
      <c r="O2075" s="7" t="s">
        <v>179</v>
      </c>
      <c r="P2075" s="7" t="s">
        <v>179</v>
      </c>
    </row>
    <row r="2076" spans="1:16" x14ac:dyDescent="0.25">
      <c r="A2076" s="2" t="s">
        <v>181</v>
      </c>
      <c r="B2076" s="2" t="s">
        <v>198</v>
      </c>
      <c r="C2076" s="6" t="s">
        <v>145</v>
      </c>
      <c r="D2076" s="2" t="s">
        <v>119</v>
      </c>
      <c r="E2076" s="2"/>
      <c r="F2076" s="35">
        <v>2</v>
      </c>
      <c r="G2076" s="35">
        <v>-26.91192030975024</v>
      </c>
      <c r="H2076" s="35">
        <v>-22.503806884130341</v>
      </c>
      <c r="I2076" s="35">
        <v>0.37149716922828013</v>
      </c>
      <c r="J2076" s="35">
        <v>2.2890963130469891E-4</v>
      </c>
      <c r="K2076" s="35">
        <v>-0.1301322045229652</v>
      </c>
      <c r="L2076" s="35">
        <v>-64.998741340404379</v>
      </c>
      <c r="M2076" s="58" t="s">
        <v>22</v>
      </c>
      <c r="N2076" s="7">
        <v>9.5</v>
      </c>
      <c r="O2076" s="7" t="s">
        <v>179</v>
      </c>
      <c r="P2076" s="7" t="s">
        <v>179</v>
      </c>
    </row>
    <row r="2077" spans="1:16" x14ac:dyDescent="0.25">
      <c r="A2077" s="2" t="s">
        <v>181</v>
      </c>
      <c r="B2077" s="2" t="s">
        <v>198</v>
      </c>
      <c r="C2077" s="6" t="s">
        <v>145</v>
      </c>
      <c r="D2077" s="2" t="s">
        <v>119</v>
      </c>
      <c r="E2077" s="2"/>
      <c r="F2077" s="35">
        <v>2</v>
      </c>
      <c r="G2077" s="35">
        <v>-26.528150975028172</v>
      </c>
      <c r="H2077" s="35">
        <v>-22.503795367717373</v>
      </c>
      <c r="I2077" s="35">
        <v>-1.6848055538224087E-2</v>
      </c>
      <c r="J2077" s="35">
        <v>2.1533892205286375E-4</v>
      </c>
      <c r="K2077" s="35">
        <v>-0.13013220452296539</v>
      </c>
      <c r="L2077" s="35">
        <v>-64.998726864981208</v>
      </c>
      <c r="M2077" s="58" t="s">
        <v>22</v>
      </c>
      <c r="N2077" s="7">
        <v>9.5</v>
      </c>
      <c r="O2077" s="7" t="s">
        <v>179</v>
      </c>
      <c r="P2077" s="7" t="s">
        <v>179</v>
      </c>
    </row>
    <row r="2078" spans="1:16" x14ac:dyDescent="0.25">
      <c r="A2078" s="2" t="s">
        <v>181</v>
      </c>
      <c r="B2078" s="2" t="s">
        <v>198</v>
      </c>
      <c r="C2078" s="6" t="s">
        <v>145</v>
      </c>
      <c r="D2078" s="2" t="s">
        <v>119</v>
      </c>
      <c r="E2078" s="2"/>
      <c r="F2078" s="35">
        <v>4.5</v>
      </c>
      <c r="G2078" s="35">
        <v>-25.510903975028167</v>
      </c>
      <c r="H2078" s="35">
        <v>-20.613795367717376</v>
      </c>
      <c r="I2078" s="35">
        <v>-1.684805553822397E-2</v>
      </c>
      <c r="J2078" s="35">
        <v>2.1533892205286375E-4</v>
      </c>
      <c r="K2078" s="35">
        <v>-8.8012065677405299E-2</v>
      </c>
      <c r="L2078" s="35">
        <v>-11.101738445687769</v>
      </c>
      <c r="M2078" s="58" t="s">
        <v>24</v>
      </c>
      <c r="N2078" s="7">
        <v>9.5</v>
      </c>
      <c r="O2078" s="7" t="s">
        <v>179</v>
      </c>
      <c r="P2078" s="7" t="s">
        <v>179</v>
      </c>
    </row>
    <row r="2079" spans="1:16" x14ac:dyDescent="0.25">
      <c r="A2079" s="2" t="s">
        <v>181</v>
      </c>
      <c r="B2079" s="2" t="s">
        <v>198</v>
      </c>
      <c r="C2079" s="6" t="s">
        <v>145</v>
      </c>
      <c r="D2079" s="2" t="s">
        <v>119</v>
      </c>
      <c r="E2079" s="2"/>
      <c r="F2079" s="35">
        <v>4.5</v>
      </c>
      <c r="G2079" s="35">
        <v>-24.733957219161535</v>
      </c>
      <c r="H2079" s="35">
        <v>-20.613781236751347</v>
      </c>
      <c r="I2079" s="35">
        <v>-1.6466920856983883E-2</v>
      </c>
      <c r="J2079" s="35">
        <v>-2.6668112426714416E-4</v>
      </c>
      <c r="K2079" s="35">
        <v>-8.8010345702997428E-2</v>
      </c>
      <c r="L2079" s="35">
        <v>-10.130555641405312</v>
      </c>
      <c r="M2079" s="58" t="s">
        <v>24</v>
      </c>
      <c r="N2079" s="7">
        <v>9.5</v>
      </c>
      <c r="O2079" s="7" t="s">
        <v>179</v>
      </c>
      <c r="P2079" s="7" t="s">
        <v>179</v>
      </c>
    </row>
    <row r="2080" spans="1:16" x14ac:dyDescent="0.25">
      <c r="A2080" s="2" t="s">
        <v>181</v>
      </c>
      <c r="B2080" s="2" t="s">
        <v>198</v>
      </c>
      <c r="C2080" s="6" t="s">
        <v>145</v>
      </c>
      <c r="D2080" s="2" t="s">
        <v>119</v>
      </c>
      <c r="E2080" s="2"/>
      <c r="F2080" s="35">
        <v>8.9965005885644871</v>
      </c>
      <c r="G2080" s="35">
        <v>-22.904336525475358</v>
      </c>
      <c r="H2080" s="35">
        <v>-17.214426791796591</v>
      </c>
      <c r="I2080" s="35">
        <v>-1.6466920856983674E-2</v>
      </c>
      <c r="J2080" s="35">
        <v>-2.6668112426714416E-4</v>
      </c>
      <c r="K2080" s="35">
        <v>-1.3966826377725042E-2</v>
      </c>
      <c r="L2080" s="35">
        <v>74.916724190947534</v>
      </c>
      <c r="M2080" s="58" t="s">
        <v>23</v>
      </c>
      <c r="N2080" s="7">
        <v>9.5</v>
      </c>
      <c r="O2080" s="7" t="s">
        <v>179</v>
      </c>
      <c r="P2080" s="7" t="s">
        <v>179</v>
      </c>
    </row>
    <row r="2081" spans="1:16" x14ac:dyDescent="0.25">
      <c r="A2081" s="2" t="s">
        <v>181</v>
      </c>
      <c r="B2081" s="2" t="s">
        <v>198</v>
      </c>
      <c r="C2081" s="6" t="s">
        <v>145</v>
      </c>
      <c r="D2081" s="2" t="s">
        <v>120</v>
      </c>
      <c r="E2081" s="2"/>
      <c r="F2081" s="35">
        <v>0</v>
      </c>
      <c r="G2081" s="35">
        <v>45.17150408493594</v>
      </c>
      <c r="H2081" s="35">
        <v>-5.8612166134821715</v>
      </c>
      <c r="I2081" s="35">
        <v>-4.2666738347580191</v>
      </c>
      <c r="J2081" s="35">
        <v>-3.4863117871598041E-3</v>
      </c>
      <c r="K2081" s="35">
        <v>-6.8024943533472353</v>
      </c>
      <c r="L2081" s="35">
        <v>12.53135989882299</v>
      </c>
      <c r="M2081" s="58" t="s">
        <v>22</v>
      </c>
      <c r="N2081" s="7">
        <v>9.5</v>
      </c>
      <c r="O2081" s="7" t="s">
        <v>179</v>
      </c>
      <c r="P2081" s="7" t="s">
        <v>179</v>
      </c>
    </row>
    <row r="2082" spans="1:16" x14ac:dyDescent="0.25">
      <c r="A2082" s="2" t="s">
        <v>181</v>
      </c>
      <c r="B2082" s="2" t="s">
        <v>198</v>
      </c>
      <c r="C2082" s="6" t="s">
        <v>145</v>
      </c>
      <c r="D2082" s="2" t="s">
        <v>120</v>
      </c>
      <c r="E2082" s="2"/>
      <c r="F2082" s="35">
        <v>2</v>
      </c>
      <c r="G2082" s="35">
        <v>45.985301684935948</v>
      </c>
      <c r="H2082" s="35">
        <v>2.5387833865178284</v>
      </c>
      <c r="I2082" s="35">
        <v>-4.2666738347580182</v>
      </c>
      <c r="J2082" s="35">
        <v>-3.4863117871598041E-3</v>
      </c>
      <c r="K2082" s="35">
        <v>1.7308533161688029</v>
      </c>
      <c r="L2082" s="35">
        <v>15.853793125787336</v>
      </c>
      <c r="M2082" s="58" t="s">
        <v>22</v>
      </c>
      <c r="N2082" s="7">
        <v>9.5</v>
      </c>
      <c r="O2082" s="7" t="s">
        <v>179</v>
      </c>
      <c r="P2082" s="7" t="s">
        <v>179</v>
      </c>
    </row>
    <row r="2083" spans="1:16" x14ac:dyDescent="0.25">
      <c r="A2083" s="2" t="s">
        <v>181</v>
      </c>
      <c r="B2083" s="2" t="s">
        <v>198</v>
      </c>
      <c r="C2083" s="6" t="s">
        <v>145</v>
      </c>
      <c r="D2083" s="2" t="s">
        <v>120</v>
      </c>
      <c r="E2083" s="2"/>
      <c r="F2083" s="35">
        <v>2</v>
      </c>
      <c r="G2083" s="35">
        <v>41.784169993205765</v>
      </c>
      <c r="H2083" s="35">
        <v>2.5387718546308382</v>
      </c>
      <c r="I2083" s="35">
        <v>0.23554138111531719</v>
      </c>
      <c r="J2083" s="35">
        <v>-3.5287219407107808E-3</v>
      </c>
      <c r="K2083" s="35">
        <v>1.7308533161688009</v>
      </c>
      <c r="L2083" s="35">
        <v>15.85383836328467</v>
      </c>
      <c r="M2083" s="58" t="s">
        <v>22</v>
      </c>
      <c r="N2083" s="7">
        <v>9.5</v>
      </c>
      <c r="O2083" s="7" t="s">
        <v>179</v>
      </c>
      <c r="P2083" s="7" t="s">
        <v>179</v>
      </c>
    </row>
    <row r="2084" spans="1:16" x14ac:dyDescent="0.25">
      <c r="A2084" s="2" t="s">
        <v>181</v>
      </c>
      <c r="B2084" s="2" t="s">
        <v>198</v>
      </c>
      <c r="C2084" s="6" t="s">
        <v>145</v>
      </c>
      <c r="D2084" s="2" t="s">
        <v>120</v>
      </c>
      <c r="E2084" s="2"/>
      <c r="F2084" s="35">
        <v>4.5</v>
      </c>
      <c r="G2084" s="35">
        <v>42.801416993205763</v>
      </c>
      <c r="H2084" s="35">
        <v>13.03877185463084</v>
      </c>
      <c r="I2084" s="35">
        <v>0.23554138111531786</v>
      </c>
      <c r="J2084" s="35">
        <v>-3.5287219407107808E-3</v>
      </c>
      <c r="K2084" s="35">
        <v>1.1419998633805073</v>
      </c>
      <c r="L2084" s="35">
        <v>-3.6180912732924253</v>
      </c>
      <c r="M2084" s="58" t="s">
        <v>24</v>
      </c>
      <c r="N2084" s="7">
        <v>9.5</v>
      </c>
      <c r="O2084" s="7" t="s">
        <v>179</v>
      </c>
      <c r="P2084" s="7" t="s">
        <v>179</v>
      </c>
    </row>
    <row r="2085" spans="1:16" x14ac:dyDescent="0.25">
      <c r="A2085" s="2" t="s">
        <v>181</v>
      </c>
      <c r="B2085" s="2" t="s">
        <v>198</v>
      </c>
      <c r="C2085" s="6" t="s">
        <v>145</v>
      </c>
      <c r="D2085" s="2" t="s">
        <v>120</v>
      </c>
      <c r="E2085" s="2"/>
      <c r="F2085" s="35">
        <v>4.5</v>
      </c>
      <c r="G2085" s="35">
        <v>43.578365623710638</v>
      </c>
      <c r="H2085" s="35">
        <v>13.038867723634871</v>
      </c>
      <c r="I2085" s="35">
        <v>0.2294616249038455</v>
      </c>
      <c r="J2085" s="35">
        <v>2.8567437216517563E-3</v>
      </c>
      <c r="K2085" s="35">
        <v>1.1419945968802701</v>
      </c>
      <c r="L2085" s="35">
        <v>-2.6469058369473584</v>
      </c>
      <c r="M2085" s="58" t="s">
        <v>24</v>
      </c>
      <c r="N2085" s="7">
        <v>9.5</v>
      </c>
      <c r="O2085" s="7" t="s">
        <v>179</v>
      </c>
      <c r="P2085" s="7" t="s">
        <v>179</v>
      </c>
    </row>
    <row r="2086" spans="1:16" x14ac:dyDescent="0.25">
      <c r="A2086" s="2" t="s">
        <v>181</v>
      </c>
      <c r="B2086" s="2" t="s">
        <v>198</v>
      </c>
      <c r="C2086" s="6" t="s">
        <v>145</v>
      </c>
      <c r="D2086" s="2" t="s">
        <v>120</v>
      </c>
      <c r="E2086" s="2"/>
      <c r="F2086" s="35">
        <v>8.9965005885644871</v>
      </c>
      <c r="G2086" s="35">
        <v>45.407986317396819</v>
      </c>
      <c r="H2086" s="35">
        <v>31.924170195605722</v>
      </c>
      <c r="I2086" s="35">
        <v>0.22946162490384667</v>
      </c>
      <c r="J2086" s="35">
        <v>2.8567437216517563E-3</v>
      </c>
      <c r="K2086" s="35">
        <v>0.11022026544716267</v>
      </c>
      <c r="L2086" s="35">
        <v>-103.7350690707037</v>
      </c>
      <c r="M2086" s="58" t="s">
        <v>23</v>
      </c>
      <c r="N2086" s="7">
        <v>9.5</v>
      </c>
      <c r="O2086" s="7" t="s">
        <v>179</v>
      </c>
      <c r="P2086" s="7" t="s">
        <v>179</v>
      </c>
    </row>
    <row r="2087" spans="1:16" x14ac:dyDescent="0.25">
      <c r="A2087" s="2" t="s">
        <v>181</v>
      </c>
      <c r="B2087" s="2" t="s">
        <v>198</v>
      </c>
      <c r="C2087" s="6" t="s">
        <v>145</v>
      </c>
      <c r="D2087" s="2" t="s">
        <v>121</v>
      </c>
      <c r="E2087" s="2"/>
      <c r="F2087" s="35">
        <v>0</v>
      </c>
      <c r="G2087" s="35">
        <v>3.355438065519905</v>
      </c>
      <c r="H2087" s="35">
        <v>-10.354897880136168</v>
      </c>
      <c r="I2087" s="35">
        <v>-4.1982493757351094</v>
      </c>
      <c r="J2087" s="35">
        <v>-3.4703447790683079E-3</v>
      </c>
      <c r="K2087" s="35">
        <v>-6.7178148753028459</v>
      </c>
      <c r="L2087" s="35">
        <v>-19.451685589775789</v>
      </c>
      <c r="M2087" s="58" t="s">
        <v>22</v>
      </c>
      <c r="N2087" s="7">
        <v>9.5</v>
      </c>
      <c r="O2087" s="7" t="s">
        <v>179</v>
      </c>
      <c r="P2087" s="7" t="s">
        <v>179</v>
      </c>
    </row>
    <row r="2088" spans="1:16" x14ac:dyDescent="0.25">
      <c r="A2088" s="2" t="s">
        <v>181</v>
      </c>
      <c r="B2088" s="2" t="s">
        <v>198</v>
      </c>
      <c r="C2088" s="6" t="s">
        <v>145</v>
      </c>
      <c r="D2088" s="2" t="s">
        <v>121</v>
      </c>
      <c r="E2088" s="2"/>
      <c r="F2088" s="35">
        <v>2</v>
      </c>
      <c r="G2088" s="35">
        <v>4.1692356655199099</v>
      </c>
      <c r="H2088" s="35">
        <v>-6.6588978801361671</v>
      </c>
      <c r="I2088" s="35">
        <v>-4.1982493757351094</v>
      </c>
      <c r="J2088" s="35">
        <v>-3.4703447790683079E-3</v>
      </c>
      <c r="K2088" s="35">
        <v>1.6786838761673732</v>
      </c>
      <c r="L2088" s="35">
        <v>-2.4378898295034501</v>
      </c>
      <c r="M2088" s="58" t="s">
        <v>22</v>
      </c>
      <c r="N2088" s="7">
        <v>9.5</v>
      </c>
      <c r="O2088" s="7" t="s">
        <v>179</v>
      </c>
      <c r="P2088" s="7" t="s">
        <v>179</v>
      </c>
    </row>
    <row r="2089" spans="1:16" x14ac:dyDescent="0.25">
      <c r="A2089" s="2" t="s">
        <v>181</v>
      </c>
      <c r="B2089" s="2" t="s">
        <v>198</v>
      </c>
      <c r="C2089" s="6" t="s">
        <v>145</v>
      </c>
      <c r="D2089" s="2" t="s">
        <v>121</v>
      </c>
      <c r="E2089" s="2"/>
      <c r="F2089" s="35">
        <v>2</v>
      </c>
      <c r="G2089" s="35">
        <v>3.8894203912583171E-2</v>
      </c>
      <c r="H2089" s="35">
        <v>-6.6588989688225801</v>
      </c>
      <c r="I2089" s="35">
        <v>0.22845841222984636</v>
      </c>
      <c r="J2089" s="35">
        <v>-3.4717100714996034E-3</v>
      </c>
      <c r="K2089" s="35">
        <v>1.6786838761673728</v>
      </c>
      <c r="L2089" s="35">
        <v>-2.4378883731915089</v>
      </c>
      <c r="M2089" s="58" t="s">
        <v>22</v>
      </c>
      <c r="N2089" s="7">
        <v>9.5</v>
      </c>
      <c r="O2089" s="7" t="s">
        <v>179</v>
      </c>
      <c r="P2089" s="7" t="s">
        <v>179</v>
      </c>
    </row>
    <row r="2090" spans="1:16" x14ac:dyDescent="0.25">
      <c r="A2090" s="2" t="s">
        <v>181</v>
      </c>
      <c r="B2090" s="2" t="s">
        <v>198</v>
      </c>
      <c r="C2090" s="6" t="s">
        <v>145</v>
      </c>
      <c r="D2090" s="2" t="s">
        <v>121</v>
      </c>
      <c r="E2090" s="2"/>
      <c r="F2090" s="35">
        <v>4.5</v>
      </c>
      <c r="G2090" s="35">
        <v>1.0561412039125788</v>
      </c>
      <c r="H2090" s="35">
        <v>-2.0388989688225787</v>
      </c>
      <c r="I2090" s="35">
        <v>0.22845841222984661</v>
      </c>
      <c r="J2090" s="35">
        <v>-3.4717100714996034E-3</v>
      </c>
      <c r="K2090" s="35">
        <v>1.1075378455927567</v>
      </c>
      <c r="L2090" s="35">
        <v>8.4343590488649394</v>
      </c>
      <c r="M2090" s="58" t="s">
        <v>24</v>
      </c>
      <c r="N2090" s="7">
        <v>9.5</v>
      </c>
      <c r="O2090" s="7" t="s">
        <v>179</v>
      </c>
      <c r="P2090" s="7" t="s">
        <v>179</v>
      </c>
    </row>
    <row r="2091" spans="1:16" x14ac:dyDescent="0.25">
      <c r="A2091" s="2" t="s">
        <v>181</v>
      </c>
      <c r="B2091" s="2" t="s">
        <v>198</v>
      </c>
      <c r="C2091" s="6" t="s">
        <v>145</v>
      </c>
      <c r="D2091" s="2" t="s">
        <v>121</v>
      </c>
      <c r="E2091" s="2"/>
      <c r="F2091" s="35">
        <v>4.5</v>
      </c>
      <c r="G2091" s="35">
        <v>1.8330899334906494</v>
      </c>
      <c r="H2091" s="35">
        <v>-2.0388360783628263</v>
      </c>
      <c r="I2091" s="35">
        <v>0.22258567227252096</v>
      </c>
      <c r="J2091" s="35">
        <v>2.8118336452879339E-3</v>
      </c>
      <c r="K2091" s="35">
        <v>1.1075322712247528</v>
      </c>
      <c r="L2091" s="35">
        <v>9.405543809037038</v>
      </c>
      <c r="M2091" s="58" t="s">
        <v>24</v>
      </c>
      <c r="N2091" s="7">
        <v>9.5</v>
      </c>
      <c r="O2091" s="7" t="s">
        <v>179</v>
      </c>
      <c r="P2091" s="7" t="s">
        <v>179</v>
      </c>
    </row>
    <row r="2092" spans="1:16" x14ac:dyDescent="0.25">
      <c r="A2092" s="2" t="s">
        <v>181</v>
      </c>
      <c r="B2092" s="2" t="s">
        <v>198</v>
      </c>
      <c r="C2092" s="6" t="s">
        <v>145</v>
      </c>
      <c r="D2092" s="2" t="s">
        <v>121</v>
      </c>
      <c r="E2092" s="2"/>
      <c r="F2092" s="35">
        <v>8.9965005885644871</v>
      </c>
      <c r="G2092" s="35">
        <v>3.662710627176827</v>
      </c>
      <c r="H2092" s="35">
        <v>6.2706970093043477</v>
      </c>
      <c r="I2092" s="35">
        <v>0.22258567227252146</v>
      </c>
      <c r="J2092" s="35">
        <v>2.8118336452879339E-3</v>
      </c>
      <c r="K2092" s="35">
        <v>0.10667566484533927</v>
      </c>
      <c r="L2092" s="35">
        <v>-0.10873877431377765</v>
      </c>
      <c r="M2092" s="58" t="s">
        <v>23</v>
      </c>
      <c r="N2092" s="7">
        <v>9.5</v>
      </c>
      <c r="O2092" s="7" t="s">
        <v>179</v>
      </c>
      <c r="P2092" s="7" t="s">
        <v>179</v>
      </c>
    </row>
    <row r="2093" spans="1:16" x14ac:dyDescent="0.25">
      <c r="A2093" s="2" t="s">
        <v>181</v>
      </c>
      <c r="B2093" s="2" t="s">
        <v>198</v>
      </c>
      <c r="C2093" s="6" t="s">
        <v>145</v>
      </c>
      <c r="D2093" s="2" t="s">
        <v>122</v>
      </c>
      <c r="E2093" s="2"/>
      <c r="F2093" s="35">
        <v>0</v>
      </c>
      <c r="G2093" s="35">
        <v>28.945282705443208</v>
      </c>
      <c r="H2093" s="35">
        <v>-5.8694622915200148</v>
      </c>
      <c r="I2093" s="35">
        <v>3.9561213667487736</v>
      </c>
      <c r="J2093" s="35">
        <v>3.6141545461436785E-3</v>
      </c>
      <c r="K2093" s="35">
        <v>6.3303268449406556</v>
      </c>
      <c r="L2093" s="35">
        <v>11.930655602425484</v>
      </c>
      <c r="M2093" s="58" t="s">
        <v>22</v>
      </c>
      <c r="N2093" s="7">
        <v>9.5</v>
      </c>
      <c r="O2093" s="7" t="s">
        <v>179</v>
      </c>
      <c r="P2093" s="7" t="s">
        <v>179</v>
      </c>
    </row>
    <row r="2094" spans="1:16" x14ac:dyDescent="0.25">
      <c r="A2094" s="2" t="s">
        <v>181</v>
      </c>
      <c r="B2094" s="2" t="s">
        <v>198</v>
      </c>
      <c r="C2094" s="6" t="s">
        <v>145</v>
      </c>
      <c r="D2094" s="2" t="s">
        <v>122</v>
      </c>
      <c r="E2094" s="2"/>
      <c r="F2094" s="35">
        <v>2</v>
      </c>
      <c r="G2094" s="35">
        <v>29.759080305443213</v>
      </c>
      <c r="H2094" s="35">
        <v>2.5305377084799869</v>
      </c>
      <c r="I2094" s="35">
        <v>3.9561213667487745</v>
      </c>
      <c r="J2094" s="35">
        <v>3.6141545461436785E-3</v>
      </c>
      <c r="K2094" s="35">
        <v>-1.5819158885568931</v>
      </c>
      <c r="L2094" s="35">
        <v>15.269580185465525</v>
      </c>
      <c r="M2094" s="58" t="s">
        <v>22</v>
      </c>
      <c r="N2094" s="7">
        <v>9.5</v>
      </c>
      <c r="O2094" s="7" t="s">
        <v>179</v>
      </c>
      <c r="P2094" s="7" t="s">
        <v>179</v>
      </c>
    </row>
    <row r="2095" spans="1:16" x14ac:dyDescent="0.25">
      <c r="A2095" s="2" t="s">
        <v>181</v>
      </c>
      <c r="B2095" s="2" t="s">
        <v>198</v>
      </c>
      <c r="C2095" s="6" t="s">
        <v>145</v>
      </c>
      <c r="D2095" s="2" t="s">
        <v>122</v>
      </c>
      <c r="E2095" s="2"/>
      <c r="F2095" s="35">
        <v>2</v>
      </c>
      <c r="G2095" s="35">
        <v>33.688178297806694</v>
      </c>
      <c r="H2095" s="35">
        <v>2.5305281564223074</v>
      </c>
      <c r="I2095" s="35">
        <v>-0.21390852923622516</v>
      </c>
      <c r="J2095" s="35">
        <v>3.598327903310332E-3</v>
      </c>
      <c r="K2095" s="35">
        <v>-1.5819158885568982</v>
      </c>
      <c r="L2095" s="35">
        <v>15.269597067217923</v>
      </c>
      <c r="M2095" s="58" t="s">
        <v>22</v>
      </c>
      <c r="N2095" s="7">
        <v>9.5</v>
      </c>
      <c r="O2095" s="7" t="s">
        <v>179</v>
      </c>
      <c r="P2095" s="7" t="s">
        <v>179</v>
      </c>
    </row>
    <row r="2096" spans="1:16" x14ac:dyDescent="0.25">
      <c r="A2096" s="2" t="s">
        <v>181</v>
      </c>
      <c r="B2096" s="2" t="s">
        <v>198</v>
      </c>
      <c r="C2096" s="6" t="s">
        <v>145</v>
      </c>
      <c r="D2096" s="2" t="s">
        <v>122</v>
      </c>
      <c r="E2096" s="2"/>
      <c r="F2096" s="35">
        <v>4.5</v>
      </c>
      <c r="G2096" s="35">
        <v>34.705425297806684</v>
      </c>
      <c r="H2096" s="35">
        <v>13.030528156422308</v>
      </c>
      <c r="I2096" s="35">
        <v>-0.2139085292362245</v>
      </c>
      <c r="J2096" s="35">
        <v>3.598327903310332E-3</v>
      </c>
      <c r="K2096" s="35">
        <v>-1.0471445654663361</v>
      </c>
      <c r="L2096" s="35">
        <v>-4.1817233238378382</v>
      </c>
      <c r="M2096" s="58" t="s">
        <v>24</v>
      </c>
      <c r="N2096" s="7">
        <v>9.5</v>
      </c>
      <c r="O2096" s="7" t="s">
        <v>179</v>
      </c>
      <c r="P2096" s="7" t="s">
        <v>179</v>
      </c>
    </row>
    <row r="2097" spans="1:16" x14ac:dyDescent="0.25">
      <c r="A2097" s="2" t="s">
        <v>181</v>
      </c>
      <c r="B2097" s="2" t="s">
        <v>198</v>
      </c>
      <c r="C2097" s="6" t="s">
        <v>145</v>
      </c>
      <c r="D2097" s="2" t="s">
        <v>122</v>
      </c>
      <c r="E2097" s="2"/>
      <c r="F2097" s="35">
        <v>4.5</v>
      </c>
      <c r="G2097" s="35">
        <v>35.48237077982602</v>
      </c>
      <c r="H2097" s="35">
        <v>13.030578836214799</v>
      </c>
      <c r="I2097" s="35">
        <v>-0.20824889967270954</v>
      </c>
      <c r="J2097" s="35">
        <v>-2.9010865687760777E-3</v>
      </c>
      <c r="K2097" s="35">
        <v>-1.0471377157530204</v>
      </c>
      <c r="L2097" s="35">
        <v>-3.210542475518777</v>
      </c>
      <c r="M2097" s="58" t="s">
        <v>24</v>
      </c>
      <c r="N2097" s="7">
        <v>9.5</v>
      </c>
      <c r="O2097" s="7" t="s">
        <v>179</v>
      </c>
      <c r="P2097" s="7" t="s">
        <v>179</v>
      </c>
    </row>
    <row r="2098" spans="1:16" x14ac:dyDescent="0.25">
      <c r="A2098" s="2" t="s">
        <v>181</v>
      </c>
      <c r="B2098" s="2" t="s">
        <v>198</v>
      </c>
      <c r="C2098" s="6" t="s">
        <v>145</v>
      </c>
      <c r="D2098" s="2" t="s">
        <v>122</v>
      </c>
      <c r="E2098" s="2"/>
      <c r="F2098" s="35">
        <v>8.9965005885644871</v>
      </c>
      <c r="G2098" s="35">
        <v>37.311991473512201</v>
      </c>
      <c r="H2098" s="35">
        <v>31.91588130818565</v>
      </c>
      <c r="I2098" s="35">
        <v>-0.20824889967270838</v>
      </c>
      <c r="J2098" s="35">
        <v>-2.9010865687760777E-3</v>
      </c>
      <c r="K2098" s="35">
        <v>-0.11074641580677762</v>
      </c>
      <c r="L2098" s="35">
        <v>-104.26143472211223</v>
      </c>
      <c r="M2098" s="58" t="s">
        <v>23</v>
      </c>
      <c r="N2098" s="7">
        <v>9.5</v>
      </c>
      <c r="O2098" s="7" t="s">
        <v>179</v>
      </c>
      <c r="P2098" s="7" t="s">
        <v>179</v>
      </c>
    </row>
    <row r="2099" spans="1:16" x14ac:dyDescent="0.25">
      <c r="A2099" s="2" t="s">
        <v>181</v>
      </c>
      <c r="B2099" s="2" t="s">
        <v>198</v>
      </c>
      <c r="C2099" s="6" t="s">
        <v>145</v>
      </c>
      <c r="D2099" s="2" t="s">
        <v>123</v>
      </c>
      <c r="E2099" s="2"/>
      <c r="F2099" s="35">
        <v>0</v>
      </c>
      <c r="G2099" s="35">
        <v>-12.877665413326152</v>
      </c>
      <c r="H2099" s="35">
        <v>-10.363078718876356</v>
      </c>
      <c r="I2099" s="35">
        <v>4.0278997646290478</v>
      </c>
      <c r="J2099" s="35">
        <v>3.6330637639184534E-3</v>
      </c>
      <c r="K2099" s="35">
        <v>6.4203709432236753</v>
      </c>
      <c r="L2099" s="35">
        <v>-20.051210896964509</v>
      </c>
      <c r="M2099" s="58" t="s">
        <v>22</v>
      </c>
      <c r="N2099" s="7">
        <v>9.5</v>
      </c>
      <c r="O2099" s="7" t="s">
        <v>179</v>
      </c>
      <c r="P2099" s="7" t="s">
        <v>179</v>
      </c>
    </row>
    <row r="2100" spans="1:16" x14ac:dyDescent="0.25">
      <c r="A2100" s="2" t="s">
        <v>181</v>
      </c>
      <c r="B2100" s="2" t="s">
        <v>198</v>
      </c>
      <c r="C2100" s="6" t="s">
        <v>145</v>
      </c>
      <c r="D2100" s="2" t="s">
        <v>123</v>
      </c>
      <c r="E2100" s="2"/>
      <c r="F2100" s="35">
        <v>2</v>
      </c>
      <c r="G2100" s="35">
        <v>-12.063867813326146</v>
      </c>
      <c r="H2100" s="35">
        <v>-6.6670787188763558</v>
      </c>
      <c r="I2100" s="35">
        <v>4.0278997646290478</v>
      </c>
      <c r="J2100" s="35">
        <v>3.6330637639184534E-3</v>
      </c>
      <c r="K2100" s="35">
        <v>-1.6354285860344209</v>
      </c>
      <c r="L2100" s="35">
        <v>-3.0210534592117919</v>
      </c>
      <c r="M2100" s="58" t="s">
        <v>22</v>
      </c>
      <c r="N2100" s="7">
        <v>9.5</v>
      </c>
      <c r="O2100" s="7" t="s">
        <v>179</v>
      </c>
      <c r="P2100" s="7" t="s">
        <v>179</v>
      </c>
    </row>
    <row r="2101" spans="1:16" x14ac:dyDescent="0.25">
      <c r="A2101" s="2" t="s">
        <v>181</v>
      </c>
      <c r="B2101" s="2" t="s">
        <v>198</v>
      </c>
      <c r="C2101" s="6" t="s">
        <v>145</v>
      </c>
      <c r="D2101" s="2" t="s">
        <v>123</v>
      </c>
      <c r="E2101" s="2"/>
      <c r="F2101" s="35">
        <v>2</v>
      </c>
      <c r="G2101" s="35">
        <v>-8.0606642505005421</v>
      </c>
      <c r="H2101" s="35">
        <v>-6.6670778313284176</v>
      </c>
      <c r="I2101" s="35">
        <v>-0.22117392260930341</v>
      </c>
      <c r="J2101" s="35">
        <v>3.6582953900298836E-3</v>
      </c>
      <c r="K2101" s="35">
        <v>-1.635428586034424</v>
      </c>
      <c r="L2101" s="35">
        <v>-3.0210803729462876</v>
      </c>
      <c r="M2101" s="58" t="s">
        <v>22</v>
      </c>
      <c r="N2101" s="7">
        <v>9.5</v>
      </c>
      <c r="O2101" s="7" t="s">
        <v>179</v>
      </c>
      <c r="P2101" s="7" t="s">
        <v>179</v>
      </c>
    </row>
    <row r="2102" spans="1:16" x14ac:dyDescent="0.25">
      <c r="A2102" s="2" t="s">
        <v>181</v>
      </c>
      <c r="B2102" s="2" t="s">
        <v>198</v>
      </c>
      <c r="C2102" s="6" t="s">
        <v>145</v>
      </c>
      <c r="D2102" s="2" t="s">
        <v>123</v>
      </c>
      <c r="E2102" s="2"/>
      <c r="F2102" s="35">
        <v>4.5</v>
      </c>
      <c r="G2102" s="35">
        <v>-7.0434172505005463</v>
      </c>
      <c r="H2102" s="35">
        <v>-2.0470778313284148</v>
      </c>
      <c r="I2102" s="35">
        <v>-0.22117392260930313</v>
      </c>
      <c r="J2102" s="35">
        <v>3.6582953900298836E-3</v>
      </c>
      <c r="K2102" s="35">
        <v>-1.0824937795111658</v>
      </c>
      <c r="L2102" s="35">
        <v>7.8716142053747529</v>
      </c>
      <c r="M2102" s="58" t="s">
        <v>24</v>
      </c>
      <c r="N2102" s="7">
        <v>9.5</v>
      </c>
      <c r="O2102" s="7" t="s">
        <v>179</v>
      </c>
      <c r="P2102" s="7" t="s">
        <v>179</v>
      </c>
    </row>
    <row r="2103" spans="1:16" x14ac:dyDescent="0.25">
      <c r="A2103" s="2" t="s">
        <v>181</v>
      </c>
      <c r="B2103" s="2" t="s">
        <v>198</v>
      </c>
      <c r="C2103" s="6" t="s">
        <v>145</v>
      </c>
      <c r="D2103" s="2" t="s">
        <v>123</v>
      </c>
      <c r="E2103" s="2"/>
      <c r="F2103" s="35">
        <v>4.5</v>
      </c>
      <c r="G2103" s="35">
        <v>-6.2664716707141617</v>
      </c>
      <c r="H2103" s="35">
        <v>-2.0470598698875344</v>
      </c>
      <c r="I2103" s="35">
        <v>-0.21530226024299262</v>
      </c>
      <c r="J2103" s="35">
        <v>-2.9497003106218915E-3</v>
      </c>
      <c r="K2103" s="35">
        <v>-1.0824872327167938</v>
      </c>
      <c r="L2103" s="35">
        <v>8.8427943793861576</v>
      </c>
      <c r="M2103" s="58" t="s">
        <v>24</v>
      </c>
      <c r="N2103" s="7">
        <v>9.5</v>
      </c>
      <c r="O2103" s="7" t="s">
        <v>179</v>
      </c>
      <c r="P2103" s="7" t="s">
        <v>179</v>
      </c>
    </row>
    <row r="2104" spans="1:16" x14ac:dyDescent="0.25">
      <c r="A2104" s="2" t="s">
        <v>181</v>
      </c>
      <c r="B2104" s="2" t="s">
        <v>198</v>
      </c>
      <c r="C2104" s="6" t="s">
        <v>145</v>
      </c>
      <c r="D2104" s="2" t="s">
        <v>123</v>
      </c>
      <c r="E2104" s="2"/>
      <c r="F2104" s="35">
        <v>8.9965005885644871</v>
      </c>
      <c r="G2104" s="35">
        <v>-4.4368509770279845</v>
      </c>
      <c r="H2104" s="35">
        <v>6.2624732177796423</v>
      </c>
      <c r="I2104" s="35">
        <v>-0.21530226024299212</v>
      </c>
      <c r="J2104" s="35">
        <v>-2.9497003106218915E-3</v>
      </c>
      <c r="K2104" s="35">
        <v>-0.11438049281491415</v>
      </c>
      <c r="L2104" s="35">
        <v>-0.63450992053356747</v>
      </c>
      <c r="M2104" s="58" t="s">
        <v>23</v>
      </c>
      <c r="N2104" s="7">
        <v>9.5</v>
      </c>
      <c r="O2104" s="7" t="s">
        <v>179</v>
      </c>
      <c r="P2104" s="7" t="s">
        <v>179</v>
      </c>
    </row>
    <row r="2105" spans="1:16" x14ac:dyDescent="0.25">
      <c r="A2105" s="2" t="s">
        <v>181</v>
      </c>
      <c r="B2105" s="2" t="s">
        <v>198</v>
      </c>
      <c r="C2105" s="6" t="s">
        <v>145</v>
      </c>
      <c r="D2105" s="2" t="s">
        <v>124</v>
      </c>
      <c r="E2105" s="2"/>
      <c r="F2105" s="35">
        <v>0</v>
      </c>
      <c r="G2105" s="35">
        <v>47.849304632443413</v>
      </c>
      <c r="H2105" s="35">
        <v>41.011222879122236</v>
      </c>
      <c r="I2105" s="35">
        <v>0.16190662472372028</v>
      </c>
      <c r="J2105" s="35">
        <v>1.0519515641251029E-4</v>
      </c>
      <c r="K2105" s="35">
        <v>0.31225465842352357</v>
      </c>
      <c r="L2105" s="35">
        <v>122.92529677671239</v>
      </c>
      <c r="M2105" s="58" t="s">
        <v>22</v>
      </c>
      <c r="N2105" s="7">
        <v>9.5</v>
      </c>
      <c r="O2105" s="7" t="s">
        <v>179</v>
      </c>
      <c r="P2105" s="7" t="s">
        <v>179</v>
      </c>
    </row>
    <row r="2106" spans="1:16" x14ac:dyDescent="0.25">
      <c r="A2106" s="2" t="s">
        <v>181</v>
      </c>
      <c r="B2106" s="2" t="s">
        <v>198</v>
      </c>
      <c r="C2106" s="6" t="s">
        <v>145</v>
      </c>
      <c r="D2106" s="2" t="s">
        <v>124</v>
      </c>
      <c r="E2106" s="2"/>
      <c r="F2106" s="35">
        <v>2</v>
      </c>
      <c r="G2106" s="35">
        <v>48.663102232443421</v>
      </c>
      <c r="H2106" s="35">
        <v>34.963222879122235</v>
      </c>
      <c r="I2106" s="35">
        <v>0.16190662472371992</v>
      </c>
      <c r="J2106" s="35">
        <v>1.0519515641251029E-4</v>
      </c>
      <c r="K2106" s="35">
        <v>-1.1558591023916594E-2</v>
      </c>
      <c r="L2106" s="35">
        <v>46.950851018467915</v>
      </c>
      <c r="M2106" s="58" t="s">
        <v>22</v>
      </c>
      <c r="N2106" s="7">
        <v>9.5</v>
      </c>
      <c r="O2106" s="7" t="s">
        <v>179</v>
      </c>
      <c r="P2106" s="7" t="s">
        <v>179</v>
      </c>
    </row>
    <row r="2107" spans="1:16" x14ac:dyDescent="0.25">
      <c r="A2107" s="2" t="s">
        <v>181</v>
      </c>
      <c r="B2107" s="2" t="s">
        <v>198</v>
      </c>
      <c r="C2107" s="6" t="s">
        <v>145</v>
      </c>
      <c r="D2107" s="2" t="s">
        <v>124</v>
      </c>
      <c r="E2107" s="2"/>
      <c r="F2107" s="35">
        <v>2</v>
      </c>
      <c r="G2107" s="35">
        <v>48.835276867040228</v>
      </c>
      <c r="H2107" s="35">
        <v>34.963209268089592</v>
      </c>
      <c r="I2107" s="35">
        <v>-7.4096954282611258E-4</v>
      </c>
      <c r="J2107" s="35">
        <v>4.1241538867516086E-5</v>
      </c>
      <c r="K2107" s="35">
        <v>-1.1558591023916783E-2</v>
      </c>
      <c r="L2107" s="35">
        <v>46.950919235660002</v>
      </c>
      <c r="M2107" s="58" t="s">
        <v>22</v>
      </c>
      <c r="N2107" s="7">
        <v>9.5</v>
      </c>
      <c r="O2107" s="7" t="s">
        <v>179</v>
      </c>
      <c r="P2107" s="7" t="s">
        <v>179</v>
      </c>
    </row>
    <row r="2108" spans="1:16" x14ac:dyDescent="0.25">
      <c r="A2108" s="2" t="s">
        <v>181</v>
      </c>
      <c r="B2108" s="2" t="s">
        <v>198</v>
      </c>
      <c r="C2108" s="6" t="s">
        <v>145</v>
      </c>
      <c r="D2108" s="2" t="s">
        <v>124</v>
      </c>
      <c r="E2108" s="2"/>
      <c r="F2108" s="35">
        <v>4.5</v>
      </c>
      <c r="G2108" s="35">
        <v>49.852523867040226</v>
      </c>
      <c r="H2108" s="35">
        <v>27.403209268089597</v>
      </c>
      <c r="I2108" s="35">
        <v>-7.4096954282657445E-4</v>
      </c>
      <c r="J2108" s="35">
        <v>4.1241538867516086E-5</v>
      </c>
      <c r="K2108" s="35">
        <v>-9.7061671668509271E-3</v>
      </c>
      <c r="L2108" s="35">
        <v>-31.007103934563979</v>
      </c>
      <c r="M2108" s="58" t="s">
        <v>24</v>
      </c>
      <c r="N2108" s="7">
        <v>9.5</v>
      </c>
      <c r="O2108" s="7" t="s">
        <v>179</v>
      </c>
      <c r="P2108" s="7" t="s">
        <v>179</v>
      </c>
    </row>
    <row r="2109" spans="1:16" x14ac:dyDescent="0.25">
      <c r="A2109" s="2" t="s">
        <v>181</v>
      </c>
      <c r="B2109" s="2" t="s">
        <v>198</v>
      </c>
      <c r="C2109" s="6" t="s">
        <v>145</v>
      </c>
      <c r="D2109" s="2" t="s">
        <v>124</v>
      </c>
      <c r="E2109" s="2"/>
      <c r="F2109" s="35">
        <v>4.5</v>
      </c>
      <c r="G2109" s="35">
        <v>50.629470539220947</v>
      </c>
      <c r="H2109" s="35">
        <v>27.403261703429667</v>
      </c>
      <c r="I2109" s="35">
        <v>-8.1017540496183197E-4</v>
      </c>
      <c r="J2109" s="35">
        <v>-8.6090905984274863E-5</v>
      </c>
      <c r="K2109" s="35">
        <v>-9.7041880882662787E-3</v>
      </c>
      <c r="L2109" s="35">
        <v>-30.035918859352694</v>
      </c>
      <c r="M2109" s="58" t="s">
        <v>24</v>
      </c>
      <c r="N2109" s="7">
        <v>9.5</v>
      </c>
      <c r="O2109" s="7" t="s">
        <v>179</v>
      </c>
      <c r="P2109" s="7" t="s">
        <v>179</v>
      </c>
    </row>
    <row r="2110" spans="1:16" x14ac:dyDescent="0.25">
      <c r="A2110" s="2" t="s">
        <v>181</v>
      </c>
      <c r="B2110" s="2" t="s">
        <v>198</v>
      </c>
      <c r="C2110" s="6" t="s">
        <v>145</v>
      </c>
      <c r="D2110" s="2" t="s">
        <v>124</v>
      </c>
      <c r="E2110" s="2"/>
      <c r="F2110" s="35">
        <v>8.9965005885644871</v>
      </c>
      <c r="G2110" s="35">
        <v>52.459091232907127</v>
      </c>
      <c r="H2110" s="35">
        <v>13.805843923610658</v>
      </c>
      <c r="I2110" s="35">
        <v>-8.1017540496266334E-4</v>
      </c>
      <c r="J2110" s="35">
        <v>-8.6090905984274863E-5</v>
      </c>
      <c r="K2110" s="35">
        <v>-6.0612339030130542E-3</v>
      </c>
      <c r="L2110" s="35">
        <v>-122.68430271245415</v>
      </c>
      <c r="M2110" s="58" t="s">
        <v>23</v>
      </c>
      <c r="N2110" s="7">
        <v>9.5</v>
      </c>
      <c r="O2110" s="7" t="s">
        <v>179</v>
      </c>
      <c r="P2110" s="7" t="s">
        <v>179</v>
      </c>
    </row>
    <row r="2111" spans="1:16" x14ac:dyDescent="0.25">
      <c r="A2111" s="2" t="s">
        <v>181</v>
      </c>
      <c r="B2111" s="2" t="s">
        <v>198</v>
      </c>
      <c r="C2111" s="6" t="s">
        <v>145</v>
      </c>
      <c r="D2111" s="2" t="s">
        <v>125</v>
      </c>
      <c r="E2111" s="2"/>
      <c r="F2111" s="35">
        <v>0</v>
      </c>
      <c r="G2111" s="35">
        <v>-70.446888916596265</v>
      </c>
      <c r="H2111" s="35">
        <v>15.390850057560401</v>
      </c>
      <c r="I2111" s="35">
        <v>0.59476516039505756</v>
      </c>
      <c r="J2111" s="35">
        <v>2.4660010403433787E-4</v>
      </c>
      <c r="K2111" s="35">
        <v>0.95999583947617673</v>
      </c>
      <c r="L2111" s="35">
        <v>47.054816920019555</v>
      </c>
      <c r="M2111" s="58" t="s">
        <v>22</v>
      </c>
      <c r="N2111" s="7">
        <v>9.5</v>
      </c>
      <c r="O2111" s="7" t="s">
        <v>179</v>
      </c>
      <c r="P2111" s="7" t="s">
        <v>179</v>
      </c>
    </row>
    <row r="2112" spans="1:16" x14ac:dyDescent="0.25">
      <c r="A2112" s="2" t="s">
        <v>181</v>
      </c>
      <c r="B2112" s="2" t="s">
        <v>198</v>
      </c>
      <c r="C2112" s="6" t="s">
        <v>145</v>
      </c>
      <c r="D2112" s="2" t="s">
        <v>125</v>
      </c>
      <c r="E2112" s="2"/>
      <c r="F2112" s="35">
        <v>2</v>
      </c>
      <c r="G2112" s="35">
        <v>-69.63309131659625</v>
      </c>
      <c r="H2112" s="35">
        <v>4.6388500575604006</v>
      </c>
      <c r="I2112" s="35">
        <v>0.594765160395057</v>
      </c>
      <c r="J2112" s="35">
        <v>2.4660010403433787E-4</v>
      </c>
      <c r="K2112" s="35">
        <v>-0.22953448131393775</v>
      </c>
      <c r="L2112" s="35">
        <v>27.025116804898762</v>
      </c>
      <c r="M2112" s="58" t="s">
        <v>22</v>
      </c>
      <c r="N2112" s="7">
        <v>9.5</v>
      </c>
      <c r="O2112" s="7" t="s">
        <v>179</v>
      </c>
      <c r="P2112" s="7" t="s">
        <v>179</v>
      </c>
    </row>
    <row r="2113" spans="1:16" x14ac:dyDescent="0.25">
      <c r="A2113" s="2" t="s">
        <v>181</v>
      </c>
      <c r="B2113" s="2" t="s">
        <v>198</v>
      </c>
      <c r="C2113" s="6" t="s">
        <v>145</v>
      </c>
      <c r="D2113" s="2" t="s">
        <v>125</v>
      </c>
      <c r="E2113" s="2"/>
      <c r="F2113" s="35">
        <v>2</v>
      </c>
      <c r="G2113" s="35">
        <v>-69.027436212210432</v>
      </c>
      <c r="H2113" s="35">
        <v>4.638859142037508</v>
      </c>
      <c r="I2113" s="35">
        <v>-3.0257020788218014E-2</v>
      </c>
      <c r="J2113" s="35">
        <v>3.3895312068610398E-4</v>
      </c>
      <c r="K2113" s="35">
        <v>-0.22953448131393764</v>
      </c>
      <c r="L2113" s="35">
        <v>27.025018295014355</v>
      </c>
      <c r="M2113" s="58" t="s">
        <v>22</v>
      </c>
      <c r="N2113" s="7">
        <v>9.5</v>
      </c>
      <c r="O2113" s="7" t="s">
        <v>179</v>
      </c>
      <c r="P2113" s="7" t="s">
        <v>179</v>
      </c>
    </row>
    <row r="2114" spans="1:16" x14ac:dyDescent="0.25">
      <c r="A2114" s="2" t="s">
        <v>181</v>
      </c>
      <c r="B2114" s="2" t="s">
        <v>198</v>
      </c>
      <c r="C2114" s="6" t="s">
        <v>145</v>
      </c>
      <c r="D2114" s="2" t="s">
        <v>125</v>
      </c>
      <c r="E2114" s="2"/>
      <c r="F2114" s="35">
        <v>4.5</v>
      </c>
      <c r="G2114" s="35">
        <v>-68.010189212210435</v>
      </c>
      <c r="H2114" s="35">
        <v>-8.8011408579624923</v>
      </c>
      <c r="I2114" s="35">
        <v>-3.025702078821884E-2</v>
      </c>
      <c r="J2114" s="35">
        <v>3.3895312068610398E-4</v>
      </c>
      <c r="K2114" s="35">
        <v>-0.15389192934339155</v>
      </c>
      <c r="L2114" s="35">
        <v>32.227870439920586</v>
      </c>
      <c r="M2114" s="58" t="s">
        <v>24</v>
      </c>
      <c r="N2114" s="7">
        <v>9.5</v>
      </c>
      <c r="O2114" s="7" t="s">
        <v>179</v>
      </c>
      <c r="P2114" s="7" t="s">
        <v>179</v>
      </c>
    </row>
    <row r="2115" spans="1:16" x14ac:dyDescent="0.25">
      <c r="A2115" s="2" t="s">
        <v>181</v>
      </c>
      <c r="B2115" s="2" t="s">
        <v>198</v>
      </c>
      <c r="C2115" s="6" t="s">
        <v>145</v>
      </c>
      <c r="D2115" s="2" t="s">
        <v>125</v>
      </c>
      <c r="E2115" s="2"/>
      <c r="F2115" s="35">
        <v>4.5</v>
      </c>
      <c r="G2115" s="35">
        <v>-67.233242515622365</v>
      </c>
      <c r="H2115" s="35">
        <v>-8.8011582635647905</v>
      </c>
      <c r="I2115" s="35">
        <v>-2.9581525952387069E-2</v>
      </c>
      <c r="J2115" s="35">
        <v>-3.4807947638924717E-4</v>
      </c>
      <c r="K2115" s="35">
        <v>-0.15389003517588384</v>
      </c>
      <c r="L2115" s="35">
        <v>33.199055285194156</v>
      </c>
      <c r="M2115" s="58" t="s">
        <v>24</v>
      </c>
      <c r="N2115" s="7">
        <v>9.5</v>
      </c>
      <c r="O2115" s="7" t="s">
        <v>179</v>
      </c>
      <c r="P2115" s="7" t="s">
        <v>179</v>
      </c>
    </row>
    <row r="2116" spans="1:16" x14ac:dyDescent="0.25">
      <c r="A2116" s="2" t="s">
        <v>181</v>
      </c>
      <c r="B2116" s="2" t="s">
        <v>198</v>
      </c>
      <c r="C2116" s="6" t="s">
        <v>145</v>
      </c>
      <c r="D2116" s="2" t="s">
        <v>125</v>
      </c>
      <c r="E2116" s="2"/>
      <c r="F2116" s="35">
        <v>8.9965005885644871</v>
      </c>
      <c r="G2116" s="35">
        <v>-65.403621821936184</v>
      </c>
      <c r="H2116" s="35">
        <v>-32.974345427687474</v>
      </c>
      <c r="I2116" s="35">
        <v>-2.9581525952388547E-2</v>
      </c>
      <c r="J2116" s="35">
        <v>-3.4807947638924717E-4</v>
      </c>
      <c r="K2116" s="35">
        <v>-2.0876686320336405E-2</v>
      </c>
      <c r="L2116" s="35">
        <v>127.12084375284103</v>
      </c>
      <c r="M2116" s="58" t="s">
        <v>23</v>
      </c>
      <c r="N2116" s="7">
        <v>9.5</v>
      </c>
      <c r="O2116" s="7" t="s">
        <v>179</v>
      </c>
      <c r="P2116" s="7" t="s">
        <v>179</v>
      </c>
    </row>
    <row r="2117" spans="1:16" x14ac:dyDescent="0.25">
      <c r="A2117" s="2" t="s">
        <v>181</v>
      </c>
      <c r="B2117" s="2" t="s">
        <v>198</v>
      </c>
      <c r="C2117" s="6" t="s">
        <v>145</v>
      </c>
      <c r="D2117" s="2" t="s">
        <v>126</v>
      </c>
      <c r="E2117" s="2"/>
      <c r="F2117" s="35">
        <v>0</v>
      </c>
      <c r="G2117" s="35">
        <v>31.059407390814503</v>
      </c>
      <c r="H2117" s="35">
        <v>-7.1506430283728681</v>
      </c>
      <c r="I2117" s="35">
        <v>0.14636059391576151</v>
      </c>
      <c r="J2117" s="35">
        <v>9.7166895290723689E-5</v>
      </c>
      <c r="K2117" s="35">
        <v>0.27710495649958994</v>
      </c>
      <c r="L2117" s="35">
        <v>-16.670402869013721</v>
      </c>
      <c r="M2117" s="58" t="s">
        <v>22</v>
      </c>
      <c r="N2117" s="7">
        <v>9.5</v>
      </c>
      <c r="O2117" s="7" t="s">
        <v>179</v>
      </c>
      <c r="P2117" s="7" t="s">
        <v>179</v>
      </c>
    </row>
    <row r="2118" spans="1:16" x14ac:dyDescent="0.25">
      <c r="A2118" s="2" t="s">
        <v>181</v>
      </c>
      <c r="B2118" s="2" t="s">
        <v>198</v>
      </c>
      <c r="C2118" s="6" t="s">
        <v>145</v>
      </c>
      <c r="D2118" s="2" t="s">
        <v>126</v>
      </c>
      <c r="E2118" s="2"/>
      <c r="F2118" s="35">
        <v>2</v>
      </c>
      <c r="G2118" s="35">
        <v>31.873204990814507</v>
      </c>
      <c r="H2118" s="35">
        <v>-0.76664302837286946</v>
      </c>
      <c r="I2118" s="35">
        <v>0.14636059391576189</v>
      </c>
      <c r="J2118" s="35">
        <v>9.7166895290723689E-5</v>
      </c>
      <c r="K2118" s="35">
        <v>-1.5616231331933432E-2</v>
      </c>
      <c r="L2118" s="35">
        <v>-8.7531168122679794</v>
      </c>
      <c r="M2118" s="58" t="s">
        <v>22</v>
      </c>
      <c r="N2118" s="7">
        <v>9.5</v>
      </c>
      <c r="O2118" s="7" t="s">
        <v>179</v>
      </c>
      <c r="P2118" s="7" t="s">
        <v>179</v>
      </c>
    </row>
    <row r="2119" spans="1:16" x14ac:dyDescent="0.25">
      <c r="A2119" s="2" t="s">
        <v>181</v>
      </c>
      <c r="B2119" s="2" t="s">
        <v>198</v>
      </c>
      <c r="C2119" s="6" t="s">
        <v>145</v>
      </c>
      <c r="D2119" s="2" t="s">
        <v>126</v>
      </c>
      <c r="E2119" s="2"/>
      <c r="F2119" s="35">
        <v>2</v>
      </c>
      <c r="G2119" s="35">
        <v>32.031340598612267</v>
      </c>
      <c r="H2119" s="35">
        <v>-0.76664929300685969</v>
      </c>
      <c r="I2119" s="35">
        <v>-1.3110996773563401E-3</v>
      </c>
      <c r="J2119" s="35">
        <v>4.8446738408932262E-5</v>
      </c>
      <c r="K2119" s="35">
        <v>-1.5616231331933475E-2</v>
      </c>
      <c r="L2119" s="35">
        <v>-8.7530648441005834</v>
      </c>
      <c r="M2119" s="58" t="s">
        <v>22</v>
      </c>
      <c r="N2119" s="7">
        <v>9.5</v>
      </c>
      <c r="O2119" s="7" t="s">
        <v>179</v>
      </c>
      <c r="P2119" s="7" t="s">
        <v>179</v>
      </c>
    </row>
    <row r="2120" spans="1:16" x14ac:dyDescent="0.25">
      <c r="A2120" s="2" t="s">
        <v>181</v>
      </c>
      <c r="B2120" s="2" t="s">
        <v>198</v>
      </c>
      <c r="C2120" s="6" t="s">
        <v>145</v>
      </c>
      <c r="D2120" s="2" t="s">
        <v>126</v>
      </c>
      <c r="E2120" s="2"/>
      <c r="F2120" s="35">
        <v>4.5</v>
      </c>
      <c r="G2120" s="35">
        <v>33.048587598612265</v>
      </c>
      <c r="H2120" s="35">
        <v>7.2133507069931424</v>
      </c>
      <c r="I2120" s="35">
        <v>-1.3110996773558516E-3</v>
      </c>
      <c r="J2120" s="35">
        <v>4.8446738408932262E-5</v>
      </c>
      <c r="K2120" s="35">
        <v>-1.2338482138543241E-2</v>
      </c>
      <c r="L2120" s="35">
        <v>-16.81144161158343</v>
      </c>
      <c r="M2120" s="58" t="s">
        <v>24</v>
      </c>
      <c r="N2120" s="7">
        <v>9.5</v>
      </c>
      <c r="O2120" s="7" t="s">
        <v>179</v>
      </c>
      <c r="P2120" s="7" t="s">
        <v>179</v>
      </c>
    </row>
    <row r="2121" spans="1:16" x14ac:dyDescent="0.25">
      <c r="A2121" s="2" t="s">
        <v>181</v>
      </c>
      <c r="B2121" s="2" t="s">
        <v>198</v>
      </c>
      <c r="C2121" s="6" t="s">
        <v>145</v>
      </c>
      <c r="D2121" s="2" t="s">
        <v>126</v>
      </c>
      <c r="E2121" s="2"/>
      <c r="F2121" s="35">
        <v>4.5</v>
      </c>
      <c r="G2121" s="35">
        <v>33.82553432571752</v>
      </c>
      <c r="H2121" s="35">
        <v>7.2133883254765587</v>
      </c>
      <c r="I2121" s="35">
        <v>-1.3457133668646041E-3</v>
      </c>
      <c r="J2121" s="35">
        <v>-5.9233318352001831E-5</v>
      </c>
      <c r="K2121" s="35">
        <v>-1.2336677014315928E-2</v>
      </c>
      <c r="L2121" s="35">
        <v>-15.840258730872083</v>
      </c>
      <c r="M2121" s="58" t="s">
        <v>24</v>
      </c>
      <c r="N2121" s="7">
        <v>9.5</v>
      </c>
      <c r="O2121" s="7" t="s">
        <v>179</v>
      </c>
      <c r="P2121" s="7" t="s">
        <v>179</v>
      </c>
    </row>
    <row r="2122" spans="1:16" x14ac:dyDescent="0.25">
      <c r="A2122" s="2" t="s">
        <v>181</v>
      </c>
      <c r="B2122" s="2" t="s">
        <v>198</v>
      </c>
      <c r="C2122" s="6" t="s">
        <v>145</v>
      </c>
      <c r="D2122" s="2" t="s">
        <v>126</v>
      </c>
      <c r="E2122" s="2"/>
      <c r="F2122" s="35">
        <v>8.9965005885644871</v>
      </c>
      <c r="G2122" s="35">
        <v>35.655155019403701</v>
      </c>
      <c r="H2122" s="35">
        <v>21.566218204174405</v>
      </c>
      <c r="I2122" s="35">
        <v>-1.3457133668637248E-3</v>
      </c>
      <c r="J2122" s="35">
        <v>-5.9233318352001831E-5</v>
      </c>
      <c r="K2122" s="35">
        <v>-6.2856760681721116E-3</v>
      </c>
      <c r="L2122" s="35">
        <v>-80.544017580487065</v>
      </c>
      <c r="M2122" s="58" t="s">
        <v>23</v>
      </c>
      <c r="N2122" s="7">
        <v>9.5</v>
      </c>
      <c r="O2122" s="7" t="s">
        <v>179</v>
      </c>
      <c r="P2122" s="7" t="s">
        <v>179</v>
      </c>
    </row>
    <row r="2123" spans="1:16" x14ac:dyDescent="0.25">
      <c r="A2123" s="2" t="s">
        <v>181</v>
      </c>
      <c r="B2123" s="2" t="s">
        <v>198</v>
      </c>
      <c r="C2123" s="6" t="s">
        <v>145</v>
      </c>
      <c r="D2123" s="2" t="s">
        <v>127</v>
      </c>
      <c r="E2123" s="2"/>
      <c r="F2123" s="35">
        <v>0</v>
      </c>
      <c r="G2123" s="35">
        <v>-22.47534067049229</v>
      </c>
      <c r="H2123" s="35">
        <v>-23.391189432781598</v>
      </c>
      <c r="I2123" s="35">
        <v>0.37212385751264782</v>
      </c>
      <c r="J2123" s="35">
        <v>2.3855041068768077E-4</v>
      </c>
      <c r="K2123" s="35">
        <v>0.61779853762523806</v>
      </c>
      <c r="L2123" s="35">
        <v>-113.36341626015498</v>
      </c>
      <c r="M2123" s="58" t="s">
        <v>22</v>
      </c>
      <c r="N2123" s="7">
        <v>9.5</v>
      </c>
      <c r="O2123" s="7" t="s">
        <v>179</v>
      </c>
      <c r="P2123" s="7" t="s">
        <v>179</v>
      </c>
    </row>
    <row r="2124" spans="1:16" x14ac:dyDescent="0.25">
      <c r="A2124" s="2" t="s">
        <v>181</v>
      </c>
      <c r="B2124" s="2" t="s">
        <v>198</v>
      </c>
      <c r="C2124" s="6" t="s">
        <v>145</v>
      </c>
      <c r="D2124" s="2" t="s">
        <v>127</v>
      </c>
      <c r="E2124" s="2"/>
      <c r="F2124" s="35">
        <v>2</v>
      </c>
      <c r="G2124" s="35">
        <v>-21.661543070492286</v>
      </c>
      <c r="H2124" s="35">
        <v>-21.711189432781598</v>
      </c>
      <c r="I2124" s="35">
        <v>0.37212385751264793</v>
      </c>
      <c r="J2124" s="35">
        <v>2.3855041068768077E-4</v>
      </c>
      <c r="K2124" s="35">
        <v>-0.12644917740005768</v>
      </c>
      <c r="L2124" s="35">
        <v>-68.261037394591796</v>
      </c>
      <c r="M2124" s="58" t="s">
        <v>22</v>
      </c>
      <c r="N2124" s="7">
        <v>9.5</v>
      </c>
      <c r="O2124" s="7" t="s">
        <v>179</v>
      </c>
      <c r="P2124" s="7" t="s">
        <v>179</v>
      </c>
    </row>
    <row r="2125" spans="1:16" x14ac:dyDescent="0.25">
      <c r="A2125" s="2" t="s">
        <v>181</v>
      </c>
      <c r="B2125" s="2" t="s">
        <v>198</v>
      </c>
      <c r="C2125" s="6" t="s">
        <v>145</v>
      </c>
      <c r="D2125" s="2" t="s">
        <v>127</v>
      </c>
      <c r="E2125" s="2"/>
      <c r="F2125" s="35">
        <v>2</v>
      </c>
      <c r="G2125" s="35">
        <v>-21.277655578587645</v>
      </c>
      <c r="H2125" s="35">
        <v>-21.711178562145687</v>
      </c>
      <c r="I2125" s="35">
        <v>-1.6347717630695719E-2</v>
      </c>
      <c r="J2125" s="35">
        <v>2.1296874670572962E-4</v>
      </c>
      <c r="K2125" s="35">
        <v>-0.12644917740005787</v>
      </c>
      <c r="L2125" s="35">
        <v>-68.261010107483571</v>
      </c>
      <c r="M2125" s="58" t="s">
        <v>22</v>
      </c>
      <c r="N2125" s="7">
        <v>9.5</v>
      </c>
      <c r="O2125" s="7" t="s">
        <v>179</v>
      </c>
      <c r="P2125" s="7" t="s">
        <v>179</v>
      </c>
    </row>
    <row r="2126" spans="1:16" x14ac:dyDescent="0.25">
      <c r="A2126" s="2" t="s">
        <v>181</v>
      </c>
      <c r="B2126" s="2" t="s">
        <v>198</v>
      </c>
      <c r="C2126" s="6" t="s">
        <v>145</v>
      </c>
      <c r="D2126" s="2" t="s">
        <v>127</v>
      </c>
      <c r="E2126" s="2"/>
      <c r="F2126" s="35">
        <v>4.5</v>
      </c>
      <c r="G2126" s="35">
        <v>-20.260408578587647</v>
      </c>
      <c r="H2126" s="35">
        <v>-19.611178562145689</v>
      </c>
      <c r="I2126" s="35">
        <v>-1.6347717630695591E-2</v>
      </c>
      <c r="J2126" s="35">
        <v>2.1296874670572962E-4</v>
      </c>
      <c r="K2126" s="35">
        <v>-8.5579883323318742E-2</v>
      </c>
      <c r="L2126" s="35">
        <v>-16.608063702119352</v>
      </c>
      <c r="M2126" s="58" t="s">
        <v>24</v>
      </c>
      <c r="N2126" s="7">
        <v>9.5</v>
      </c>
      <c r="O2126" s="7" t="s">
        <v>179</v>
      </c>
      <c r="P2126" s="7" t="s">
        <v>179</v>
      </c>
    </row>
    <row r="2127" spans="1:16" x14ac:dyDescent="0.25">
      <c r="A2127" s="2" t="s">
        <v>181</v>
      </c>
      <c r="B2127" s="2" t="s">
        <v>198</v>
      </c>
      <c r="C2127" s="6" t="s">
        <v>145</v>
      </c>
      <c r="D2127" s="2" t="s">
        <v>127</v>
      </c>
      <c r="E2127" s="2"/>
      <c r="F2127" s="35">
        <v>4.5</v>
      </c>
      <c r="G2127" s="35">
        <v>-19.483461844162886</v>
      </c>
      <c r="H2127" s="35">
        <v>-19.611158407851558</v>
      </c>
      <c r="I2127" s="35">
        <v>-1.5985146072134915E-2</v>
      </c>
      <c r="J2127" s="35">
        <v>-2.7196767236330329E-4</v>
      </c>
      <c r="K2127" s="35">
        <v>-8.5578095952633451E-2</v>
      </c>
      <c r="L2127" s="35">
        <v>-15.636880872495365</v>
      </c>
      <c r="M2127" s="58" t="s">
        <v>24</v>
      </c>
      <c r="N2127" s="7">
        <v>9.5</v>
      </c>
      <c r="O2127" s="7" t="s">
        <v>179</v>
      </c>
      <c r="P2127" s="7" t="s">
        <v>179</v>
      </c>
    </row>
    <row r="2128" spans="1:16" x14ac:dyDescent="0.25">
      <c r="A2128" s="2" t="s">
        <v>181</v>
      </c>
      <c r="B2128" s="2" t="s">
        <v>198</v>
      </c>
      <c r="C2128" s="6" t="s">
        <v>145</v>
      </c>
      <c r="D2128" s="2" t="s">
        <v>127</v>
      </c>
      <c r="E2128" s="2"/>
      <c r="F2128" s="35">
        <v>8.9965005885644871</v>
      </c>
      <c r="G2128" s="35">
        <v>-17.653841150476708</v>
      </c>
      <c r="H2128" s="35">
        <v>-15.834097913457388</v>
      </c>
      <c r="I2128" s="35">
        <v>-1.5985146072134682E-2</v>
      </c>
      <c r="J2128" s="35">
        <v>-2.7196767236330329E-4</v>
      </c>
      <c r="K2128" s="35">
        <v>-1.3700877230990035E-2</v>
      </c>
      <c r="L2128" s="35">
        <v>64.052927082797055</v>
      </c>
      <c r="M2128" s="58" t="s">
        <v>23</v>
      </c>
      <c r="N2128" s="7">
        <v>9.5</v>
      </c>
      <c r="O2128" s="7" t="s">
        <v>179</v>
      </c>
      <c r="P2128" s="7" t="s">
        <v>179</v>
      </c>
    </row>
    <row r="2129" spans="1:16" x14ac:dyDescent="0.25">
      <c r="A2129" s="2" t="s">
        <v>183</v>
      </c>
      <c r="B2129" s="2" t="s">
        <v>199</v>
      </c>
      <c r="C2129" s="6" t="s">
        <v>146</v>
      </c>
      <c r="D2129" s="2" t="s">
        <v>105</v>
      </c>
      <c r="E2129" s="2"/>
      <c r="F2129" s="35">
        <v>0</v>
      </c>
      <c r="G2129" s="35">
        <v>-100.32541604362135</v>
      </c>
      <c r="H2129" s="35">
        <v>1.8792475503148236</v>
      </c>
      <c r="I2129" s="35">
        <v>1.1176262263138637</v>
      </c>
      <c r="J2129" s="35">
        <v>2.8331132674453032E-5</v>
      </c>
      <c r="K2129" s="35">
        <v>0.2161263710937287</v>
      </c>
      <c r="L2129" s="35">
        <v>4.6011505992853428</v>
      </c>
      <c r="M2129" s="58" t="s">
        <v>22</v>
      </c>
      <c r="N2129" s="7">
        <v>11.333333333333334</v>
      </c>
      <c r="O2129" s="7" t="s">
        <v>180</v>
      </c>
      <c r="P2129" s="7" t="s">
        <v>180</v>
      </c>
    </row>
    <row r="2130" spans="1:16" x14ac:dyDescent="0.25">
      <c r="A2130" s="2" t="s">
        <v>183</v>
      </c>
      <c r="B2130" s="2" t="s">
        <v>199</v>
      </c>
      <c r="C2130" s="6" t="s">
        <v>146</v>
      </c>
      <c r="D2130" s="2" t="s">
        <v>105</v>
      </c>
      <c r="E2130" s="2"/>
      <c r="F2130" s="35">
        <v>0.29999999999999988</v>
      </c>
      <c r="G2130" s="35">
        <v>-100.18251020362136</v>
      </c>
      <c r="H2130" s="35">
        <v>1.8792475503148236</v>
      </c>
      <c r="I2130" s="35">
        <v>1.1176262263138637</v>
      </c>
      <c r="J2130" s="35">
        <v>2.8331132674453032E-5</v>
      </c>
      <c r="K2130" s="35">
        <v>-0.11916149680043027</v>
      </c>
      <c r="L2130" s="35">
        <v>4.0373763341908955</v>
      </c>
      <c r="M2130" s="58" t="s">
        <v>22</v>
      </c>
      <c r="N2130" s="7">
        <v>11.333333333333334</v>
      </c>
      <c r="O2130" s="7" t="s">
        <v>180</v>
      </c>
      <c r="P2130" s="7" t="s">
        <v>180</v>
      </c>
    </row>
    <row r="2131" spans="1:16" x14ac:dyDescent="0.25">
      <c r="A2131" s="2" t="s">
        <v>183</v>
      </c>
      <c r="B2131" s="2" t="s">
        <v>199</v>
      </c>
      <c r="C2131" s="6" t="s">
        <v>146</v>
      </c>
      <c r="D2131" s="2" t="s">
        <v>105</v>
      </c>
      <c r="E2131" s="2"/>
      <c r="F2131" s="35">
        <v>0.29999999999999988</v>
      </c>
      <c r="G2131" s="35">
        <v>-80.113722466334778</v>
      </c>
      <c r="H2131" s="35">
        <v>1.8792475503148189</v>
      </c>
      <c r="I2131" s="35">
        <v>-3.9526791892576886E-2</v>
      </c>
      <c r="J2131" s="35">
        <v>3.5619265338371946E-5</v>
      </c>
      <c r="K2131" s="35">
        <v>-0.11916149680043034</v>
      </c>
      <c r="L2131" s="35">
        <v>4.0373758969029367</v>
      </c>
      <c r="M2131" s="58" t="s">
        <v>22</v>
      </c>
      <c r="N2131" s="7">
        <v>11.333333333333334</v>
      </c>
      <c r="O2131" s="7" t="s">
        <v>180</v>
      </c>
      <c r="P2131" s="7" t="s">
        <v>180</v>
      </c>
    </row>
    <row r="2132" spans="1:16" x14ac:dyDescent="0.25">
      <c r="A2132" s="2" t="s">
        <v>183</v>
      </c>
      <c r="B2132" s="2" t="s">
        <v>199</v>
      </c>
      <c r="C2132" s="6" t="s">
        <v>146</v>
      </c>
      <c r="D2132" s="2" t="s">
        <v>105</v>
      </c>
      <c r="E2132" s="2"/>
      <c r="F2132" s="35">
        <v>5.3</v>
      </c>
      <c r="G2132" s="35">
        <v>-77.731958466334774</v>
      </c>
      <c r="H2132" s="35">
        <v>1.8792475503148189</v>
      </c>
      <c r="I2132" s="35">
        <v>-3.9526791892576886E-2</v>
      </c>
      <c r="J2132" s="35">
        <v>3.5619265338371946E-5</v>
      </c>
      <c r="K2132" s="35">
        <v>7.8472462662454057E-2</v>
      </c>
      <c r="L2132" s="35">
        <v>-5.3588618546711579</v>
      </c>
      <c r="M2132" s="58" t="s">
        <v>24</v>
      </c>
      <c r="N2132" s="7">
        <v>11.333333333333334</v>
      </c>
      <c r="O2132" s="7" t="s">
        <v>180</v>
      </c>
      <c r="P2132" s="7" t="s">
        <v>180</v>
      </c>
    </row>
    <row r="2133" spans="1:16" x14ac:dyDescent="0.25">
      <c r="A2133" s="2" t="s">
        <v>183</v>
      </c>
      <c r="B2133" s="2" t="s">
        <v>199</v>
      </c>
      <c r="C2133" s="6" t="s">
        <v>146</v>
      </c>
      <c r="D2133" s="2" t="s">
        <v>105</v>
      </c>
      <c r="E2133" s="2"/>
      <c r="F2133" s="35">
        <v>5.3</v>
      </c>
      <c r="G2133" s="35">
        <v>-93.60377699631853</v>
      </c>
      <c r="H2133" s="35">
        <v>1.8792429808208977</v>
      </c>
      <c r="I2133" s="35">
        <v>2.4271347814931815E-2</v>
      </c>
      <c r="J2133" s="35">
        <v>-6.8832306858617706E-5</v>
      </c>
      <c r="K2133" s="35">
        <v>7.8472462662454084E-2</v>
      </c>
      <c r="L2133" s="35">
        <v>-5.3587072011567463</v>
      </c>
      <c r="M2133" s="58" t="s">
        <v>24</v>
      </c>
      <c r="N2133" s="7">
        <v>11.333333333333334</v>
      </c>
      <c r="O2133" s="7" t="s">
        <v>180</v>
      </c>
      <c r="P2133" s="7" t="s">
        <v>180</v>
      </c>
    </row>
    <row r="2134" spans="1:16" x14ac:dyDescent="0.25">
      <c r="A2134" s="2" t="s">
        <v>183</v>
      </c>
      <c r="B2134" s="2" t="s">
        <v>199</v>
      </c>
      <c r="C2134" s="6" t="s">
        <v>146</v>
      </c>
      <c r="D2134" s="2" t="s">
        <v>105</v>
      </c>
      <c r="E2134" s="2"/>
      <c r="F2134" s="35">
        <v>5.4149169609489114</v>
      </c>
      <c r="G2134" s="35">
        <v>-93.549035980203016</v>
      </c>
      <c r="H2134" s="35">
        <v>1.8792429808208977</v>
      </c>
      <c r="I2134" s="35">
        <v>2.4271347814931815E-2</v>
      </c>
      <c r="J2134" s="35">
        <v>-6.8832306858617706E-5</v>
      </c>
      <c r="K2134" s="35">
        <v>7.5683273133428111E-2</v>
      </c>
      <c r="L2134" s="35">
        <v>-5.5746640933972573</v>
      </c>
      <c r="M2134" s="58" t="s">
        <v>24</v>
      </c>
      <c r="N2134" s="7">
        <v>11.333333333333334</v>
      </c>
      <c r="O2134" s="7" t="s">
        <v>180</v>
      </c>
      <c r="P2134" s="7" t="s">
        <v>180</v>
      </c>
    </row>
    <row r="2135" spans="1:16" x14ac:dyDescent="0.25">
      <c r="A2135" s="2" t="s">
        <v>183</v>
      </c>
      <c r="B2135" s="2" t="s">
        <v>199</v>
      </c>
      <c r="C2135" s="6" t="s">
        <v>146</v>
      </c>
      <c r="D2135" s="2" t="s">
        <v>105</v>
      </c>
      <c r="E2135" s="2"/>
      <c r="F2135" s="35">
        <v>10.829833921897823</v>
      </c>
      <c r="G2135" s="35">
        <v>-90.969625124087514</v>
      </c>
      <c r="H2135" s="35">
        <v>1.8792429808208977</v>
      </c>
      <c r="I2135" s="35">
        <v>2.4271347814931815E-2</v>
      </c>
      <c r="J2135" s="35">
        <v>-6.8832306858617706E-5</v>
      </c>
      <c r="K2135" s="35">
        <v>-5.574405981473643E-2</v>
      </c>
      <c r="L2135" s="35">
        <v>-15.750608783988524</v>
      </c>
      <c r="M2135" s="58" t="s">
        <v>23</v>
      </c>
      <c r="N2135" s="7">
        <v>11.333333333333334</v>
      </c>
      <c r="O2135" s="7" t="s">
        <v>180</v>
      </c>
      <c r="P2135" s="7" t="s">
        <v>180</v>
      </c>
    </row>
    <row r="2136" spans="1:16" x14ac:dyDescent="0.25">
      <c r="A2136" s="2" t="s">
        <v>183</v>
      </c>
      <c r="B2136" s="2" t="s">
        <v>199</v>
      </c>
      <c r="C2136" s="6" t="s">
        <v>146</v>
      </c>
      <c r="D2136" s="2" t="s">
        <v>15</v>
      </c>
      <c r="E2136" s="2"/>
      <c r="F2136" s="35">
        <v>0</v>
      </c>
      <c r="G2136" s="35">
        <v>127.05711458698359</v>
      </c>
      <c r="H2136" s="35">
        <v>-5.6514196009104252</v>
      </c>
      <c r="I2136" s="35">
        <v>-4.3736246031153945</v>
      </c>
      <c r="J2136" s="35">
        <v>-5.2796045336816317E-4</v>
      </c>
      <c r="K2136" s="35">
        <v>-4.7197534824324734</v>
      </c>
      <c r="L2136" s="35">
        <v>-18.811827390253821</v>
      </c>
      <c r="M2136" s="58" t="s">
        <v>22</v>
      </c>
      <c r="N2136" s="7">
        <v>11.333333333333334</v>
      </c>
      <c r="O2136" s="7" t="s">
        <v>180</v>
      </c>
      <c r="P2136" s="7" t="s">
        <v>180</v>
      </c>
    </row>
    <row r="2137" spans="1:16" x14ac:dyDescent="0.25">
      <c r="A2137" s="2" t="s">
        <v>183</v>
      </c>
      <c r="B2137" s="2" t="s">
        <v>199</v>
      </c>
      <c r="C2137" s="6" t="s">
        <v>146</v>
      </c>
      <c r="D2137" s="2" t="s">
        <v>15</v>
      </c>
      <c r="E2137" s="2"/>
      <c r="F2137" s="35">
        <v>0.29999999999999988</v>
      </c>
      <c r="G2137" s="35">
        <v>127.2000204269836</v>
      </c>
      <c r="H2137" s="35">
        <v>-5.6514196009104252</v>
      </c>
      <c r="I2137" s="35">
        <v>-4.3736246031153945</v>
      </c>
      <c r="J2137" s="35">
        <v>-5.2796045336816317E-4</v>
      </c>
      <c r="K2137" s="35">
        <v>-3.4076661014978549</v>
      </c>
      <c r="L2137" s="35">
        <v>-17.116401509980694</v>
      </c>
      <c r="M2137" s="58" t="s">
        <v>22</v>
      </c>
      <c r="N2137" s="7">
        <v>11.333333333333334</v>
      </c>
      <c r="O2137" s="7" t="s">
        <v>180</v>
      </c>
      <c r="P2137" s="7" t="s">
        <v>180</v>
      </c>
    </row>
    <row r="2138" spans="1:16" x14ac:dyDescent="0.25">
      <c r="A2138" s="2" t="s">
        <v>183</v>
      </c>
      <c r="B2138" s="2" t="s">
        <v>199</v>
      </c>
      <c r="C2138" s="6" t="s">
        <v>146</v>
      </c>
      <c r="D2138" s="2" t="s">
        <v>15</v>
      </c>
      <c r="E2138" s="2"/>
      <c r="F2138" s="35">
        <v>0.29999999999999988</v>
      </c>
      <c r="G2138" s="35">
        <v>73.583053542758563</v>
      </c>
      <c r="H2138" s="35">
        <v>-5.651419600910403</v>
      </c>
      <c r="I2138" s="35">
        <v>-1.1096323440311289</v>
      </c>
      <c r="J2138" s="35">
        <v>-4.4342421941707288E-4</v>
      </c>
      <c r="K2138" s="35">
        <v>-3.4076661014978558</v>
      </c>
      <c r="L2138" s="35">
        <v>-17.116406582154735</v>
      </c>
      <c r="M2138" s="58" t="s">
        <v>22</v>
      </c>
      <c r="N2138" s="7">
        <v>11.333333333333334</v>
      </c>
      <c r="O2138" s="7" t="s">
        <v>180</v>
      </c>
      <c r="P2138" s="7" t="s">
        <v>180</v>
      </c>
    </row>
    <row r="2139" spans="1:16" x14ac:dyDescent="0.25">
      <c r="A2139" s="2" t="s">
        <v>183</v>
      </c>
      <c r="B2139" s="2" t="s">
        <v>199</v>
      </c>
      <c r="C2139" s="6" t="s">
        <v>146</v>
      </c>
      <c r="D2139" s="2" t="s">
        <v>15</v>
      </c>
      <c r="E2139" s="2"/>
      <c r="F2139" s="35">
        <v>5.3</v>
      </c>
      <c r="G2139" s="35">
        <v>75.964817542758553</v>
      </c>
      <c r="H2139" s="35">
        <v>-5.651419600910403</v>
      </c>
      <c r="I2139" s="35">
        <v>-1.1096323440311289</v>
      </c>
      <c r="J2139" s="35">
        <v>-4.4342421941707288E-4</v>
      </c>
      <c r="K2139" s="35">
        <v>2.140495618657789</v>
      </c>
      <c r="L2139" s="35">
        <v>11.140691422397284</v>
      </c>
      <c r="M2139" s="58" t="s">
        <v>24</v>
      </c>
      <c r="N2139" s="7">
        <v>11.333333333333334</v>
      </c>
      <c r="O2139" s="7" t="s">
        <v>180</v>
      </c>
      <c r="P2139" s="7" t="s">
        <v>180</v>
      </c>
    </row>
    <row r="2140" spans="1:16" x14ac:dyDescent="0.25">
      <c r="A2140" s="2" t="s">
        <v>183</v>
      </c>
      <c r="B2140" s="2" t="s">
        <v>199</v>
      </c>
      <c r="C2140" s="6" t="s">
        <v>146</v>
      </c>
      <c r="D2140" s="2" t="s">
        <v>15</v>
      </c>
      <c r="E2140" s="2"/>
      <c r="F2140" s="35">
        <v>5.3</v>
      </c>
      <c r="G2140" s="35">
        <v>125.67211190326573</v>
      </c>
      <c r="H2140" s="35">
        <v>-5.651372013171529</v>
      </c>
      <c r="I2140" s="35">
        <v>0.36628993991050246</v>
      </c>
      <c r="J2140" s="35">
        <v>-1.8154279380351237E-4</v>
      </c>
      <c r="K2140" s="35">
        <v>2.1404956186577908</v>
      </c>
      <c r="L2140" s="35">
        <v>11.14051757812898</v>
      </c>
      <c r="M2140" s="58" t="s">
        <v>24</v>
      </c>
      <c r="N2140" s="7">
        <v>11.333333333333334</v>
      </c>
      <c r="O2140" s="7" t="s">
        <v>180</v>
      </c>
      <c r="P2140" s="7" t="s">
        <v>180</v>
      </c>
    </row>
    <row r="2141" spans="1:16" x14ac:dyDescent="0.25">
      <c r="A2141" s="2" t="s">
        <v>183</v>
      </c>
      <c r="B2141" s="2" t="s">
        <v>199</v>
      </c>
      <c r="C2141" s="6" t="s">
        <v>146</v>
      </c>
      <c r="D2141" s="2" t="s">
        <v>15</v>
      </c>
      <c r="E2141" s="2"/>
      <c r="F2141" s="35">
        <v>5.4149169609489114</v>
      </c>
      <c r="G2141" s="35">
        <v>125.72685291938123</v>
      </c>
      <c r="H2141" s="35">
        <v>-5.651372013171529</v>
      </c>
      <c r="I2141" s="35">
        <v>0.36628993991050246</v>
      </c>
      <c r="J2141" s="35">
        <v>-1.8154279380351237E-4</v>
      </c>
      <c r="K2141" s="35">
        <v>2.0984026919371161</v>
      </c>
      <c r="L2141" s="35">
        <v>11.789956075074382</v>
      </c>
      <c r="M2141" s="58" t="s">
        <v>24</v>
      </c>
      <c r="N2141" s="7">
        <v>11.333333333333334</v>
      </c>
      <c r="O2141" s="7" t="s">
        <v>180</v>
      </c>
      <c r="P2141" s="7" t="s">
        <v>180</v>
      </c>
    </row>
    <row r="2142" spans="1:16" x14ac:dyDescent="0.25">
      <c r="A2142" s="2" t="s">
        <v>183</v>
      </c>
      <c r="B2142" s="2" t="s">
        <v>199</v>
      </c>
      <c r="C2142" s="6" t="s">
        <v>146</v>
      </c>
      <c r="D2142" s="2" t="s">
        <v>15</v>
      </c>
      <c r="E2142" s="2"/>
      <c r="F2142" s="35">
        <v>10.829833921897823</v>
      </c>
      <c r="G2142" s="35">
        <v>128.30626377549675</v>
      </c>
      <c r="H2142" s="35">
        <v>-5.651372013171529</v>
      </c>
      <c r="I2142" s="35">
        <v>0.36628993991050246</v>
      </c>
      <c r="J2142" s="35">
        <v>-1.8154279380351237E-4</v>
      </c>
      <c r="K2142" s="35">
        <v>0.11497308369077966</v>
      </c>
      <c r="L2142" s="35">
        <v>42.391666241828879</v>
      </c>
      <c r="M2142" s="58" t="s">
        <v>23</v>
      </c>
      <c r="N2142" s="7">
        <v>11.333333333333334</v>
      </c>
      <c r="O2142" s="7" t="s">
        <v>180</v>
      </c>
      <c r="P2142" s="7" t="s">
        <v>180</v>
      </c>
    </row>
    <row r="2143" spans="1:16" x14ac:dyDescent="0.25">
      <c r="A2143" s="2" t="s">
        <v>183</v>
      </c>
      <c r="B2143" s="2" t="s">
        <v>199</v>
      </c>
      <c r="C2143" s="6" t="s">
        <v>146</v>
      </c>
      <c r="D2143" s="2" t="s">
        <v>16</v>
      </c>
      <c r="E2143" s="2"/>
      <c r="F2143" s="35">
        <v>0</v>
      </c>
      <c r="G2143" s="35">
        <v>47.440458486927866</v>
      </c>
      <c r="H2143" s="35">
        <v>-2.4227368616505287</v>
      </c>
      <c r="I2143" s="35">
        <v>-3.8523659607421163</v>
      </c>
      <c r="J2143" s="35">
        <v>-5.3669788853818459E-4</v>
      </c>
      <c r="K2143" s="35">
        <v>-4.8114081441129795</v>
      </c>
      <c r="L2143" s="35">
        <v>-8.2851279829890636</v>
      </c>
      <c r="M2143" s="58" t="s">
        <v>22</v>
      </c>
      <c r="N2143" s="7">
        <v>11.333333333333334</v>
      </c>
      <c r="O2143" s="7" t="s">
        <v>180</v>
      </c>
      <c r="P2143" s="7" t="s">
        <v>180</v>
      </c>
    </row>
    <row r="2144" spans="1:16" x14ac:dyDescent="0.25">
      <c r="A2144" s="2" t="s">
        <v>183</v>
      </c>
      <c r="B2144" s="2" t="s">
        <v>199</v>
      </c>
      <c r="C2144" s="6" t="s">
        <v>146</v>
      </c>
      <c r="D2144" s="2" t="s">
        <v>16</v>
      </c>
      <c r="E2144" s="2"/>
      <c r="F2144" s="35">
        <v>0.29999999999999988</v>
      </c>
      <c r="G2144" s="35">
        <v>47.583364326927864</v>
      </c>
      <c r="H2144" s="35">
        <v>-2.4227368616505287</v>
      </c>
      <c r="I2144" s="35">
        <v>-3.8523659607421163</v>
      </c>
      <c r="J2144" s="35">
        <v>-5.3669788853818459E-4</v>
      </c>
      <c r="K2144" s="35">
        <v>-3.6556983558903453</v>
      </c>
      <c r="L2144" s="35">
        <v>-7.5583069244939054</v>
      </c>
      <c r="M2144" s="58" t="s">
        <v>22</v>
      </c>
      <c r="N2144" s="7">
        <v>11.333333333333334</v>
      </c>
      <c r="O2144" s="7" t="s">
        <v>180</v>
      </c>
      <c r="P2144" s="7" t="s">
        <v>180</v>
      </c>
    </row>
    <row r="2145" spans="1:16" x14ac:dyDescent="0.25">
      <c r="A2145" s="2" t="s">
        <v>183</v>
      </c>
      <c r="B2145" s="2" t="s">
        <v>199</v>
      </c>
      <c r="C2145" s="6" t="s">
        <v>146</v>
      </c>
      <c r="D2145" s="2" t="s">
        <v>16</v>
      </c>
      <c r="E2145" s="2"/>
      <c r="F2145" s="35">
        <v>0.29999999999999988</v>
      </c>
      <c r="G2145" s="35">
        <v>4.0019078955476024</v>
      </c>
      <c r="H2145" s="35">
        <v>-2.4227368616505314</v>
      </c>
      <c r="I2145" s="35">
        <v>-1.1905043288285428</v>
      </c>
      <c r="J2145" s="35">
        <v>-4.1941952519038378E-4</v>
      </c>
      <c r="K2145" s="35">
        <v>-3.6556983558903462</v>
      </c>
      <c r="L2145" s="35">
        <v>-7.5583139611957026</v>
      </c>
      <c r="M2145" s="58" t="s">
        <v>22</v>
      </c>
      <c r="N2145" s="7">
        <v>11.333333333333334</v>
      </c>
      <c r="O2145" s="7" t="s">
        <v>180</v>
      </c>
      <c r="P2145" s="7" t="s">
        <v>180</v>
      </c>
    </row>
    <row r="2146" spans="1:16" x14ac:dyDescent="0.25">
      <c r="A2146" s="2" t="s">
        <v>183</v>
      </c>
      <c r="B2146" s="2" t="s">
        <v>199</v>
      </c>
      <c r="C2146" s="6" t="s">
        <v>146</v>
      </c>
      <c r="D2146" s="2" t="s">
        <v>16</v>
      </c>
      <c r="E2146" s="2"/>
      <c r="F2146" s="35">
        <v>5.3</v>
      </c>
      <c r="G2146" s="35">
        <v>6.3836718955476011</v>
      </c>
      <c r="H2146" s="35">
        <v>-2.4227368616505314</v>
      </c>
      <c r="I2146" s="35">
        <v>-1.1905043288285428</v>
      </c>
      <c r="J2146" s="35">
        <v>-4.1941952519038378E-4</v>
      </c>
      <c r="K2146" s="35">
        <v>2.2968232882523671</v>
      </c>
      <c r="L2146" s="35">
        <v>4.5553703470569538</v>
      </c>
      <c r="M2146" s="58" t="s">
        <v>24</v>
      </c>
      <c r="N2146" s="7">
        <v>11.333333333333334</v>
      </c>
      <c r="O2146" s="7" t="s">
        <v>180</v>
      </c>
      <c r="P2146" s="7" t="s">
        <v>180</v>
      </c>
    </row>
    <row r="2147" spans="1:16" x14ac:dyDescent="0.25">
      <c r="A2147" s="2" t="s">
        <v>183</v>
      </c>
      <c r="B2147" s="2" t="s">
        <v>199</v>
      </c>
      <c r="C2147" s="6" t="s">
        <v>146</v>
      </c>
      <c r="D2147" s="2" t="s">
        <v>16</v>
      </c>
      <c r="E2147" s="2"/>
      <c r="F2147" s="35">
        <v>5.3</v>
      </c>
      <c r="G2147" s="35">
        <v>46.490489887959427</v>
      </c>
      <c r="H2147" s="35">
        <v>-2.4226983887920452</v>
      </c>
      <c r="I2147" s="35">
        <v>0.39220369630903656</v>
      </c>
      <c r="J2147" s="35">
        <v>-3.1066679895552465E-4</v>
      </c>
      <c r="K2147" s="35">
        <v>2.296823288252372</v>
      </c>
      <c r="L2147" s="35">
        <v>4.5554240244299384</v>
      </c>
      <c r="M2147" s="58" t="s">
        <v>24</v>
      </c>
      <c r="N2147" s="7">
        <v>11.333333333333334</v>
      </c>
      <c r="O2147" s="7" t="s">
        <v>180</v>
      </c>
      <c r="P2147" s="7" t="s">
        <v>180</v>
      </c>
    </row>
    <row r="2148" spans="1:16" x14ac:dyDescent="0.25">
      <c r="A2148" s="2" t="s">
        <v>183</v>
      </c>
      <c r="B2148" s="2" t="s">
        <v>199</v>
      </c>
      <c r="C2148" s="6" t="s">
        <v>146</v>
      </c>
      <c r="D2148" s="2" t="s">
        <v>16</v>
      </c>
      <c r="E2148" s="2"/>
      <c r="F2148" s="35">
        <v>5.4149169609489114</v>
      </c>
      <c r="G2148" s="35">
        <v>46.545230904074927</v>
      </c>
      <c r="H2148" s="35">
        <v>-2.4226983887920452</v>
      </c>
      <c r="I2148" s="35">
        <v>0.39220369630903656</v>
      </c>
      <c r="J2148" s="35">
        <v>-3.1066679895552465E-4</v>
      </c>
      <c r="K2148" s="35">
        <v>2.2517524313996078</v>
      </c>
      <c r="L2148" s="35">
        <v>4.8338331605657459</v>
      </c>
      <c r="M2148" s="58" t="s">
        <v>24</v>
      </c>
      <c r="N2148" s="7">
        <v>11.333333333333334</v>
      </c>
      <c r="O2148" s="7" t="s">
        <v>180</v>
      </c>
      <c r="P2148" s="7" t="s">
        <v>180</v>
      </c>
    </row>
    <row r="2149" spans="1:16" x14ac:dyDescent="0.25">
      <c r="A2149" s="2" t="s">
        <v>183</v>
      </c>
      <c r="B2149" s="2" t="s">
        <v>199</v>
      </c>
      <c r="C2149" s="6" t="s">
        <v>146</v>
      </c>
      <c r="D2149" s="2" t="s">
        <v>16</v>
      </c>
      <c r="E2149" s="2"/>
      <c r="F2149" s="35">
        <v>10.829833921897823</v>
      </c>
      <c r="G2149" s="35">
        <v>49.124641760190428</v>
      </c>
      <c r="H2149" s="35">
        <v>-2.4226983887920452</v>
      </c>
      <c r="I2149" s="35">
        <v>0.39220369630903656</v>
      </c>
      <c r="J2149" s="35">
        <v>-3.1066679895552465E-4</v>
      </c>
      <c r="K2149" s="35">
        <v>0.12800198410895056</v>
      </c>
      <c r="L2149" s="35">
        <v>17.952543757299384</v>
      </c>
      <c r="M2149" s="58" t="s">
        <v>23</v>
      </c>
      <c r="N2149" s="7">
        <v>11.333333333333334</v>
      </c>
      <c r="O2149" s="7" t="s">
        <v>180</v>
      </c>
      <c r="P2149" s="7" t="s">
        <v>180</v>
      </c>
    </row>
    <row r="2150" spans="1:16" x14ac:dyDescent="0.25">
      <c r="A2150" s="2" t="s">
        <v>183</v>
      </c>
      <c r="B2150" s="2" t="s">
        <v>199</v>
      </c>
      <c r="C2150" s="6" t="s">
        <v>146</v>
      </c>
      <c r="D2150" s="2" t="s">
        <v>106</v>
      </c>
      <c r="E2150" s="2"/>
      <c r="F2150" s="35">
        <v>0</v>
      </c>
      <c r="G2150" s="35">
        <v>106.96706930201518</v>
      </c>
      <c r="H2150" s="35">
        <v>-6.601569720710101</v>
      </c>
      <c r="I2150" s="35">
        <v>2.7864642312614443</v>
      </c>
      <c r="J2150" s="35">
        <v>4.1208156059253833E-4</v>
      </c>
      <c r="K2150" s="35">
        <v>4.4720578965094369</v>
      </c>
      <c r="L2150" s="35">
        <v>-22.77466235494968</v>
      </c>
      <c r="M2150" s="58" t="s">
        <v>22</v>
      </c>
      <c r="N2150" s="7">
        <v>11.333333333333334</v>
      </c>
      <c r="O2150" s="7" t="s">
        <v>180</v>
      </c>
      <c r="P2150" s="7" t="s">
        <v>180</v>
      </c>
    </row>
    <row r="2151" spans="1:16" x14ac:dyDescent="0.25">
      <c r="A2151" s="2" t="s">
        <v>183</v>
      </c>
      <c r="B2151" s="2" t="s">
        <v>199</v>
      </c>
      <c r="C2151" s="6" t="s">
        <v>146</v>
      </c>
      <c r="D2151" s="2" t="s">
        <v>106</v>
      </c>
      <c r="E2151" s="2"/>
      <c r="F2151" s="35">
        <v>0.29999999999999988</v>
      </c>
      <c r="G2151" s="35">
        <v>107.10997514201519</v>
      </c>
      <c r="H2151" s="35">
        <v>-6.601569720710101</v>
      </c>
      <c r="I2151" s="35">
        <v>2.7864642312614443</v>
      </c>
      <c r="J2151" s="35">
        <v>4.1208156059253833E-4</v>
      </c>
      <c r="K2151" s="35">
        <v>3.6361186271310038</v>
      </c>
      <c r="L2151" s="35">
        <v>-20.794191438736647</v>
      </c>
      <c r="M2151" s="58" t="s">
        <v>22</v>
      </c>
      <c r="N2151" s="7">
        <v>11.333333333333334</v>
      </c>
      <c r="O2151" s="7" t="s">
        <v>180</v>
      </c>
      <c r="P2151" s="7" t="s">
        <v>180</v>
      </c>
    </row>
    <row r="2152" spans="1:16" x14ac:dyDescent="0.25">
      <c r="A2152" s="2" t="s">
        <v>183</v>
      </c>
      <c r="B2152" s="2" t="s">
        <v>199</v>
      </c>
      <c r="C2152" s="6" t="s">
        <v>146</v>
      </c>
      <c r="D2152" s="2" t="s">
        <v>106</v>
      </c>
      <c r="E2152" s="2"/>
      <c r="F2152" s="35">
        <v>0.29999999999999988</v>
      </c>
      <c r="G2152" s="35">
        <v>134.77229153942829</v>
      </c>
      <c r="H2152" s="35">
        <v>-6.6015697207101081</v>
      </c>
      <c r="I2152" s="35">
        <v>1.1736994934474207</v>
      </c>
      <c r="J2152" s="35">
        <v>2.2062374942147323E-4</v>
      </c>
      <c r="K2152" s="35">
        <v>3.6361186271310011</v>
      </c>
      <c r="L2152" s="35">
        <v>-20.794179951267985</v>
      </c>
      <c r="M2152" s="58" t="s">
        <v>22</v>
      </c>
      <c r="N2152" s="7">
        <v>11.333333333333334</v>
      </c>
      <c r="O2152" s="7" t="s">
        <v>180</v>
      </c>
      <c r="P2152" s="7" t="s">
        <v>180</v>
      </c>
    </row>
    <row r="2153" spans="1:16" x14ac:dyDescent="0.25">
      <c r="A2153" s="2" t="s">
        <v>183</v>
      </c>
      <c r="B2153" s="2" t="s">
        <v>199</v>
      </c>
      <c r="C2153" s="6" t="s">
        <v>146</v>
      </c>
      <c r="D2153" s="2" t="s">
        <v>106</v>
      </c>
      <c r="E2153" s="2"/>
      <c r="F2153" s="35">
        <v>5.3</v>
      </c>
      <c r="G2153" s="35">
        <v>137.1540555394283</v>
      </c>
      <c r="H2153" s="35">
        <v>-6.6015697207101081</v>
      </c>
      <c r="I2153" s="35">
        <v>1.1736994934474207</v>
      </c>
      <c r="J2153" s="35">
        <v>2.2062374942147323E-4</v>
      </c>
      <c r="K2153" s="35">
        <v>-2.2323788401061031</v>
      </c>
      <c r="L2153" s="35">
        <v>12.213668652282555</v>
      </c>
      <c r="M2153" s="58" t="s">
        <v>24</v>
      </c>
      <c r="N2153" s="7">
        <v>11.333333333333334</v>
      </c>
      <c r="O2153" s="7" t="s">
        <v>180</v>
      </c>
      <c r="P2153" s="7" t="s">
        <v>180</v>
      </c>
    </row>
    <row r="2154" spans="1:16" x14ac:dyDescent="0.25">
      <c r="A2154" s="2" t="s">
        <v>183</v>
      </c>
      <c r="B2154" s="2" t="s">
        <v>199</v>
      </c>
      <c r="C2154" s="6" t="s">
        <v>146</v>
      </c>
      <c r="D2154" s="2" t="s">
        <v>106</v>
      </c>
      <c r="E2154" s="2"/>
      <c r="F2154" s="35">
        <v>5.3</v>
      </c>
      <c r="G2154" s="35">
        <v>117.64332668332914</v>
      </c>
      <c r="H2154" s="35">
        <v>-6.6015759653522776</v>
      </c>
      <c r="I2154" s="35">
        <v>-0.3590102355368453</v>
      </c>
      <c r="J2154" s="35">
        <v>5.1820446234221906E-4</v>
      </c>
      <c r="K2154" s="35">
        <v>-2.2323788401061062</v>
      </c>
      <c r="L2154" s="35">
        <v>12.213059578034228</v>
      </c>
      <c r="M2154" s="58" t="s">
        <v>24</v>
      </c>
      <c r="N2154" s="7">
        <v>11.333333333333334</v>
      </c>
      <c r="O2154" s="7" t="s">
        <v>180</v>
      </c>
      <c r="P2154" s="7" t="s">
        <v>180</v>
      </c>
    </row>
    <row r="2155" spans="1:16" x14ac:dyDescent="0.25">
      <c r="A2155" s="2" t="s">
        <v>183</v>
      </c>
      <c r="B2155" s="2" t="s">
        <v>199</v>
      </c>
      <c r="C2155" s="6" t="s">
        <v>146</v>
      </c>
      <c r="D2155" s="2" t="s">
        <v>106</v>
      </c>
      <c r="E2155" s="2"/>
      <c r="F2155" s="35">
        <v>5.4149169609489114</v>
      </c>
      <c r="G2155" s="35">
        <v>117.69806769944464</v>
      </c>
      <c r="H2155" s="35">
        <v>-6.6015759653522776</v>
      </c>
      <c r="I2155" s="35">
        <v>-0.3590102355368453</v>
      </c>
      <c r="J2155" s="35">
        <v>5.1820446234221906E-4</v>
      </c>
      <c r="K2155" s="35">
        <v>-2.1911224748886591</v>
      </c>
      <c r="L2155" s="35">
        <v>12.97169262544589</v>
      </c>
      <c r="M2155" s="58" t="s">
        <v>24</v>
      </c>
      <c r="N2155" s="7">
        <v>11.333333333333334</v>
      </c>
      <c r="O2155" s="7" t="s">
        <v>180</v>
      </c>
      <c r="P2155" s="7" t="s">
        <v>180</v>
      </c>
    </row>
    <row r="2156" spans="1:16" x14ac:dyDescent="0.25">
      <c r="A2156" s="2" t="s">
        <v>183</v>
      </c>
      <c r="B2156" s="2" t="s">
        <v>199</v>
      </c>
      <c r="C2156" s="6" t="s">
        <v>146</v>
      </c>
      <c r="D2156" s="2" t="s">
        <v>106</v>
      </c>
      <c r="E2156" s="2"/>
      <c r="F2156" s="35">
        <v>10.829833921897823</v>
      </c>
      <c r="G2156" s="35">
        <v>120.27747855556014</v>
      </c>
      <c r="H2156" s="35">
        <v>-6.6015759653522776</v>
      </c>
      <c r="I2156" s="35">
        <v>-0.3590102355368453</v>
      </c>
      <c r="J2156" s="35">
        <v>5.1820446234221906E-4</v>
      </c>
      <c r="K2156" s="35">
        <v>-0.24711186132593249</v>
      </c>
      <c r="L2156" s="35">
        <v>48.718678289224613</v>
      </c>
      <c r="M2156" s="58" t="s">
        <v>23</v>
      </c>
      <c r="N2156" s="7">
        <v>11.333333333333334</v>
      </c>
      <c r="O2156" s="7" t="s">
        <v>180</v>
      </c>
      <c r="P2156" s="7" t="s">
        <v>180</v>
      </c>
    </row>
    <row r="2157" spans="1:16" x14ac:dyDescent="0.25">
      <c r="A2157" s="2" t="s">
        <v>183</v>
      </c>
      <c r="B2157" s="2" t="s">
        <v>199</v>
      </c>
      <c r="C2157" s="6" t="s">
        <v>146</v>
      </c>
      <c r="D2157" s="2" t="s">
        <v>107</v>
      </c>
      <c r="E2157" s="2"/>
      <c r="F2157" s="35">
        <v>0</v>
      </c>
      <c r="G2157" s="35">
        <v>27.36016504775354</v>
      </c>
      <c r="H2157" s="35">
        <v>-3.3714378374872735</v>
      </c>
      <c r="I2157" s="35">
        <v>3.3050783593058135</v>
      </c>
      <c r="J2157" s="35">
        <v>4.0217478933521957E-4</v>
      </c>
      <c r="K2157" s="35">
        <v>4.3770264817147897</v>
      </c>
      <c r="L2157" s="35">
        <v>-12.24192385300338</v>
      </c>
      <c r="M2157" s="58" t="s">
        <v>22</v>
      </c>
      <c r="N2157" s="7">
        <v>11.333333333333334</v>
      </c>
      <c r="O2157" s="7" t="s">
        <v>180</v>
      </c>
      <c r="P2157" s="7" t="s">
        <v>180</v>
      </c>
    </row>
    <row r="2158" spans="1:16" x14ac:dyDescent="0.25">
      <c r="A2158" s="2" t="s">
        <v>183</v>
      </c>
      <c r="B2158" s="2" t="s">
        <v>199</v>
      </c>
      <c r="C2158" s="6" t="s">
        <v>146</v>
      </c>
      <c r="D2158" s="2" t="s">
        <v>107</v>
      </c>
      <c r="E2158" s="2"/>
      <c r="F2158" s="35">
        <v>0.29999999999999988</v>
      </c>
      <c r="G2158" s="35">
        <v>27.503070887753537</v>
      </c>
      <c r="H2158" s="35">
        <v>-3.3714378374872735</v>
      </c>
      <c r="I2158" s="35">
        <v>3.3050783593058135</v>
      </c>
      <c r="J2158" s="35">
        <v>4.0217478933521957E-4</v>
      </c>
      <c r="K2158" s="35">
        <v>3.3855029739230456</v>
      </c>
      <c r="L2158" s="35">
        <v>-11.230492501757197</v>
      </c>
      <c r="M2158" s="58" t="s">
        <v>22</v>
      </c>
      <c r="N2158" s="7">
        <v>11.333333333333334</v>
      </c>
      <c r="O2158" s="7" t="s">
        <v>180</v>
      </c>
      <c r="P2158" s="7" t="s">
        <v>180</v>
      </c>
    </row>
    <row r="2159" spans="1:16" x14ac:dyDescent="0.25">
      <c r="A2159" s="2" t="s">
        <v>183</v>
      </c>
      <c r="B2159" s="2" t="s">
        <v>199</v>
      </c>
      <c r="C2159" s="6" t="s">
        <v>146</v>
      </c>
      <c r="D2159" s="2" t="s">
        <v>107</v>
      </c>
      <c r="E2159" s="2"/>
      <c r="F2159" s="35">
        <v>0.29999999999999988</v>
      </c>
      <c r="G2159" s="35">
        <v>65.170742155266865</v>
      </c>
      <c r="H2159" s="35">
        <v>-3.3714378374872482</v>
      </c>
      <c r="I2159" s="35">
        <v>1.0919923292857621</v>
      </c>
      <c r="J2159" s="35">
        <v>2.4388957008481506E-4</v>
      </c>
      <c r="K2159" s="35">
        <v>3.3855029739230473</v>
      </c>
      <c r="L2159" s="35">
        <v>-11.230483004644055</v>
      </c>
      <c r="M2159" s="58" t="s">
        <v>22</v>
      </c>
      <c r="N2159" s="7">
        <v>11.333333333333334</v>
      </c>
      <c r="O2159" s="7" t="s">
        <v>180</v>
      </c>
      <c r="P2159" s="7" t="s">
        <v>180</v>
      </c>
    </row>
    <row r="2160" spans="1:16" x14ac:dyDescent="0.25">
      <c r="A2160" s="2" t="s">
        <v>183</v>
      </c>
      <c r="B2160" s="2" t="s">
        <v>199</v>
      </c>
      <c r="C2160" s="6" t="s">
        <v>146</v>
      </c>
      <c r="D2160" s="2" t="s">
        <v>107</v>
      </c>
      <c r="E2160" s="2"/>
      <c r="F2160" s="35">
        <v>5.3</v>
      </c>
      <c r="G2160" s="35">
        <v>67.552506155266869</v>
      </c>
      <c r="H2160" s="35">
        <v>-3.3714378374872482</v>
      </c>
      <c r="I2160" s="35">
        <v>1.0919923292857621</v>
      </c>
      <c r="J2160" s="35">
        <v>2.4388957008481506E-4</v>
      </c>
      <c r="K2160" s="35">
        <v>-2.074458672505763</v>
      </c>
      <c r="L2160" s="35">
        <v>5.6267061827921871</v>
      </c>
      <c r="M2160" s="58" t="s">
        <v>24</v>
      </c>
      <c r="N2160" s="7">
        <v>11.333333333333334</v>
      </c>
      <c r="O2160" s="7" t="s">
        <v>180</v>
      </c>
      <c r="P2160" s="7" t="s">
        <v>180</v>
      </c>
    </row>
    <row r="2161" spans="1:16" x14ac:dyDescent="0.25">
      <c r="A2161" s="2" t="s">
        <v>183</v>
      </c>
      <c r="B2161" s="2" t="s">
        <v>199</v>
      </c>
      <c r="C2161" s="6" t="s">
        <v>146</v>
      </c>
      <c r="D2161" s="2" t="s">
        <v>107</v>
      </c>
      <c r="E2161" s="2"/>
      <c r="F2161" s="35">
        <v>5.3</v>
      </c>
      <c r="G2161" s="35">
        <v>38.466995427216418</v>
      </c>
      <c r="H2161" s="35">
        <v>-3.3714531070240699</v>
      </c>
      <c r="I2161" s="35">
        <v>-0.33283205876122191</v>
      </c>
      <c r="J2161" s="35">
        <v>3.8829982578502753E-4</v>
      </c>
      <c r="K2161" s="35">
        <v>-2.074458672505763</v>
      </c>
      <c r="L2161" s="35">
        <v>5.6263252763823912</v>
      </c>
      <c r="M2161" s="58" t="s">
        <v>24</v>
      </c>
      <c r="N2161" s="7">
        <v>11.333333333333334</v>
      </c>
      <c r="O2161" s="7" t="s">
        <v>180</v>
      </c>
      <c r="P2161" s="7" t="s">
        <v>180</v>
      </c>
    </row>
    <row r="2162" spans="1:16" x14ac:dyDescent="0.25">
      <c r="A2162" s="2" t="s">
        <v>183</v>
      </c>
      <c r="B2162" s="2" t="s">
        <v>199</v>
      </c>
      <c r="C2162" s="6" t="s">
        <v>146</v>
      </c>
      <c r="D2162" s="2" t="s">
        <v>107</v>
      </c>
      <c r="E2162" s="2"/>
      <c r="F2162" s="35">
        <v>5.4149169609489114</v>
      </c>
      <c r="G2162" s="35">
        <v>38.521736443331925</v>
      </c>
      <c r="H2162" s="35">
        <v>-3.3714531070240699</v>
      </c>
      <c r="I2162" s="35">
        <v>-0.33283205876122191</v>
      </c>
      <c r="J2162" s="35">
        <v>3.8829982578502753E-4</v>
      </c>
      <c r="K2162" s="35">
        <v>-2.036210623806554</v>
      </c>
      <c r="L2162" s="35">
        <v>6.0137624214233609</v>
      </c>
      <c r="M2162" s="58" t="s">
        <v>24</v>
      </c>
      <c r="N2162" s="7">
        <v>11.333333333333334</v>
      </c>
      <c r="O2162" s="7" t="s">
        <v>180</v>
      </c>
      <c r="P2162" s="7" t="s">
        <v>180</v>
      </c>
    </row>
    <row r="2163" spans="1:16" x14ac:dyDescent="0.25">
      <c r="A2163" s="2" t="s">
        <v>183</v>
      </c>
      <c r="B2163" s="2" t="s">
        <v>199</v>
      </c>
      <c r="C2163" s="6" t="s">
        <v>146</v>
      </c>
      <c r="D2163" s="2" t="s">
        <v>107</v>
      </c>
      <c r="E2163" s="2"/>
      <c r="F2163" s="35">
        <v>10.829833921897823</v>
      </c>
      <c r="G2163" s="35">
        <v>41.101147299447426</v>
      </c>
      <c r="H2163" s="35">
        <v>-3.3714531070240699</v>
      </c>
      <c r="I2163" s="35">
        <v>-0.33283205876122191</v>
      </c>
      <c r="J2163" s="35">
        <v>3.8829982578502753E-4</v>
      </c>
      <c r="K2163" s="35">
        <v>-0.2339526636728694</v>
      </c>
      <c r="L2163" s="35">
        <v>24.269901033691895</v>
      </c>
      <c r="M2163" s="58" t="s">
        <v>23</v>
      </c>
      <c r="N2163" s="7">
        <v>11.333333333333334</v>
      </c>
      <c r="O2163" s="7" t="s">
        <v>180</v>
      </c>
      <c r="P2163" s="7" t="s">
        <v>180</v>
      </c>
    </row>
    <row r="2164" spans="1:16" x14ac:dyDescent="0.25">
      <c r="A2164" s="2" t="s">
        <v>183</v>
      </c>
      <c r="B2164" s="2" t="s">
        <v>199</v>
      </c>
      <c r="C2164" s="6" t="s">
        <v>146</v>
      </c>
      <c r="D2164" s="2" t="s">
        <v>108</v>
      </c>
      <c r="E2164" s="2"/>
      <c r="F2164" s="35">
        <v>0</v>
      </c>
      <c r="G2164" s="35">
        <v>114.61433909983617</v>
      </c>
      <c r="H2164" s="35">
        <v>-0.22999033414249903</v>
      </c>
      <c r="I2164" s="35">
        <v>-0.28492314617992626</v>
      </c>
      <c r="J2164" s="35">
        <v>-1.0285295842282923E-4</v>
      </c>
      <c r="K2164" s="35">
        <v>0.47327371899825427</v>
      </c>
      <c r="L2164" s="35">
        <v>16.357098187637259</v>
      </c>
      <c r="M2164" s="58" t="s">
        <v>22</v>
      </c>
      <c r="N2164" s="7">
        <v>11.333333333333334</v>
      </c>
      <c r="O2164" s="7" t="s">
        <v>180</v>
      </c>
      <c r="P2164" s="7" t="s">
        <v>180</v>
      </c>
    </row>
    <row r="2165" spans="1:16" x14ac:dyDescent="0.25">
      <c r="A2165" s="2" t="s">
        <v>183</v>
      </c>
      <c r="B2165" s="2" t="s">
        <v>199</v>
      </c>
      <c r="C2165" s="6" t="s">
        <v>146</v>
      </c>
      <c r="D2165" s="2" t="s">
        <v>108</v>
      </c>
      <c r="E2165" s="2"/>
      <c r="F2165" s="35">
        <v>0.29999999999999988</v>
      </c>
      <c r="G2165" s="35">
        <v>114.75724493983618</v>
      </c>
      <c r="H2165" s="35">
        <v>-0.22999033414249903</v>
      </c>
      <c r="I2165" s="35">
        <v>-0.28492314617992626</v>
      </c>
      <c r="J2165" s="35">
        <v>-1.0285295842282923E-4</v>
      </c>
      <c r="K2165" s="35">
        <v>0.55875066285223207</v>
      </c>
      <c r="L2165" s="35">
        <v>16.426095287880006</v>
      </c>
      <c r="M2165" s="58" t="s">
        <v>22</v>
      </c>
      <c r="N2165" s="7">
        <v>11.333333333333334</v>
      </c>
      <c r="O2165" s="7" t="s">
        <v>180</v>
      </c>
      <c r="P2165" s="7" t="s">
        <v>180</v>
      </c>
    </row>
    <row r="2166" spans="1:16" x14ac:dyDescent="0.25">
      <c r="A2166" s="2" t="s">
        <v>183</v>
      </c>
      <c r="B2166" s="2" t="s">
        <v>199</v>
      </c>
      <c r="C2166" s="6" t="s">
        <v>146</v>
      </c>
      <c r="D2166" s="2" t="s">
        <v>108</v>
      </c>
      <c r="E2166" s="2"/>
      <c r="F2166" s="35">
        <v>0.29999999999999988</v>
      </c>
      <c r="G2166" s="35">
        <v>107.77572459462651</v>
      </c>
      <c r="H2166" s="35">
        <v>-0.22999033414251807</v>
      </c>
      <c r="I2166" s="35">
        <v>0.18094232056340073</v>
      </c>
      <c r="J2166" s="35">
        <v>3.1207482507608048E-5</v>
      </c>
      <c r="K2166" s="35">
        <v>0.55875066285223329</v>
      </c>
      <c r="L2166" s="35">
        <v>16.426087244253551</v>
      </c>
      <c r="M2166" s="58" t="s">
        <v>22</v>
      </c>
      <c r="N2166" s="7">
        <v>11.333333333333334</v>
      </c>
      <c r="O2166" s="7" t="s">
        <v>180</v>
      </c>
      <c r="P2166" s="7" t="s">
        <v>180</v>
      </c>
    </row>
    <row r="2167" spans="1:16" x14ac:dyDescent="0.25">
      <c r="A2167" s="2" t="s">
        <v>183</v>
      </c>
      <c r="B2167" s="2" t="s">
        <v>199</v>
      </c>
      <c r="C2167" s="6" t="s">
        <v>146</v>
      </c>
      <c r="D2167" s="2" t="s">
        <v>108</v>
      </c>
      <c r="E2167" s="2"/>
      <c r="F2167" s="35">
        <v>5.3</v>
      </c>
      <c r="G2167" s="35">
        <v>110.1574885946265</v>
      </c>
      <c r="H2167" s="35">
        <v>-0.22999033414251807</v>
      </c>
      <c r="I2167" s="35">
        <v>0.18094232056340073</v>
      </c>
      <c r="J2167" s="35">
        <v>3.1207482507608048E-5</v>
      </c>
      <c r="K2167" s="35">
        <v>-0.34596093996477034</v>
      </c>
      <c r="L2167" s="35">
        <v>17.576038914966144</v>
      </c>
      <c r="M2167" s="58" t="s">
        <v>24</v>
      </c>
      <c r="N2167" s="7">
        <v>11.333333333333334</v>
      </c>
      <c r="O2167" s="7" t="s">
        <v>180</v>
      </c>
      <c r="P2167" s="7" t="s">
        <v>180</v>
      </c>
    </row>
    <row r="2168" spans="1:16" x14ac:dyDescent="0.25">
      <c r="A2168" s="2" t="s">
        <v>183</v>
      </c>
      <c r="B2168" s="2" t="s">
        <v>199</v>
      </c>
      <c r="C2168" s="6" t="s">
        <v>146</v>
      </c>
      <c r="D2168" s="2" t="s">
        <v>108</v>
      </c>
      <c r="E2168" s="2"/>
      <c r="F2168" s="35">
        <v>5.3</v>
      </c>
      <c r="G2168" s="35">
        <v>120.1440178794679</v>
      </c>
      <c r="H2168" s="35">
        <v>-0.22999463643887164</v>
      </c>
      <c r="I2168" s="35">
        <v>-4.6079286634893551E-2</v>
      </c>
      <c r="J2168" s="35">
        <v>2.3181087309066676E-4</v>
      </c>
      <c r="K2168" s="35">
        <v>-0.34596093996477062</v>
      </c>
      <c r="L2168" s="35">
        <v>17.575737734023161</v>
      </c>
      <c r="M2168" s="58" t="s">
        <v>24</v>
      </c>
      <c r="N2168" s="7">
        <v>11.333333333333334</v>
      </c>
      <c r="O2168" s="7" t="s">
        <v>180</v>
      </c>
      <c r="P2168" s="7" t="s">
        <v>180</v>
      </c>
    </row>
    <row r="2169" spans="1:16" x14ac:dyDescent="0.25">
      <c r="A2169" s="2" t="s">
        <v>183</v>
      </c>
      <c r="B2169" s="2" t="s">
        <v>199</v>
      </c>
      <c r="C2169" s="6" t="s">
        <v>146</v>
      </c>
      <c r="D2169" s="2" t="s">
        <v>108</v>
      </c>
      <c r="E2169" s="2"/>
      <c r="F2169" s="35">
        <v>5.4149169609489114</v>
      </c>
      <c r="G2169" s="35">
        <v>120.1987588955834</v>
      </c>
      <c r="H2169" s="35">
        <v>-0.22999463643887164</v>
      </c>
      <c r="I2169" s="35">
        <v>-4.6079286634893551E-2</v>
      </c>
      <c r="J2169" s="35">
        <v>2.3181087309066676E-4</v>
      </c>
      <c r="K2169" s="35">
        <v>-0.34066564838199487</v>
      </c>
      <c r="L2169" s="35">
        <v>17.602168018677268</v>
      </c>
      <c r="M2169" s="58" t="s">
        <v>24</v>
      </c>
      <c r="N2169" s="7">
        <v>11.333333333333334</v>
      </c>
      <c r="O2169" s="7" t="s">
        <v>180</v>
      </c>
      <c r="P2169" s="7" t="s">
        <v>180</v>
      </c>
    </row>
    <row r="2170" spans="1:16" x14ac:dyDescent="0.25">
      <c r="A2170" s="2" t="s">
        <v>183</v>
      </c>
      <c r="B2170" s="2" t="s">
        <v>199</v>
      </c>
      <c r="C2170" s="6" t="s">
        <v>146</v>
      </c>
      <c r="D2170" s="2" t="s">
        <v>108</v>
      </c>
      <c r="E2170" s="2"/>
      <c r="F2170" s="35">
        <v>10.829833921897823</v>
      </c>
      <c r="G2170" s="35">
        <v>122.7781697516989</v>
      </c>
      <c r="H2170" s="35">
        <v>-0.22999463643887164</v>
      </c>
      <c r="I2170" s="35">
        <v>-4.6079286634893551E-2</v>
      </c>
      <c r="J2170" s="35">
        <v>2.3181087309066676E-4</v>
      </c>
      <c r="K2170" s="35">
        <v>-9.1150137634283437E-2</v>
      </c>
      <c r="L2170" s="35">
        <v>18.847569876457388</v>
      </c>
      <c r="M2170" s="58" t="s">
        <v>23</v>
      </c>
      <c r="N2170" s="7">
        <v>11.333333333333334</v>
      </c>
      <c r="O2170" s="7" t="s">
        <v>180</v>
      </c>
      <c r="P2170" s="7" t="s">
        <v>180</v>
      </c>
    </row>
    <row r="2171" spans="1:16" x14ac:dyDescent="0.25">
      <c r="A2171" s="2" t="s">
        <v>183</v>
      </c>
      <c r="B2171" s="2" t="s">
        <v>199</v>
      </c>
      <c r="C2171" s="6" t="s">
        <v>146</v>
      </c>
      <c r="D2171" s="2" t="s">
        <v>109</v>
      </c>
      <c r="E2171" s="2"/>
      <c r="F2171" s="35">
        <v>0</v>
      </c>
      <c r="G2171" s="35">
        <v>-96.834436442094841</v>
      </c>
      <c r="H2171" s="35">
        <v>13.399950762555617</v>
      </c>
      <c r="I2171" s="35">
        <v>1.3803269683905497</v>
      </c>
      <c r="J2171" s="35">
        <v>-2.8161710846958315E-4</v>
      </c>
      <c r="K2171" s="35">
        <v>0.56808914615291528</v>
      </c>
      <c r="L2171" s="35">
        <v>81.777889068012755</v>
      </c>
      <c r="M2171" s="58" t="s">
        <v>22</v>
      </c>
      <c r="N2171" s="7">
        <v>11.333333333333334</v>
      </c>
      <c r="O2171" s="7" t="s">
        <v>180</v>
      </c>
      <c r="P2171" s="7" t="s">
        <v>180</v>
      </c>
    </row>
    <row r="2172" spans="1:16" x14ac:dyDescent="0.25">
      <c r="A2172" s="2" t="s">
        <v>183</v>
      </c>
      <c r="B2172" s="2" t="s">
        <v>199</v>
      </c>
      <c r="C2172" s="6" t="s">
        <v>146</v>
      </c>
      <c r="D2172" s="2" t="s">
        <v>109</v>
      </c>
      <c r="E2172" s="2"/>
      <c r="F2172" s="35">
        <v>0.29999999999999988</v>
      </c>
      <c r="G2172" s="35">
        <v>-96.691530602094829</v>
      </c>
      <c r="H2172" s="35">
        <v>13.399950762555617</v>
      </c>
      <c r="I2172" s="35">
        <v>1.3803269683905497</v>
      </c>
      <c r="J2172" s="35">
        <v>-2.8161710846958315E-4</v>
      </c>
      <c r="K2172" s="35">
        <v>0.15399105563575052</v>
      </c>
      <c r="L2172" s="35">
        <v>77.757903839246069</v>
      </c>
      <c r="M2172" s="58" t="s">
        <v>22</v>
      </c>
      <c r="N2172" s="7">
        <v>11.333333333333334</v>
      </c>
      <c r="O2172" s="7" t="s">
        <v>180</v>
      </c>
      <c r="P2172" s="7" t="s">
        <v>180</v>
      </c>
    </row>
    <row r="2173" spans="1:16" x14ac:dyDescent="0.25">
      <c r="A2173" s="2" t="s">
        <v>183</v>
      </c>
      <c r="B2173" s="2" t="s">
        <v>199</v>
      </c>
      <c r="C2173" s="6" t="s">
        <v>146</v>
      </c>
      <c r="D2173" s="2" t="s">
        <v>109</v>
      </c>
      <c r="E2173" s="2"/>
      <c r="F2173" s="35">
        <v>0.29999999999999988</v>
      </c>
      <c r="G2173" s="35">
        <v>-73.76673700336967</v>
      </c>
      <c r="H2173" s="35">
        <v>13.39995076255558</v>
      </c>
      <c r="I2173" s="35">
        <v>5.1813598497805695E-2</v>
      </c>
      <c r="J2173" s="35">
        <v>1.5981665602687862E-4</v>
      </c>
      <c r="K2173" s="35">
        <v>0.15399105563574844</v>
      </c>
      <c r="L2173" s="35">
        <v>77.757877353220181</v>
      </c>
      <c r="M2173" s="58" t="s">
        <v>22</v>
      </c>
      <c r="N2173" s="7">
        <v>11.333333333333334</v>
      </c>
      <c r="O2173" s="7" t="s">
        <v>180</v>
      </c>
      <c r="P2173" s="7" t="s">
        <v>180</v>
      </c>
    </row>
    <row r="2174" spans="1:16" x14ac:dyDescent="0.25">
      <c r="A2174" s="2" t="s">
        <v>183</v>
      </c>
      <c r="B2174" s="2" t="s">
        <v>199</v>
      </c>
      <c r="C2174" s="6" t="s">
        <v>146</v>
      </c>
      <c r="D2174" s="2" t="s">
        <v>109</v>
      </c>
      <c r="E2174" s="2"/>
      <c r="F2174" s="35">
        <v>5.3</v>
      </c>
      <c r="G2174" s="35">
        <v>-71.384973003369666</v>
      </c>
      <c r="H2174" s="35">
        <v>13.39995076255558</v>
      </c>
      <c r="I2174" s="35">
        <v>5.1813598497805695E-2</v>
      </c>
      <c r="J2174" s="35">
        <v>1.5981665602687862E-4</v>
      </c>
      <c r="K2174" s="35">
        <v>-0.10507693685328</v>
      </c>
      <c r="L2174" s="35">
        <v>10.758123540442281</v>
      </c>
      <c r="M2174" s="58" t="s">
        <v>24</v>
      </c>
      <c r="N2174" s="7">
        <v>11.333333333333334</v>
      </c>
      <c r="O2174" s="7" t="s">
        <v>180</v>
      </c>
      <c r="P2174" s="7" t="s">
        <v>180</v>
      </c>
    </row>
    <row r="2175" spans="1:16" x14ac:dyDescent="0.25">
      <c r="A2175" s="2" t="s">
        <v>183</v>
      </c>
      <c r="B2175" s="2" t="s">
        <v>199</v>
      </c>
      <c r="C2175" s="6" t="s">
        <v>146</v>
      </c>
      <c r="D2175" s="2" t="s">
        <v>109</v>
      </c>
      <c r="E2175" s="2"/>
      <c r="F2175" s="35">
        <v>5.3</v>
      </c>
      <c r="G2175" s="35">
        <v>-89.625944105666719</v>
      </c>
      <c r="H2175" s="35">
        <v>13.399902544056269</v>
      </c>
      <c r="I2175" s="35">
        <v>-6.1448737504185037E-3</v>
      </c>
      <c r="J2175" s="35">
        <v>-5.3697948696140734E-5</v>
      </c>
      <c r="K2175" s="35">
        <v>-0.10507693685327986</v>
      </c>
      <c r="L2175" s="35">
        <v>10.758435940919867</v>
      </c>
      <c r="M2175" s="58" t="s">
        <v>24</v>
      </c>
      <c r="N2175" s="7">
        <v>11.333333333333334</v>
      </c>
      <c r="O2175" s="7" t="s">
        <v>180</v>
      </c>
      <c r="P2175" s="7" t="s">
        <v>180</v>
      </c>
    </row>
    <row r="2176" spans="1:16" x14ac:dyDescent="0.25">
      <c r="A2176" s="2" t="s">
        <v>183</v>
      </c>
      <c r="B2176" s="2" t="s">
        <v>199</v>
      </c>
      <c r="C2176" s="6" t="s">
        <v>146</v>
      </c>
      <c r="D2176" s="2" t="s">
        <v>109</v>
      </c>
      <c r="E2176" s="2"/>
      <c r="F2176" s="35">
        <v>5.4149169609489114</v>
      </c>
      <c r="G2176" s="35">
        <v>-89.571203089551233</v>
      </c>
      <c r="H2176" s="35">
        <v>13.399902544056269</v>
      </c>
      <c r="I2176" s="35">
        <v>-6.1448737504185037E-3</v>
      </c>
      <c r="J2176" s="35">
        <v>-5.3697948696140734E-5</v>
      </c>
      <c r="K2176" s="35">
        <v>-0.10437078663646703</v>
      </c>
      <c r="L2176" s="35">
        <v>9.2185598635453356</v>
      </c>
      <c r="M2176" s="58" t="s">
        <v>24</v>
      </c>
      <c r="N2176" s="7">
        <v>11.333333333333334</v>
      </c>
      <c r="O2176" s="7" t="s">
        <v>180</v>
      </c>
      <c r="P2176" s="7" t="s">
        <v>180</v>
      </c>
    </row>
    <row r="2177" spans="1:16" x14ac:dyDescent="0.25">
      <c r="A2177" s="2" t="s">
        <v>183</v>
      </c>
      <c r="B2177" s="2" t="s">
        <v>199</v>
      </c>
      <c r="C2177" s="6" t="s">
        <v>146</v>
      </c>
      <c r="D2177" s="2" t="s">
        <v>109</v>
      </c>
      <c r="E2177" s="2"/>
      <c r="F2177" s="35">
        <v>10.829833921897823</v>
      </c>
      <c r="G2177" s="35">
        <v>-86.991792233435717</v>
      </c>
      <c r="H2177" s="35">
        <v>13.399902544056269</v>
      </c>
      <c r="I2177" s="35">
        <v>-6.1448737504185037E-3</v>
      </c>
      <c r="J2177" s="35">
        <v>-5.3697948696140734E-5</v>
      </c>
      <c r="K2177" s="35">
        <v>-7.1096805542436137E-2</v>
      </c>
      <c r="L2177" s="35">
        <v>-63.340799697327412</v>
      </c>
      <c r="M2177" s="58" t="s">
        <v>23</v>
      </c>
      <c r="N2177" s="7">
        <v>11.333333333333334</v>
      </c>
      <c r="O2177" s="7" t="s">
        <v>180</v>
      </c>
      <c r="P2177" s="7" t="s">
        <v>180</v>
      </c>
    </row>
    <row r="2178" spans="1:16" x14ac:dyDescent="0.25">
      <c r="A2178" s="2" t="s">
        <v>183</v>
      </c>
      <c r="B2178" s="2" t="s">
        <v>199</v>
      </c>
      <c r="C2178" s="6" t="s">
        <v>146</v>
      </c>
      <c r="D2178" s="2" t="s">
        <v>110</v>
      </c>
      <c r="E2178" s="2"/>
      <c r="F2178" s="35">
        <v>0</v>
      </c>
      <c r="G2178" s="35">
        <v>116.58773520139188</v>
      </c>
      <c r="H2178" s="35">
        <v>-10.200378992462472</v>
      </c>
      <c r="I2178" s="35">
        <v>-0.32224981321132562</v>
      </c>
      <c r="J2178" s="35">
        <v>2.2513589058869221E-4</v>
      </c>
      <c r="K2178" s="35">
        <v>0.44392916065209959</v>
      </c>
      <c r="L2178" s="35">
        <v>-50.309921618232316</v>
      </c>
      <c r="M2178" s="58" t="s">
        <v>22</v>
      </c>
      <c r="N2178" s="7">
        <v>11.333333333333334</v>
      </c>
      <c r="O2178" s="7" t="s">
        <v>180</v>
      </c>
      <c r="P2178" s="7" t="s">
        <v>180</v>
      </c>
    </row>
    <row r="2179" spans="1:16" x14ac:dyDescent="0.25">
      <c r="A2179" s="2" t="s">
        <v>183</v>
      </c>
      <c r="B2179" s="2" t="s">
        <v>199</v>
      </c>
      <c r="C2179" s="6" t="s">
        <v>146</v>
      </c>
      <c r="D2179" s="2" t="s">
        <v>110</v>
      </c>
      <c r="E2179" s="2"/>
      <c r="F2179" s="35">
        <v>0.29999999999999988</v>
      </c>
      <c r="G2179" s="35">
        <v>116.73064104139189</v>
      </c>
      <c r="H2179" s="35">
        <v>-10.200378992462472</v>
      </c>
      <c r="I2179" s="35">
        <v>-0.32224981321132562</v>
      </c>
      <c r="J2179" s="35">
        <v>2.2513589058869221E-4</v>
      </c>
      <c r="K2179" s="35">
        <v>0.54060410461549724</v>
      </c>
      <c r="L2179" s="35">
        <v>-47.249807920493581</v>
      </c>
      <c r="M2179" s="58" t="s">
        <v>22</v>
      </c>
      <c r="N2179" s="7">
        <v>11.333333333333334</v>
      </c>
      <c r="O2179" s="7" t="s">
        <v>180</v>
      </c>
      <c r="P2179" s="7" t="s">
        <v>180</v>
      </c>
    </row>
    <row r="2180" spans="1:16" x14ac:dyDescent="0.25">
      <c r="A2180" s="2" t="s">
        <v>183</v>
      </c>
      <c r="B2180" s="2" t="s">
        <v>199</v>
      </c>
      <c r="C2180" s="6" t="s">
        <v>146</v>
      </c>
      <c r="D2180" s="2" t="s">
        <v>110</v>
      </c>
      <c r="E2180" s="2"/>
      <c r="F2180" s="35">
        <v>0.29999999999999988</v>
      </c>
      <c r="G2180" s="35">
        <v>109.22527384019273</v>
      </c>
      <c r="H2180" s="35">
        <v>-10.20037899246249</v>
      </c>
      <c r="I2180" s="35">
        <v>0.1750464648913769</v>
      </c>
      <c r="J2180" s="35">
        <v>-2.5626826519608836E-5</v>
      </c>
      <c r="K2180" s="35">
        <v>0.54060410461549735</v>
      </c>
      <c r="L2180" s="35">
        <v>-47.249792874730559</v>
      </c>
      <c r="M2180" s="58" t="s">
        <v>22</v>
      </c>
      <c r="N2180" s="7">
        <v>11.333333333333334</v>
      </c>
      <c r="O2180" s="7" t="s">
        <v>180</v>
      </c>
      <c r="P2180" s="7" t="s">
        <v>180</v>
      </c>
    </row>
    <row r="2181" spans="1:16" x14ac:dyDescent="0.25">
      <c r="A2181" s="2" t="s">
        <v>183</v>
      </c>
      <c r="B2181" s="2" t="s">
        <v>199</v>
      </c>
      <c r="C2181" s="6" t="s">
        <v>146</v>
      </c>
      <c r="D2181" s="2" t="s">
        <v>110</v>
      </c>
      <c r="E2181" s="2"/>
      <c r="F2181" s="35">
        <v>5.3</v>
      </c>
      <c r="G2181" s="35">
        <v>111.60703784019272</v>
      </c>
      <c r="H2181" s="35">
        <v>-10.20037899246249</v>
      </c>
      <c r="I2181" s="35">
        <v>0.1750464648913769</v>
      </c>
      <c r="J2181" s="35">
        <v>-2.5626826519608836E-5</v>
      </c>
      <c r="K2181" s="35">
        <v>-0.33462821984138708</v>
      </c>
      <c r="L2181" s="35">
        <v>3.7521020875818909</v>
      </c>
      <c r="M2181" s="58" t="s">
        <v>24</v>
      </c>
      <c r="N2181" s="7">
        <v>11.333333333333334</v>
      </c>
      <c r="O2181" s="7" t="s">
        <v>180</v>
      </c>
      <c r="P2181" s="7" t="s">
        <v>180</v>
      </c>
    </row>
    <row r="2182" spans="1:16" x14ac:dyDescent="0.25">
      <c r="A2182" s="2" t="s">
        <v>183</v>
      </c>
      <c r="B2182" s="2" t="s">
        <v>199</v>
      </c>
      <c r="C2182" s="6" t="s">
        <v>146</v>
      </c>
      <c r="D2182" s="2" t="s">
        <v>110</v>
      </c>
      <c r="E2182" s="2"/>
      <c r="F2182" s="35">
        <v>5.3</v>
      </c>
      <c r="G2182" s="35">
        <v>122.06722145923207</v>
      </c>
      <c r="H2182" s="35">
        <v>-10.200347396581208</v>
      </c>
      <c r="I2182" s="35">
        <v>-4.4204749041275269E-2</v>
      </c>
      <c r="J2182" s="35">
        <v>2.7257708605924385E-4</v>
      </c>
      <c r="K2182" s="35">
        <v>-0.33462821984138724</v>
      </c>
      <c r="L2182" s="35">
        <v>3.7516424445781844</v>
      </c>
      <c r="M2182" s="58" t="s">
        <v>24</v>
      </c>
      <c r="N2182" s="7">
        <v>11.333333333333334</v>
      </c>
      <c r="O2182" s="7" t="s">
        <v>180</v>
      </c>
      <c r="P2182" s="7" t="s">
        <v>180</v>
      </c>
    </row>
    <row r="2183" spans="1:16" x14ac:dyDescent="0.25">
      <c r="A2183" s="2" t="s">
        <v>183</v>
      </c>
      <c r="B2183" s="2" t="s">
        <v>199</v>
      </c>
      <c r="C2183" s="6" t="s">
        <v>146</v>
      </c>
      <c r="D2183" s="2" t="s">
        <v>110</v>
      </c>
      <c r="E2183" s="2"/>
      <c r="F2183" s="35">
        <v>5.4149169609489114</v>
      </c>
      <c r="G2183" s="35">
        <v>122.12196247534757</v>
      </c>
      <c r="H2183" s="35">
        <v>-10.200347396581208</v>
      </c>
      <c r="I2183" s="35">
        <v>-4.4204749041275269E-2</v>
      </c>
      <c r="J2183" s="35">
        <v>2.7257708605924385E-4</v>
      </c>
      <c r="K2183" s="35">
        <v>-0.32954834442205461</v>
      </c>
      <c r="L2183" s="35">
        <v>4.9238353680164373</v>
      </c>
      <c r="M2183" s="58" t="s">
        <v>24</v>
      </c>
      <c r="N2183" s="7">
        <v>11.333333333333334</v>
      </c>
      <c r="O2183" s="7" t="s">
        <v>180</v>
      </c>
      <c r="P2183" s="7" t="s">
        <v>180</v>
      </c>
    </row>
    <row r="2184" spans="1:16" x14ac:dyDescent="0.25">
      <c r="A2184" s="2" t="s">
        <v>183</v>
      </c>
      <c r="B2184" s="2" t="s">
        <v>199</v>
      </c>
      <c r="C2184" s="6" t="s">
        <v>146</v>
      </c>
      <c r="D2184" s="2" t="s">
        <v>110</v>
      </c>
      <c r="E2184" s="2"/>
      <c r="F2184" s="35">
        <v>10.829833921897823</v>
      </c>
      <c r="G2184" s="35">
        <v>124.70137333146307</v>
      </c>
      <c r="H2184" s="35">
        <v>-10.200347396581208</v>
      </c>
      <c r="I2184" s="35">
        <v>-4.4204749041275269E-2</v>
      </c>
      <c r="J2184" s="35">
        <v>2.7257708605924385E-4</v>
      </c>
      <c r="K2184" s="35">
        <v>-9.0183299083963067E-2</v>
      </c>
      <c r="L2184" s="35">
        <v>60.157869493335077</v>
      </c>
      <c r="M2184" s="58" t="s">
        <v>23</v>
      </c>
      <c r="N2184" s="7">
        <v>11.333333333333334</v>
      </c>
      <c r="O2184" s="7" t="s">
        <v>180</v>
      </c>
      <c r="P2184" s="7" t="s">
        <v>180</v>
      </c>
    </row>
    <row r="2185" spans="1:16" x14ac:dyDescent="0.25">
      <c r="A2185" s="2" t="s">
        <v>183</v>
      </c>
      <c r="B2185" s="2" t="s">
        <v>199</v>
      </c>
      <c r="C2185" s="6" t="s">
        <v>146</v>
      </c>
      <c r="D2185" s="2" t="s">
        <v>111</v>
      </c>
      <c r="E2185" s="2"/>
      <c r="F2185" s="35">
        <v>0</v>
      </c>
      <c r="G2185" s="35">
        <v>-0.33923552004183138</v>
      </c>
      <c r="H2185" s="35">
        <v>-22.024551020556075</v>
      </c>
      <c r="I2185" s="35">
        <v>0.45458844763145273</v>
      </c>
      <c r="J2185" s="35">
        <v>3.1037455075016101E-4</v>
      </c>
      <c r="K2185" s="35">
        <v>0.31529491731449183</v>
      </c>
      <c r="L2185" s="35">
        <v>-118.63141568447823</v>
      </c>
      <c r="M2185" s="58" t="s">
        <v>22</v>
      </c>
      <c r="N2185" s="7">
        <v>11.333333333333334</v>
      </c>
      <c r="O2185" s="7" t="s">
        <v>180</v>
      </c>
      <c r="P2185" s="7" t="s">
        <v>180</v>
      </c>
    </row>
    <row r="2186" spans="1:16" x14ac:dyDescent="0.25">
      <c r="A2186" s="2" t="s">
        <v>183</v>
      </c>
      <c r="B2186" s="2" t="s">
        <v>199</v>
      </c>
      <c r="C2186" s="6" t="s">
        <v>146</v>
      </c>
      <c r="D2186" s="2" t="s">
        <v>111</v>
      </c>
      <c r="E2186" s="2"/>
      <c r="F2186" s="35">
        <v>0.29999999999999988</v>
      </c>
      <c r="G2186" s="35">
        <v>-0.19632968004183199</v>
      </c>
      <c r="H2186" s="35">
        <v>-22.024551020556075</v>
      </c>
      <c r="I2186" s="35">
        <v>0.45458844763145273</v>
      </c>
      <c r="J2186" s="35">
        <v>3.1037455075016101E-4</v>
      </c>
      <c r="K2186" s="35">
        <v>0.17891838302505608</v>
      </c>
      <c r="L2186" s="35">
        <v>-112.0240503783114</v>
      </c>
      <c r="M2186" s="58" t="s">
        <v>22</v>
      </c>
      <c r="N2186" s="7">
        <v>11.333333333333334</v>
      </c>
      <c r="O2186" s="7" t="s">
        <v>180</v>
      </c>
      <c r="P2186" s="7" t="s">
        <v>180</v>
      </c>
    </row>
    <row r="2187" spans="1:16" x14ac:dyDescent="0.25">
      <c r="A2187" s="2" t="s">
        <v>183</v>
      </c>
      <c r="B2187" s="2" t="s">
        <v>199</v>
      </c>
      <c r="C2187" s="6" t="s">
        <v>146</v>
      </c>
      <c r="D2187" s="2" t="s">
        <v>111</v>
      </c>
      <c r="E2187" s="2"/>
      <c r="F2187" s="35">
        <v>0.29999999999999988</v>
      </c>
      <c r="G2187" s="35">
        <v>7.1953494865197882</v>
      </c>
      <c r="H2187" s="35">
        <v>-22.024551020556132</v>
      </c>
      <c r="I2187" s="35">
        <v>5.8061943668518162E-2</v>
      </c>
      <c r="J2187" s="35">
        <v>-2.5752051979077559E-4</v>
      </c>
      <c r="K2187" s="35">
        <v>0.17891838302505478</v>
      </c>
      <c r="L2187" s="35">
        <v>-112.02401630460713</v>
      </c>
      <c r="M2187" s="58" t="s">
        <v>22</v>
      </c>
      <c r="N2187" s="7">
        <v>11.333333333333334</v>
      </c>
      <c r="O2187" s="7" t="s">
        <v>180</v>
      </c>
      <c r="P2187" s="7" t="s">
        <v>180</v>
      </c>
    </row>
    <row r="2188" spans="1:16" x14ac:dyDescent="0.25">
      <c r="A2188" s="2" t="s">
        <v>183</v>
      </c>
      <c r="B2188" s="2" t="s">
        <v>199</v>
      </c>
      <c r="C2188" s="6" t="s">
        <v>146</v>
      </c>
      <c r="D2188" s="2" t="s">
        <v>111</v>
      </c>
      <c r="E2188" s="2"/>
      <c r="F2188" s="35">
        <v>5.3</v>
      </c>
      <c r="G2188" s="35">
        <v>9.5771134865197869</v>
      </c>
      <c r="H2188" s="35">
        <v>-22.024551020556132</v>
      </c>
      <c r="I2188" s="35">
        <v>5.8061943668518162E-2</v>
      </c>
      <c r="J2188" s="35">
        <v>-2.5752051979077559E-4</v>
      </c>
      <c r="K2188" s="35">
        <v>-0.11139133531753602</v>
      </c>
      <c r="L2188" s="35">
        <v>-1.9012612018264643</v>
      </c>
      <c r="M2188" s="58" t="s">
        <v>24</v>
      </c>
      <c r="N2188" s="7">
        <v>11.333333333333334</v>
      </c>
      <c r="O2188" s="7" t="s">
        <v>180</v>
      </c>
      <c r="P2188" s="7" t="s">
        <v>180</v>
      </c>
    </row>
    <row r="2189" spans="1:16" x14ac:dyDescent="0.25">
      <c r="A2189" s="2" t="s">
        <v>183</v>
      </c>
      <c r="B2189" s="2" t="s">
        <v>199</v>
      </c>
      <c r="C2189" s="6" t="s">
        <v>146</v>
      </c>
      <c r="D2189" s="2" t="s">
        <v>111</v>
      </c>
      <c r="E2189" s="2"/>
      <c r="F2189" s="35">
        <v>5.3</v>
      </c>
      <c r="G2189" s="35">
        <v>5.7984990775031751</v>
      </c>
      <c r="H2189" s="35">
        <v>-22.024468444140606</v>
      </c>
      <c r="I2189" s="35">
        <v>-7.2202077829302295E-3</v>
      </c>
      <c r="J2189" s="35">
        <v>2.7157652581074758E-4</v>
      </c>
      <c r="K2189" s="35">
        <v>-0.11139133531753638</v>
      </c>
      <c r="L2189" s="35">
        <v>-1.9019991835518657</v>
      </c>
      <c r="M2189" s="58" t="s">
        <v>24</v>
      </c>
      <c r="N2189" s="7">
        <v>11.333333333333334</v>
      </c>
      <c r="O2189" s="7" t="s">
        <v>180</v>
      </c>
      <c r="P2189" s="7" t="s">
        <v>180</v>
      </c>
    </row>
    <row r="2190" spans="1:16" x14ac:dyDescent="0.25">
      <c r="A2190" s="2" t="s">
        <v>183</v>
      </c>
      <c r="B2190" s="2" t="s">
        <v>199</v>
      </c>
      <c r="C2190" s="6" t="s">
        <v>146</v>
      </c>
      <c r="D2190" s="2" t="s">
        <v>111</v>
      </c>
      <c r="E2190" s="2"/>
      <c r="F2190" s="35">
        <v>5.4149169609489114</v>
      </c>
      <c r="G2190" s="35">
        <v>5.8532400936186813</v>
      </c>
      <c r="H2190" s="35">
        <v>-22.024468444140606</v>
      </c>
      <c r="I2190" s="35">
        <v>-7.2202077829302295E-3</v>
      </c>
      <c r="J2190" s="35">
        <v>2.7157652581074758E-4</v>
      </c>
      <c r="K2190" s="35">
        <v>-0.11056161098170235</v>
      </c>
      <c r="L2190" s="35">
        <v>0.6289857965639728</v>
      </c>
      <c r="M2190" s="58" t="s">
        <v>24</v>
      </c>
      <c r="N2190" s="7">
        <v>11.333333333333334</v>
      </c>
      <c r="O2190" s="7" t="s">
        <v>180</v>
      </c>
      <c r="P2190" s="7" t="s">
        <v>180</v>
      </c>
    </row>
    <row r="2191" spans="1:16" x14ac:dyDescent="0.25">
      <c r="A2191" s="2" t="s">
        <v>183</v>
      </c>
      <c r="B2191" s="2" t="s">
        <v>199</v>
      </c>
      <c r="C2191" s="6" t="s">
        <v>146</v>
      </c>
      <c r="D2191" s="2" t="s">
        <v>111</v>
      </c>
      <c r="E2191" s="2"/>
      <c r="F2191" s="35">
        <v>10.829833921897823</v>
      </c>
      <c r="G2191" s="35">
        <v>8.4326509497341817</v>
      </c>
      <c r="H2191" s="35">
        <v>-22.024468444140606</v>
      </c>
      <c r="I2191" s="35">
        <v>-7.2202077829302295E-3</v>
      </c>
      <c r="J2191" s="35">
        <v>2.7157652581074758E-4</v>
      </c>
      <c r="K2191" s="35">
        <v>-7.1464785396338118E-2</v>
      </c>
      <c r="L2191" s="35">
        <v>119.88965353062498</v>
      </c>
      <c r="M2191" s="58" t="s">
        <v>23</v>
      </c>
      <c r="N2191" s="7">
        <v>11.333333333333334</v>
      </c>
      <c r="O2191" s="7" t="s">
        <v>180</v>
      </c>
      <c r="P2191" s="7" t="s">
        <v>180</v>
      </c>
    </row>
    <row r="2192" spans="1:16" x14ac:dyDescent="0.25">
      <c r="A2192" s="2" t="s">
        <v>183</v>
      </c>
      <c r="B2192" s="2" t="s">
        <v>199</v>
      </c>
      <c r="C2192" s="6" t="s">
        <v>146</v>
      </c>
      <c r="D2192" s="2" t="s">
        <v>112</v>
      </c>
      <c r="E2192" s="2"/>
      <c r="F2192" s="35">
        <v>0</v>
      </c>
      <c r="G2192" s="35">
        <v>53.242958219594541</v>
      </c>
      <c r="H2192" s="35">
        <v>-3.428072613952744</v>
      </c>
      <c r="I2192" s="35">
        <v>-3.3744794972912771</v>
      </c>
      <c r="J2192" s="35">
        <v>-4.5460888832036622E-4</v>
      </c>
      <c r="K2192" s="35">
        <v>-4.1449761065178254</v>
      </c>
      <c r="L2192" s="35">
        <v>-12.21647468875357</v>
      </c>
      <c r="M2192" s="58" t="s">
        <v>22</v>
      </c>
      <c r="N2192" s="7">
        <v>11.333333333333334</v>
      </c>
      <c r="O2192" s="7" t="s">
        <v>180</v>
      </c>
      <c r="P2192" s="7" t="s">
        <v>180</v>
      </c>
    </row>
    <row r="2193" spans="1:16" x14ac:dyDescent="0.25">
      <c r="A2193" s="2" t="s">
        <v>183</v>
      </c>
      <c r="B2193" s="2" t="s">
        <v>199</v>
      </c>
      <c r="C2193" s="6" t="s">
        <v>146</v>
      </c>
      <c r="D2193" s="2" t="s">
        <v>112</v>
      </c>
      <c r="E2193" s="2"/>
      <c r="F2193" s="35">
        <v>0.29999999999999988</v>
      </c>
      <c r="G2193" s="35">
        <v>53.385864059594539</v>
      </c>
      <c r="H2193" s="35">
        <v>-3.428072613952744</v>
      </c>
      <c r="I2193" s="35">
        <v>-3.3744794972912771</v>
      </c>
      <c r="J2193" s="35">
        <v>-4.5460888832036622E-4</v>
      </c>
      <c r="K2193" s="35">
        <v>-3.1326322573304415</v>
      </c>
      <c r="L2193" s="35">
        <v>-11.188052904567748</v>
      </c>
      <c r="M2193" s="58" t="s">
        <v>22</v>
      </c>
      <c r="N2193" s="7">
        <v>11.333333333333334</v>
      </c>
      <c r="O2193" s="7" t="s">
        <v>180</v>
      </c>
      <c r="P2193" s="7" t="s">
        <v>180</v>
      </c>
    </row>
    <row r="2194" spans="1:16" x14ac:dyDescent="0.25">
      <c r="A2194" s="2" t="s">
        <v>183</v>
      </c>
      <c r="B2194" s="2" t="s">
        <v>199</v>
      </c>
      <c r="C2194" s="6" t="s">
        <v>146</v>
      </c>
      <c r="D2194" s="2" t="s">
        <v>112</v>
      </c>
      <c r="E2194" s="2"/>
      <c r="F2194" s="35">
        <v>0.29999999999999988</v>
      </c>
      <c r="G2194" s="35">
        <v>14.912048069886657</v>
      </c>
      <c r="H2194" s="35">
        <v>-3.4280726139527276</v>
      </c>
      <c r="I2194" s="35">
        <v>-1.0190762918780432</v>
      </c>
      <c r="J2194" s="35">
        <v>-3.6930623330920796E-4</v>
      </c>
      <c r="K2194" s="35">
        <v>-3.1326322573304424</v>
      </c>
      <c r="L2194" s="35">
        <v>-11.188058022727049</v>
      </c>
      <c r="M2194" s="58" t="s">
        <v>22</v>
      </c>
      <c r="N2194" s="7">
        <v>11.333333333333334</v>
      </c>
      <c r="O2194" s="7" t="s">
        <v>180</v>
      </c>
      <c r="P2194" s="7" t="s">
        <v>180</v>
      </c>
    </row>
    <row r="2195" spans="1:16" x14ac:dyDescent="0.25">
      <c r="A2195" s="2" t="s">
        <v>183</v>
      </c>
      <c r="B2195" s="2" t="s">
        <v>199</v>
      </c>
      <c r="C2195" s="6" t="s">
        <v>146</v>
      </c>
      <c r="D2195" s="2" t="s">
        <v>112</v>
      </c>
      <c r="E2195" s="2"/>
      <c r="F2195" s="35">
        <v>5.3</v>
      </c>
      <c r="G2195" s="35">
        <v>17.293812069886652</v>
      </c>
      <c r="H2195" s="35">
        <v>-3.4280726139527276</v>
      </c>
      <c r="I2195" s="35">
        <v>-1.0190762918780432</v>
      </c>
      <c r="J2195" s="35">
        <v>-3.6930623330920796E-4</v>
      </c>
      <c r="K2195" s="35">
        <v>1.9627492020597737</v>
      </c>
      <c r="L2195" s="35">
        <v>5.952305047036587</v>
      </c>
      <c r="M2195" s="58" t="s">
        <v>24</v>
      </c>
      <c r="N2195" s="7">
        <v>11.333333333333334</v>
      </c>
      <c r="O2195" s="7" t="s">
        <v>180</v>
      </c>
      <c r="P2195" s="7" t="s">
        <v>180</v>
      </c>
    </row>
    <row r="2196" spans="1:16" x14ac:dyDescent="0.25">
      <c r="A2196" s="2" t="s">
        <v>183</v>
      </c>
      <c r="B2196" s="2" t="s">
        <v>199</v>
      </c>
      <c r="C2196" s="6" t="s">
        <v>146</v>
      </c>
      <c r="D2196" s="2" t="s">
        <v>112</v>
      </c>
      <c r="E2196" s="2"/>
      <c r="F2196" s="35">
        <v>5.3</v>
      </c>
      <c r="G2196" s="35">
        <v>53.163610883300009</v>
      </c>
      <c r="H2196" s="35">
        <v>-3.4280346113987599</v>
      </c>
      <c r="I2196" s="35">
        <v>0.3368055335182461</v>
      </c>
      <c r="J2196" s="35">
        <v>-2.1907412381002241E-4</v>
      </c>
      <c r="K2196" s="35">
        <v>1.962749202059775</v>
      </c>
      <c r="L2196" s="35">
        <v>5.9522718488088708</v>
      </c>
      <c r="M2196" s="58" t="s">
        <v>24</v>
      </c>
      <c r="N2196" s="7">
        <v>11.333333333333334</v>
      </c>
      <c r="O2196" s="7" t="s">
        <v>180</v>
      </c>
      <c r="P2196" s="7" t="s">
        <v>180</v>
      </c>
    </row>
    <row r="2197" spans="1:16" x14ac:dyDescent="0.25">
      <c r="A2197" s="2" t="s">
        <v>183</v>
      </c>
      <c r="B2197" s="2" t="s">
        <v>199</v>
      </c>
      <c r="C2197" s="6" t="s">
        <v>146</v>
      </c>
      <c r="D2197" s="2" t="s">
        <v>112</v>
      </c>
      <c r="E2197" s="2"/>
      <c r="F2197" s="35">
        <v>5.4149169609489114</v>
      </c>
      <c r="G2197" s="35">
        <v>53.218351899415524</v>
      </c>
      <c r="H2197" s="35">
        <v>-3.4280346113987599</v>
      </c>
      <c r="I2197" s="35">
        <v>0.3368055335182461</v>
      </c>
      <c r="J2197" s="35">
        <v>-2.1907412381002241E-4</v>
      </c>
      <c r="K2197" s="35">
        <v>1.9240445337170813</v>
      </c>
      <c r="L2197" s="35">
        <v>6.3462111683784999</v>
      </c>
      <c r="M2197" s="58" t="s">
        <v>24</v>
      </c>
      <c r="N2197" s="7">
        <v>11.333333333333334</v>
      </c>
      <c r="O2197" s="7" t="s">
        <v>180</v>
      </c>
      <c r="P2197" s="7" t="s">
        <v>180</v>
      </c>
    </row>
    <row r="2198" spans="1:16" x14ac:dyDescent="0.25">
      <c r="A2198" s="2" t="s">
        <v>183</v>
      </c>
      <c r="B2198" s="2" t="s">
        <v>199</v>
      </c>
      <c r="C2198" s="6" t="s">
        <v>146</v>
      </c>
      <c r="D2198" s="2" t="s">
        <v>112</v>
      </c>
      <c r="E2198" s="2"/>
      <c r="F2198" s="35">
        <v>10.829833921897823</v>
      </c>
      <c r="G2198" s="35">
        <v>55.797762755531018</v>
      </c>
      <c r="H2198" s="35">
        <v>-3.4280346113987599</v>
      </c>
      <c r="I2198" s="35">
        <v>0.3368055335182461</v>
      </c>
      <c r="J2198" s="35">
        <v>-2.1907412381002241E-4</v>
      </c>
      <c r="K2198" s="35">
        <v>0.10027053772768399</v>
      </c>
      <c r="L2198" s="35">
        <v>24.908733928361553</v>
      </c>
      <c r="M2198" s="58" t="s">
        <v>23</v>
      </c>
      <c r="N2198" s="7">
        <v>11.333333333333334</v>
      </c>
      <c r="O2198" s="7" t="s">
        <v>180</v>
      </c>
      <c r="P2198" s="7" t="s">
        <v>180</v>
      </c>
    </row>
    <row r="2199" spans="1:16" x14ac:dyDescent="0.25">
      <c r="A2199" s="2" t="s">
        <v>183</v>
      </c>
      <c r="B2199" s="2" t="s">
        <v>199</v>
      </c>
      <c r="C2199" s="6" t="s">
        <v>146</v>
      </c>
      <c r="D2199" s="2" t="s">
        <v>113</v>
      </c>
      <c r="E2199" s="2"/>
      <c r="F2199" s="35">
        <v>0</v>
      </c>
      <c r="G2199" s="35">
        <v>-18.412032270455626</v>
      </c>
      <c r="H2199" s="35">
        <v>-0.52225814861883724</v>
      </c>
      <c r="I2199" s="35">
        <v>-2.9053467191553275</v>
      </c>
      <c r="J2199" s="35">
        <v>-4.6247257997338563E-4</v>
      </c>
      <c r="K2199" s="35">
        <v>-4.2274653020302813</v>
      </c>
      <c r="L2199" s="35">
        <v>-2.7424452222152866</v>
      </c>
      <c r="M2199" s="58" t="s">
        <v>22</v>
      </c>
      <c r="N2199" s="7">
        <v>11.333333333333334</v>
      </c>
      <c r="O2199" s="7" t="s">
        <v>180</v>
      </c>
      <c r="P2199" s="7" t="s">
        <v>180</v>
      </c>
    </row>
    <row r="2200" spans="1:16" x14ac:dyDescent="0.25">
      <c r="A2200" s="2" t="s">
        <v>183</v>
      </c>
      <c r="B2200" s="2" t="s">
        <v>199</v>
      </c>
      <c r="C2200" s="6" t="s">
        <v>146</v>
      </c>
      <c r="D2200" s="2" t="s">
        <v>113</v>
      </c>
      <c r="E2200" s="2"/>
      <c r="F2200" s="35">
        <v>0.29999999999999988</v>
      </c>
      <c r="G2200" s="35">
        <v>-18.269126430455636</v>
      </c>
      <c r="H2200" s="35">
        <v>-0.52225814861883724</v>
      </c>
      <c r="I2200" s="35">
        <v>-2.9053467191553275</v>
      </c>
      <c r="J2200" s="35">
        <v>-4.6247257997338563E-4</v>
      </c>
      <c r="K2200" s="35">
        <v>-3.355861286283683</v>
      </c>
      <c r="L2200" s="35">
        <v>-2.5857677776296359</v>
      </c>
      <c r="M2200" s="58" t="s">
        <v>22</v>
      </c>
      <c r="N2200" s="7">
        <v>11.333333333333334</v>
      </c>
      <c r="O2200" s="7" t="s">
        <v>180</v>
      </c>
      <c r="P2200" s="7" t="s">
        <v>180</v>
      </c>
    </row>
    <row r="2201" spans="1:16" x14ac:dyDescent="0.25">
      <c r="A2201" s="2" t="s">
        <v>183</v>
      </c>
      <c r="B2201" s="2" t="s">
        <v>199</v>
      </c>
      <c r="C2201" s="6" t="s">
        <v>146</v>
      </c>
      <c r="D2201" s="2" t="s">
        <v>113</v>
      </c>
      <c r="E2201" s="2"/>
      <c r="F2201" s="35">
        <v>0.29999999999999988</v>
      </c>
      <c r="G2201" s="35">
        <v>-47.710983012603194</v>
      </c>
      <c r="H2201" s="35">
        <v>-0.52225814861884268</v>
      </c>
      <c r="I2201" s="35">
        <v>-1.0918610781957157</v>
      </c>
      <c r="J2201" s="35">
        <v>-3.4770200850518774E-4</v>
      </c>
      <c r="K2201" s="35">
        <v>-3.3558612862836843</v>
      </c>
      <c r="L2201" s="35">
        <v>-2.585774663863921</v>
      </c>
      <c r="M2201" s="58" t="s">
        <v>22</v>
      </c>
      <c r="N2201" s="7">
        <v>11.333333333333334</v>
      </c>
      <c r="O2201" s="7" t="s">
        <v>180</v>
      </c>
      <c r="P2201" s="7" t="s">
        <v>180</v>
      </c>
    </row>
    <row r="2202" spans="1:16" x14ac:dyDescent="0.25">
      <c r="A2202" s="2" t="s">
        <v>183</v>
      </c>
      <c r="B2202" s="2" t="s">
        <v>199</v>
      </c>
      <c r="C2202" s="6" t="s">
        <v>146</v>
      </c>
      <c r="D2202" s="2" t="s">
        <v>113</v>
      </c>
      <c r="E2202" s="2"/>
      <c r="F2202" s="35">
        <v>5.3</v>
      </c>
      <c r="G2202" s="35">
        <v>-45.329219012603197</v>
      </c>
      <c r="H2202" s="35">
        <v>-0.52225814861884268</v>
      </c>
      <c r="I2202" s="35">
        <v>-1.0918610781957157</v>
      </c>
      <c r="J2202" s="35">
        <v>-3.4770200850518774E-4</v>
      </c>
      <c r="K2202" s="35">
        <v>2.1034441046948942</v>
      </c>
      <c r="L2202" s="35">
        <v>2.5516079230291762E-2</v>
      </c>
      <c r="M2202" s="58" t="s">
        <v>24</v>
      </c>
      <c r="N2202" s="7">
        <v>11.333333333333334</v>
      </c>
      <c r="O2202" s="7" t="s">
        <v>180</v>
      </c>
      <c r="P2202" s="7" t="s">
        <v>180</v>
      </c>
    </row>
    <row r="2203" spans="1:16" x14ac:dyDescent="0.25">
      <c r="A2203" s="2" t="s">
        <v>183</v>
      </c>
      <c r="B2203" s="2" t="s">
        <v>199</v>
      </c>
      <c r="C2203" s="6" t="s">
        <v>146</v>
      </c>
      <c r="D2203" s="2" t="s">
        <v>113</v>
      </c>
      <c r="E2203" s="2"/>
      <c r="F2203" s="35">
        <v>5.3</v>
      </c>
      <c r="G2203" s="35">
        <v>-18.099848930475662</v>
      </c>
      <c r="H2203" s="35">
        <v>-0.52222834945722418</v>
      </c>
      <c r="I2203" s="35">
        <v>0.36012791427692675</v>
      </c>
      <c r="J2203" s="35">
        <v>-3.3528572844683345E-4</v>
      </c>
      <c r="K2203" s="35">
        <v>2.1034441046948982</v>
      </c>
      <c r="L2203" s="35">
        <v>2.5687650479735799E-2</v>
      </c>
      <c r="M2203" s="58" t="s">
        <v>24</v>
      </c>
      <c r="N2203" s="7">
        <v>11.333333333333334</v>
      </c>
      <c r="O2203" s="7" t="s">
        <v>180</v>
      </c>
      <c r="P2203" s="7" t="s">
        <v>180</v>
      </c>
    </row>
    <row r="2204" spans="1:16" x14ac:dyDescent="0.25">
      <c r="A2204" s="2" t="s">
        <v>183</v>
      </c>
      <c r="B2204" s="2" t="s">
        <v>199</v>
      </c>
      <c r="C2204" s="6" t="s">
        <v>146</v>
      </c>
      <c r="D2204" s="2" t="s">
        <v>113</v>
      </c>
      <c r="E2204" s="2"/>
      <c r="F2204" s="35">
        <v>5.4149169609489114</v>
      </c>
      <c r="G2204" s="35">
        <v>-18.045107914360148</v>
      </c>
      <c r="H2204" s="35">
        <v>-0.52222834945722418</v>
      </c>
      <c r="I2204" s="35">
        <v>0.36012791427692675</v>
      </c>
      <c r="J2204" s="35">
        <v>-3.3528572844683345E-4</v>
      </c>
      <c r="K2204" s="35">
        <v>2.062059299233324</v>
      </c>
      <c r="L2204" s="35">
        <v>8.5700545320725047E-2</v>
      </c>
      <c r="M2204" s="58" t="s">
        <v>24</v>
      </c>
      <c r="N2204" s="7">
        <v>11.333333333333334</v>
      </c>
      <c r="O2204" s="7" t="s">
        <v>180</v>
      </c>
      <c r="P2204" s="7" t="s">
        <v>180</v>
      </c>
    </row>
    <row r="2205" spans="1:16" x14ac:dyDescent="0.25">
      <c r="A2205" s="2" t="s">
        <v>183</v>
      </c>
      <c r="B2205" s="2" t="s">
        <v>199</v>
      </c>
      <c r="C2205" s="6" t="s">
        <v>146</v>
      </c>
      <c r="D2205" s="2" t="s">
        <v>113</v>
      </c>
      <c r="E2205" s="2"/>
      <c r="F2205" s="35">
        <v>10.829833921897823</v>
      </c>
      <c r="G2205" s="35">
        <v>-15.465697058244649</v>
      </c>
      <c r="H2205" s="35">
        <v>-0.52222834945722418</v>
      </c>
      <c r="I2205" s="35">
        <v>0.36012791427692675</v>
      </c>
      <c r="J2205" s="35">
        <v>-3.3528572844683345E-4</v>
      </c>
      <c r="K2205" s="35">
        <v>0.11199654810403779</v>
      </c>
      <c r="L2205" s="35">
        <v>2.9135236922850005</v>
      </c>
      <c r="M2205" s="58" t="s">
        <v>23</v>
      </c>
      <c r="N2205" s="7">
        <v>11.333333333333334</v>
      </c>
      <c r="O2205" s="7" t="s">
        <v>180</v>
      </c>
      <c r="P2205" s="7" t="s">
        <v>180</v>
      </c>
    </row>
    <row r="2206" spans="1:16" x14ac:dyDescent="0.25">
      <c r="A2206" s="2" t="s">
        <v>183</v>
      </c>
      <c r="B2206" s="2" t="s">
        <v>199</v>
      </c>
      <c r="C2206" s="6" t="s">
        <v>146</v>
      </c>
      <c r="D2206" s="2" t="s">
        <v>114</v>
      </c>
      <c r="E2206" s="2"/>
      <c r="F2206" s="35">
        <v>0</v>
      </c>
      <c r="G2206" s="35">
        <v>35.161917463122947</v>
      </c>
      <c r="H2206" s="35">
        <v>-4.2832077217724516</v>
      </c>
      <c r="I2206" s="35">
        <v>3.0696004536478778</v>
      </c>
      <c r="J2206" s="35">
        <v>3.9142892424426503E-4</v>
      </c>
      <c r="K2206" s="35">
        <v>4.1276541345298945</v>
      </c>
      <c r="L2206" s="35">
        <v>-15.783026156979842</v>
      </c>
      <c r="M2206" s="58" t="s">
        <v>22</v>
      </c>
      <c r="N2206" s="7">
        <v>11.333333333333334</v>
      </c>
      <c r="O2206" s="7" t="s">
        <v>180</v>
      </c>
      <c r="P2206" s="7" t="s">
        <v>180</v>
      </c>
    </row>
    <row r="2207" spans="1:16" x14ac:dyDescent="0.25">
      <c r="A2207" s="2" t="s">
        <v>183</v>
      </c>
      <c r="B2207" s="2" t="s">
        <v>199</v>
      </c>
      <c r="C2207" s="6" t="s">
        <v>146</v>
      </c>
      <c r="D2207" s="2" t="s">
        <v>114</v>
      </c>
      <c r="E2207" s="2"/>
      <c r="F2207" s="35">
        <v>0.29999999999999988</v>
      </c>
      <c r="G2207" s="35">
        <v>35.304823303122937</v>
      </c>
      <c r="H2207" s="35">
        <v>-4.2832077217724516</v>
      </c>
      <c r="I2207" s="35">
        <v>3.0696004536478778</v>
      </c>
      <c r="J2207" s="35">
        <v>3.9142892424426503E-4</v>
      </c>
      <c r="K2207" s="35">
        <v>3.2067739984355312</v>
      </c>
      <c r="L2207" s="35">
        <v>-14.498063840448106</v>
      </c>
      <c r="M2207" s="58" t="s">
        <v>22</v>
      </c>
      <c r="N2207" s="7">
        <v>11.333333333333334</v>
      </c>
      <c r="O2207" s="7" t="s">
        <v>180</v>
      </c>
      <c r="P2207" s="7" t="s">
        <v>180</v>
      </c>
    </row>
    <row r="2208" spans="1:16" x14ac:dyDescent="0.25">
      <c r="A2208" s="2" t="s">
        <v>183</v>
      </c>
      <c r="B2208" s="2" t="s">
        <v>199</v>
      </c>
      <c r="C2208" s="6" t="s">
        <v>146</v>
      </c>
      <c r="D2208" s="2" t="s">
        <v>114</v>
      </c>
      <c r="E2208" s="2"/>
      <c r="F2208" s="35">
        <v>0.29999999999999988</v>
      </c>
      <c r="G2208" s="35">
        <v>69.982362266889439</v>
      </c>
      <c r="H2208" s="35">
        <v>-4.2832077217724631</v>
      </c>
      <c r="I2208" s="35">
        <v>1.0359223618526514</v>
      </c>
      <c r="J2208" s="35">
        <v>2.2833693864548354E-4</v>
      </c>
      <c r="K2208" s="35">
        <v>3.2067739984355286</v>
      </c>
      <c r="L2208" s="35">
        <v>-14.498054054928977</v>
      </c>
      <c r="M2208" s="58" t="s">
        <v>22</v>
      </c>
      <c r="N2208" s="7">
        <v>11.333333333333334</v>
      </c>
      <c r="O2208" s="7" t="s">
        <v>180</v>
      </c>
      <c r="P2208" s="7" t="s">
        <v>180</v>
      </c>
    </row>
    <row r="2209" spans="1:16" x14ac:dyDescent="0.25">
      <c r="A2209" s="2" t="s">
        <v>183</v>
      </c>
      <c r="B2209" s="2" t="s">
        <v>199</v>
      </c>
      <c r="C2209" s="6" t="s">
        <v>146</v>
      </c>
      <c r="D2209" s="2" t="s">
        <v>114</v>
      </c>
      <c r="E2209" s="2"/>
      <c r="F2209" s="35">
        <v>5.3</v>
      </c>
      <c r="G2209" s="35">
        <v>72.364126266889429</v>
      </c>
      <c r="H2209" s="35">
        <v>-4.2832077217724631</v>
      </c>
      <c r="I2209" s="35">
        <v>1.0359223618526514</v>
      </c>
      <c r="J2209" s="35">
        <v>2.2833693864548354E-4</v>
      </c>
      <c r="K2209" s="35">
        <v>-1.9728378108277294</v>
      </c>
      <c r="L2209" s="35">
        <v>6.9179845539333336</v>
      </c>
      <c r="M2209" s="58" t="s">
        <v>24</v>
      </c>
      <c r="N2209" s="7">
        <v>11.333333333333334</v>
      </c>
      <c r="O2209" s="7" t="s">
        <v>180</v>
      </c>
      <c r="P2209" s="7" t="s">
        <v>180</v>
      </c>
    </row>
    <row r="2210" spans="1:16" x14ac:dyDescent="0.25">
      <c r="A2210" s="2" t="s">
        <v>183</v>
      </c>
      <c r="B2210" s="2" t="s">
        <v>199</v>
      </c>
      <c r="C2210" s="6" t="s">
        <v>146</v>
      </c>
      <c r="D2210" s="2" t="s">
        <v>114</v>
      </c>
      <c r="E2210" s="2"/>
      <c r="F2210" s="35">
        <v>5.3</v>
      </c>
      <c r="G2210" s="35">
        <v>45.937704185357077</v>
      </c>
      <c r="H2210" s="35">
        <v>-4.2832181683614348</v>
      </c>
      <c r="I2210" s="35">
        <v>-0.3159646243843669</v>
      </c>
      <c r="J2210" s="35">
        <v>4.1069840672113597E-4</v>
      </c>
      <c r="K2210" s="35">
        <v>-1.9728378108277322</v>
      </c>
      <c r="L2210" s="35">
        <v>6.9175596487235955</v>
      </c>
      <c r="M2210" s="58" t="s">
        <v>24</v>
      </c>
      <c r="N2210" s="7">
        <v>11.333333333333334</v>
      </c>
      <c r="O2210" s="7" t="s">
        <v>180</v>
      </c>
      <c r="P2210" s="7" t="s">
        <v>180</v>
      </c>
    </row>
    <row r="2211" spans="1:16" x14ac:dyDescent="0.25">
      <c r="A2211" s="2" t="s">
        <v>183</v>
      </c>
      <c r="B2211" s="2" t="s">
        <v>199</v>
      </c>
      <c r="C2211" s="6" t="s">
        <v>146</v>
      </c>
      <c r="D2211" s="2" t="s">
        <v>114</v>
      </c>
      <c r="E2211" s="2"/>
      <c r="F2211" s="35">
        <v>5.4149169609489114</v>
      </c>
      <c r="G2211" s="35">
        <v>45.992445201472592</v>
      </c>
      <c r="H2211" s="35">
        <v>-4.2832181683614348</v>
      </c>
      <c r="I2211" s="35">
        <v>-0.3159646243843669</v>
      </c>
      <c r="J2211" s="35">
        <v>4.1069840672113597E-4</v>
      </c>
      <c r="K2211" s="35">
        <v>-1.9365281164261166</v>
      </c>
      <c r="L2211" s="35">
        <v>7.4097740637128551</v>
      </c>
      <c r="M2211" s="58" t="s">
        <v>24</v>
      </c>
      <c r="N2211" s="7">
        <v>11.333333333333334</v>
      </c>
      <c r="O2211" s="7" t="s">
        <v>180</v>
      </c>
      <c r="P2211" s="7" t="s">
        <v>180</v>
      </c>
    </row>
    <row r="2212" spans="1:16" x14ac:dyDescent="0.25">
      <c r="A2212" s="2" t="s">
        <v>183</v>
      </c>
      <c r="B2212" s="2" t="s">
        <v>199</v>
      </c>
      <c r="C2212" s="6" t="s">
        <v>146</v>
      </c>
      <c r="D2212" s="2" t="s">
        <v>114</v>
      </c>
      <c r="E2212" s="2"/>
      <c r="F2212" s="35">
        <v>10.829833921897823</v>
      </c>
      <c r="G2212" s="35">
        <v>48.571856057588086</v>
      </c>
      <c r="H2212" s="35">
        <v>-4.2832181683614348</v>
      </c>
      <c r="I2212" s="35">
        <v>-0.3159646243843669</v>
      </c>
      <c r="J2212" s="35">
        <v>4.1069840672113597E-4</v>
      </c>
      <c r="K2212" s="35">
        <v>-0.22560591278735695</v>
      </c>
      <c r="L2212" s="35">
        <v>30.603044771017707</v>
      </c>
      <c r="M2212" s="58" t="s">
        <v>23</v>
      </c>
      <c r="N2212" s="7">
        <v>11.333333333333334</v>
      </c>
      <c r="O2212" s="7" t="s">
        <v>180</v>
      </c>
      <c r="P2212" s="7" t="s">
        <v>180</v>
      </c>
    </row>
    <row r="2213" spans="1:16" x14ac:dyDescent="0.25">
      <c r="A2213" s="2" t="s">
        <v>183</v>
      </c>
      <c r="B2213" s="2" t="s">
        <v>199</v>
      </c>
      <c r="C2213" s="6" t="s">
        <v>146</v>
      </c>
      <c r="D2213" s="2" t="s">
        <v>115</v>
      </c>
      <c r="E2213" s="2"/>
      <c r="F2213" s="35">
        <v>0</v>
      </c>
      <c r="G2213" s="35">
        <v>-36.48429636571251</v>
      </c>
      <c r="H2213" s="35">
        <v>-1.3760890268719075</v>
      </c>
      <c r="I2213" s="35">
        <v>3.5363531688878105</v>
      </c>
      <c r="J2213" s="35">
        <v>3.8251283011267814E-4</v>
      </c>
      <c r="K2213" s="35">
        <v>4.0421258612147115</v>
      </c>
      <c r="L2213" s="35">
        <v>-6.3035615052281733</v>
      </c>
      <c r="M2213" s="58" t="s">
        <v>22</v>
      </c>
      <c r="N2213" s="7">
        <v>11.333333333333334</v>
      </c>
      <c r="O2213" s="7" t="s">
        <v>180</v>
      </c>
      <c r="P2213" s="7" t="s">
        <v>180</v>
      </c>
    </row>
    <row r="2214" spans="1:16" x14ac:dyDescent="0.25">
      <c r="A2214" s="2" t="s">
        <v>183</v>
      </c>
      <c r="B2214" s="2" t="s">
        <v>199</v>
      </c>
      <c r="C2214" s="6" t="s">
        <v>146</v>
      </c>
      <c r="D2214" s="2" t="s">
        <v>115</v>
      </c>
      <c r="E2214" s="2"/>
      <c r="F2214" s="35">
        <v>0.29999999999999988</v>
      </c>
      <c r="G2214" s="35">
        <v>-36.341390525712512</v>
      </c>
      <c r="H2214" s="35">
        <v>-1.3760890268719075</v>
      </c>
      <c r="I2214" s="35">
        <v>3.5363531688878105</v>
      </c>
      <c r="J2214" s="35">
        <v>3.8251283011267814E-4</v>
      </c>
      <c r="K2214" s="35">
        <v>2.981219910548369</v>
      </c>
      <c r="L2214" s="35">
        <v>-5.8907347971666013</v>
      </c>
      <c r="M2214" s="58" t="s">
        <v>22</v>
      </c>
      <c r="N2214" s="7">
        <v>11.333333333333334</v>
      </c>
      <c r="O2214" s="7" t="s">
        <v>180</v>
      </c>
      <c r="P2214" s="7" t="s">
        <v>180</v>
      </c>
    </row>
    <row r="2215" spans="1:16" x14ac:dyDescent="0.25">
      <c r="A2215" s="2" t="s">
        <v>183</v>
      </c>
      <c r="B2215" s="2" t="s">
        <v>199</v>
      </c>
      <c r="C2215" s="6" t="s">
        <v>146</v>
      </c>
      <c r="D2215" s="2" t="s">
        <v>115</v>
      </c>
      <c r="E2215" s="2"/>
      <c r="F2215" s="35">
        <v>0.29999999999999988</v>
      </c>
      <c r="G2215" s="35">
        <v>7.3409678211441483</v>
      </c>
      <c r="H2215" s="35">
        <v>-1.3760890268718879</v>
      </c>
      <c r="I2215" s="35">
        <v>0.96238591410715879</v>
      </c>
      <c r="J2215" s="35">
        <v>2.4927617724249118E-4</v>
      </c>
      <c r="K2215" s="35">
        <v>2.9812199105483699</v>
      </c>
      <c r="L2215" s="35">
        <v>-5.8907268029674373</v>
      </c>
      <c r="M2215" s="58" t="s">
        <v>22</v>
      </c>
      <c r="N2215" s="7">
        <v>11.333333333333334</v>
      </c>
      <c r="O2215" s="7" t="s">
        <v>180</v>
      </c>
      <c r="P2215" s="7" t="s">
        <v>180</v>
      </c>
    </row>
    <row r="2216" spans="1:16" x14ac:dyDescent="0.25">
      <c r="A2216" s="2" t="s">
        <v>183</v>
      </c>
      <c r="B2216" s="2" t="s">
        <v>199</v>
      </c>
      <c r="C2216" s="6" t="s">
        <v>146</v>
      </c>
      <c r="D2216" s="2" t="s">
        <v>115</v>
      </c>
      <c r="E2216" s="2"/>
      <c r="F2216" s="35">
        <v>5.3</v>
      </c>
      <c r="G2216" s="35">
        <v>9.7227318211441425</v>
      </c>
      <c r="H2216" s="35">
        <v>-1.3760890268718879</v>
      </c>
      <c r="I2216" s="35">
        <v>0.96238591410715879</v>
      </c>
      <c r="J2216" s="35">
        <v>2.4927617724249118E-4</v>
      </c>
      <c r="K2216" s="35">
        <v>-1.8307096599874237</v>
      </c>
      <c r="L2216" s="35">
        <v>0.98971833139200205</v>
      </c>
      <c r="M2216" s="58" t="s">
        <v>24</v>
      </c>
      <c r="N2216" s="7">
        <v>11.333333333333334</v>
      </c>
      <c r="O2216" s="7" t="s">
        <v>180</v>
      </c>
      <c r="P2216" s="7" t="s">
        <v>180</v>
      </c>
    </row>
    <row r="2217" spans="1:16" x14ac:dyDescent="0.25">
      <c r="A2217" s="2" t="s">
        <v>183</v>
      </c>
      <c r="B2217" s="2" t="s">
        <v>199</v>
      </c>
      <c r="C2217" s="6" t="s">
        <v>146</v>
      </c>
      <c r="D2217" s="2" t="s">
        <v>115</v>
      </c>
      <c r="E2217" s="2"/>
      <c r="F2217" s="35">
        <v>5.3</v>
      </c>
      <c r="G2217" s="35">
        <v>-25.320993945144359</v>
      </c>
      <c r="H2217" s="35">
        <v>-1.3761075958660465</v>
      </c>
      <c r="I2217" s="35">
        <v>-0.29240426528630581</v>
      </c>
      <c r="J2217" s="35">
        <v>2.9378423381966345E-4</v>
      </c>
      <c r="K2217" s="35">
        <v>-1.8307096599874237</v>
      </c>
      <c r="L2217" s="35">
        <v>0.98949877723694191</v>
      </c>
      <c r="M2217" s="58" t="s">
        <v>24</v>
      </c>
      <c r="N2217" s="7">
        <v>11.333333333333334</v>
      </c>
      <c r="O2217" s="7" t="s">
        <v>180</v>
      </c>
      <c r="P2217" s="7" t="s">
        <v>180</v>
      </c>
    </row>
    <row r="2218" spans="1:16" x14ac:dyDescent="0.25">
      <c r="A2218" s="2" t="s">
        <v>183</v>
      </c>
      <c r="B2218" s="2" t="s">
        <v>199</v>
      </c>
      <c r="C2218" s="6" t="s">
        <v>146</v>
      </c>
      <c r="D2218" s="2" t="s">
        <v>115</v>
      </c>
      <c r="E2218" s="2"/>
      <c r="F2218" s="35">
        <v>5.4149169609489114</v>
      </c>
      <c r="G2218" s="35">
        <v>-25.266252929028845</v>
      </c>
      <c r="H2218" s="35">
        <v>-1.3761075958660465</v>
      </c>
      <c r="I2218" s="35">
        <v>-0.29240426528630581</v>
      </c>
      <c r="J2218" s="35">
        <v>2.9378423381966345E-4</v>
      </c>
      <c r="K2218" s="35">
        <v>-1.797107450452222</v>
      </c>
      <c r="L2218" s="35">
        <v>1.1476368800925805</v>
      </c>
      <c r="M2218" s="58" t="s">
        <v>24</v>
      </c>
      <c r="N2218" s="7">
        <v>11.333333333333334</v>
      </c>
      <c r="O2218" s="7" t="s">
        <v>180</v>
      </c>
      <c r="P2218" s="7" t="s">
        <v>180</v>
      </c>
    </row>
    <row r="2219" spans="1:16" x14ac:dyDescent="0.25">
      <c r="A2219" s="2" t="s">
        <v>183</v>
      </c>
      <c r="B2219" s="2" t="s">
        <v>199</v>
      </c>
      <c r="C2219" s="6" t="s">
        <v>146</v>
      </c>
      <c r="D2219" s="2" t="s">
        <v>115</v>
      </c>
      <c r="E2219" s="2"/>
      <c r="F2219" s="35">
        <v>10.829833921897823</v>
      </c>
      <c r="G2219" s="35">
        <v>-22.686842072913347</v>
      </c>
      <c r="H2219" s="35">
        <v>-1.3761075958660465</v>
      </c>
      <c r="I2219" s="35">
        <v>-0.29240426528630581</v>
      </c>
      <c r="J2219" s="35">
        <v>2.9378423381966345E-4</v>
      </c>
      <c r="K2219" s="35">
        <v>-0.21376263489960015</v>
      </c>
      <c r="L2219" s="35">
        <v>8.5991452410382649</v>
      </c>
      <c r="M2219" s="58" t="s">
        <v>23</v>
      </c>
      <c r="N2219" s="7">
        <v>11.333333333333334</v>
      </c>
      <c r="O2219" s="7" t="s">
        <v>180</v>
      </c>
      <c r="P2219" s="7" t="s">
        <v>180</v>
      </c>
    </row>
    <row r="2220" spans="1:16" x14ac:dyDescent="0.25">
      <c r="A2220" s="2" t="s">
        <v>183</v>
      </c>
      <c r="B2220" s="2" t="s">
        <v>199</v>
      </c>
      <c r="C2220" s="6" t="s">
        <v>146</v>
      </c>
      <c r="D2220" s="2" t="s">
        <v>116</v>
      </c>
      <c r="E2220" s="2"/>
      <c r="F2220" s="35">
        <v>0</v>
      </c>
      <c r="G2220" s="35">
        <v>42.044460281161875</v>
      </c>
      <c r="H2220" s="35">
        <v>1.4512137261383897</v>
      </c>
      <c r="I2220" s="35">
        <v>0.30535181395064426</v>
      </c>
      <c r="J2220" s="35">
        <v>-7.2012142869565775E-5</v>
      </c>
      <c r="K2220" s="35">
        <v>0.52874837476982972</v>
      </c>
      <c r="L2220" s="35">
        <v>19.435558331348403</v>
      </c>
      <c r="M2220" s="58" t="s">
        <v>22</v>
      </c>
      <c r="N2220" s="7">
        <v>11.333333333333334</v>
      </c>
      <c r="O2220" s="7" t="s">
        <v>180</v>
      </c>
      <c r="P2220" s="7" t="s">
        <v>180</v>
      </c>
    </row>
    <row r="2221" spans="1:16" x14ac:dyDescent="0.25">
      <c r="A2221" s="2" t="s">
        <v>183</v>
      </c>
      <c r="B2221" s="2" t="s">
        <v>199</v>
      </c>
      <c r="C2221" s="6" t="s">
        <v>146</v>
      </c>
      <c r="D2221" s="2" t="s">
        <v>116</v>
      </c>
      <c r="E2221" s="2"/>
      <c r="F2221" s="35">
        <v>0.29999999999999988</v>
      </c>
      <c r="G2221" s="35">
        <v>42.187366121161865</v>
      </c>
      <c r="H2221" s="35">
        <v>1.4512137261383897</v>
      </c>
      <c r="I2221" s="35">
        <v>0.30535181395064426</v>
      </c>
      <c r="J2221" s="35">
        <v>-7.2012142869565775E-5</v>
      </c>
      <c r="K2221" s="35">
        <v>0.43714283058463649</v>
      </c>
      <c r="L2221" s="35">
        <v>19.000194213506884</v>
      </c>
      <c r="M2221" s="58" t="s">
        <v>22</v>
      </c>
      <c r="N2221" s="7">
        <v>11.333333333333334</v>
      </c>
      <c r="O2221" s="7" t="s">
        <v>180</v>
      </c>
      <c r="P2221" s="7" t="s">
        <v>180</v>
      </c>
    </row>
    <row r="2222" spans="1:16" x14ac:dyDescent="0.25">
      <c r="A2222" s="2" t="s">
        <v>183</v>
      </c>
      <c r="B2222" s="2" t="s">
        <v>199</v>
      </c>
      <c r="C2222" s="6" t="s">
        <v>146</v>
      </c>
      <c r="D2222" s="2" t="s">
        <v>116</v>
      </c>
      <c r="E2222" s="2"/>
      <c r="F2222" s="35">
        <v>0.29999999999999988</v>
      </c>
      <c r="G2222" s="35">
        <v>45.68545201656783</v>
      </c>
      <c r="H2222" s="35">
        <v>1.4512137261383695</v>
      </c>
      <c r="I2222" s="35">
        <v>0.14244090625703351</v>
      </c>
      <c r="J2222" s="35">
        <v>5.7862298423004884E-5</v>
      </c>
      <c r="K2222" s="35">
        <v>0.43714283058463738</v>
      </c>
      <c r="L2222" s="35">
        <v>19.000186421040411</v>
      </c>
      <c r="M2222" s="58" t="s">
        <v>22</v>
      </c>
      <c r="N2222" s="7">
        <v>11.333333333333334</v>
      </c>
      <c r="O2222" s="7" t="s">
        <v>180</v>
      </c>
      <c r="P2222" s="7" t="s">
        <v>180</v>
      </c>
    </row>
    <row r="2223" spans="1:16" x14ac:dyDescent="0.25">
      <c r="A2223" s="2" t="s">
        <v>183</v>
      </c>
      <c r="B2223" s="2" t="s">
        <v>199</v>
      </c>
      <c r="C2223" s="6" t="s">
        <v>146</v>
      </c>
      <c r="D2223" s="2" t="s">
        <v>116</v>
      </c>
      <c r="E2223" s="2"/>
      <c r="F2223" s="35">
        <v>5.3</v>
      </c>
      <c r="G2223" s="35">
        <v>48.067216016567826</v>
      </c>
      <c r="H2223" s="35">
        <v>1.4512137261383695</v>
      </c>
      <c r="I2223" s="35">
        <v>0.14244090625703351</v>
      </c>
      <c r="J2223" s="35">
        <v>5.7862298423004884E-5</v>
      </c>
      <c r="K2223" s="35">
        <v>-0.27506170070052999</v>
      </c>
      <c r="L2223" s="35">
        <v>11.744117790348563</v>
      </c>
      <c r="M2223" s="58" t="s">
        <v>24</v>
      </c>
      <c r="N2223" s="7">
        <v>11.333333333333334</v>
      </c>
      <c r="O2223" s="7" t="s">
        <v>180</v>
      </c>
      <c r="P2223" s="7" t="s">
        <v>180</v>
      </c>
    </row>
    <row r="2224" spans="1:16" x14ac:dyDescent="0.25">
      <c r="A2224" s="2" t="s">
        <v>183</v>
      </c>
      <c r="B2224" s="2" t="s">
        <v>199</v>
      </c>
      <c r="C2224" s="6" t="s">
        <v>146</v>
      </c>
      <c r="D2224" s="2" t="s">
        <v>116</v>
      </c>
      <c r="E2224" s="2"/>
      <c r="F2224" s="35">
        <v>5.3</v>
      </c>
      <c r="G2224" s="35">
        <v>48.188326261881961</v>
      </c>
      <c r="H2224" s="35">
        <v>1.4512050276606319</v>
      </c>
      <c r="I2224" s="35">
        <v>-3.4326770372610289E-2</v>
      </c>
      <c r="J2224" s="35">
        <v>1.5294417639473881E-4</v>
      </c>
      <c r="K2224" s="35">
        <v>-0.27506170070053021</v>
      </c>
      <c r="L2224" s="35">
        <v>11.743969989113637</v>
      </c>
      <c r="M2224" s="58" t="s">
        <v>24</v>
      </c>
      <c r="N2224" s="7">
        <v>11.333333333333334</v>
      </c>
      <c r="O2224" s="7" t="s">
        <v>180</v>
      </c>
      <c r="P2224" s="7" t="s">
        <v>180</v>
      </c>
    </row>
    <row r="2225" spans="1:16" x14ac:dyDescent="0.25">
      <c r="A2225" s="2" t="s">
        <v>183</v>
      </c>
      <c r="B2225" s="2" t="s">
        <v>199</v>
      </c>
      <c r="C2225" s="6" t="s">
        <v>146</v>
      </c>
      <c r="D2225" s="2" t="s">
        <v>116</v>
      </c>
      <c r="E2225" s="2"/>
      <c r="F2225" s="35">
        <v>5.4149169609489114</v>
      </c>
      <c r="G2225" s="35">
        <v>48.243067277997476</v>
      </c>
      <c r="H2225" s="35">
        <v>1.4512050276606319</v>
      </c>
      <c r="I2225" s="35">
        <v>-3.4326770372610289E-2</v>
      </c>
      <c r="J2225" s="35">
        <v>1.5294417639473881E-4</v>
      </c>
      <c r="K2225" s="35">
        <v>-0.2711169725701188</v>
      </c>
      <c r="L2225" s="35">
        <v>11.577201917621096</v>
      </c>
      <c r="M2225" s="58" t="s">
        <v>24</v>
      </c>
      <c r="N2225" s="7">
        <v>11.333333333333334</v>
      </c>
      <c r="O2225" s="7" t="s">
        <v>180</v>
      </c>
      <c r="P2225" s="7" t="s">
        <v>180</v>
      </c>
    </row>
    <row r="2226" spans="1:16" x14ac:dyDescent="0.25">
      <c r="A2226" s="2" t="s">
        <v>183</v>
      </c>
      <c r="B2226" s="2" t="s">
        <v>199</v>
      </c>
      <c r="C2226" s="6" t="s">
        <v>146</v>
      </c>
      <c r="D2226" s="2" t="s">
        <v>116</v>
      </c>
      <c r="E2226" s="2"/>
      <c r="F2226" s="35">
        <v>10.829833921897823</v>
      </c>
      <c r="G2226" s="35">
        <v>50.822478134112977</v>
      </c>
      <c r="H2226" s="35">
        <v>1.4512050276606319</v>
      </c>
      <c r="I2226" s="35">
        <v>-3.4326770372610289E-2</v>
      </c>
      <c r="J2226" s="35">
        <v>1.5294417639473881E-4</v>
      </c>
      <c r="K2226" s="35">
        <v>-8.524036146487278E-2</v>
      </c>
      <c r="L2226" s="35">
        <v>3.719047199527207</v>
      </c>
      <c r="M2226" s="58" t="s">
        <v>23</v>
      </c>
      <c r="N2226" s="7">
        <v>11.333333333333334</v>
      </c>
      <c r="O2226" s="7" t="s">
        <v>180</v>
      </c>
      <c r="P2226" s="7" t="s">
        <v>180</v>
      </c>
    </row>
    <row r="2227" spans="1:16" x14ac:dyDescent="0.25">
      <c r="A2227" s="2" t="s">
        <v>183</v>
      </c>
      <c r="B2227" s="2" t="s">
        <v>199</v>
      </c>
      <c r="C2227" s="6" t="s">
        <v>146</v>
      </c>
      <c r="D2227" s="2" t="s">
        <v>117</v>
      </c>
      <c r="E2227" s="2"/>
      <c r="F2227" s="35">
        <v>0</v>
      </c>
      <c r="G2227" s="35">
        <v>-148.25943770657605</v>
      </c>
      <c r="H2227" s="35">
        <v>13.718160713166695</v>
      </c>
      <c r="I2227" s="35">
        <v>1.8040769170640729</v>
      </c>
      <c r="J2227" s="35">
        <v>-2.3289987791164435E-4</v>
      </c>
      <c r="K2227" s="35">
        <v>0.61408225920902459</v>
      </c>
      <c r="L2227" s="35">
        <v>78.31427012368637</v>
      </c>
      <c r="M2227" s="58" t="s">
        <v>22</v>
      </c>
      <c r="N2227" s="7">
        <v>11.333333333333334</v>
      </c>
      <c r="O2227" s="7" t="s">
        <v>180</v>
      </c>
      <c r="P2227" s="7" t="s">
        <v>180</v>
      </c>
    </row>
    <row r="2228" spans="1:16" x14ac:dyDescent="0.25">
      <c r="A2228" s="2" t="s">
        <v>183</v>
      </c>
      <c r="B2228" s="2" t="s">
        <v>199</v>
      </c>
      <c r="C2228" s="6" t="s">
        <v>146</v>
      </c>
      <c r="D2228" s="2" t="s">
        <v>117</v>
      </c>
      <c r="E2228" s="2"/>
      <c r="F2228" s="35">
        <v>0.29999999999999988</v>
      </c>
      <c r="G2228" s="35">
        <v>-148.11653186657605</v>
      </c>
      <c r="H2228" s="35">
        <v>13.718160713166695</v>
      </c>
      <c r="I2228" s="35">
        <v>1.8040769170640729</v>
      </c>
      <c r="J2228" s="35">
        <v>-2.3289987791164435E-4</v>
      </c>
      <c r="K2228" s="35">
        <v>7.2859184089803006E-2</v>
      </c>
      <c r="L2228" s="35">
        <v>74.198821909736353</v>
      </c>
      <c r="M2228" s="58" t="s">
        <v>22</v>
      </c>
      <c r="N2228" s="7">
        <v>11.333333333333334</v>
      </c>
      <c r="O2228" s="7" t="s">
        <v>180</v>
      </c>
      <c r="P2228" s="7" t="s">
        <v>180</v>
      </c>
    </row>
    <row r="2229" spans="1:16" x14ac:dyDescent="0.25">
      <c r="A2229" s="2" t="s">
        <v>183</v>
      </c>
      <c r="B2229" s="2" t="s">
        <v>199</v>
      </c>
      <c r="C2229" s="6" t="s">
        <v>146</v>
      </c>
      <c r="D2229" s="2" t="s">
        <v>117</v>
      </c>
      <c r="E2229" s="2"/>
      <c r="F2229" s="35">
        <v>0.29999999999999988</v>
      </c>
      <c r="G2229" s="35">
        <v>-117.70276342162875</v>
      </c>
      <c r="H2229" s="35">
        <v>13.718160713166659</v>
      </c>
      <c r="I2229" s="35">
        <v>2.6225056397997954E-2</v>
      </c>
      <c r="J2229" s="35">
        <v>1.7361055459034838E-4</v>
      </c>
      <c r="K2229" s="35">
        <v>7.2859184089801118E-2</v>
      </c>
      <c r="L2229" s="35">
        <v>74.198797519110371</v>
      </c>
      <c r="M2229" s="58" t="s">
        <v>22</v>
      </c>
      <c r="N2229" s="7">
        <v>11.333333333333334</v>
      </c>
      <c r="O2229" s="7" t="s">
        <v>180</v>
      </c>
      <c r="P2229" s="7" t="s">
        <v>180</v>
      </c>
    </row>
    <row r="2230" spans="1:16" x14ac:dyDescent="0.25">
      <c r="A2230" s="2" t="s">
        <v>183</v>
      </c>
      <c r="B2230" s="2" t="s">
        <v>199</v>
      </c>
      <c r="C2230" s="6" t="s">
        <v>146</v>
      </c>
      <c r="D2230" s="2" t="s">
        <v>117</v>
      </c>
      <c r="E2230" s="2"/>
      <c r="F2230" s="35">
        <v>5.3</v>
      </c>
      <c r="G2230" s="35">
        <v>-115.32099942162876</v>
      </c>
      <c r="H2230" s="35">
        <v>13.718160713166659</v>
      </c>
      <c r="I2230" s="35">
        <v>2.6225056397997954E-2</v>
      </c>
      <c r="J2230" s="35">
        <v>1.7361055459034838E-4</v>
      </c>
      <c r="K2230" s="35">
        <v>-5.826609790018869E-2</v>
      </c>
      <c r="L2230" s="35">
        <v>5.6079939532770853</v>
      </c>
      <c r="M2230" s="58" t="s">
        <v>24</v>
      </c>
      <c r="N2230" s="7">
        <v>11.333333333333334</v>
      </c>
      <c r="O2230" s="7" t="s">
        <v>180</v>
      </c>
      <c r="P2230" s="7" t="s">
        <v>180</v>
      </c>
    </row>
    <row r="2231" spans="1:16" x14ac:dyDescent="0.25">
      <c r="A2231" s="2" t="s">
        <v>183</v>
      </c>
      <c r="B2231" s="2" t="s">
        <v>199</v>
      </c>
      <c r="C2231" s="6" t="s">
        <v>146</v>
      </c>
      <c r="D2231" s="2" t="s">
        <v>117</v>
      </c>
      <c r="E2231" s="2"/>
      <c r="F2231" s="35">
        <v>5.3</v>
      </c>
      <c r="G2231" s="35">
        <v>-140.60463952473921</v>
      </c>
      <c r="H2231" s="35">
        <v>13.718112490106261</v>
      </c>
      <c r="I2231" s="35">
        <v>1.6142012234172502E-3</v>
      </c>
      <c r="J2231" s="35">
        <v>-1.0401376321338796E-4</v>
      </c>
      <c r="K2231" s="35">
        <v>-5.8266097900188531E-2</v>
      </c>
      <c r="L2231" s="35">
        <v>5.6083983753206708</v>
      </c>
      <c r="M2231" s="58" t="s">
        <v>24</v>
      </c>
      <c r="N2231" s="7">
        <v>11.333333333333334</v>
      </c>
      <c r="O2231" s="7" t="s">
        <v>180</v>
      </c>
      <c r="P2231" s="7" t="s">
        <v>180</v>
      </c>
    </row>
    <row r="2232" spans="1:16" x14ac:dyDescent="0.25">
      <c r="A2232" s="2" t="s">
        <v>183</v>
      </c>
      <c r="B2232" s="2" t="s">
        <v>199</v>
      </c>
      <c r="C2232" s="6" t="s">
        <v>146</v>
      </c>
      <c r="D2232" s="2" t="s">
        <v>117</v>
      </c>
      <c r="E2232" s="2"/>
      <c r="F2232" s="35">
        <v>5.4149169609489114</v>
      </c>
      <c r="G2232" s="35">
        <v>-140.54989850862367</v>
      </c>
      <c r="H2232" s="35">
        <v>13.718112490106261</v>
      </c>
      <c r="I2232" s="35">
        <v>1.6142012234172502E-3</v>
      </c>
      <c r="J2232" s="35">
        <v>-1.0401376321338796E-4</v>
      </c>
      <c r="K2232" s="35">
        <v>-5.8451596999143672E-2</v>
      </c>
      <c r="L2232" s="35">
        <v>4.031954578002356</v>
      </c>
      <c r="M2232" s="58" t="s">
        <v>24</v>
      </c>
      <c r="N2232" s="7">
        <v>11.333333333333334</v>
      </c>
      <c r="O2232" s="7" t="s">
        <v>180</v>
      </c>
      <c r="P2232" s="7" t="s">
        <v>180</v>
      </c>
    </row>
    <row r="2233" spans="1:16" x14ac:dyDescent="0.25">
      <c r="A2233" s="2" t="s">
        <v>183</v>
      </c>
      <c r="B2233" s="2" t="s">
        <v>199</v>
      </c>
      <c r="C2233" s="6" t="s">
        <v>146</v>
      </c>
      <c r="D2233" s="2" t="s">
        <v>117</v>
      </c>
      <c r="E2233" s="2"/>
      <c r="F2233" s="35">
        <v>10.829833921897823</v>
      </c>
      <c r="G2233" s="35">
        <v>-137.97048765250815</v>
      </c>
      <c r="H2233" s="35">
        <v>13.718112490106261</v>
      </c>
      <c r="I2233" s="35">
        <v>1.6142012234172502E-3</v>
      </c>
      <c r="J2233" s="35">
        <v>-1.0401376321338796E-4</v>
      </c>
      <c r="K2233" s="35">
        <v>-6.7192362582210216E-2</v>
      </c>
      <c r="L2233" s="35">
        <v>-70.25048541687913</v>
      </c>
      <c r="M2233" s="58" t="s">
        <v>23</v>
      </c>
      <c r="N2233" s="7">
        <v>11.333333333333334</v>
      </c>
      <c r="O2233" s="7" t="s">
        <v>180</v>
      </c>
      <c r="P2233" s="7" t="s">
        <v>180</v>
      </c>
    </row>
    <row r="2234" spans="1:16" x14ac:dyDescent="0.25">
      <c r="A2234" s="2" t="s">
        <v>183</v>
      </c>
      <c r="B2234" s="2" t="s">
        <v>199</v>
      </c>
      <c r="C2234" s="6" t="s">
        <v>146</v>
      </c>
      <c r="D2234" s="2" t="s">
        <v>118</v>
      </c>
      <c r="E2234" s="2"/>
      <c r="F2234" s="35">
        <v>0</v>
      </c>
      <c r="G2234" s="35">
        <v>43.820516772561987</v>
      </c>
      <c r="H2234" s="35">
        <v>-7.522136066349586</v>
      </c>
      <c r="I2234" s="35">
        <v>0.27175781362238483</v>
      </c>
      <c r="J2234" s="35">
        <v>2.2317782124080352E-4</v>
      </c>
      <c r="K2234" s="35">
        <v>0.50233827225829053</v>
      </c>
      <c r="L2234" s="35">
        <v>-40.564759493934226</v>
      </c>
      <c r="M2234" s="58" t="s">
        <v>22</v>
      </c>
      <c r="N2234" s="7">
        <v>11.333333333333334</v>
      </c>
      <c r="O2234" s="7" t="s">
        <v>180</v>
      </c>
      <c r="P2234" s="7" t="s">
        <v>180</v>
      </c>
    </row>
    <row r="2235" spans="1:16" x14ac:dyDescent="0.25">
      <c r="A2235" s="2" t="s">
        <v>183</v>
      </c>
      <c r="B2235" s="2" t="s">
        <v>199</v>
      </c>
      <c r="C2235" s="6" t="s">
        <v>146</v>
      </c>
      <c r="D2235" s="2" t="s">
        <v>118</v>
      </c>
      <c r="E2235" s="2"/>
      <c r="F2235" s="35">
        <v>0.29999999999999988</v>
      </c>
      <c r="G2235" s="35">
        <v>43.963422612561985</v>
      </c>
      <c r="H2235" s="35">
        <v>-7.522136066349586</v>
      </c>
      <c r="I2235" s="35">
        <v>0.27175781362238483</v>
      </c>
      <c r="J2235" s="35">
        <v>2.2317782124080352E-4</v>
      </c>
      <c r="K2235" s="35">
        <v>0.42081092817157512</v>
      </c>
      <c r="L2235" s="35">
        <v>-38.308118674029345</v>
      </c>
      <c r="M2235" s="58" t="s">
        <v>22</v>
      </c>
      <c r="N2235" s="7">
        <v>11.333333333333334</v>
      </c>
      <c r="O2235" s="7" t="s">
        <v>180</v>
      </c>
      <c r="P2235" s="7" t="s">
        <v>180</v>
      </c>
    </row>
    <row r="2236" spans="1:16" x14ac:dyDescent="0.25">
      <c r="A2236" s="2" t="s">
        <v>183</v>
      </c>
      <c r="B2236" s="2" t="s">
        <v>199</v>
      </c>
      <c r="C2236" s="6" t="s">
        <v>146</v>
      </c>
      <c r="D2236" s="2" t="s">
        <v>118</v>
      </c>
      <c r="E2236" s="2"/>
      <c r="F2236" s="35">
        <v>0.29999999999999988</v>
      </c>
      <c r="G2236" s="35">
        <v>46.990046337577418</v>
      </c>
      <c r="H2236" s="35">
        <v>-7.5221360663496055</v>
      </c>
      <c r="I2236" s="35">
        <v>0.13713463615221205</v>
      </c>
      <c r="J2236" s="35">
        <v>6.7114202985096889E-6</v>
      </c>
      <c r="K2236" s="35">
        <v>0.42081092817157517</v>
      </c>
      <c r="L2236" s="35">
        <v>-38.308105686045295</v>
      </c>
      <c r="M2236" s="58" t="s">
        <v>22</v>
      </c>
      <c r="N2236" s="7">
        <v>11.333333333333334</v>
      </c>
      <c r="O2236" s="7" t="s">
        <v>180</v>
      </c>
      <c r="P2236" s="7" t="s">
        <v>180</v>
      </c>
    </row>
    <row r="2237" spans="1:16" x14ac:dyDescent="0.25">
      <c r="A2237" s="2" t="s">
        <v>183</v>
      </c>
      <c r="B2237" s="2" t="s">
        <v>199</v>
      </c>
      <c r="C2237" s="6" t="s">
        <v>146</v>
      </c>
      <c r="D2237" s="2" t="s">
        <v>118</v>
      </c>
      <c r="E2237" s="2"/>
      <c r="F2237" s="35">
        <v>5.3</v>
      </c>
      <c r="G2237" s="35">
        <v>49.371810337577415</v>
      </c>
      <c r="H2237" s="35">
        <v>-7.5221360663496055</v>
      </c>
      <c r="I2237" s="35">
        <v>0.13713463615221205</v>
      </c>
      <c r="J2237" s="35">
        <v>6.7114202985096889E-6</v>
      </c>
      <c r="K2237" s="35">
        <v>-0.26486225258948509</v>
      </c>
      <c r="L2237" s="35">
        <v>-0.69742535429726527</v>
      </c>
      <c r="M2237" s="58" t="s">
        <v>24</v>
      </c>
      <c r="N2237" s="7">
        <v>11.333333333333334</v>
      </c>
      <c r="O2237" s="7" t="s">
        <v>180</v>
      </c>
      <c r="P2237" s="7" t="s">
        <v>180</v>
      </c>
    </row>
    <row r="2238" spans="1:16" x14ac:dyDescent="0.25">
      <c r="A2238" s="2" t="s">
        <v>183</v>
      </c>
      <c r="B2238" s="2" t="s">
        <v>199</v>
      </c>
      <c r="C2238" s="6" t="s">
        <v>146</v>
      </c>
      <c r="D2238" s="2" t="s">
        <v>118</v>
      </c>
      <c r="E2238" s="2"/>
      <c r="F2238" s="35">
        <v>5.3</v>
      </c>
      <c r="G2238" s="35">
        <v>49.919209483669711</v>
      </c>
      <c r="H2238" s="35">
        <v>-7.5221124564674708</v>
      </c>
      <c r="I2238" s="35">
        <v>-3.2639686538353849E-2</v>
      </c>
      <c r="J2238" s="35">
        <v>1.8963376806645815E-4</v>
      </c>
      <c r="K2238" s="35">
        <v>-0.2648622525894852</v>
      </c>
      <c r="L2238" s="35">
        <v>-0.69771577138684393</v>
      </c>
      <c r="M2238" s="58" t="s">
        <v>24</v>
      </c>
      <c r="N2238" s="7">
        <v>11.333333333333334</v>
      </c>
      <c r="O2238" s="7" t="s">
        <v>180</v>
      </c>
      <c r="P2238" s="7" t="s">
        <v>180</v>
      </c>
    </row>
    <row r="2239" spans="1:16" x14ac:dyDescent="0.25">
      <c r="A2239" s="2" t="s">
        <v>183</v>
      </c>
      <c r="B2239" s="2" t="s">
        <v>199</v>
      </c>
      <c r="C2239" s="6" t="s">
        <v>146</v>
      </c>
      <c r="D2239" s="2" t="s">
        <v>118</v>
      </c>
      <c r="E2239" s="2"/>
      <c r="F2239" s="35">
        <v>5.4149169609489114</v>
      </c>
      <c r="G2239" s="35">
        <v>49.973950499785225</v>
      </c>
      <c r="H2239" s="35">
        <v>-7.5221124564674708</v>
      </c>
      <c r="I2239" s="35">
        <v>-3.2639686538353849E-2</v>
      </c>
      <c r="J2239" s="35">
        <v>1.8963376806645815E-4</v>
      </c>
      <c r="K2239" s="35">
        <v>-0.26111139900617247</v>
      </c>
      <c r="L2239" s="35">
        <v>0.1667025320263486</v>
      </c>
      <c r="M2239" s="58" t="s">
        <v>24</v>
      </c>
      <c r="N2239" s="7">
        <v>11.333333333333334</v>
      </c>
      <c r="O2239" s="7" t="s">
        <v>180</v>
      </c>
      <c r="P2239" s="7" t="s">
        <v>180</v>
      </c>
    </row>
    <row r="2240" spans="1:16" x14ac:dyDescent="0.25">
      <c r="A2240" s="2" t="s">
        <v>183</v>
      </c>
      <c r="B2240" s="2" t="s">
        <v>199</v>
      </c>
      <c r="C2240" s="6" t="s">
        <v>146</v>
      </c>
      <c r="D2240" s="2" t="s">
        <v>118</v>
      </c>
      <c r="E2240" s="2"/>
      <c r="F2240" s="35">
        <v>10.829833921897823</v>
      </c>
      <c r="G2240" s="35">
        <v>52.553361355900726</v>
      </c>
      <c r="H2240" s="35">
        <v>-7.5221124564674708</v>
      </c>
      <c r="I2240" s="35">
        <v>-3.2639686538353849E-2</v>
      </c>
      <c r="J2240" s="35">
        <v>1.8963376806645815E-4</v>
      </c>
      <c r="K2240" s="35">
        <v>-8.4370206769584455E-2</v>
      </c>
      <c r="L2240" s="35">
        <v>40.898316854717123</v>
      </c>
      <c r="M2240" s="58" t="s">
        <v>23</v>
      </c>
      <c r="N2240" s="7">
        <v>11.333333333333334</v>
      </c>
      <c r="O2240" s="7" t="s">
        <v>180</v>
      </c>
      <c r="P2240" s="7" t="s">
        <v>180</v>
      </c>
    </row>
    <row r="2241" spans="1:16" x14ac:dyDescent="0.25">
      <c r="A2241" s="2" t="s">
        <v>183</v>
      </c>
      <c r="B2241" s="2" t="s">
        <v>199</v>
      </c>
      <c r="C2241" s="6" t="s">
        <v>146</v>
      </c>
      <c r="D2241" s="2" t="s">
        <v>119</v>
      </c>
      <c r="E2241" s="2"/>
      <c r="F2241" s="35">
        <v>0</v>
      </c>
      <c r="G2241" s="35">
        <v>-61.41375687672835</v>
      </c>
      <c r="H2241" s="35">
        <v>-18.16389089163383</v>
      </c>
      <c r="I2241" s="35">
        <v>0.97091224838088541</v>
      </c>
      <c r="J2241" s="35">
        <v>2.9989261538612542E-4</v>
      </c>
      <c r="K2241" s="35">
        <v>0.38656745325444347</v>
      </c>
      <c r="L2241" s="35">
        <v>-102.05410415355551</v>
      </c>
      <c r="M2241" s="58" t="s">
        <v>22</v>
      </c>
      <c r="N2241" s="7">
        <v>11.333333333333334</v>
      </c>
      <c r="O2241" s="7" t="s">
        <v>180</v>
      </c>
      <c r="P2241" s="7" t="s">
        <v>180</v>
      </c>
    </row>
    <row r="2242" spans="1:16" x14ac:dyDescent="0.25">
      <c r="A2242" s="2" t="s">
        <v>183</v>
      </c>
      <c r="B2242" s="2" t="s">
        <v>199</v>
      </c>
      <c r="C2242" s="6" t="s">
        <v>146</v>
      </c>
      <c r="D2242" s="2" t="s">
        <v>119</v>
      </c>
      <c r="E2242" s="2"/>
      <c r="F2242" s="35">
        <v>0.29999999999999988</v>
      </c>
      <c r="G2242" s="35">
        <v>-61.270851036728352</v>
      </c>
      <c r="H2242" s="35">
        <v>-18.16389089163383</v>
      </c>
      <c r="I2242" s="35">
        <v>0.97091224838088541</v>
      </c>
      <c r="J2242" s="35">
        <v>2.9989261538612542E-4</v>
      </c>
      <c r="K2242" s="35">
        <v>9.5293778740178012E-2</v>
      </c>
      <c r="L2242" s="35">
        <v>-96.604936886065389</v>
      </c>
      <c r="M2242" s="58" t="s">
        <v>22</v>
      </c>
      <c r="N2242" s="7">
        <v>11.333333333333334</v>
      </c>
      <c r="O2242" s="7" t="s">
        <v>180</v>
      </c>
      <c r="P2242" s="7" t="s">
        <v>180</v>
      </c>
    </row>
    <row r="2243" spans="1:16" x14ac:dyDescent="0.25">
      <c r="A2243" s="2" t="s">
        <v>183</v>
      </c>
      <c r="B2243" s="2" t="s">
        <v>199</v>
      </c>
      <c r="C2243" s="6" t="s">
        <v>146</v>
      </c>
      <c r="D2243" s="2" t="s">
        <v>119</v>
      </c>
      <c r="E2243" s="2"/>
      <c r="F2243" s="35">
        <v>0.29999999999999988</v>
      </c>
      <c r="G2243" s="35">
        <v>-44.836885580728222</v>
      </c>
      <c r="H2243" s="35">
        <v>-18.163890891633883</v>
      </c>
      <c r="I2243" s="35">
        <v>3.1848567051639187E-2</v>
      </c>
      <c r="J2243" s="35">
        <v>-2.0199290364554043E-4</v>
      </c>
      <c r="K2243" s="35">
        <v>9.5293778740176832E-2</v>
      </c>
      <c r="L2243" s="35">
        <v>-96.6049067729342</v>
      </c>
      <c r="M2243" s="58" t="s">
        <v>22</v>
      </c>
      <c r="N2243" s="7">
        <v>11.333333333333334</v>
      </c>
      <c r="O2243" s="7" t="s">
        <v>180</v>
      </c>
      <c r="P2243" s="7" t="s">
        <v>180</v>
      </c>
    </row>
    <row r="2244" spans="1:16" x14ac:dyDescent="0.25">
      <c r="A2244" s="2" t="s">
        <v>183</v>
      </c>
      <c r="B2244" s="2" t="s">
        <v>199</v>
      </c>
      <c r="C2244" s="6" t="s">
        <v>146</v>
      </c>
      <c r="D2244" s="2" t="s">
        <v>119</v>
      </c>
      <c r="E2244" s="2"/>
      <c r="F2244" s="35">
        <v>5.3</v>
      </c>
      <c r="G2244" s="35">
        <v>-42.455121580728225</v>
      </c>
      <c r="H2244" s="35">
        <v>-18.163890891633883</v>
      </c>
      <c r="I2244" s="35">
        <v>3.1848567051639187E-2</v>
      </c>
      <c r="J2244" s="35">
        <v>-2.0199290364554043E-4</v>
      </c>
      <c r="K2244" s="35">
        <v>-6.3949056518019104E-2</v>
      </c>
      <c r="L2244" s="35">
        <v>-5.7854523147647852</v>
      </c>
      <c r="M2244" s="58" t="s">
        <v>24</v>
      </c>
      <c r="N2244" s="7">
        <v>11.333333333333334</v>
      </c>
      <c r="O2244" s="7" t="s">
        <v>180</v>
      </c>
      <c r="P2244" s="7" t="s">
        <v>180</v>
      </c>
    </row>
    <row r="2245" spans="1:16" x14ac:dyDescent="0.25">
      <c r="A2245" s="2" t="s">
        <v>183</v>
      </c>
      <c r="B2245" s="2" t="s">
        <v>199</v>
      </c>
      <c r="C2245" s="6" t="s">
        <v>146</v>
      </c>
      <c r="D2245" s="2" t="s">
        <v>119</v>
      </c>
      <c r="E2245" s="2"/>
      <c r="F2245" s="35">
        <v>5.3</v>
      </c>
      <c r="G2245" s="35">
        <v>-54.722640659886281</v>
      </c>
      <c r="H2245" s="35">
        <v>-18.16382139927093</v>
      </c>
      <c r="I2245" s="35">
        <v>6.4640059415669519E-4</v>
      </c>
      <c r="J2245" s="35">
        <v>1.8873326384281146E-4</v>
      </c>
      <c r="K2245" s="35">
        <v>-6.3949056518019382E-2</v>
      </c>
      <c r="L2245" s="35">
        <v>-5.7859932367038889</v>
      </c>
      <c r="M2245" s="58" t="s">
        <v>24</v>
      </c>
      <c r="N2245" s="7">
        <v>11.333333333333334</v>
      </c>
      <c r="O2245" s="7" t="s">
        <v>180</v>
      </c>
      <c r="P2245" s="7" t="s">
        <v>180</v>
      </c>
    </row>
    <row r="2246" spans="1:16" x14ac:dyDescent="0.25">
      <c r="A2246" s="2" t="s">
        <v>183</v>
      </c>
      <c r="B2246" s="2" t="s">
        <v>199</v>
      </c>
      <c r="C2246" s="6" t="s">
        <v>146</v>
      </c>
      <c r="D2246" s="2" t="s">
        <v>119</v>
      </c>
      <c r="E2246" s="2"/>
      <c r="F2246" s="35">
        <v>5.4149169609489114</v>
      </c>
      <c r="G2246" s="35">
        <v>-54.667899643770767</v>
      </c>
      <c r="H2246" s="35">
        <v>-18.16382139927093</v>
      </c>
      <c r="I2246" s="35">
        <v>6.4640059415669519E-4</v>
      </c>
      <c r="J2246" s="35">
        <v>1.8873326384281146E-4</v>
      </c>
      <c r="K2246" s="35">
        <v>-6.402333890985544E-2</v>
      </c>
      <c r="L2246" s="35">
        <v>-3.6986620822808702</v>
      </c>
      <c r="M2246" s="58" t="s">
        <v>24</v>
      </c>
      <c r="N2246" s="7">
        <v>11.333333333333334</v>
      </c>
      <c r="O2246" s="7" t="s">
        <v>180</v>
      </c>
      <c r="P2246" s="7" t="s">
        <v>180</v>
      </c>
    </row>
    <row r="2247" spans="1:16" x14ac:dyDescent="0.25">
      <c r="A2247" s="2" t="s">
        <v>183</v>
      </c>
      <c r="B2247" s="2" t="s">
        <v>199</v>
      </c>
      <c r="C2247" s="6" t="s">
        <v>146</v>
      </c>
      <c r="D2247" s="2" t="s">
        <v>119</v>
      </c>
      <c r="E2247" s="2"/>
      <c r="F2247" s="35">
        <v>10.829833921897823</v>
      </c>
      <c r="G2247" s="35">
        <v>-52.088488787655265</v>
      </c>
      <c r="H2247" s="35">
        <v>-18.16382139927093</v>
      </c>
      <c r="I2247" s="35">
        <v>6.4640059415669519E-4</v>
      </c>
      <c r="J2247" s="35">
        <v>1.8873326384281146E-4</v>
      </c>
      <c r="K2247" s="35">
        <v>-6.7523544450722006E-2</v>
      </c>
      <c r="L2247" s="35">
        <v>94.656922488278042</v>
      </c>
      <c r="M2247" s="58" t="s">
        <v>23</v>
      </c>
      <c r="N2247" s="7">
        <v>11.333333333333334</v>
      </c>
      <c r="O2247" s="7" t="s">
        <v>180</v>
      </c>
      <c r="P2247" s="7" t="s">
        <v>180</v>
      </c>
    </row>
    <row r="2248" spans="1:16" x14ac:dyDescent="0.25">
      <c r="A2248" s="2" t="s">
        <v>183</v>
      </c>
      <c r="B2248" s="2" t="s">
        <v>199</v>
      </c>
      <c r="C2248" s="6" t="s">
        <v>146</v>
      </c>
      <c r="D2248" s="2" t="s">
        <v>120</v>
      </c>
      <c r="E2248" s="2"/>
      <c r="F2248" s="35">
        <v>0</v>
      </c>
      <c r="G2248" s="35">
        <v>75.981211282655025</v>
      </c>
      <c r="H2248" s="35">
        <v>-4.1811393290752683</v>
      </c>
      <c r="I2248" s="35">
        <v>-3.923604580234203</v>
      </c>
      <c r="J2248" s="35">
        <v>-5.102380469246278E-4</v>
      </c>
      <c r="K2248" s="35">
        <v>-4.6385640918704452</v>
      </c>
      <c r="L2248" s="35">
        <v>-14.557772487707485</v>
      </c>
      <c r="M2248" s="58" t="s">
        <v>22</v>
      </c>
      <c r="N2248" s="7">
        <v>11.333333333333334</v>
      </c>
      <c r="O2248" s="7" t="s">
        <v>180</v>
      </c>
      <c r="P2248" s="7" t="s">
        <v>180</v>
      </c>
    </row>
    <row r="2249" spans="1:16" x14ac:dyDescent="0.25">
      <c r="A2249" s="2" t="s">
        <v>183</v>
      </c>
      <c r="B2249" s="2" t="s">
        <v>199</v>
      </c>
      <c r="C2249" s="6" t="s">
        <v>146</v>
      </c>
      <c r="D2249" s="2" t="s">
        <v>120</v>
      </c>
      <c r="E2249" s="2"/>
      <c r="F2249" s="35">
        <v>0.29999999999999988</v>
      </c>
      <c r="G2249" s="35">
        <v>76.124117122655022</v>
      </c>
      <c r="H2249" s="35">
        <v>-4.1811393290752683</v>
      </c>
      <c r="I2249" s="35">
        <v>-3.923604580234203</v>
      </c>
      <c r="J2249" s="35">
        <v>-5.102380469246278E-4</v>
      </c>
      <c r="K2249" s="35">
        <v>-3.4614827178001843</v>
      </c>
      <c r="L2249" s="35">
        <v>-13.303430688984905</v>
      </c>
      <c r="M2249" s="58" t="s">
        <v>22</v>
      </c>
      <c r="N2249" s="7">
        <v>11.333333333333334</v>
      </c>
      <c r="O2249" s="7" t="s">
        <v>180</v>
      </c>
      <c r="P2249" s="7" t="s">
        <v>180</v>
      </c>
    </row>
    <row r="2250" spans="1:16" x14ac:dyDescent="0.25">
      <c r="A2250" s="2" t="s">
        <v>183</v>
      </c>
      <c r="B2250" s="2" t="s">
        <v>199</v>
      </c>
      <c r="C2250" s="6" t="s">
        <v>146</v>
      </c>
      <c r="D2250" s="2" t="s">
        <v>120</v>
      </c>
      <c r="E2250" s="2"/>
      <c r="F2250" s="35">
        <v>0.29999999999999988</v>
      </c>
      <c r="G2250" s="35">
        <v>30.281725670796</v>
      </c>
      <c r="H2250" s="35">
        <v>-4.1811393290752497</v>
      </c>
      <c r="I2250" s="35">
        <v>-1.1260868470918983</v>
      </c>
      <c r="J2250" s="35">
        <v>-4.1721058178475242E-4</v>
      </c>
      <c r="K2250" s="35">
        <v>-3.4614827178001852</v>
      </c>
      <c r="L2250" s="35">
        <v>-13.303436270632817</v>
      </c>
      <c r="M2250" s="58" t="s">
        <v>22</v>
      </c>
      <c r="N2250" s="7">
        <v>11.333333333333334</v>
      </c>
      <c r="O2250" s="7" t="s">
        <v>180</v>
      </c>
      <c r="P2250" s="7" t="s">
        <v>180</v>
      </c>
    </row>
    <row r="2251" spans="1:16" x14ac:dyDescent="0.25">
      <c r="A2251" s="2" t="s">
        <v>183</v>
      </c>
      <c r="B2251" s="2" t="s">
        <v>199</v>
      </c>
      <c r="C2251" s="6" t="s">
        <v>146</v>
      </c>
      <c r="D2251" s="2" t="s">
        <v>120</v>
      </c>
      <c r="E2251" s="2"/>
      <c r="F2251" s="35">
        <v>5.3</v>
      </c>
      <c r="G2251" s="35">
        <v>32.663489670795997</v>
      </c>
      <c r="H2251" s="35">
        <v>-4.1811393290752497</v>
      </c>
      <c r="I2251" s="35">
        <v>-1.1260868470918983</v>
      </c>
      <c r="J2251" s="35">
        <v>-4.1721058178475242E-4</v>
      </c>
      <c r="K2251" s="35">
        <v>2.1689515176593073</v>
      </c>
      <c r="L2251" s="35">
        <v>7.6022603747434321</v>
      </c>
      <c r="M2251" s="58" t="s">
        <v>24</v>
      </c>
      <c r="N2251" s="7">
        <v>11.333333333333334</v>
      </c>
      <c r="O2251" s="7" t="s">
        <v>180</v>
      </c>
      <c r="P2251" s="7" t="s">
        <v>180</v>
      </c>
    </row>
    <row r="2252" spans="1:16" x14ac:dyDescent="0.25">
      <c r="A2252" s="2" t="s">
        <v>183</v>
      </c>
      <c r="B2252" s="2" t="s">
        <v>199</v>
      </c>
      <c r="C2252" s="6" t="s">
        <v>146</v>
      </c>
      <c r="D2252" s="2" t="s">
        <v>120</v>
      </c>
      <c r="E2252" s="2"/>
      <c r="F2252" s="35">
        <v>5.3</v>
      </c>
      <c r="G2252" s="35">
        <v>75.091199773258438</v>
      </c>
      <c r="H2252" s="35">
        <v>-4.181096110798002</v>
      </c>
      <c r="I2252" s="35">
        <v>0.3710073927278032</v>
      </c>
      <c r="J2252" s="35">
        <v>-2.3034517250451189E-4</v>
      </c>
      <c r="K2252" s="35">
        <v>2.1689515176593086</v>
      </c>
      <c r="L2252" s="35">
        <v>7.6021943267374441</v>
      </c>
      <c r="M2252" s="58" t="s">
        <v>24</v>
      </c>
      <c r="N2252" s="7">
        <v>11.333333333333334</v>
      </c>
      <c r="O2252" s="7" t="s">
        <v>180</v>
      </c>
      <c r="P2252" s="7" t="s">
        <v>180</v>
      </c>
    </row>
    <row r="2253" spans="1:16" x14ac:dyDescent="0.25">
      <c r="A2253" s="2" t="s">
        <v>183</v>
      </c>
      <c r="B2253" s="2" t="s">
        <v>199</v>
      </c>
      <c r="C2253" s="6" t="s">
        <v>146</v>
      </c>
      <c r="D2253" s="2" t="s">
        <v>120</v>
      </c>
      <c r="E2253" s="2"/>
      <c r="F2253" s="35">
        <v>5.4149169609489114</v>
      </c>
      <c r="G2253" s="35">
        <v>75.145940789373952</v>
      </c>
      <c r="H2253" s="35">
        <v>-4.181096110798002</v>
      </c>
      <c r="I2253" s="35">
        <v>0.3710073927278032</v>
      </c>
      <c r="J2253" s="35">
        <v>-2.3034517250451189E-4</v>
      </c>
      <c r="K2253" s="35">
        <v>2.1263164755974504</v>
      </c>
      <c r="L2253" s="35">
        <v>8.0826731852256621</v>
      </c>
      <c r="M2253" s="58" t="s">
        <v>24</v>
      </c>
      <c r="N2253" s="7">
        <v>11.333333333333334</v>
      </c>
      <c r="O2253" s="7" t="s">
        <v>180</v>
      </c>
      <c r="P2253" s="7" t="s">
        <v>180</v>
      </c>
    </row>
    <row r="2254" spans="1:16" x14ac:dyDescent="0.25">
      <c r="A2254" s="2" t="s">
        <v>183</v>
      </c>
      <c r="B2254" s="2" t="s">
        <v>199</v>
      </c>
      <c r="C2254" s="6" t="s">
        <v>146</v>
      </c>
      <c r="D2254" s="2" t="s">
        <v>120</v>
      </c>
      <c r="E2254" s="2"/>
      <c r="F2254" s="35">
        <v>10.829833921897823</v>
      </c>
      <c r="G2254" s="35">
        <v>77.72535164548944</v>
      </c>
      <c r="H2254" s="35">
        <v>-4.181096110798002</v>
      </c>
      <c r="I2254" s="35">
        <v>0.3710073927278032</v>
      </c>
      <c r="J2254" s="35">
        <v>-2.3034517250451189E-4</v>
      </c>
      <c r="K2254" s="35">
        <v>0.11734225207823562</v>
      </c>
      <c r="L2254" s="35">
        <v>30.722961430943283</v>
      </c>
      <c r="M2254" s="58" t="s">
        <v>23</v>
      </c>
      <c r="N2254" s="7">
        <v>11.333333333333334</v>
      </c>
      <c r="O2254" s="7" t="s">
        <v>180</v>
      </c>
      <c r="P2254" s="7" t="s">
        <v>180</v>
      </c>
    </row>
    <row r="2255" spans="1:16" x14ac:dyDescent="0.25">
      <c r="A2255" s="2" t="s">
        <v>183</v>
      </c>
      <c r="B2255" s="2" t="s">
        <v>199</v>
      </c>
      <c r="C2255" s="6" t="s">
        <v>146</v>
      </c>
      <c r="D2255" s="2" t="s">
        <v>121</v>
      </c>
      <c r="E2255" s="2"/>
      <c r="F2255" s="35">
        <v>0</v>
      </c>
      <c r="G2255" s="35">
        <v>-3.6354448174006966</v>
      </c>
      <c r="H2255" s="35">
        <v>-0.95245658981537218</v>
      </c>
      <c r="I2255" s="35">
        <v>-3.4023459378609249</v>
      </c>
      <c r="J2255" s="35">
        <v>-5.1897548209464933E-4</v>
      </c>
      <c r="K2255" s="35">
        <v>-4.7302187535509521</v>
      </c>
      <c r="L2255" s="35">
        <v>-4.0310730804427273</v>
      </c>
      <c r="M2255" s="58" t="s">
        <v>22</v>
      </c>
      <c r="N2255" s="7">
        <v>11.333333333333334</v>
      </c>
      <c r="O2255" s="7" t="s">
        <v>180</v>
      </c>
      <c r="P2255" s="7" t="s">
        <v>180</v>
      </c>
    </row>
    <row r="2256" spans="1:16" x14ac:dyDescent="0.25">
      <c r="A2256" s="2" t="s">
        <v>183</v>
      </c>
      <c r="B2256" s="2" t="s">
        <v>199</v>
      </c>
      <c r="C2256" s="6" t="s">
        <v>146</v>
      </c>
      <c r="D2256" s="2" t="s">
        <v>121</v>
      </c>
      <c r="E2256" s="2"/>
      <c r="F2256" s="35">
        <v>0.29999999999999988</v>
      </c>
      <c r="G2256" s="35">
        <v>-3.4925389774007045</v>
      </c>
      <c r="H2256" s="35">
        <v>-0.95245658981537218</v>
      </c>
      <c r="I2256" s="35">
        <v>-3.4023459378609249</v>
      </c>
      <c r="J2256" s="35">
        <v>-5.1897548209464933E-4</v>
      </c>
      <c r="K2256" s="35">
        <v>-3.7095149721926743</v>
      </c>
      <c r="L2256" s="35">
        <v>-3.745336103498115</v>
      </c>
      <c r="M2256" s="58" t="s">
        <v>22</v>
      </c>
      <c r="N2256" s="7">
        <v>11.333333333333334</v>
      </c>
      <c r="O2256" s="7" t="s">
        <v>180</v>
      </c>
      <c r="P2256" s="7" t="s">
        <v>180</v>
      </c>
    </row>
    <row r="2257" spans="1:16" x14ac:dyDescent="0.25">
      <c r="A2257" s="2" t="s">
        <v>183</v>
      </c>
      <c r="B2257" s="2" t="s">
        <v>199</v>
      </c>
      <c r="C2257" s="6" t="s">
        <v>146</v>
      </c>
      <c r="D2257" s="2" t="s">
        <v>121</v>
      </c>
      <c r="E2257" s="2"/>
      <c r="F2257" s="35">
        <v>0.29999999999999988</v>
      </c>
      <c r="G2257" s="35">
        <v>-39.299419976414953</v>
      </c>
      <c r="H2257" s="35">
        <v>-0.9524565898153774</v>
      </c>
      <c r="I2257" s="35">
        <v>-1.2069588318893123</v>
      </c>
      <c r="J2257" s="35">
        <v>-3.9320588755806333E-4</v>
      </c>
      <c r="K2257" s="35">
        <v>-3.7095149721926757</v>
      </c>
      <c r="L2257" s="35">
        <v>-3.7453436496737846</v>
      </c>
      <c r="M2257" s="58" t="s">
        <v>22</v>
      </c>
      <c r="N2257" s="7">
        <v>11.333333333333334</v>
      </c>
      <c r="O2257" s="7" t="s">
        <v>180</v>
      </c>
      <c r="P2257" s="7" t="s">
        <v>180</v>
      </c>
    </row>
    <row r="2258" spans="1:16" x14ac:dyDescent="0.25">
      <c r="A2258" s="2" t="s">
        <v>183</v>
      </c>
      <c r="B2258" s="2" t="s">
        <v>199</v>
      </c>
      <c r="C2258" s="6" t="s">
        <v>146</v>
      </c>
      <c r="D2258" s="2" t="s">
        <v>121</v>
      </c>
      <c r="E2258" s="2"/>
      <c r="F2258" s="35">
        <v>5.3</v>
      </c>
      <c r="G2258" s="35">
        <v>-36.917655976414956</v>
      </c>
      <c r="H2258" s="35">
        <v>-0.9524565898153774</v>
      </c>
      <c r="I2258" s="35">
        <v>-1.2069588318893123</v>
      </c>
      <c r="J2258" s="35">
        <v>-3.9320588755806333E-4</v>
      </c>
      <c r="K2258" s="35">
        <v>2.3252791872538854</v>
      </c>
      <c r="L2258" s="35">
        <v>1.0169392994031028</v>
      </c>
      <c r="M2258" s="58" t="s">
        <v>24</v>
      </c>
      <c r="N2258" s="7">
        <v>11.333333333333334</v>
      </c>
      <c r="O2258" s="7" t="s">
        <v>180</v>
      </c>
      <c r="P2258" s="7" t="s">
        <v>180</v>
      </c>
    </row>
    <row r="2259" spans="1:16" x14ac:dyDescent="0.25">
      <c r="A2259" s="2" t="s">
        <v>183</v>
      </c>
      <c r="B2259" s="2" t="s">
        <v>199</v>
      </c>
      <c r="C2259" s="6" t="s">
        <v>146</v>
      </c>
      <c r="D2259" s="2" t="s">
        <v>121</v>
      </c>
      <c r="E2259" s="2"/>
      <c r="F2259" s="35">
        <v>5.3</v>
      </c>
      <c r="G2259" s="35">
        <v>-4.0904222420478611</v>
      </c>
      <c r="H2259" s="35">
        <v>-0.95242248641851801</v>
      </c>
      <c r="I2259" s="35">
        <v>0.3969211491263373</v>
      </c>
      <c r="J2259" s="35">
        <v>-3.5946917765652416E-4</v>
      </c>
      <c r="K2259" s="35">
        <v>2.3252791872538903</v>
      </c>
      <c r="L2259" s="35">
        <v>1.017100773038403</v>
      </c>
      <c r="M2259" s="58" t="s">
        <v>24</v>
      </c>
      <c r="N2259" s="7">
        <v>11.333333333333334</v>
      </c>
      <c r="O2259" s="7" t="s">
        <v>180</v>
      </c>
      <c r="P2259" s="7" t="s">
        <v>180</v>
      </c>
    </row>
    <row r="2260" spans="1:16" x14ac:dyDescent="0.25">
      <c r="A2260" s="2" t="s">
        <v>183</v>
      </c>
      <c r="B2260" s="2" t="s">
        <v>199</v>
      </c>
      <c r="C2260" s="6" t="s">
        <v>146</v>
      </c>
      <c r="D2260" s="2" t="s">
        <v>121</v>
      </c>
      <c r="E2260" s="2"/>
      <c r="F2260" s="35">
        <v>5.4149169609489114</v>
      </c>
      <c r="G2260" s="35">
        <v>-4.0356812259323478</v>
      </c>
      <c r="H2260" s="35">
        <v>-0.95242248641851801</v>
      </c>
      <c r="I2260" s="35">
        <v>0.3969211491263373</v>
      </c>
      <c r="J2260" s="35">
        <v>-3.5946917765652416E-4</v>
      </c>
      <c r="K2260" s="35">
        <v>2.279666215059942</v>
      </c>
      <c r="L2260" s="35">
        <v>1.1265502707170245</v>
      </c>
      <c r="M2260" s="58" t="s">
        <v>24</v>
      </c>
      <c r="N2260" s="7">
        <v>11.333333333333334</v>
      </c>
      <c r="O2260" s="7" t="s">
        <v>180</v>
      </c>
      <c r="P2260" s="7" t="s">
        <v>180</v>
      </c>
    </row>
    <row r="2261" spans="1:16" x14ac:dyDescent="0.25">
      <c r="A2261" s="2" t="s">
        <v>183</v>
      </c>
      <c r="B2261" s="2" t="s">
        <v>199</v>
      </c>
      <c r="C2261" s="6" t="s">
        <v>146</v>
      </c>
      <c r="D2261" s="2" t="s">
        <v>121</v>
      </c>
      <c r="E2261" s="2"/>
      <c r="F2261" s="35">
        <v>10.829833921897823</v>
      </c>
      <c r="G2261" s="35">
        <v>-1.4562703698168622</v>
      </c>
      <c r="H2261" s="35">
        <v>-0.95242248641851801</v>
      </c>
      <c r="I2261" s="35">
        <v>0.3969211491263373</v>
      </c>
      <c r="J2261" s="35">
        <v>-3.5946917765652416E-4</v>
      </c>
      <c r="K2261" s="35">
        <v>0.13037115249640652</v>
      </c>
      <c r="L2261" s="35">
        <v>6.2838389464137911</v>
      </c>
      <c r="M2261" s="58" t="s">
        <v>23</v>
      </c>
      <c r="N2261" s="7">
        <v>11.333333333333334</v>
      </c>
      <c r="O2261" s="7" t="s">
        <v>180</v>
      </c>
      <c r="P2261" s="7" t="s">
        <v>180</v>
      </c>
    </row>
    <row r="2262" spans="1:16" x14ac:dyDescent="0.25">
      <c r="A2262" s="2" t="s">
        <v>183</v>
      </c>
      <c r="B2262" s="2" t="s">
        <v>199</v>
      </c>
      <c r="C2262" s="6" t="s">
        <v>146</v>
      </c>
      <c r="D2262" s="2" t="s">
        <v>122</v>
      </c>
      <c r="E2262" s="2"/>
      <c r="F2262" s="35">
        <v>0</v>
      </c>
      <c r="G2262" s="35">
        <v>55.891165997686613</v>
      </c>
      <c r="H2262" s="35">
        <v>-5.1312894488749432</v>
      </c>
      <c r="I2262" s="35">
        <v>3.2364842541426357</v>
      </c>
      <c r="J2262" s="35">
        <v>4.2980396703607359E-4</v>
      </c>
      <c r="K2262" s="35">
        <v>4.5532472870714642</v>
      </c>
      <c r="L2262" s="35">
        <v>-18.520607452403343</v>
      </c>
      <c r="M2262" s="58" t="s">
        <v>22</v>
      </c>
      <c r="N2262" s="7">
        <v>11.333333333333334</v>
      </c>
      <c r="O2262" s="7" t="s">
        <v>180</v>
      </c>
      <c r="P2262" s="7" t="s">
        <v>180</v>
      </c>
    </row>
    <row r="2263" spans="1:16" x14ac:dyDescent="0.25">
      <c r="A2263" s="2" t="s">
        <v>183</v>
      </c>
      <c r="B2263" s="2" t="s">
        <v>199</v>
      </c>
      <c r="C2263" s="6" t="s">
        <v>146</v>
      </c>
      <c r="D2263" s="2" t="s">
        <v>122</v>
      </c>
      <c r="E2263" s="2"/>
      <c r="F2263" s="35">
        <v>0.29999999999999988</v>
      </c>
      <c r="G2263" s="35">
        <v>56.034071837686604</v>
      </c>
      <c r="H2263" s="35">
        <v>-5.1312894488749432</v>
      </c>
      <c r="I2263" s="35">
        <v>3.2364842541426357</v>
      </c>
      <c r="J2263" s="35">
        <v>4.2980396703607359E-4</v>
      </c>
      <c r="K2263" s="35">
        <v>3.5823020108286747</v>
      </c>
      <c r="L2263" s="35">
        <v>-16.981220617740856</v>
      </c>
      <c r="M2263" s="58" t="s">
        <v>22</v>
      </c>
      <c r="N2263" s="7">
        <v>11.333333333333334</v>
      </c>
      <c r="O2263" s="7" t="s">
        <v>180</v>
      </c>
      <c r="P2263" s="7" t="s">
        <v>180</v>
      </c>
    </row>
    <row r="2264" spans="1:16" x14ac:dyDescent="0.25">
      <c r="A2264" s="2" t="s">
        <v>183</v>
      </c>
      <c r="B2264" s="2" t="s">
        <v>199</v>
      </c>
      <c r="C2264" s="6" t="s">
        <v>146</v>
      </c>
      <c r="D2264" s="2" t="s">
        <v>122</v>
      </c>
      <c r="E2264" s="2"/>
      <c r="F2264" s="35">
        <v>0.29999999999999988</v>
      </c>
      <c r="G2264" s="35">
        <v>91.470963667465753</v>
      </c>
      <c r="H2264" s="35">
        <v>-5.1312894488749539</v>
      </c>
      <c r="I2264" s="35">
        <v>1.1572449903866513</v>
      </c>
      <c r="J2264" s="35">
        <v>2.4683738705379366E-4</v>
      </c>
      <c r="K2264" s="35">
        <v>3.5823020108286716</v>
      </c>
      <c r="L2264" s="35">
        <v>-16.981209639746066</v>
      </c>
      <c r="M2264" s="58" t="s">
        <v>22</v>
      </c>
      <c r="N2264" s="7">
        <v>11.333333333333334</v>
      </c>
      <c r="O2264" s="7" t="s">
        <v>180</v>
      </c>
      <c r="P2264" s="7" t="s">
        <v>180</v>
      </c>
    </row>
    <row r="2265" spans="1:16" x14ac:dyDescent="0.25">
      <c r="A2265" s="2" t="s">
        <v>183</v>
      </c>
      <c r="B2265" s="2" t="s">
        <v>199</v>
      </c>
      <c r="C2265" s="6" t="s">
        <v>146</v>
      </c>
      <c r="D2265" s="2" t="s">
        <v>122</v>
      </c>
      <c r="E2265" s="2"/>
      <c r="F2265" s="35">
        <v>5.3</v>
      </c>
      <c r="G2265" s="35">
        <v>93.852727667465743</v>
      </c>
      <c r="H2265" s="35">
        <v>-5.1312894488749539</v>
      </c>
      <c r="I2265" s="35">
        <v>1.1572449903866513</v>
      </c>
      <c r="J2265" s="35">
        <v>2.4683738705379366E-4</v>
      </c>
      <c r="K2265" s="35">
        <v>-2.2039229411045849</v>
      </c>
      <c r="L2265" s="35">
        <v>8.6752376046287036</v>
      </c>
      <c r="M2265" s="58" t="s">
        <v>24</v>
      </c>
      <c r="N2265" s="7">
        <v>11.333333333333334</v>
      </c>
      <c r="O2265" s="7" t="s">
        <v>180</v>
      </c>
      <c r="P2265" s="7" t="s">
        <v>180</v>
      </c>
    </row>
    <row r="2266" spans="1:16" x14ac:dyDescent="0.25">
      <c r="A2266" s="2" t="s">
        <v>183</v>
      </c>
      <c r="B2266" s="2" t="s">
        <v>199</v>
      </c>
      <c r="C2266" s="6" t="s">
        <v>146</v>
      </c>
      <c r="D2266" s="2" t="s">
        <v>122</v>
      </c>
      <c r="E2266" s="2"/>
      <c r="F2266" s="35">
        <v>5.3</v>
      </c>
      <c r="G2266" s="35">
        <v>67.062414553321844</v>
      </c>
      <c r="H2266" s="35">
        <v>-5.1313000629787506</v>
      </c>
      <c r="I2266" s="35">
        <v>-0.35429278271954456</v>
      </c>
      <c r="J2266" s="35">
        <v>4.6940208364121955E-4</v>
      </c>
      <c r="K2266" s="35">
        <v>-2.203922941104588</v>
      </c>
      <c r="L2266" s="35">
        <v>8.6747363266426945</v>
      </c>
      <c r="M2266" s="58" t="s">
        <v>24</v>
      </c>
      <c r="N2266" s="7">
        <v>11.333333333333334</v>
      </c>
      <c r="O2266" s="7" t="s">
        <v>180</v>
      </c>
      <c r="P2266" s="7" t="s">
        <v>180</v>
      </c>
    </row>
    <row r="2267" spans="1:16" x14ac:dyDescent="0.25">
      <c r="A2267" s="2" t="s">
        <v>183</v>
      </c>
      <c r="B2267" s="2" t="s">
        <v>199</v>
      </c>
      <c r="C2267" s="6" t="s">
        <v>146</v>
      </c>
      <c r="D2267" s="2" t="s">
        <v>122</v>
      </c>
      <c r="E2267" s="2"/>
      <c r="F2267" s="35">
        <v>5.4149169609489114</v>
      </c>
      <c r="G2267" s="35">
        <v>67.117155569437358</v>
      </c>
      <c r="H2267" s="35">
        <v>-5.1313000629787506</v>
      </c>
      <c r="I2267" s="35">
        <v>-0.35429278271954456</v>
      </c>
      <c r="J2267" s="35">
        <v>4.6940208364121955E-4</v>
      </c>
      <c r="K2267" s="35">
        <v>-2.1632086912283248</v>
      </c>
      <c r="L2267" s="35">
        <v>9.2644097355971677</v>
      </c>
      <c r="M2267" s="58" t="s">
        <v>24</v>
      </c>
      <c r="N2267" s="7">
        <v>11.333333333333334</v>
      </c>
      <c r="O2267" s="7" t="s">
        <v>180</v>
      </c>
      <c r="P2267" s="7" t="s">
        <v>180</v>
      </c>
    </row>
    <row r="2268" spans="1:16" x14ac:dyDescent="0.25">
      <c r="A2268" s="2" t="s">
        <v>183</v>
      </c>
      <c r="B2268" s="2" t="s">
        <v>199</v>
      </c>
      <c r="C2268" s="6" t="s">
        <v>146</v>
      </c>
      <c r="D2268" s="2" t="s">
        <v>122</v>
      </c>
      <c r="E2268" s="2"/>
      <c r="F2268" s="35">
        <v>10.829833921897823</v>
      </c>
      <c r="G2268" s="35">
        <v>69.696566425552845</v>
      </c>
      <c r="H2268" s="35">
        <v>-5.1313000629787506</v>
      </c>
      <c r="I2268" s="35">
        <v>-0.35429278271954456</v>
      </c>
      <c r="J2268" s="35">
        <v>4.6940208364121955E-4</v>
      </c>
      <c r="K2268" s="35">
        <v>-0.24474269293847653</v>
      </c>
      <c r="L2268" s="35">
        <v>37.04997347833902</v>
      </c>
      <c r="M2268" s="58" t="s">
        <v>23</v>
      </c>
      <c r="N2268" s="7">
        <v>11.333333333333334</v>
      </c>
      <c r="O2268" s="7" t="s">
        <v>180</v>
      </c>
      <c r="P2268" s="7" t="s">
        <v>180</v>
      </c>
    </row>
    <row r="2269" spans="1:16" x14ac:dyDescent="0.25">
      <c r="A2269" s="2" t="s">
        <v>183</v>
      </c>
      <c r="B2269" s="2" t="s">
        <v>199</v>
      </c>
      <c r="C2269" s="6" t="s">
        <v>146</v>
      </c>
      <c r="D2269" s="2" t="s">
        <v>123</v>
      </c>
      <c r="E2269" s="2"/>
      <c r="F2269" s="35">
        <v>0</v>
      </c>
      <c r="G2269" s="35">
        <v>-23.715738256575026</v>
      </c>
      <c r="H2269" s="35">
        <v>-1.9011575656521169</v>
      </c>
      <c r="I2269" s="35">
        <v>3.755098382187005</v>
      </c>
      <c r="J2269" s="35">
        <v>4.1989719577875472E-4</v>
      </c>
      <c r="K2269" s="35">
        <v>4.458215872276817</v>
      </c>
      <c r="L2269" s="35">
        <v>-7.9878689504570444</v>
      </c>
      <c r="M2269" s="58" t="s">
        <v>22</v>
      </c>
      <c r="N2269" s="7">
        <v>11.333333333333334</v>
      </c>
      <c r="O2269" s="7" t="s">
        <v>180</v>
      </c>
      <c r="P2269" s="7" t="s">
        <v>180</v>
      </c>
    </row>
    <row r="2270" spans="1:16" x14ac:dyDescent="0.25">
      <c r="A2270" s="2" t="s">
        <v>183</v>
      </c>
      <c r="B2270" s="2" t="s">
        <v>199</v>
      </c>
      <c r="C2270" s="6" t="s">
        <v>146</v>
      </c>
      <c r="D2270" s="2" t="s">
        <v>123</v>
      </c>
      <c r="E2270" s="2"/>
      <c r="F2270" s="35">
        <v>0.29999999999999988</v>
      </c>
      <c r="G2270" s="35">
        <v>-23.572832416575032</v>
      </c>
      <c r="H2270" s="35">
        <v>-1.9011575656521169</v>
      </c>
      <c r="I2270" s="35">
        <v>3.755098382187005</v>
      </c>
      <c r="J2270" s="35">
        <v>4.1989719577875472E-4</v>
      </c>
      <c r="K2270" s="35">
        <v>3.3316863576207165</v>
      </c>
      <c r="L2270" s="35">
        <v>-7.4175216807614088</v>
      </c>
      <c r="M2270" s="58" t="s">
        <v>22</v>
      </c>
      <c r="N2270" s="7">
        <v>11.333333333333334</v>
      </c>
      <c r="O2270" s="7" t="s">
        <v>180</v>
      </c>
      <c r="P2270" s="7" t="s">
        <v>180</v>
      </c>
    </row>
    <row r="2271" spans="1:16" x14ac:dyDescent="0.25">
      <c r="A2271" s="2" t="s">
        <v>183</v>
      </c>
      <c r="B2271" s="2" t="s">
        <v>199</v>
      </c>
      <c r="C2271" s="6" t="s">
        <v>146</v>
      </c>
      <c r="D2271" s="2" t="s">
        <v>123</v>
      </c>
      <c r="E2271" s="2"/>
      <c r="F2271" s="35">
        <v>0.29999999999999988</v>
      </c>
      <c r="G2271" s="35">
        <v>21.869414283304312</v>
      </c>
      <c r="H2271" s="35">
        <v>-1.9011575656520943</v>
      </c>
      <c r="I2271" s="35">
        <v>1.0755378262249926</v>
      </c>
      <c r="J2271" s="35">
        <v>2.7010320771713548E-4</v>
      </c>
      <c r="K2271" s="35">
        <v>3.3316863576207174</v>
      </c>
      <c r="L2271" s="35">
        <v>-7.4175126931221369</v>
      </c>
      <c r="M2271" s="58" t="s">
        <v>22</v>
      </c>
      <c r="N2271" s="7">
        <v>11.333333333333334</v>
      </c>
      <c r="O2271" s="7" t="s">
        <v>180</v>
      </c>
      <c r="P2271" s="7" t="s">
        <v>180</v>
      </c>
    </row>
    <row r="2272" spans="1:16" x14ac:dyDescent="0.25">
      <c r="A2272" s="2" t="s">
        <v>183</v>
      </c>
      <c r="B2272" s="2" t="s">
        <v>199</v>
      </c>
      <c r="C2272" s="6" t="s">
        <v>146</v>
      </c>
      <c r="D2272" s="2" t="s">
        <v>123</v>
      </c>
      <c r="E2272" s="2"/>
      <c r="F2272" s="35">
        <v>5.3</v>
      </c>
      <c r="G2272" s="35">
        <v>24.251178283304306</v>
      </c>
      <c r="H2272" s="35">
        <v>-1.9011575656520943</v>
      </c>
      <c r="I2272" s="35">
        <v>1.0755378262249926</v>
      </c>
      <c r="J2272" s="35">
        <v>2.7010320771713548E-4</v>
      </c>
      <c r="K2272" s="35">
        <v>-2.0460027735042452</v>
      </c>
      <c r="L2272" s="35">
        <v>2.088275135138336</v>
      </c>
      <c r="M2272" s="58" t="s">
        <v>24</v>
      </c>
      <c r="N2272" s="7">
        <v>11.333333333333334</v>
      </c>
      <c r="O2272" s="7" t="s">
        <v>180</v>
      </c>
      <c r="P2272" s="7" t="s">
        <v>180</v>
      </c>
    </row>
    <row r="2273" spans="1:16" x14ac:dyDescent="0.25">
      <c r="A2273" s="2" t="s">
        <v>183</v>
      </c>
      <c r="B2273" s="2" t="s">
        <v>199</v>
      </c>
      <c r="C2273" s="6" t="s">
        <v>146</v>
      </c>
      <c r="D2273" s="2" t="s">
        <v>123</v>
      </c>
      <c r="E2273" s="2"/>
      <c r="F2273" s="35">
        <v>5.3</v>
      </c>
      <c r="G2273" s="35">
        <v>-12.113916702790867</v>
      </c>
      <c r="H2273" s="35">
        <v>-1.9011772046505429</v>
      </c>
      <c r="I2273" s="35">
        <v>-0.32811460594392117</v>
      </c>
      <c r="J2273" s="35">
        <v>3.3949744708402797E-4</v>
      </c>
      <c r="K2273" s="35">
        <v>-2.0460027735042452</v>
      </c>
      <c r="L2273" s="35">
        <v>2.0880020249908551</v>
      </c>
      <c r="M2273" s="58" t="s">
        <v>24</v>
      </c>
      <c r="N2273" s="7">
        <v>11.333333333333334</v>
      </c>
      <c r="O2273" s="7" t="s">
        <v>180</v>
      </c>
      <c r="P2273" s="7" t="s">
        <v>180</v>
      </c>
    </row>
    <row r="2274" spans="1:16" x14ac:dyDescent="0.25">
      <c r="A2274" s="2" t="s">
        <v>183</v>
      </c>
      <c r="B2274" s="2" t="s">
        <v>199</v>
      </c>
      <c r="C2274" s="6" t="s">
        <v>146</v>
      </c>
      <c r="D2274" s="2" t="s">
        <v>123</v>
      </c>
      <c r="E2274" s="2"/>
      <c r="F2274" s="35">
        <v>5.4149169609489114</v>
      </c>
      <c r="G2274" s="35">
        <v>-12.059175686675355</v>
      </c>
      <c r="H2274" s="35">
        <v>-1.9011772046505429</v>
      </c>
      <c r="I2274" s="35">
        <v>-0.32811460594392117</v>
      </c>
      <c r="J2274" s="35">
        <v>3.3949744708402797E-4</v>
      </c>
      <c r="K2274" s="35">
        <v>-2.0082968401462202</v>
      </c>
      <c r="L2274" s="35">
        <v>2.3064795315746407</v>
      </c>
      <c r="M2274" s="58" t="s">
        <v>24</v>
      </c>
      <c r="N2274" s="7">
        <v>11.333333333333334</v>
      </c>
      <c r="O2274" s="7" t="s">
        <v>180</v>
      </c>
      <c r="P2274" s="7" t="s">
        <v>180</v>
      </c>
    </row>
    <row r="2275" spans="1:16" x14ac:dyDescent="0.25">
      <c r="A2275" s="2" t="s">
        <v>183</v>
      </c>
      <c r="B2275" s="2" t="s">
        <v>199</v>
      </c>
      <c r="C2275" s="6" t="s">
        <v>146</v>
      </c>
      <c r="D2275" s="2" t="s">
        <v>123</v>
      </c>
      <c r="E2275" s="2"/>
      <c r="F2275" s="35">
        <v>10.829833921897823</v>
      </c>
      <c r="G2275" s="35">
        <v>-9.4797648305598692</v>
      </c>
      <c r="H2275" s="35">
        <v>-1.9011772046505429</v>
      </c>
      <c r="I2275" s="35">
        <v>-0.32811460594392117</v>
      </c>
      <c r="J2275" s="35">
        <v>3.3949744708402797E-4</v>
      </c>
      <c r="K2275" s="35">
        <v>-0.23158349528541347</v>
      </c>
      <c r="L2275" s="35">
        <v>12.601196222806301</v>
      </c>
      <c r="M2275" s="58" t="s">
        <v>23</v>
      </c>
      <c r="N2275" s="7">
        <v>11.333333333333334</v>
      </c>
      <c r="O2275" s="7" t="s">
        <v>180</v>
      </c>
      <c r="P2275" s="7" t="s">
        <v>180</v>
      </c>
    </row>
    <row r="2276" spans="1:16" x14ac:dyDescent="0.25">
      <c r="A2276" s="2" t="s">
        <v>183</v>
      </c>
      <c r="B2276" s="2" t="s">
        <v>199</v>
      </c>
      <c r="C2276" s="6" t="s">
        <v>146</v>
      </c>
      <c r="D2276" s="2" t="s">
        <v>124</v>
      </c>
      <c r="E2276" s="2"/>
      <c r="F2276" s="35">
        <v>0</v>
      </c>
      <c r="G2276" s="35">
        <v>63.538435795507617</v>
      </c>
      <c r="H2276" s="35">
        <v>1.2402899376926577</v>
      </c>
      <c r="I2276" s="35">
        <v>0.16509687670126535</v>
      </c>
      <c r="J2276" s="35">
        <v>-8.5130551979293985E-5</v>
      </c>
      <c r="K2276" s="35">
        <v>0.55446310956028233</v>
      </c>
      <c r="L2276" s="35">
        <v>20.611153090183592</v>
      </c>
      <c r="M2276" s="58" t="s">
        <v>22</v>
      </c>
      <c r="N2276" s="7">
        <v>11.333333333333334</v>
      </c>
      <c r="O2276" s="7" t="s">
        <v>180</v>
      </c>
      <c r="P2276" s="7" t="s">
        <v>180</v>
      </c>
    </row>
    <row r="2277" spans="1:16" x14ac:dyDescent="0.25">
      <c r="A2277" s="2" t="s">
        <v>183</v>
      </c>
      <c r="B2277" s="2" t="s">
        <v>199</v>
      </c>
      <c r="C2277" s="6" t="s">
        <v>146</v>
      </c>
      <c r="D2277" s="2" t="s">
        <v>124</v>
      </c>
      <c r="E2277" s="2"/>
      <c r="F2277" s="35">
        <v>0.29999999999999988</v>
      </c>
      <c r="G2277" s="35">
        <v>63.681341635507607</v>
      </c>
      <c r="H2277" s="35">
        <v>1.2402899376926577</v>
      </c>
      <c r="I2277" s="35">
        <v>0.16509687670126535</v>
      </c>
      <c r="J2277" s="35">
        <v>-8.5130551979293985E-5</v>
      </c>
      <c r="K2277" s="35">
        <v>0.50493404654990259</v>
      </c>
      <c r="L2277" s="35">
        <v>20.239066108875793</v>
      </c>
      <c r="M2277" s="58" t="s">
        <v>22</v>
      </c>
      <c r="N2277" s="7">
        <v>11.333333333333334</v>
      </c>
      <c r="O2277" s="7" t="s">
        <v>180</v>
      </c>
      <c r="P2277" s="7" t="s">
        <v>180</v>
      </c>
    </row>
    <row r="2278" spans="1:16" x14ac:dyDescent="0.25">
      <c r="A2278" s="2" t="s">
        <v>183</v>
      </c>
      <c r="B2278" s="2" t="s">
        <v>199</v>
      </c>
      <c r="C2278" s="6" t="s">
        <v>146</v>
      </c>
      <c r="D2278" s="2" t="s">
        <v>124</v>
      </c>
      <c r="E2278" s="2"/>
      <c r="F2278" s="35">
        <v>0.29999999999999988</v>
      </c>
      <c r="G2278" s="35">
        <v>64.474396722663954</v>
      </c>
      <c r="H2278" s="35">
        <v>1.240289937692636</v>
      </c>
      <c r="I2278" s="35">
        <v>0.16448781750263125</v>
      </c>
      <c r="J2278" s="35">
        <v>5.7421120139928487E-5</v>
      </c>
      <c r="K2278" s="35">
        <v>0.50493404654990381</v>
      </c>
      <c r="L2278" s="35">
        <v>20.239057555775471</v>
      </c>
      <c r="M2278" s="58" t="s">
        <v>22</v>
      </c>
      <c r="N2278" s="7">
        <v>11.333333333333334</v>
      </c>
      <c r="O2278" s="7" t="s">
        <v>180</v>
      </c>
      <c r="P2278" s="7" t="s">
        <v>180</v>
      </c>
    </row>
    <row r="2279" spans="1:16" x14ac:dyDescent="0.25">
      <c r="A2279" s="2" t="s">
        <v>183</v>
      </c>
      <c r="B2279" s="2" t="s">
        <v>199</v>
      </c>
      <c r="C2279" s="6" t="s">
        <v>146</v>
      </c>
      <c r="D2279" s="2" t="s">
        <v>124</v>
      </c>
      <c r="E2279" s="2"/>
      <c r="F2279" s="35">
        <v>5.3</v>
      </c>
      <c r="G2279" s="35">
        <v>66.856160722663944</v>
      </c>
      <c r="H2279" s="35">
        <v>1.240289937692636</v>
      </c>
      <c r="I2279" s="35">
        <v>0.16448781750263125</v>
      </c>
      <c r="J2279" s="35">
        <v>5.7421120139928487E-5</v>
      </c>
      <c r="K2279" s="35">
        <v>-0.31750504096325244</v>
      </c>
      <c r="L2279" s="35">
        <v>14.037607867312289</v>
      </c>
      <c r="M2279" s="58" t="s">
        <v>24</v>
      </c>
      <c r="N2279" s="7">
        <v>11.333333333333334</v>
      </c>
      <c r="O2279" s="7" t="s">
        <v>180</v>
      </c>
      <c r="P2279" s="7" t="s">
        <v>180</v>
      </c>
    </row>
    <row r="2280" spans="1:16" x14ac:dyDescent="0.25">
      <c r="A2280" s="2" t="s">
        <v>183</v>
      </c>
      <c r="B2280" s="2" t="s">
        <v>199</v>
      </c>
      <c r="C2280" s="6" t="s">
        <v>146</v>
      </c>
      <c r="D2280" s="2" t="s">
        <v>124</v>
      </c>
      <c r="E2280" s="2"/>
      <c r="F2280" s="35">
        <v>5.3</v>
      </c>
      <c r="G2280" s="35">
        <v>69.563105749460604</v>
      </c>
      <c r="H2280" s="35">
        <v>1.2402812659346552</v>
      </c>
      <c r="I2280" s="35">
        <v>-4.1361833817592827E-2</v>
      </c>
      <c r="J2280" s="35">
        <v>1.8300849438966725E-4</v>
      </c>
      <c r="K2280" s="35">
        <v>-0.31750504096325272</v>
      </c>
      <c r="L2280" s="35">
        <v>14.037414482631624</v>
      </c>
      <c r="M2280" s="58" t="s">
        <v>24</v>
      </c>
      <c r="N2280" s="7">
        <v>11.333333333333334</v>
      </c>
      <c r="O2280" s="7" t="s">
        <v>180</v>
      </c>
      <c r="P2280" s="7" t="s">
        <v>180</v>
      </c>
    </row>
    <row r="2281" spans="1:16" x14ac:dyDescent="0.25">
      <c r="A2281" s="2" t="s">
        <v>183</v>
      </c>
      <c r="B2281" s="2" t="s">
        <v>199</v>
      </c>
      <c r="C2281" s="6" t="s">
        <v>146</v>
      </c>
      <c r="D2281" s="2" t="s">
        <v>124</v>
      </c>
      <c r="E2281" s="2"/>
      <c r="F2281" s="35">
        <v>5.4149169609489114</v>
      </c>
      <c r="G2281" s="35">
        <v>69.617846765576118</v>
      </c>
      <c r="H2281" s="35">
        <v>1.2402812659346552</v>
      </c>
      <c r="I2281" s="35">
        <v>-4.1361833817592827E-2</v>
      </c>
      <c r="J2281" s="35">
        <v>1.8300849438966725E-4</v>
      </c>
      <c r="K2281" s="35">
        <v>-0.312751864721661</v>
      </c>
      <c r="L2281" s="35">
        <v>13.894885128828546</v>
      </c>
      <c r="M2281" s="58" t="s">
        <v>24</v>
      </c>
      <c r="N2281" s="7">
        <v>11.333333333333334</v>
      </c>
      <c r="O2281" s="7" t="s">
        <v>180</v>
      </c>
      <c r="P2281" s="7" t="s">
        <v>180</v>
      </c>
    </row>
    <row r="2282" spans="1:16" x14ac:dyDescent="0.25">
      <c r="A2282" s="2" t="s">
        <v>183</v>
      </c>
      <c r="B2282" s="2" t="s">
        <v>199</v>
      </c>
      <c r="C2282" s="6" t="s">
        <v>146</v>
      </c>
      <c r="D2282" s="2" t="s">
        <v>124</v>
      </c>
      <c r="E2282" s="2"/>
      <c r="F2282" s="35">
        <v>10.829833921897823</v>
      </c>
      <c r="G2282" s="35">
        <v>72.197257621691605</v>
      </c>
      <c r="H2282" s="35">
        <v>1.2402812659346552</v>
      </c>
      <c r="I2282" s="35">
        <v>-4.1361833817592827E-2</v>
      </c>
      <c r="J2282" s="35">
        <v>1.8300849438966725E-4</v>
      </c>
      <c r="K2282" s="35">
        <v>-8.8780969246827476E-2</v>
      </c>
      <c r="L2282" s="35">
        <v>7.1788650655717943</v>
      </c>
      <c r="M2282" s="58" t="s">
        <v>23</v>
      </c>
      <c r="N2282" s="7">
        <v>11.333333333333334</v>
      </c>
      <c r="O2282" s="7" t="s">
        <v>180</v>
      </c>
      <c r="P2282" s="7" t="s">
        <v>180</v>
      </c>
    </row>
    <row r="2283" spans="1:16" x14ac:dyDescent="0.25">
      <c r="A2283" s="2" t="s">
        <v>183</v>
      </c>
      <c r="B2283" s="2" t="s">
        <v>199</v>
      </c>
      <c r="C2283" s="6" t="s">
        <v>146</v>
      </c>
      <c r="D2283" s="2" t="s">
        <v>125</v>
      </c>
      <c r="E2283" s="2"/>
      <c r="F2283" s="35">
        <v>0</v>
      </c>
      <c r="G2283" s="35">
        <v>-147.91033974642338</v>
      </c>
      <c r="H2283" s="35">
        <v>14.870231034390775</v>
      </c>
      <c r="I2283" s="35">
        <v>1.8303469912717416</v>
      </c>
      <c r="J2283" s="35">
        <v>-2.6389470202604789E-4</v>
      </c>
      <c r="K2283" s="35">
        <v>0.64927853671494329</v>
      </c>
      <c r="L2283" s="35">
        <v>86.031943970559098</v>
      </c>
      <c r="M2283" s="58" t="s">
        <v>22</v>
      </c>
      <c r="N2283" s="7">
        <v>11.333333333333334</v>
      </c>
      <c r="O2283" s="7" t="s">
        <v>180</v>
      </c>
      <c r="P2283" s="7" t="s">
        <v>180</v>
      </c>
    </row>
    <row r="2284" spans="1:16" x14ac:dyDescent="0.25">
      <c r="A2284" s="2" t="s">
        <v>183</v>
      </c>
      <c r="B2284" s="2" t="s">
        <v>199</v>
      </c>
      <c r="C2284" s="6" t="s">
        <v>146</v>
      </c>
      <c r="D2284" s="2" t="s">
        <v>125</v>
      </c>
      <c r="E2284" s="2"/>
      <c r="F2284" s="35">
        <v>0.29999999999999988</v>
      </c>
      <c r="G2284" s="35">
        <v>-147.76743390642341</v>
      </c>
      <c r="H2284" s="35">
        <v>14.870231034390775</v>
      </c>
      <c r="I2284" s="35">
        <v>1.8303469912717416</v>
      </c>
      <c r="J2284" s="35">
        <v>-2.6389470202604789E-4</v>
      </c>
      <c r="K2284" s="35">
        <v>0.10017443933342106</v>
      </c>
      <c r="L2284" s="35">
        <v>81.57087466024187</v>
      </c>
      <c r="M2284" s="58" t="s">
        <v>22</v>
      </c>
      <c r="N2284" s="7">
        <v>11.333333333333334</v>
      </c>
      <c r="O2284" s="7" t="s">
        <v>180</v>
      </c>
      <c r="P2284" s="7" t="s">
        <v>180</v>
      </c>
    </row>
    <row r="2285" spans="1:16" x14ac:dyDescent="0.25">
      <c r="A2285" s="2" t="s">
        <v>183</v>
      </c>
      <c r="B2285" s="2" t="s">
        <v>199</v>
      </c>
      <c r="C2285" s="6" t="s">
        <v>146</v>
      </c>
      <c r="D2285" s="2" t="s">
        <v>125</v>
      </c>
      <c r="E2285" s="2"/>
      <c r="F2285" s="35">
        <v>0.29999999999999988</v>
      </c>
      <c r="G2285" s="35">
        <v>-117.06806487533223</v>
      </c>
      <c r="H2285" s="35">
        <v>14.870231034390734</v>
      </c>
      <c r="I2285" s="35">
        <v>3.5359095437036227E-2</v>
      </c>
      <c r="J2285" s="35">
        <v>1.8603029365919904E-4</v>
      </c>
      <c r="K2285" s="35">
        <v>0.100174439333419</v>
      </c>
      <c r="L2285" s="35">
        <v>81.570847664742089</v>
      </c>
      <c r="M2285" s="58" t="s">
        <v>22</v>
      </c>
      <c r="N2285" s="7">
        <v>11.333333333333334</v>
      </c>
      <c r="O2285" s="7" t="s">
        <v>180</v>
      </c>
      <c r="P2285" s="7" t="s">
        <v>180</v>
      </c>
    </row>
    <row r="2286" spans="1:16" x14ac:dyDescent="0.25">
      <c r="A2286" s="2" t="s">
        <v>183</v>
      </c>
      <c r="B2286" s="2" t="s">
        <v>199</v>
      </c>
      <c r="C2286" s="6" t="s">
        <v>146</v>
      </c>
      <c r="D2286" s="2" t="s">
        <v>125</v>
      </c>
      <c r="E2286" s="2"/>
      <c r="F2286" s="35">
        <v>5.3</v>
      </c>
      <c r="G2286" s="35">
        <v>-114.68630087533222</v>
      </c>
      <c r="H2286" s="35">
        <v>14.870231034390734</v>
      </c>
      <c r="I2286" s="35">
        <v>3.5359095437036227E-2</v>
      </c>
      <c r="J2286" s="35">
        <v>1.8603029365919904E-4</v>
      </c>
      <c r="K2286" s="35">
        <v>-7.662103785176208E-2</v>
      </c>
      <c r="L2286" s="35">
        <v>7.2196924927884307</v>
      </c>
      <c r="M2286" s="58" t="s">
        <v>24</v>
      </c>
      <c r="N2286" s="7">
        <v>11.333333333333334</v>
      </c>
      <c r="O2286" s="7" t="s">
        <v>180</v>
      </c>
      <c r="P2286" s="7" t="s">
        <v>180</v>
      </c>
    </row>
    <row r="2287" spans="1:16" x14ac:dyDescent="0.25">
      <c r="A2287" s="2" t="s">
        <v>183</v>
      </c>
      <c r="B2287" s="2" t="s">
        <v>199</v>
      </c>
      <c r="C2287" s="6" t="s">
        <v>146</v>
      </c>
      <c r="D2287" s="2" t="s">
        <v>125</v>
      </c>
      <c r="E2287" s="2"/>
      <c r="F2287" s="35">
        <v>5.3</v>
      </c>
      <c r="G2287" s="35">
        <v>-140.206856235674</v>
      </c>
      <c r="H2287" s="35">
        <v>14.870178446429797</v>
      </c>
      <c r="I2287" s="35">
        <v>-1.4274209331177799E-3</v>
      </c>
      <c r="J2287" s="35">
        <v>-1.0250032739714027E-4</v>
      </c>
      <c r="K2287" s="35">
        <v>-7.6621037851761914E-2</v>
      </c>
      <c r="L2287" s="35">
        <v>7.2201126895283325</v>
      </c>
      <c r="M2287" s="58" t="s">
        <v>24</v>
      </c>
      <c r="N2287" s="7">
        <v>11.333333333333334</v>
      </c>
      <c r="O2287" s="7" t="s">
        <v>180</v>
      </c>
      <c r="P2287" s="7" t="s">
        <v>180</v>
      </c>
    </row>
    <row r="2288" spans="1:16" x14ac:dyDescent="0.25">
      <c r="A2288" s="2" t="s">
        <v>183</v>
      </c>
      <c r="B2288" s="2" t="s">
        <v>199</v>
      </c>
      <c r="C2288" s="6" t="s">
        <v>146</v>
      </c>
      <c r="D2288" s="2" t="s">
        <v>125</v>
      </c>
      <c r="E2288" s="2"/>
      <c r="F2288" s="35">
        <v>5.4149169609489114</v>
      </c>
      <c r="G2288" s="35">
        <v>-140.15211521955851</v>
      </c>
      <c r="H2288" s="35">
        <v>14.870178446429797</v>
      </c>
      <c r="I2288" s="35">
        <v>-1.4274209331177799E-3</v>
      </c>
      <c r="J2288" s="35">
        <v>-1.0250032739714027E-4</v>
      </c>
      <c r="K2288" s="35">
        <v>-7.6457002976133184E-2</v>
      </c>
      <c r="L2288" s="35">
        <v>5.5112769736966145</v>
      </c>
      <c r="M2288" s="58" t="s">
        <v>24</v>
      </c>
      <c r="N2288" s="7">
        <v>11.333333333333334</v>
      </c>
      <c r="O2288" s="7" t="s">
        <v>180</v>
      </c>
      <c r="P2288" s="7" t="s">
        <v>180</v>
      </c>
    </row>
    <row r="2289" spans="1:16" x14ac:dyDescent="0.25">
      <c r="A2289" s="2" t="s">
        <v>183</v>
      </c>
      <c r="B2289" s="2" t="s">
        <v>199</v>
      </c>
      <c r="C2289" s="6" t="s">
        <v>146</v>
      </c>
      <c r="D2289" s="2" t="s">
        <v>125</v>
      </c>
      <c r="E2289" s="2"/>
      <c r="F2289" s="35">
        <v>10.829833921897823</v>
      </c>
      <c r="G2289" s="35">
        <v>-137.57270436344302</v>
      </c>
      <c r="H2289" s="35">
        <v>14.870178446429797</v>
      </c>
      <c r="I2289" s="35">
        <v>-1.4274209331177799E-3</v>
      </c>
      <c r="J2289" s="35">
        <v>-1.0250032739714027E-4</v>
      </c>
      <c r="K2289" s="35">
        <v>-6.8727637154980176E-2</v>
      </c>
      <c r="L2289" s="35">
        <v>-75.009504508213013</v>
      </c>
      <c r="M2289" s="58" t="s">
        <v>23</v>
      </c>
      <c r="N2289" s="7">
        <v>11.333333333333334</v>
      </c>
      <c r="O2289" s="7" t="s">
        <v>180</v>
      </c>
      <c r="P2289" s="7" t="s">
        <v>180</v>
      </c>
    </row>
    <row r="2290" spans="1:16" x14ac:dyDescent="0.25">
      <c r="A2290" s="2" t="s">
        <v>183</v>
      </c>
      <c r="B2290" s="2" t="s">
        <v>199</v>
      </c>
      <c r="C2290" s="6" t="s">
        <v>146</v>
      </c>
      <c r="D2290" s="2" t="s">
        <v>126</v>
      </c>
      <c r="E2290" s="2"/>
      <c r="F2290" s="35">
        <v>0</v>
      </c>
      <c r="G2290" s="35">
        <v>65.511831897063317</v>
      </c>
      <c r="H2290" s="35">
        <v>-8.7300987206273142</v>
      </c>
      <c r="I2290" s="35">
        <v>0.12777020966986605</v>
      </c>
      <c r="J2290" s="35">
        <v>2.4285829703222744E-4</v>
      </c>
      <c r="K2290" s="35">
        <v>0.52511855121412754</v>
      </c>
      <c r="L2290" s="35">
        <v>-46.055866715685987</v>
      </c>
      <c r="M2290" s="58" t="s">
        <v>22</v>
      </c>
      <c r="N2290" s="7">
        <v>11.333333333333334</v>
      </c>
      <c r="O2290" s="7" t="s">
        <v>180</v>
      </c>
      <c r="P2290" s="7" t="s">
        <v>180</v>
      </c>
    </row>
    <row r="2291" spans="1:16" x14ac:dyDescent="0.25">
      <c r="A2291" s="2" t="s">
        <v>183</v>
      </c>
      <c r="B2291" s="2" t="s">
        <v>199</v>
      </c>
      <c r="C2291" s="6" t="s">
        <v>146</v>
      </c>
      <c r="D2291" s="2" t="s">
        <v>126</v>
      </c>
      <c r="E2291" s="2"/>
      <c r="F2291" s="35">
        <v>0.29999999999999988</v>
      </c>
      <c r="G2291" s="35">
        <v>65.6547377370633</v>
      </c>
      <c r="H2291" s="35">
        <v>-8.7300987206273142</v>
      </c>
      <c r="I2291" s="35">
        <v>0.12777020966986605</v>
      </c>
      <c r="J2291" s="35">
        <v>2.4285829703222744E-4</v>
      </c>
      <c r="K2291" s="35">
        <v>0.48678748831316782</v>
      </c>
      <c r="L2291" s="35">
        <v>-43.436837099497794</v>
      </c>
      <c r="M2291" s="58" t="s">
        <v>22</v>
      </c>
      <c r="N2291" s="7">
        <v>11.333333333333334</v>
      </c>
      <c r="O2291" s="7" t="s">
        <v>180</v>
      </c>
      <c r="P2291" s="7" t="s">
        <v>180</v>
      </c>
    </row>
    <row r="2292" spans="1:16" x14ac:dyDescent="0.25">
      <c r="A2292" s="2" t="s">
        <v>183</v>
      </c>
      <c r="B2292" s="2" t="s">
        <v>199</v>
      </c>
      <c r="C2292" s="6" t="s">
        <v>146</v>
      </c>
      <c r="D2292" s="2" t="s">
        <v>126</v>
      </c>
      <c r="E2292" s="2"/>
      <c r="F2292" s="35">
        <v>0.29999999999999988</v>
      </c>
      <c r="G2292" s="35">
        <v>65.923945968230171</v>
      </c>
      <c r="H2292" s="35">
        <v>-8.7300987206273373</v>
      </c>
      <c r="I2292" s="35">
        <v>0.15859196183060739</v>
      </c>
      <c r="J2292" s="35">
        <v>5.8681111271160785E-7</v>
      </c>
      <c r="K2292" s="35">
        <v>0.48678748831316793</v>
      </c>
      <c r="L2292" s="35">
        <v>-43.436822563208644</v>
      </c>
      <c r="M2292" s="58" t="s">
        <v>22</v>
      </c>
      <c r="N2292" s="7">
        <v>11.333333333333334</v>
      </c>
      <c r="O2292" s="7" t="s">
        <v>180</v>
      </c>
      <c r="P2292" s="7" t="s">
        <v>180</v>
      </c>
    </row>
    <row r="2293" spans="1:16" x14ac:dyDescent="0.25">
      <c r="A2293" s="2" t="s">
        <v>183</v>
      </c>
      <c r="B2293" s="2" t="s">
        <v>199</v>
      </c>
      <c r="C2293" s="6" t="s">
        <v>146</v>
      </c>
      <c r="D2293" s="2" t="s">
        <v>126</v>
      </c>
      <c r="E2293" s="2"/>
      <c r="F2293" s="35">
        <v>5.3</v>
      </c>
      <c r="G2293" s="35">
        <v>68.305709968230161</v>
      </c>
      <c r="H2293" s="35">
        <v>-8.7300987206273373</v>
      </c>
      <c r="I2293" s="35">
        <v>0.15859196183060739</v>
      </c>
      <c r="J2293" s="35">
        <v>5.8681111271160785E-7</v>
      </c>
      <c r="K2293" s="35">
        <v>-0.30617232083986917</v>
      </c>
      <c r="L2293" s="35">
        <v>0.21367103992803949</v>
      </c>
      <c r="M2293" s="58" t="s">
        <v>24</v>
      </c>
      <c r="N2293" s="7">
        <v>11.333333333333334</v>
      </c>
      <c r="O2293" s="7" t="s">
        <v>180</v>
      </c>
      <c r="P2293" s="7" t="s">
        <v>180</v>
      </c>
    </row>
    <row r="2294" spans="1:16" x14ac:dyDescent="0.25">
      <c r="A2294" s="2" t="s">
        <v>183</v>
      </c>
      <c r="B2294" s="2" t="s">
        <v>199</v>
      </c>
      <c r="C2294" s="6" t="s">
        <v>146</v>
      </c>
      <c r="D2294" s="2" t="s">
        <v>126</v>
      </c>
      <c r="E2294" s="2"/>
      <c r="F2294" s="35">
        <v>5.3</v>
      </c>
      <c r="G2294" s="35">
        <v>71.486309329224781</v>
      </c>
      <c r="H2294" s="35">
        <v>-8.7300714942076816</v>
      </c>
      <c r="I2294" s="35">
        <v>-3.9487296223974545E-2</v>
      </c>
      <c r="J2294" s="35">
        <v>2.2377470735824431E-4</v>
      </c>
      <c r="K2294" s="35">
        <v>-0.30617232083986934</v>
      </c>
      <c r="L2294" s="35">
        <v>0.21331919318664813</v>
      </c>
      <c r="M2294" s="58" t="s">
        <v>24</v>
      </c>
      <c r="N2294" s="7">
        <v>11.333333333333334</v>
      </c>
      <c r="O2294" s="7" t="s">
        <v>180</v>
      </c>
      <c r="P2294" s="7" t="s">
        <v>180</v>
      </c>
    </row>
    <row r="2295" spans="1:16" x14ac:dyDescent="0.25">
      <c r="A2295" s="2" t="s">
        <v>183</v>
      </c>
      <c r="B2295" s="2" t="s">
        <v>199</v>
      </c>
      <c r="C2295" s="6" t="s">
        <v>146</v>
      </c>
      <c r="D2295" s="2" t="s">
        <v>126</v>
      </c>
      <c r="E2295" s="2"/>
      <c r="F2295" s="35">
        <v>5.4149169609489114</v>
      </c>
      <c r="G2295" s="35">
        <v>71.541050345340295</v>
      </c>
      <c r="H2295" s="35">
        <v>-8.7300714942076816</v>
      </c>
      <c r="I2295" s="35">
        <v>-3.9487296223974545E-2</v>
      </c>
      <c r="J2295" s="35">
        <v>2.2377470735824431E-4</v>
      </c>
      <c r="K2295" s="35">
        <v>-0.30163456076172079</v>
      </c>
      <c r="L2295" s="35">
        <v>1.2165524781677171</v>
      </c>
      <c r="M2295" s="58" t="s">
        <v>24</v>
      </c>
      <c r="N2295" s="7">
        <v>11.333333333333334</v>
      </c>
      <c r="O2295" s="7" t="s">
        <v>180</v>
      </c>
      <c r="P2295" s="7" t="s">
        <v>180</v>
      </c>
    </row>
    <row r="2296" spans="1:16" x14ac:dyDescent="0.25">
      <c r="A2296" s="2" t="s">
        <v>183</v>
      </c>
      <c r="B2296" s="2" t="s">
        <v>199</v>
      </c>
      <c r="C2296" s="6" t="s">
        <v>146</v>
      </c>
      <c r="D2296" s="2" t="s">
        <v>126</v>
      </c>
      <c r="E2296" s="2"/>
      <c r="F2296" s="35">
        <v>10.829833921897823</v>
      </c>
      <c r="G2296" s="35">
        <v>74.120461201455782</v>
      </c>
      <c r="H2296" s="35">
        <v>-8.7300714942076816</v>
      </c>
      <c r="I2296" s="35">
        <v>-3.9487296223974545E-2</v>
      </c>
      <c r="J2296" s="35">
        <v>2.2377470735824431E-4</v>
      </c>
      <c r="K2296" s="35">
        <v>-8.781413069650712E-2</v>
      </c>
      <c r="L2296" s="35">
        <v>48.489164682449477</v>
      </c>
      <c r="M2296" s="58" t="s">
        <v>23</v>
      </c>
      <c r="N2296" s="7">
        <v>11.333333333333334</v>
      </c>
      <c r="O2296" s="7" t="s">
        <v>180</v>
      </c>
      <c r="P2296" s="7" t="s">
        <v>180</v>
      </c>
    </row>
    <row r="2297" spans="1:16" x14ac:dyDescent="0.25">
      <c r="A2297" s="2" t="s">
        <v>183</v>
      </c>
      <c r="B2297" s="2" t="s">
        <v>199</v>
      </c>
      <c r="C2297" s="6" t="s">
        <v>146</v>
      </c>
      <c r="D2297" s="2" t="s">
        <v>127</v>
      </c>
      <c r="E2297" s="2"/>
      <c r="F2297" s="35">
        <v>0</v>
      </c>
      <c r="G2297" s="35">
        <v>-51.415138824370395</v>
      </c>
      <c r="H2297" s="35">
        <v>-20.554270748720917</v>
      </c>
      <c r="I2297" s="35">
        <v>0.90460847051264437</v>
      </c>
      <c r="J2297" s="35">
        <v>3.2809695719369621E-4</v>
      </c>
      <c r="K2297" s="35">
        <v>0.39648430787651984</v>
      </c>
      <c r="L2297" s="35">
        <v>-114.37736078193188</v>
      </c>
      <c r="M2297" s="58" t="s">
        <v>22</v>
      </c>
      <c r="N2297" s="7">
        <v>11.333333333333334</v>
      </c>
      <c r="O2297" s="7" t="s">
        <v>180</v>
      </c>
      <c r="P2297" s="7" t="s">
        <v>180</v>
      </c>
    </row>
    <row r="2298" spans="1:16" x14ac:dyDescent="0.25">
      <c r="A2298" s="2" t="s">
        <v>183</v>
      </c>
      <c r="B2298" s="2" t="s">
        <v>199</v>
      </c>
      <c r="C2298" s="6" t="s">
        <v>146</v>
      </c>
      <c r="D2298" s="2" t="s">
        <v>127</v>
      </c>
      <c r="E2298" s="2"/>
      <c r="F2298" s="35">
        <v>0.29999999999999988</v>
      </c>
      <c r="G2298" s="35">
        <v>-51.272232984370405</v>
      </c>
      <c r="H2298" s="35">
        <v>-20.554270748720917</v>
      </c>
      <c r="I2298" s="35">
        <v>0.90460847051264437</v>
      </c>
      <c r="J2298" s="35">
        <v>3.2809695719369621E-4</v>
      </c>
      <c r="K2298" s="35">
        <v>0.12510176672272663</v>
      </c>
      <c r="L2298" s="35">
        <v>-108.2110795573156</v>
      </c>
      <c r="M2298" s="58" t="s">
        <v>22</v>
      </c>
      <c r="N2298" s="7">
        <v>11.333333333333334</v>
      </c>
      <c r="O2298" s="7" t="s">
        <v>180</v>
      </c>
      <c r="P2298" s="7" t="s">
        <v>180</v>
      </c>
    </row>
    <row r="2299" spans="1:16" x14ac:dyDescent="0.25">
      <c r="A2299" s="2" t="s">
        <v>183</v>
      </c>
      <c r="B2299" s="2" t="s">
        <v>199</v>
      </c>
      <c r="C2299" s="6" t="s">
        <v>146</v>
      </c>
      <c r="D2299" s="2" t="s">
        <v>127</v>
      </c>
      <c r="E2299" s="2"/>
      <c r="F2299" s="35">
        <v>0.29999999999999988</v>
      </c>
      <c r="G2299" s="35">
        <v>-36.105978385442768</v>
      </c>
      <c r="H2299" s="35">
        <v>-20.554270748720981</v>
      </c>
      <c r="I2299" s="35">
        <v>4.1607440607748694E-2</v>
      </c>
      <c r="J2299" s="35">
        <v>-2.3130688215845517E-4</v>
      </c>
      <c r="K2299" s="35">
        <v>0.12510176672272535</v>
      </c>
      <c r="L2299" s="35">
        <v>-108.21104599308521</v>
      </c>
      <c r="M2299" s="58" t="s">
        <v>22</v>
      </c>
      <c r="N2299" s="7">
        <v>11.333333333333334</v>
      </c>
      <c r="O2299" s="7" t="s">
        <v>180</v>
      </c>
      <c r="P2299" s="7" t="s">
        <v>180</v>
      </c>
    </row>
    <row r="2300" spans="1:16" x14ac:dyDescent="0.25">
      <c r="A2300" s="2" t="s">
        <v>183</v>
      </c>
      <c r="B2300" s="2" t="s">
        <v>199</v>
      </c>
      <c r="C2300" s="6" t="s">
        <v>146</v>
      </c>
      <c r="D2300" s="2" t="s">
        <v>127</v>
      </c>
      <c r="E2300" s="2"/>
      <c r="F2300" s="35">
        <v>5.3</v>
      </c>
      <c r="G2300" s="35">
        <v>-33.724214385442771</v>
      </c>
      <c r="H2300" s="35">
        <v>-20.554270748720981</v>
      </c>
      <c r="I2300" s="35">
        <v>4.1607440607748694E-2</v>
      </c>
      <c r="J2300" s="35">
        <v>-2.3130688215845517E-4</v>
      </c>
      <c r="K2300" s="35">
        <v>-8.2935436316018102E-2</v>
      </c>
      <c r="L2300" s="35">
        <v>-5.4396922494803164</v>
      </c>
      <c r="M2300" s="58" t="s">
        <v>24</v>
      </c>
      <c r="N2300" s="7">
        <v>11.333333333333334</v>
      </c>
      <c r="O2300" s="7" t="s">
        <v>180</v>
      </c>
      <c r="P2300" s="7" t="s">
        <v>180</v>
      </c>
    </row>
    <row r="2301" spans="1:16" x14ac:dyDescent="0.25">
      <c r="A2301" s="2" t="s">
        <v>183</v>
      </c>
      <c r="B2301" s="2" t="s">
        <v>199</v>
      </c>
      <c r="C2301" s="6" t="s">
        <v>146</v>
      </c>
      <c r="D2301" s="2" t="s">
        <v>127</v>
      </c>
      <c r="E2301" s="2"/>
      <c r="F2301" s="35">
        <v>5.3</v>
      </c>
      <c r="G2301" s="35">
        <v>-44.782413052504111</v>
      </c>
      <c r="H2301" s="35">
        <v>-20.55419254176708</v>
      </c>
      <c r="I2301" s="35">
        <v>-2.5027549656295059E-3</v>
      </c>
      <c r="J2301" s="35">
        <v>2.2277414710974801E-4</v>
      </c>
      <c r="K2301" s="35">
        <v>-8.2935436316018435E-2</v>
      </c>
      <c r="L2301" s="35">
        <v>-5.4403224349434014</v>
      </c>
      <c r="M2301" s="58" t="s">
        <v>24</v>
      </c>
      <c r="N2301" s="7">
        <v>11.333333333333334</v>
      </c>
      <c r="O2301" s="7" t="s">
        <v>180</v>
      </c>
      <c r="P2301" s="7" t="s">
        <v>180</v>
      </c>
    </row>
    <row r="2302" spans="1:16" x14ac:dyDescent="0.25">
      <c r="A2302" s="2" t="s">
        <v>183</v>
      </c>
      <c r="B2302" s="2" t="s">
        <v>199</v>
      </c>
      <c r="C2302" s="6" t="s">
        <v>146</v>
      </c>
      <c r="D2302" s="2" t="s">
        <v>127</v>
      </c>
      <c r="E2302" s="2"/>
      <c r="F2302" s="35">
        <v>5.4149169609489114</v>
      </c>
      <c r="G2302" s="35">
        <v>-44.727672036388597</v>
      </c>
      <c r="H2302" s="35">
        <v>-20.55419254176708</v>
      </c>
      <c r="I2302" s="35">
        <v>-2.5027549656295059E-3</v>
      </c>
      <c r="J2302" s="35">
        <v>2.2277414710974801E-4</v>
      </c>
      <c r="K2302" s="35">
        <v>-8.2647827321368508E-2</v>
      </c>
      <c r="L2302" s="35">
        <v>-3.0782970932847475</v>
      </c>
      <c r="M2302" s="58" t="s">
        <v>24</v>
      </c>
      <c r="N2302" s="7">
        <v>11.333333333333334</v>
      </c>
      <c r="O2302" s="7" t="s">
        <v>180</v>
      </c>
      <c r="P2302" s="7" t="s">
        <v>180</v>
      </c>
    </row>
    <row r="2303" spans="1:16" x14ac:dyDescent="0.25">
      <c r="A2303" s="2" t="s">
        <v>183</v>
      </c>
      <c r="B2303" s="2" t="s">
        <v>199</v>
      </c>
      <c r="C2303" s="6" t="s">
        <v>146</v>
      </c>
      <c r="D2303" s="2" t="s">
        <v>127</v>
      </c>
      <c r="E2303" s="2"/>
      <c r="F2303" s="35">
        <v>10.829833921897823</v>
      </c>
      <c r="G2303" s="35">
        <v>-42.14826118027311</v>
      </c>
      <c r="H2303" s="35">
        <v>-20.55419254176708</v>
      </c>
      <c r="I2303" s="35">
        <v>-2.5027549656295059E-3</v>
      </c>
      <c r="J2303" s="35">
        <v>2.2277414710974801E-4</v>
      </c>
      <c r="K2303" s="35">
        <v>-6.9095617008882185E-2</v>
      </c>
      <c r="L2303" s="35">
        <v>108.22094871973938</v>
      </c>
      <c r="M2303" s="58" t="s">
        <v>23</v>
      </c>
      <c r="N2303" s="7">
        <v>11.333333333333334</v>
      </c>
      <c r="O2303" s="7" t="s">
        <v>180</v>
      </c>
      <c r="P2303" s="7" t="s">
        <v>180</v>
      </c>
    </row>
    <row r="2304" spans="1:16" x14ac:dyDescent="0.25">
      <c r="A2304" s="2" t="s">
        <v>183</v>
      </c>
      <c r="B2304" s="2" t="s">
        <v>200</v>
      </c>
      <c r="C2304" s="6" t="s">
        <v>147</v>
      </c>
      <c r="D2304" s="2" t="s">
        <v>105</v>
      </c>
      <c r="E2304" s="2"/>
      <c r="F2304" s="35">
        <v>0</v>
      </c>
      <c r="G2304" s="35">
        <v>-100.33249529229833</v>
      </c>
      <c r="H2304" s="35">
        <v>-1.882734410594866</v>
      </c>
      <c r="I2304" s="35">
        <v>1.1193782463810735</v>
      </c>
      <c r="J2304" s="35">
        <v>-2.7617610842840031E-5</v>
      </c>
      <c r="K2304" s="35">
        <v>0.21863665523843226</v>
      </c>
      <c r="L2304" s="35">
        <v>-4.6202971361885483</v>
      </c>
      <c r="M2304" s="58" t="s">
        <v>22</v>
      </c>
      <c r="N2304" s="7">
        <v>11.333333333333334</v>
      </c>
      <c r="O2304" s="7" t="s">
        <v>180</v>
      </c>
      <c r="P2304" s="7" t="s">
        <v>180</v>
      </c>
    </row>
    <row r="2305" spans="1:16" x14ac:dyDescent="0.25">
      <c r="A2305" s="2" t="s">
        <v>183</v>
      </c>
      <c r="B2305" s="2" t="s">
        <v>200</v>
      </c>
      <c r="C2305" s="6" t="s">
        <v>147</v>
      </c>
      <c r="D2305" s="2" t="s">
        <v>105</v>
      </c>
      <c r="E2305" s="2"/>
      <c r="F2305" s="35">
        <v>0.29999999999999988</v>
      </c>
      <c r="G2305" s="35">
        <v>-100.18958945229832</v>
      </c>
      <c r="H2305" s="35">
        <v>-1.882734410594866</v>
      </c>
      <c r="I2305" s="35">
        <v>1.1193782463810735</v>
      </c>
      <c r="J2305" s="35">
        <v>-2.7617610842840031E-5</v>
      </c>
      <c r="K2305" s="35">
        <v>-0.11717681867588965</v>
      </c>
      <c r="L2305" s="35">
        <v>-4.0554768130100882</v>
      </c>
      <c r="M2305" s="58" t="s">
        <v>22</v>
      </c>
      <c r="N2305" s="7">
        <v>11.333333333333334</v>
      </c>
      <c r="O2305" s="7" t="s">
        <v>180</v>
      </c>
      <c r="P2305" s="7" t="s">
        <v>180</v>
      </c>
    </row>
    <row r="2306" spans="1:16" x14ac:dyDescent="0.25">
      <c r="A2306" s="2" t="s">
        <v>183</v>
      </c>
      <c r="B2306" s="2" t="s">
        <v>200</v>
      </c>
      <c r="C2306" s="6" t="s">
        <v>147</v>
      </c>
      <c r="D2306" s="2" t="s">
        <v>105</v>
      </c>
      <c r="E2306" s="2"/>
      <c r="F2306" s="35">
        <v>0.29999999999999988</v>
      </c>
      <c r="G2306" s="35">
        <v>-80.101826080352652</v>
      </c>
      <c r="H2306" s="35">
        <v>-1.8827344105948665</v>
      </c>
      <c r="I2306" s="35">
        <v>-3.8913309904914879E-2</v>
      </c>
      <c r="J2306" s="35">
        <v>-3.5317493838242842E-5</v>
      </c>
      <c r="K2306" s="35">
        <v>-0.11717681867588946</v>
      </c>
      <c r="L2306" s="35">
        <v>-4.055476351017103</v>
      </c>
      <c r="M2306" s="58" t="s">
        <v>22</v>
      </c>
      <c r="N2306" s="7">
        <v>11.333333333333334</v>
      </c>
      <c r="O2306" s="7" t="s">
        <v>180</v>
      </c>
      <c r="P2306" s="7" t="s">
        <v>180</v>
      </c>
    </row>
    <row r="2307" spans="1:16" x14ac:dyDescent="0.25">
      <c r="A2307" s="2" t="s">
        <v>183</v>
      </c>
      <c r="B2307" s="2" t="s">
        <v>200</v>
      </c>
      <c r="C2307" s="6" t="s">
        <v>147</v>
      </c>
      <c r="D2307" s="2" t="s">
        <v>105</v>
      </c>
      <c r="E2307" s="2"/>
      <c r="F2307" s="35">
        <v>5.3</v>
      </c>
      <c r="G2307" s="35">
        <v>-77.720062080352633</v>
      </c>
      <c r="H2307" s="35">
        <v>-1.8827344105948665</v>
      </c>
      <c r="I2307" s="35">
        <v>-3.8913309904914879E-2</v>
      </c>
      <c r="J2307" s="35">
        <v>-3.5317493838242842E-5</v>
      </c>
      <c r="K2307" s="35">
        <v>7.7389730848684946E-2</v>
      </c>
      <c r="L2307" s="35">
        <v>5.3581957019572277</v>
      </c>
      <c r="M2307" s="58" t="s">
        <v>24</v>
      </c>
      <c r="N2307" s="7">
        <v>11.333333333333334</v>
      </c>
      <c r="O2307" s="7" t="s">
        <v>180</v>
      </c>
      <c r="P2307" s="7" t="s">
        <v>180</v>
      </c>
    </row>
    <row r="2308" spans="1:16" x14ac:dyDescent="0.25">
      <c r="A2308" s="2" t="s">
        <v>183</v>
      </c>
      <c r="B2308" s="2" t="s">
        <v>200</v>
      </c>
      <c r="C2308" s="6" t="s">
        <v>147</v>
      </c>
      <c r="D2308" s="2" t="s">
        <v>105</v>
      </c>
      <c r="E2308" s="2"/>
      <c r="F2308" s="35">
        <v>5.3</v>
      </c>
      <c r="G2308" s="35">
        <v>-93.60804350669811</v>
      </c>
      <c r="H2308" s="35">
        <v>-1.8827299025434405</v>
      </c>
      <c r="I2308" s="35">
        <v>2.4091870703441896E-2</v>
      </c>
      <c r="J2308" s="35">
        <v>6.9207663839302542E-5</v>
      </c>
      <c r="K2308" s="35">
        <v>7.7389730848684946E-2</v>
      </c>
      <c r="L2308" s="35">
        <v>5.3580403021341079</v>
      </c>
      <c r="M2308" s="58" t="s">
        <v>24</v>
      </c>
      <c r="N2308" s="7">
        <v>11.333333333333334</v>
      </c>
      <c r="O2308" s="7" t="s">
        <v>180</v>
      </c>
      <c r="P2308" s="7" t="s">
        <v>180</v>
      </c>
    </row>
    <row r="2309" spans="1:16" x14ac:dyDescent="0.25">
      <c r="A2309" s="2" t="s">
        <v>183</v>
      </c>
      <c r="B2309" s="2" t="s">
        <v>200</v>
      </c>
      <c r="C2309" s="6" t="s">
        <v>147</v>
      </c>
      <c r="D2309" s="2" t="s">
        <v>105</v>
      </c>
      <c r="E2309" s="2"/>
      <c r="F2309" s="35">
        <v>5.4149169609489114</v>
      </c>
      <c r="G2309" s="35">
        <v>-93.55330249058261</v>
      </c>
      <c r="H2309" s="35">
        <v>-1.8827299025434405</v>
      </c>
      <c r="I2309" s="35">
        <v>2.4091870703441896E-2</v>
      </c>
      <c r="J2309" s="35">
        <v>6.9207663839302542E-5</v>
      </c>
      <c r="K2309" s="35">
        <v>7.462116628387129E-2</v>
      </c>
      <c r="L2309" s="35">
        <v>5.5743979008220403</v>
      </c>
      <c r="M2309" s="58" t="s">
        <v>24</v>
      </c>
      <c r="N2309" s="7">
        <v>11.333333333333334</v>
      </c>
      <c r="O2309" s="7" t="s">
        <v>180</v>
      </c>
      <c r="P2309" s="7" t="s">
        <v>180</v>
      </c>
    </row>
    <row r="2310" spans="1:16" x14ac:dyDescent="0.25">
      <c r="A2310" s="2" t="s">
        <v>183</v>
      </c>
      <c r="B2310" s="2" t="s">
        <v>200</v>
      </c>
      <c r="C2310" s="6" t="s">
        <v>147</v>
      </c>
      <c r="D2310" s="2" t="s">
        <v>105</v>
      </c>
      <c r="E2310" s="2"/>
      <c r="F2310" s="35">
        <v>10.829833921897823</v>
      </c>
      <c r="G2310" s="35">
        <v>-90.973891634467094</v>
      </c>
      <c r="H2310" s="35">
        <v>-1.8827299025434405</v>
      </c>
      <c r="I2310" s="35">
        <v>2.4091870703441896E-2</v>
      </c>
      <c r="J2310" s="35">
        <v>6.9207663839302542E-5</v>
      </c>
      <c r="K2310" s="35">
        <v>-5.5834313009184379E-2</v>
      </c>
      <c r="L2310" s="35">
        <v>15.769223982990205</v>
      </c>
      <c r="M2310" s="58" t="s">
        <v>23</v>
      </c>
      <c r="N2310" s="7">
        <v>11.333333333333334</v>
      </c>
      <c r="O2310" s="7" t="s">
        <v>180</v>
      </c>
      <c r="P2310" s="7" t="s">
        <v>180</v>
      </c>
    </row>
    <row r="2311" spans="1:16" x14ac:dyDescent="0.25">
      <c r="A2311" s="2" t="s">
        <v>183</v>
      </c>
      <c r="B2311" s="2" t="s">
        <v>200</v>
      </c>
      <c r="C2311" s="6" t="s">
        <v>147</v>
      </c>
      <c r="D2311" s="2" t="s">
        <v>15</v>
      </c>
      <c r="E2311" s="2"/>
      <c r="F2311" s="35">
        <v>0</v>
      </c>
      <c r="G2311" s="35">
        <v>127.15045906327532</v>
      </c>
      <c r="H2311" s="35">
        <v>5.6686949417321877</v>
      </c>
      <c r="I2311" s="35">
        <v>-4.4110216902057111</v>
      </c>
      <c r="J2311" s="35">
        <v>5.1344040428219907E-4</v>
      </c>
      <c r="K2311" s="35">
        <v>-4.7744840214961073</v>
      </c>
      <c r="L2311" s="35">
        <v>18.912578820583121</v>
      </c>
      <c r="M2311" s="58" t="s">
        <v>22</v>
      </c>
      <c r="N2311" s="7">
        <v>11.333333333333334</v>
      </c>
      <c r="O2311" s="7" t="s">
        <v>180</v>
      </c>
      <c r="P2311" s="7" t="s">
        <v>180</v>
      </c>
    </row>
    <row r="2312" spans="1:16" x14ac:dyDescent="0.25">
      <c r="A2312" s="2" t="s">
        <v>183</v>
      </c>
      <c r="B2312" s="2" t="s">
        <v>200</v>
      </c>
      <c r="C2312" s="6" t="s">
        <v>147</v>
      </c>
      <c r="D2312" s="2" t="s">
        <v>15</v>
      </c>
      <c r="E2312" s="2"/>
      <c r="F2312" s="35">
        <v>0.29999999999999988</v>
      </c>
      <c r="G2312" s="35">
        <v>127.2933649032753</v>
      </c>
      <c r="H2312" s="35">
        <v>5.6686949417321877</v>
      </c>
      <c r="I2312" s="35">
        <v>-4.4110216902057111</v>
      </c>
      <c r="J2312" s="35">
        <v>5.1344040428219907E-4</v>
      </c>
      <c r="K2312" s="35">
        <v>-3.451177514434395</v>
      </c>
      <c r="L2312" s="35">
        <v>17.211970338063466</v>
      </c>
      <c r="M2312" s="58" t="s">
        <v>22</v>
      </c>
      <c r="N2312" s="7">
        <v>11.333333333333334</v>
      </c>
      <c r="O2312" s="7" t="s">
        <v>180</v>
      </c>
      <c r="P2312" s="7" t="s">
        <v>180</v>
      </c>
    </row>
    <row r="2313" spans="1:16" x14ac:dyDescent="0.25">
      <c r="A2313" s="2" t="s">
        <v>183</v>
      </c>
      <c r="B2313" s="2" t="s">
        <v>200</v>
      </c>
      <c r="C2313" s="6" t="s">
        <v>147</v>
      </c>
      <c r="D2313" s="2" t="s">
        <v>15</v>
      </c>
      <c r="E2313" s="2"/>
      <c r="F2313" s="35">
        <v>0.29999999999999988</v>
      </c>
      <c r="G2313" s="35">
        <v>73.276946844292965</v>
      </c>
      <c r="H2313" s="35">
        <v>5.6686949417321895</v>
      </c>
      <c r="I2313" s="35">
        <v>-1.1230623606360142</v>
      </c>
      <c r="J2313" s="35">
        <v>4.349267325255086E-4</v>
      </c>
      <c r="K2313" s="35">
        <v>-3.4511775144343968</v>
      </c>
      <c r="L2313" s="35">
        <v>17.211975048883769</v>
      </c>
      <c r="M2313" s="58" t="s">
        <v>22</v>
      </c>
      <c r="N2313" s="7">
        <v>11.333333333333334</v>
      </c>
      <c r="O2313" s="7" t="s">
        <v>180</v>
      </c>
      <c r="P2313" s="7" t="s">
        <v>180</v>
      </c>
    </row>
    <row r="2314" spans="1:16" x14ac:dyDescent="0.25">
      <c r="A2314" s="2" t="s">
        <v>183</v>
      </c>
      <c r="B2314" s="2" t="s">
        <v>200</v>
      </c>
      <c r="C2314" s="6" t="s">
        <v>147</v>
      </c>
      <c r="D2314" s="2" t="s">
        <v>15</v>
      </c>
      <c r="E2314" s="2"/>
      <c r="F2314" s="35">
        <v>5.3</v>
      </c>
      <c r="G2314" s="35">
        <v>75.658710844292955</v>
      </c>
      <c r="H2314" s="35">
        <v>5.6686949417321895</v>
      </c>
      <c r="I2314" s="35">
        <v>-1.1230623606360142</v>
      </c>
      <c r="J2314" s="35">
        <v>4.349267325255086E-4</v>
      </c>
      <c r="K2314" s="35">
        <v>2.1641342887456738</v>
      </c>
      <c r="L2314" s="35">
        <v>-11.131499659777173</v>
      </c>
      <c r="M2314" s="58" t="s">
        <v>24</v>
      </c>
      <c r="N2314" s="7">
        <v>11.333333333333334</v>
      </c>
      <c r="O2314" s="7" t="s">
        <v>180</v>
      </c>
      <c r="P2314" s="7" t="s">
        <v>180</v>
      </c>
    </row>
    <row r="2315" spans="1:16" x14ac:dyDescent="0.25">
      <c r="A2315" s="2" t="s">
        <v>183</v>
      </c>
      <c r="B2315" s="2" t="s">
        <v>200</v>
      </c>
      <c r="C2315" s="6" t="s">
        <v>147</v>
      </c>
      <c r="D2315" s="2" t="s">
        <v>15</v>
      </c>
      <c r="E2315" s="2"/>
      <c r="F2315" s="35">
        <v>5.3</v>
      </c>
      <c r="G2315" s="35">
        <v>125.70559268366046</v>
      </c>
      <c r="H2315" s="35">
        <v>5.6686481522977763</v>
      </c>
      <c r="I2315" s="35">
        <v>0.37020808377753806</v>
      </c>
      <c r="J2315" s="35">
        <v>1.7250678994078816E-4</v>
      </c>
      <c r="K2315" s="35">
        <v>2.164134288745676</v>
      </c>
      <c r="L2315" s="35">
        <v>-11.131314895255521</v>
      </c>
      <c r="M2315" s="58" t="s">
        <v>24</v>
      </c>
      <c r="N2315" s="7">
        <v>11.333333333333334</v>
      </c>
      <c r="O2315" s="7" t="s">
        <v>180</v>
      </c>
      <c r="P2315" s="7" t="s">
        <v>180</v>
      </c>
    </row>
    <row r="2316" spans="1:16" x14ac:dyDescent="0.25">
      <c r="A2316" s="2" t="s">
        <v>183</v>
      </c>
      <c r="B2316" s="2" t="s">
        <v>200</v>
      </c>
      <c r="C2316" s="6" t="s">
        <v>147</v>
      </c>
      <c r="D2316" s="2" t="s">
        <v>15</v>
      </c>
      <c r="E2316" s="2"/>
      <c r="F2316" s="35">
        <v>5.4149169609489114</v>
      </c>
      <c r="G2316" s="35">
        <v>125.76033369977596</v>
      </c>
      <c r="H2316" s="35">
        <v>5.6686481522977763</v>
      </c>
      <c r="I2316" s="35">
        <v>0.37020808377753806</v>
      </c>
      <c r="J2316" s="35">
        <v>1.7250678994078816E-4</v>
      </c>
      <c r="K2316" s="35">
        <v>2.1215911008392414</v>
      </c>
      <c r="L2316" s="35">
        <v>-11.782738713606244</v>
      </c>
      <c r="M2316" s="58" t="s">
        <v>24</v>
      </c>
      <c r="N2316" s="7">
        <v>11.333333333333334</v>
      </c>
      <c r="O2316" s="7" t="s">
        <v>180</v>
      </c>
      <c r="P2316" s="7" t="s">
        <v>180</v>
      </c>
    </row>
    <row r="2317" spans="1:16" x14ac:dyDescent="0.25">
      <c r="A2317" s="2" t="s">
        <v>183</v>
      </c>
      <c r="B2317" s="2" t="s">
        <v>200</v>
      </c>
      <c r="C2317" s="6" t="s">
        <v>147</v>
      </c>
      <c r="D2317" s="2" t="s">
        <v>15</v>
      </c>
      <c r="E2317" s="2"/>
      <c r="F2317" s="35">
        <v>10.829833921897823</v>
      </c>
      <c r="G2317" s="35">
        <v>128.33974455589146</v>
      </c>
      <c r="H2317" s="35">
        <v>5.6686481522977763</v>
      </c>
      <c r="I2317" s="35">
        <v>0.37020808377753806</v>
      </c>
      <c r="J2317" s="35">
        <v>1.7250678994078816E-4</v>
      </c>
      <c r="K2317" s="35">
        <v>0.1169450689118556</v>
      </c>
      <c r="L2317" s="35">
        <v>-42.477997739135169</v>
      </c>
      <c r="M2317" s="58" t="s">
        <v>23</v>
      </c>
      <c r="N2317" s="7">
        <v>11.333333333333334</v>
      </c>
      <c r="O2317" s="7" t="s">
        <v>180</v>
      </c>
      <c r="P2317" s="7" t="s">
        <v>180</v>
      </c>
    </row>
    <row r="2318" spans="1:16" x14ac:dyDescent="0.25">
      <c r="A2318" s="2" t="s">
        <v>183</v>
      </c>
      <c r="B2318" s="2" t="s">
        <v>200</v>
      </c>
      <c r="C2318" s="6" t="s">
        <v>147</v>
      </c>
      <c r="D2318" s="2" t="s">
        <v>16</v>
      </c>
      <c r="E2318" s="2"/>
      <c r="F2318" s="35">
        <v>0</v>
      </c>
      <c r="G2318" s="35">
        <v>47.569369106562512</v>
      </c>
      <c r="H2318" s="35">
        <v>2.4403203582346706</v>
      </c>
      <c r="I2318" s="35">
        <v>-3.9051186679466245</v>
      </c>
      <c r="J2318" s="35">
        <v>5.1633250221019399E-4</v>
      </c>
      <c r="K2318" s="35">
        <v>-4.888709817020958</v>
      </c>
      <c r="L2318" s="35">
        <v>8.3925481844973948</v>
      </c>
      <c r="M2318" s="58" t="s">
        <v>22</v>
      </c>
      <c r="N2318" s="7">
        <v>11.333333333333334</v>
      </c>
      <c r="O2318" s="7" t="s">
        <v>180</v>
      </c>
      <c r="P2318" s="7" t="s">
        <v>180</v>
      </c>
    </row>
    <row r="2319" spans="1:16" x14ac:dyDescent="0.25">
      <c r="A2319" s="2" t="s">
        <v>183</v>
      </c>
      <c r="B2319" s="2" t="s">
        <v>200</v>
      </c>
      <c r="C2319" s="6" t="s">
        <v>147</v>
      </c>
      <c r="D2319" s="2" t="s">
        <v>16</v>
      </c>
      <c r="E2319" s="2"/>
      <c r="F2319" s="35">
        <v>0.29999999999999988</v>
      </c>
      <c r="G2319" s="35">
        <v>47.712274946562516</v>
      </c>
      <c r="H2319" s="35">
        <v>2.4403203582346706</v>
      </c>
      <c r="I2319" s="35">
        <v>-3.9051186679466245</v>
      </c>
      <c r="J2319" s="35">
        <v>5.1633250221019399E-4</v>
      </c>
      <c r="K2319" s="35">
        <v>-3.717174216636971</v>
      </c>
      <c r="L2319" s="35">
        <v>7.6604520770269948</v>
      </c>
      <c r="M2319" s="58" t="s">
        <v>22</v>
      </c>
      <c r="N2319" s="7">
        <v>11.333333333333334</v>
      </c>
      <c r="O2319" s="7" t="s">
        <v>180</v>
      </c>
      <c r="P2319" s="7" t="s">
        <v>180</v>
      </c>
    </row>
    <row r="2320" spans="1:16" x14ac:dyDescent="0.25">
      <c r="A2320" s="2" t="s">
        <v>183</v>
      </c>
      <c r="B2320" s="2" t="s">
        <v>200</v>
      </c>
      <c r="C2320" s="6" t="s">
        <v>147</v>
      </c>
      <c r="D2320" s="2" t="s">
        <v>16</v>
      </c>
      <c r="E2320" s="2"/>
      <c r="F2320" s="35">
        <v>0.29999999999999988</v>
      </c>
      <c r="G2320" s="35">
        <v>3.5677748736593631</v>
      </c>
      <c r="H2320" s="35">
        <v>2.4403203582346613</v>
      </c>
      <c r="I2320" s="35">
        <v>-1.2094744175416761</v>
      </c>
      <c r="J2320" s="35">
        <v>4.0717130290186067E-4</v>
      </c>
      <c r="K2320" s="35">
        <v>-3.7171742166369763</v>
      </c>
      <c r="L2320" s="35">
        <v>7.6604586266989552</v>
      </c>
      <c r="M2320" s="58" t="s">
        <v>22</v>
      </c>
      <c r="N2320" s="7">
        <v>11.333333333333334</v>
      </c>
      <c r="O2320" s="7" t="s">
        <v>180</v>
      </c>
      <c r="P2320" s="7" t="s">
        <v>180</v>
      </c>
    </row>
    <row r="2321" spans="1:16" x14ac:dyDescent="0.25">
      <c r="A2321" s="2" t="s">
        <v>183</v>
      </c>
      <c r="B2321" s="2" t="s">
        <v>200</v>
      </c>
      <c r="C2321" s="6" t="s">
        <v>147</v>
      </c>
      <c r="D2321" s="2" t="s">
        <v>16</v>
      </c>
      <c r="E2321" s="2"/>
      <c r="F2321" s="35">
        <v>5.3</v>
      </c>
      <c r="G2321" s="35">
        <v>5.9495388736593657</v>
      </c>
      <c r="H2321" s="35">
        <v>2.4403203582346613</v>
      </c>
      <c r="I2321" s="35">
        <v>-1.2094744175416761</v>
      </c>
      <c r="J2321" s="35">
        <v>4.0717130290186067E-4</v>
      </c>
      <c r="K2321" s="35">
        <v>2.330197871071404</v>
      </c>
      <c r="L2321" s="35">
        <v>-4.5411431644743523</v>
      </c>
      <c r="M2321" s="58" t="s">
        <v>24</v>
      </c>
      <c r="N2321" s="7">
        <v>11.333333333333334</v>
      </c>
      <c r="O2321" s="7" t="s">
        <v>180</v>
      </c>
      <c r="P2321" s="7" t="s">
        <v>180</v>
      </c>
    </row>
    <row r="2322" spans="1:16" x14ac:dyDescent="0.25">
      <c r="A2322" s="2" t="s">
        <v>183</v>
      </c>
      <c r="B2322" s="2" t="s">
        <v>200</v>
      </c>
      <c r="C2322" s="6" t="s">
        <v>147</v>
      </c>
      <c r="D2322" s="2" t="s">
        <v>16</v>
      </c>
      <c r="E2322" s="2"/>
      <c r="F2322" s="35">
        <v>5.3</v>
      </c>
      <c r="G2322" s="35">
        <v>46.534983533109788</v>
      </c>
      <c r="H2322" s="35">
        <v>2.4402829270009581</v>
      </c>
      <c r="I2322" s="35">
        <v>0.39773553096567865</v>
      </c>
      <c r="J2322" s="35">
        <v>2.9778974840781176E-4</v>
      </c>
      <c r="K2322" s="35">
        <v>2.3301978710714017</v>
      </c>
      <c r="L2322" s="35">
        <v>-4.5411821274414965</v>
      </c>
      <c r="M2322" s="58" t="s">
        <v>24</v>
      </c>
      <c r="N2322" s="7">
        <v>11.333333333333334</v>
      </c>
      <c r="O2322" s="7" t="s">
        <v>180</v>
      </c>
      <c r="P2322" s="7" t="s">
        <v>180</v>
      </c>
    </row>
    <row r="2323" spans="1:16" x14ac:dyDescent="0.25">
      <c r="A2323" s="2" t="s">
        <v>183</v>
      </c>
      <c r="B2323" s="2" t="s">
        <v>200</v>
      </c>
      <c r="C2323" s="6" t="s">
        <v>147</v>
      </c>
      <c r="D2323" s="2" t="s">
        <v>16</v>
      </c>
      <c r="E2323" s="2"/>
      <c r="F2323" s="35">
        <v>5.4149169609489114</v>
      </c>
      <c r="G2323" s="35">
        <v>46.589724549225295</v>
      </c>
      <c r="H2323" s="35">
        <v>2.4402829270009581</v>
      </c>
      <c r="I2323" s="35">
        <v>0.39773553096567865</v>
      </c>
      <c r="J2323" s="35">
        <v>2.9778974840781176E-4</v>
      </c>
      <c r="K2323" s="35">
        <v>2.2844913125914244</v>
      </c>
      <c r="L2323" s="35">
        <v>-4.821612025267962</v>
      </c>
      <c r="M2323" s="58" t="s">
        <v>24</v>
      </c>
      <c r="N2323" s="7">
        <v>11.333333333333334</v>
      </c>
      <c r="O2323" s="7" t="s">
        <v>180</v>
      </c>
      <c r="P2323" s="7" t="s">
        <v>180</v>
      </c>
    </row>
    <row r="2324" spans="1:16" x14ac:dyDescent="0.25">
      <c r="A2324" s="2" t="s">
        <v>183</v>
      </c>
      <c r="B2324" s="2" t="s">
        <v>200</v>
      </c>
      <c r="C2324" s="6" t="s">
        <v>147</v>
      </c>
      <c r="D2324" s="2" t="s">
        <v>16</v>
      </c>
      <c r="E2324" s="2"/>
      <c r="F2324" s="35">
        <v>10.829833921897823</v>
      </c>
      <c r="G2324" s="35">
        <v>49.169135405340796</v>
      </c>
      <c r="H2324" s="35">
        <v>2.4402829270009581</v>
      </c>
      <c r="I2324" s="35">
        <v>0.39773553096567865</v>
      </c>
      <c r="J2324" s="35">
        <v>2.9778974840781176E-4</v>
      </c>
      <c r="K2324" s="35">
        <v>0.13078643999335085</v>
      </c>
      <c r="L2324" s="35">
        <v>-18.035541436199498</v>
      </c>
      <c r="M2324" s="58" t="s">
        <v>23</v>
      </c>
      <c r="N2324" s="7">
        <v>11.333333333333334</v>
      </c>
      <c r="O2324" s="7" t="s">
        <v>180</v>
      </c>
      <c r="P2324" s="7" t="s">
        <v>180</v>
      </c>
    </row>
    <row r="2325" spans="1:16" x14ac:dyDescent="0.25">
      <c r="A2325" s="2" t="s">
        <v>183</v>
      </c>
      <c r="B2325" s="2" t="s">
        <v>200</v>
      </c>
      <c r="C2325" s="6" t="s">
        <v>147</v>
      </c>
      <c r="D2325" s="2" t="s">
        <v>106</v>
      </c>
      <c r="E2325" s="2"/>
      <c r="F2325" s="35">
        <v>0</v>
      </c>
      <c r="G2325" s="35">
        <v>106.8919540459629</v>
      </c>
      <c r="H2325" s="35">
        <v>6.6002875358897519</v>
      </c>
      <c r="I2325" s="35">
        <v>2.8182905986446962</v>
      </c>
      <c r="J2325" s="35">
        <v>-3.9998389205808996E-4</v>
      </c>
      <c r="K2325" s="35">
        <v>4.5188830805733859</v>
      </c>
      <c r="L2325" s="35">
        <v>22.757040603808719</v>
      </c>
      <c r="M2325" s="58" t="s">
        <v>22</v>
      </c>
      <c r="N2325" s="7">
        <v>11.333333333333334</v>
      </c>
      <c r="O2325" s="7" t="s">
        <v>180</v>
      </c>
      <c r="P2325" s="7" t="s">
        <v>180</v>
      </c>
    </row>
    <row r="2326" spans="1:16" x14ac:dyDescent="0.25">
      <c r="A2326" s="2" t="s">
        <v>183</v>
      </c>
      <c r="B2326" s="2" t="s">
        <v>200</v>
      </c>
      <c r="C2326" s="6" t="s">
        <v>147</v>
      </c>
      <c r="D2326" s="2" t="s">
        <v>106</v>
      </c>
      <c r="E2326" s="2"/>
      <c r="F2326" s="35">
        <v>0.29999999999999988</v>
      </c>
      <c r="G2326" s="35">
        <v>107.03485988596289</v>
      </c>
      <c r="H2326" s="35">
        <v>6.6002875358897519</v>
      </c>
      <c r="I2326" s="35">
        <v>2.8182905986446962</v>
      </c>
      <c r="J2326" s="35">
        <v>-3.9998389205808996E-4</v>
      </c>
      <c r="K2326" s="35">
        <v>3.6733959009799779</v>
      </c>
      <c r="L2326" s="35">
        <v>20.776954343041798</v>
      </c>
      <c r="M2326" s="58" t="s">
        <v>22</v>
      </c>
      <c r="N2326" s="7">
        <v>11.333333333333334</v>
      </c>
      <c r="O2326" s="7" t="s">
        <v>180</v>
      </c>
      <c r="P2326" s="7" t="s">
        <v>180</v>
      </c>
    </row>
    <row r="2327" spans="1:16" x14ac:dyDescent="0.25">
      <c r="A2327" s="2" t="s">
        <v>183</v>
      </c>
      <c r="B2327" s="2" t="s">
        <v>200</v>
      </c>
      <c r="C2327" s="6" t="s">
        <v>147</v>
      </c>
      <c r="D2327" s="2" t="s">
        <v>106</v>
      </c>
      <c r="E2327" s="2"/>
      <c r="F2327" s="35">
        <v>0.29999999999999988</v>
      </c>
      <c r="G2327" s="35">
        <v>135.03611229249165</v>
      </c>
      <c r="H2327" s="35">
        <v>6.6002875358897128</v>
      </c>
      <c r="I2327" s="35">
        <v>1.185189700283718</v>
      </c>
      <c r="J2327" s="35">
        <v>-2.1288301776696273E-4</v>
      </c>
      <c r="K2327" s="35">
        <v>3.6733959009799779</v>
      </c>
      <c r="L2327" s="35">
        <v>20.77694311698934</v>
      </c>
      <c r="M2327" s="58" t="s">
        <v>22</v>
      </c>
      <c r="N2327" s="7">
        <v>11.333333333333334</v>
      </c>
      <c r="O2327" s="7" t="s">
        <v>180</v>
      </c>
      <c r="P2327" s="7" t="s">
        <v>180</v>
      </c>
    </row>
    <row r="2328" spans="1:16" x14ac:dyDescent="0.25">
      <c r="A2328" s="2" t="s">
        <v>183</v>
      </c>
      <c r="B2328" s="2" t="s">
        <v>200</v>
      </c>
      <c r="C2328" s="6" t="s">
        <v>147</v>
      </c>
      <c r="D2328" s="2" t="s">
        <v>106</v>
      </c>
      <c r="E2328" s="2"/>
      <c r="F2328" s="35">
        <v>5.3</v>
      </c>
      <c r="G2328" s="35">
        <v>137.41787629249166</v>
      </c>
      <c r="H2328" s="35">
        <v>6.6002875358897128</v>
      </c>
      <c r="I2328" s="35">
        <v>1.185189700283718</v>
      </c>
      <c r="J2328" s="35">
        <v>-2.1288301776696273E-4</v>
      </c>
      <c r="K2328" s="35">
        <v>-2.2525526004386105</v>
      </c>
      <c r="L2328" s="35">
        <v>-12.224494562459226</v>
      </c>
      <c r="M2328" s="58" t="s">
        <v>24</v>
      </c>
      <c r="N2328" s="7">
        <v>11.333333333333334</v>
      </c>
      <c r="O2328" s="7" t="s">
        <v>180</v>
      </c>
      <c r="P2328" s="7" t="s">
        <v>180</v>
      </c>
    </row>
    <row r="2329" spans="1:16" x14ac:dyDescent="0.25">
      <c r="A2329" s="2" t="s">
        <v>183</v>
      </c>
      <c r="B2329" s="2" t="s">
        <v>200</v>
      </c>
      <c r="C2329" s="6" t="s">
        <v>147</v>
      </c>
      <c r="D2329" s="2" t="s">
        <v>106</v>
      </c>
      <c r="E2329" s="2"/>
      <c r="F2329" s="35">
        <v>5.3</v>
      </c>
      <c r="G2329" s="35">
        <v>117.61907205141721</v>
      </c>
      <c r="H2329" s="35">
        <v>6.6002932755654209</v>
      </c>
      <c r="I2329" s="35">
        <v>-0.3623539559953966</v>
      </c>
      <c r="J2329" s="35">
        <v>-5.1026685885519649E-4</v>
      </c>
      <c r="K2329" s="35">
        <v>-2.2525526004386074</v>
      </c>
      <c r="L2329" s="35">
        <v>-12.22389337796746</v>
      </c>
      <c r="M2329" s="58" t="s">
        <v>24</v>
      </c>
      <c r="N2329" s="7">
        <v>11.333333333333334</v>
      </c>
      <c r="O2329" s="7" t="s">
        <v>180</v>
      </c>
      <c r="P2329" s="7" t="s">
        <v>180</v>
      </c>
    </row>
    <row r="2330" spans="1:16" x14ac:dyDescent="0.25">
      <c r="A2330" s="2" t="s">
        <v>183</v>
      </c>
      <c r="B2330" s="2" t="s">
        <v>200</v>
      </c>
      <c r="C2330" s="6" t="s">
        <v>147</v>
      </c>
      <c r="D2330" s="2" t="s">
        <v>106</v>
      </c>
      <c r="E2330" s="2"/>
      <c r="F2330" s="35">
        <v>5.4149169609489114</v>
      </c>
      <c r="G2330" s="35">
        <v>117.67381306753271</v>
      </c>
      <c r="H2330" s="35">
        <v>6.6002932755654209</v>
      </c>
      <c r="I2330" s="35">
        <v>-0.3623539559953966</v>
      </c>
      <c r="J2330" s="35">
        <v>-5.1026685885519649E-4</v>
      </c>
      <c r="K2330" s="35">
        <v>-2.2109119850278005</v>
      </c>
      <c r="L2330" s="35">
        <v>-12.982379022566976</v>
      </c>
      <c r="M2330" s="58" t="s">
        <v>24</v>
      </c>
      <c r="N2330" s="7">
        <v>11.333333333333334</v>
      </c>
      <c r="O2330" s="7" t="s">
        <v>180</v>
      </c>
      <c r="P2330" s="7" t="s">
        <v>180</v>
      </c>
    </row>
    <row r="2331" spans="1:16" x14ac:dyDescent="0.25">
      <c r="A2331" s="2" t="s">
        <v>183</v>
      </c>
      <c r="B2331" s="2" t="s">
        <v>200</v>
      </c>
      <c r="C2331" s="6" t="s">
        <v>147</v>
      </c>
      <c r="D2331" s="2" t="s">
        <v>106</v>
      </c>
      <c r="E2331" s="2"/>
      <c r="F2331" s="35">
        <v>10.829833921897823</v>
      </c>
      <c r="G2331" s="35">
        <v>120.25322392364822</v>
      </c>
      <c r="H2331" s="35">
        <v>6.6002932755654209</v>
      </c>
      <c r="I2331" s="35">
        <v>-0.3623539559953966</v>
      </c>
      <c r="J2331" s="35">
        <v>-5.1026685885519649E-4</v>
      </c>
      <c r="K2331" s="35">
        <v>-0.24879540284139318</v>
      </c>
      <c r="L2331" s="35">
        <v>-48.722419027663214</v>
      </c>
      <c r="M2331" s="58" t="s">
        <v>23</v>
      </c>
      <c r="N2331" s="7">
        <v>11.333333333333334</v>
      </c>
      <c r="O2331" s="7" t="s">
        <v>180</v>
      </c>
      <c r="P2331" s="7" t="s">
        <v>180</v>
      </c>
    </row>
    <row r="2332" spans="1:16" x14ac:dyDescent="0.25">
      <c r="A2332" s="2" t="s">
        <v>183</v>
      </c>
      <c r="B2332" s="2" t="s">
        <v>200</v>
      </c>
      <c r="C2332" s="6" t="s">
        <v>147</v>
      </c>
      <c r="D2332" s="2" t="s">
        <v>107</v>
      </c>
      <c r="E2332" s="2"/>
      <c r="F2332" s="35">
        <v>0</v>
      </c>
      <c r="G2332" s="35">
        <v>27.320647665660335</v>
      </c>
      <c r="H2332" s="35">
        <v>3.3704672752449021</v>
      </c>
      <c r="I2332" s="35">
        <v>3.3215360729831795</v>
      </c>
      <c r="J2332" s="35">
        <v>-3.9592745610343553E-4</v>
      </c>
      <c r="K2332" s="35">
        <v>4.4012613528528108</v>
      </c>
      <c r="L2332" s="35">
        <v>12.230993030857027</v>
      </c>
      <c r="M2332" s="58" t="s">
        <v>22</v>
      </c>
      <c r="N2332" s="7">
        <v>11.333333333333334</v>
      </c>
      <c r="O2332" s="7" t="s">
        <v>180</v>
      </c>
      <c r="P2332" s="7" t="s">
        <v>180</v>
      </c>
    </row>
    <row r="2333" spans="1:16" x14ac:dyDescent="0.25">
      <c r="A2333" s="2" t="s">
        <v>183</v>
      </c>
      <c r="B2333" s="2" t="s">
        <v>200</v>
      </c>
      <c r="C2333" s="6" t="s">
        <v>147</v>
      </c>
      <c r="D2333" s="2" t="s">
        <v>107</v>
      </c>
      <c r="E2333" s="2"/>
      <c r="F2333" s="35">
        <v>0.29999999999999988</v>
      </c>
      <c r="G2333" s="35">
        <v>27.463553505660336</v>
      </c>
      <c r="H2333" s="35">
        <v>3.3704672752449021</v>
      </c>
      <c r="I2333" s="35">
        <v>3.3215360729831795</v>
      </c>
      <c r="J2333" s="35">
        <v>-3.9592745610343553E-4</v>
      </c>
      <c r="K2333" s="35">
        <v>3.4048005309578575</v>
      </c>
      <c r="L2333" s="35">
        <v>11.21985284828356</v>
      </c>
      <c r="M2333" s="58" t="s">
        <v>22</v>
      </c>
      <c r="N2333" s="7">
        <v>11.333333333333334</v>
      </c>
      <c r="O2333" s="7" t="s">
        <v>180</v>
      </c>
      <c r="P2333" s="7" t="s">
        <v>180</v>
      </c>
    </row>
    <row r="2334" spans="1:16" x14ac:dyDescent="0.25">
      <c r="A2334" s="2" t="s">
        <v>183</v>
      </c>
      <c r="B2334" s="2" t="s">
        <v>200</v>
      </c>
      <c r="C2334" s="6" t="s">
        <v>147</v>
      </c>
      <c r="D2334" s="2" t="s">
        <v>107</v>
      </c>
      <c r="E2334" s="2"/>
      <c r="F2334" s="35">
        <v>0.29999999999999988</v>
      </c>
      <c r="G2334" s="35">
        <v>65.306429502895298</v>
      </c>
      <c r="H2334" s="35">
        <v>3.3704672752449056</v>
      </c>
      <c r="I2334" s="35">
        <v>1.0979377591798403</v>
      </c>
      <c r="J2334" s="35">
        <v>-2.3990262290065012E-4</v>
      </c>
      <c r="K2334" s="35">
        <v>3.4048005309578566</v>
      </c>
      <c r="L2334" s="35">
        <v>11.21984348679357</v>
      </c>
      <c r="M2334" s="58" t="s">
        <v>22</v>
      </c>
      <c r="N2334" s="7">
        <v>11.333333333333334</v>
      </c>
      <c r="O2334" s="7" t="s">
        <v>180</v>
      </c>
      <c r="P2334" s="7" t="s">
        <v>180</v>
      </c>
    </row>
    <row r="2335" spans="1:16" x14ac:dyDescent="0.25">
      <c r="A2335" s="2" t="s">
        <v>183</v>
      </c>
      <c r="B2335" s="2" t="s">
        <v>200</v>
      </c>
      <c r="C2335" s="6" t="s">
        <v>147</v>
      </c>
      <c r="D2335" s="2" t="s">
        <v>107</v>
      </c>
      <c r="E2335" s="2"/>
      <c r="F2335" s="35">
        <v>5.3</v>
      </c>
      <c r="G2335" s="35">
        <v>67.688193502895288</v>
      </c>
      <c r="H2335" s="35">
        <v>3.3704672752449056</v>
      </c>
      <c r="I2335" s="35">
        <v>1.0979377591798403</v>
      </c>
      <c r="J2335" s="35">
        <v>-2.3990262290065012E-4</v>
      </c>
      <c r="K2335" s="35">
        <v>-2.0848882649413438</v>
      </c>
      <c r="L2335" s="35">
        <v>-5.6324928894309574</v>
      </c>
      <c r="M2335" s="58" t="s">
        <v>24</v>
      </c>
      <c r="N2335" s="7">
        <v>11.333333333333334</v>
      </c>
      <c r="O2335" s="7" t="s">
        <v>180</v>
      </c>
      <c r="P2335" s="7" t="s">
        <v>180</v>
      </c>
    </row>
    <row r="2336" spans="1:16" x14ac:dyDescent="0.25">
      <c r="A2336" s="2" t="s">
        <v>183</v>
      </c>
      <c r="B2336" s="2" t="s">
        <v>200</v>
      </c>
      <c r="C2336" s="6" t="s">
        <v>147</v>
      </c>
      <c r="D2336" s="2" t="s">
        <v>107</v>
      </c>
      <c r="E2336" s="2"/>
      <c r="F2336" s="35">
        <v>5.3</v>
      </c>
      <c r="G2336" s="35">
        <v>38.453764570304124</v>
      </c>
      <c r="H2336" s="35">
        <v>3.3704822833799812</v>
      </c>
      <c r="I2336" s="35">
        <v>-0.33456072014548716</v>
      </c>
      <c r="J2336" s="35">
        <v>-3.8420645550750216E-4</v>
      </c>
      <c r="K2336" s="35">
        <v>-2.0848882649413429</v>
      </c>
      <c r="L2336" s="35">
        <v>-5.6321160750977866</v>
      </c>
      <c r="M2336" s="58" t="s">
        <v>24</v>
      </c>
      <c r="N2336" s="7">
        <v>11.333333333333334</v>
      </c>
      <c r="O2336" s="7" t="s">
        <v>180</v>
      </c>
      <c r="P2336" s="7" t="s">
        <v>180</v>
      </c>
    </row>
    <row r="2337" spans="1:16" x14ac:dyDescent="0.25">
      <c r="A2337" s="2" t="s">
        <v>183</v>
      </c>
      <c r="B2337" s="2" t="s">
        <v>200</v>
      </c>
      <c r="C2337" s="6" t="s">
        <v>147</v>
      </c>
      <c r="D2337" s="2" t="s">
        <v>107</v>
      </c>
      <c r="E2337" s="2"/>
      <c r="F2337" s="35">
        <v>5.4149169609489114</v>
      </c>
      <c r="G2337" s="35">
        <v>38.508505586419631</v>
      </c>
      <c r="H2337" s="35">
        <v>3.3704822833799812</v>
      </c>
      <c r="I2337" s="35">
        <v>-0.33456072014548716</v>
      </c>
      <c r="J2337" s="35">
        <v>-3.8420645550750216E-4</v>
      </c>
      <c r="K2337" s="35">
        <v>-2.0464415637293443</v>
      </c>
      <c r="L2337" s="35">
        <v>-6.0194416560359638</v>
      </c>
      <c r="M2337" s="58" t="s">
        <v>24</v>
      </c>
      <c r="N2337" s="7">
        <v>11.333333333333334</v>
      </c>
      <c r="O2337" s="7" t="s">
        <v>180</v>
      </c>
      <c r="P2337" s="7" t="s">
        <v>180</v>
      </c>
    </row>
    <row r="2338" spans="1:16" x14ac:dyDescent="0.25">
      <c r="A2338" s="2" t="s">
        <v>183</v>
      </c>
      <c r="B2338" s="2" t="s">
        <v>200</v>
      </c>
      <c r="C2338" s="6" t="s">
        <v>147</v>
      </c>
      <c r="D2338" s="2" t="s">
        <v>107</v>
      </c>
      <c r="E2338" s="2"/>
      <c r="F2338" s="35">
        <v>10.829833921897823</v>
      </c>
      <c r="G2338" s="35">
        <v>41.087916442535132</v>
      </c>
      <c r="H2338" s="35">
        <v>3.3704822833799812</v>
      </c>
      <c r="I2338" s="35">
        <v>-0.33456072014548716</v>
      </c>
      <c r="J2338" s="35">
        <v>-3.8420645550750216E-4</v>
      </c>
      <c r="K2338" s="35">
        <v>-0.2348230457462645</v>
      </c>
      <c r="L2338" s="35">
        <v>-24.270323338888026</v>
      </c>
      <c r="M2338" s="58" t="s">
        <v>23</v>
      </c>
      <c r="N2338" s="7">
        <v>11.333333333333334</v>
      </c>
      <c r="O2338" s="7" t="s">
        <v>180</v>
      </c>
      <c r="P2338" s="7" t="s">
        <v>180</v>
      </c>
    </row>
    <row r="2339" spans="1:16" x14ac:dyDescent="0.25">
      <c r="A2339" s="2" t="s">
        <v>183</v>
      </c>
      <c r="B2339" s="2" t="s">
        <v>200</v>
      </c>
      <c r="C2339" s="6" t="s">
        <v>147</v>
      </c>
      <c r="D2339" s="2" t="s">
        <v>108</v>
      </c>
      <c r="E2339" s="2"/>
      <c r="F2339" s="35">
        <v>0</v>
      </c>
      <c r="G2339" s="35">
        <v>116.49854154938457</v>
      </c>
      <c r="H2339" s="35">
        <v>10.196498851771988</v>
      </c>
      <c r="I2339" s="35">
        <v>-0.28382705099545152</v>
      </c>
      <c r="J2339" s="35">
        <v>-2.0936252669780355E-4</v>
      </c>
      <c r="K2339" s="35">
        <v>0.50066550935848686</v>
      </c>
      <c r="L2339" s="35">
        <v>50.27691189765077</v>
      </c>
      <c r="M2339" s="58" t="s">
        <v>22</v>
      </c>
      <c r="N2339" s="7">
        <v>11.333333333333334</v>
      </c>
      <c r="O2339" s="7" t="s">
        <v>180</v>
      </c>
      <c r="P2339" s="7" t="s">
        <v>180</v>
      </c>
    </row>
    <row r="2340" spans="1:16" x14ac:dyDescent="0.25">
      <c r="A2340" s="2" t="s">
        <v>183</v>
      </c>
      <c r="B2340" s="2" t="s">
        <v>200</v>
      </c>
      <c r="C2340" s="6" t="s">
        <v>147</v>
      </c>
      <c r="D2340" s="2" t="s">
        <v>108</v>
      </c>
      <c r="E2340" s="2"/>
      <c r="F2340" s="35">
        <v>0.29999999999999988</v>
      </c>
      <c r="G2340" s="35">
        <v>116.64144738938457</v>
      </c>
      <c r="H2340" s="35">
        <v>10.196498851771988</v>
      </c>
      <c r="I2340" s="35">
        <v>-0.28382705099545152</v>
      </c>
      <c r="J2340" s="35">
        <v>-2.0936252669780355E-4</v>
      </c>
      <c r="K2340" s="35">
        <v>0.58581362465712217</v>
      </c>
      <c r="L2340" s="35">
        <v>47.217962242119178</v>
      </c>
      <c r="M2340" s="58" t="s">
        <v>22</v>
      </c>
      <c r="N2340" s="7">
        <v>11.333333333333334</v>
      </c>
      <c r="O2340" s="7" t="s">
        <v>180</v>
      </c>
      <c r="P2340" s="7" t="s">
        <v>180</v>
      </c>
    </row>
    <row r="2341" spans="1:16" x14ac:dyDescent="0.25">
      <c r="A2341" s="2" t="s">
        <v>183</v>
      </c>
      <c r="B2341" s="2" t="s">
        <v>200</v>
      </c>
      <c r="C2341" s="6" t="s">
        <v>147</v>
      </c>
      <c r="D2341" s="2" t="s">
        <v>108</v>
      </c>
      <c r="E2341" s="2"/>
      <c r="F2341" s="35">
        <v>0.29999999999999988</v>
      </c>
      <c r="G2341" s="35">
        <v>109.54446556566049</v>
      </c>
      <c r="H2341" s="35">
        <v>10.196498851771986</v>
      </c>
      <c r="I2341" s="35">
        <v>0.18896610445874726</v>
      </c>
      <c r="J2341" s="35">
        <v>3.5647088930085964E-5</v>
      </c>
      <c r="K2341" s="35">
        <v>0.58581362465712294</v>
      </c>
      <c r="L2341" s="35">
        <v>47.217947541542237</v>
      </c>
      <c r="M2341" s="58" t="s">
        <v>22</v>
      </c>
      <c r="N2341" s="7">
        <v>11.333333333333334</v>
      </c>
      <c r="O2341" s="7" t="s">
        <v>180</v>
      </c>
      <c r="P2341" s="7" t="s">
        <v>180</v>
      </c>
    </row>
    <row r="2342" spans="1:16" x14ac:dyDescent="0.25">
      <c r="A2342" s="2" t="s">
        <v>183</v>
      </c>
      <c r="B2342" s="2" t="s">
        <v>200</v>
      </c>
      <c r="C2342" s="6" t="s">
        <v>147</v>
      </c>
      <c r="D2342" s="2" t="s">
        <v>108</v>
      </c>
      <c r="E2342" s="2"/>
      <c r="F2342" s="35">
        <v>5.3</v>
      </c>
      <c r="G2342" s="35">
        <v>111.92622956566048</v>
      </c>
      <c r="H2342" s="35">
        <v>10.196498851771986</v>
      </c>
      <c r="I2342" s="35">
        <v>0.18896610445874726</v>
      </c>
      <c r="J2342" s="35">
        <v>3.5647088930085964E-5</v>
      </c>
      <c r="K2342" s="35">
        <v>-0.35901689763661321</v>
      </c>
      <c r="L2342" s="35">
        <v>-3.7645467173176943</v>
      </c>
      <c r="M2342" s="58" t="s">
        <v>24</v>
      </c>
      <c r="N2342" s="7">
        <v>11.333333333333334</v>
      </c>
      <c r="O2342" s="7" t="s">
        <v>180</v>
      </c>
      <c r="P2342" s="7" t="s">
        <v>180</v>
      </c>
    </row>
    <row r="2343" spans="1:16" x14ac:dyDescent="0.25">
      <c r="A2343" s="2" t="s">
        <v>183</v>
      </c>
      <c r="B2343" s="2" t="s">
        <v>200</v>
      </c>
      <c r="C2343" s="6" t="s">
        <v>147</v>
      </c>
      <c r="D2343" s="2" t="s">
        <v>108</v>
      </c>
      <c r="E2343" s="2"/>
      <c r="F2343" s="35">
        <v>5.3</v>
      </c>
      <c r="G2343" s="35">
        <v>122.03932902936411</v>
      </c>
      <c r="H2343" s="35">
        <v>10.196466560954176</v>
      </c>
      <c r="I2343" s="35">
        <v>-4.8246899523851569E-2</v>
      </c>
      <c r="J2343" s="35">
        <v>-2.6225558240503476E-4</v>
      </c>
      <c r="K2343" s="35">
        <v>-0.35901689763661326</v>
      </c>
      <c r="L2343" s="35">
        <v>-3.7640974747999829</v>
      </c>
      <c r="M2343" s="58" t="s">
        <v>24</v>
      </c>
      <c r="N2343" s="7">
        <v>11.333333333333334</v>
      </c>
      <c r="O2343" s="7" t="s">
        <v>180</v>
      </c>
      <c r="P2343" s="7" t="s">
        <v>180</v>
      </c>
    </row>
    <row r="2344" spans="1:16" x14ac:dyDescent="0.25">
      <c r="A2344" s="2" t="s">
        <v>183</v>
      </c>
      <c r="B2344" s="2" t="s">
        <v>200</v>
      </c>
      <c r="C2344" s="6" t="s">
        <v>147</v>
      </c>
      <c r="D2344" s="2" t="s">
        <v>108</v>
      </c>
      <c r="E2344" s="2"/>
      <c r="F2344" s="35">
        <v>5.4149169609489114</v>
      </c>
      <c r="G2344" s="35">
        <v>122.09407004547961</v>
      </c>
      <c r="H2344" s="35">
        <v>10.196466560954176</v>
      </c>
      <c r="I2344" s="35">
        <v>-4.8246899523851569E-2</v>
      </c>
      <c r="J2344" s="35">
        <v>-2.6225558240503476E-4</v>
      </c>
      <c r="K2344" s="35">
        <v>-0.35347251056812473</v>
      </c>
      <c r="L2344" s="35">
        <v>-4.9358444244020356</v>
      </c>
      <c r="M2344" s="58" t="s">
        <v>24</v>
      </c>
      <c r="N2344" s="7">
        <v>11.333333333333334</v>
      </c>
      <c r="O2344" s="7" t="s">
        <v>180</v>
      </c>
      <c r="P2344" s="7" t="s">
        <v>180</v>
      </c>
    </row>
    <row r="2345" spans="1:16" x14ac:dyDescent="0.25">
      <c r="A2345" s="2" t="s">
        <v>183</v>
      </c>
      <c r="B2345" s="2" t="s">
        <v>200</v>
      </c>
      <c r="C2345" s="6" t="s">
        <v>147</v>
      </c>
      <c r="D2345" s="2" t="s">
        <v>108</v>
      </c>
      <c r="E2345" s="2"/>
      <c r="F2345" s="35">
        <v>10.829833921897823</v>
      </c>
      <c r="G2345" s="35">
        <v>124.67348090159513</v>
      </c>
      <c r="H2345" s="35">
        <v>10.196466560954176</v>
      </c>
      <c r="I2345" s="35">
        <v>-4.8246899523851569E-2</v>
      </c>
      <c r="J2345" s="35">
        <v>-2.6225558240503476E-4</v>
      </c>
      <c r="K2345" s="35">
        <v>-9.2219556023222959E-2</v>
      </c>
      <c r="L2345" s="35">
        <v>-60.148864147061204</v>
      </c>
      <c r="M2345" s="58" t="s">
        <v>23</v>
      </c>
      <c r="N2345" s="7">
        <v>11.333333333333334</v>
      </c>
      <c r="O2345" s="7" t="s">
        <v>180</v>
      </c>
      <c r="P2345" s="7" t="s">
        <v>180</v>
      </c>
    </row>
    <row r="2346" spans="1:16" x14ac:dyDescent="0.25">
      <c r="A2346" s="2" t="s">
        <v>183</v>
      </c>
      <c r="B2346" s="2" t="s">
        <v>200</v>
      </c>
      <c r="C2346" s="6" t="s">
        <v>147</v>
      </c>
      <c r="D2346" s="2" t="s">
        <v>109</v>
      </c>
      <c r="E2346" s="2"/>
      <c r="F2346" s="35">
        <v>0</v>
      </c>
      <c r="G2346" s="35">
        <v>-0.36853010877491754</v>
      </c>
      <c r="H2346" s="35">
        <v>22.016286733254066</v>
      </c>
      <c r="I2346" s="35">
        <v>0.46942674380863536</v>
      </c>
      <c r="J2346" s="35">
        <v>-2.9781537484348312E-4</v>
      </c>
      <c r="K2346" s="35">
        <v>0.33891261163920483</v>
      </c>
      <c r="L2346" s="35">
        <v>118.58030253980152</v>
      </c>
      <c r="M2346" s="58" t="s">
        <v>22</v>
      </c>
      <c r="N2346" s="7">
        <v>11.333333333333334</v>
      </c>
      <c r="O2346" s="7" t="s">
        <v>180</v>
      </c>
      <c r="P2346" s="7" t="s">
        <v>180</v>
      </c>
    </row>
    <row r="2347" spans="1:16" x14ac:dyDescent="0.25">
      <c r="A2347" s="2" t="s">
        <v>183</v>
      </c>
      <c r="B2347" s="2" t="s">
        <v>200</v>
      </c>
      <c r="C2347" s="6" t="s">
        <v>147</v>
      </c>
      <c r="D2347" s="2" t="s">
        <v>109</v>
      </c>
      <c r="E2347" s="2"/>
      <c r="F2347" s="35">
        <v>0.29999999999999988</v>
      </c>
      <c r="G2347" s="35">
        <v>-0.22562426877491812</v>
      </c>
      <c r="H2347" s="35">
        <v>22.016286733254066</v>
      </c>
      <c r="I2347" s="35">
        <v>0.46942674380863536</v>
      </c>
      <c r="J2347" s="35">
        <v>-2.9781537484348312E-4</v>
      </c>
      <c r="K2347" s="35">
        <v>0.19808458849661423</v>
      </c>
      <c r="L2347" s="35">
        <v>111.9754165198253</v>
      </c>
      <c r="M2347" s="58" t="s">
        <v>22</v>
      </c>
      <c r="N2347" s="7">
        <v>11.333333333333334</v>
      </c>
      <c r="O2347" s="7" t="s">
        <v>180</v>
      </c>
      <c r="P2347" s="7" t="s">
        <v>180</v>
      </c>
    </row>
    <row r="2348" spans="1:16" x14ac:dyDescent="0.25">
      <c r="A2348" s="2" t="s">
        <v>183</v>
      </c>
      <c r="B2348" s="2" t="s">
        <v>200</v>
      </c>
      <c r="C2348" s="6" t="s">
        <v>147</v>
      </c>
      <c r="D2348" s="2" t="s">
        <v>109</v>
      </c>
      <c r="E2348" s="2"/>
      <c r="F2348" s="35">
        <v>0.29999999999999988</v>
      </c>
      <c r="G2348" s="35">
        <v>7.3173316002114577</v>
      </c>
      <c r="H2348" s="35">
        <v>22.016286733254095</v>
      </c>
      <c r="I2348" s="35">
        <v>6.3823637700206437E-2</v>
      </c>
      <c r="J2348" s="35">
        <v>2.6549549143195213E-4</v>
      </c>
      <c r="K2348" s="35">
        <v>0.19808458849661315</v>
      </c>
      <c r="L2348" s="35">
        <v>111.97538272117328</v>
      </c>
      <c r="M2348" s="58" t="s">
        <v>22</v>
      </c>
      <c r="N2348" s="7">
        <v>11.333333333333334</v>
      </c>
      <c r="O2348" s="7" t="s">
        <v>180</v>
      </c>
      <c r="P2348" s="7" t="s">
        <v>180</v>
      </c>
    </row>
    <row r="2349" spans="1:16" x14ac:dyDescent="0.25">
      <c r="A2349" s="2" t="s">
        <v>183</v>
      </c>
      <c r="B2349" s="2" t="s">
        <v>200</v>
      </c>
      <c r="C2349" s="6" t="s">
        <v>147</v>
      </c>
      <c r="D2349" s="2" t="s">
        <v>109</v>
      </c>
      <c r="E2349" s="2"/>
      <c r="F2349" s="35">
        <v>5.3</v>
      </c>
      <c r="G2349" s="35">
        <v>9.699095600211459</v>
      </c>
      <c r="H2349" s="35">
        <v>22.016286733254095</v>
      </c>
      <c r="I2349" s="35">
        <v>6.3823637700206437E-2</v>
      </c>
      <c r="J2349" s="35">
        <v>2.6549549143195213E-4</v>
      </c>
      <c r="K2349" s="35">
        <v>-0.121033600004419</v>
      </c>
      <c r="L2349" s="35">
        <v>1.8939490549027957</v>
      </c>
      <c r="M2349" s="58" t="s">
        <v>24</v>
      </c>
      <c r="N2349" s="7">
        <v>11.333333333333334</v>
      </c>
      <c r="O2349" s="7" t="s">
        <v>180</v>
      </c>
      <c r="P2349" s="7" t="s">
        <v>180</v>
      </c>
    </row>
    <row r="2350" spans="1:16" x14ac:dyDescent="0.25">
      <c r="A2350" s="2" t="s">
        <v>183</v>
      </c>
      <c r="B2350" s="2" t="s">
        <v>200</v>
      </c>
      <c r="C2350" s="6" t="s">
        <v>147</v>
      </c>
      <c r="D2350" s="2" t="s">
        <v>109</v>
      </c>
      <c r="E2350" s="2"/>
      <c r="F2350" s="35">
        <v>5.3</v>
      </c>
      <c r="G2350" s="35">
        <v>5.7920438211422791</v>
      </c>
      <c r="H2350" s="35">
        <v>22.016203546395435</v>
      </c>
      <c r="I2350" s="35">
        <v>-8.8173415236626716E-3</v>
      </c>
      <c r="J2350" s="35">
        <v>-2.6327018987695299E-4</v>
      </c>
      <c r="K2350" s="35">
        <v>-0.1210336000044188</v>
      </c>
      <c r="L2350" s="35">
        <v>1.8946789361827632</v>
      </c>
      <c r="M2350" s="58" t="s">
        <v>24</v>
      </c>
      <c r="N2350" s="7">
        <v>11.333333333333334</v>
      </c>
      <c r="O2350" s="7" t="s">
        <v>180</v>
      </c>
      <c r="P2350" s="7" t="s">
        <v>180</v>
      </c>
    </row>
    <row r="2351" spans="1:16" x14ac:dyDescent="0.25">
      <c r="A2351" s="2" t="s">
        <v>183</v>
      </c>
      <c r="B2351" s="2" t="s">
        <v>200</v>
      </c>
      <c r="C2351" s="6" t="s">
        <v>147</v>
      </c>
      <c r="D2351" s="2" t="s">
        <v>109</v>
      </c>
      <c r="E2351" s="2"/>
      <c r="F2351" s="35">
        <v>5.4149169609489114</v>
      </c>
      <c r="G2351" s="35">
        <v>5.8467848372577853</v>
      </c>
      <c r="H2351" s="35">
        <v>22.016203546395435</v>
      </c>
      <c r="I2351" s="35">
        <v>-8.8173415236626716E-3</v>
      </c>
      <c r="J2351" s="35">
        <v>-2.6327018987695299E-4</v>
      </c>
      <c r="K2351" s="35">
        <v>-0.12002033791287083</v>
      </c>
      <c r="L2351" s="35">
        <v>-0.63535626700164638</v>
      </c>
      <c r="M2351" s="58" t="s">
        <v>24</v>
      </c>
      <c r="N2351" s="7">
        <v>11.333333333333334</v>
      </c>
      <c r="O2351" s="7" t="s">
        <v>180</v>
      </c>
      <c r="P2351" s="7" t="s">
        <v>180</v>
      </c>
    </row>
    <row r="2352" spans="1:16" x14ac:dyDescent="0.25">
      <c r="A2352" s="2" t="s">
        <v>183</v>
      </c>
      <c r="B2352" s="2" t="s">
        <v>200</v>
      </c>
      <c r="C2352" s="6" t="s">
        <v>147</v>
      </c>
      <c r="D2352" s="2" t="s">
        <v>109</v>
      </c>
      <c r="E2352" s="2"/>
      <c r="F2352" s="35">
        <v>10.829833921897823</v>
      </c>
      <c r="G2352" s="35">
        <v>8.4261956933732858</v>
      </c>
      <c r="H2352" s="35">
        <v>22.016203546395435</v>
      </c>
      <c r="I2352" s="35">
        <v>-8.8173415236626716E-3</v>
      </c>
      <c r="J2352" s="35">
        <v>-2.6327018987695299E-4</v>
      </c>
      <c r="K2352" s="35">
        <v>-7.2275165745910738E-2</v>
      </c>
      <c r="L2352" s="35">
        <v>-119.85127026608181</v>
      </c>
      <c r="M2352" s="58" t="s">
        <v>23</v>
      </c>
      <c r="N2352" s="7">
        <v>11.333333333333334</v>
      </c>
      <c r="O2352" s="7" t="s">
        <v>180</v>
      </c>
      <c r="P2352" s="7" t="s">
        <v>180</v>
      </c>
    </row>
    <row r="2353" spans="1:16" x14ac:dyDescent="0.25">
      <c r="A2353" s="2" t="s">
        <v>183</v>
      </c>
      <c r="B2353" s="2" t="s">
        <v>200</v>
      </c>
      <c r="C2353" s="6" t="s">
        <v>147</v>
      </c>
      <c r="D2353" s="2" t="s">
        <v>110</v>
      </c>
      <c r="E2353" s="2"/>
      <c r="F2353" s="35">
        <v>0</v>
      </c>
      <c r="G2353" s="35">
        <v>114.51401942851703</v>
      </c>
      <c r="H2353" s="35">
        <v>0.22710196681039702</v>
      </c>
      <c r="I2353" s="35">
        <v>-0.24310721791367365</v>
      </c>
      <c r="J2353" s="35">
        <v>1.1770487956130507E-4</v>
      </c>
      <c r="K2353" s="35">
        <v>0.53440496414180905</v>
      </c>
      <c r="L2353" s="35">
        <v>-16.386040838902851</v>
      </c>
      <c r="M2353" s="58" t="s">
        <v>22</v>
      </c>
      <c r="N2353" s="7">
        <v>11.333333333333334</v>
      </c>
      <c r="O2353" s="7" t="s">
        <v>180</v>
      </c>
      <c r="P2353" s="7" t="s">
        <v>180</v>
      </c>
    </row>
    <row r="2354" spans="1:16" x14ac:dyDescent="0.25">
      <c r="A2354" s="2" t="s">
        <v>183</v>
      </c>
      <c r="B2354" s="2" t="s">
        <v>200</v>
      </c>
      <c r="C2354" s="6" t="s">
        <v>147</v>
      </c>
      <c r="D2354" s="2" t="s">
        <v>110</v>
      </c>
      <c r="E2354" s="2"/>
      <c r="F2354" s="35">
        <v>0.29999999999999988</v>
      </c>
      <c r="G2354" s="35">
        <v>114.65692526851703</v>
      </c>
      <c r="H2354" s="35">
        <v>0.22710196681039702</v>
      </c>
      <c r="I2354" s="35">
        <v>-0.24310721791367365</v>
      </c>
      <c r="J2354" s="35">
        <v>1.1770487956130507E-4</v>
      </c>
      <c r="K2354" s="35">
        <v>0.60733712951591101</v>
      </c>
      <c r="L2354" s="35">
        <v>-16.454171428945969</v>
      </c>
      <c r="M2354" s="58" t="s">
        <v>22</v>
      </c>
      <c r="N2354" s="7">
        <v>11.333333333333334</v>
      </c>
      <c r="O2354" s="7" t="s">
        <v>180</v>
      </c>
      <c r="P2354" s="7" t="s">
        <v>180</v>
      </c>
    </row>
    <row r="2355" spans="1:16" x14ac:dyDescent="0.25">
      <c r="A2355" s="2" t="s">
        <v>183</v>
      </c>
      <c r="B2355" s="2" t="s">
        <v>200</v>
      </c>
      <c r="C2355" s="6" t="s">
        <v>147</v>
      </c>
      <c r="D2355" s="2" t="s">
        <v>110</v>
      </c>
      <c r="E2355" s="2"/>
      <c r="F2355" s="35">
        <v>0.29999999999999988</v>
      </c>
      <c r="G2355" s="35">
        <v>108.1222111150671</v>
      </c>
      <c r="H2355" s="35">
        <v>0.22710196681038441</v>
      </c>
      <c r="I2355" s="35">
        <v>0.19594987732407806</v>
      </c>
      <c r="J2355" s="35">
        <v>-2.1818854082846307E-5</v>
      </c>
      <c r="K2355" s="35">
        <v>0.60733712951591012</v>
      </c>
      <c r="L2355" s="35">
        <v>-16.454163057521928</v>
      </c>
      <c r="M2355" s="58" t="s">
        <v>22</v>
      </c>
      <c r="N2355" s="7">
        <v>11.333333333333334</v>
      </c>
      <c r="O2355" s="7" t="s">
        <v>180</v>
      </c>
      <c r="P2355" s="7" t="s">
        <v>180</v>
      </c>
    </row>
    <row r="2356" spans="1:16" x14ac:dyDescent="0.25">
      <c r="A2356" s="2" t="s">
        <v>183</v>
      </c>
      <c r="B2356" s="2" t="s">
        <v>200</v>
      </c>
      <c r="C2356" s="6" t="s">
        <v>147</v>
      </c>
      <c r="D2356" s="2" t="s">
        <v>110</v>
      </c>
      <c r="E2356" s="2"/>
      <c r="F2356" s="35">
        <v>5.3</v>
      </c>
      <c r="G2356" s="35">
        <v>110.50397511506711</v>
      </c>
      <c r="H2356" s="35">
        <v>0.22710196681038441</v>
      </c>
      <c r="I2356" s="35">
        <v>0.19594987732407806</v>
      </c>
      <c r="J2356" s="35">
        <v>-2.1818854082846307E-5</v>
      </c>
      <c r="K2356" s="35">
        <v>-0.37241225710448006</v>
      </c>
      <c r="L2356" s="35">
        <v>-17.589672891573844</v>
      </c>
      <c r="M2356" s="58" t="s">
        <v>24</v>
      </c>
      <c r="N2356" s="7">
        <v>11.333333333333334</v>
      </c>
      <c r="O2356" s="7" t="s">
        <v>180</v>
      </c>
      <c r="P2356" s="7" t="s">
        <v>180</v>
      </c>
    </row>
    <row r="2357" spans="1:16" x14ac:dyDescent="0.25">
      <c r="A2357" s="2" t="s">
        <v>183</v>
      </c>
      <c r="B2357" s="2" t="s">
        <v>200</v>
      </c>
      <c r="C2357" s="6" t="s">
        <v>147</v>
      </c>
      <c r="D2357" s="2" t="s">
        <v>110</v>
      </c>
      <c r="E2357" s="2"/>
      <c r="F2357" s="35">
        <v>5.3</v>
      </c>
      <c r="G2357" s="35">
        <v>120.11070825916026</v>
      </c>
      <c r="H2357" s="35">
        <v>0.22710563730189251</v>
      </c>
      <c r="I2357" s="35">
        <v>-5.0463705558663953E-2</v>
      </c>
      <c r="J2357" s="35">
        <v>-2.2215555123054721E-4</v>
      </c>
      <c r="K2357" s="35">
        <v>-0.37241225710447984</v>
      </c>
      <c r="L2357" s="35">
        <v>-17.589381621786153</v>
      </c>
      <c r="M2357" s="58" t="s">
        <v>24</v>
      </c>
      <c r="N2357" s="7">
        <v>11.333333333333334</v>
      </c>
      <c r="O2357" s="7" t="s">
        <v>180</v>
      </c>
      <c r="P2357" s="7" t="s">
        <v>180</v>
      </c>
    </row>
    <row r="2358" spans="1:16" x14ac:dyDescent="0.25">
      <c r="A2358" s="2" t="s">
        <v>183</v>
      </c>
      <c r="B2358" s="2" t="s">
        <v>200</v>
      </c>
      <c r="C2358" s="6" t="s">
        <v>147</v>
      </c>
      <c r="D2358" s="2" t="s">
        <v>110</v>
      </c>
      <c r="E2358" s="2"/>
      <c r="F2358" s="35">
        <v>5.4149169609489114</v>
      </c>
      <c r="G2358" s="35">
        <v>120.16544927527576</v>
      </c>
      <c r="H2358" s="35">
        <v>0.22710563730189251</v>
      </c>
      <c r="I2358" s="35">
        <v>-5.0463705558663953E-2</v>
      </c>
      <c r="J2358" s="35">
        <v>-2.2215555123054721E-4</v>
      </c>
      <c r="K2358" s="35">
        <v>-0.36661312142345748</v>
      </c>
      <c r="L2358" s="35">
        <v>-17.615479911439255</v>
      </c>
      <c r="M2358" s="58" t="s">
        <v>24</v>
      </c>
      <c r="N2358" s="7">
        <v>11.333333333333334</v>
      </c>
      <c r="O2358" s="7" t="s">
        <v>180</v>
      </c>
      <c r="P2358" s="7" t="s">
        <v>180</v>
      </c>
    </row>
    <row r="2359" spans="1:16" x14ac:dyDescent="0.25">
      <c r="A2359" s="2" t="s">
        <v>183</v>
      </c>
      <c r="B2359" s="2" t="s">
        <v>200</v>
      </c>
      <c r="C2359" s="6" t="s">
        <v>147</v>
      </c>
      <c r="D2359" s="2" t="s">
        <v>110</v>
      </c>
      <c r="E2359" s="2"/>
      <c r="F2359" s="35">
        <v>10.829833921897823</v>
      </c>
      <c r="G2359" s="35">
        <v>122.74486013139128</v>
      </c>
      <c r="H2359" s="35">
        <v>0.22710563730189251</v>
      </c>
      <c r="I2359" s="35">
        <v>-5.0463705558663953E-2</v>
      </c>
      <c r="J2359" s="35">
        <v>-2.2215555123054721E-4</v>
      </c>
      <c r="K2359" s="35">
        <v>-9.3356346281516303E-2</v>
      </c>
      <c r="L2359" s="35">
        <v>-18.845238078792388</v>
      </c>
      <c r="M2359" s="58" t="s">
        <v>23</v>
      </c>
      <c r="N2359" s="7">
        <v>11.333333333333334</v>
      </c>
      <c r="O2359" s="7" t="s">
        <v>180</v>
      </c>
      <c r="P2359" s="7" t="s">
        <v>180</v>
      </c>
    </row>
    <row r="2360" spans="1:16" x14ac:dyDescent="0.25">
      <c r="A2360" s="2" t="s">
        <v>183</v>
      </c>
      <c r="B2360" s="2" t="s">
        <v>200</v>
      </c>
      <c r="C2360" s="6" t="s">
        <v>147</v>
      </c>
      <c r="D2360" s="2" t="s">
        <v>111</v>
      </c>
      <c r="E2360" s="2"/>
      <c r="F2360" s="35">
        <v>0</v>
      </c>
      <c r="G2360" s="35">
        <v>-96.935865577148348</v>
      </c>
      <c r="H2360" s="35">
        <v>-13.405341414346056</v>
      </c>
      <c r="I2360" s="35">
        <v>1.4177740906360192</v>
      </c>
      <c r="J2360" s="35">
        <v>2.891600238176493E-4</v>
      </c>
      <c r="K2360" s="35">
        <v>0.62106556041681582</v>
      </c>
      <c r="L2360" s="35">
        <v>-81.816000516334412</v>
      </c>
      <c r="M2360" s="58" t="s">
        <v>22</v>
      </c>
      <c r="N2360" s="7">
        <v>11.333333333333334</v>
      </c>
      <c r="O2360" s="7" t="s">
        <v>180</v>
      </c>
      <c r="P2360" s="7" t="s">
        <v>180</v>
      </c>
    </row>
    <row r="2361" spans="1:16" x14ac:dyDescent="0.25">
      <c r="A2361" s="2" t="s">
        <v>183</v>
      </c>
      <c r="B2361" s="2" t="s">
        <v>200</v>
      </c>
      <c r="C2361" s="6" t="s">
        <v>147</v>
      </c>
      <c r="D2361" s="2" t="s">
        <v>111</v>
      </c>
      <c r="E2361" s="2"/>
      <c r="F2361" s="35">
        <v>0.29999999999999988</v>
      </c>
      <c r="G2361" s="35">
        <v>-96.792959737148351</v>
      </c>
      <c r="H2361" s="35">
        <v>-13.405341414346056</v>
      </c>
      <c r="I2361" s="35">
        <v>1.4177740906360192</v>
      </c>
      <c r="J2361" s="35">
        <v>2.891600238176493E-4</v>
      </c>
      <c r="K2361" s="35">
        <v>0.1957333332260103</v>
      </c>
      <c r="L2361" s="35">
        <v>-77.794398092030576</v>
      </c>
      <c r="M2361" s="58" t="s">
        <v>22</v>
      </c>
      <c r="N2361" s="7">
        <v>11.333333333333334</v>
      </c>
      <c r="O2361" s="7" t="s">
        <v>180</v>
      </c>
      <c r="P2361" s="7" t="s">
        <v>180</v>
      </c>
    </row>
    <row r="2362" spans="1:16" x14ac:dyDescent="0.25">
      <c r="A2362" s="2" t="s">
        <v>183</v>
      </c>
      <c r="B2362" s="2" t="s">
        <v>200</v>
      </c>
      <c r="C2362" s="6" t="s">
        <v>147</v>
      </c>
      <c r="D2362" s="2" t="s">
        <v>111</v>
      </c>
      <c r="E2362" s="2"/>
      <c r="F2362" s="35">
        <v>0.29999999999999988</v>
      </c>
      <c r="G2362" s="35">
        <v>-73.461232335698682</v>
      </c>
      <c r="H2362" s="35">
        <v>-13.405341414346042</v>
      </c>
      <c r="I2362" s="35">
        <v>6.4844692579790031E-2</v>
      </c>
      <c r="J2362" s="35">
        <v>-1.5547665363039594E-4</v>
      </c>
      <c r="K2362" s="35">
        <v>0.195733333226011</v>
      </c>
      <c r="L2362" s="35">
        <v>-77.794371413829893</v>
      </c>
      <c r="M2362" s="58" t="s">
        <v>22</v>
      </c>
      <c r="N2362" s="7">
        <v>11.333333333333334</v>
      </c>
      <c r="O2362" s="7" t="s">
        <v>180</v>
      </c>
      <c r="P2362" s="7" t="s">
        <v>180</v>
      </c>
    </row>
    <row r="2363" spans="1:16" x14ac:dyDescent="0.25">
      <c r="A2363" s="2" t="s">
        <v>183</v>
      </c>
      <c r="B2363" s="2" t="s">
        <v>200</v>
      </c>
      <c r="C2363" s="6" t="s">
        <v>147</v>
      </c>
      <c r="D2363" s="2" t="s">
        <v>111</v>
      </c>
      <c r="E2363" s="2"/>
      <c r="F2363" s="35">
        <v>5.3</v>
      </c>
      <c r="G2363" s="35">
        <v>-71.079468335698692</v>
      </c>
      <c r="H2363" s="35">
        <v>-13.405341414346042</v>
      </c>
      <c r="I2363" s="35">
        <v>6.4844692579790031E-2</v>
      </c>
      <c r="J2363" s="35">
        <v>-1.5547665363039594E-4</v>
      </c>
      <c r="K2363" s="35">
        <v>-0.12849012967293913</v>
      </c>
      <c r="L2363" s="35">
        <v>-10.767664342099689</v>
      </c>
      <c r="M2363" s="58" t="s">
        <v>24</v>
      </c>
      <c r="N2363" s="7">
        <v>11.333333333333334</v>
      </c>
      <c r="O2363" s="7" t="s">
        <v>180</v>
      </c>
      <c r="P2363" s="7" t="s">
        <v>180</v>
      </c>
    </row>
    <row r="2364" spans="1:16" x14ac:dyDescent="0.25">
      <c r="A2364" s="2" t="s">
        <v>183</v>
      </c>
      <c r="B2364" s="2" t="s">
        <v>200</v>
      </c>
      <c r="C2364" s="6" t="s">
        <v>147</v>
      </c>
      <c r="D2364" s="2" t="s">
        <v>111</v>
      </c>
      <c r="E2364" s="2"/>
      <c r="F2364" s="35">
        <v>5.3</v>
      </c>
      <c r="G2364" s="35">
        <v>-89.666549189829709</v>
      </c>
      <c r="H2364" s="35">
        <v>-13.405293545694914</v>
      </c>
      <c r="I2364" s="35">
        <v>-1.002663116732389E-2</v>
      </c>
      <c r="J2364" s="35">
        <v>5.824811533393289E-5</v>
      </c>
      <c r="K2364" s="35">
        <v>-0.12849012967293916</v>
      </c>
      <c r="L2364" s="35">
        <v>-10.76798274532573</v>
      </c>
      <c r="M2364" s="58" t="s">
        <v>24</v>
      </c>
      <c r="N2364" s="7">
        <v>11.333333333333334</v>
      </c>
      <c r="O2364" s="7" t="s">
        <v>180</v>
      </c>
      <c r="P2364" s="7" t="s">
        <v>180</v>
      </c>
    </row>
    <row r="2365" spans="1:16" x14ac:dyDescent="0.25">
      <c r="A2365" s="2" t="s">
        <v>183</v>
      </c>
      <c r="B2365" s="2" t="s">
        <v>200</v>
      </c>
      <c r="C2365" s="6" t="s">
        <v>147</v>
      </c>
      <c r="D2365" s="2" t="s">
        <v>111</v>
      </c>
      <c r="E2365" s="2"/>
      <c r="F2365" s="35">
        <v>5.4149169609489114</v>
      </c>
      <c r="G2365" s="35">
        <v>-89.611808173714223</v>
      </c>
      <c r="H2365" s="35">
        <v>-13.405293545694914</v>
      </c>
      <c r="I2365" s="35">
        <v>-1.002663116732389E-2</v>
      </c>
      <c r="J2365" s="35">
        <v>5.824811533393289E-5</v>
      </c>
      <c r="K2365" s="35">
        <v>-0.12733789969063466</v>
      </c>
      <c r="L2365" s="35">
        <v>-9.2274871504264127</v>
      </c>
      <c r="M2365" s="58" t="s">
        <v>24</v>
      </c>
      <c r="N2365" s="7">
        <v>11.333333333333334</v>
      </c>
      <c r="O2365" s="7" t="s">
        <v>180</v>
      </c>
      <c r="P2365" s="7" t="s">
        <v>180</v>
      </c>
    </row>
    <row r="2366" spans="1:16" x14ac:dyDescent="0.25">
      <c r="A2366" s="2" t="s">
        <v>183</v>
      </c>
      <c r="B2366" s="2" t="s">
        <v>200</v>
      </c>
      <c r="C2366" s="6" t="s">
        <v>147</v>
      </c>
      <c r="D2366" s="2" t="s">
        <v>111</v>
      </c>
      <c r="E2366" s="2"/>
      <c r="F2366" s="35">
        <v>10.829833921897823</v>
      </c>
      <c r="G2366" s="35">
        <v>-87.032397317598722</v>
      </c>
      <c r="H2366" s="35">
        <v>-13.405293545694914</v>
      </c>
      <c r="I2366" s="35">
        <v>-1.002663116732389E-2</v>
      </c>
      <c r="J2366" s="35">
        <v>5.824811533393289E-5</v>
      </c>
      <c r="K2366" s="35">
        <v>-7.3044524521513568E-2</v>
      </c>
      <c r="L2366" s="35">
        <v>63.36106423665592</v>
      </c>
      <c r="M2366" s="58" t="s">
        <v>23</v>
      </c>
      <c r="N2366" s="7">
        <v>11.333333333333334</v>
      </c>
      <c r="O2366" s="7" t="s">
        <v>180</v>
      </c>
      <c r="P2366" s="7" t="s">
        <v>180</v>
      </c>
    </row>
    <row r="2367" spans="1:16" x14ac:dyDescent="0.25">
      <c r="A2367" s="2" t="s">
        <v>183</v>
      </c>
      <c r="B2367" s="2" t="s">
        <v>200</v>
      </c>
      <c r="C2367" s="6" t="s">
        <v>147</v>
      </c>
      <c r="D2367" s="2" t="s">
        <v>112</v>
      </c>
      <c r="E2367" s="2"/>
      <c r="F2367" s="35">
        <v>0</v>
      </c>
      <c r="G2367" s="35">
        <v>53.322764364649878</v>
      </c>
      <c r="H2367" s="35">
        <v>3.4406847049429441</v>
      </c>
      <c r="I2367" s="35">
        <v>-3.4070653341015125</v>
      </c>
      <c r="J2367" s="35">
        <v>4.4199527103144386E-4</v>
      </c>
      <c r="K2367" s="35">
        <v>-4.1927123098481269</v>
      </c>
      <c r="L2367" s="35">
        <v>12.291540170871867</v>
      </c>
      <c r="M2367" s="58" t="s">
        <v>22</v>
      </c>
      <c r="N2367" s="7">
        <v>11.333333333333334</v>
      </c>
      <c r="O2367" s="7" t="s">
        <v>180</v>
      </c>
      <c r="P2367" s="7" t="s">
        <v>180</v>
      </c>
    </row>
    <row r="2368" spans="1:16" x14ac:dyDescent="0.25">
      <c r="A2368" s="2" t="s">
        <v>183</v>
      </c>
      <c r="B2368" s="2" t="s">
        <v>200</v>
      </c>
      <c r="C2368" s="6" t="s">
        <v>147</v>
      </c>
      <c r="D2368" s="2" t="s">
        <v>112</v>
      </c>
      <c r="E2368" s="2"/>
      <c r="F2368" s="35">
        <v>0.29999999999999988</v>
      </c>
      <c r="G2368" s="35">
        <v>53.465670204649889</v>
      </c>
      <c r="H2368" s="35">
        <v>3.4406847049429441</v>
      </c>
      <c r="I2368" s="35">
        <v>-3.4070653341015125</v>
      </c>
      <c r="J2368" s="35">
        <v>4.4199527103144386E-4</v>
      </c>
      <c r="K2368" s="35">
        <v>-3.1705927096176736</v>
      </c>
      <c r="L2368" s="35">
        <v>11.259334759388988</v>
      </c>
      <c r="M2368" s="58" t="s">
        <v>22</v>
      </c>
      <c r="N2368" s="7">
        <v>11.333333333333334</v>
      </c>
      <c r="O2368" s="7" t="s">
        <v>180</v>
      </c>
      <c r="P2368" s="7" t="s">
        <v>180</v>
      </c>
    </row>
    <row r="2369" spans="1:16" x14ac:dyDescent="0.25">
      <c r="A2369" s="2" t="s">
        <v>183</v>
      </c>
      <c r="B2369" s="2" t="s">
        <v>200</v>
      </c>
      <c r="C2369" s="6" t="s">
        <v>147</v>
      </c>
      <c r="D2369" s="2" t="s">
        <v>112</v>
      </c>
      <c r="E2369" s="2"/>
      <c r="F2369" s="35">
        <v>0.29999999999999988</v>
      </c>
      <c r="G2369" s="35">
        <v>14.644002295225913</v>
      </c>
      <c r="H2369" s="35">
        <v>3.4406847049429454</v>
      </c>
      <c r="I2369" s="35">
        <v>-1.0307910135053202</v>
      </c>
      <c r="J2369" s="35">
        <v>3.6181076978813624E-4</v>
      </c>
      <c r="K2369" s="35">
        <v>-3.1705927096176754</v>
      </c>
      <c r="L2369" s="35">
        <v>11.259339570459064</v>
      </c>
      <c r="M2369" s="58" t="s">
        <v>22</v>
      </c>
      <c r="N2369" s="7">
        <v>11.333333333333334</v>
      </c>
      <c r="O2369" s="7" t="s">
        <v>180</v>
      </c>
      <c r="P2369" s="7" t="s">
        <v>180</v>
      </c>
    </row>
    <row r="2370" spans="1:16" x14ac:dyDescent="0.25">
      <c r="A2370" s="2" t="s">
        <v>183</v>
      </c>
      <c r="B2370" s="2" t="s">
        <v>200</v>
      </c>
      <c r="C2370" s="6" t="s">
        <v>147</v>
      </c>
      <c r="D2370" s="2" t="s">
        <v>112</v>
      </c>
      <c r="E2370" s="2"/>
      <c r="F2370" s="35">
        <v>5.3</v>
      </c>
      <c r="G2370" s="35">
        <v>17.025766295225925</v>
      </c>
      <c r="H2370" s="35">
        <v>3.4406847049429454</v>
      </c>
      <c r="I2370" s="35">
        <v>-1.0307910135053202</v>
      </c>
      <c r="J2370" s="35">
        <v>3.6181076978813624E-4</v>
      </c>
      <c r="K2370" s="35">
        <v>1.9833623579089252</v>
      </c>
      <c r="L2370" s="35">
        <v>-5.9440839542556647</v>
      </c>
      <c r="M2370" s="58" t="s">
        <v>24</v>
      </c>
      <c r="N2370" s="7">
        <v>11.333333333333334</v>
      </c>
      <c r="O2370" s="7" t="s">
        <v>180</v>
      </c>
      <c r="P2370" s="7" t="s">
        <v>180</v>
      </c>
    </row>
    <row r="2371" spans="1:16" x14ac:dyDescent="0.25">
      <c r="A2371" s="2" t="s">
        <v>183</v>
      </c>
      <c r="B2371" s="2" t="s">
        <v>200</v>
      </c>
      <c r="C2371" s="6" t="s">
        <v>147</v>
      </c>
      <c r="D2371" s="2" t="s">
        <v>112</v>
      </c>
      <c r="E2371" s="2"/>
      <c r="F2371" s="35">
        <v>5.3</v>
      </c>
      <c r="G2371" s="35">
        <v>53.191267040711729</v>
      </c>
      <c r="H2371" s="35">
        <v>3.4406473706459852</v>
      </c>
      <c r="I2371" s="35">
        <v>0.34022217776553298</v>
      </c>
      <c r="J2371" s="35">
        <v>2.1115546032004495E-4</v>
      </c>
      <c r="K2371" s="35">
        <v>1.9833623579089272</v>
      </c>
      <c r="L2371" s="35">
        <v>-5.9440414775883834</v>
      </c>
      <c r="M2371" s="58" t="s">
        <v>24</v>
      </c>
      <c r="N2371" s="7">
        <v>11.333333333333334</v>
      </c>
      <c r="O2371" s="7" t="s">
        <v>180</v>
      </c>
      <c r="P2371" s="7" t="s">
        <v>180</v>
      </c>
    </row>
    <row r="2372" spans="1:16" x14ac:dyDescent="0.25">
      <c r="A2372" s="2" t="s">
        <v>183</v>
      </c>
      <c r="B2372" s="2" t="s">
        <v>200</v>
      </c>
      <c r="C2372" s="6" t="s">
        <v>147</v>
      </c>
      <c r="D2372" s="2" t="s">
        <v>112</v>
      </c>
      <c r="E2372" s="2"/>
      <c r="F2372" s="35">
        <v>5.4149169609489114</v>
      </c>
      <c r="G2372" s="35">
        <v>53.246008056827229</v>
      </c>
      <c r="H2372" s="35">
        <v>3.4406473706459852</v>
      </c>
      <c r="I2372" s="35">
        <v>0.34022217776553298</v>
      </c>
      <c r="J2372" s="35">
        <v>2.1115546032004495E-4</v>
      </c>
      <c r="K2372" s="35">
        <v>1.9442650591926922</v>
      </c>
      <c r="L2372" s="35">
        <v>-6.339430217119884</v>
      </c>
      <c r="M2372" s="58" t="s">
        <v>24</v>
      </c>
      <c r="N2372" s="7">
        <v>11.333333333333334</v>
      </c>
      <c r="O2372" s="7" t="s">
        <v>180</v>
      </c>
      <c r="P2372" s="7" t="s">
        <v>180</v>
      </c>
    </row>
    <row r="2373" spans="1:16" x14ac:dyDescent="0.25">
      <c r="A2373" s="2" t="s">
        <v>183</v>
      </c>
      <c r="B2373" s="2" t="s">
        <v>200</v>
      </c>
      <c r="C2373" s="6" t="s">
        <v>147</v>
      </c>
      <c r="D2373" s="2" t="s">
        <v>112</v>
      </c>
      <c r="E2373" s="2"/>
      <c r="F2373" s="35">
        <v>10.829833921897823</v>
      </c>
      <c r="G2373" s="35">
        <v>55.825418912942744</v>
      </c>
      <c r="H2373" s="35">
        <v>3.4406473706459852</v>
      </c>
      <c r="I2373" s="35">
        <v>0.34022217776553298</v>
      </c>
      <c r="J2373" s="35">
        <v>2.1115546032004495E-4</v>
      </c>
      <c r="K2373" s="35">
        <v>0.10199021831913251</v>
      </c>
      <c r="L2373" s="35">
        <v>-24.970250021075096</v>
      </c>
      <c r="M2373" s="58" t="s">
        <v>23</v>
      </c>
      <c r="N2373" s="7">
        <v>11.333333333333334</v>
      </c>
      <c r="O2373" s="7" t="s">
        <v>180</v>
      </c>
      <c r="P2373" s="7" t="s">
        <v>180</v>
      </c>
    </row>
    <row r="2374" spans="1:16" x14ac:dyDescent="0.25">
      <c r="A2374" s="2" t="s">
        <v>183</v>
      </c>
      <c r="B2374" s="2" t="s">
        <v>200</v>
      </c>
      <c r="C2374" s="6" t="s">
        <v>147</v>
      </c>
      <c r="D2374" s="2" t="s">
        <v>113</v>
      </c>
      <c r="E2374" s="2"/>
      <c r="F2374" s="35">
        <v>0</v>
      </c>
      <c r="G2374" s="35">
        <v>-18.300216596391646</v>
      </c>
      <c r="H2374" s="35">
        <v>0.53514757979517924</v>
      </c>
      <c r="I2374" s="35">
        <v>-2.9517526140683361</v>
      </c>
      <c r="J2374" s="35">
        <v>4.4459815916663922E-4</v>
      </c>
      <c r="K2374" s="35">
        <v>-4.2955155258204929</v>
      </c>
      <c r="L2374" s="35">
        <v>2.8235125983947156</v>
      </c>
      <c r="M2374" s="58" t="s">
        <v>22</v>
      </c>
      <c r="N2374" s="7">
        <v>11.333333333333334</v>
      </c>
      <c r="O2374" s="7" t="s">
        <v>180</v>
      </c>
      <c r="P2374" s="7" t="s">
        <v>180</v>
      </c>
    </row>
    <row r="2375" spans="1:16" x14ac:dyDescent="0.25">
      <c r="A2375" s="2" t="s">
        <v>183</v>
      </c>
      <c r="B2375" s="2" t="s">
        <v>200</v>
      </c>
      <c r="C2375" s="6" t="s">
        <v>147</v>
      </c>
      <c r="D2375" s="2" t="s">
        <v>113</v>
      </c>
      <c r="E2375" s="2"/>
      <c r="F2375" s="35">
        <v>0.29999999999999988</v>
      </c>
      <c r="G2375" s="35">
        <v>-18.157310756391638</v>
      </c>
      <c r="H2375" s="35">
        <v>0.53514757979517924</v>
      </c>
      <c r="I2375" s="35">
        <v>-2.9517526140683361</v>
      </c>
      <c r="J2375" s="35">
        <v>4.4459815916663922E-4</v>
      </c>
      <c r="K2375" s="35">
        <v>-3.4099897415999925</v>
      </c>
      <c r="L2375" s="35">
        <v>2.6629683244561626</v>
      </c>
      <c r="M2375" s="58" t="s">
        <v>22</v>
      </c>
      <c r="N2375" s="7">
        <v>11.333333333333334</v>
      </c>
      <c r="O2375" s="7" t="s">
        <v>180</v>
      </c>
      <c r="P2375" s="7" t="s">
        <v>180</v>
      </c>
    </row>
    <row r="2376" spans="1:16" x14ac:dyDescent="0.25">
      <c r="A2376" s="2" t="s">
        <v>183</v>
      </c>
      <c r="B2376" s="2" t="s">
        <v>200</v>
      </c>
      <c r="C2376" s="6" t="s">
        <v>147</v>
      </c>
      <c r="D2376" s="2" t="s">
        <v>113</v>
      </c>
      <c r="E2376" s="2"/>
      <c r="F2376" s="35">
        <v>0.29999999999999988</v>
      </c>
      <c r="G2376" s="35">
        <v>-48.09425247834433</v>
      </c>
      <c r="H2376" s="35">
        <v>0.53514757979517102</v>
      </c>
      <c r="I2376" s="35">
        <v>-1.1085618647204161</v>
      </c>
      <c r="J2376" s="35">
        <v>3.368308831268531E-4</v>
      </c>
      <c r="K2376" s="35">
        <v>-3.4099897415999965</v>
      </c>
      <c r="L2376" s="35">
        <v>2.6629747904927288</v>
      </c>
      <c r="M2376" s="58" t="s">
        <v>22</v>
      </c>
      <c r="N2376" s="7">
        <v>11.333333333333334</v>
      </c>
      <c r="O2376" s="7" t="s">
        <v>180</v>
      </c>
      <c r="P2376" s="7" t="s">
        <v>180</v>
      </c>
    </row>
    <row r="2377" spans="1:16" x14ac:dyDescent="0.25">
      <c r="A2377" s="2" t="s">
        <v>183</v>
      </c>
      <c r="B2377" s="2" t="s">
        <v>200</v>
      </c>
      <c r="C2377" s="6" t="s">
        <v>147</v>
      </c>
      <c r="D2377" s="2" t="s">
        <v>113</v>
      </c>
      <c r="E2377" s="2"/>
      <c r="F2377" s="35">
        <v>5.3</v>
      </c>
      <c r="G2377" s="35">
        <v>-45.712488478344319</v>
      </c>
      <c r="H2377" s="35">
        <v>0.53514757979517102</v>
      </c>
      <c r="I2377" s="35">
        <v>-1.1085618647204161</v>
      </c>
      <c r="J2377" s="35">
        <v>3.368308831268531E-4</v>
      </c>
      <c r="K2377" s="35">
        <v>2.1328195820020825</v>
      </c>
      <c r="L2377" s="35">
        <v>-1.2763108483127315E-2</v>
      </c>
      <c r="M2377" s="58" t="s">
        <v>24</v>
      </c>
      <c r="N2377" s="7">
        <v>11.333333333333334</v>
      </c>
      <c r="O2377" s="7" t="s">
        <v>180</v>
      </c>
      <c r="P2377" s="7" t="s">
        <v>180</v>
      </c>
    </row>
    <row r="2378" spans="1:16" x14ac:dyDescent="0.25">
      <c r="A2378" s="2" t="s">
        <v>183</v>
      </c>
      <c r="B2378" s="2" t="s">
        <v>200</v>
      </c>
      <c r="C2378" s="6" t="s">
        <v>147</v>
      </c>
      <c r="D2378" s="2" t="s">
        <v>113</v>
      </c>
      <c r="E2378" s="2"/>
      <c r="F2378" s="35">
        <v>5.3</v>
      </c>
      <c r="G2378" s="35">
        <v>-18.062281194783861</v>
      </c>
      <c r="H2378" s="35">
        <v>0.53511866787884843</v>
      </c>
      <c r="I2378" s="35">
        <v>0.36499688023485943</v>
      </c>
      <c r="J2378" s="35">
        <v>3.2391012294036623E-4</v>
      </c>
      <c r="K2378" s="35">
        <v>2.1328195820020803</v>
      </c>
      <c r="L2378" s="35">
        <v>-1.2921986555760724E-2</v>
      </c>
      <c r="M2378" s="58" t="s">
        <v>24</v>
      </c>
      <c r="N2378" s="7">
        <v>11.333333333333334</v>
      </c>
      <c r="O2378" s="7" t="s">
        <v>180</v>
      </c>
      <c r="P2378" s="7" t="s">
        <v>180</v>
      </c>
    </row>
    <row r="2379" spans="1:16" x14ac:dyDescent="0.25">
      <c r="A2379" s="2" t="s">
        <v>183</v>
      </c>
      <c r="B2379" s="2" t="s">
        <v>200</v>
      </c>
      <c r="C2379" s="6" t="s">
        <v>147</v>
      </c>
      <c r="D2379" s="2" t="s">
        <v>113</v>
      </c>
      <c r="E2379" s="2"/>
      <c r="F2379" s="35">
        <v>5.4149169609489114</v>
      </c>
      <c r="G2379" s="35">
        <v>-18.007540178668361</v>
      </c>
      <c r="H2379" s="35">
        <v>0.53511866787884843</v>
      </c>
      <c r="I2379" s="35">
        <v>0.36499688023485943</v>
      </c>
      <c r="J2379" s="35">
        <v>3.2391012294036623E-4</v>
      </c>
      <c r="K2379" s="35">
        <v>2.0908752497696566</v>
      </c>
      <c r="L2379" s="35">
        <v>-7.4416197615427879E-2</v>
      </c>
      <c r="M2379" s="58" t="s">
        <v>24</v>
      </c>
      <c r="N2379" s="7">
        <v>11.333333333333334</v>
      </c>
      <c r="O2379" s="7" t="s">
        <v>180</v>
      </c>
      <c r="P2379" s="7" t="s">
        <v>180</v>
      </c>
    </row>
    <row r="2380" spans="1:16" x14ac:dyDescent="0.25">
      <c r="A2380" s="2" t="s">
        <v>183</v>
      </c>
      <c r="B2380" s="2" t="s">
        <v>200</v>
      </c>
      <c r="C2380" s="6" t="s">
        <v>147</v>
      </c>
      <c r="D2380" s="2" t="s">
        <v>113</v>
      </c>
      <c r="E2380" s="2"/>
      <c r="F2380" s="35">
        <v>10.829833921897823</v>
      </c>
      <c r="G2380" s="35">
        <v>-15.428129322552847</v>
      </c>
      <c r="H2380" s="35">
        <v>0.53511866787884843</v>
      </c>
      <c r="I2380" s="35">
        <v>0.36499688023485943</v>
      </c>
      <c r="J2380" s="35">
        <v>3.2391012294036623E-4</v>
      </c>
      <c r="K2380" s="35">
        <v>0.11444745229247823</v>
      </c>
      <c r="L2380" s="35">
        <v>-2.972039348432991</v>
      </c>
      <c r="M2380" s="58" t="s">
        <v>23</v>
      </c>
      <c r="N2380" s="7">
        <v>11.333333333333334</v>
      </c>
      <c r="O2380" s="7" t="s">
        <v>180</v>
      </c>
      <c r="P2380" s="7" t="s">
        <v>180</v>
      </c>
    </row>
    <row r="2381" spans="1:16" x14ac:dyDescent="0.25">
      <c r="A2381" s="2" t="s">
        <v>183</v>
      </c>
      <c r="B2381" s="2" t="s">
        <v>200</v>
      </c>
      <c r="C2381" s="6" t="s">
        <v>147</v>
      </c>
      <c r="D2381" s="2" t="s">
        <v>114</v>
      </c>
      <c r="E2381" s="2"/>
      <c r="F2381" s="35">
        <v>0</v>
      </c>
      <c r="G2381" s="35">
        <v>35.090109849068682</v>
      </c>
      <c r="H2381" s="35">
        <v>4.2791180396847528</v>
      </c>
      <c r="I2381" s="35">
        <v>3.0993157258638533</v>
      </c>
      <c r="J2381" s="35">
        <v>-3.800865956748163E-4</v>
      </c>
      <c r="K2381" s="35">
        <v>4.1713180820144178</v>
      </c>
      <c r="L2381" s="35">
        <v>15.751555775774905</v>
      </c>
      <c r="M2381" s="58" t="s">
        <v>22</v>
      </c>
      <c r="N2381" s="7">
        <v>11.333333333333334</v>
      </c>
      <c r="O2381" s="7" t="s">
        <v>180</v>
      </c>
      <c r="P2381" s="7" t="s">
        <v>180</v>
      </c>
    </row>
    <row r="2382" spans="1:16" x14ac:dyDescent="0.25">
      <c r="A2382" s="2" t="s">
        <v>183</v>
      </c>
      <c r="B2382" s="2" t="s">
        <v>200</v>
      </c>
      <c r="C2382" s="6" t="s">
        <v>147</v>
      </c>
      <c r="D2382" s="2" t="s">
        <v>114</v>
      </c>
      <c r="E2382" s="2"/>
      <c r="F2382" s="35">
        <v>0.29999999999999988</v>
      </c>
      <c r="G2382" s="35">
        <v>35.233015689068687</v>
      </c>
      <c r="H2382" s="35">
        <v>4.2791180396847528</v>
      </c>
      <c r="I2382" s="35">
        <v>3.0993157258638533</v>
      </c>
      <c r="J2382" s="35">
        <v>-3.800865956748163E-4</v>
      </c>
      <c r="K2382" s="35">
        <v>3.2415233642552623</v>
      </c>
      <c r="L2382" s="35">
        <v>14.467820363869485</v>
      </c>
      <c r="M2382" s="58" t="s">
        <v>22</v>
      </c>
      <c r="N2382" s="7">
        <v>11.333333333333334</v>
      </c>
      <c r="O2382" s="7" t="s">
        <v>180</v>
      </c>
      <c r="P2382" s="7" t="s">
        <v>180</v>
      </c>
    </row>
    <row r="2383" spans="1:16" x14ac:dyDescent="0.25">
      <c r="A2383" s="2" t="s">
        <v>183</v>
      </c>
      <c r="B2383" s="2" t="s">
        <v>200</v>
      </c>
      <c r="C2383" s="6" t="s">
        <v>147</v>
      </c>
      <c r="D2383" s="2" t="s">
        <v>114</v>
      </c>
      <c r="E2383" s="2"/>
      <c r="F2383" s="35">
        <v>0.29999999999999988</v>
      </c>
      <c r="G2383" s="35">
        <v>70.227251198604733</v>
      </c>
      <c r="H2383" s="35">
        <v>4.2791180396847173</v>
      </c>
      <c r="I2383" s="35">
        <v>1.0466358413224386</v>
      </c>
      <c r="J2383" s="35">
        <v>-2.2121800547508796E-4</v>
      </c>
      <c r="K2383" s="35">
        <v>3.2415233642552623</v>
      </c>
      <c r="L2383" s="35">
        <v>14.467810831754075</v>
      </c>
      <c r="M2383" s="58" t="s">
        <v>22</v>
      </c>
      <c r="N2383" s="7">
        <v>11.333333333333334</v>
      </c>
      <c r="O2383" s="7" t="s">
        <v>180</v>
      </c>
      <c r="P2383" s="7" t="s">
        <v>180</v>
      </c>
    </row>
    <row r="2384" spans="1:16" x14ac:dyDescent="0.25">
      <c r="A2384" s="2" t="s">
        <v>183</v>
      </c>
      <c r="B2384" s="2" t="s">
        <v>200</v>
      </c>
      <c r="C2384" s="6" t="s">
        <v>147</v>
      </c>
      <c r="D2384" s="2" t="s">
        <v>114</v>
      </c>
      <c r="E2384" s="2"/>
      <c r="F2384" s="35">
        <v>5.3</v>
      </c>
      <c r="G2384" s="35">
        <v>72.609015198604737</v>
      </c>
      <c r="H2384" s="35">
        <v>4.2791180396847173</v>
      </c>
      <c r="I2384" s="35">
        <v>1.0466358413224386</v>
      </c>
      <c r="J2384" s="35">
        <v>-2.2121800547508796E-4</v>
      </c>
      <c r="K2384" s="35">
        <v>-1.9916558423569306</v>
      </c>
      <c r="L2384" s="35">
        <v>-6.9277793666695135</v>
      </c>
      <c r="M2384" s="58" t="s">
        <v>24</v>
      </c>
      <c r="N2384" s="7">
        <v>11.333333333333334</v>
      </c>
      <c r="O2384" s="7" t="s">
        <v>180</v>
      </c>
      <c r="P2384" s="7" t="s">
        <v>180</v>
      </c>
    </row>
    <row r="2385" spans="1:16" x14ac:dyDescent="0.25">
      <c r="A2385" s="2" t="s">
        <v>183</v>
      </c>
      <c r="B2385" s="2" t="s">
        <v>200</v>
      </c>
      <c r="C2385" s="6" t="s">
        <v>147</v>
      </c>
      <c r="D2385" s="2" t="s">
        <v>114</v>
      </c>
      <c r="E2385" s="2"/>
      <c r="F2385" s="35">
        <v>5.3</v>
      </c>
      <c r="G2385" s="35">
        <v>45.913398471692801</v>
      </c>
      <c r="H2385" s="35">
        <v>4.2791279815868668</v>
      </c>
      <c r="I2385" s="35">
        <v>-0.31908365803010824</v>
      </c>
      <c r="J2385" s="35">
        <v>-4.0334082359634132E-4</v>
      </c>
      <c r="K2385" s="35">
        <v>-1.9916558423569279</v>
      </c>
      <c r="L2385" s="35">
        <v>-6.9273621120291295</v>
      </c>
      <c r="M2385" s="58" t="s">
        <v>24</v>
      </c>
      <c r="N2385" s="7">
        <v>11.333333333333334</v>
      </c>
      <c r="O2385" s="7" t="s">
        <v>180</v>
      </c>
      <c r="P2385" s="7" t="s">
        <v>180</v>
      </c>
    </row>
    <row r="2386" spans="1:16" x14ac:dyDescent="0.25">
      <c r="A2386" s="2" t="s">
        <v>183</v>
      </c>
      <c r="B2386" s="2" t="s">
        <v>200</v>
      </c>
      <c r="C2386" s="6" t="s">
        <v>147</v>
      </c>
      <c r="D2386" s="2" t="s">
        <v>114</v>
      </c>
      <c r="E2386" s="2"/>
      <c r="F2386" s="35">
        <v>5.4149169609489114</v>
      </c>
      <c r="G2386" s="35">
        <v>45.968139487808301</v>
      </c>
      <c r="H2386" s="35">
        <v>4.2791279815868668</v>
      </c>
      <c r="I2386" s="35">
        <v>-0.31908365803010824</v>
      </c>
      <c r="J2386" s="35">
        <v>-4.0334082359634132E-4</v>
      </c>
      <c r="K2386" s="35">
        <v>-1.954987718087646</v>
      </c>
      <c r="L2386" s="35">
        <v>-7.4191064951845425</v>
      </c>
      <c r="M2386" s="58" t="s">
        <v>24</v>
      </c>
      <c r="N2386" s="7">
        <v>11.333333333333334</v>
      </c>
      <c r="O2386" s="7" t="s">
        <v>180</v>
      </c>
      <c r="P2386" s="7" t="s">
        <v>180</v>
      </c>
    </row>
    <row r="2387" spans="1:16" x14ac:dyDescent="0.25">
      <c r="A2387" s="2" t="s">
        <v>183</v>
      </c>
      <c r="B2387" s="2" t="s">
        <v>200</v>
      </c>
      <c r="C2387" s="6" t="s">
        <v>147</v>
      </c>
      <c r="D2387" s="2" t="s">
        <v>114</v>
      </c>
      <c r="E2387" s="2"/>
      <c r="F2387" s="35">
        <v>10.829833921897823</v>
      </c>
      <c r="G2387" s="35">
        <v>48.547550343923817</v>
      </c>
      <c r="H2387" s="35">
        <v>4.2791279815868668</v>
      </c>
      <c r="I2387" s="35">
        <v>-0.31908365803010824</v>
      </c>
      <c r="J2387" s="35">
        <v>-4.0334082359634132E-4</v>
      </c>
      <c r="K2387" s="35">
        <v>-0.22717620625879145</v>
      </c>
      <c r="L2387" s="35">
        <v>-30.590229180750335</v>
      </c>
      <c r="M2387" s="58" t="s">
        <v>23</v>
      </c>
      <c r="N2387" s="7">
        <v>11.333333333333334</v>
      </c>
      <c r="O2387" s="7" t="s">
        <v>180</v>
      </c>
      <c r="P2387" s="7" t="s">
        <v>180</v>
      </c>
    </row>
    <row r="2388" spans="1:16" x14ac:dyDescent="0.25">
      <c r="A2388" s="2" t="s">
        <v>183</v>
      </c>
      <c r="B2388" s="2" t="s">
        <v>200</v>
      </c>
      <c r="C2388" s="6" t="s">
        <v>147</v>
      </c>
      <c r="D2388" s="2" t="s">
        <v>115</v>
      </c>
      <c r="E2388" s="2"/>
      <c r="F2388" s="35">
        <v>0</v>
      </c>
      <c r="G2388" s="35">
        <v>-36.524065893203613</v>
      </c>
      <c r="H2388" s="35">
        <v>1.3722798051043881</v>
      </c>
      <c r="I2388" s="35">
        <v>3.5522366527684883</v>
      </c>
      <c r="J2388" s="35">
        <v>-3.7643580331562739E-4</v>
      </c>
      <c r="K2388" s="35">
        <v>4.0654585270658998</v>
      </c>
      <c r="L2388" s="35">
        <v>6.2781129601183849</v>
      </c>
      <c r="M2388" s="58" t="s">
        <v>22</v>
      </c>
      <c r="N2388" s="7">
        <v>11.333333333333334</v>
      </c>
      <c r="O2388" s="7" t="s">
        <v>180</v>
      </c>
      <c r="P2388" s="7" t="s">
        <v>180</v>
      </c>
    </row>
    <row r="2389" spans="1:16" x14ac:dyDescent="0.25">
      <c r="A2389" s="2" t="s">
        <v>183</v>
      </c>
      <c r="B2389" s="2" t="s">
        <v>200</v>
      </c>
      <c r="C2389" s="6" t="s">
        <v>147</v>
      </c>
      <c r="D2389" s="2" t="s">
        <v>115</v>
      </c>
      <c r="E2389" s="2"/>
      <c r="F2389" s="35">
        <v>0.29999999999999988</v>
      </c>
      <c r="G2389" s="35">
        <v>-36.381160053203601</v>
      </c>
      <c r="H2389" s="35">
        <v>1.3722798051043881</v>
      </c>
      <c r="I2389" s="35">
        <v>3.5522366527684883</v>
      </c>
      <c r="J2389" s="35">
        <v>-3.7643580331562739E-4</v>
      </c>
      <c r="K2389" s="35">
        <v>2.9997875312353539</v>
      </c>
      <c r="L2389" s="35">
        <v>5.8664290185870698</v>
      </c>
      <c r="M2389" s="58" t="s">
        <v>22</v>
      </c>
      <c r="N2389" s="7">
        <v>11.333333333333334</v>
      </c>
      <c r="O2389" s="7" t="s">
        <v>180</v>
      </c>
      <c r="P2389" s="7" t="s">
        <v>180</v>
      </c>
    </row>
    <row r="2390" spans="1:16" x14ac:dyDescent="0.25">
      <c r="A2390" s="2" t="s">
        <v>183</v>
      </c>
      <c r="B2390" s="2" t="s">
        <v>200</v>
      </c>
      <c r="C2390" s="6" t="s">
        <v>147</v>
      </c>
      <c r="D2390" s="2" t="s">
        <v>115</v>
      </c>
      <c r="E2390" s="2"/>
      <c r="F2390" s="35">
        <v>0.29999999999999988</v>
      </c>
      <c r="G2390" s="35">
        <v>7.4705366879680213</v>
      </c>
      <c r="H2390" s="35">
        <v>1.3722798051043907</v>
      </c>
      <c r="I2390" s="35">
        <v>0.96810909432894876</v>
      </c>
      <c r="J2390" s="35">
        <v>-2.4553565009540661E-4</v>
      </c>
      <c r="K2390" s="35">
        <v>2.9997875312353526</v>
      </c>
      <c r="L2390" s="35">
        <v>5.8664211645778828</v>
      </c>
      <c r="M2390" s="58" t="s">
        <v>22</v>
      </c>
      <c r="N2390" s="7">
        <v>11.333333333333334</v>
      </c>
      <c r="O2390" s="7" t="s">
        <v>180</v>
      </c>
      <c r="P2390" s="7" t="s">
        <v>180</v>
      </c>
    </row>
    <row r="2391" spans="1:16" x14ac:dyDescent="0.25">
      <c r="A2391" s="2" t="s">
        <v>183</v>
      </c>
      <c r="B2391" s="2" t="s">
        <v>200</v>
      </c>
      <c r="C2391" s="6" t="s">
        <v>147</v>
      </c>
      <c r="D2391" s="2" t="s">
        <v>115</v>
      </c>
      <c r="E2391" s="2"/>
      <c r="F2391" s="35">
        <v>5.3</v>
      </c>
      <c r="G2391" s="35">
        <v>9.8523006879680306</v>
      </c>
      <c r="H2391" s="35">
        <v>1.3722798051043907</v>
      </c>
      <c r="I2391" s="35">
        <v>0.96810909432894876</v>
      </c>
      <c r="J2391" s="35">
        <v>-2.4553565009540661E-4</v>
      </c>
      <c r="K2391" s="35">
        <v>-1.8407579404093903</v>
      </c>
      <c r="L2391" s="35">
        <v>-0.99497786094407148</v>
      </c>
      <c r="M2391" s="58" t="s">
        <v>24</v>
      </c>
      <c r="N2391" s="7">
        <v>11.333333333333334</v>
      </c>
      <c r="O2391" s="7" t="s">
        <v>180</v>
      </c>
      <c r="P2391" s="7" t="s">
        <v>180</v>
      </c>
    </row>
    <row r="2392" spans="1:16" x14ac:dyDescent="0.25">
      <c r="A2392" s="2" t="s">
        <v>183</v>
      </c>
      <c r="B2392" s="2" t="s">
        <v>200</v>
      </c>
      <c r="C2392" s="6" t="s">
        <v>147</v>
      </c>
      <c r="D2392" s="2" t="s">
        <v>115</v>
      </c>
      <c r="E2392" s="2"/>
      <c r="F2392" s="35">
        <v>5.3</v>
      </c>
      <c r="G2392" s="35">
        <v>-25.335378261308954</v>
      </c>
      <c r="H2392" s="35">
        <v>1.3722980886199696</v>
      </c>
      <c r="I2392" s="35">
        <v>-0.29406974576518974</v>
      </c>
      <c r="J2392" s="35">
        <v>-2.8988646058341635E-4</v>
      </c>
      <c r="K2392" s="35">
        <v>-1.8407579404093899</v>
      </c>
      <c r="L2392" s="35">
        <v>-0.99476253944642168</v>
      </c>
      <c r="M2392" s="58" t="s">
        <v>24</v>
      </c>
      <c r="N2392" s="7">
        <v>11.333333333333334</v>
      </c>
      <c r="O2392" s="7" t="s">
        <v>180</v>
      </c>
      <c r="P2392" s="7" t="s">
        <v>180</v>
      </c>
    </row>
    <row r="2393" spans="1:16" x14ac:dyDescent="0.25">
      <c r="A2393" s="2" t="s">
        <v>183</v>
      </c>
      <c r="B2393" s="2" t="s">
        <v>200</v>
      </c>
      <c r="C2393" s="6" t="s">
        <v>147</v>
      </c>
      <c r="D2393" s="2" t="s">
        <v>115</v>
      </c>
      <c r="E2393" s="2"/>
      <c r="F2393" s="35">
        <v>5.4149169609489114</v>
      </c>
      <c r="G2393" s="35">
        <v>-25.280637245193454</v>
      </c>
      <c r="H2393" s="35">
        <v>1.3722980886199696</v>
      </c>
      <c r="I2393" s="35">
        <v>-0.29406974576518974</v>
      </c>
      <c r="J2393" s="35">
        <v>-2.8988646058341635E-4</v>
      </c>
      <c r="K2393" s="35">
        <v>-1.8069643389190351</v>
      </c>
      <c r="L2393" s="35">
        <v>-1.1524628653066296</v>
      </c>
      <c r="M2393" s="58" t="s">
        <v>24</v>
      </c>
      <c r="N2393" s="7">
        <v>11.333333333333334</v>
      </c>
      <c r="O2393" s="7" t="s">
        <v>180</v>
      </c>
      <c r="P2393" s="7" t="s">
        <v>180</v>
      </c>
    </row>
    <row r="2394" spans="1:16" x14ac:dyDescent="0.25">
      <c r="A2394" s="2" t="s">
        <v>183</v>
      </c>
      <c r="B2394" s="2" t="s">
        <v>200</v>
      </c>
      <c r="C2394" s="6" t="s">
        <v>147</v>
      </c>
      <c r="D2394" s="2" t="s">
        <v>115</v>
      </c>
      <c r="E2394" s="2"/>
      <c r="F2394" s="35">
        <v>10.829833921897823</v>
      </c>
      <c r="G2394" s="35">
        <v>-22.701226389077938</v>
      </c>
      <c r="H2394" s="35">
        <v>1.3722980886199696</v>
      </c>
      <c r="I2394" s="35">
        <v>-0.29406974576518974</v>
      </c>
      <c r="J2394" s="35">
        <v>-2.8988646058341635E-4</v>
      </c>
      <c r="K2394" s="35">
        <v>-0.21460108487317561</v>
      </c>
      <c r="L2394" s="35">
        <v>-8.5833430608526715</v>
      </c>
      <c r="M2394" s="58" t="s">
        <v>23</v>
      </c>
      <c r="N2394" s="7">
        <v>11.333333333333334</v>
      </c>
      <c r="O2394" s="7" t="s">
        <v>180</v>
      </c>
      <c r="P2394" s="7" t="s">
        <v>180</v>
      </c>
    </row>
    <row r="2395" spans="1:16" x14ac:dyDescent="0.25">
      <c r="A2395" s="2" t="s">
        <v>183</v>
      </c>
      <c r="B2395" s="2" t="s">
        <v>200</v>
      </c>
      <c r="C2395" s="6" t="s">
        <v>147</v>
      </c>
      <c r="D2395" s="2" t="s">
        <v>116</v>
      </c>
      <c r="E2395" s="2"/>
      <c r="F2395" s="35">
        <v>0</v>
      </c>
      <c r="G2395" s="35">
        <v>43.736038602148206</v>
      </c>
      <c r="H2395" s="35">
        <v>7.5157082239787636</v>
      </c>
      <c r="I2395" s="35">
        <v>0.30740984118772036</v>
      </c>
      <c r="J2395" s="35">
        <v>-2.0852736685055857E-4</v>
      </c>
      <c r="K2395" s="35">
        <v>0.55492226792100807</v>
      </c>
      <c r="L2395" s="35">
        <v>40.519439940232751</v>
      </c>
      <c r="M2395" s="58" t="s">
        <v>22</v>
      </c>
      <c r="N2395" s="7">
        <v>11.333333333333334</v>
      </c>
      <c r="O2395" s="7" t="s">
        <v>180</v>
      </c>
      <c r="P2395" s="7" t="s">
        <v>180</v>
      </c>
    </row>
    <row r="2396" spans="1:16" x14ac:dyDescent="0.25">
      <c r="A2396" s="2" t="s">
        <v>183</v>
      </c>
      <c r="B2396" s="2" t="s">
        <v>200</v>
      </c>
      <c r="C2396" s="6" t="s">
        <v>147</v>
      </c>
      <c r="D2396" s="2" t="s">
        <v>116</v>
      </c>
      <c r="E2396" s="2"/>
      <c r="F2396" s="35">
        <v>0.29999999999999988</v>
      </c>
      <c r="G2396" s="35">
        <v>43.87894444214821</v>
      </c>
      <c r="H2396" s="35">
        <v>7.5157082239787636</v>
      </c>
      <c r="I2396" s="35">
        <v>0.30740984118772036</v>
      </c>
      <c r="J2396" s="35">
        <v>-2.0852736685055857E-4</v>
      </c>
      <c r="K2396" s="35">
        <v>0.46269931556469196</v>
      </c>
      <c r="L2396" s="35">
        <v>38.264727473039123</v>
      </c>
      <c r="M2396" s="58" t="s">
        <v>22</v>
      </c>
      <c r="N2396" s="7">
        <v>11.333333333333334</v>
      </c>
      <c r="O2396" s="7" t="s">
        <v>180</v>
      </c>
      <c r="P2396" s="7" t="s">
        <v>180</v>
      </c>
    </row>
    <row r="2397" spans="1:16" x14ac:dyDescent="0.25">
      <c r="A2397" s="2" t="s">
        <v>183</v>
      </c>
      <c r="B2397" s="2" t="s">
        <v>200</v>
      </c>
      <c r="C2397" s="6" t="s">
        <v>147</v>
      </c>
      <c r="D2397" s="2" t="s">
        <v>116</v>
      </c>
      <c r="E2397" s="2"/>
      <c r="F2397" s="35">
        <v>0.29999999999999988</v>
      </c>
      <c r="G2397" s="35">
        <v>47.284769144456682</v>
      </c>
      <c r="H2397" s="35">
        <v>7.5157082239787636</v>
      </c>
      <c r="I2397" s="35">
        <v>0.15003460507996516</v>
      </c>
      <c r="J2397" s="35">
        <v>2.4590905522558509E-6</v>
      </c>
      <c r="K2397" s="35">
        <v>0.46269931556469274</v>
      </c>
      <c r="L2397" s="35">
        <v>38.264714813851683</v>
      </c>
      <c r="M2397" s="58" t="s">
        <v>22</v>
      </c>
      <c r="N2397" s="7">
        <v>11.333333333333334</v>
      </c>
      <c r="O2397" s="7" t="s">
        <v>180</v>
      </c>
      <c r="P2397" s="7" t="s">
        <v>180</v>
      </c>
    </row>
    <row r="2398" spans="1:16" x14ac:dyDescent="0.25">
      <c r="A2398" s="2" t="s">
        <v>183</v>
      </c>
      <c r="B2398" s="2" t="s">
        <v>200</v>
      </c>
      <c r="C2398" s="6" t="s">
        <v>147</v>
      </c>
      <c r="D2398" s="2" t="s">
        <v>116</v>
      </c>
      <c r="E2398" s="2"/>
      <c r="F2398" s="35">
        <v>5.3</v>
      </c>
      <c r="G2398" s="35">
        <v>49.666533144456686</v>
      </c>
      <c r="H2398" s="35">
        <v>7.5157082239787636</v>
      </c>
      <c r="I2398" s="35">
        <v>0.15003460507996516</v>
      </c>
      <c r="J2398" s="35">
        <v>2.4590905522558509E-6</v>
      </c>
      <c r="K2398" s="35">
        <v>-0.28747370983513298</v>
      </c>
      <c r="L2398" s="35">
        <v>0.68617369395786509</v>
      </c>
      <c r="M2398" s="58" t="s">
        <v>24</v>
      </c>
      <c r="N2398" s="7">
        <v>11.333333333333334</v>
      </c>
      <c r="O2398" s="7" t="s">
        <v>180</v>
      </c>
      <c r="P2398" s="7" t="s">
        <v>180</v>
      </c>
    </row>
    <row r="2399" spans="1:16" x14ac:dyDescent="0.25">
      <c r="A2399" s="2" t="s">
        <v>183</v>
      </c>
      <c r="B2399" s="2" t="s">
        <v>200</v>
      </c>
      <c r="C2399" s="6" t="s">
        <v>147</v>
      </c>
      <c r="D2399" s="2" t="s">
        <v>116</v>
      </c>
      <c r="E2399" s="2"/>
      <c r="F2399" s="35">
        <v>5.3</v>
      </c>
      <c r="G2399" s="35">
        <v>49.891629751845024</v>
      </c>
      <c r="H2399" s="35">
        <v>7.5156839384367453</v>
      </c>
      <c r="I2399" s="35">
        <v>-3.6387307205717714E-2</v>
      </c>
      <c r="J2399" s="35">
        <v>-1.8013067479119566E-4</v>
      </c>
      <c r="K2399" s="35">
        <v>-0.28747370983513304</v>
      </c>
      <c r="L2399" s="35">
        <v>0.68645420082160258</v>
      </c>
      <c r="M2399" s="58" t="s">
        <v>24</v>
      </c>
      <c r="N2399" s="7">
        <v>11.333333333333334</v>
      </c>
      <c r="O2399" s="7" t="s">
        <v>180</v>
      </c>
      <c r="P2399" s="7" t="s">
        <v>180</v>
      </c>
    </row>
    <row r="2400" spans="1:16" x14ac:dyDescent="0.25">
      <c r="A2400" s="2" t="s">
        <v>183</v>
      </c>
      <c r="B2400" s="2" t="s">
        <v>200</v>
      </c>
      <c r="C2400" s="6" t="s">
        <v>147</v>
      </c>
      <c r="D2400" s="2" t="s">
        <v>116</v>
      </c>
      <c r="E2400" s="2"/>
      <c r="F2400" s="35">
        <v>5.4149169609489114</v>
      </c>
      <c r="G2400" s="35">
        <v>49.946370767960516</v>
      </c>
      <c r="H2400" s="35">
        <v>7.5156839384367453</v>
      </c>
      <c r="I2400" s="35">
        <v>-3.6387307205717714E-2</v>
      </c>
      <c r="J2400" s="35">
        <v>-1.8013067479119566E-4</v>
      </c>
      <c r="K2400" s="35">
        <v>-0.28329219107393749</v>
      </c>
      <c r="L2400" s="35">
        <v>-0.17722535683609447</v>
      </c>
      <c r="M2400" s="58" t="s">
        <v>24</v>
      </c>
      <c r="N2400" s="7">
        <v>11.333333333333334</v>
      </c>
      <c r="O2400" s="7" t="s">
        <v>180</v>
      </c>
      <c r="P2400" s="7" t="s">
        <v>180</v>
      </c>
    </row>
    <row r="2401" spans="1:16" x14ac:dyDescent="0.25">
      <c r="A2401" s="2" t="s">
        <v>183</v>
      </c>
      <c r="B2401" s="2" t="s">
        <v>200</v>
      </c>
      <c r="C2401" s="6" t="s">
        <v>147</v>
      </c>
      <c r="D2401" s="2" t="s">
        <v>116</v>
      </c>
      <c r="E2401" s="2"/>
      <c r="F2401" s="35">
        <v>10.829833921897823</v>
      </c>
      <c r="G2401" s="35">
        <v>52.525781624076032</v>
      </c>
      <c r="H2401" s="35">
        <v>7.5156839384367453</v>
      </c>
      <c r="I2401" s="35">
        <v>-3.6387307205717714E-2</v>
      </c>
      <c r="J2401" s="35">
        <v>-1.8013067479119566E-4</v>
      </c>
      <c r="K2401" s="35">
        <v>-8.6257944122438202E-2</v>
      </c>
      <c r="L2401" s="35">
        <v>-40.874029788208517</v>
      </c>
      <c r="M2401" s="58" t="s">
        <v>23</v>
      </c>
      <c r="N2401" s="7">
        <v>11.333333333333334</v>
      </c>
      <c r="O2401" s="7" t="s">
        <v>180</v>
      </c>
      <c r="P2401" s="7" t="s">
        <v>180</v>
      </c>
    </row>
    <row r="2402" spans="1:16" x14ac:dyDescent="0.25">
      <c r="A2402" s="2" t="s">
        <v>183</v>
      </c>
      <c r="B2402" s="2" t="s">
        <v>200</v>
      </c>
      <c r="C2402" s="6" t="s">
        <v>147</v>
      </c>
      <c r="D2402" s="2" t="s">
        <v>117</v>
      </c>
      <c r="E2402" s="2"/>
      <c r="F2402" s="35">
        <v>0</v>
      </c>
      <c r="G2402" s="35">
        <v>-61.44432589019533</v>
      </c>
      <c r="H2402" s="35">
        <v>18.153517317312637</v>
      </c>
      <c r="I2402" s="35">
        <v>0.98533825651139861</v>
      </c>
      <c r="J2402" s="35">
        <v>-2.8813493018167019E-4</v>
      </c>
      <c r="K2402" s="35">
        <v>0.40934465997365427</v>
      </c>
      <c r="L2402" s="35">
        <v>101.99249151816842</v>
      </c>
      <c r="M2402" s="58" t="s">
        <v>22</v>
      </c>
      <c r="N2402" s="7">
        <v>11.333333333333334</v>
      </c>
      <c r="O2402" s="7" t="s">
        <v>180</v>
      </c>
      <c r="P2402" s="7" t="s">
        <v>180</v>
      </c>
    </row>
    <row r="2403" spans="1:16" x14ac:dyDescent="0.25">
      <c r="A2403" s="2" t="s">
        <v>183</v>
      </c>
      <c r="B2403" s="2" t="s">
        <v>200</v>
      </c>
      <c r="C2403" s="6" t="s">
        <v>147</v>
      </c>
      <c r="D2403" s="2" t="s">
        <v>117</v>
      </c>
      <c r="E2403" s="2"/>
      <c r="F2403" s="35">
        <v>0.29999999999999988</v>
      </c>
      <c r="G2403" s="35">
        <v>-61.301420050195325</v>
      </c>
      <c r="H2403" s="35">
        <v>18.153517317312637</v>
      </c>
      <c r="I2403" s="35">
        <v>0.98533825651139861</v>
      </c>
      <c r="J2403" s="35">
        <v>-2.8813493018167019E-4</v>
      </c>
      <c r="K2403" s="35">
        <v>0.1137431830202348</v>
      </c>
      <c r="L2403" s="35">
        <v>96.546436322974628</v>
      </c>
      <c r="M2403" s="58" t="s">
        <v>22</v>
      </c>
      <c r="N2403" s="7">
        <v>11.333333333333334</v>
      </c>
      <c r="O2403" s="7" t="s">
        <v>180</v>
      </c>
      <c r="P2403" s="7" t="s">
        <v>180</v>
      </c>
    </row>
    <row r="2404" spans="1:16" x14ac:dyDescent="0.25">
      <c r="A2404" s="2" t="s">
        <v>183</v>
      </c>
      <c r="B2404" s="2" t="s">
        <v>200</v>
      </c>
      <c r="C2404" s="6" t="s">
        <v>147</v>
      </c>
      <c r="D2404" s="2" t="s">
        <v>117</v>
      </c>
      <c r="E2404" s="2"/>
      <c r="F2404" s="35">
        <v>0.29999999999999988</v>
      </c>
      <c r="G2404" s="35">
        <v>-44.719651424447441</v>
      </c>
      <c r="H2404" s="35">
        <v>18.153517317312666</v>
      </c>
      <c r="I2404" s="35">
        <v>3.740638499727842E-2</v>
      </c>
      <c r="J2404" s="35">
        <v>2.0932265280393538E-4</v>
      </c>
      <c r="K2404" s="35">
        <v>0.11374318302023391</v>
      </c>
      <c r="L2404" s="35">
        <v>96.546406475519618</v>
      </c>
      <c r="M2404" s="58" t="s">
        <v>22</v>
      </c>
      <c r="N2404" s="7">
        <v>11.333333333333334</v>
      </c>
      <c r="O2404" s="7" t="s">
        <v>180</v>
      </c>
      <c r="P2404" s="7" t="s">
        <v>180</v>
      </c>
    </row>
    <row r="2405" spans="1:16" x14ac:dyDescent="0.25">
      <c r="A2405" s="2" t="s">
        <v>183</v>
      </c>
      <c r="B2405" s="2" t="s">
        <v>200</v>
      </c>
      <c r="C2405" s="6" t="s">
        <v>147</v>
      </c>
      <c r="D2405" s="2" t="s">
        <v>117</v>
      </c>
      <c r="E2405" s="2"/>
      <c r="F2405" s="35">
        <v>5.3</v>
      </c>
      <c r="G2405" s="35">
        <v>-42.337887424447437</v>
      </c>
      <c r="H2405" s="35">
        <v>18.153517317312666</v>
      </c>
      <c r="I2405" s="35">
        <v>3.740638499727842E-2</v>
      </c>
      <c r="J2405" s="35">
        <v>2.0932265280393538E-4</v>
      </c>
      <c r="K2405" s="35">
        <v>-7.3288741966158186E-2</v>
      </c>
      <c r="L2405" s="35">
        <v>5.7788198889563063</v>
      </c>
      <c r="M2405" s="58" t="s">
        <v>24</v>
      </c>
      <c r="N2405" s="7">
        <v>11.333333333333334</v>
      </c>
      <c r="O2405" s="7" t="s">
        <v>180</v>
      </c>
      <c r="P2405" s="7" t="s">
        <v>180</v>
      </c>
    </row>
    <row r="2406" spans="1:16" x14ac:dyDescent="0.25">
      <c r="A2406" s="2" t="s">
        <v>183</v>
      </c>
      <c r="B2406" s="2" t="s">
        <v>200</v>
      </c>
      <c r="C2406" s="6" t="s">
        <v>147</v>
      </c>
      <c r="D2406" s="2" t="s">
        <v>117</v>
      </c>
      <c r="E2406" s="2"/>
      <c r="F2406" s="35">
        <v>5.3</v>
      </c>
      <c r="G2406" s="35">
        <v>-54.730926935554614</v>
      </c>
      <c r="H2406" s="35">
        <v>18.153447225333874</v>
      </c>
      <c r="I2406" s="35">
        <v>-9.0070500554769936E-4</v>
      </c>
      <c r="J2406" s="35">
        <v>-1.8104382151592211E-4</v>
      </c>
      <c r="K2406" s="35">
        <v>-7.3288741966158047E-2</v>
      </c>
      <c r="L2406" s="35">
        <v>5.779352970706074</v>
      </c>
      <c r="M2406" s="58" t="s">
        <v>24</v>
      </c>
      <c r="N2406" s="7">
        <v>11.333333333333334</v>
      </c>
      <c r="O2406" s="7" t="s">
        <v>180</v>
      </c>
      <c r="P2406" s="7" t="s">
        <v>180</v>
      </c>
    </row>
    <row r="2407" spans="1:16" x14ac:dyDescent="0.25">
      <c r="A2407" s="2" t="s">
        <v>183</v>
      </c>
      <c r="B2407" s="2" t="s">
        <v>200</v>
      </c>
      <c r="C2407" s="6" t="s">
        <v>147</v>
      </c>
      <c r="D2407" s="2" t="s">
        <v>117</v>
      </c>
      <c r="E2407" s="2"/>
      <c r="F2407" s="35">
        <v>5.4149169609489114</v>
      </c>
      <c r="G2407" s="35">
        <v>-54.676185919439121</v>
      </c>
      <c r="H2407" s="35">
        <v>18.153447225333874</v>
      </c>
      <c r="I2407" s="35">
        <v>-9.0070500554769936E-4</v>
      </c>
      <c r="J2407" s="35">
        <v>-1.8104382151592211E-4</v>
      </c>
      <c r="K2407" s="35">
        <v>-7.3185235684209024E-2</v>
      </c>
      <c r="L2407" s="35">
        <v>3.6932139848242556</v>
      </c>
      <c r="M2407" s="58" t="s">
        <v>24</v>
      </c>
      <c r="N2407" s="7">
        <v>11.333333333333334</v>
      </c>
      <c r="O2407" s="7" t="s">
        <v>180</v>
      </c>
      <c r="P2407" s="7" t="s">
        <v>180</v>
      </c>
    </row>
    <row r="2408" spans="1:16" x14ac:dyDescent="0.25">
      <c r="A2408" s="2" t="s">
        <v>183</v>
      </c>
      <c r="B2408" s="2" t="s">
        <v>200</v>
      </c>
      <c r="C2408" s="6" t="s">
        <v>147</v>
      </c>
      <c r="D2408" s="2" t="s">
        <v>117</v>
      </c>
      <c r="E2408" s="2"/>
      <c r="F2408" s="35">
        <v>10.829833921897823</v>
      </c>
      <c r="G2408" s="35">
        <v>-52.096775063323605</v>
      </c>
      <c r="H2408" s="35">
        <v>18.153447225333874</v>
      </c>
      <c r="I2408" s="35">
        <v>-9.0070500554769936E-4</v>
      </c>
      <c r="J2408" s="35">
        <v>-1.8104382151592211E-4</v>
      </c>
      <c r="K2408" s="35">
        <v>-6.8307992872857215E-2</v>
      </c>
      <c r="L2408" s="35">
        <v>-94.606195295327069</v>
      </c>
      <c r="M2408" s="58" t="s">
        <v>23</v>
      </c>
      <c r="N2408" s="7">
        <v>11.333333333333334</v>
      </c>
      <c r="O2408" s="7" t="s">
        <v>180</v>
      </c>
      <c r="P2408" s="7" t="s">
        <v>180</v>
      </c>
    </row>
    <row r="2409" spans="1:16" x14ac:dyDescent="0.25">
      <c r="A2409" s="2" t="s">
        <v>183</v>
      </c>
      <c r="B2409" s="2" t="s">
        <v>200</v>
      </c>
      <c r="C2409" s="6" t="s">
        <v>147</v>
      </c>
      <c r="D2409" s="2" t="s">
        <v>118</v>
      </c>
      <c r="E2409" s="2"/>
      <c r="F2409" s="35">
        <v>0</v>
      </c>
      <c r="G2409" s="35">
        <v>41.949968693367431</v>
      </c>
      <c r="H2409" s="35">
        <v>-1.4567489724866667</v>
      </c>
      <c r="I2409" s="35">
        <v>0.34405769096132044</v>
      </c>
      <c r="J2409" s="35">
        <v>8.583329878263919E-5</v>
      </c>
      <c r="K2409" s="35">
        <v>0.58528777722599812</v>
      </c>
      <c r="L2409" s="35">
        <v>-19.477217522665505</v>
      </c>
      <c r="M2409" s="58" t="s">
        <v>22</v>
      </c>
      <c r="N2409" s="7">
        <v>11.333333333333334</v>
      </c>
      <c r="O2409" s="7" t="s">
        <v>180</v>
      </c>
      <c r="P2409" s="7" t="s">
        <v>180</v>
      </c>
    </row>
    <row r="2410" spans="1:16" x14ac:dyDescent="0.25">
      <c r="A2410" s="2" t="s">
        <v>183</v>
      </c>
      <c r="B2410" s="2" t="s">
        <v>200</v>
      </c>
      <c r="C2410" s="6" t="s">
        <v>147</v>
      </c>
      <c r="D2410" s="2" t="s">
        <v>118</v>
      </c>
      <c r="E2410" s="2"/>
      <c r="F2410" s="35">
        <v>0.29999999999999988</v>
      </c>
      <c r="G2410" s="35">
        <v>42.092874533367436</v>
      </c>
      <c r="H2410" s="35">
        <v>-1.4567489724866667</v>
      </c>
      <c r="I2410" s="35">
        <v>0.34405769096132044</v>
      </c>
      <c r="J2410" s="35">
        <v>8.583329878263919E-5</v>
      </c>
      <c r="K2410" s="35">
        <v>0.482070469937602</v>
      </c>
      <c r="L2410" s="35">
        <v>-19.040192830919505</v>
      </c>
      <c r="M2410" s="58" t="s">
        <v>22</v>
      </c>
      <c r="N2410" s="7">
        <v>11.333333333333334</v>
      </c>
      <c r="O2410" s="7" t="s">
        <v>180</v>
      </c>
      <c r="P2410" s="7" t="s">
        <v>180</v>
      </c>
    </row>
    <row r="2411" spans="1:16" x14ac:dyDescent="0.25">
      <c r="A2411" s="2" t="s">
        <v>183</v>
      </c>
      <c r="B2411" s="2" t="s">
        <v>200</v>
      </c>
      <c r="C2411" s="6" t="s">
        <v>147</v>
      </c>
      <c r="D2411" s="2" t="s">
        <v>118</v>
      </c>
      <c r="E2411" s="2"/>
      <c r="F2411" s="35">
        <v>0.29999999999999988</v>
      </c>
      <c r="G2411" s="35">
        <v>46.004740138922635</v>
      </c>
      <c r="H2411" s="35">
        <v>-1.4567489724866782</v>
      </c>
      <c r="I2411" s="35">
        <v>0.15632000065876289</v>
      </c>
      <c r="J2411" s="35">
        <v>-4.9260258159383193E-5</v>
      </c>
      <c r="K2411" s="35">
        <v>0.48207046993760111</v>
      </c>
      <c r="L2411" s="35">
        <v>-19.040184725306066</v>
      </c>
      <c r="M2411" s="58" t="s">
        <v>22</v>
      </c>
      <c r="N2411" s="7">
        <v>11.333333333333334</v>
      </c>
      <c r="O2411" s="7" t="s">
        <v>180</v>
      </c>
      <c r="P2411" s="7" t="s">
        <v>180</v>
      </c>
    </row>
    <row r="2412" spans="1:16" x14ac:dyDescent="0.25">
      <c r="A2412" s="2" t="s">
        <v>183</v>
      </c>
      <c r="B2412" s="2" t="s">
        <v>200</v>
      </c>
      <c r="C2412" s="6" t="s">
        <v>147</v>
      </c>
      <c r="D2412" s="2" t="s">
        <v>118</v>
      </c>
      <c r="E2412" s="2"/>
      <c r="F2412" s="35">
        <v>5.3</v>
      </c>
      <c r="G2412" s="35">
        <v>48.386504138922646</v>
      </c>
      <c r="H2412" s="35">
        <v>-1.4567489724866782</v>
      </c>
      <c r="I2412" s="35">
        <v>0.15632000065876289</v>
      </c>
      <c r="J2412" s="35">
        <v>-4.9260258159383193E-5</v>
      </c>
      <c r="K2412" s="35">
        <v>-0.29952953335621324</v>
      </c>
      <c r="L2412" s="35">
        <v>-11.756439862872675</v>
      </c>
      <c r="M2412" s="58" t="s">
        <v>24</v>
      </c>
      <c r="N2412" s="7">
        <v>11.333333333333334</v>
      </c>
      <c r="O2412" s="7" t="s">
        <v>180</v>
      </c>
      <c r="P2412" s="7" t="s">
        <v>180</v>
      </c>
    </row>
    <row r="2413" spans="1:16" x14ac:dyDescent="0.25">
      <c r="A2413" s="2" t="s">
        <v>183</v>
      </c>
      <c r="B2413" s="2" t="s">
        <v>200</v>
      </c>
      <c r="C2413" s="6" t="s">
        <v>147</v>
      </c>
      <c r="D2413" s="2" t="s">
        <v>118</v>
      </c>
      <c r="E2413" s="2"/>
      <c r="F2413" s="35">
        <v>5.3</v>
      </c>
      <c r="G2413" s="35">
        <v>48.155871058661567</v>
      </c>
      <c r="H2413" s="35">
        <v>-1.4567408928503103</v>
      </c>
      <c r="I2413" s="35">
        <v>-3.8382432637048845E-2</v>
      </c>
      <c r="J2413" s="35">
        <v>-1.4404064673415691E-4</v>
      </c>
      <c r="K2413" s="35">
        <v>-0.29952953335621302</v>
      </c>
      <c r="L2413" s="35">
        <v>-11.756301531465954</v>
      </c>
      <c r="M2413" s="58" t="s">
        <v>24</v>
      </c>
      <c r="N2413" s="7">
        <v>11.333333333333334</v>
      </c>
      <c r="O2413" s="7" t="s">
        <v>180</v>
      </c>
      <c r="P2413" s="7" t="s">
        <v>180</v>
      </c>
    </row>
    <row r="2414" spans="1:16" x14ac:dyDescent="0.25">
      <c r="A2414" s="2" t="s">
        <v>183</v>
      </c>
      <c r="B2414" s="2" t="s">
        <v>200</v>
      </c>
      <c r="C2414" s="6" t="s">
        <v>147</v>
      </c>
      <c r="D2414" s="2" t="s">
        <v>118</v>
      </c>
      <c r="E2414" s="2"/>
      <c r="F2414" s="35">
        <v>5.4149169609489114</v>
      </c>
      <c r="G2414" s="35">
        <v>48.210612074777067</v>
      </c>
      <c r="H2414" s="35">
        <v>-1.4567408928503103</v>
      </c>
      <c r="I2414" s="35">
        <v>-3.8382432637048845E-2</v>
      </c>
      <c r="J2414" s="35">
        <v>-1.4404064673415691E-4</v>
      </c>
      <c r="K2414" s="35">
        <v>-0.29511874084373696</v>
      </c>
      <c r="L2414" s="35">
        <v>-11.588897295169595</v>
      </c>
      <c r="M2414" s="58" t="s">
        <v>24</v>
      </c>
      <c r="N2414" s="7">
        <v>11.333333333333334</v>
      </c>
      <c r="O2414" s="7" t="s">
        <v>180</v>
      </c>
      <c r="P2414" s="7" t="s">
        <v>180</v>
      </c>
    </row>
    <row r="2415" spans="1:16" x14ac:dyDescent="0.25">
      <c r="A2415" s="2" t="s">
        <v>183</v>
      </c>
      <c r="B2415" s="2" t="s">
        <v>200</v>
      </c>
      <c r="C2415" s="6" t="s">
        <v>147</v>
      </c>
      <c r="D2415" s="2" t="s">
        <v>118</v>
      </c>
      <c r="E2415" s="2"/>
      <c r="F2415" s="35">
        <v>10.829833921897823</v>
      </c>
      <c r="G2415" s="35">
        <v>50.790022930892583</v>
      </c>
      <c r="H2415" s="35">
        <v>-1.4567408928503103</v>
      </c>
      <c r="I2415" s="35">
        <v>-3.8382432637048845E-2</v>
      </c>
      <c r="J2415" s="35">
        <v>-1.4404064673415691E-4</v>
      </c>
      <c r="K2415" s="35">
        <v>-8.7281055354902201E-2</v>
      </c>
      <c r="L2415" s="35">
        <v>-3.7007663267665905</v>
      </c>
      <c r="M2415" s="58" t="s">
        <v>23</v>
      </c>
      <c r="N2415" s="7">
        <v>11.333333333333334</v>
      </c>
      <c r="O2415" s="7" t="s">
        <v>180</v>
      </c>
      <c r="P2415" s="7" t="s">
        <v>180</v>
      </c>
    </row>
    <row r="2416" spans="1:16" x14ac:dyDescent="0.25">
      <c r="A2416" s="2" t="s">
        <v>183</v>
      </c>
      <c r="B2416" s="2" t="s">
        <v>200</v>
      </c>
      <c r="C2416" s="6" t="s">
        <v>147</v>
      </c>
      <c r="D2416" s="2" t="s">
        <v>119</v>
      </c>
      <c r="E2416" s="2"/>
      <c r="F2416" s="35">
        <v>0</v>
      </c>
      <c r="G2416" s="35">
        <v>-148.35492781173144</v>
      </c>
      <c r="H2416" s="35">
        <v>-13.725948015527477</v>
      </c>
      <c r="I2416" s="35">
        <v>1.8388508686560441</v>
      </c>
      <c r="J2416" s="35">
        <v>2.4014292861334902E-4</v>
      </c>
      <c r="K2416" s="35">
        <v>0.66328231387350423</v>
      </c>
      <c r="L2416" s="35">
        <v>-78.3641812323539</v>
      </c>
      <c r="M2416" s="58" t="s">
        <v>22</v>
      </c>
      <c r="N2416" s="7">
        <v>11.333333333333334</v>
      </c>
      <c r="O2416" s="7" t="s">
        <v>180</v>
      </c>
      <c r="P2416" s="7" t="s">
        <v>180</v>
      </c>
    </row>
    <row r="2417" spans="1:16" x14ac:dyDescent="0.25">
      <c r="A2417" s="2" t="s">
        <v>183</v>
      </c>
      <c r="B2417" s="2" t="s">
        <v>200</v>
      </c>
      <c r="C2417" s="6" t="s">
        <v>147</v>
      </c>
      <c r="D2417" s="2" t="s">
        <v>119</v>
      </c>
      <c r="E2417" s="2"/>
      <c r="F2417" s="35">
        <v>0.29999999999999988</v>
      </c>
      <c r="G2417" s="35">
        <v>-148.21202197173142</v>
      </c>
      <c r="H2417" s="35">
        <v>-13.725948015527477</v>
      </c>
      <c r="I2417" s="35">
        <v>1.8388508686560441</v>
      </c>
      <c r="J2417" s="35">
        <v>2.4014292861334902E-4</v>
      </c>
      <c r="K2417" s="35">
        <v>0.11162705327669126</v>
      </c>
      <c r="L2417" s="35">
        <v>-74.246396827695662</v>
      </c>
      <c r="M2417" s="58" t="s">
        <v>22</v>
      </c>
      <c r="N2417" s="7">
        <v>11.333333333333334</v>
      </c>
      <c r="O2417" s="7" t="s">
        <v>180</v>
      </c>
      <c r="P2417" s="7" t="s">
        <v>180</v>
      </c>
    </row>
    <row r="2418" spans="1:16" x14ac:dyDescent="0.25">
      <c r="A2418" s="2" t="s">
        <v>183</v>
      </c>
      <c r="B2418" s="2" t="s">
        <v>200</v>
      </c>
      <c r="C2418" s="6" t="s">
        <v>147</v>
      </c>
      <c r="D2418" s="2" t="s">
        <v>119</v>
      </c>
      <c r="E2418" s="2"/>
      <c r="F2418" s="35">
        <v>0.29999999999999988</v>
      </c>
      <c r="G2418" s="35">
        <v>-117.42035896676657</v>
      </c>
      <c r="H2418" s="35">
        <v>-13.725948015527463</v>
      </c>
      <c r="I2418" s="35">
        <v>3.8325334388903655E-2</v>
      </c>
      <c r="J2418" s="35">
        <v>-1.6955227775217784E-4</v>
      </c>
      <c r="K2418" s="35">
        <v>0.11162705327669196</v>
      </c>
      <c r="L2418" s="35">
        <v>-74.246372245983238</v>
      </c>
      <c r="M2418" s="58" t="s">
        <v>22</v>
      </c>
      <c r="N2418" s="7">
        <v>11.333333333333334</v>
      </c>
      <c r="O2418" s="7" t="s">
        <v>180</v>
      </c>
      <c r="P2418" s="7" t="s">
        <v>180</v>
      </c>
    </row>
    <row r="2419" spans="1:16" x14ac:dyDescent="0.25">
      <c r="A2419" s="2" t="s">
        <v>183</v>
      </c>
      <c r="B2419" s="2" t="s">
        <v>200</v>
      </c>
      <c r="C2419" s="6" t="s">
        <v>147</v>
      </c>
      <c r="D2419" s="2" t="s">
        <v>119</v>
      </c>
      <c r="E2419" s="2"/>
      <c r="F2419" s="35">
        <v>5.3</v>
      </c>
      <c r="G2419" s="35">
        <v>-115.03859496676658</v>
      </c>
      <c r="H2419" s="35">
        <v>-13.725948015527463</v>
      </c>
      <c r="I2419" s="35">
        <v>3.8325334388903655E-2</v>
      </c>
      <c r="J2419" s="35">
        <v>-1.6955227775217784E-4</v>
      </c>
      <c r="K2419" s="35">
        <v>-7.999961866782633E-2</v>
      </c>
      <c r="L2419" s="35">
        <v>-5.6166321683459302</v>
      </c>
      <c r="M2419" s="58" t="s">
        <v>24</v>
      </c>
      <c r="N2419" s="7">
        <v>11.333333333333334</v>
      </c>
      <c r="O2419" s="7" t="s">
        <v>180</v>
      </c>
      <c r="P2419" s="7" t="s">
        <v>180</v>
      </c>
    </row>
    <row r="2420" spans="1:16" x14ac:dyDescent="0.25">
      <c r="A2420" s="2" t="s">
        <v>183</v>
      </c>
      <c r="B2420" s="2" t="s">
        <v>200</v>
      </c>
      <c r="C2420" s="6" t="s">
        <v>147</v>
      </c>
      <c r="D2420" s="2" t="s">
        <v>119</v>
      </c>
      <c r="E2420" s="2"/>
      <c r="F2420" s="35">
        <v>5.3</v>
      </c>
      <c r="G2420" s="35">
        <v>-140.64366064542943</v>
      </c>
      <c r="H2420" s="35">
        <v>-13.725900157547436</v>
      </c>
      <c r="I2420" s="35">
        <v>-1.9890656848427957E-3</v>
      </c>
      <c r="J2420" s="35">
        <v>1.0832265317387521E-4</v>
      </c>
      <c r="K2420" s="35">
        <v>-7.9999618667826358E-2</v>
      </c>
      <c r="L2420" s="35">
        <v>-5.6170425426515695</v>
      </c>
      <c r="M2420" s="58" t="s">
        <v>24</v>
      </c>
      <c r="N2420" s="7">
        <v>11.333333333333334</v>
      </c>
      <c r="O2420" s="7" t="s">
        <v>180</v>
      </c>
      <c r="P2420" s="7" t="s">
        <v>180</v>
      </c>
    </row>
    <row r="2421" spans="1:16" x14ac:dyDescent="0.25">
      <c r="A2421" s="2" t="s">
        <v>183</v>
      </c>
      <c r="B2421" s="2" t="s">
        <v>200</v>
      </c>
      <c r="C2421" s="6" t="s">
        <v>147</v>
      </c>
      <c r="D2421" s="2" t="s">
        <v>119</v>
      </c>
      <c r="E2421" s="2"/>
      <c r="F2421" s="35">
        <v>5.4149169609489114</v>
      </c>
      <c r="G2421" s="35">
        <v>-140.58891962931392</v>
      </c>
      <c r="H2421" s="35">
        <v>-13.725900157547436</v>
      </c>
      <c r="I2421" s="35">
        <v>-1.9890656848427957E-3</v>
      </c>
      <c r="J2421" s="35">
        <v>1.0832265317387521E-4</v>
      </c>
      <c r="K2421" s="35">
        <v>-7.9771041284196431E-2</v>
      </c>
      <c r="L2421" s="35">
        <v>-4.0397038102580352</v>
      </c>
      <c r="M2421" s="58" t="s">
        <v>24</v>
      </c>
      <c r="N2421" s="7">
        <v>11.333333333333334</v>
      </c>
      <c r="O2421" s="7" t="s">
        <v>180</v>
      </c>
      <c r="P2421" s="7" t="s">
        <v>180</v>
      </c>
    </row>
    <row r="2422" spans="1:16" x14ac:dyDescent="0.25">
      <c r="A2422" s="2" t="s">
        <v>183</v>
      </c>
      <c r="B2422" s="2" t="s">
        <v>200</v>
      </c>
      <c r="C2422" s="6" t="s">
        <v>147</v>
      </c>
      <c r="D2422" s="2" t="s">
        <v>119</v>
      </c>
      <c r="E2422" s="2"/>
      <c r="F2422" s="35">
        <v>10.829833921897823</v>
      </c>
      <c r="G2422" s="35">
        <v>-138.00950877319841</v>
      </c>
      <c r="H2422" s="35">
        <v>-13.725900157547436</v>
      </c>
      <c r="I2422" s="35">
        <v>-1.9890656848427957E-3</v>
      </c>
      <c r="J2422" s="35">
        <v>1.0832265317387521E-4</v>
      </c>
      <c r="K2422" s="35">
        <v>-6.9000415770899742E-2</v>
      </c>
      <c r="L2422" s="35">
        <v>70.284905757136897</v>
      </c>
      <c r="M2422" s="58" t="s">
        <v>23</v>
      </c>
      <c r="N2422" s="7">
        <v>11.333333333333334</v>
      </c>
      <c r="O2422" s="7" t="s">
        <v>180</v>
      </c>
      <c r="P2422" s="7" t="s">
        <v>180</v>
      </c>
    </row>
    <row r="2423" spans="1:16" x14ac:dyDescent="0.25">
      <c r="A2423" s="2" t="s">
        <v>183</v>
      </c>
      <c r="B2423" s="2" t="s">
        <v>200</v>
      </c>
      <c r="C2423" s="6" t="s">
        <v>147</v>
      </c>
      <c r="D2423" s="2" t="s">
        <v>120</v>
      </c>
      <c r="E2423" s="2"/>
      <c r="F2423" s="35">
        <v>0</v>
      </c>
      <c r="G2423" s="35">
        <v>76.071059800207237</v>
      </c>
      <c r="H2423" s="35">
        <v>4.1958276401756498</v>
      </c>
      <c r="I2423" s="35">
        <v>-3.9601053277601919</v>
      </c>
      <c r="J2423" s="35">
        <v>4.9610107254394783E-4</v>
      </c>
      <c r="K2423" s="35">
        <v>-4.6920243775215811</v>
      </c>
      <c r="L2423" s="35">
        <v>14.644827766549035</v>
      </c>
      <c r="M2423" s="58" t="s">
        <v>22</v>
      </c>
      <c r="N2423" s="7">
        <v>11.333333333333334</v>
      </c>
      <c r="O2423" s="7" t="s">
        <v>180</v>
      </c>
      <c r="P2423" s="7" t="s">
        <v>180</v>
      </c>
    </row>
    <row r="2424" spans="1:16" x14ac:dyDescent="0.25">
      <c r="A2424" s="2" t="s">
        <v>183</v>
      </c>
      <c r="B2424" s="2" t="s">
        <v>200</v>
      </c>
      <c r="C2424" s="6" t="s">
        <v>147</v>
      </c>
      <c r="D2424" s="2" t="s">
        <v>120</v>
      </c>
      <c r="E2424" s="2"/>
      <c r="F2424" s="35">
        <v>0.29999999999999988</v>
      </c>
      <c r="G2424" s="35">
        <v>76.213965640207249</v>
      </c>
      <c r="H2424" s="35">
        <v>4.1958276401756498</v>
      </c>
      <c r="I2424" s="35">
        <v>-3.9601053277601919</v>
      </c>
      <c r="J2424" s="35">
        <v>4.9610107254394783E-4</v>
      </c>
      <c r="K2424" s="35">
        <v>-3.5039927791935241</v>
      </c>
      <c r="L2424" s="35">
        <v>13.386079474496341</v>
      </c>
      <c r="M2424" s="58" t="s">
        <v>22</v>
      </c>
      <c r="N2424" s="7">
        <v>11.333333333333334</v>
      </c>
      <c r="O2424" s="7" t="s">
        <v>180</v>
      </c>
      <c r="P2424" s="7" t="s">
        <v>180</v>
      </c>
    </row>
    <row r="2425" spans="1:16" x14ac:dyDescent="0.25">
      <c r="A2425" s="2" t="s">
        <v>183</v>
      </c>
      <c r="B2425" s="2" t="s">
        <v>200</v>
      </c>
      <c r="C2425" s="6" t="s">
        <v>147</v>
      </c>
      <c r="D2425" s="2" t="s">
        <v>120</v>
      </c>
      <c r="E2425" s="2"/>
      <c r="F2425" s="35">
        <v>0.29999999999999988</v>
      </c>
      <c r="G2425" s="35">
        <v>29.981879587690457</v>
      </c>
      <c r="H2425" s="35">
        <v>4.1958276401756516</v>
      </c>
      <c r="I2425" s="35">
        <v>-1.13920591857843</v>
      </c>
      <c r="J2425" s="35">
        <v>4.0883519242451141E-4</v>
      </c>
      <c r="K2425" s="35">
        <v>-3.5039927791935259</v>
      </c>
      <c r="L2425" s="35">
        <v>13.386084710449149</v>
      </c>
      <c r="M2425" s="58" t="s">
        <v>22</v>
      </c>
      <c r="N2425" s="7">
        <v>11.333333333333334</v>
      </c>
      <c r="O2425" s="7" t="s">
        <v>180</v>
      </c>
      <c r="P2425" s="7" t="s">
        <v>180</v>
      </c>
    </row>
    <row r="2426" spans="1:16" x14ac:dyDescent="0.25">
      <c r="A2426" s="2" t="s">
        <v>183</v>
      </c>
      <c r="B2426" s="2" t="s">
        <v>200</v>
      </c>
      <c r="C2426" s="6" t="s">
        <v>147</v>
      </c>
      <c r="D2426" s="2" t="s">
        <v>120</v>
      </c>
      <c r="E2426" s="2"/>
      <c r="F2426" s="35">
        <v>5.3</v>
      </c>
      <c r="G2426" s="35">
        <v>32.363643587690468</v>
      </c>
      <c r="H2426" s="35">
        <v>4.1958276401756516</v>
      </c>
      <c r="I2426" s="35">
        <v>-1.13920591857843</v>
      </c>
      <c r="J2426" s="35">
        <v>4.0883519242451141E-4</v>
      </c>
      <c r="K2426" s="35">
        <v>2.1920368136986244</v>
      </c>
      <c r="L2426" s="35">
        <v>-7.5930534904291047</v>
      </c>
      <c r="M2426" s="58" t="s">
        <v>24</v>
      </c>
      <c r="N2426" s="7">
        <v>11.333333333333334</v>
      </c>
      <c r="O2426" s="7" t="s">
        <v>180</v>
      </c>
      <c r="P2426" s="7" t="s">
        <v>180</v>
      </c>
    </row>
    <row r="2427" spans="1:16" x14ac:dyDescent="0.25">
      <c r="A2427" s="2" t="s">
        <v>183</v>
      </c>
      <c r="B2427" s="2" t="s">
        <v>200</v>
      </c>
      <c r="C2427" s="6" t="s">
        <v>147</v>
      </c>
      <c r="D2427" s="2" t="s">
        <v>120</v>
      </c>
      <c r="E2427" s="2"/>
      <c r="F2427" s="35">
        <v>5.3</v>
      </c>
      <c r="G2427" s="35">
        <v>75.122630659747585</v>
      </c>
      <c r="H2427" s="35">
        <v>4.1957851761301059</v>
      </c>
      <c r="I2427" s="35">
        <v>0.37483379907294262</v>
      </c>
      <c r="J2427" s="35">
        <v>2.2148537293019351E-4</v>
      </c>
      <c r="K2427" s="35">
        <v>2.1920368136986266</v>
      </c>
      <c r="L2427" s="35">
        <v>-7.5929769973273462</v>
      </c>
      <c r="M2427" s="58" t="s">
        <v>24</v>
      </c>
      <c r="N2427" s="7">
        <v>11.333333333333334</v>
      </c>
      <c r="O2427" s="7" t="s">
        <v>180</v>
      </c>
      <c r="P2427" s="7" t="s">
        <v>180</v>
      </c>
    </row>
    <row r="2428" spans="1:16" x14ac:dyDescent="0.25">
      <c r="A2428" s="2" t="s">
        <v>183</v>
      </c>
      <c r="B2428" s="2" t="s">
        <v>200</v>
      </c>
      <c r="C2428" s="6" t="s">
        <v>147</v>
      </c>
      <c r="D2428" s="2" t="s">
        <v>120</v>
      </c>
      <c r="E2428" s="2"/>
      <c r="F2428" s="35">
        <v>5.4149169609489114</v>
      </c>
      <c r="G2428" s="35">
        <v>75.177371675863085</v>
      </c>
      <c r="H2428" s="35">
        <v>4.1957851761301059</v>
      </c>
      <c r="I2428" s="35">
        <v>0.37483379907294262</v>
      </c>
      <c r="J2428" s="35">
        <v>2.2148537293019351E-4</v>
      </c>
      <c r="K2428" s="35">
        <v>2.1489620526482289</v>
      </c>
      <c r="L2428" s="35">
        <v>-8.0751438785627112</v>
      </c>
      <c r="M2428" s="58" t="s">
        <v>24</v>
      </c>
      <c r="N2428" s="7">
        <v>11.333333333333334</v>
      </c>
      <c r="O2428" s="7" t="s">
        <v>180</v>
      </c>
      <c r="P2428" s="7" t="s">
        <v>180</v>
      </c>
    </row>
    <row r="2429" spans="1:16" x14ac:dyDescent="0.25">
      <c r="A2429" s="2" t="s">
        <v>183</v>
      </c>
      <c r="B2429" s="2" t="s">
        <v>200</v>
      </c>
      <c r="C2429" s="6" t="s">
        <v>147</v>
      </c>
      <c r="D2429" s="2" t="s">
        <v>120</v>
      </c>
      <c r="E2429" s="2"/>
      <c r="F2429" s="35">
        <v>10.829833921897823</v>
      </c>
      <c r="G2429" s="35">
        <v>77.756782531978587</v>
      </c>
      <c r="H2429" s="35">
        <v>4.1957851761301059</v>
      </c>
      <c r="I2429" s="35">
        <v>0.37483379907294262</v>
      </c>
      <c r="J2429" s="35">
        <v>2.2148537293019351E-4</v>
      </c>
      <c r="K2429" s="35">
        <v>0.1192681565112365</v>
      </c>
      <c r="L2429" s="35">
        <v>-30.794972193287634</v>
      </c>
      <c r="M2429" s="58" t="s">
        <v>23</v>
      </c>
      <c r="N2429" s="7">
        <v>11.333333333333334</v>
      </c>
      <c r="O2429" s="7" t="s">
        <v>180</v>
      </c>
      <c r="P2429" s="7" t="s">
        <v>180</v>
      </c>
    </row>
    <row r="2430" spans="1:16" x14ac:dyDescent="0.25">
      <c r="A2430" s="2" t="s">
        <v>183</v>
      </c>
      <c r="B2430" s="2" t="s">
        <v>200</v>
      </c>
      <c r="C2430" s="6" t="s">
        <v>147</v>
      </c>
      <c r="D2430" s="2" t="s">
        <v>121</v>
      </c>
      <c r="E2430" s="2"/>
      <c r="F2430" s="35">
        <v>0</v>
      </c>
      <c r="G2430" s="35">
        <v>-3.5100301565055556</v>
      </c>
      <c r="H2430" s="35">
        <v>0.96745305667813275</v>
      </c>
      <c r="I2430" s="35">
        <v>-3.4542023055011057</v>
      </c>
      <c r="J2430" s="35">
        <v>4.9899317047194264E-4</v>
      </c>
      <c r="K2430" s="35">
        <v>-4.8062501730464309</v>
      </c>
      <c r="L2430" s="35">
        <v>4.1247971304633095</v>
      </c>
      <c r="M2430" s="58" t="s">
        <v>22</v>
      </c>
      <c r="N2430" s="7">
        <v>11.333333333333334</v>
      </c>
      <c r="O2430" s="7" t="s">
        <v>180</v>
      </c>
      <c r="P2430" s="7" t="s">
        <v>180</v>
      </c>
    </row>
    <row r="2431" spans="1:16" x14ac:dyDescent="0.25">
      <c r="A2431" s="2" t="s">
        <v>183</v>
      </c>
      <c r="B2431" s="2" t="s">
        <v>200</v>
      </c>
      <c r="C2431" s="6" t="s">
        <v>147</v>
      </c>
      <c r="D2431" s="2" t="s">
        <v>121</v>
      </c>
      <c r="E2431" s="2"/>
      <c r="F2431" s="35">
        <v>0.29999999999999988</v>
      </c>
      <c r="G2431" s="35">
        <v>-3.3671243165055489</v>
      </c>
      <c r="H2431" s="35">
        <v>0.96745305667813275</v>
      </c>
      <c r="I2431" s="35">
        <v>-3.4542023055011057</v>
      </c>
      <c r="J2431" s="35">
        <v>4.9899317047194264E-4</v>
      </c>
      <c r="K2431" s="35">
        <v>-3.7699894813961006</v>
      </c>
      <c r="L2431" s="35">
        <v>3.8345612134598692</v>
      </c>
      <c r="M2431" s="58" t="s">
        <v>22</v>
      </c>
      <c r="N2431" s="7">
        <v>11.333333333333334</v>
      </c>
      <c r="O2431" s="7" t="s">
        <v>180</v>
      </c>
      <c r="P2431" s="7" t="s">
        <v>180</v>
      </c>
    </row>
    <row r="2432" spans="1:16" x14ac:dyDescent="0.25">
      <c r="A2432" s="2" t="s">
        <v>183</v>
      </c>
      <c r="B2432" s="2" t="s">
        <v>200</v>
      </c>
      <c r="C2432" s="6" t="s">
        <v>147</v>
      </c>
      <c r="D2432" s="2" t="s">
        <v>121</v>
      </c>
      <c r="E2432" s="2"/>
      <c r="F2432" s="35">
        <v>0.29999999999999988</v>
      </c>
      <c r="G2432" s="35">
        <v>-39.727292382943148</v>
      </c>
      <c r="H2432" s="35">
        <v>0.96745305667812365</v>
      </c>
      <c r="I2432" s="35">
        <v>-1.2256179754840921</v>
      </c>
      <c r="J2432" s="35">
        <v>3.8107976280086342E-4</v>
      </c>
      <c r="K2432" s="35">
        <v>-3.769989481396105</v>
      </c>
      <c r="L2432" s="35">
        <v>3.8345682882643342</v>
      </c>
      <c r="M2432" s="58" t="s">
        <v>22</v>
      </c>
      <c r="N2432" s="7">
        <v>11.333333333333334</v>
      </c>
      <c r="O2432" s="7" t="s">
        <v>180</v>
      </c>
      <c r="P2432" s="7" t="s">
        <v>180</v>
      </c>
    </row>
    <row r="2433" spans="1:16" x14ac:dyDescent="0.25">
      <c r="A2433" s="2" t="s">
        <v>183</v>
      </c>
      <c r="B2433" s="2" t="s">
        <v>200</v>
      </c>
      <c r="C2433" s="6" t="s">
        <v>147</v>
      </c>
      <c r="D2433" s="2" t="s">
        <v>121</v>
      </c>
      <c r="E2433" s="2"/>
      <c r="F2433" s="35">
        <v>5.3</v>
      </c>
      <c r="G2433" s="35">
        <v>-37.345528382943137</v>
      </c>
      <c r="H2433" s="35">
        <v>0.96745305667812365</v>
      </c>
      <c r="I2433" s="35">
        <v>-1.2256179754840921</v>
      </c>
      <c r="J2433" s="35">
        <v>3.8107976280086342E-4</v>
      </c>
      <c r="K2433" s="35">
        <v>2.3581003960243545</v>
      </c>
      <c r="L2433" s="35">
        <v>-1.0026969951262854</v>
      </c>
      <c r="M2433" s="58" t="s">
        <v>24</v>
      </c>
      <c r="N2433" s="7">
        <v>11.333333333333334</v>
      </c>
      <c r="O2433" s="7" t="s">
        <v>180</v>
      </c>
      <c r="P2433" s="7" t="s">
        <v>180</v>
      </c>
    </row>
    <row r="2434" spans="1:16" x14ac:dyDescent="0.25">
      <c r="A2434" s="2" t="s">
        <v>183</v>
      </c>
      <c r="B2434" s="2" t="s">
        <v>200</v>
      </c>
      <c r="C2434" s="6" t="s">
        <v>147</v>
      </c>
      <c r="D2434" s="2" t="s">
        <v>121</v>
      </c>
      <c r="E2434" s="2"/>
      <c r="F2434" s="35">
        <v>5.3</v>
      </c>
      <c r="G2434" s="35">
        <v>-4.0479784908030698</v>
      </c>
      <c r="H2434" s="35">
        <v>0.96741995083328813</v>
      </c>
      <c r="I2434" s="35">
        <v>0.40236124626108316</v>
      </c>
      <c r="J2434" s="35">
        <v>3.4676833139721713E-4</v>
      </c>
      <c r="K2434" s="35">
        <v>2.3581003960243523</v>
      </c>
      <c r="L2434" s="35">
        <v>-1.0028442295133209</v>
      </c>
      <c r="M2434" s="58" t="s">
        <v>24</v>
      </c>
      <c r="N2434" s="7">
        <v>11.333333333333334</v>
      </c>
      <c r="O2434" s="7" t="s">
        <v>180</v>
      </c>
      <c r="P2434" s="7" t="s">
        <v>180</v>
      </c>
    </row>
    <row r="2435" spans="1:16" x14ac:dyDescent="0.25">
      <c r="A2435" s="2" t="s">
        <v>183</v>
      </c>
      <c r="B2435" s="2" t="s">
        <v>200</v>
      </c>
      <c r="C2435" s="6" t="s">
        <v>147</v>
      </c>
      <c r="D2435" s="2" t="s">
        <v>121</v>
      </c>
      <c r="E2435" s="2"/>
      <c r="F2435" s="35">
        <v>5.4149169609489114</v>
      </c>
      <c r="G2435" s="35">
        <v>-3.9932374746875712</v>
      </c>
      <c r="H2435" s="35">
        <v>0.96741995083328813</v>
      </c>
      <c r="I2435" s="35">
        <v>0.40236124626108316</v>
      </c>
      <c r="J2435" s="35">
        <v>3.4676833139721713E-4</v>
      </c>
      <c r="K2435" s="35">
        <v>2.3118622644004123</v>
      </c>
      <c r="L2435" s="35">
        <v>-1.1140171902244285</v>
      </c>
      <c r="M2435" s="58" t="s">
        <v>24</v>
      </c>
      <c r="N2435" s="7">
        <v>11.333333333333334</v>
      </c>
      <c r="O2435" s="7" t="s">
        <v>180</v>
      </c>
      <c r="P2435" s="7" t="s">
        <v>180</v>
      </c>
    </row>
    <row r="2436" spans="1:16" x14ac:dyDescent="0.25">
      <c r="A2436" s="2" t="s">
        <v>183</v>
      </c>
      <c r="B2436" s="2" t="s">
        <v>200</v>
      </c>
      <c r="C2436" s="6" t="s">
        <v>147</v>
      </c>
      <c r="D2436" s="2" t="s">
        <v>121</v>
      </c>
      <c r="E2436" s="2"/>
      <c r="F2436" s="35">
        <v>10.829833921897823</v>
      </c>
      <c r="G2436" s="35">
        <v>-1.4138266185720709</v>
      </c>
      <c r="H2436" s="35">
        <v>0.96741995083328813</v>
      </c>
      <c r="I2436" s="35">
        <v>0.40236124626108316</v>
      </c>
      <c r="J2436" s="35">
        <v>3.4676833139721713E-4</v>
      </c>
      <c r="K2436" s="35">
        <v>0.13310952759273176</v>
      </c>
      <c r="L2436" s="35">
        <v>-6.3525158903519605</v>
      </c>
      <c r="M2436" s="58" t="s">
        <v>23</v>
      </c>
      <c r="N2436" s="7">
        <v>11.333333333333334</v>
      </c>
      <c r="O2436" s="7" t="s">
        <v>180</v>
      </c>
      <c r="P2436" s="7" t="s">
        <v>180</v>
      </c>
    </row>
    <row r="2437" spans="1:16" x14ac:dyDescent="0.25">
      <c r="A2437" s="2" t="s">
        <v>183</v>
      </c>
      <c r="B2437" s="2" t="s">
        <v>200</v>
      </c>
      <c r="C2437" s="6" t="s">
        <v>147</v>
      </c>
      <c r="D2437" s="2" t="s">
        <v>122</v>
      </c>
      <c r="E2437" s="2"/>
      <c r="F2437" s="35">
        <v>0</v>
      </c>
      <c r="G2437" s="35">
        <v>55.812554782894821</v>
      </c>
      <c r="H2437" s="35">
        <v>5.127420234333214</v>
      </c>
      <c r="I2437" s="35">
        <v>3.2692069610902155</v>
      </c>
      <c r="J2437" s="35">
        <v>-4.1732322379634126E-4</v>
      </c>
      <c r="K2437" s="35">
        <v>4.601342724547913</v>
      </c>
      <c r="L2437" s="35">
        <v>18.489289549774636</v>
      </c>
      <c r="M2437" s="58" t="s">
        <v>22</v>
      </c>
      <c r="N2437" s="7">
        <v>11.333333333333334</v>
      </c>
      <c r="O2437" s="7" t="s">
        <v>180</v>
      </c>
      <c r="P2437" s="7" t="s">
        <v>180</v>
      </c>
    </row>
    <row r="2438" spans="1:16" x14ac:dyDescent="0.25">
      <c r="A2438" s="2" t="s">
        <v>183</v>
      </c>
      <c r="B2438" s="2" t="s">
        <v>200</v>
      </c>
      <c r="C2438" s="6" t="s">
        <v>147</v>
      </c>
      <c r="D2438" s="2" t="s">
        <v>122</v>
      </c>
      <c r="E2438" s="2"/>
      <c r="F2438" s="35">
        <v>0.29999999999999988</v>
      </c>
      <c r="G2438" s="35">
        <v>55.955460622894826</v>
      </c>
      <c r="H2438" s="35">
        <v>5.127420234333214</v>
      </c>
      <c r="I2438" s="35">
        <v>3.2692069610902155</v>
      </c>
      <c r="J2438" s="35">
        <v>-4.1732322379634126E-4</v>
      </c>
      <c r="K2438" s="35">
        <v>3.6205806362208492</v>
      </c>
      <c r="L2438" s="35">
        <v>16.951063479474673</v>
      </c>
      <c r="M2438" s="58" t="s">
        <v>22</v>
      </c>
      <c r="N2438" s="7">
        <v>11.333333333333334</v>
      </c>
      <c r="O2438" s="7" t="s">
        <v>180</v>
      </c>
      <c r="P2438" s="7" t="s">
        <v>180</v>
      </c>
    </row>
    <row r="2439" spans="1:16" x14ac:dyDescent="0.25">
      <c r="A2439" s="2" t="s">
        <v>183</v>
      </c>
      <c r="B2439" s="2" t="s">
        <v>200</v>
      </c>
      <c r="C2439" s="6" t="s">
        <v>147</v>
      </c>
      <c r="D2439" s="2" t="s">
        <v>122</v>
      </c>
      <c r="E2439" s="2"/>
      <c r="F2439" s="35">
        <v>0.29999999999999988</v>
      </c>
      <c r="G2439" s="35">
        <v>91.741045035889144</v>
      </c>
      <c r="H2439" s="35">
        <v>5.1274202343331758</v>
      </c>
      <c r="I2439" s="35">
        <v>1.1690461423413019</v>
      </c>
      <c r="J2439" s="35">
        <v>-2.3897455786795995E-4</v>
      </c>
      <c r="K2439" s="35">
        <v>3.6205806362208492</v>
      </c>
      <c r="L2439" s="35">
        <v>16.951052778554718</v>
      </c>
      <c r="M2439" s="58" t="s">
        <v>22</v>
      </c>
      <c r="N2439" s="7">
        <v>11.333333333333334</v>
      </c>
      <c r="O2439" s="7" t="s">
        <v>180</v>
      </c>
      <c r="P2439" s="7" t="s">
        <v>180</v>
      </c>
    </row>
    <row r="2440" spans="1:16" x14ac:dyDescent="0.25">
      <c r="A2440" s="2" t="s">
        <v>183</v>
      </c>
      <c r="B2440" s="2" t="s">
        <v>200</v>
      </c>
      <c r="C2440" s="6" t="s">
        <v>147</v>
      </c>
      <c r="D2440" s="2" t="s">
        <v>122</v>
      </c>
      <c r="E2440" s="2"/>
      <c r="F2440" s="35">
        <v>5.3</v>
      </c>
      <c r="G2440" s="35">
        <v>94.122809035889162</v>
      </c>
      <c r="H2440" s="35">
        <v>5.1274202343331758</v>
      </c>
      <c r="I2440" s="35">
        <v>1.1690461423413019</v>
      </c>
      <c r="J2440" s="35">
        <v>-2.3897455786795995E-4</v>
      </c>
      <c r="K2440" s="35">
        <v>-2.22465007548566</v>
      </c>
      <c r="L2440" s="35">
        <v>-8.6860483931111574</v>
      </c>
      <c r="M2440" s="58" t="s">
        <v>24</v>
      </c>
      <c r="N2440" s="7">
        <v>11.333333333333334</v>
      </c>
      <c r="O2440" s="7" t="s">
        <v>180</v>
      </c>
      <c r="P2440" s="7" t="s">
        <v>180</v>
      </c>
    </row>
    <row r="2441" spans="1:16" x14ac:dyDescent="0.25">
      <c r="A2441" s="2" t="s">
        <v>183</v>
      </c>
      <c r="B2441" s="2" t="s">
        <v>200</v>
      </c>
      <c r="C2441" s="6" t="s">
        <v>147</v>
      </c>
      <c r="D2441" s="2" t="s">
        <v>122</v>
      </c>
      <c r="E2441" s="2"/>
      <c r="F2441" s="35">
        <v>5.3</v>
      </c>
      <c r="G2441" s="35">
        <v>67.03611002750435</v>
      </c>
      <c r="H2441" s="35">
        <v>5.1274302993977514</v>
      </c>
      <c r="I2441" s="35">
        <v>-0.35772824069999209</v>
      </c>
      <c r="J2441" s="35">
        <v>-4.6128827586579117E-4</v>
      </c>
      <c r="K2441" s="35">
        <v>-2.2246500754856569</v>
      </c>
      <c r="L2441" s="35">
        <v>-8.6855554800392856</v>
      </c>
      <c r="M2441" s="58" t="s">
        <v>24</v>
      </c>
      <c r="N2441" s="7">
        <v>11.333333333333334</v>
      </c>
      <c r="O2441" s="7" t="s">
        <v>180</v>
      </c>
      <c r="P2441" s="7" t="s">
        <v>180</v>
      </c>
    </row>
    <row r="2442" spans="1:16" x14ac:dyDescent="0.25">
      <c r="A2442" s="2" t="s">
        <v>183</v>
      </c>
      <c r="B2442" s="2" t="s">
        <v>200</v>
      </c>
      <c r="C2442" s="6" t="s">
        <v>147</v>
      </c>
      <c r="D2442" s="2" t="s">
        <v>122</v>
      </c>
      <c r="E2442" s="2"/>
      <c r="F2442" s="35">
        <v>5.4149169609489114</v>
      </c>
      <c r="G2442" s="35">
        <v>67.090851043619836</v>
      </c>
      <c r="H2442" s="35">
        <v>5.1274302993977514</v>
      </c>
      <c r="I2442" s="35">
        <v>-0.35772824069999209</v>
      </c>
      <c r="J2442" s="35">
        <v>-4.6128827586579117E-4</v>
      </c>
      <c r="K2442" s="35">
        <v>-2.183541033218813</v>
      </c>
      <c r="L2442" s="35">
        <v>-9.2747841875234442</v>
      </c>
      <c r="M2442" s="58" t="s">
        <v>24</v>
      </c>
      <c r="N2442" s="7">
        <v>11.333333333333334</v>
      </c>
      <c r="O2442" s="7" t="s">
        <v>180</v>
      </c>
      <c r="P2442" s="7" t="s">
        <v>180</v>
      </c>
    </row>
    <row r="2443" spans="1:16" x14ac:dyDescent="0.25">
      <c r="A2443" s="2" t="s">
        <v>183</v>
      </c>
      <c r="B2443" s="2" t="s">
        <v>200</v>
      </c>
      <c r="C2443" s="6" t="s">
        <v>147</v>
      </c>
      <c r="D2443" s="2" t="s">
        <v>122</v>
      </c>
      <c r="E2443" s="2"/>
      <c r="F2443" s="35">
        <v>10.829833921897823</v>
      </c>
      <c r="G2443" s="35">
        <v>69.670261899735337</v>
      </c>
      <c r="H2443" s="35">
        <v>5.1274302993977514</v>
      </c>
      <c r="I2443" s="35">
        <v>-0.35772824069999209</v>
      </c>
      <c r="J2443" s="35">
        <v>-4.6128827586579117E-4</v>
      </c>
      <c r="K2443" s="35">
        <v>-0.2464723152420123</v>
      </c>
      <c r="L2443" s="35">
        <v>-37.039393481815672</v>
      </c>
      <c r="M2443" s="58" t="s">
        <v>23</v>
      </c>
      <c r="N2443" s="7">
        <v>11.333333333333334</v>
      </c>
      <c r="O2443" s="7" t="s">
        <v>180</v>
      </c>
      <c r="P2443" s="7" t="s">
        <v>180</v>
      </c>
    </row>
    <row r="2444" spans="1:16" x14ac:dyDescent="0.25">
      <c r="A2444" s="2" t="s">
        <v>183</v>
      </c>
      <c r="B2444" s="2" t="s">
        <v>200</v>
      </c>
      <c r="C2444" s="6" t="s">
        <v>147</v>
      </c>
      <c r="D2444" s="2" t="s">
        <v>123</v>
      </c>
      <c r="E2444" s="2"/>
      <c r="F2444" s="35">
        <v>0</v>
      </c>
      <c r="G2444" s="35">
        <v>-23.758751597407734</v>
      </c>
      <c r="H2444" s="35">
        <v>1.8975999736883644</v>
      </c>
      <c r="I2444" s="35">
        <v>3.7724524354286988</v>
      </c>
      <c r="J2444" s="35">
        <v>-4.1326678784168682E-4</v>
      </c>
      <c r="K2444" s="35">
        <v>4.4837209968273379</v>
      </c>
      <c r="L2444" s="35">
        <v>7.9632419768229417</v>
      </c>
      <c r="M2444" s="58" t="s">
        <v>22</v>
      </c>
      <c r="N2444" s="7">
        <v>11.333333333333334</v>
      </c>
      <c r="O2444" s="7" t="s">
        <v>180</v>
      </c>
      <c r="P2444" s="7" t="s">
        <v>180</v>
      </c>
    </row>
    <row r="2445" spans="1:16" x14ac:dyDescent="0.25">
      <c r="A2445" s="2" t="s">
        <v>183</v>
      </c>
      <c r="B2445" s="2" t="s">
        <v>200</v>
      </c>
      <c r="C2445" s="6" t="s">
        <v>147</v>
      </c>
      <c r="D2445" s="2" t="s">
        <v>123</v>
      </c>
      <c r="E2445" s="2"/>
      <c r="F2445" s="35">
        <v>0.29999999999999988</v>
      </c>
      <c r="G2445" s="35">
        <v>-23.61584575740773</v>
      </c>
      <c r="H2445" s="35">
        <v>1.8975999736883644</v>
      </c>
      <c r="I2445" s="35">
        <v>3.7724524354286988</v>
      </c>
      <c r="J2445" s="35">
        <v>-4.1326678784168682E-4</v>
      </c>
      <c r="K2445" s="35">
        <v>3.3519852661987284</v>
      </c>
      <c r="L2445" s="35">
        <v>7.3939619847164337</v>
      </c>
      <c r="M2445" s="58" t="s">
        <v>22</v>
      </c>
      <c r="N2445" s="7">
        <v>11.333333333333334</v>
      </c>
      <c r="O2445" s="7" t="s">
        <v>180</v>
      </c>
      <c r="P2445" s="7" t="s">
        <v>180</v>
      </c>
    </row>
    <row r="2446" spans="1:16" x14ac:dyDescent="0.25">
      <c r="A2446" s="2" t="s">
        <v>183</v>
      </c>
      <c r="B2446" s="2" t="s">
        <v>200</v>
      </c>
      <c r="C2446" s="6" t="s">
        <v>147</v>
      </c>
      <c r="D2446" s="2" t="s">
        <v>123</v>
      </c>
      <c r="E2446" s="2"/>
      <c r="F2446" s="35">
        <v>0.29999999999999988</v>
      </c>
      <c r="G2446" s="35">
        <v>22.011362246292784</v>
      </c>
      <c r="H2446" s="35">
        <v>1.897599973688368</v>
      </c>
      <c r="I2446" s="35">
        <v>1.0817942012374242</v>
      </c>
      <c r="J2446" s="35">
        <v>-2.6599416300164731E-4</v>
      </c>
      <c r="K2446" s="35">
        <v>3.3519852661987279</v>
      </c>
      <c r="L2446" s="35">
        <v>7.3939531483589498</v>
      </c>
      <c r="M2446" s="58" t="s">
        <v>22</v>
      </c>
      <c r="N2446" s="7">
        <v>11.333333333333334</v>
      </c>
      <c r="O2446" s="7" t="s">
        <v>180</v>
      </c>
      <c r="P2446" s="7" t="s">
        <v>180</v>
      </c>
    </row>
    <row r="2447" spans="1:16" x14ac:dyDescent="0.25">
      <c r="A2447" s="2" t="s">
        <v>183</v>
      </c>
      <c r="B2447" s="2" t="s">
        <v>200</v>
      </c>
      <c r="C2447" s="6" t="s">
        <v>147</v>
      </c>
      <c r="D2447" s="2" t="s">
        <v>123</v>
      </c>
      <c r="E2447" s="2"/>
      <c r="F2447" s="35">
        <v>5.3</v>
      </c>
      <c r="G2447" s="35">
        <v>24.393126246292795</v>
      </c>
      <c r="H2447" s="35">
        <v>1.897599973688368</v>
      </c>
      <c r="I2447" s="35">
        <v>1.0817942012374242</v>
      </c>
      <c r="J2447" s="35">
        <v>-2.6599416300164731E-4</v>
      </c>
      <c r="K2447" s="35">
        <v>-2.0569857399883933</v>
      </c>
      <c r="L2447" s="35">
        <v>-2.0940467200828898</v>
      </c>
      <c r="M2447" s="58" t="s">
        <v>24</v>
      </c>
      <c r="N2447" s="7">
        <v>11.333333333333334</v>
      </c>
      <c r="O2447" s="7" t="s">
        <v>180</v>
      </c>
      <c r="P2447" s="7" t="s">
        <v>180</v>
      </c>
    </row>
    <row r="2448" spans="1:16" x14ac:dyDescent="0.25">
      <c r="A2448" s="2" t="s">
        <v>183</v>
      </c>
      <c r="B2448" s="2" t="s">
        <v>200</v>
      </c>
      <c r="C2448" s="6" t="s">
        <v>147</v>
      </c>
      <c r="D2448" s="2" t="s">
        <v>123</v>
      </c>
      <c r="E2448" s="2"/>
      <c r="F2448" s="35">
        <v>5.3</v>
      </c>
      <c r="G2448" s="35">
        <v>-12.129197453608734</v>
      </c>
      <c r="H2448" s="35">
        <v>1.8976193072123113</v>
      </c>
      <c r="I2448" s="35">
        <v>-0.32993500485008265</v>
      </c>
      <c r="J2448" s="35">
        <v>-3.3522787251809679E-4</v>
      </c>
      <c r="K2448" s="35">
        <v>-2.0569857399883924</v>
      </c>
      <c r="L2448" s="35">
        <v>-2.0937781771696113</v>
      </c>
      <c r="M2448" s="58" t="s">
        <v>24</v>
      </c>
      <c r="N2448" s="7">
        <v>11.333333333333334</v>
      </c>
      <c r="O2448" s="7" t="s">
        <v>180</v>
      </c>
      <c r="P2448" s="7" t="s">
        <v>180</v>
      </c>
    </row>
    <row r="2449" spans="1:16" x14ac:dyDescent="0.25">
      <c r="A2449" s="2" t="s">
        <v>183</v>
      </c>
      <c r="B2449" s="2" t="s">
        <v>200</v>
      </c>
      <c r="C2449" s="6" t="s">
        <v>147</v>
      </c>
      <c r="D2449" s="2" t="s">
        <v>123</v>
      </c>
      <c r="E2449" s="2"/>
      <c r="F2449" s="35">
        <v>5.4149169609489114</v>
      </c>
      <c r="G2449" s="35">
        <v>-12.074456437493236</v>
      </c>
      <c r="H2449" s="35">
        <v>1.8976193072123113</v>
      </c>
      <c r="I2449" s="35">
        <v>-0.32993500485008265</v>
      </c>
      <c r="J2449" s="35">
        <v>-3.3522787251809679E-4</v>
      </c>
      <c r="K2449" s="35">
        <v>-2.0190706119203568</v>
      </c>
      <c r="L2449" s="35">
        <v>-2.3118468209924301</v>
      </c>
      <c r="M2449" s="58" t="s">
        <v>24</v>
      </c>
      <c r="N2449" s="7">
        <v>11.333333333333334</v>
      </c>
      <c r="O2449" s="7" t="s">
        <v>180</v>
      </c>
      <c r="P2449" s="7" t="s">
        <v>180</v>
      </c>
    </row>
    <row r="2450" spans="1:16" x14ac:dyDescent="0.25">
      <c r="A2450" s="2" t="s">
        <v>183</v>
      </c>
      <c r="B2450" s="2" t="s">
        <v>200</v>
      </c>
      <c r="C2450" s="6" t="s">
        <v>147</v>
      </c>
      <c r="D2450" s="2" t="s">
        <v>123</v>
      </c>
      <c r="E2450" s="2"/>
      <c r="F2450" s="35">
        <v>10.829833921897823</v>
      </c>
      <c r="G2450" s="35">
        <v>-9.4950455813777346</v>
      </c>
      <c r="H2450" s="35">
        <v>1.8976193072123113</v>
      </c>
      <c r="I2450" s="35">
        <v>-0.32993500485008265</v>
      </c>
      <c r="J2450" s="35">
        <v>-3.3522787251809679E-4</v>
      </c>
      <c r="K2450" s="35">
        <v>-0.23249995814688362</v>
      </c>
      <c r="L2450" s="35">
        <v>-12.587297793040491</v>
      </c>
      <c r="M2450" s="58" t="s">
        <v>23</v>
      </c>
      <c r="N2450" s="7">
        <v>11.333333333333334</v>
      </c>
      <c r="O2450" s="7" t="s">
        <v>180</v>
      </c>
      <c r="P2450" s="7" t="s">
        <v>180</v>
      </c>
    </row>
    <row r="2451" spans="1:16" x14ac:dyDescent="0.25">
      <c r="A2451" s="2" t="s">
        <v>183</v>
      </c>
      <c r="B2451" s="2" t="s">
        <v>200</v>
      </c>
      <c r="C2451" s="6" t="s">
        <v>147</v>
      </c>
      <c r="D2451" s="2" t="s">
        <v>124</v>
      </c>
      <c r="E2451" s="2"/>
      <c r="F2451" s="35">
        <v>0</v>
      </c>
      <c r="G2451" s="35">
        <v>65.4191422863165</v>
      </c>
      <c r="H2451" s="35">
        <v>8.7236315502154511</v>
      </c>
      <c r="I2451" s="35">
        <v>0.1670893114500677</v>
      </c>
      <c r="J2451" s="35">
        <v>-2.2670185843605493E-4</v>
      </c>
      <c r="K2451" s="35">
        <v>0.58312515333301351</v>
      </c>
      <c r="L2451" s="35">
        <v>46.009160843616684</v>
      </c>
      <c r="M2451" s="58" t="s">
        <v>22</v>
      </c>
      <c r="N2451" s="7">
        <v>11.333333333333334</v>
      </c>
      <c r="O2451" s="7" t="s">
        <v>180</v>
      </c>
      <c r="P2451" s="7" t="s">
        <v>180</v>
      </c>
    </row>
    <row r="2452" spans="1:16" x14ac:dyDescent="0.25">
      <c r="A2452" s="2" t="s">
        <v>183</v>
      </c>
      <c r="B2452" s="2" t="s">
        <v>200</v>
      </c>
      <c r="C2452" s="6" t="s">
        <v>147</v>
      </c>
      <c r="D2452" s="2" t="s">
        <v>124</v>
      </c>
      <c r="E2452" s="2"/>
      <c r="F2452" s="35">
        <v>0.29999999999999988</v>
      </c>
      <c r="G2452" s="35">
        <v>65.562048126316498</v>
      </c>
      <c r="H2452" s="35">
        <v>8.7236315502154511</v>
      </c>
      <c r="I2452" s="35">
        <v>0.1670893114500677</v>
      </c>
      <c r="J2452" s="35">
        <v>-2.2670185843605493E-4</v>
      </c>
      <c r="K2452" s="35">
        <v>0.53299835989799316</v>
      </c>
      <c r="L2452" s="35">
        <v>43.392071378552053</v>
      </c>
      <c r="M2452" s="58" t="s">
        <v>22</v>
      </c>
      <c r="N2452" s="7">
        <v>11.333333333333334</v>
      </c>
      <c r="O2452" s="7" t="s">
        <v>180</v>
      </c>
      <c r="P2452" s="7" t="s">
        <v>180</v>
      </c>
    </row>
    <row r="2453" spans="1:16" x14ac:dyDescent="0.25">
      <c r="A2453" s="2" t="s">
        <v>183</v>
      </c>
      <c r="B2453" s="2" t="s">
        <v>200</v>
      </c>
      <c r="C2453" s="6" t="s">
        <v>147</v>
      </c>
      <c r="D2453" s="2" t="s">
        <v>124</v>
      </c>
      <c r="E2453" s="2"/>
      <c r="F2453" s="35">
        <v>0.29999999999999988</v>
      </c>
      <c r="G2453" s="35">
        <v>66.249398309057966</v>
      </c>
      <c r="H2453" s="35">
        <v>8.7236315502154493</v>
      </c>
      <c r="I2453" s="35">
        <v>0.17282254651633136</v>
      </c>
      <c r="J2453" s="35">
        <v>9.5555488290887252E-6</v>
      </c>
      <c r="K2453" s="35">
        <v>0.53299835989799382</v>
      </c>
      <c r="L2453" s="35">
        <v>43.392057203107612</v>
      </c>
      <c r="M2453" s="58" t="s">
        <v>22</v>
      </c>
      <c r="N2453" s="7">
        <v>11.333333333333334</v>
      </c>
      <c r="O2453" s="7" t="s">
        <v>180</v>
      </c>
      <c r="P2453" s="7" t="s">
        <v>180</v>
      </c>
    </row>
    <row r="2454" spans="1:16" x14ac:dyDescent="0.25">
      <c r="A2454" s="2" t="s">
        <v>183</v>
      </c>
      <c r="B2454" s="2" t="s">
        <v>200</v>
      </c>
      <c r="C2454" s="6" t="s">
        <v>147</v>
      </c>
      <c r="D2454" s="2" t="s">
        <v>124</v>
      </c>
      <c r="E2454" s="2"/>
      <c r="F2454" s="35">
        <v>5.3</v>
      </c>
      <c r="G2454" s="35">
        <v>68.631162309057984</v>
      </c>
      <c r="H2454" s="35">
        <v>8.7236315502154493</v>
      </c>
      <c r="I2454" s="35">
        <v>0.17282254651633136</v>
      </c>
      <c r="J2454" s="35">
        <v>9.5555488290887252E-6</v>
      </c>
      <c r="K2454" s="35">
        <v>-0.33111437268366284</v>
      </c>
      <c r="L2454" s="35">
        <v>-0.22610054796962714</v>
      </c>
      <c r="M2454" s="58" t="s">
        <v>24</v>
      </c>
      <c r="N2454" s="7">
        <v>11.333333333333334</v>
      </c>
      <c r="O2454" s="7" t="s">
        <v>180</v>
      </c>
      <c r="P2454" s="7" t="s">
        <v>180</v>
      </c>
    </row>
    <row r="2455" spans="1:16" x14ac:dyDescent="0.25">
      <c r="A2455" s="2" t="s">
        <v>183</v>
      </c>
      <c r="B2455" s="2" t="s">
        <v>200</v>
      </c>
      <c r="C2455" s="6" t="s">
        <v>147</v>
      </c>
      <c r="D2455" s="2" t="s">
        <v>124</v>
      </c>
      <c r="E2455" s="2"/>
      <c r="F2455" s="35">
        <v>5.3</v>
      </c>
      <c r="G2455" s="35">
        <v>71.456367005451241</v>
      </c>
      <c r="H2455" s="35">
        <v>8.7236035847865061</v>
      </c>
      <c r="I2455" s="35">
        <v>-4.3621184228447053E-2</v>
      </c>
      <c r="J2455" s="35">
        <v>-2.1327699941562937E-4</v>
      </c>
      <c r="K2455" s="35">
        <v>-0.33111437268366284</v>
      </c>
      <c r="L2455" s="35">
        <v>-0.2257595768718067</v>
      </c>
      <c r="M2455" s="58" t="s">
        <v>24</v>
      </c>
      <c r="N2455" s="7">
        <v>11.333333333333334</v>
      </c>
      <c r="O2455" s="7" t="s">
        <v>180</v>
      </c>
      <c r="P2455" s="7" t="s">
        <v>180</v>
      </c>
    </row>
    <row r="2456" spans="1:16" x14ac:dyDescent="0.25">
      <c r="A2456" s="2" t="s">
        <v>183</v>
      </c>
      <c r="B2456" s="2" t="s">
        <v>200</v>
      </c>
      <c r="C2456" s="6" t="s">
        <v>147</v>
      </c>
      <c r="D2456" s="2" t="s">
        <v>124</v>
      </c>
      <c r="E2456" s="2"/>
      <c r="F2456" s="35">
        <v>5.4149169609489114</v>
      </c>
      <c r="G2456" s="35">
        <v>71.511108021566741</v>
      </c>
      <c r="H2456" s="35">
        <v>8.7236035847865061</v>
      </c>
      <c r="I2456" s="35">
        <v>-4.3621184228447053E-2</v>
      </c>
      <c r="J2456" s="35">
        <v>-2.1327699941562937E-4</v>
      </c>
      <c r="K2456" s="35">
        <v>-0.3261015587591371</v>
      </c>
      <c r="L2456" s="35">
        <v>-1.2282495893585017</v>
      </c>
      <c r="M2456" s="58" t="s">
        <v>24</v>
      </c>
      <c r="N2456" s="7">
        <v>11.333333333333334</v>
      </c>
      <c r="O2456" s="7" t="s">
        <v>180</v>
      </c>
      <c r="P2456" s="7" t="s">
        <v>180</v>
      </c>
    </row>
    <row r="2457" spans="1:16" x14ac:dyDescent="0.25">
      <c r="A2457" s="2" t="s">
        <v>183</v>
      </c>
      <c r="B2457" s="2" t="s">
        <v>200</v>
      </c>
      <c r="C2457" s="6" t="s">
        <v>147</v>
      </c>
      <c r="D2457" s="2" t="s">
        <v>124</v>
      </c>
      <c r="E2457" s="2"/>
      <c r="F2457" s="35">
        <v>10.829833921897823</v>
      </c>
      <c r="G2457" s="35">
        <v>74.090518877682243</v>
      </c>
      <c r="H2457" s="35">
        <v>8.7236035847865061</v>
      </c>
      <c r="I2457" s="35">
        <v>-4.3621184228447053E-2</v>
      </c>
      <c r="J2457" s="35">
        <v>-2.1327699941562937E-4</v>
      </c>
      <c r="K2457" s="35">
        <v>-8.9896468423842052E-2</v>
      </c>
      <c r="L2457" s="35">
        <v>-48.465838601213669</v>
      </c>
      <c r="M2457" s="58" t="s">
        <v>23</v>
      </c>
      <c r="N2457" s="7">
        <v>11.333333333333334</v>
      </c>
      <c r="O2457" s="7" t="s">
        <v>180</v>
      </c>
      <c r="P2457" s="7" t="s">
        <v>180</v>
      </c>
    </row>
    <row r="2458" spans="1:16" x14ac:dyDescent="0.25">
      <c r="A2458" s="2" t="s">
        <v>183</v>
      </c>
      <c r="B2458" s="2" t="s">
        <v>200</v>
      </c>
      <c r="C2458" s="6" t="s">
        <v>147</v>
      </c>
      <c r="D2458" s="2" t="s">
        <v>125</v>
      </c>
      <c r="E2458" s="2"/>
      <c r="F2458" s="35">
        <v>0</v>
      </c>
      <c r="G2458" s="35">
        <v>-51.447929371842989</v>
      </c>
      <c r="H2458" s="35">
        <v>20.543419431697529</v>
      </c>
      <c r="I2458" s="35">
        <v>0.92034310625415461</v>
      </c>
      <c r="J2458" s="35">
        <v>-3.1515470658173442E-4</v>
      </c>
      <c r="K2458" s="35">
        <v>0.42137225561373159</v>
      </c>
      <c r="L2458" s="35">
        <v>114.31255148576744</v>
      </c>
      <c r="M2458" s="58" t="s">
        <v>22</v>
      </c>
      <c r="N2458" s="7">
        <v>11.333333333333334</v>
      </c>
      <c r="O2458" s="7" t="s">
        <v>180</v>
      </c>
      <c r="P2458" s="7" t="s">
        <v>180</v>
      </c>
    </row>
    <row r="2459" spans="1:16" x14ac:dyDescent="0.25">
      <c r="A2459" s="2" t="s">
        <v>183</v>
      </c>
      <c r="B2459" s="2" t="s">
        <v>200</v>
      </c>
      <c r="C2459" s="6" t="s">
        <v>147</v>
      </c>
      <c r="D2459" s="2" t="s">
        <v>125</v>
      </c>
      <c r="E2459" s="2"/>
      <c r="F2459" s="35">
        <v>0.29999999999999988</v>
      </c>
      <c r="G2459" s="35">
        <v>-51.305023531842984</v>
      </c>
      <c r="H2459" s="35">
        <v>20.543419431697529</v>
      </c>
      <c r="I2459" s="35">
        <v>0.92034310625415461</v>
      </c>
      <c r="J2459" s="35">
        <v>-3.1515470658173442E-4</v>
      </c>
      <c r="K2459" s="35">
        <v>0.14526932373748519</v>
      </c>
      <c r="L2459" s="35">
        <v>108.14952565625816</v>
      </c>
      <c r="M2459" s="58" t="s">
        <v>22</v>
      </c>
      <c r="N2459" s="7">
        <v>11.333333333333334</v>
      </c>
      <c r="O2459" s="7" t="s">
        <v>180</v>
      </c>
      <c r="P2459" s="7" t="s">
        <v>180</v>
      </c>
    </row>
    <row r="2460" spans="1:16" x14ac:dyDescent="0.25">
      <c r="A2460" s="2" t="s">
        <v>183</v>
      </c>
      <c r="B2460" s="2" t="s">
        <v>200</v>
      </c>
      <c r="C2460" s="6" t="s">
        <v>147</v>
      </c>
      <c r="D2460" s="2" t="s">
        <v>125</v>
      </c>
      <c r="E2460" s="2"/>
      <c r="F2460" s="35">
        <v>0.29999999999999988</v>
      </c>
      <c r="G2460" s="35">
        <v>-35.977735656391054</v>
      </c>
      <c r="H2460" s="35">
        <v>20.543419431697558</v>
      </c>
      <c r="I2460" s="35">
        <v>4.7680079757790546E-2</v>
      </c>
      <c r="J2460" s="35">
        <v>2.3940395133095486E-4</v>
      </c>
      <c r="K2460" s="35">
        <v>0.14526932373748414</v>
      </c>
      <c r="L2460" s="35">
        <v>108.14949238273866</v>
      </c>
      <c r="M2460" s="58" t="s">
        <v>22</v>
      </c>
      <c r="N2460" s="7">
        <v>11.333333333333334</v>
      </c>
      <c r="O2460" s="7" t="s">
        <v>180</v>
      </c>
      <c r="P2460" s="7" t="s">
        <v>180</v>
      </c>
    </row>
    <row r="2461" spans="1:16" x14ac:dyDescent="0.25">
      <c r="A2461" s="2" t="s">
        <v>183</v>
      </c>
      <c r="B2461" s="2" t="s">
        <v>200</v>
      </c>
      <c r="C2461" s="6" t="s">
        <v>147</v>
      </c>
      <c r="D2461" s="2" t="s">
        <v>125</v>
      </c>
      <c r="E2461" s="2"/>
      <c r="F2461" s="35">
        <v>5.3</v>
      </c>
      <c r="G2461" s="35">
        <v>-33.595971656391043</v>
      </c>
      <c r="H2461" s="35">
        <v>20.543419431697558</v>
      </c>
      <c r="I2461" s="35">
        <v>4.7680079757790546E-2</v>
      </c>
      <c r="J2461" s="35">
        <v>2.3940395133095486E-4</v>
      </c>
      <c r="K2461" s="35">
        <v>-9.3131075051468601E-2</v>
      </c>
      <c r="L2461" s="35">
        <v>5.4323952242508629</v>
      </c>
      <c r="M2461" s="58" t="s">
        <v>24</v>
      </c>
      <c r="N2461" s="7">
        <v>11.333333333333334</v>
      </c>
      <c r="O2461" s="7" t="s">
        <v>180</v>
      </c>
      <c r="P2461" s="7" t="s">
        <v>180</v>
      </c>
    </row>
    <row r="2462" spans="1:16" x14ac:dyDescent="0.25">
      <c r="A2462" s="2" t="s">
        <v>183</v>
      </c>
      <c r="B2462" s="2" t="s">
        <v>200</v>
      </c>
      <c r="C2462" s="6" t="s">
        <v>147</v>
      </c>
      <c r="D2462" s="2" t="s">
        <v>125</v>
      </c>
      <c r="E2462" s="2"/>
      <c r="F2462" s="35">
        <v>5.3</v>
      </c>
      <c r="G2462" s="35">
        <v>-44.790918202770584</v>
      </c>
      <c r="H2462" s="35">
        <v>20.543340570227762</v>
      </c>
      <c r="I2462" s="35">
        <v>-4.1916262282581541E-3</v>
      </c>
      <c r="J2462" s="35">
        <v>-2.1429160688754759E-4</v>
      </c>
      <c r="K2462" s="35">
        <v>-9.313107505146842E-2</v>
      </c>
      <c r="L2462" s="35">
        <v>5.4330168341109397</v>
      </c>
      <c r="M2462" s="58" t="s">
        <v>24</v>
      </c>
      <c r="N2462" s="7">
        <v>11.333333333333334</v>
      </c>
      <c r="O2462" s="7" t="s">
        <v>180</v>
      </c>
      <c r="P2462" s="7" t="s">
        <v>180</v>
      </c>
    </row>
    <row r="2463" spans="1:16" x14ac:dyDescent="0.25">
      <c r="A2463" s="2" t="s">
        <v>183</v>
      </c>
      <c r="B2463" s="2" t="s">
        <v>200</v>
      </c>
      <c r="C2463" s="6" t="s">
        <v>147</v>
      </c>
      <c r="D2463" s="2" t="s">
        <v>125</v>
      </c>
      <c r="E2463" s="2"/>
      <c r="F2463" s="35">
        <v>5.4149169609489114</v>
      </c>
      <c r="G2463" s="35">
        <v>-44.736177186655084</v>
      </c>
      <c r="H2463" s="35">
        <v>20.543340570227762</v>
      </c>
      <c r="I2463" s="35">
        <v>-4.1916262282581541E-3</v>
      </c>
      <c r="J2463" s="35">
        <v>-2.1429160688754759E-4</v>
      </c>
      <c r="K2463" s="35">
        <v>-9.2649386103883222E-2</v>
      </c>
      <c r="L2463" s="35">
        <v>3.0722385680418873</v>
      </c>
      <c r="M2463" s="58" t="s">
        <v>24</v>
      </c>
      <c r="N2463" s="7">
        <v>11.333333333333334</v>
      </c>
      <c r="O2463" s="7" t="s">
        <v>180</v>
      </c>
      <c r="P2463" s="7" t="s">
        <v>180</v>
      </c>
    </row>
    <row r="2464" spans="1:16" x14ac:dyDescent="0.25">
      <c r="A2464" s="2" t="s">
        <v>183</v>
      </c>
      <c r="B2464" s="2" t="s">
        <v>200</v>
      </c>
      <c r="C2464" s="6" t="s">
        <v>147</v>
      </c>
      <c r="D2464" s="2" t="s">
        <v>125</v>
      </c>
      <c r="E2464" s="2"/>
      <c r="F2464" s="35">
        <v>10.829833921897823</v>
      </c>
      <c r="G2464" s="35">
        <v>-42.156766330539583</v>
      </c>
      <c r="H2464" s="35">
        <v>20.543340570227762</v>
      </c>
      <c r="I2464" s="35">
        <v>-4.1916262282581541E-3</v>
      </c>
      <c r="J2464" s="35">
        <v>-2.1429160688754759E-4</v>
      </c>
      <c r="K2464" s="35">
        <v>-6.9952078146529831E-2</v>
      </c>
      <c r="L2464" s="35">
        <v>-108.16824472023427</v>
      </c>
      <c r="M2464" s="58" t="s">
        <v>23</v>
      </c>
      <c r="N2464" s="7">
        <v>11.333333333333334</v>
      </c>
      <c r="O2464" s="7" t="s">
        <v>180</v>
      </c>
      <c r="P2464" s="7" t="s">
        <v>180</v>
      </c>
    </row>
    <row r="2465" spans="1:16" x14ac:dyDescent="0.25">
      <c r="A2465" s="2" t="s">
        <v>183</v>
      </c>
      <c r="B2465" s="2" t="s">
        <v>200</v>
      </c>
      <c r="C2465" s="6" t="s">
        <v>147</v>
      </c>
      <c r="D2465" s="2" t="s">
        <v>126</v>
      </c>
      <c r="E2465" s="2"/>
      <c r="F2465" s="35">
        <v>0</v>
      </c>
      <c r="G2465" s="35">
        <v>63.434620165448955</v>
      </c>
      <c r="H2465" s="35">
        <v>-1.2457653347461408</v>
      </c>
      <c r="I2465" s="35">
        <v>0.20780914453184557</v>
      </c>
      <c r="J2465" s="35">
        <v>1.003655478230537E-4</v>
      </c>
      <c r="K2465" s="35">
        <v>0.61686460811633581</v>
      </c>
      <c r="L2465" s="35">
        <v>-20.653791892936937</v>
      </c>
      <c r="M2465" s="58" t="s">
        <v>22</v>
      </c>
      <c r="N2465" s="7">
        <v>11.333333333333334</v>
      </c>
      <c r="O2465" s="7" t="s">
        <v>180</v>
      </c>
      <c r="P2465" s="7" t="s">
        <v>180</v>
      </c>
    </row>
    <row r="2466" spans="1:16" x14ac:dyDescent="0.25">
      <c r="A2466" s="2" t="s">
        <v>183</v>
      </c>
      <c r="B2466" s="2" t="s">
        <v>200</v>
      </c>
      <c r="C2466" s="6" t="s">
        <v>147</v>
      </c>
      <c r="D2466" s="2" t="s">
        <v>126</v>
      </c>
      <c r="E2466" s="2"/>
      <c r="F2466" s="35">
        <v>0.29999999999999988</v>
      </c>
      <c r="G2466" s="35">
        <v>63.577526005448966</v>
      </c>
      <c r="H2466" s="35">
        <v>-1.2457653347461408</v>
      </c>
      <c r="I2466" s="35">
        <v>0.20780914453184557</v>
      </c>
      <c r="J2466" s="35">
        <v>1.003655478230537E-4</v>
      </c>
      <c r="K2466" s="35">
        <v>0.554521864756782</v>
      </c>
      <c r="L2466" s="35">
        <v>-20.280062292513094</v>
      </c>
      <c r="M2466" s="58" t="s">
        <v>22</v>
      </c>
      <c r="N2466" s="7">
        <v>11.333333333333334</v>
      </c>
      <c r="O2466" s="7" t="s">
        <v>180</v>
      </c>
      <c r="P2466" s="7" t="s">
        <v>180</v>
      </c>
    </row>
    <row r="2467" spans="1:16" x14ac:dyDescent="0.25">
      <c r="A2467" s="2" t="s">
        <v>183</v>
      </c>
      <c r="B2467" s="2" t="s">
        <v>200</v>
      </c>
      <c r="C2467" s="6" t="s">
        <v>147</v>
      </c>
      <c r="D2467" s="2" t="s">
        <v>126</v>
      </c>
      <c r="E2467" s="2"/>
      <c r="F2467" s="35">
        <v>0.29999999999999988</v>
      </c>
      <c r="G2467" s="35">
        <v>64.827143858464595</v>
      </c>
      <c r="H2467" s="35">
        <v>-1.2457653347461533</v>
      </c>
      <c r="I2467" s="35">
        <v>0.17980631938166217</v>
      </c>
      <c r="J2467" s="35">
        <v>-4.7910394183843539E-5</v>
      </c>
      <c r="K2467" s="35">
        <v>0.554521864756781</v>
      </c>
      <c r="L2467" s="35">
        <v>-20.28005339595655</v>
      </c>
      <c r="M2467" s="58" t="s">
        <v>22</v>
      </c>
      <c r="N2467" s="7">
        <v>11.333333333333334</v>
      </c>
      <c r="O2467" s="7" t="s">
        <v>180</v>
      </c>
      <c r="P2467" s="7" t="s">
        <v>180</v>
      </c>
    </row>
    <row r="2468" spans="1:16" x14ac:dyDescent="0.25">
      <c r="A2468" s="2" t="s">
        <v>183</v>
      </c>
      <c r="B2468" s="2" t="s">
        <v>200</v>
      </c>
      <c r="C2468" s="6" t="s">
        <v>147</v>
      </c>
      <c r="D2468" s="2" t="s">
        <v>126</v>
      </c>
      <c r="E2468" s="2"/>
      <c r="F2468" s="35">
        <v>5.3</v>
      </c>
      <c r="G2468" s="35">
        <v>67.208907858464613</v>
      </c>
      <c r="H2468" s="35">
        <v>-1.2457653347461533</v>
      </c>
      <c r="I2468" s="35">
        <v>0.17980631938166217</v>
      </c>
      <c r="J2468" s="35">
        <v>-4.7910394183843539E-5</v>
      </c>
      <c r="K2468" s="35">
        <v>-0.34450973215152969</v>
      </c>
      <c r="L2468" s="35">
        <v>-14.051226722225779</v>
      </c>
      <c r="M2468" s="58" t="s">
        <v>24</v>
      </c>
      <c r="N2468" s="7">
        <v>11.333333333333334</v>
      </c>
      <c r="O2468" s="7" t="s">
        <v>180</v>
      </c>
      <c r="P2468" s="7" t="s">
        <v>180</v>
      </c>
    </row>
    <row r="2469" spans="1:16" x14ac:dyDescent="0.25">
      <c r="A2469" s="2" t="s">
        <v>183</v>
      </c>
      <c r="B2469" s="2" t="s">
        <v>200</v>
      </c>
      <c r="C2469" s="6" t="s">
        <v>147</v>
      </c>
      <c r="D2469" s="2" t="s">
        <v>126</v>
      </c>
      <c r="E2469" s="2"/>
      <c r="F2469" s="35">
        <v>5.3</v>
      </c>
      <c r="G2469" s="35">
        <v>69.527746235247392</v>
      </c>
      <c r="H2469" s="35">
        <v>-1.2457573388657772</v>
      </c>
      <c r="I2469" s="35">
        <v>-4.583799026325943E-2</v>
      </c>
      <c r="J2469" s="35">
        <v>-1.7317696824114187E-4</v>
      </c>
      <c r="K2469" s="35">
        <v>-0.34450973215152941</v>
      </c>
      <c r="L2469" s="35">
        <v>-14.051043723857978</v>
      </c>
      <c r="M2469" s="58" t="s">
        <v>24</v>
      </c>
      <c r="N2469" s="7">
        <v>11.333333333333334</v>
      </c>
      <c r="O2469" s="7" t="s">
        <v>180</v>
      </c>
      <c r="P2469" s="7" t="s">
        <v>180</v>
      </c>
    </row>
    <row r="2470" spans="1:16" x14ac:dyDescent="0.25">
      <c r="A2470" s="2" t="s">
        <v>183</v>
      </c>
      <c r="B2470" s="2" t="s">
        <v>200</v>
      </c>
      <c r="C2470" s="6" t="s">
        <v>147</v>
      </c>
      <c r="D2470" s="2" t="s">
        <v>126</v>
      </c>
      <c r="E2470" s="2"/>
      <c r="F2470" s="35">
        <v>5.4149169609489114</v>
      </c>
      <c r="G2470" s="35">
        <v>69.582487251362892</v>
      </c>
      <c r="H2470" s="35">
        <v>-1.2457573388657772</v>
      </c>
      <c r="I2470" s="35">
        <v>-4.583799026325943E-2</v>
      </c>
      <c r="J2470" s="35">
        <v>-1.7317696824114187E-4</v>
      </c>
      <c r="K2470" s="35">
        <v>-0.3392421696144699</v>
      </c>
      <c r="L2470" s="35">
        <v>-13.90788507639572</v>
      </c>
      <c r="M2470" s="58" t="s">
        <v>24</v>
      </c>
      <c r="N2470" s="7">
        <v>11.333333333333334</v>
      </c>
      <c r="O2470" s="7" t="s">
        <v>180</v>
      </c>
      <c r="P2470" s="7" t="s">
        <v>180</v>
      </c>
    </row>
    <row r="2471" spans="1:16" x14ac:dyDescent="0.25">
      <c r="A2471" s="2" t="s">
        <v>183</v>
      </c>
      <c r="B2471" s="2" t="s">
        <v>200</v>
      </c>
      <c r="C2471" s="6" t="s">
        <v>147</v>
      </c>
      <c r="D2471" s="2" t="s">
        <v>126</v>
      </c>
      <c r="E2471" s="2"/>
      <c r="F2471" s="35">
        <v>10.829833921897823</v>
      </c>
      <c r="G2471" s="35">
        <v>72.161898107478393</v>
      </c>
      <c r="H2471" s="35">
        <v>-1.2457573388657772</v>
      </c>
      <c r="I2471" s="35">
        <v>-4.583799026325943E-2</v>
      </c>
      <c r="J2471" s="35">
        <v>-1.7317696824114187E-4</v>
      </c>
      <c r="K2471" s="35">
        <v>-9.103325868213541E-2</v>
      </c>
      <c r="L2471" s="35">
        <v>-7.1622125329448485</v>
      </c>
      <c r="M2471" s="58" t="s">
        <v>23</v>
      </c>
      <c r="N2471" s="7">
        <v>11.333333333333334</v>
      </c>
      <c r="O2471" s="7" t="s">
        <v>180</v>
      </c>
      <c r="P2471" s="7" t="s">
        <v>180</v>
      </c>
    </row>
    <row r="2472" spans="1:16" x14ac:dyDescent="0.25">
      <c r="A2472" s="2" t="s">
        <v>183</v>
      </c>
      <c r="B2472" s="2" t="s">
        <v>200</v>
      </c>
      <c r="C2472" s="6" t="s">
        <v>147</v>
      </c>
      <c r="D2472" s="2" t="s">
        <v>127</v>
      </c>
      <c r="E2472" s="2"/>
      <c r="F2472" s="35">
        <v>0</v>
      </c>
      <c r="G2472" s="35">
        <v>-148.01526484021642</v>
      </c>
      <c r="H2472" s="35">
        <v>-14.878208715902595</v>
      </c>
      <c r="I2472" s="35">
        <v>1.8686904530815385</v>
      </c>
      <c r="J2472" s="35">
        <v>2.7182069207939795E-4</v>
      </c>
      <c r="K2472" s="35">
        <v>0.70352520439134258</v>
      </c>
      <c r="L2472" s="35">
        <v>-86.083751570368491</v>
      </c>
      <c r="M2472" s="58" t="s">
        <v>22</v>
      </c>
      <c r="N2472" s="7">
        <v>11.333333333333334</v>
      </c>
      <c r="O2472" s="7" t="s">
        <v>180</v>
      </c>
      <c r="P2472" s="7" t="s">
        <v>180</v>
      </c>
    </row>
    <row r="2473" spans="1:16" x14ac:dyDescent="0.25">
      <c r="A2473" s="2" t="s">
        <v>183</v>
      </c>
      <c r="B2473" s="2" t="s">
        <v>200</v>
      </c>
      <c r="C2473" s="6" t="s">
        <v>147</v>
      </c>
      <c r="D2473" s="2" t="s">
        <v>127</v>
      </c>
      <c r="E2473" s="2"/>
      <c r="F2473" s="35">
        <v>0.29999999999999988</v>
      </c>
      <c r="G2473" s="35">
        <v>-147.87235900021642</v>
      </c>
      <c r="H2473" s="35">
        <v>-14.878208715902595</v>
      </c>
      <c r="I2473" s="35">
        <v>1.8686904530815385</v>
      </c>
      <c r="J2473" s="35">
        <v>2.7182069207939795E-4</v>
      </c>
      <c r="K2473" s="35">
        <v>0.14291806846688127</v>
      </c>
      <c r="L2473" s="35">
        <v>-81.620288955597701</v>
      </c>
      <c r="M2473" s="58" t="s">
        <v>22</v>
      </c>
      <c r="N2473" s="7">
        <v>11.333333333333334</v>
      </c>
      <c r="O2473" s="7" t="s">
        <v>180</v>
      </c>
      <c r="P2473" s="7" t="s">
        <v>180</v>
      </c>
    </row>
    <row r="2474" spans="1:16" x14ac:dyDescent="0.25">
      <c r="A2474" s="2" t="s">
        <v>183</v>
      </c>
      <c r="B2474" s="2" t="s">
        <v>200</v>
      </c>
      <c r="C2474" s="6" t="s">
        <v>147</v>
      </c>
      <c r="D2474" s="2" t="s">
        <v>127</v>
      </c>
      <c r="E2474" s="2"/>
      <c r="F2474" s="35">
        <v>0.29999999999999988</v>
      </c>
      <c r="G2474" s="35">
        <v>-116.7562995923012</v>
      </c>
      <c r="H2474" s="35">
        <v>-14.878208715902581</v>
      </c>
      <c r="I2474" s="35">
        <v>4.8701134637374154E-2</v>
      </c>
      <c r="J2474" s="35">
        <v>-1.8156819373139319E-4</v>
      </c>
      <c r="K2474" s="35">
        <v>0.14291806846688199</v>
      </c>
      <c r="L2474" s="35">
        <v>-81.620261752264511</v>
      </c>
      <c r="M2474" s="58" t="s">
        <v>22</v>
      </c>
      <c r="N2474" s="7">
        <v>11.333333333333334</v>
      </c>
      <c r="O2474" s="7" t="s">
        <v>180</v>
      </c>
      <c r="P2474" s="7" t="s">
        <v>180</v>
      </c>
    </row>
    <row r="2475" spans="1:16" x14ac:dyDescent="0.25">
      <c r="A2475" s="2" t="s">
        <v>183</v>
      </c>
      <c r="B2475" s="2" t="s">
        <v>200</v>
      </c>
      <c r="C2475" s="6" t="s">
        <v>147</v>
      </c>
      <c r="D2475" s="2" t="s">
        <v>127</v>
      </c>
      <c r="E2475" s="2"/>
      <c r="F2475" s="35">
        <v>5.3</v>
      </c>
      <c r="G2475" s="35">
        <v>-114.37453559230119</v>
      </c>
      <c r="H2475" s="35">
        <v>-14.878208715902581</v>
      </c>
      <c r="I2475" s="35">
        <v>4.8701134637374154E-2</v>
      </c>
      <c r="J2475" s="35">
        <v>-1.8156819373139319E-4</v>
      </c>
      <c r="K2475" s="35">
        <v>-0.10058760471998875</v>
      </c>
      <c r="L2475" s="35">
        <v>-7.2292181727516205</v>
      </c>
      <c r="M2475" s="58" t="s">
        <v>24</v>
      </c>
      <c r="N2475" s="7">
        <v>11.333333333333334</v>
      </c>
      <c r="O2475" s="7" t="s">
        <v>180</v>
      </c>
      <c r="P2475" s="7" t="s">
        <v>180</v>
      </c>
    </row>
    <row r="2476" spans="1:16" x14ac:dyDescent="0.25">
      <c r="A2476" s="2" t="s">
        <v>183</v>
      </c>
      <c r="B2476" s="2" t="s">
        <v>200</v>
      </c>
      <c r="C2476" s="6" t="s">
        <v>147</v>
      </c>
      <c r="D2476" s="2" t="s">
        <v>127</v>
      </c>
      <c r="E2476" s="2"/>
      <c r="F2476" s="35">
        <v>5.3</v>
      </c>
      <c r="G2476" s="35">
        <v>-140.24951121374258</v>
      </c>
      <c r="H2476" s="35">
        <v>-14.878156521862584</v>
      </c>
      <c r="I2476" s="35">
        <v>-5.4009158719193727E-3</v>
      </c>
      <c r="J2476" s="35">
        <v>1.0722669832333823E-4</v>
      </c>
      <c r="K2476" s="35">
        <v>-0.10058760471998877</v>
      </c>
      <c r="L2476" s="35">
        <v>-7.2296448473975543</v>
      </c>
      <c r="M2476" s="58" t="s">
        <v>24</v>
      </c>
      <c r="N2476" s="7">
        <v>11.333333333333334</v>
      </c>
      <c r="O2476" s="7" t="s">
        <v>180</v>
      </c>
      <c r="P2476" s="7" t="s">
        <v>180</v>
      </c>
    </row>
    <row r="2477" spans="1:16" x14ac:dyDescent="0.25">
      <c r="A2477" s="2" t="s">
        <v>183</v>
      </c>
      <c r="B2477" s="2" t="s">
        <v>200</v>
      </c>
      <c r="C2477" s="6" t="s">
        <v>147</v>
      </c>
      <c r="D2477" s="2" t="s">
        <v>127</v>
      </c>
      <c r="E2477" s="2"/>
      <c r="F2477" s="35">
        <v>5.4149169609489114</v>
      </c>
      <c r="G2477" s="35">
        <v>-140.19477019762707</v>
      </c>
      <c r="H2477" s="35">
        <v>-14.878156521862584</v>
      </c>
      <c r="I2477" s="35">
        <v>-5.4009158719193727E-3</v>
      </c>
      <c r="J2477" s="35">
        <v>1.0722669832333823E-4</v>
      </c>
      <c r="K2477" s="35">
        <v>-9.9966947881647034E-2</v>
      </c>
      <c r="L2477" s="35">
        <v>-5.5198923153828803</v>
      </c>
      <c r="M2477" s="58" t="s">
        <v>24</v>
      </c>
      <c r="N2477" s="7">
        <v>11.333333333333334</v>
      </c>
      <c r="O2477" s="7" t="s">
        <v>180</v>
      </c>
      <c r="P2477" s="7" t="s">
        <v>180</v>
      </c>
    </row>
    <row r="2478" spans="1:16" x14ac:dyDescent="0.25">
      <c r="A2478" s="2" t="s">
        <v>183</v>
      </c>
      <c r="B2478" s="2" t="s">
        <v>200</v>
      </c>
      <c r="C2478" s="6" t="s">
        <v>147</v>
      </c>
      <c r="D2478" s="2" t="s">
        <v>127</v>
      </c>
      <c r="E2478" s="2"/>
      <c r="F2478" s="35">
        <v>10.829833921897823</v>
      </c>
      <c r="G2478" s="35">
        <v>-137.61535934151161</v>
      </c>
      <c r="H2478" s="35">
        <v>-14.878156521862584</v>
      </c>
      <c r="I2478" s="35">
        <v>-5.4009158719193727E-3</v>
      </c>
      <c r="J2478" s="35">
        <v>1.0722669832333823E-4</v>
      </c>
      <c r="K2478" s="35">
        <v>-7.0721436922132661E-2</v>
      </c>
      <c r="L2478" s="35">
        <v>75.044089782503463</v>
      </c>
      <c r="M2478" s="58" t="s">
        <v>23</v>
      </c>
      <c r="N2478" s="7">
        <v>11.333333333333334</v>
      </c>
      <c r="O2478" s="7" t="s">
        <v>180</v>
      </c>
      <c r="P2478" s="7" t="s">
        <v>180</v>
      </c>
    </row>
    <row r="2479" spans="1:16" x14ac:dyDescent="0.25">
      <c r="A2479" s="2" t="s">
        <v>181</v>
      </c>
      <c r="B2479" s="2" t="s">
        <v>201</v>
      </c>
      <c r="C2479" s="6" t="s">
        <v>148</v>
      </c>
      <c r="D2479" s="2" t="s">
        <v>105</v>
      </c>
      <c r="E2479" s="2"/>
      <c r="F2479" s="35">
        <v>0</v>
      </c>
      <c r="G2479" s="35">
        <v>-49.913358459831059</v>
      </c>
      <c r="H2479" s="35">
        <v>18.849803759842665</v>
      </c>
      <c r="I2479" s="35">
        <v>0.25446268323047372</v>
      </c>
      <c r="J2479" s="35">
        <v>-8.505680526778196E-5</v>
      </c>
      <c r="K2479" s="35">
        <v>0.39662831375636182</v>
      </c>
      <c r="L2479" s="35">
        <v>60.58695069468223</v>
      </c>
      <c r="M2479" s="58" t="s">
        <v>22</v>
      </c>
      <c r="N2479" s="7">
        <v>9.5</v>
      </c>
      <c r="O2479" s="7" t="s">
        <v>179</v>
      </c>
      <c r="P2479" s="7" t="s">
        <v>179</v>
      </c>
    </row>
    <row r="2480" spans="1:16" x14ac:dyDescent="0.25">
      <c r="A2480" s="2" t="s">
        <v>181</v>
      </c>
      <c r="B2480" s="2" t="s">
        <v>201</v>
      </c>
      <c r="C2480" s="6" t="s">
        <v>148</v>
      </c>
      <c r="D2480" s="2" t="s">
        <v>105</v>
      </c>
      <c r="E2480" s="2"/>
      <c r="F2480" s="35">
        <v>2</v>
      </c>
      <c r="G2480" s="35">
        <v>-49.099560859831058</v>
      </c>
      <c r="H2480" s="35">
        <v>18.849803759842665</v>
      </c>
      <c r="I2480" s="35">
        <v>0.25446268323047372</v>
      </c>
      <c r="J2480" s="35">
        <v>-8.505680526778196E-5</v>
      </c>
      <c r="K2480" s="35">
        <v>-0.11229705270458554</v>
      </c>
      <c r="L2480" s="35">
        <v>22.887343174996911</v>
      </c>
      <c r="M2480" s="58" t="s">
        <v>22</v>
      </c>
      <c r="N2480" s="7">
        <v>9.5</v>
      </c>
      <c r="O2480" s="7" t="s">
        <v>179</v>
      </c>
      <c r="P2480" s="7" t="s">
        <v>179</v>
      </c>
    </row>
    <row r="2481" spans="1:16" x14ac:dyDescent="0.25">
      <c r="A2481" s="2" t="s">
        <v>181</v>
      </c>
      <c r="B2481" s="2" t="s">
        <v>201</v>
      </c>
      <c r="C2481" s="6" t="s">
        <v>148</v>
      </c>
      <c r="D2481" s="2" t="s">
        <v>105</v>
      </c>
      <c r="E2481" s="2"/>
      <c r="F2481" s="35">
        <v>2</v>
      </c>
      <c r="G2481" s="35">
        <v>-48.827752073764159</v>
      </c>
      <c r="H2481" s="35">
        <v>18.849792708739255</v>
      </c>
      <c r="I2481" s="35">
        <v>-1.4455902464603218E-2</v>
      </c>
      <c r="J2481" s="35">
        <v>-1.4504798165325454E-4</v>
      </c>
      <c r="K2481" s="35">
        <v>-0.11229705270458573</v>
      </c>
      <c r="L2481" s="35">
        <v>22.88740716558511</v>
      </c>
      <c r="M2481" s="58" t="s">
        <v>22</v>
      </c>
      <c r="N2481" s="7">
        <v>9.5</v>
      </c>
      <c r="O2481" s="7" t="s">
        <v>179</v>
      </c>
      <c r="P2481" s="7" t="s">
        <v>179</v>
      </c>
    </row>
    <row r="2482" spans="1:16" x14ac:dyDescent="0.25">
      <c r="A2482" s="2" t="s">
        <v>181</v>
      </c>
      <c r="B2482" s="2" t="s">
        <v>201</v>
      </c>
      <c r="C2482" s="6" t="s">
        <v>148</v>
      </c>
      <c r="D2482" s="2" t="s">
        <v>105</v>
      </c>
      <c r="E2482" s="2"/>
      <c r="F2482" s="35">
        <v>4.5</v>
      </c>
      <c r="G2482" s="35">
        <v>-47.810505073764162</v>
      </c>
      <c r="H2482" s="35">
        <v>18.849792708739255</v>
      </c>
      <c r="I2482" s="35">
        <v>-1.4455902464603218E-2</v>
      </c>
      <c r="J2482" s="35">
        <v>-1.4504798165325454E-4</v>
      </c>
      <c r="K2482" s="35">
        <v>-7.6157296543077693E-2</v>
      </c>
      <c r="L2482" s="35">
        <v>-24.237074606263025</v>
      </c>
      <c r="M2482" s="58" t="s">
        <v>24</v>
      </c>
      <c r="N2482" s="7">
        <v>9.5</v>
      </c>
      <c r="O2482" s="7" t="s">
        <v>179</v>
      </c>
      <c r="P2482" s="7" t="s">
        <v>179</v>
      </c>
    </row>
    <row r="2483" spans="1:16" x14ac:dyDescent="0.25">
      <c r="A2483" s="2" t="s">
        <v>181</v>
      </c>
      <c r="B2483" s="2" t="s">
        <v>201</v>
      </c>
      <c r="C2483" s="6" t="s">
        <v>148</v>
      </c>
      <c r="D2483" s="2" t="s">
        <v>105</v>
      </c>
      <c r="E2483" s="2"/>
      <c r="F2483" s="35">
        <v>4.5</v>
      </c>
      <c r="G2483" s="35">
        <v>-47.03355814449845</v>
      </c>
      <c r="H2483" s="35">
        <v>18.849831355299507</v>
      </c>
      <c r="I2483" s="35">
        <v>-1.4068677577582627E-2</v>
      </c>
      <c r="J2483" s="35">
        <v>1.3550240181052679E-4</v>
      </c>
      <c r="K2483" s="35">
        <v>-7.6156079707620797E-2</v>
      </c>
      <c r="L2483" s="35">
        <v>-25.208249165648947</v>
      </c>
      <c r="M2483" s="58" t="s">
        <v>24</v>
      </c>
      <c r="N2483" s="7">
        <v>9.5</v>
      </c>
      <c r="O2483" s="7" t="s">
        <v>179</v>
      </c>
      <c r="P2483" s="7" t="s">
        <v>179</v>
      </c>
    </row>
    <row r="2484" spans="1:16" x14ac:dyDescent="0.25">
      <c r="A2484" s="2" t="s">
        <v>181</v>
      </c>
      <c r="B2484" s="2" t="s">
        <v>201</v>
      </c>
      <c r="C2484" s="6" t="s">
        <v>148</v>
      </c>
      <c r="D2484" s="2" t="s">
        <v>105</v>
      </c>
      <c r="E2484" s="2"/>
      <c r="F2484" s="35">
        <v>8.9965005885644906</v>
      </c>
      <c r="G2484" s="35">
        <v>-45.203937450812262</v>
      </c>
      <c r="H2484" s="35">
        <v>18.849831355299507</v>
      </c>
      <c r="I2484" s="35">
        <v>-1.4068677577582627E-2</v>
      </c>
      <c r="J2484" s="35">
        <v>1.3550240181052679E-4</v>
      </c>
      <c r="K2484" s="35">
        <v>-1.2896262699696494E-2</v>
      </c>
      <c r="L2484" s="35">
        <v>-109.96652694909453</v>
      </c>
      <c r="M2484" s="58" t="s">
        <v>23</v>
      </c>
      <c r="N2484" s="7">
        <v>9.5</v>
      </c>
      <c r="O2484" s="7" t="s">
        <v>179</v>
      </c>
      <c r="P2484" s="7" t="s">
        <v>179</v>
      </c>
    </row>
    <row r="2485" spans="1:16" x14ac:dyDescent="0.25">
      <c r="A2485" s="2" t="s">
        <v>181</v>
      </c>
      <c r="B2485" s="2" t="s">
        <v>201</v>
      </c>
      <c r="C2485" s="6" t="s">
        <v>148</v>
      </c>
      <c r="D2485" s="2" t="s">
        <v>15</v>
      </c>
      <c r="E2485" s="2"/>
      <c r="F2485" s="35">
        <v>0</v>
      </c>
      <c r="G2485" s="35">
        <v>70.624349340710154</v>
      </c>
      <c r="H2485" s="35">
        <v>-4.9369696441897704</v>
      </c>
      <c r="I2485" s="35">
        <v>-4.5734653419301008</v>
      </c>
      <c r="J2485" s="35">
        <v>3.7343308810716663E-3</v>
      </c>
      <c r="K2485" s="35">
        <v>-7.2876416496931835</v>
      </c>
      <c r="L2485" s="35">
        <v>-46.833324048858323</v>
      </c>
      <c r="M2485" s="58" t="s">
        <v>22</v>
      </c>
      <c r="N2485" s="7">
        <v>9.5</v>
      </c>
      <c r="O2485" s="7" t="s">
        <v>179</v>
      </c>
      <c r="P2485" s="7" t="s">
        <v>179</v>
      </c>
    </row>
    <row r="2486" spans="1:16" x14ac:dyDescent="0.25">
      <c r="A2486" s="2" t="s">
        <v>181</v>
      </c>
      <c r="B2486" s="2" t="s">
        <v>201</v>
      </c>
      <c r="C2486" s="6" t="s">
        <v>148</v>
      </c>
      <c r="D2486" s="2" t="s">
        <v>15</v>
      </c>
      <c r="E2486" s="2"/>
      <c r="F2486" s="35">
        <v>2</v>
      </c>
      <c r="G2486" s="35">
        <v>71.438146940710155</v>
      </c>
      <c r="H2486" s="35">
        <v>-13.33696964418977</v>
      </c>
      <c r="I2486" s="35">
        <v>-4.5734653419301026</v>
      </c>
      <c r="J2486" s="35">
        <v>3.7343308810716663E-3</v>
      </c>
      <c r="K2486" s="35">
        <v>1.8592890341670185</v>
      </c>
      <c r="L2486" s="35">
        <v>-28.559384760478771</v>
      </c>
      <c r="M2486" s="58" t="s">
        <v>22</v>
      </c>
      <c r="N2486" s="7">
        <v>9.5</v>
      </c>
      <c r="O2486" s="7" t="s">
        <v>179</v>
      </c>
      <c r="P2486" s="7" t="s">
        <v>179</v>
      </c>
    </row>
    <row r="2487" spans="1:16" x14ac:dyDescent="0.25">
      <c r="A2487" s="2" t="s">
        <v>181</v>
      </c>
      <c r="B2487" s="2" t="s">
        <v>201</v>
      </c>
      <c r="C2487" s="6" t="s">
        <v>148</v>
      </c>
      <c r="D2487" s="2" t="s">
        <v>15</v>
      </c>
      <c r="E2487" s="2"/>
      <c r="F2487" s="35">
        <v>2</v>
      </c>
      <c r="G2487" s="35">
        <v>66.933175412936365</v>
      </c>
      <c r="H2487" s="35">
        <v>-13.336951933001414</v>
      </c>
      <c r="I2487" s="35">
        <v>0.25284496436138654</v>
      </c>
      <c r="J2487" s="35">
        <v>3.8121487615484571E-3</v>
      </c>
      <c r="K2487" s="35">
        <v>1.8592890341670176</v>
      </c>
      <c r="L2487" s="35">
        <v>-28.559467766217949</v>
      </c>
      <c r="M2487" s="58" t="s">
        <v>22</v>
      </c>
      <c r="N2487" s="7">
        <v>9.5</v>
      </c>
      <c r="O2487" s="7" t="s">
        <v>179</v>
      </c>
      <c r="P2487" s="7" t="s">
        <v>179</v>
      </c>
    </row>
    <row r="2488" spans="1:16" x14ac:dyDescent="0.25">
      <c r="A2488" s="2" t="s">
        <v>181</v>
      </c>
      <c r="B2488" s="2" t="s">
        <v>201</v>
      </c>
      <c r="C2488" s="6" t="s">
        <v>148</v>
      </c>
      <c r="D2488" s="2" t="s">
        <v>15</v>
      </c>
      <c r="E2488" s="2"/>
      <c r="F2488" s="35">
        <v>4.5</v>
      </c>
      <c r="G2488" s="35">
        <v>67.950422412936376</v>
      </c>
      <c r="H2488" s="35">
        <v>-23.836951933001419</v>
      </c>
      <c r="I2488" s="35">
        <v>0.25284496436138587</v>
      </c>
      <c r="J2488" s="35">
        <v>3.8121487615484571E-3</v>
      </c>
      <c r="K2488" s="35">
        <v>1.2271766232635517</v>
      </c>
      <c r="L2488" s="35">
        <v>17.907912066285576</v>
      </c>
      <c r="M2488" s="58" t="s">
        <v>24</v>
      </c>
      <c r="N2488" s="7">
        <v>9.5</v>
      </c>
      <c r="O2488" s="7" t="s">
        <v>179</v>
      </c>
      <c r="P2488" s="7" t="s">
        <v>179</v>
      </c>
    </row>
    <row r="2489" spans="1:16" x14ac:dyDescent="0.25">
      <c r="A2489" s="2" t="s">
        <v>181</v>
      </c>
      <c r="B2489" s="2" t="s">
        <v>201</v>
      </c>
      <c r="C2489" s="6" t="s">
        <v>148</v>
      </c>
      <c r="D2489" s="2" t="s">
        <v>15</v>
      </c>
      <c r="E2489" s="2"/>
      <c r="F2489" s="35">
        <v>4.5</v>
      </c>
      <c r="G2489" s="35">
        <v>68.727371190213148</v>
      </c>
      <c r="H2489" s="35">
        <v>-23.836983077959307</v>
      </c>
      <c r="I2489" s="35">
        <v>0.24647917878451603</v>
      </c>
      <c r="J2489" s="35">
        <v>-3.131813846038643E-3</v>
      </c>
      <c r="K2489" s="35">
        <v>1.2271708142470827</v>
      </c>
      <c r="L2489" s="35">
        <v>16.936718194817836</v>
      </c>
      <c r="M2489" s="58" t="s">
        <v>24</v>
      </c>
      <c r="N2489" s="7">
        <v>9.5</v>
      </c>
      <c r="O2489" s="7" t="s">
        <v>179</v>
      </c>
      <c r="P2489" s="7" t="s">
        <v>179</v>
      </c>
    </row>
    <row r="2490" spans="1:16" x14ac:dyDescent="0.25">
      <c r="A2490" s="2" t="s">
        <v>181</v>
      </c>
      <c r="B2490" s="2" t="s">
        <v>201</v>
      </c>
      <c r="C2490" s="6" t="s">
        <v>148</v>
      </c>
      <c r="D2490" s="2" t="s">
        <v>15</v>
      </c>
      <c r="E2490" s="2"/>
      <c r="F2490" s="35">
        <v>8.9965005885644906</v>
      </c>
      <c r="G2490" s="35">
        <v>70.556991883899329</v>
      </c>
      <c r="H2490" s="35">
        <v>-42.722285549930156</v>
      </c>
      <c r="I2490" s="35">
        <v>0.24647917878451486</v>
      </c>
      <c r="J2490" s="35">
        <v>-3.131813846038643E-3</v>
      </c>
      <c r="K2490" s="35">
        <v>0.11887704177361733</v>
      </c>
      <c r="L2490" s="35">
        <v>166.57861347468128</v>
      </c>
      <c r="M2490" s="58" t="s">
        <v>23</v>
      </c>
      <c r="N2490" s="7">
        <v>9.5</v>
      </c>
      <c r="O2490" s="7" t="s">
        <v>179</v>
      </c>
      <c r="P2490" s="7" t="s">
        <v>179</v>
      </c>
    </row>
    <row r="2491" spans="1:16" x14ac:dyDescent="0.25">
      <c r="A2491" s="2" t="s">
        <v>181</v>
      </c>
      <c r="B2491" s="2" t="s">
        <v>201</v>
      </c>
      <c r="C2491" s="6" t="s">
        <v>148</v>
      </c>
      <c r="D2491" s="2" t="s">
        <v>16</v>
      </c>
      <c r="E2491" s="2"/>
      <c r="F2491" s="35">
        <v>0</v>
      </c>
      <c r="G2491" s="35">
        <v>28.964855835765771</v>
      </c>
      <c r="H2491" s="35">
        <v>-0.43053043290729687</v>
      </c>
      <c r="I2491" s="35">
        <v>-4.5814052806959795</v>
      </c>
      <c r="J2491" s="35">
        <v>3.7797426207102393E-3</v>
      </c>
      <c r="K2491" s="35">
        <v>-7.3253903914461063</v>
      </c>
      <c r="L2491" s="35">
        <v>-14.804989727950755</v>
      </c>
      <c r="M2491" s="58" t="s">
        <v>22</v>
      </c>
      <c r="N2491" s="7">
        <v>9.5</v>
      </c>
      <c r="O2491" s="7" t="s">
        <v>179</v>
      </c>
      <c r="P2491" s="7" t="s">
        <v>179</v>
      </c>
    </row>
    <row r="2492" spans="1:16" x14ac:dyDescent="0.25">
      <c r="A2492" s="2" t="s">
        <v>181</v>
      </c>
      <c r="B2492" s="2" t="s">
        <v>201</v>
      </c>
      <c r="C2492" s="6" t="s">
        <v>148</v>
      </c>
      <c r="D2492" s="2" t="s">
        <v>16</v>
      </c>
      <c r="E2492" s="2"/>
      <c r="F2492" s="35">
        <v>2</v>
      </c>
      <c r="G2492" s="35">
        <v>29.778653435765776</v>
      </c>
      <c r="H2492" s="35">
        <v>-4.1265304329072974</v>
      </c>
      <c r="I2492" s="35">
        <v>-4.5814052806959795</v>
      </c>
      <c r="J2492" s="35">
        <v>3.7797426207102393E-3</v>
      </c>
      <c r="K2492" s="35">
        <v>1.8374201699458526</v>
      </c>
      <c r="L2492" s="35">
        <v>-10.24792886213616</v>
      </c>
      <c r="M2492" s="58" t="s">
        <v>22</v>
      </c>
      <c r="N2492" s="7">
        <v>9.5</v>
      </c>
      <c r="O2492" s="7" t="s">
        <v>179</v>
      </c>
      <c r="P2492" s="7" t="s">
        <v>179</v>
      </c>
    </row>
    <row r="2493" spans="1:16" x14ac:dyDescent="0.25">
      <c r="A2493" s="2" t="s">
        <v>181</v>
      </c>
      <c r="B2493" s="2" t="s">
        <v>201</v>
      </c>
      <c r="C2493" s="6" t="s">
        <v>148</v>
      </c>
      <c r="D2493" s="2" t="s">
        <v>16</v>
      </c>
      <c r="E2493" s="2"/>
      <c r="F2493" s="35">
        <v>2</v>
      </c>
      <c r="G2493" s="35">
        <v>25.269036033003196</v>
      </c>
      <c r="H2493" s="35">
        <v>-4.1265232121330859</v>
      </c>
      <c r="I2493" s="35">
        <v>0.2498627983177811</v>
      </c>
      <c r="J2493" s="35">
        <v>3.8167383177829966E-3</v>
      </c>
      <c r="K2493" s="35">
        <v>1.8374201699458506</v>
      </c>
      <c r="L2493" s="35">
        <v>-10.247968324212959</v>
      </c>
      <c r="M2493" s="58" t="s">
        <v>22</v>
      </c>
      <c r="N2493" s="7">
        <v>9.5</v>
      </c>
      <c r="O2493" s="7" t="s">
        <v>179</v>
      </c>
      <c r="P2493" s="7" t="s">
        <v>179</v>
      </c>
    </row>
    <row r="2494" spans="1:16" x14ac:dyDescent="0.25">
      <c r="A2494" s="2" t="s">
        <v>181</v>
      </c>
      <c r="B2494" s="2" t="s">
        <v>201</v>
      </c>
      <c r="C2494" s="6" t="s">
        <v>148</v>
      </c>
      <c r="D2494" s="2" t="s">
        <v>16</v>
      </c>
      <c r="E2494" s="2"/>
      <c r="F2494" s="35">
        <v>4.5</v>
      </c>
      <c r="G2494" s="35">
        <v>26.286283033003198</v>
      </c>
      <c r="H2494" s="35">
        <v>-8.746523212133086</v>
      </c>
      <c r="I2494" s="35">
        <v>0.24986279831778085</v>
      </c>
      <c r="J2494" s="35">
        <v>3.8167383177829966E-3</v>
      </c>
      <c r="K2494" s="35">
        <v>1.212763174151398</v>
      </c>
      <c r="L2494" s="35">
        <v>5.8433397061197576</v>
      </c>
      <c r="M2494" s="58" t="s">
        <v>24</v>
      </c>
      <c r="N2494" s="7">
        <v>9.5</v>
      </c>
      <c r="O2494" s="7" t="s">
        <v>179</v>
      </c>
      <c r="P2494" s="7" t="s">
        <v>179</v>
      </c>
    </row>
    <row r="2495" spans="1:16" x14ac:dyDescent="0.25">
      <c r="A2495" s="2" t="s">
        <v>181</v>
      </c>
      <c r="B2495" s="2" t="s">
        <v>201</v>
      </c>
      <c r="C2495" s="6" t="s">
        <v>148</v>
      </c>
      <c r="D2495" s="2" t="s">
        <v>16</v>
      </c>
      <c r="E2495" s="2"/>
      <c r="F2495" s="35">
        <v>4.5</v>
      </c>
      <c r="G2495" s="35">
        <v>27.063231909894672</v>
      </c>
      <c r="H2495" s="35">
        <v>-8.746515379038815</v>
      </c>
      <c r="I2495" s="35">
        <v>0.2436120312067564</v>
      </c>
      <c r="J2495" s="35">
        <v>-3.1496194930231659E-3</v>
      </c>
      <c r="K2495" s="35">
        <v>1.2127570628743651</v>
      </c>
      <c r="L2495" s="35">
        <v>4.8721524413088861</v>
      </c>
      <c r="M2495" s="58" t="s">
        <v>24</v>
      </c>
      <c r="N2495" s="7">
        <v>9.5</v>
      </c>
      <c r="O2495" s="7" t="s">
        <v>179</v>
      </c>
      <c r="P2495" s="7" t="s">
        <v>179</v>
      </c>
    </row>
    <row r="2496" spans="1:16" x14ac:dyDescent="0.25">
      <c r="A2496" s="2" t="s">
        <v>181</v>
      </c>
      <c r="B2496" s="2" t="s">
        <v>201</v>
      </c>
      <c r="C2496" s="6" t="s">
        <v>148</v>
      </c>
      <c r="D2496" s="2" t="s">
        <v>16</v>
      </c>
      <c r="E2496" s="2"/>
      <c r="F2496" s="35">
        <v>8.9965005885644906</v>
      </c>
      <c r="G2496" s="35">
        <v>28.892852603580856</v>
      </c>
      <c r="H2496" s="35">
        <v>-17.056048466705992</v>
      </c>
      <c r="I2496" s="35">
        <v>0.2436120312067559</v>
      </c>
      <c r="J2496" s="35">
        <v>-3.1496194930231659E-3</v>
      </c>
      <c r="K2496" s="35">
        <v>0.11735542117179555</v>
      </c>
      <c r="L2496" s="35">
        <v>62.882774200741046</v>
      </c>
      <c r="M2496" s="58" t="s">
        <v>23</v>
      </c>
      <c r="N2496" s="7">
        <v>9.5</v>
      </c>
      <c r="O2496" s="7" t="s">
        <v>179</v>
      </c>
      <c r="P2496" s="7" t="s">
        <v>179</v>
      </c>
    </row>
    <row r="2497" spans="1:16" x14ac:dyDescent="0.25">
      <c r="A2497" s="2" t="s">
        <v>181</v>
      </c>
      <c r="B2497" s="2" t="s">
        <v>201</v>
      </c>
      <c r="C2497" s="6" t="s">
        <v>148</v>
      </c>
      <c r="D2497" s="2" t="s">
        <v>106</v>
      </c>
      <c r="E2497" s="2"/>
      <c r="F2497" s="35">
        <v>0</v>
      </c>
      <c r="G2497" s="35">
        <v>53.703260939532704</v>
      </c>
      <c r="H2497" s="35">
        <v>-4.9491357987698796</v>
      </c>
      <c r="I2497" s="35">
        <v>3.9939335395546314</v>
      </c>
      <c r="J2497" s="35">
        <v>-3.6774687411085839E-3</v>
      </c>
      <c r="K2497" s="35">
        <v>6.3978287201817752</v>
      </c>
      <c r="L2497" s="35">
        <v>-46.357917062605672</v>
      </c>
      <c r="M2497" s="58" t="s">
        <v>22</v>
      </c>
      <c r="N2497" s="7">
        <v>9.5</v>
      </c>
      <c r="O2497" s="7" t="s">
        <v>179</v>
      </c>
      <c r="P2497" s="7" t="s">
        <v>179</v>
      </c>
    </row>
    <row r="2498" spans="1:16" x14ac:dyDescent="0.25">
      <c r="A2498" s="2" t="s">
        <v>181</v>
      </c>
      <c r="B2498" s="2" t="s">
        <v>201</v>
      </c>
      <c r="C2498" s="6" t="s">
        <v>148</v>
      </c>
      <c r="D2498" s="2" t="s">
        <v>106</v>
      </c>
      <c r="E2498" s="2"/>
      <c r="F2498" s="35">
        <v>2</v>
      </c>
      <c r="G2498" s="35">
        <v>54.517058539532705</v>
      </c>
      <c r="H2498" s="35">
        <v>-13.349135798769877</v>
      </c>
      <c r="I2498" s="35">
        <v>3.9939335395546309</v>
      </c>
      <c r="J2498" s="35">
        <v>-3.6774687411085839E-3</v>
      </c>
      <c r="K2498" s="35">
        <v>-1.5900383589274871</v>
      </c>
      <c r="L2498" s="35">
        <v>-28.05964546506592</v>
      </c>
      <c r="M2498" s="58" t="s">
        <v>22</v>
      </c>
      <c r="N2498" s="7">
        <v>9.5</v>
      </c>
      <c r="O2498" s="7" t="s">
        <v>179</v>
      </c>
      <c r="P2498" s="7" t="s">
        <v>179</v>
      </c>
    </row>
    <row r="2499" spans="1:16" x14ac:dyDescent="0.25">
      <c r="A2499" s="2" t="s">
        <v>181</v>
      </c>
      <c r="B2499" s="2" t="s">
        <v>201</v>
      </c>
      <c r="C2499" s="6" t="s">
        <v>148</v>
      </c>
      <c r="D2499" s="2" t="s">
        <v>106</v>
      </c>
      <c r="E2499" s="2"/>
      <c r="F2499" s="35">
        <v>2</v>
      </c>
      <c r="G2499" s="35">
        <v>58.482556390154443</v>
      </c>
      <c r="H2499" s="35">
        <v>-13.349119873859541</v>
      </c>
      <c r="I2499" s="35">
        <v>-0.21492370484185813</v>
      </c>
      <c r="J2499" s="35">
        <v>-3.6275183722030411E-3</v>
      </c>
      <c r="K2499" s="35">
        <v>-1.590038358927488</v>
      </c>
      <c r="L2499" s="35">
        <v>-28.059698745459485</v>
      </c>
      <c r="M2499" s="58" t="s">
        <v>22</v>
      </c>
      <c r="N2499" s="7">
        <v>9.5</v>
      </c>
      <c r="O2499" s="7" t="s">
        <v>179</v>
      </c>
      <c r="P2499" s="7" t="s">
        <v>179</v>
      </c>
    </row>
    <row r="2500" spans="1:16" x14ac:dyDescent="0.25">
      <c r="A2500" s="2" t="s">
        <v>181</v>
      </c>
      <c r="B2500" s="2" t="s">
        <v>201</v>
      </c>
      <c r="C2500" s="6" t="s">
        <v>148</v>
      </c>
      <c r="D2500" s="2" t="s">
        <v>106</v>
      </c>
      <c r="E2500" s="2"/>
      <c r="F2500" s="35">
        <v>4.5</v>
      </c>
      <c r="G2500" s="35">
        <v>59.49980339015444</v>
      </c>
      <c r="H2500" s="35">
        <v>-23.849119873859543</v>
      </c>
      <c r="I2500" s="35">
        <v>-0.21492370484185883</v>
      </c>
      <c r="J2500" s="35">
        <v>-3.6275183722030411E-3</v>
      </c>
      <c r="K2500" s="35">
        <v>-1.052729096822842</v>
      </c>
      <c r="L2500" s="35">
        <v>18.438100939189368</v>
      </c>
      <c r="M2500" s="58" t="s">
        <v>24</v>
      </c>
      <c r="N2500" s="7">
        <v>9.5</v>
      </c>
      <c r="O2500" s="7" t="s">
        <v>179</v>
      </c>
      <c r="P2500" s="7" t="s">
        <v>179</v>
      </c>
    </row>
    <row r="2501" spans="1:16" x14ac:dyDescent="0.25">
      <c r="A2501" s="2" t="s">
        <v>181</v>
      </c>
      <c r="B2501" s="2" t="s">
        <v>201</v>
      </c>
      <c r="C2501" s="6" t="s">
        <v>148</v>
      </c>
      <c r="D2501" s="2" t="s">
        <v>106</v>
      </c>
      <c r="E2501" s="2"/>
      <c r="F2501" s="35">
        <v>4.5</v>
      </c>
      <c r="G2501" s="35">
        <v>60.276748877276475</v>
      </c>
      <c r="H2501" s="35">
        <v>-23.849225628225941</v>
      </c>
      <c r="I2501" s="35">
        <v>-0.20937872359788184</v>
      </c>
      <c r="J2501" s="35">
        <v>2.9403616253736984E-3</v>
      </c>
      <c r="K2501" s="35">
        <v>-1.0527222572046484</v>
      </c>
      <c r="L2501" s="35">
        <v>17.466911580255275</v>
      </c>
      <c r="M2501" s="58" t="s">
        <v>24</v>
      </c>
      <c r="N2501" s="7">
        <v>9.5</v>
      </c>
      <c r="O2501" s="7" t="s">
        <v>179</v>
      </c>
      <c r="P2501" s="7" t="s">
        <v>179</v>
      </c>
    </row>
    <row r="2502" spans="1:16" x14ac:dyDescent="0.25">
      <c r="A2502" s="2" t="s">
        <v>181</v>
      </c>
      <c r="B2502" s="2" t="s">
        <v>201</v>
      </c>
      <c r="C2502" s="6" t="s">
        <v>148</v>
      </c>
      <c r="D2502" s="2" t="s">
        <v>106</v>
      </c>
      <c r="E2502" s="2"/>
      <c r="F2502" s="35">
        <v>8.9965005885644906</v>
      </c>
      <c r="G2502" s="35">
        <v>62.106369570962656</v>
      </c>
      <c r="H2502" s="35">
        <v>-42.734528100196798</v>
      </c>
      <c r="I2502" s="35">
        <v>-0.20937872359788301</v>
      </c>
      <c r="J2502" s="35">
        <v>2.9403616253736984E-3</v>
      </c>
      <c r="K2502" s="35">
        <v>-0.11125070331388869</v>
      </c>
      <c r="L2502" s="35">
        <v>167.16385549459818</v>
      </c>
      <c r="M2502" s="58" t="s">
        <v>23</v>
      </c>
      <c r="N2502" s="7">
        <v>9.5</v>
      </c>
      <c r="O2502" s="7" t="s">
        <v>179</v>
      </c>
      <c r="P2502" s="7" t="s">
        <v>179</v>
      </c>
    </row>
    <row r="2503" spans="1:16" x14ac:dyDescent="0.25">
      <c r="A2503" s="2" t="s">
        <v>181</v>
      </c>
      <c r="B2503" s="2" t="s">
        <v>201</v>
      </c>
      <c r="C2503" s="6" t="s">
        <v>148</v>
      </c>
      <c r="D2503" s="2" t="s">
        <v>107</v>
      </c>
      <c r="E2503" s="2"/>
      <c r="F2503" s="35">
        <v>0</v>
      </c>
      <c r="G2503" s="35">
        <v>12.037015711228525</v>
      </c>
      <c r="H2503" s="35">
        <v>-0.44275758878961635</v>
      </c>
      <c r="I2503" s="35">
        <v>3.9892828702199203</v>
      </c>
      <c r="J2503" s="35">
        <v>-3.6349423583475131E-3</v>
      </c>
      <c r="K2503" s="35">
        <v>6.3653408598461807</v>
      </c>
      <c r="L2503" s="35">
        <v>-14.330738195776689</v>
      </c>
      <c r="M2503" s="58" t="s">
        <v>22</v>
      </c>
      <c r="N2503" s="7">
        <v>9.5</v>
      </c>
      <c r="O2503" s="7" t="s">
        <v>179</v>
      </c>
      <c r="P2503" s="7" t="s">
        <v>179</v>
      </c>
    </row>
    <row r="2504" spans="1:16" x14ac:dyDescent="0.25">
      <c r="A2504" s="2" t="s">
        <v>181</v>
      </c>
      <c r="B2504" s="2" t="s">
        <v>201</v>
      </c>
      <c r="C2504" s="6" t="s">
        <v>148</v>
      </c>
      <c r="D2504" s="2" t="s">
        <v>107</v>
      </c>
      <c r="E2504" s="2"/>
      <c r="F2504" s="35">
        <v>2</v>
      </c>
      <c r="G2504" s="35">
        <v>12.850813311228526</v>
      </c>
      <c r="H2504" s="35">
        <v>-4.1387575887896162</v>
      </c>
      <c r="I2504" s="35">
        <v>3.9892828702199203</v>
      </c>
      <c r="J2504" s="35">
        <v>-3.6349423583475131E-3</v>
      </c>
      <c r="K2504" s="35">
        <v>-1.6132248805936593</v>
      </c>
      <c r="L2504" s="35">
        <v>-9.7492230181974548</v>
      </c>
      <c r="M2504" s="58" t="s">
        <v>22</v>
      </c>
      <c r="N2504" s="7">
        <v>9.5</v>
      </c>
      <c r="O2504" s="7" t="s">
        <v>179</v>
      </c>
      <c r="P2504" s="7" t="s">
        <v>179</v>
      </c>
    </row>
    <row r="2505" spans="1:16" x14ac:dyDescent="0.25">
      <c r="A2505" s="2" t="s">
        <v>181</v>
      </c>
      <c r="B2505" s="2" t="s">
        <v>201</v>
      </c>
      <c r="C2505" s="6" t="s">
        <v>148</v>
      </c>
      <c r="D2505" s="2" t="s">
        <v>107</v>
      </c>
      <c r="E2505" s="2"/>
      <c r="F2505" s="35">
        <v>2</v>
      </c>
      <c r="G2505" s="35">
        <v>16.814916802994084</v>
      </c>
      <c r="H2505" s="35">
        <v>-4.1387521507345255</v>
      </c>
      <c r="I2505" s="35">
        <v>-0.21808488562713241</v>
      </c>
      <c r="J2505" s="35">
        <v>-3.6258273459051967E-3</v>
      </c>
      <c r="K2505" s="35">
        <v>-1.6132248805936582</v>
      </c>
      <c r="L2505" s="35">
        <v>-9.7492327408774351</v>
      </c>
      <c r="M2505" s="58" t="s">
        <v>22</v>
      </c>
      <c r="N2505" s="7">
        <v>9.5</v>
      </c>
      <c r="O2505" s="7" t="s">
        <v>179</v>
      </c>
      <c r="P2505" s="7" t="s">
        <v>179</v>
      </c>
    </row>
    <row r="2506" spans="1:16" x14ac:dyDescent="0.25">
      <c r="A2506" s="2" t="s">
        <v>181</v>
      </c>
      <c r="B2506" s="2" t="s">
        <v>201</v>
      </c>
      <c r="C2506" s="6" t="s">
        <v>148</v>
      </c>
      <c r="D2506" s="2" t="s">
        <v>107</v>
      </c>
      <c r="E2506" s="2"/>
      <c r="F2506" s="35">
        <v>4.5</v>
      </c>
      <c r="G2506" s="35">
        <v>17.832163802994085</v>
      </c>
      <c r="H2506" s="35">
        <v>-8.7587521507345265</v>
      </c>
      <c r="I2506" s="35">
        <v>-0.21808488562713263</v>
      </c>
      <c r="J2506" s="35">
        <v>-3.6258273459051967E-3</v>
      </c>
      <c r="K2506" s="35">
        <v>-1.0680126665258269</v>
      </c>
      <c r="L2506" s="35">
        <v>6.3726476359588808</v>
      </c>
      <c r="M2506" s="58" t="s">
        <v>24</v>
      </c>
      <c r="N2506" s="7">
        <v>9.5</v>
      </c>
      <c r="O2506" s="7" t="s">
        <v>179</v>
      </c>
      <c r="P2506" s="7" t="s">
        <v>179</v>
      </c>
    </row>
    <row r="2507" spans="1:16" x14ac:dyDescent="0.25">
      <c r="A2507" s="2" t="s">
        <v>181</v>
      </c>
      <c r="B2507" s="2" t="s">
        <v>201</v>
      </c>
      <c r="C2507" s="6" t="s">
        <v>148</v>
      </c>
      <c r="D2507" s="2" t="s">
        <v>107</v>
      </c>
      <c r="E2507" s="2"/>
      <c r="F2507" s="35">
        <v>4.5</v>
      </c>
      <c r="G2507" s="35">
        <v>18.609109388451934</v>
      </c>
      <c r="H2507" s="35">
        <v>-8.7588191540563827</v>
      </c>
      <c r="I2507" s="35">
        <v>-0.21241986486740469</v>
      </c>
      <c r="J2507" s="35">
        <v>2.9262020720524158E-3</v>
      </c>
      <c r="K2507" s="35">
        <v>-1.0680061243220722</v>
      </c>
      <c r="L2507" s="35">
        <v>5.4014648817030722</v>
      </c>
      <c r="M2507" s="58" t="s">
        <v>24</v>
      </c>
      <c r="N2507" s="7">
        <v>9.5</v>
      </c>
      <c r="O2507" s="7" t="s">
        <v>179</v>
      </c>
      <c r="P2507" s="7" t="s">
        <v>179</v>
      </c>
    </row>
    <row r="2508" spans="1:16" x14ac:dyDescent="0.25">
      <c r="A2508" s="2" t="s">
        <v>181</v>
      </c>
      <c r="B2508" s="2" t="s">
        <v>201</v>
      </c>
      <c r="C2508" s="6" t="s">
        <v>148</v>
      </c>
      <c r="D2508" s="2" t="s">
        <v>107</v>
      </c>
      <c r="E2508" s="2"/>
      <c r="F2508" s="35">
        <v>8.9965005885644906</v>
      </c>
      <c r="G2508" s="35">
        <v>20.438730082138118</v>
      </c>
      <c r="H2508" s="35">
        <v>-17.068352241723559</v>
      </c>
      <c r="I2508" s="35">
        <v>-0.21241986486740516</v>
      </c>
      <c r="J2508" s="35">
        <v>2.9262020720524158E-3</v>
      </c>
      <c r="K2508" s="35">
        <v>-0.11286007692299681</v>
      </c>
      <c r="L2508" s="35">
        <v>63.46741057274329</v>
      </c>
      <c r="M2508" s="58" t="s">
        <v>23</v>
      </c>
      <c r="N2508" s="7">
        <v>9.5</v>
      </c>
      <c r="O2508" s="7" t="s">
        <v>179</v>
      </c>
      <c r="P2508" s="7" t="s">
        <v>179</v>
      </c>
    </row>
    <row r="2509" spans="1:16" x14ac:dyDescent="0.25">
      <c r="A2509" s="2" t="s">
        <v>181</v>
      </c>
      <c r="B2509" s="2" t="s">
        <v>201</v>
      </c>
      <c r="C2509" s="6" t="s">
        <v>148</v>
      </c>
      <c r="D2509" s="2" t="s">
        <v>108</v>
      </c>
      <c r="E2509" s="2"/>
      <c r="F2509" s="35">
        <v>0</v>
      </c>
      <c r="G2509" s="35">
        <v>55.732872580472602</v>
      </c>
      <c r="H2509" s="35">
        <v>-3.6713093230831038</v>
      </c>
      <c r="I2509" s="35">
        <v>0.22584726454242821</v>
      </c>
      <c r="J2509" s="35">
        <v>-1.9995155688608935E-4</v>
      </c>
      <c r="K2509" s="35">
        <v>0.41132763282195156</v>
      </c>
      <c r="L2509" s="35">
        <v>-17.77448238969178</v>
      </c>
      <c r="M2509" s="58" t="s">
        <v>22</v>
      </c>
      <c r="N2509" s="7">
        <v>9.5</v>
      </c>
      <c r="O2509" s="7" t="s">
        <v>179</v>
      </c>
      <c r="P2509" s="7" t="s">
        <v>179</v>
      </c>
    </row>
    <row r="2510" spans="1:16" x14ac:dyDescent="0.25">
      <c r="A2510" s="2" t="s">
        <v>181</v>
      </c>
      <c r="B2510" s="2" t="s">
        <v>201</v>
      </c>
      <c r="C2510" s="6" t="s">
        <v>148</v>
      </c>
      <c r="D2510" s="2" t="s">
        <v>108</v>
      </c>
      <c r="E2510" s="2"/>
      <c r="F2510" s="35">
        <v>2</v>
      </c>
      <c r="G2510" s="35">
        <v>56.546670180472603</v>
      </c>
      <c r="H2510" s="35">
        <v>-10.055309323083101</v>
      </c>
      <c r="I2510" s="35">
        <v>0.22584726454242782</v>
      </c>
      <c r="J2510" s="35">
        <v>-1.9995155688608935E-4</v>
      </c>
      <c r="K2510" s="35">
        <v>-4.0366896262904475E-2</v>
      </c>
      <c r="L2510" s="35">
        <v>-4.0478637435255731</v>
      </c>
      <c r="M2510" s="58" t="s">
        <v>22</v>
      </c>
      <c r="N2510" s="7">
        <v>9.5</v>
      </c>
      <c r="O2510" s="7" t="s">
        <v>179</v>
      </c>
      <c r="P2510" s="7" t="s">
        <v>179</v>
      </c>
    </row>
    <row r="2511" spans="1:16" x14ac:dyDescent="0.25">
      <c r="A2511" s="2" t="s">
        <v>181</v>
      </c>
      <c r="B2511" s="2" t="s">
        <v>201</v>
      </c>
      <c r="C2511" s="6" t="s">
        <v>148</v>
      </c>
      <c r="D2511" s="2" t="s">
        <v>108</v>
      </c>
      <c r="E2511" s="2"/>
      <c r="F2511" s="35">
        <v>2</v>
      </c>
      <c r="G2511" s="35">
        <v>56.782467075049141</v>
      </c>
      <c r="H2511" s="35">
        <v>-10.05529666036511</v>
      </c>
      <c r="I2511" s="35">
        <v>-4.6639803461141485E-3</v>
      </c>
      <c r="J2511" s="35">
        <v>-1.1726782497799869E-4</v>
      </c>
      <c r="K2511" s="35">
        <v>-4.0366896262904205E-2</v>
      </c>
      <c r="L2511" s="35">
        <v>-4.0479519395062171</v>
      </c>
      <c r="M2511" s="58" t="s">
        <v>22</v>
      </c>
      <c r="N2511" s="7">
        <v>9.5</v>
      </c>
      <c r="O2511" s="7" t="s">
        <v>179</v>
      </c>
      <c r="P2511" s="7" t="s">
        <v>179</v>
      </c>
    </row>
    <row r="2512" spans="1:16" x14ac:dyDescent="0.25">
      <c r="A2512" s="2" t="s">
        <v>181</v>
      </c>
      <c r="B2512" s="2" t="s">
        <v>201</v>
      </c>
      <c r="C2512" s="6" t="s">
        <v>148</v>
      </c>
      <c r="D2512" s="2" t="s">
        <v>108</v>
      </c>
      <c r="E2512" s="2"/>
      <c r="F2512" s="35">
        <v>4.5</v>
      </c>
      <c r="G2512" s="35">
        <v>57.799714075049138</v>
      </c>
      <c r="H2512" s="35">
        <v>-18.035296660365113</v>
      </c>
      <c r="I2512" s="35">
        <v>-4.6639803461146368E-3</v>
      </c>
      <c r="J2512" s="35">
        <v>-1.1726782497799869E-4</v>
      </c>
      <c r="K2512" s="35">
        <v>-2.8706945397618221E-2</v>
      </c>
      <c r="L2512" s="35">
        <v>31.065289711406557</v>
      </c>
      <c r="M2512" s="58" t="s">
        <v>24</v>
      </c>
      <c r="N2512" s="7">
        <v>9.5</v>
      </c>
      <c r="O2512" s="7" t="s">
        <v>179</v>
      </c>
      <c r="P2512" s="7" t="s">
        <v>179</v>
      </c>
    </row>
    <row r="2513" spans="1:16" x14ac:dyDescent="0.25">
      <c r="A2513" s="2" t="s">
        <v>181</v>
      </c>
      <c r="B2513" s="2" t="s">
        <v>201</v>
      </c>
      <c r="C2513" s="6" t="s">
        <v>148</v>
      </c>
      <c r="D2513" s="2" t="s">
        <v>108</v>
      </c>
      <c r="E2513" s="2"/>
      <c r="F2513" s="35">
        <v>4.5</v>
      </c>
      <c r="G2513" s="35">
        <v>58.576660794551699</v>
      </c>
      <c r="H2513" s="35">
        <v>-18.035354521742082</v>
      </c>
      <c r="I2513" s="35">
        <v>-4.6317015529954838E-3</v>
      </c>
      <c r="J2513" s="35">
        <v>1.3858409644085674E-4</v>
      </c>
      <c r="K2513" s="35">
        <v>-2.8705104222675432E-2</v>
      </c>
      <c r="L2513" s="35">
        <v>30.094097436692053</v>
      </c>
      <c r="M2513" s="58" t="s">
        <v>24</v>
      </c>
      <c r="N2513" s="7">
        <v>9.5</v>
      </c>
      <c r="O2513" s="7" t="s">
        <v>179</v>
      </c>
      <c r="P2513" s="7" t="s">
        <v>179</v>
      </c>
    </row>
    <row r="2514" spans="1:16" x14ac:dyDescent="0.25">
      <c r="A2514" s="2" t="s">
        <v>181</v>
      </c>
      <c r="B2514" s="2" t="s">
        <v>201</v>
      </c>
      <c r="C2514" s="6" t="s">
        <v>148</v>
      </c>
      <c r="D2514" s="2" t="s">
        <v>108</v>
      </c>
      <c r="E2514" s="2"/>
      <c r="F2514" s="35">
        <v>8.9965005885644906</v>
      </c>
      <c r="G2514" s="35">
        <v>60.40628148823788</v>
      </c>
      <c r="H2514" s="35">
        <v>-32.388184400439933</v>
      </c>
      <c r="I2514" s="35">
        <v>-4.6317015529963625E-3</v>
      </c>
      <c r="J2514" s="35">
        <v>1.3858409644085674E-4</v>
      </c>
      <c r="K2514" s="35">
        <v>-7.8786554635742103E-3</v>
      </c>
      <c r="L2514" s="35">
        <v>143.45883365723998</v>
      </c>
      <c r="M2514" s="58" t="s">
        <v>23</v>
      </c>
      <c r="N2514" s="7">
        <v>9.5</v>
      </c>
      <c r="O2514" s="7" t="s">
        <v>179</v>
      </c>
      <c r="P2514" s="7" t="s">
        <v>179</v>
      </c>
    </row>
    <row r="2515" spans="1:16" x14ac:dyDescent="0.25">
      <c r="A2515" s="2" t="s">
        <v>181</v>
      </c>
      <c r="B2515" s="2" t="s">
        <v>201</v>
      </c>
      <c r="C2515" s="6" t="s">
        <v>148</v>
      </c>
      <c r="D2515" s="2" t="s">
        <v>109</v>
      </c>
      <c r="E2515" s="2"/>
      <c r="F2515" s="35">
        <v>0</v>
      </c>
      <c r="G2515" s="35">
        <v>2.3511573247496922</v>
      </c>
      <c r="H2515" s="35">
        <v>12.581687583146923</v>
      </c>
      <c r="I2515" s="35">
        <v>0.37754965503952242</v>
      </c>
      <c r="J2515" s="35">
        <v>-1.1804723553579076E-4</v>
      </c>
      <c r="K2515" s="35">
        <v>0.63329154859636194</v>
      </c>
      <c r="L2515" s="35">
        <v>78.953580402098481</v>
      </c>
      <c r="M2515" s="58" t="s">
        <v>22</v>
      </c>
      <c r="N2515" s="7">
        <v>9.5</v>
      </c>
      <c r="O2515" s="7" t="s">
        <v>179</v>
      </c>
      <c r="P2515" s="7" t="s">
        <v>179</v>
      </c>
    </row>
    <row r="2516" spans="1:16" x14ac:dyDescent="0.25">
      <c r="A2516" s="2" t="s">
        <v>181</v>
      </c>
      <c r="B2516" s="2" t="s">
        <v>201</v>
      </c>
      <c r="C2516" s="6" t="s">
        <v>148</v>
      </c>
      <c r="D2516" s="2" t="s">
        <v>109</v>
      </c>
      <c r="E2516" s="2"/>
      <c r="F2516" s="35">
        <v>2</v>
      </c>
      <c r="G2516" s="35">
        <v>3.1649549247496935</v>
      </c>
      <c r="H2516" s="35">
        <v>10.901687583146924</v>
      </c>
      <c r="I2516" s="35">
        <v>0.37754965503952231</v>
      </c>
      <c r="J2516" s="35">
        <v>-1.1804723553579076E-4</v>
      </c>
      <c r="K2516" s="35">
        <v>-0.12180776148268274</v>
      </c>
      <c r="L2516" s="35">
        <v>55.470205235804649</v>
      </c>
      <c r="M2516" s="58" t="s">
        <v>22</v>
      </c>
      <c r="N2516" s="7">
        <v>9.5</v>
      </c>
      <c r="O2516" s="7" t="s">
        <v>179</v>
      </c>
      <c r="P2516" s="7" t="s">
        <v>179</v>
      </c>
    </row>
    <row r="2517" spans="1:16" x14ac:dyDescent="0.25">
      <c r="A2517" s="2" t="s">
        <v>181</v>
      </c>
      <c r="B2517" s="2" t="s">
        <v>201</v>
      </c>
      <c r="C2517" s="6" t="s">
        <v>148</v>
      </c>
      <c r="D2517" s="2" t="s">
        <v>109</v>
      </c>
      <c r="E2517" s="2"/>
      <c r="F2517" s="35">
        <v>2</v>
      </c>
      <c r="G2517" s="35">
        <v>3.5533491377967215</v>
      </c>
      <c r="H2517" s="35">
        <v>10.901683070061408</v>
      </c>
      <c r="I2517" s="35">
        <v>-1.5729914364219184E-2</v>
      </c>
      <c r="J2517" s="35">
        <v>-5.7660115144827484E-5</v>
      </c>
      <c r="K2517" s="35">
        <v>-0.12180776148268306</v>
      </c>
      <c r="L2517" s="35">
        <v>55.47014082287626</v>
      </c>
      <c r="M2517" s="58" t="s">
        <v>22</v>
      </c>
      <c r="N2517" s="7">
        <v>9.5</v>
      </c>
      <c r="O2517" s="7" t="s">
        <v>179</v>
      </c>
      <c r="P2517" s="7" t="s">
        <v>179</v>
      </c>
    </row>
    <row r="2518" spans="1:16" x14ac:dyDescent="0.25">
      <c r="A2518" s="2" t="s">
        <v>181</v>
      </c>
      <c r="B2518" s="2" t="s">
        <v>201</v>
      </c>
      <c r="C2518" s="6" t="s">
        <v>148</v>
      </c>
      <c r="D2518" s="2" t="s">
        <v>109</v>
      </c>
      <c r="E2518" s="2"/>
      <c r="F2518" s="35">
        <v>4.5</v>
      </c>
      <c r="G2518" s="35">
        <v>4.5705961377967208</v>
      </c>
      <c r="H2518" s="35">
        <v>8.8016830700614079</v>
      </c>
      <c r="I2518" s="35">
        <v>-1.5729914364219312E-2</v>
      </c>
      <c r="J2518" s="35">
        <v>-5.7660115144827484E-5</v>
      </c>
      <c r="K2518" s="35">
        <v>-8.2482975572134964E-2</v>
      </c>
      <c r="L2518" s="35">
        <v>30.840933147722744</v>
      </c>
      <c r="M2518" s="58" t="s">
        <v>24</v>
      </c>
      <c r="N2518" s="7">
        <v>9.5</v>
      </c>
      <c r="O2518" s="7" t="s">
        <v>179</v>
      </c>
      <c r="P2518" s="7" t="s">
        <v>179</v>
      </c>
    </row>
    <row r="2519" spans="1:16" x14ac:dyDescent="0.25">
      <c r="A2519" s="2" t="s">
        <v>181</v>
      </c>
      <c r="B2519" s="2" t="s">
        <v>201</v>
      </c>
      <c r="C2519" s="6" t="s">
        <v>148</v>
      </c>
      <c r="D2519" s="2" t="s">
        <v>109</v>
      </c>
      <c r="E2519" s="2"/>
      <c r="F2519" s="35">
        <v>4.5</v>
      </c>
      <c r="G2519" s="35">
        <v>5.3475427777207907</v>
      </c>
      <c r="H2519" s="35">
        <v>8.8017283531344734</v>
      </c>
      <c r="I2519" s="35">
        <v>-1.5381892946264297E-2</v>
      </c>
      <c r="J2519" s="35">
        <v>1.4517770156310952E-4</v>
      </c>
      <c r="K2519" s="35">
        <v>-8.2480797177103674E-2</v>
      </c>
      <c r="L2519" s="35">
        <v>29.86976332126434</v>
      </c>
      <c r="M2519" s="58" t="s">
        <v>24</v>
      </c>
      <c r="N2519" s="7">
        <v>9.5</v>
      </c>
      <c r="O2519" s="7" t="s">
        <v>179</v>
      </c>
      <c r="P2519" s="7" t="s">
        <v>179</v>
      </c>
    </row>
    <row r="2520" spans="1:16" x14ac:dyDescent="0.25">
      <c r="A2520" s="2" t="s">
        <v>181</v>
      </c>
      <c r="B2520" s="2" t="s">
        <v>201</v>
      </c>
      <c r="C2520" s="6" t="s">
        <v>148</v>
      </c>
      <c r="D2520" s="2" t="s">
        <v>109</v>
      </c>
      <c r="E2520" s="2"/>
      <c r="F2520" s="35">
        <v>8.9965005885644906</v>
      </c>
      <c r="G2520" s="35">
        <v>7.1771634714069759</v>
      </c>
      <c r="H2520" s="35">
        <v>5.024667858740302</v>
      </c>
      <c r="I2520" s="35">
        <v>-1.5381892946264528E-2</v>
      </c>
      <c r="J2520" s="35">
        <v>1.4517770156310952E-4</v>
      </c>
      <c r="K2520" s="35">
        <v>-1.331610649098979E-2</v>
      </c>
      <c r="L2520" s="35">
        <v>-1.2154360309460384</v>
      </c>
      <c r="M2520" s="58" t="s">
        <v>23</v>
      </c>
      <c r="N2520" s="7">
        <v>9.5</v>
      </c>
      <c r="O2520" s="7" t="s">
        <v>179</v>
      </c>
      <c r="P2520" s="7" t="s">
        <v>179</v>
      </c>
    </row>
    <row r="2521" spans="1:16" x14ac:dyDescent="0.25">
      <c r="A2521" s="2" t="s">
        <v>181</v>
      </c>
      <c r="B2521" s="2" t="s">
        <v>201</v>
      </c>
      <c r="C2521" s="6" t="s">
        <v>148</v>
      </c>
      <c r="D2521" s="2" t="s">
        <v>110</v>
      </c>
      <c r="E2521" s="2"/>
      <c r="F2521" s="35">
        <v>0</v>
      </c>
      <c r="G2521" s="35">
        <v>72.523482839792834</v>
      </c>
      <c r="H2521" s="35">
        <v>-51.832394654849679</v>
      </c>
      <c r="I2521" s="35">
        <v>0.24121078956057643</v>
      </c>
      <c r="J2521" s="35">
        <v>-2.267621374541788E-4</v>
      </c>
      <c r="K2521" s="35">
        <v>0.44617733716503544</v>
      </c>
      <c r="L2521" s="35">
        <v>-157.36713542311261</v>
      </c>
      <c r="M2521" s="58" t="s">
        <v>22</v>
      </c>
      <c r="N2521" s="7">
        <v>9.5</v>
      </c>
      <c r="O2521" s="7" t="s">
        <v>179</v>
      </c>
      <c r="P2521" s="7" t="s">
        <v>179</v>
      </c>
    </row>
    <row r="2522" spans="1:16" x14ac:dyDescent="0.25">
      <c r="A2522" s="2" t="s">
        <v>181</v>
      </c>
      <c r="B2522" s="2" t="s">
        <v>201</v>
      </c>
      <c r="C2522" s="6" t="s">
        <v>148</v>
      </c>
      <c r="D2522" s="2" t="s">
        <v>110</v>
      </c>
      <c r="E2522" s="2"/>
      <c r="F2522" s="35">
        <v>2</v>
      </c>
      <c r="G2522" s="35">
        <v>73.337280439792821</v>
      </c>
      <c r="H2522" s="35">
        <v>-45.784394654849677</v>
      </c>
      <c r="I2522" s="35">
        <v>0.24121078956057679</v>
      </c>
      <c r="J2522" s="35">
        <v>-2.267621374541788E-4</v>
      </c>
      <c r="K2522" s="35">
        <v>-3.6244241956117765E-2</v>
      </c>
      <c r="L2522" s="35">
        <v>-59.750346113413265</v>
      </c>
      <c r="M2522" s="58" t="s">
        <v>22</v>
      </c>
      <c r="N2522" s="7">
        <v>9.5</v>
      </c>
      <c r="O2522" s="7" t="s">
        <v>179</v>
      </c>
      <c r="P2522" s="7" t="s">
        <v>179</v>
      </c>
    </row>
    <row r="2523" spans="1:16" x14ac:dyDescent="0.25">
      <c r="A2523" s="2" t="s">
        <v>181</v>
      </c>
      <c r="B2523" s="2" t="s">
        <v>201</v>
      </c>
      <c r="C2523" s="6" t="s">
        <v>148</v>
      </c>
      <c r="D2523" s="2" t="s">
        <v>110</v>
      </c>
      <c r="E2523" s="2"/>
      <c r="F2523" s="35">
        <v>2</v>
      </c>
      <c r="G2523" s="35">
        <v>73.586935893090129</v>
      </c>
      <c r="H2523" s="35">
        <v>-45.784374648606679</v>
      </c>
      <c r="I2523" s="35">
        <v>-4.0838562318696592E-3</v>
      </c>
      <c r="J2523" s="35">
        <v>-1.289190182902091E-4</v>
      </c>
      <c r="K2523" s="35">
        <v>-3.6244241956117786E-2</v>
      </c>
      <c r="L2523" s="35">
        <v>-59.750450479407249</v>
      </c>
      <c r="M2523" s="58" t="s">
        <v>22</v>
      </c>
      <c r="N2523" s="7">
        <v>9.5</v>
      </c>
      <c r="O2523" s="7" t="s">
        <v>179</v>
      </c>
      <c r="P2523" s="7" t="s">
        <v>179</v>
      </c>
    </row>
    <row r="2524" spans="1:16" x14ac:dyDescent="0.25">
      <c r="A2524" s="2" t="s">
        <v>181</v>
      </c>
      <c r="B2524" s="2" t="s">
        <v>201</v>
      </c>
      <c r="C2524" s="6" t="s">
        <v>148</v>
      </c>
      <c r="D2524" s="2" t="s">
        <v>110</v>
      </c>
      <c r="E2524" s="2"/>
      <c r="F2524" s="35">
        <v>4.5</v>
      </c>
      <c r="G2524" s="35">
        <v>74.604182893090126</v>
      </c>
      <c r="H2524" s="35">
        <v>-38.224374648606684</v>
      </c>
      <c r="I2524" s="35">
        <v>-4.083856231869196E-3</v>
      </c>
      <c r="J2524" s="35">
        <v>-1.289190182902091E-4</v>
      </c>
      <c r="K2524" s="35">
        <v>-2.603460137644421E-2</v>
      </c>
      <c r="L2524" s="35">
        <v>45.260486142109436</v>
      </c>
      <c r="M2524" s="58" t="s">
        <v>24</v>
      </c>
      <c r="N2524" s="7">
        <v>9.5</v>
      </c>
      <c r="O2524" s="7" t="s">
        <v>179</v>
      </c>
      <c r="P2524" s="7" t="s">
        <v>179</v>
      </c>
    </row>
    <row r="2525" spans="1:16" x14ac:dyDescent="0.25">
      <c r="A2525" s="2" t="s">
        <v>181</v>
      </c>
      <c r="B2525" s="2" t="s">
        <v>201</v>
      </c>
      <c r="C2525" s="6" t="s">
        <v>148</v>
      </c>
      <c r="D2525" s="2" t="s">
        <v>110</v>
      </c>
      <c r="E2525" s="2"/>
      <c r="F2525" s="35">
        <v>4.5</v>
      </c>
      <c r="G2525" s="35">
        <v>75.381129564543997</v>
      </c>
      <c r="H2525" s="35">
        <v>-38.224456565341178</v>
      </c>
      <c r="I2525" s="35">
        <v>-4.0878079356641865E-3</v>
      </c>
      <c r="J2525" s="35">
        <v>1.8151557997735744E-4</v>
      </c>
      <c r="K2525" s="35">
        <v>-2.6032613633024438E-2</v>
      </c>
      <c r="L2525" s="35">
        <v>44.289290423180944</v>
      </c>
      <c r="M2525" s="58" t="s">
        <v>24</v>
      </c>
      <c r="N2525" s="7">
        <v>9.5</v>
      </c>
      <c r="O2525" s="7" t="s">
        <v>179</v>
      </c>
      <c r="P2525" s="7" t="s">
        <v>179</v>
      </c>
    </row>
    <row r="2526" spans="1:16" x14ac:dyDescent="0.25">
      <c r="A2526" s="2" t="s">
        <v>181</v>
      </c>
      <c r="B2526" s="2" t="s">
        <v>201</v>
      </c>
      <c r="C2526" s="6" t="s">
        <v>148</v>
      </c>
      <c r="D2526" s="2" t="s">
        <v>110</v>
      </c>
      <c r="E2526" s="2"/>
      <c r="F2526" s="35">
        <v>8.9965005885644906</v>
      </c>
      <c r="G2526" s="35">
        <v>77.210750258230178</v>
      </c>
      <c r="H2526" s="35">
        <v>-24.627038785522167</v>
      </c>
      <c r="I2526" s="35">
        <v>-4.0878079356633538E-3</v>
      </c>
      <c r="J2526" s="35">
        <v>1.8151557997735744E-4</v>
      </c>
      <c r="K2526" s="35">
        <v>-7.6517828443737092E-3</v>
      </c>
      <c r="L2526" s="35">
        <v>185.59518334183858</v>
      </c>
      <c r="M2526" s="58" t="s">
        <v>23</v>
      </c>
      <c r="N2526" s="7">
        <v>9.5</v>
      </c>
      <c r="O2526" s="7" t="s">
        <v>179</v>
      </c>
      <c r="P2526" s="7" t="s">
        <v>179</v>
      </c>
    </row>
    <row r="2527" spans="1:16" x14ac:dyDescent="0.25">
      <c r="A2527" s="2" t="s">
        <v>181</v>
      </c>
      <c r="B2527" s="2" t="s">
        <v>201</v>
      </c>
      <c r="C2527" s="6" t="s">
        <v>148</v>
      </c>
      <c r="D2527" s="2" t="s">
        <v>111</v>
      </c>
      <c r="E2527" s="2"/>
      <c r="F2527" s="35">
        <v>0</v>
      </c>
      <c r="G2527" s="35">
        <v>-45.635873299003975</v>
      </c>
      <c r="H2527" s="35">
        <v>-26.184469247677633</v>
      </c>
      <c r="I2527" s="35">
        <v>0.60943715271854215</v>
      </c>
      <c r="J2527" s="35">
        <v>-4.3040904414102187E-4</v>
      </c>
      <c r="K2527" s="35">
        <v>0.99027913361573494</v>
      </c>
      <c r="L2527" s="35">
        <v>-81.41415069793446</v>
      </c>
      <c r="M2527" s="58" t="s">
        <v>22</v>
      </c>
      <c r="N2527" s="7">
        <v>9.5</v>
      </c>
      <c r="O2527" s="7" t="s">
        <v>179</v>
      </c>
      <c r="P2527" s="7" t="s">
        <v>179</v>
      </c>
    </row>
    <row r="2528" spans="1:16" x14ac:dyDescent="0.25">
      <c r="A2528" s="2" t="s">
        <v>181</v>
      </c>
      <c r="B2528" s="2" t="s">
        <v>201</v>
      </c>
      <c r="C2528" s="6" t="s">
        <v>148</v>
      </c>
      <c r="D2528" s="2" t="s">
        <v>111</v>
      </c>
      <c r="E2528" s="2"/>
      <c r="F2528" s="35">
        <v>2</v>
      </c>
      <c r="G2528" s="35">
        <v>-44.822075699003975</v>
      </c>
      <c r="H2528" s="35">
        <v>-15.432469247677632</v>
      </c>
      <c r="I2528" s="35">
        <v>0.60943715271854282</v>
      </c>
      <c r="J2528" s="35">
        <v>-4.3040904414102187E-4</v>
      </c>
      <c r="K2528" s="35">
        <v>-0.22859517182135</v>
      </c>
      <c r="L2528" s="35">
        <v>-39.797212202579175</v>
      </c>
      <c r="M2528" s="58" t="s">
        <v>22</v>
      </c>
      <c r="N2528" s="7">
        <v>9.5</v>
      </c>
      <c r="O2528" s="7" t="s">
        <v>179</v>
      </c>
      <c r="P2528" s="7" t="s">
        <v>179</v>
      </c>
    </row>
    <row r="2529" spans="1:16" x14ac:dyDescent="0.25">
      <c r="A2529" s="2" t="s">
        <v>181</v>
      </c>
      <c r="B2529" s="2" t="s">
        <v>201</v>
      </c>
      <c r="C2529" s="6" t="s">
        <v>148</v>
      </c>
      <c r="D2529" s="2" t="s">
        <v>111</v>
      </c>
      <c r="E2529" s="2"/>
      <c r="F2529" s="35">
        <v>2</v>
      </c>
      <c r="G2529" s="35">
        <v>-44.202779894239242</v>
      </c>
      <c r="H2529" s="35">
        <v>-15.4324719919814</v>
      </c>
      <c r="I2529" s="35">
        <v>-3.0135934610399109E-2</v>
      </c>
      <c r="J2529" s="35">
        <v>-4.8918201029897706E-4</v>
      </c>
      <c r="K2529" s="35">
        <v>-0.22859517182135047</v>
      </c>
      <c r="L2529" s="35">
        <v>-39.797149511415277</v>
      </c>
      <c r="M2529" s="58" t="s">
        <v>22</v>
      </c>
      <c r="N2529" s="7">
        <v>9.5</v>
      </c>
      <c r="O2529" s="7" t="s">
        <v>179</v>
      </c>
      <c r="P2529" s="7" t="s">
        <v>179</v>
      </c>
    </row>
    <row r="2530" spans="1:16" x14ac:dyDescent="0.25">
      <c r="A2530" s="2" t="s">
        <v>181</v>
      </c>
      <c r="B2530" s="2" t="s">
        <v>201</v>
      </c>
      <c r="C2530" s="6" t="s">
        <v>148</v>
      </c>
      <c r="D2530" s="2" t="s">
        <v>111</v>
      </c>
      <c r="E2530" s="2"/>
      <c r="F2530" s="35">
        <v>4.5</v>
      </c>
      <c r="G2530" s="35">
        <v>-43.185532894239245</v>
      </c>
      <c r="H2530" s="35">
        <v>-1.9924719919813993</v>
      </c>
      <c r="I2530" s="35">
        <v>-3.0135934610398284E-2</v>
      </c>
      <c r="J2530" s="35">
        <v>-4.8918201029897706E-4</v>
      </c>
      <c r="K2530" s="35">
        <v>-0.15325533529535371</v>
      </c>
      <c r="L2530" s="35">
        <v>-18.015969531461778</v>
      </c>
      <c r="M2530" s="58" t="s">
        <v>24</v>
      </c>
      <c r="N2530" s="7">
        <v>9.5</v>
      </c>
      <c r="O2530" s="7" t="s">
        <v>179</v>
      </c>
      <c r="P2530" s="7" t="s">
        <v>179</v>
      </c>
    </row>
    <row r="2531" spans="1:16" x14ac:dyDescent="0.25">
      <c r="A2531" s="2" t="s">
        <v>181</v>
      </c>
      <c r="B2531" s="2" t="s">
        <v>201</v>
      </c>
      <c r="C2531" s="6" t="s">
        <v>148</v>
      </c>
      <c r="D2531" s="2" t="s">
        <v>111</v>
      </c>
      <c r="E2531" s="2"/>
      <c r="F2531" s="35">
        <v>4.5</v>
      </c>
      <c r="G2531" s="35">
        <v>-42.408586205379045</v>
      </c>
      <c r="H2531" s="35">
        <v>-1.9925303048409511</v>
      </c>
      <c r="I2531" s="35">
        <v>-2.9464777913314612E-2</v>
      </c>
      <c r="J2531" s="35">
        <v>4.9132114216462151E-4</v>
      </c>
      <c r="K2531" s="35">
        <v>-0.15325339771368751</v>
      </c>
      <c r="L2531" s="35">
        <v>-18.987158443726692</v>
      </c>
      <c r="M2531" s="58" t="s">
        <v>24</v>
      </c>
      <c r="N2531" s="7">
        <v>9.5</v>
      </c>
      <c r="O2531" s="7" t="s">
        <v>179</v>
      </c>
      <c r="P2531" s="7" t="s">
        <v>179</v>
      </c>
    </row>
    <row r="2532" spans="1:16" x14ac:dyDescent="0.25">
      <c r="A2532" s="2" t="s">
        <v>181</v>
      </c>
      <c r="B2532" s="2" t="s">
        <v>201</v>
      </c>
      <c r="C2532" s="6" t="s">
        <v>148</v>
      </c>
      <c r="D2532" s="2" t="s">
        <v>111</v>
      </c>
      <c r="E2532" s="2"/>
      <c r="F2532" s="35">
        <v>8.9965005885644906</v>
      </c>
      <c r="G2532" s="35">
        <v>-40.578965511692864</v>
      </c>
      <c r="H2532" s="35">
        <v>22.18065685928174</v>
      </c>
      <c r="I2532" s="35">
        <v>-2.9464777913313131E-2</v>
      </c>
      <c r="J2532" s="35">
        <v>4.9132114216462151E-4</v>
      </c>
      <c r="K2532" s="35">
        <v>-2.0765006484549764E-2</v>
      </c>
      <c r="L2532" s="35">
        <v>-64.375119910755373</v>
      </c>
      <c r="M2532" s="58" t="s">
        <v>23</v>
      </c>
      <c r="N2532" s="7">
        <v>9.5</v>
      </c>
      <c r="O2532" s="7" t="s">
        <v>179</v>
      </c>
      <c r="P2532" s="7" t="s">
        <v>179</v>
      </c>
    </row>
    <row r="2533" spans="1:16" x14ac:dyDescent="0.25">
      <c r="A2533" s="2" t="s">
        <v>181</v>
      </c>
      <c r="B2533" s="2" t="s">
        <v>201</v>
      </c>
      <c r="C2533" s="6" t="s">
        <v>148</v>
      </c>
      <c r="D2533" s="2" t="s">
        <v>112</v>
      </c>
      <c r="E2533" s="2"/>
      <c r="F2533" s="35">
        <v>0</v>
      </c>
      <c r="G2533" s="35">
        <v>33.481862829533547</v>
      </c>
      <c r="H2533" s="35">
        <v>8.240540158668928</v>
      </c>
      <c r="I2533" s="35">
        <v>-3.9659434011554495</v>
      </c>
      <c r="J2533" s="35">
        <v>3.3146571387388519E-3</v>
      </c>
      <c r="K2533" s="35">
        <v>-6.3260362689069431</v>
      </c>
      <c r="L2533" s="35">
        <v>-1.7449672818467239</v>
      </c>
      <c r="M2533" s="58" t="s">
        <v>22</v>
      </c>
      <c r="N2533" s="7">
        <v>9.5</v>
      </c>
      <c r="O2533" s="7" t="s">
        <v>179</v>
      </c>
      <c r="P2533" s="7" t="s">
        <v>179</v>
      </c>
    </row>
    <row r="2534" spans="1:16" x14ac:dyDescent="0.25">
      <c r="A2534" s="2" t="s">
        <v>181</v>
      </c>
      <c r="B2534" s="2" t="s">
        <v>201</v>
      </c>
      <c r="C2534" s="6" t="s">
        <v>148</v>
      </c>
      <c r="D2534" s="2" t="s">
        <v>112</v>
      </c>
      <c r="E2534" s="2"/>
      <c r="F2534" s="35">
        <v>2</v>
      </c>
      <c r="G2534" s="35">
        <v>34.295660429533548</v>
      </c>
      <c r="H2534" s="35">
        <v>0.68054015866892936</v>
      </c>
      <c r="I2534" s="35">
        <v>-3.9659434011554504</v>
      </c>
      <c r="J2534" s="35">
        <v>3.3146571387388519E-3</v>
      </c>
      <c r="K2534" s="35">
        <v>1.6058505334039579</v>
      </c>
      <c r="L2534" s="35">
        <v>-10.666047599184569</v>
      </c>
      <c r="M2534" s="58" t="s">
        <v>22</v>
      </c>
      <c r="N2534" s="7">
        <v>9.5</v>
      </c>
      <c r="O2534" s="7" t="s">
        <v>179</v>
      </c>
      <c r="P2534" s="7" t="s">
        <v>179</v>
      </c>
    </row>
    <row r="2535" spans="1:16" x14ac:dyDescent="0.25">
      <c r="A2535" s="2" t="s">
        <v>181</v>
      </c>
      <c r="B2535" s="2" t="s">
        <v>201</v>
      </c>
      <c r="C2535" s="6" t="s">
        <v>148</v>
      </c>
      <c r="D2535" s="2" t="s">
        <v>112</v>
      </c>
      <c r="E2535" s="2"/>
      <c r="F2535" s="35">
        <v>2</v>
      </c>
      <c r="G2535" s="35">
        <v>30.392442566128537</v>
      </c>
      <c r="H2535" s="35">
        <v>0.68054871683860607</v>
      </c>
      <c r="I2535" s="35">
        <v>0.21849746076001322</v>
      </c>
      <c r="J2535" s="35">
        <v>3.344183321161234E-3</v>
      </c>
      <c r="K2535" s="35">
        <v>1.6058505334039566</v>
      </c>
      <c r="L2535" s="35">
        <v>-10.666079093779118</v>
      </c>
      <c r="M2535" s="58" t="s">
        <v>22</v>
      </c>
      <c r="N2535" s="7">
        <v>9.5</v>
      </c>
      <c r="O2535" s="7" t="s">
        <v>179</v>
      </c>
      <c r="P2535" s="7" t="s">
        <v>179</v>
      </c>
    </row>
    <row r="2536" spans="1:16" x14ac:dyDescent="0.25">
      <c r="A2536" s="2" t="s">
        <v>181</v>
      </c>
      <c r="B2536" s="2" t="s">
        <v>201</v>
      </c>
      <c r="C2536" s="6" t="s">
        <v>148</v>
      </c>
      <c r="D2536" s="2" t="s">
        <v>112</v>
      </c>
      <c r="E2536" s="2"/>
      <c r="F2536" s="35">
        <v>4.5</v>
      </c>
      <c r="G2536" s="35">
        <v>31.409689566128531</v>
      </c>
      <c r="H2536" s="35">
        <v>-8.7694512831613949</v>
      </c>
      <c r="I2536" s="35">
        <v>0.21849746076001264</v>
      </c>
      <c r="J2536" s="35">
        <v>3.344183321161234E-3</v>
      </c>
      <c r="K2536" s="35">
        <v>1.0596068815039241</v>
      </c>
      <c r="L2536" s="35">
        <v>-0.55495088587563468</v>
      </c>
      <c r="M2536" s="58" t="s">
        <v>24</v>
      </c>
      <c r="N2536" s="7">
        <v>9.5</v>
      </c>
      <c r="O2536" s="7" t="s">
        <v>179</v>
      </c>
      <c r="P2536" s="7" t="s">
        <v>179</v>
      </c>
    </row>
    <row r="2537" spans="1:16" x14ac:dyDescent="0.25">
      <c r="A2537" s="2" t="s">
        <v>181</v>
      </c>
      <c r="B2537" s="2" t="s">
        <v>201</v>
      </c>
      <c r="C2537" s="6" t="s">
        <v>148</v>
      </c>
      <c r="D2537" s="2" t="s">
        <v>112</v>
      </c>
      <c r="E2537" s="2"/>
      <c r="F2537" s="35">
        <v>4.5</v>
      </c>
      <c r="G2537" s="35">
        <v>32.186638106120235</v>
      </c>
      <c r="H2537" s="35">
        <v>-8.7694584740682391</v>
      </c>
      <c r="I2537" s="35">
        <v>0.21299147395166526</v>
      </c>
      <c r="J2537" s="35">
        <v>-2.7374363790386999E-3</v>
      </c>
      <c r="K2537" s="35">
        <v>1.0596019585494154</v>
      </c>
      <c r="L2537" s="35">
        <v>-1.5261381895429935</v>
      </c>
      <c r="M2537" s="58" t="s">
        <v>24</v>
      </c>
      <c r="N2537" s="7">
        <v>9.5</v>
      </c>
      <c r="O2537" s="7" t="s">
        <v>179</v>
      </c>
      <c r="P2537" s="7" t="s">
        <v>179</v>
      </c>
    </row>
    <row r="2538" spans="1:16" x14ac:dyDescent="0.25">
      <c r="A2538" s="2" t="s">
        <v>181</v>
      </c>
      <c r="B2538" s="2" t="s">
        <v>201</v>
      </c>
      <c r="C2538" s="6" t="s">
        <v>148</v>
      </c>
      <c r="D2538" s="2" t="s">
        <v>112</v>
      </c>
      <c r="E2538" s="2"/>
      <c r="F2538" s="35">
        <v>8.9965005885644906</v>
      </c>
      <c r="G2538" s="35">
        <v>34.016258799806423</v>
      </c>
      <c r="H2538" s="35">
        <v>-25.766230698842005</v>
      </c>
      <c r="I2538" s="35">
        <v>0.21299147395166421</v>
      </c>
      <c r="J2538" s="35">
        <v>-2.7374363790386999E-3</v>
      </c>
      <c r="K2538" s="35">
        <v>0.10188567056653701</v>
      </c>
      <c r="L2538" s="35">
        <v>76.118735156692551</v>
      </c>
      <c r="M2538" s="58" t="s">
        <v>23</v>
      </c>
      <c r="N2538" s="7">
        <v>9.5</v>
      </c>
      <c r="O2538" s="7" t="s">
        <v>179</v>
      </c>
      <c r="P2538" s="7" t="s">
        <v>179</v>
      </c>
    </row>
    <row r="2539" spans="1:16" x14ac:dyDescent="0.25">
      <c r="A2539" s="2" t="s">
        <v>181</v>
      </c>
      <c r="B2539" s="2" t="s">
        <v>201</v>
      </c>
      <c r="C2539" s="6" t="s">
        <v>148</v>
      </c>
      <c r="D2539" s="2" t="s">
        <v>113</v>
      </c>
      <c r="E2539" s="2"/>
      <c r="F2539" s="35">
        <v>0</v>
      </c>
      <c r="G2539" s="35">
        <v>-4.0116813249163963</v>
      </c>
      <c r="H2539" s="35">
        <v>12.296335448823154</v>
      </c>
      <c r="I2539" s="35">
        <v>-3.9730893460447407</v>
      </c>
      <c r="J2539" s="35">
        <v>3.3555277044135675E-3</v>
      </c>
      <c r="K2539" s="35">
        <v>-6.3600101364845729</v>
      </c>
      <c r="L2539" s="35">
        <v>27.080533606970086</v>
      </c>
      <c r="M2539" s="58" t="s">
        <v>22</v>
      </c>
      <c r="N2539" s="7">
        <v>9.5</v>
      </c>
      <c r="O2539" s="7" t="s">
        <v>179</v>
      </c>
      <c r="P2539" s="7" t="s">
        <v>179</v>
      </c>
    </row>
    <row r="2540" spans="1:16" x14ac:dyDescent="0.25">
      <c r="A2540" s="2" t="s">
        <v>181</v>
      </c>
      <c r="B2540" s="2" t="s">
        <v>201</v>
      </c>
      <c r="C2540" s="6" t="s">
        <v>148</v>
      </c>
      <c r="D2540" s="2" t="s">
        <v>113</v>
      </c>
      <c r="E2540" s="2"/>
      <c r="F2540" s="35">
        <v>2</v>
      </c>
      <c r="G2540" s="35">
        <v>-3.1978837249163909</v>
      </c>
      <c r="H2540" s="35">
        <v>8.9699354488231542</v>
      </c>
      <c r="I2540" s="35">
        <v>-3.9730893460447407</v>
      </c>
      <c r="J2540" s="35">
        <v>3.3555277044135675E-3</v>
      </c>
      <c r="K2540" s="35">
        <v>1.5861685556049088</v>
      </c>
      <c r="L2540" s="35">
        <v>5.8142627093237849</v>
      </c>
      <c r="M2540" s="58" t="s">
        <v>22</v>
      </c>
      <c r="N2540" s="7">
        <v>9.5</v>
      </c>
      <c r="O2540" s="7" t="s">
        <v>179</v>
      </c>
      <c r="P2540" s="7" t="s">
        <v>179</v>
      </c>
    </row>
    <row r="2541" spans="1:16" x14ac:dyDescent="0.25">
      <c r="A2541" s="2" t="s">
        <v>181</v>
      </c>
      <c r="B2541" s="2" t="s">
        <v>201</v>
      </c>
      <c r="C2541" s="6" t="s">
        <v>148</v>
      </c>
      <c r="D2541" s="2" t="s">
        <v>113</v>
      </c>
      <c r="E2541" s="2"/>
      <c r="F2541" s="35">
        <v>2</v>
      </c>
      <c r="G2541" s="35">
        <v>-7.1052828758113229</v>
      </c>
      <c r="H2541" s="35">
        <v>8.9699345656201022</v>
      </c>
      <c r="I2541" s="35">
        <v>0.21581351132076834</v>
      </c>
      <c r="J2541" s="35">
        <v>3.3483139217723198E-3</v>
      </c>
      <c r="K2541" s="35">
        <v>1.5861685556049063</v>
      </c>
      <c r="L2541" s="35">
        <v>5.8142704040253781</v>
      </c>
      <c r="M2541" s="58" t="s">
        <v>22</v>
      </c>
      <c r="N2541" s="7">
        <v>9.5</v>
      </c>
      <c r="O2541" s="7" t="s">
        <v>179</v>
      </c>
      <c r="P2541" s="7" t="s">
        <v>179</v>
      </c>
    </row>
    <row r="2542" spans="1:16" x14ac:dyDescent="0.25">
      <c r="A2542" s="2" t="s">
        <v>181</v>
      </c>
      <c r="B2542" s="2" t="s">
        <v>201</v>
      </c>
      <c r="C2542" s="6" t="s">
        <v>148</v>
      </c>
      <c r="D2542" s="2" t="s">
        <v>113</v>
      </c>
      <c r="E2542" s="2"/>
      <c r="F2542" s="35">
        <v>4.5</v>
      </c>
      <c r="G2542" s="35">
        <v>-6.088035875811328</v>
      </c>
      <c r="H2542" s="35">
        <v>4.8119345656201009</v>
      </c>
      <c r="I2542" s="35">
        <v>0.21581351132076812</v>
      </c>
      <c r="J2542" s="35">
        <v>3.3483139217723198E-3</v>
      </c>
      <c r="K2542" s="35">
        <v>1.0466347773029858</v>
      </c>
      <c r="L2542" s="35">
        <v>-11.413066010024872</v>
      </c>
      <c r="M2542" s="58" t="s">
        <v>24</v>
      </c>
      <c r="N2542" s="7">
        <v>9.5</v>
      </c>
      <c r="O2542" s="7" t="s">
        <v>179</v>
      </c>
      <c r="P2542" s="7" t="s">
        <v>179</v>
      </c>
    </row>
    <row r="2543" spans="1:16" x14ac:dyDescent="0.25">
      <c r="A2543" s="2" t="s">
        <v>181</v>
      </c>
      <c r="B2543" s="2" t="s">
        <v>201</v>
      </c>
      <c r="C2543" s="6" t="s">
        <v>148</v>
      </c>
      <c r="D2543" s="2" t="s">
        <v>113</v>
      </c>
      <c r="E2543" s="2"/>
      <c r="F2543" s="35">
        <v>4.5</v>
      </c>
      <c r="G2543" s="35">
        <v>-5.3110872461664025</v>
      </c>
      <c r="H2543" s="35">
        <v>4.8119624549602023</v>
      </c>
      <c r="I2543" s="35">
        <v>0.21041104113168158</v>
      </c>
      <c r="J2543" s="35">
        <v>-2.7534614613247705E-3</v>
      </c>
      <c r="K2543" s="35">
        <v>1.0466295823139695</v>
      </c>
      <c r="L2543" s="35">
        <v>-12.38424736770105</v>
      </c>
      <c r="M2543" s="58" t="s">
        <v>24</v>
      </c>
      <c r="N2543" s="7">
        <v>9.5</v>
      </c>
      <c r="O2543" s="7" t="s">
        <v>179</v>
      </c>
      <c r="P2543" s="7" t="s">
        <v>179</v>
      </c>
    </row>
    <row r="2544" spans="1:16" x14ac:dyDescent="0.25">
      <c r="A2544" s="2" t="s">
        <v>181</v>
      </c>
      <c r="B2544" s="2" t="s">
        <v>201</v>
      </c>
      <c r="C2544" s="6" t="s">
        <v>148</v>
      </c>
      <c r="D2544" s="2" t="s">
        <v>113</v>
      </c>
      <c r="E2544" s="2"/>
      <c r="F2544" s="35">
        <v>8.9965005885644906</v>
      </c>
      <c r="G2544" s="35">
        <v>-3.4814665524802177</v>
      </c>
      <c r="H2544" s="35">
        <v>-2.6666173239402555</v>
      </c>
      <c r="I2544" s="35">
        <v>0.21041104113168113</v>
      </c>
      <c r="J2544" s="35">
        <v>-2.7534614613247705E-3</v>
      </c>
      <c r="K2544" s="35">
        <v>0.10051621202489743</v>
      </c>
      <c r="L2544" s="35">
        <v>-17.20752018985365</v>
      </c>
      <c r="M2544" s="58" t="s">
        <v>23</v>
      </c>
      <c r="N2544" s="7">
        <v>9.5</v>
      </c>
      <c r="O2544" s="7" t="s">
        <v>179</v>
      </c>
      <c r="P2544" s="7" t="s">
        <v>179</v>
      </c>
    </row>
    <row r="2545" spans="1:16" x14ac:dyDescent="0.25">
      <c r="A2545" s="2" t="s">
        <v>181</v>
      </c>
      <c r="B2545" s="2" t="s">
        <v>201</v>
      </c>
      <c r="C2545" s="6" t="s">
        <v>148</v>
      </c>
      <c r="D2545" s="2" t="s">
        <v>114</v>
      </c>
      <c r="E2545" s="2"/>
      <c r="F2545" s="35">
        <v>0</v>
      </c>
      <c r="G2545" s="35">
        <v>18.252883268473841</v>
      </c>
      <c r="H2545" s="35">
        <v>8.2295906195468316</v>
      </c>
      <c r="I2545" s="35">
        <v>3.74471559218081</v>
      </c>
      <c r="J2545" s="35">
        <v>-3.3559625212233736E-3</v>
      </c>
      <c r="K2545" s="35">
        <v>5.9908870639805212</v>
      </c>
      <c r="L2545" s="35">
        <v>-1.3171009942193475</v>
      </c>
      <c r="M2545" s="58" t="s">
        <v>22</v>
      </c>
      <c r="N2545" s="7">
        <v>9.5</v>
      </c>
      <c r="O2545" s="7" t="s">
        <v>179</v>
      </c>
      <c r="P2545" s="7" t="s">
        <v>179</v>
      </c>
    </row>
    <row r="2546" spans="1:16" x14ac:dyDescent="0.25">
      <c r="A2546" s="2" t="s">
        <v>181</v>
      </c>
      <c r="B2546" s="2" t="s">
        <v>201</v>
      </c>
      <c r="C2546" s="6" t="s">
        <v>148</v>
      </c>
      <c r="D2546" s="2" t="s">
        <v>114</v>
      </c>
      <c r="E2546" s="2"/>
      <c r="F2546" s="35">
        <v>2</v>
      </c>
      <c r="G2546" s="35">
        <v>19.066680868473846</v>
      </c>
      <c r="H2546" s="35">
        <v>0.66959061954683408</v>
      </c>
      <c r="I2546" s="35">
        <v>3.7447155921808095</v>
      </c>
      <c r="J2546" s="35">
        <v>-3.3559625212233736E-3</v>
      </c>
      <c r="K2546" s="35">
        <v>-1.4985441203810974</v>
      </c>
      <c r="L2546" s="35">
        <v>-10.216282233313002</v>
      </c>
      <c r="M2546" s="58" t="s">
        <v>22</v>
      </c>
      <c r="N2546" s="7">
        <v>9.5</v>
      </c>
      <c r="O2546" s="7" t="s">
        <v>179</v>
      </c>
      <c r="P2546" s="7" t="s">
        <v>179</v>
      </c>
    </row>
    <row r="2547" spans="1:16" x14ac:dyDescent="0.25">
      <c r="A2547" s="2" t="s">
        <v>181</v>
      </c>
      <c r="B2547" s="2" t="s">
        <v>201</v>
      </c>
      <c r="C2547" s="6" t="s">
        <v>148</v>
      </c>
      <c r="D2547" s="2" t="s">
        <v>114</v>
      </c>
      <c r="E2547" s="2"/>
      <c r="F2547" s="35">
        <v>2</v>
      </c>
      <c r="G2547" s="35">
        <v>22.786885445624797</v>
      </c>
      <c r="H2547" s="35">
        <v>0.66959757006629284</v>
      </c>
      <c r="I2547" s="35">
        <v>-0.20249434152290699</v>
      </c>
      <c r="J2547" s="35">
        <v>-3.3515170992151145E-3</v>
      </c>
      <c r="K2547" s="35">
        <v>-1.4985441203810983</v>
      </c>
      <c r="L2547" s="35">
        <v>-10.216286975096498</v>
      </c>
      <c r="M2547" s="58" t="s">
        <v>22</v>
      </c>
      <c r="N2547" s="7">
        <v>9.5</v>
      </c>
      <c r="O2547" s="7" t="s">
        <v>179</v>
      </c>
      <c r="P2547" s="7" t="s">
        <v>179</v>
      </c>
    </row>
    <row r="2548" spans="1:16" x14ac:dyDescent="0.25">
      <c r="A2548" s="2" t="s">
        <v>181</v>
      </c>
      <c r="B2548" s="2" t="s">
        <v>201</v>
      </c>
      <c r="C2548" s="6" t="s">
        <v>148</v>
      </c>
      <c r="D2548" s="2" t="s">
        <v>114</v>
      </c>
      <c r="E2548" s="2"/>
      <c r="F2548" s="35">
        <v>4.5</v>
      </c>
      <c r="G2548" s="35">
        <v>23.804132445624791</v>
      </c>
      <c r="H2548" s="35">
        <v>-8.7804024299337122</v>
      </c>
      <c r="I2548" s="35">
        <v>-0.2024943415229076</v>
      </c>
      <c r="J2548" s="35">
        <v>-3.3515170992151145E-3</v>
      </c>
      <c r="K2548" s="35">
        <v>-0.99230826657382998</v>
      </c>
      <c r="L2548" s="35">
        <v>-7.7780900262221675E-2</v>
      </c>
      <c r="M2548" s="58" t="s">
        <v>24</v>
      </c>
      <c r="N2548" s="7">
        <v>9.5</v>
      </c>
      <c r="O2548" s="7" t="s">
        <v>179</v>
      </c>
      <c r="P2548" s="7" t="s">
        <v>179</v>
      </c>
    </row>
    <row r="2549" spans="1:16" x14ac:dyDescent="0.25">
      <c r="A2549" s="2" t="s">
        <v>181</v>
      </c>
      <c r="B2549" s="2" t="s">
        <v>201</v>
      </c>
      <c r="C2549" s="6" t="s">
        <v>148</v>
      </c>
      <c r="D2549" s="2" t="s">
        <v>114</v>
      </c>
      <c r="E2549" s="2"/>
      <c r="F2549" s="35">
        <v>4.5</v>
      </c>
      <c r="G2549" s="35">
        <v>24.581078024477229</v>
      </c>
      <c r="H2549" s="35">
        <v>-8.7804767693082084</v>
      </c>
      <c r="I2549" s="35">
        <v>-0.19728063819249281</v>
      </c>
      <c r="J2549" s="35">
        <v>2.7275215452324071E-3</v>
      </c>
      <c r="K2549" s="35">
        <v>-0.99230180575714255</v>
      </c>
      <c r="L2549" s="35">
        <v>-1.0489641426493039</v>
      </c>
      <c r="M2549" s="58" t="s">
        <v>24</v>
      </c>
      <c r="N2549" s="7">
        <v>9.5</v>
      </c>
      <c r="O2549" s="7" t="s">
        <v>179</v>
      </c>
      <c r="P2549" s="7" t="s">
        <v>179</v>
      </c>
    </row>
    <row r="2550" spans="1:16" x14ac:dyDescent="0.25">
      <c r="A2550" s="2" t="s">
        <v>181</v>
      </c>
      <c r="B2550" s="2" t="s">
        <v>201</v>
      </c>
      <c r="C2550" s="6" t="s">
        <v>148</v>
      </c>
      <c r="D2550" s="2" t="s">
        <v>114</v>
      </c>
      <c r="E2550" s="2"/>
      <c r="F2550" s="35">
        <v>8.9965005885644906</v>
      </c>
      <c r="G2550" s="35">
        <v>26.410698718163413</v>
      </c>
      <c r="H2550" s="35">
        <v>-25.777248994081976</v>
      </c>
      <c r="I2550" s="35">
        <v>-0.19728063819249386</v>
      </c>
      <c r="J2550" s="35">
        <v>2.7275215452324071E-3</v>
      </c>
      <c r="K2550" s="35">
        <v>-0.10522930001221839</v>
      </c>
      <c r="L2550" s="35">
        <v>76.645452974617754</v>
      </c>
      <c r="M2550" s="58" t="s">
        <v>23</v>
      </c>
      <c r="N2550" s="7">
        <v>9.5</v>
      </c>
      <c r="O2550" s="7" t="s">
        <v>179</v>
      </c>
      <c r="P2550" s="7" t="s">
        <v>179</v>
      </c>
    </row>
    <row r="2551" spans="1:16" x14ac:dyDescent="0.25">
      <c r="A2551" s="2" t="s">
        <v>181</v>
      </c>
      <c r="B2551" s="2" t="s">
        <v>201</v>
      </c>
      <c r="C2551" s="6" t="s">
        <v>148</v>
      </c>
      <c r="D2551" s="2" t="s">
        <v>115</v>
      </c>
      <c r="E2551" s="2"/>
      <c r="F2551" s="35">
        <v>0</v>
      </c>
      <c r="G2551" s="35">
        <v>-19.246737436999922</v>
      </c>
      <c r="H2551" s="35">
        <v>12.285331008529068</v>
      </c>
      <c r="I2551" s="35">
        <v>3.7405299897795694</v>
      </c>
      <c r="J2551" s="35">
        <v>-3.3176887767384102E-3</v>
      </c>
      <c r="K2551" s="35">
        <v>5.961647989678486</v>
      </c>
      <c r="L2551" s="35">
        <v>27.507359985926747</v>
      </c>
      <c r="M2551" s="58" t="s">
        <v>22</v>
      </c>
      <c r="N2551" s="7">
        <v>9.5</v>
      </c>
      <c r="O2551" s="7" t="s">
        <v>179</v>
      </c>
      <c r="P2551" s="7" t="s">
        <v>179</v>
      </c>
    </row>
    <row r="2552" spans="1:16" x14ac:dyDescent="0.25">
      <c r="A2552" s="2" t="s">
        <v>181</v>
      </c>
      <c r="B2552" s="2" t="s">
        <v>201</v>
      </c>
      <c r="C2552" s="6" t="s">
        <v>148</v>
      </c>
      <c r="D2552" s="2" t="s">
        <v>115</v>
      </c>
      <c r="E2552" s="2"/>
      <c r="F2552" s="35">
        <v>2</v>
      </c>
      <c r="G2552" s="35">
        <v>-18.432939836999918</v>
      </c>
      <c r="H2552" s="35">
        <v>8.958931008529067</v>
      </c>
      <c r="I2552" s="35">
        <v>3.7405299897795694</v>
      </c>
      <c r="J2552" s="35">
        <v>-3.3176887767384102E-3</v>
      </c>
      <c r="K2552" s="35">
        <v>-1.5194119898806522</v>
      </c>
      <c r="L2552" s="35">
        <v>6.2630979688686175</v>
      </c>
      <c r="M2552" s="58" t="s">
        <v>22</v>
      </c>
      <c r="N2552" s="7">
        <v>9.5</v>
      </c>
      <c r="O2552" s="7" t="s">
        <v>179</v>
      </c>
      <c r="P2552" s="7" t="s">
        <v>179</v>
      </c>
    </row>
    <row r="2553" spans="1:16" x14ac:dyDescent="0.25">
      <c r="A2553" s="2" t="s">
        <v>181</v>
      </c>
      <c r="B2553" s="2" t="s">
        <v>201</v>
      </c>
      <c r="C2553" s="6" t="s">
        <v>148</v>
      </c>
      <c r="D2553" s="2" t="s">
        <v>115</v>
      </c>
      <c r="E2553" s="2"/>
      <c r="F2553" s="35">
        <v>2</v>
      </c>
      <c r="G2553" s="35">
        <v>-14.713990182819526</v>
      </c>
      <c r="H2553" s="35">
        <v>8.9589285208788052</v>
      </c>
      <c r="I2553" s="35">
        <v>-0.2053394042296538</v>
      </c>
      <c r="J2553" s="35">
        <v>-3.3499951755470545E-3</v>
      </c>
      <c r="K2553" s="35">
        <v>-1.5194119898806515</v>
      </c>
      <c r="L2553" s="35">
        <v>6.2631324290273476</v>
      </c>
      <c r="M2553" s="58" t="s">
        <v>22</v>
      </c>
      <c r="N2553" s="7">
        <v>9.5</v>
      </c>
      <c r="O2553" s="7" t="s">
        <v>179</v>
      </c>
      <c r="P2553" s="7" t="s">
        <v>179</v>
      </c>
    </row>
    <row r="2554" spans="1:16" x14ac:dyDescent="0.25">
      <c r="A2554" s="2" t="s">
        <v>181</v>
      </c>
      <c r="B2554" s="2" t="s">
        <v>201</v>
      </c>
      <c r="C2554" s="6" t="s">
        <v>148</v>
      </c>
      <c r="D2554" s="2" t="s">
        <v>115</v>
      </c>
      <c r="E2554" s="2"/>
      <c r="F2554" s="35">
        <v>4.5</v>
      </c>
      <c r="G2554" s="35">
        <v>-13.69674318281953</v>
      </c>
      <c r="H2554" s="35">
        <v>4.8009285208788048</v>
      </c>
      <c r="I2554" s="35">
        <v>-0.20533940422965405</v>
      </c>
      <c r="J2554" s="35">
        <v>-3.3499951755470545E-3</v>
      </c>
      <c r="K2554" s="35">
        <v>-1.0060634793065166</v>
      </c>
      <c r="L2554" s="35">
        <v>-10.936688873169663</v>
      </c>
      <c r="M2554" s="58" t="s">
        <v>24</v>
      </c>
      <c r="N2554" s="7">
        <v>9.5</v>
      </c>
      <c r="O2554" s="7" t="s">
        <v>179</v>
      </c>
      <c r="P2554" s="7" t="s">
        <v>179</v>
      </c>
    </row>
    <row r="2555" spans="1:16" x14ac:dyDescent="0.25">
      <c r="A2555" s="2" t="s">
        <v>181</v>
      </c>
      <c r="B2555" s="2" t="s">
        <v>201</v>
      </c>
      <c r="C2555" s="6" t="s">
        <v>148</v>
      </c>
      <c r="D2555" s="2" t="s">
        <v>115</v>
      </c>
      <c r="E2555" s="2"/>
      <c r="F2555" s="35">
        <v>4.5</v>
      </c>
      <c r="G2555" s="35">
        <v>-12.919797515464865</v>
      </c>
      <c r="H2555" s="35">
        <v>4.800889057444393</v>
      </c>
      <c r="I2555" s="35">
        <v>-0.20001766533506338</v>
      </c>
      <c r="J2555" s="35">
        <v>2.7147779472432533E-3</v>
      </c>
      <c r="K2555" s="35">
        <v>-1.0060572861628241</v>
      </c>
      <c r="L2555" s="35">
        <v>-11.907866171346285</v>
      </c>
      <c r="M2555" s="58" t="s">
        <v>24</v>
      </c>
      <c r="N2555" s="7">
        <v>9.5</v>
      </c>
      <c r="O2555" s="7" t="s">
        <v>179</v>
      </c>
      <c r="P2555" s="7" t="s">
        <v>179</v>
      </c>
    </row>
    <row r="2556" spans="1:16" x14ac:dyDescent="0.25">
      <c r="A2556" s="2" t="s">
        <v>181</v>
      </c>
      <c r="B2556" s="2" t="s">
        <v>201</v>
      </c>
      <c r="C2556" s="6" t="s">
        <v>148</v>
      </c>
      <c r="D2556" s="2" t="s">
        <v>115</v>
      </c>
      <c r="E2556" s="2"/>
      <c r="F2556" s="35">
        <v>8.9965005885644906</v>
      </c>
      <c r="G2556" s="35">
        <v>-11.090176821778678</v>
      </c>
      <c r="H2556" s="35">
        <v>-2.6776907214560666</v>
      </c>
      <c r="I2556" s="35">
        <v>-0.20001766533506382</v>
      </c>
      <c r="J2556" s="35">
        <v>2.7147779472432533E-3</v>
      </c>
      <c r="K2556" s="35">
        <v>-0.1066777362604157</v>
      </c>
      <c r="L2556" s="35">
        <v>-16.681347455051625</v>
      </c>
      <c r="M2556" s="58" t="s">
        <v>23</v>
      </c>
      <c r="N2556" s="7">
        <v>9.5</v>
      </c>
      <c r="O2556" s="7" t="s">
        <v>179</v>
      </c>
      <c r="P2556" s="7" t="s">
        <v>179</v>
      </c>
    </row>
    <row r="2557" spans="1:16" x14ac:dyDescent="0.25">
      <c r="A2557" s="2" t="s">
        <v>181</v>
      </c>
      <c r="B2557" s="2" t="s">
        <v>201</v>
      </c>
      <c r="C2557" s="6" t="s">
        <v>148</v>
      </c>
      <c r="D2557" s="2" t="s">
        <v>116</v>
      </c>
      <c r="E2557" s="2"/>
      <c r="F2557" s="35">
        <v>0</v>
      </c>
      <c r="G2557" s="35">
        <v>20.07953374531974</v>
      </c>
      <c r="H2557" s="35">
        <v>9.3796344476649303</v>
      </c>
      <c r="I2557" s="35">
        <v>0.35343794466982659</v>
      </c>
      <c r="J2557" s="35">
        <v>-2.2619705542312857E-4</v>
      </c>
      <c r="K2557" s="35">
        <v>0.60303608535667985</v>
      </c>
      <c r="L2557" s="35">
        <v>24.40799021140317</v>
      </c>
      <c r="M2557" s="58" t="s">
        <v>22</v>
      </c>
      <c r="N2557" s="7">
        <v>9.5</v>
      </c>
      <c r="O2557" s="7" t="s">
        <v>179</v>
      </c>
      <c r="P2557" s="7" t="s">
        <v>179</v>
      </c>
    </row>
    <row r="2558" spans="1:16" x14ac:dyDescent="0.25">
      <c r="A2558" s="2" t="s">
        <v>181</v>
      </c>
      <c r="B2558" s="2" t="s">
        <v>201</v>
      </c>
      <c r="C2558" s="6" t="s">
        <v>148</v>
      </c>
      <c r="D2558" s="2" t="s">
        <v>116</v>
      </c>
      <c r="E2558" s="2"/>
      <c r="F2558" s="35">
        <v>2</v>
      </c>
      <c r="G2558" s="35">
        <v>20.893331345319744</v>
      </c>
      <c r="H2558" s="35">
        <v>3.6340344476649289</v>
      </c>
      <c r="I2558" s="35">
        <v>0.35343794466982625</v>
      </c>
      <c r="J2558" s="35">
        <v>-2.2619705542312857E-4</v>
      </c>
      <c r="K2558" s="35">
        <v>-0.10383980398297292</v>
      </c>
      <c r="L2558" s="35">
        <v>11.394321316073311</v>
      </c>
      <c r="M2558" s="58" t="s">
        <v>22</v>
      </c>
      <c r="N2558" s="7">
        <v>9.5</v>
      </c>
      <c r="O2558" s="7" t="s">
        <v>179</v>
      </c>
      <c r="P2558" s="7" t="s">
        <v>179</v>
      </c>
    </row>
    <row r="2559" spans="1:16" x14ac:dyDescent="0.25">
      <c r="A2559" s="2" t="s">
        <v>181</v>
      </c>
      <c r="B2559" s="2" t="s">
        <v>201</v>
      </c>
      <c r="C2559" s="6" t="s">
        <v>148</v>
      </c>
      <c r="D2559" s="2" t="s">
        <v>116</v>
      </c>
      <c r="E2559" s="2"/>
      <c r="F2559" s="35">
        <v>2</v>
      </c>
      <c r="G2559" s="35">
        <v>21.256805062030036</v>
      </c>
      <c r="H2559" s="35">
        <v>3.6340384622112807</v>
      </c>
      <c r="I2559" s="35">
        <v>-1.3260589476737401E-2</v>
      </c>
      <c r="J2559" s="35">
        <v>-1.9229160671257596E-4</v>
      </c>
      <c r="K2559" s="35">
        <v>-0.10383980398297281</v>
      </c>
      <c r="L2559" s="35">
        <v>11.394285150261444</v>
      </c>
      <c r="M2559" s="58" t="s">
        <v>22</v>
      </c>
      <c r="N2559" s="7">
        <v>9.5</v>
      </c>
      <c r="O2559" s="7" t="s">
        <v>179</v>
      </c>
      <c r="P2559" s="7" t="s">
        <v>179</v>
      </c>
    </row>
    <row r="2560" spans="1:16" x14ac:dyDescent="0.25">
      <c r="A2560" s="2" t="s">
        <v>181</v>
      </c>
      <c r="B2560" s="2" t="s">
        <v>201</v>
      </c>
      <c r="C2560" s="6" t="s">
        <v>148</v>
      </c>
      <c r="D2560" s="2" t="s">
        <v>116</v>
      </c>
      <c r="E2560" s="2"/>
      <c r="F2560" s="35">
        <v>4.5</v>
      </c>
      <c r="G2560" s="35">
        <v>22.274052062030034</v>
      </c>
      <c r="H2560" s="35">
        <v>-3.5479615377887233</v>
      </c>
      <c r="I2560" s="35">
        <v>-1.3260589476737838E-2</v>
      </c>
      <c r="J2560" s="35">
        <v>-1.9229160671257596E-4</v>
      </c>
      <c r="K2560" s="35">
        <v>-7.0688330291128768E-2</v>
      </c>
      <c r="L2560" s="35">
        <v>11.286688994733245</v>
      </c>
      <c r="M2560" s="58" t="s">
        <v>24</v>
      </c>
      <c r="N2560" s="7">
        <v>9.5</v>
      </c>
      <c r="O2560" s="7" t="s">
        <v>179</v>
      </c>
      <c r="P2560" s="7" t="s">
        <v>179</v>
      </c>
    </row>
    <row r="2561" spans="1:16" x14ac:dyDescent="0.25">
      <c r="A2561" s="2" t="s">
        <v>181</v>
      </c>
      <c r="B2561" s="2" t="s">
        <v>201</v>
      </c>
      <c r="C2561" s="6" t="s">
        <v>148</v>
      </c>
      <c r="D2561" s="2" t="s">
        <v>116</v>
      </c>
      <c r="E2561" s="2"/>
      <c r="F2561" s="35">
        <v>4.5</v>
      </c>
      <c r="G2561" s="35">
        <v>23.05099875002492</v>
      </c>
      <c r="H2561" s="35">
        <v>-3.5479927734727381</v>
      </c>
      <c r="I2561" s="35">
        <v>-1.3008318352095104E-2</v>
      </c>
      <c r="J2561" s="35">
        <v>2.0592176919284976E-4</v>
      </c>
      <c r="K2561" s="35">
        <v>-7.068636807336702E-2</v>
      </c>
      <c r="L2561" s="35">
        <v>10.315503128143792</v>
      </c>
      <c r="M2561" s="58" t="s">
        <v>24</v>
      </c>
      <c r="N2561" s="7">
        <v>9.5</v>
      </c>
      <c r="O2561" s="7" t="s">
        <v>179</v>
      </c>
      <c r="P2561" s="7" t="s">
        <v>179</v>
      </c>
    </row>
    <row r="2562" spans="1:16" x14ac:dyDescent="0.25">
      <c r="A2562" s="2" t="s">
        <v>181</v>
      </c>
      <c r="B2562" s="2" t="s">
        <v>201</v>
      </c>
      <c r="C2562" s="6" t="s">
        <v>148</v>
      </c>
      <c r="D2562" s="2" t="s">
        <v>116</v>
      </c>
      <c r="E2562" s="2"/>
      <c r="F2562" s="35">
        <v>8.9965005885644906</v>
      </c>
      <c r="G2562" s="35">
        <v>24.880619443711108</v>
      </c>
      <c r="H2562" s="35">
        <v>-16.465539664300803</v>
      </c>
      <c r="I2562" s="35">
        <v>-1.3008318352095897E-2</v>
      </c>
      <c r="J2562" s="35">
        <v>2.0592176919284976E-4</v>
      </c>
      <c r="K2562" s="35">
        <v>-1.2194456946935365E-2</v>
      </c>
      <c r="L2562" s="35">
        <v>55.310933320995375</v>
      </c>
      <c r="M2562" s="58" t="s">
        <v>23</v>
      </c>
      <c r="N2562" s="7">
        <v>9.5</v>
      </c>
      <c r="O2562" s="7" t="s">
        <v>179</v>
      </c>
      <c r="P2562" s="7" t="s">
        <v>179</v>
      </c>
    </row>
    <row r="2563" spans="1:16" x14ac:dyDescent="0.25">
      <c r="A2563" s="2" t="s">
        <v>181</v>
      </c>
      <c r="B2563" s="2" t="s">
        <v>201</v>
      </c>
      <c r="C2563" s="6" t="s">
        <v>148</v>
      </c>
      <c r="D2563" s="2" t="s">
        <v>117</v>
      </c>
      <c r="E2563" s="2"/>
      <c r="F2563" s="35">
        <v>0</v>
      </c>
      <c r="G2563" s="35">
        <v>-27.96400998483087</v>
      </c>
      <c r="H2563" s="35">
        <v>24.007331663271952</v>
      </c>
      <c r="I2563" s="35">
        <v>0.48997009611721137</v>
      </c>
      <c r="J2563" s="35">
        <v>-1.5248316620785978E-4</v>
      </c>
      <c r="K2563" s="35">
        <v>0.80280360955364938</v>
      </c>
      <c r="L2563" s="35">
        <v>111.4632467240144</v>
      </c>
      <c r="M2563" s="58" t="s">
        <v>22</v>
      </c>
      <c r="N2563" s="7">
        <v>9.5</v>
      </c>
      <c r="O2563" s="7" t="s">
        <v>179</v>
      </c>
      <c r="P2563" s="7" t="s">
        <v>179</v>
      </c>
    </row>
    <row r="2564" spans="1:16" x14ac:dyDescent="0.25">
      <c r="A2564" s="2" t="s">
        <v>181</v>
      </c>
      <c r="B2564" s="2" t="s">
        <v>201</v>
      </c>
      <c r="C2564" s="6" t="s">
        <v>148</v>
      </c>
      <c r="D2564" s="2" t="s">
        <v>117</v>
      </c>
      <c r="E2564" s="2"/>
      <c r="F2564" s="35">
        <v>2</v>
      </c>
      <c r="G2564" s="35">
        <v>-27.150212384830866</v>
      </c>
      <c r="H2564" s="35">
        <v>22.495331663271955</v>
      </c>
      <c r="I2564" s="35">
        <v>0.48997009611721132</v>
      </c>
      <c r="J2564" s="35">
        <v>-1.5248316620785978E-4</v>
      </c>
      <c r="K2564" s="35">
        <v>-0.17713658268077334</v>
      </c>
      <c r="L2564" s="35">
        <v>64.960583397470501</v>
      </c>
      <c r="M2564" s="58" t="s">
        <v>22</v>
      </c>
      <c r="N2564" s="7">
        <v>9.5</v>
      </c>
      <c r="O2564" s="7" t="s">
        <v>179</v>
      </c>
      <c r="P2564" s="7" t="s">
        <v>179</v>
      </c>
    </row>
    <row r="2565" spans="1:16" x14ac:dyDescent="0.25">
      <c r="A2565" s="2" t="s">
        <v>181</v>
      </c>
      <c r="B2565" s="2" t="s">
        <v>201</v>
      </c>
      <c r="C2565" s="6" t="s">
        <v>148</v>
      </c>
      <c r="D2565" s="2" t="s">
        <v>117</v>
      </c>
      <c r="E2565" s="2"/>
      <c r="F2565" s="35">
        <v>2</v>
      </c>
      <c r="G2565" s="35">
        <v>-26.64940108149715</v>
      </c>
      <c r="H2565" s="35">
        <v>22.495320219595147</v>
      </c>
      <c r="I2565" s="35">
        <v>-2.3219930093031929E-2</v>
      </c>
      <c r="J2565" s="35">
        <v>-1.3864466786272188E-4</v>
      </c>
      <c r="K2565" s="35">
        <v>-0.17713658268077381</v>
      </c>
      <c r="L2565" s="35">
        <v>64.960568636405668</v>
      </c>
      <c r="M2565" s="58" t="s">
        <v>22</v>
      </c>
      <c r="N2565" s="7">
        <v>9.5</v>
      </c>
      <c r="O2565" s="7" t="s">
        <v>179</v>
      </c>
      <c r="P2565" s="7" t="s">
        <v>179</v>
      </c>
    </row>
    <row r="2566" spans="1:16" x14ac:dyDescent="0.25">
      <c r="A2566" s="2" t="s">
        <v>181</v>
      </c>
      <c r="B2566" s="2" t="s">
        <v>201</v>
      </c>
      <c r="C2566" s="6" t="s">
        <v>148</v>
      </c>
      <c r="D2566" s="2" t="s">
        <v>117</v>
      </c>
      <c r="E2566" s="2"/>
      <c r="F2566" s="35">
        <v>4.5</v>
      </c>
      <c r="G2566" s="35">
        <v>-25.632154081497156</v>
      </c>
      <c r="H2566" s="35">
        <v>20.605320219595146</v>
      </c>
      <c r="I2566" s="35">
        <v>-2.3219930093032047E-2</v>
      </c>
      <c r="J2566" s="35">
        <v>-1.3864466786272188E-4</v>
      </c>
      <c r="K2566" s="35">
        <v>-0.11908675744819384</v>
      </c>
      <c r="L2566" s="35">
        <v>11.084768087417812</v>
      </c>
      <c r="M2566" s="58" t="s">
        <v>24</v>
      </c>
      <c r="N2566" s="7">
        <v>9.5</v>
      </c>
      <c r="O2566" s="7" t="s">
        <v>179</v>
      </c>
      <c r="P2566" s="7" t="s">
        <v>179</v>
      </c>
    </row>
    <row r="2567" spans="1:16" x14ac:dyDescent="0.25">
      <c r="A2567" s="2" t="s">
        <v>181</v>
      </c>
      <c r="B2567" s="2" t="s">
        <v>201</v>
      </c>
      <c r="C2567" s="6" t="s">
        <v>148</v>
      </c>
      <c r="D2567" s="2" t="s">
        <v>117</v>
      </c>
      <c r="E2567" s="2"/>
      <c r="F2567" s="35">
        <v>4.5</v>
      </c>
      <c r="G2567" s="35">
        <v>-24.855207465122891</v>
      </c>
      <c r="H2567" s="35">
        <v>20.605381813916164</v>
      </c>
      <c r="I2567" s="35">
        <v>-2.2683490606037037E-2</v>
      </c>
      <c r="J2567" s="35">
        <v>2.1185601380287728E-4</v>
      </c>
      <c r="K2567" s="35">
        <v>-0.11908449173235243</v>
      </c>
      <c r="L2567" s="35">
        <v>10.113602424258856</v>
      </c>
      <c r="M2567" s="58" t="s">
        <v>24</v>
      </c>
      <c r="N2567" s="7">
        <v>9.5</v>
      </c>
      <c r="O2567" s="7" t="s">
        <v>179</v>
      </c>
      <c r="P2567" s="7" t="s">
        <v>179</v>
      </c>
    </row>
    <row r="2568" spans="1:16" x14ac:dyDescent="0.25">
      <c r="A2568" s="2" t="s">
        <v>181</v>
      </c>
      <c r="B2568" s="2" t="s">
        <v>201</v>
      </c>
      <c r="C2568" s="6" t="s">
        <v>148</v>
      </c>
      <c r="D2568" s="2" t="s">
        <v>117</v>
      </c>
      <c r="E2568" s="2"/>
      <c r="F2568" s="35">
        <v>8.9965005885644906</v>
      </c>
      <c r="G2568" s="35">
        <v>-23.025586771436707</v>
      </c>
      <c r="H2568" s="35">
        <v>17.206027368961408</v>
      </c>
      <c r="I2568" s="35">
        <v>-2.2683490606037245E-2</v>
      </c>
      <c r="J2568" s="35">
        <v>2.1185601380287728E-4</v>
      </c>
      <c r="K2568" s="35">
        <v>-1.7088162871609386E-2</v>
      </c>
      <c r="L2568" s="35">
        <v>-74.895909398371998</v>
      </c>
      <c r="M2568" s="58" t="s">
        <v>23</v>
      </c>
      <c r="N2568" s="7">
        <v>9.5</v>
      </c>
      <c r="O2568" s="7" t="s">
        <v>179</v>
      </c>
      <c r="P2568" s="7" t="s">
        <v>179</v>
      </c>
    </row>
    <row r="2569" spans="1:16" x14ac:dyDescent="0.25">
      <c r="A2569" s="2" t="s">
        <v>181</v>
      </c>
      <c r="B2569" s="2" t="s">
        <v>201</v>
      </c>
      <c r="C2569" s="6" t="s">
        <v>148</v>
      </c>
      <c r="D2569" s="2" t="s">
        <v>118</v>
      </c>
      <c r="E2569" s="2"/>
      <c r="F2569" s="35">
        <v>0</v>
      </c>
      <c r="G2569" s="35">
        <v>35.191082978707946</v>
      </c>
      <c r="H2569" s="35">
        <v>-33.965342350924992</v>
      </c>
      <c r="I2569" s="35">
        <v>0.36726511718616001</v>
      </c>
      <c r="J2569" s="35">
        <v>-2.5032657793440903E-4</v>
      </c>
      <c r="K2569" s="35">
        <v>0.63440081926545544</v>
      </c>
      <c r="L2569" s="35">
        <v>-101.22539751867559</v>
      </c>
      <c r="M2569" s="58" t="s">
        <v>22</v>
      </c>
      <c r="N2569" s="7">
        <v>9.5</v>
      </c>
      <c r="O2569" s="7" t="s">
        <v>179</v>
      </c>
      <c r="P2569" s="7" t="s">
        <v>179</v>
      </c>
    </row>
    <row r="2570" spans="1:16" x14ac:dyDescent="0.25">
      <c r="A2570" s="2" t="s">
        <v>181</v>
      </c>
      <c r="B2570" s="2" t="s">
        <v>201</v>
      </c>
      <c r="C2570" s="6" t="s">
        <v>148</v>
      </c>
      <c r="D2570" s="2" t="s">
        <v>118</v>
      </c>
      <c r="E2570" s="2"/>
      <c r="F2570" s="35">
        <v>2</v>
      </c>
      <c r="G2570" s="35">
        <v>36.004880578707954</v>
      </c>
      <c r="H2570" s="35">
        <v>-28.522142350924987</v>
      </c>
      <c r="I2570" s="35">
        <v>0.36726511718616034</v>
      </c>
      <c r="J2570" s="35">
        <v>-2.5032657793440903E-4</v>
      </c>
      <c r="K2570" s="35">
        <v>-0.10012941510686488</v>
      </c>
      <c r="L2570" s="35">
        <v>-38.73791281682562</v>
      </c>
      <c r="M2570" s="58" t="s">
        <v>22</v>
      </c>
      <c r="N2570" s="7">
        <v>9.5</v>
      </c>
      <c r="O2570" s="7" t="s">
        <v>179</v>
      </c>
      <c r="P2570" s="7" t="s">
        <v>179</v>
      </c>
    </row>
    <row r="2571" spans="1:16" x14ac:dyDescent="0.25">
      <c r="A2571" s="2" t="s">
        <v>181</v>
      </c>
      <c r="B2571" s="2" t="s">
        <v>201</v>
      </c>
      <c r="C2571" s="6" t="s">
        <v>148</v>
      </c>
      <c r="D2571" s="2" t="s">
        <v>118</v>
      </c>
      <c r="E2571" s="2"/>
      <c r="F2571" s="35">
        <v>2</v>
      </c>
      <c r="G2571" s="35">
        <v>36.380826998266919</v>
      </c>
      <c r="H2571" s="35">
        <v>-28.52213172720613</v>
      </c>
      <c r="I2571" s="35">
        <v>-1.2738477773917359E-2</v>
      </c>
      <c r="J2571" s="35">
        <v>-2.0277768069356533E-4</v>
      </c>
      <c r="K2571" s="35">
        <v>-0.10012941510686503</v>
      </c>
      <c r="L2571" s="35">
        <v>-38.737963535649492</v>
      </c>
      <c r="M2571" s="58" t="s">
        <v>22</v>
      </c>
      <c r="N2571" s="7">
        <v>9.5</v>
      </c>
      <c r="O2571" s="7" t="s">
        <v>179</v>
      </c>
      <c r="P2571" s="7" t="s">
        <v>179</v>
      </c>
    </row>
    <row r="2572" spans="1:16" x14ac:dyDescent="0.25">
      <c r="A2572" s="2" t="s">
        <v>181</v>
      </c>
      <c r="B2572" s="2" t="s">
        <v>201</v>
      </c>
      <c r="C2572" s="6" t="s">
        <v>148</v>
      </c>
      <c r="D2572" s="2" t="s">
        <v>118</v>
      </c>
      <c r="E2572" s="2"/>
      <c r="F2572" s="35">
        <v>4.5</v>
      </c>
      <c r="G2572" s="35">
        <v>37.398073998266909</v>
      </c>
      <c r="H2572" s="35">
        <v>-21.718131727206131</v>
      </c>
      <c r="I2572" s="35">
        <v>-1.2738477773916942E-2</v>
      </c>
      <c r="J2572" s="35">
        <v>-2.0277768069356533E-4</v>
      </c>
      <c r="K2572" s="35">
        <v>-6.8283220672072167E-2</v>
      </c>
      <c r="L2572" s="35">
        <v>24.062365782365834</v>
      </c>
      <c r="M2572" s="58" t="s">
        <v>24</v>
      </c>
      <c r="N2572" s="7">
        <v>9.5</v>
      </c>
      <c r="O2572" s="7" t="s">
        <v>179</v>
      </c>
      <c r="P2572" s="7" t="s">
        <v>179</v>
      </c>
    </row>
    <row r="2573" spans="1:16" x14ac:dyDescent="0.25">
      <c r="A2573" s="2" t="s">
        <v>181</v>
      </c>
      <c r="B2573" s="2" t="s">
        <v>201</v>
      </c>
      <c r="C2573" s="6" t="s">
        <v>148</v>
      </c>
      <c r="D2573" s="2" t="s">
        <v>118</v>
      </c>
      <c r="E2573" s="2"/>
      <c r="F2573" s="35">
        <v>4.5</v>
      </c>
      <c r="G2573" s="35">
        <v>38.175020643017987</v>
      </c>
      <c r="H2573" s="35">
        <v>-21.718184612711923</v>
      </c>
      <c r="I2573" s="35">
        <v>-1.2518814096496939E-2</v>
      </c>
      <c r="J2573" s="35">
        <v>2.4456010437570041E-4</v>
      </c>
      <c r="K2573" s="35">
        <v>-6.828112654268112E-2</v>
      </c>
      <c r="L2573" s="35">
        <v>23.091176815983797</v>
      </c>
      <c r="M2573" s="58" t="s">
        <v>24</v>
      </c>
      <c r="N2573" s="7">
        <v>9.5</v>
      </c>
      <c r="O2573" s="7" t="s">
        <v>179</v>
      </c>
      <c r="P2573" s="7" t="s">
        <v>179</v>
      </c>
    </row>
    <row r="2574" spans="1:16" x14ac:dyDescent="0.25">
      <c r="A2574" s="2" t="s">
        <v>181</v>
      </c>
      <c r="B2574" s="2" t="s">
        <v>201</v>
      </c>
      <c r="C2574" s="6" t="s">
        <v>148</v>
      </c>
      <c r="D2574" s="2" t="s">
        <v>118</v>
      </c>
      <c r="E2574" s="2"/>
      <c r="F2574" s="35">
        <v>8.9965005885644906</v>
      </c>
      <c r="G2574" s="35">
        <v>40.004641336704175</v>
      </c>
      <c r="H2574" s="35">
        <v>-9.4805086108748124</v>
      </c>
      <c r="I2574" s="35">
        <v>-1.2518814096496189E-2</v>
      </c>
      <c r="J2574" s="35">
        <v>2.4456010437570041E-4</v>
      </c>
      <c r="K2574" s="35">
        <v>-1.1990271589654914E-2</v>
      </c>
      <c r="L2574" s="35">
        <v>93.233648037134117</v>
      </c>
      <c r="M2574" s="58" t="s">
        <v>23</v>
      </c>
      <c r="N2574" s="7">
        <v>9.5</v>
      </c>
      <c r="O2574" s="7" t="s">
        <v>179</v>
      </c>
      <c r="P2574" s="7" t="s">
        <v>179</v>
      </c>
    </row>
    <row r="2575" spans="1:16" x14ac:dyDescent="0.25">
      <c r="A2575" s="2" t="s">
        <v>181</v>
      </c>
      <c r="B2575" s="2" t="s">
        <v>201</v>
      </c>
      <c r="C2575" s="6" t="s">
        <v>148</v>
      </c>
      <c r="D2575" s="2" t="s">
        <v>119</v>
      </c>
      <c r="E2575" s="2"/>
      <c r="F2575" s="35">
        <v>0</v>
      </c>
      <c r="G2575" s="35">
        <v>-71.152337546209182</v>
      </c>
      <c r="H2575" s="35">
        <v>-10.882209484470151</v>
      </c>
      <c r="I2575" s="35">
        <v>0.69866884402832918</v>
      </c>
      <c r="J2575" s="35">
        <v>-4.3360879395256779E-4</v>
      </c>
      <c r="K2575" s="35">
        <v>1.1240924360710849</v>
      </c>
      <c r="L2575" s="35">
        <v>-32.867711266015249</v>
      </c>
      <c r="M2575" s="58" t="s">
        <v>22</v>
      </c>
      <c r="N2575" s="7">
        <v>9.5</v>
      </c>
      <c r="O2575" s="7" t="s">
        <v>179</v>
      </c>
      <c r="P2575" s="7" t="s">
        <v>179</v>
      </c>
    </row>
    <row r="2576" spans="1:16" x14ac:dyDescent="0.25">
      <c r="A2576" s="2" t="s">
        <v>181</v>
      </c>
      <c r="B2576" s="2" t="s">
        <v>201</v>
      </c>
      <c r="C2576" s="6" t="s">
        <v>148</v>
      </c>
      <c r="D2576" s="2" t="s">
        <v>119</v>
      </c>
      <c r="E2576" s="2"/>
      <c r="F2576" s="35">
        <v>2</v>
      </c>
      <c r="G2576" s="35">
        <v>-70.338539946209167</v>
      </c>
      <c r="H2576" s="35">
        <v>-1.2054094844701502</v>
      </c>
      <c r="I2576" s="35">
        <v>0.69866884402832974</v>
      </c>
      <c r="J2576" s="35">
        <v>-4.3360879395256779E-4</v>
      </c>
      <c r="K2576" s="35">
        <v>-0.27324525198557381</v>
      </c>
      <c r="L2576" s="35">
        <v>-20.780092297074926</v>
      </c>
      <c r="M2576" s="58" t="s">
        <v>22</v>
      </c>
      <c r="N2576" s="7">
        <v>9.5</v>
      </c>
      <c r="O2576" s="7" t="s">
        <v>179</v>
      </c>
      <c r="P2576" s="7" t="s">
        <v>179</v>
      </c>
    </row>
    <row r="2577" spans="1:16" x14ac:dyDescent="0.25">
      <c r="A2577" s="2" t="s">
        <v>181</v>
      </c>
      <c r="B2577" s="2" t="s">
        <v>201</v>
      </c>
      <c r="C2577" s="6" t="s">
        <v>148</v>
      </c>
      <c r="D2577" s="2" t="s">
        <v>119</v>
      </c>
      <c r="E2577" s="2"/>
      <c r="F2577" s="35">
        <v>2</v>
      </c>
      <c r="G2577" s="35">
        <v>-69.629917210329509</v>
      </c>
      <c r="H2577" s="35">
        <v>-1.2054193362433796</v>
      </c>
      <c r="I2577" s="35">
        <v>-3.6185348314593864E-2</v>
      </c>
      <c r="J2577" s="35">
        <v>-5.2701437350145656E-4</v>
      </c>
      <c r="K2577" s="35">
        <v>-0.27324525198557448</v>
      </c>
      <c r="L2577" s="35">
        <v>-20.779992664456714</v>
      </c>
      <c r="M2577" s="58" t="s">
        <v>22</v>
      </c>
      <c r="N2577" s="7">
        <v>9.5</v>
      </c>
      <c r="O2577" s="7" t="s">
        <v>179</v>
      </c>
      <c r="P2577" s="7" t="s">
        <v>179</v>
      </c>
    </row>
    <row r="2578" spans="1:16" x14ac:dyDescent="0.25">
      <c r="A2578" s="2" t="s">
        <v>181</v>
      </c>
      <c r="B2578" s="2" t="s">
        <v>201</v>
      </c>
      <c r="C2578" s="6" t="s">
        <v>148</v>
      </c>
      <c r="D2578" s="2" t="s">
        <v>119</v>
      </c>
      <c r="E2578" s="2"/>
      <c r="F2578" s="35">
        <v>4.5</v>
      </c>
      <c r="G2578" s="35">
        <v>-68.612670210329512</v>
      </c>
      <c r="H2578" s="35">
        <v>10.890580663756619</v>
      </c>
      <c r="I2578" s="35">
        <v>-3.6185348314593122E-2</v>
      </c>
      <c r="J2578" s="35">
        <v>-5.2701437350145656E-4</v>
      </c>
      <c r="K2578" s="35">
        <v>-0.18278188119909072</v>
      </c>
      <c r="L2578" s="35">
        <v>-32.886444323848259</v>
      </c>
      <c r="M2578" s="58" t="s">
        <v>24</v>
      </c>
      <c r="N2578" s="7">
        <v>9.5</v>
      </c>
      <c r="O2578" s="7" t="s">
        <v>179</v>
      </c>
      <c r="P2578" s="7" t="s">
        <v>179</v>
      </c>
    </row>
    <row r="2579" spans="1:16" x14ac:dyDescent="0.25">
      <c r="A2579" s="2" t="s">
        <v>181</v>
      </c>
      <c r="B2579" s="2" t="s">
        <v>201</v>
      </c>
      <c r="C2579" s="6" t="s">
        <v>148</v>
      </c>
      <c r="D2579" s="2" t="s">
        <v>119</v>
      </c>
      <c r="E2579" s="2"/>
      <c r="F2579" s="35">
        <v>4.5</v>
      </c>
      <c r="G2579" s="35">
        <v>-67.835723549912757</v>
      </c>
      <c r="H2579" s="35">
        <v>10.890549021738281</v>
      </c>
      <c r="I2579" s="35">
        <v>-3.5358087076382327E-2</v>
      </c>
      <c r="J2579" s="35">
        <v>5.233851103442381E-4</v>
      </c>
      <c r="K2579" s="35">
        <v>-0.18277983221527791</v>
      </c>
      <c r="L2579" s="35">
        <v>-33.857627164233072</v>
      </c>
      <c r="M2579" s="58" t="s">
        <v>24</v>
      </c>
      <c r="N2579" s="7">
        <v>9.5</v>
      </c>
      <c r="O2579" s="7" t="s">
        <v>179</v>
      </c>
      <c r="P2579" s="7" t="s">
        <v>179</v>
      </c>
    </row>
    <row r="2580" spans="1:16" x14ac:dyDescent="0.25">
      <c r="A2580" s="2" t="s">
        <v>181</v>
      </c>
      <c r="B2580" s="2" t="s">
        <v>201</v>
      </c>
      <c r="C2580" s="6" t="s">
        <v>148</v>
      </c>
      <c r="D2580" s="2" t="s">
        <v>119</v>
      </c>
      <c r="E2580" s="2"/>
      <c r="F2580" s="35">
        <v>8.9965005885644906</v>
      </c>
      <c r="G2580" s="35">
        <v>-66.006102856226576</v>
      </c>
      <c r="H2580" s="35">
        <v>32.6464174694487</v>
      </c>
      <c r="I2580" s="35">
        <v>-3.5358087076380988E-2</v>
      </c>
      <c r="J2580" s="35">
        <v>5.233851103442381E-4</v>
      </c>
      <c r="K2580" s="35">
        <v>-2.3792172865813366E-2</v>
      </c>
      <c r="L2580" s="35">
        <v>-131.73962489020045</v>
      </c>
      <c r="M2580" s="58" t="s">
        <v>23</v>
      </c>
      <c r="N2580" s="7">
        <v>9.5</v>
      </c>
      <c r="O2580" s="7" t="s">
        <v>179</v>
      </c>
      <c r="P2580" s="7" t="s">
        <v>179</v>
      </c>
    </row>
    <row r="2581" spans="1:16" x14ac:dyDescent="0.25">
      <c r="A2581" s="2" t="s">
        <v>181</v>
      </c>
      <c r="B2581" s="2" t="s">
        <v>201</v>
      </c>
      <c r="C2581" s="6" t="s">
        <v>148</v>
      </c>
      <c r="D2581" s="2" t="s">
        <v>120</v>
      </c>
      <c r="E2581" s="2"/>
      <c r="F2581" s="35">
        <v>0</v>
      </c>
      <c r="G2581" s="35">
        <v>45.535633609587656</v>
      </c>
      <c r="H2581" s="35">
        <v>5.8618628182656876</v>
      </c>
      <c r="I2581" s="35">
        <v>-4.4487362036715075</v>
      </c>
      <c r="J2581" s="35">
        <v>3.6965959073727963E-3</v>
      </c>
      <c r="K2581" s="35">
        <v>-7.0944632652518962</v>
      </c>
      <c r="L2581" s="35">
        <v>-12.486994756200772</v>
      </c>
      <c r="M2581" s="58" t="s">
        <v>22</v>
      </c>
      <c r="N2581" s="7">
        <v>9.5</v>
      </c>
      <c r="O2581" s="7" t="s">
        <v>179</v>
      </c>
      <c r="P2581" s="7" t="s">
        <v>179</v>
      </c>
    </row>
    <row r="2582" spans="1:16" x14ac:dyDescent="0.25">
      <c r="A2582" s="2" t="s">
        <v>181</v>
      </c>
      <c r="B2582" s="2" t="s">
        <v>201</v>
      </c>
      <c r="C2582" s="6" t="s">
        <v>148</v>
      </c>
      <c r="D2582" s="2" t="s">
        <v>120</v>
      </c>
      <c r="E2582" s="2"/>
      <c r="F2582" s="35">
        <v>2</v>
      </c>
      <c r="G2582" s="35">
        <v>46.349431209587657</v>
      </c>
      <c r="H2582" s="35">
        <v>-2.5381371817343128</v>
      </c>
      <c r="I2582" s="35">
        <v>-4.4487362036715083</v>
      </c>
      <c r="J2582" s="35">
        <v>3.6965959073727963E-3</v>
      </c>
      <c r="K2582" s="35">
        <v>1.8030091420911183</v>
      </c>
      <c r="L2582" s="35">
        <v>-15.810720392732136</v>
      </c>
      <c r="M2582" s="58" t="s">
        <v>22</v>
      </c>
      <c r="N2582" s="7">
        <v>9.5</v>
      </c>
      <c r="O2582" s="7" t="s">
        <v>179</v>
      </c>
      <c r="P2582" s="7" t="s">
        <v>179</v>
      </c>
    </row>
    <row r="2583" spans="1:16" x14ac:dyDescent="0.25">
      <c r="A2583" s="2" t="s">
        <v>181</v>
      </c>
      <c r="B2583" s="2" t="s">
        <v>201</v>
      </c>
      <c r="C2583" s="6" t="s">
        <v>148</v>
      </c>
      <c r="D2583" s="2" t="s">
        <v>120</v>
      </c>
      <c r="E2583" s="2"/>
      <c r="F2583" s="35">
        <v>2</v>
      </c>
      <c r="G2583" s="35">
        <v>41.968535314798594</v>
      </c>
      <c r="H2583" s="35">
        <v>-2.5381257473354593</v>
      </c>
      <c r="I2583" s="35">
        <v>0.24522754744261219</v>
      </c>
      <c r="J2583" s="35">
        <v>3.7399029954814055E-3</v>
      </c>
      <c r="K2583" s="35">
        <v>1.8030091420911172</v>
      </c>
      <c r="L2583" s="35">
        <v>-15.810766586959421</v>
      </c>
      <c r="M2583" s="58" t="s">
        <v>22</v>
      </c>
      <c r="N2583" s="7">
        <v>9.5</v>
      </c>
      <c r="O2583" s="7" t="s">
        <v>179</v>
      </c>
      <c r="P2583" s="7" t="s">
        <v>179</v>
      </c>
    </row>
    <row r="2584" spans="1:16" x14ac:dyDescent="0.25">
      <c r="A2584" s="2" t="s">
        <v>181</v>
      </c>
      <c r="B2584" s="2" t="s">
        <v>201</v>
      </c>
      <c r="C2584" s="6" t="s">
        <v>148</v>
      </c>
      <c r="D2584" s="2" t="s">
        <v>120</v>
      </c>
      <c r="E2584" s="2"/>
      <c r="F2584" s="35">
        <v>4.5</v>
      </c>
      <c r="G2584" s="35">
        <v>42.985782314798591</v>
      </c>
      <c r="H2584" s="35">
        <v>-13.03812574733546</v>
      </c>
      <c r="I2584" s="35">
        <v>0.24522754744261149</v>
      </c>
      <c r="J2584" s="35">
        <v>3.7399029954814055E-3</v>
      </c>
      <c r="K2584" s="35">
        <v>1.1899402734845874</v>
      </c>
      <c r="L2584" s="35">
        <v>3.6595477813792221</v>
      </c>
      <c r="M2584" s="58" t="s">
        <v>24</v>
      </c>
      <c r="N2584" s="7">
        <v>9.5</v>
      </c>
      <c r="O2584" s="7" t="s">
        <v>179</v>
      </c>
      <c r="P2584" s="7" t="s">
        <v>179</v>
      </c>
    </row>
    <row r="2585" spans="1:16" x14ac:dyDescent="0.25">
      <c r="A2585" s="2" t="s">
        <v>181</v>
      </c>
      <c r="B2585" s="2" t="s">
        <v>201</v>
      </c>
      <c r="C2585" s="6" t="s">
        <v>148</v>
      </c>
      <c r="D2585" s="2" t="s">
        <v>120</v>
      </c>
      <c r="E2585" s="2"/>
      <c r="F2585" s="35">
        <v>4.5</v>
      </c>
      <c r="G2585" s="35">
        <v>43.762731039591387</v>
      </c>
      <c r="H2585" s="35">
        <v>-13.038139917394115</v>
      </c>
      <c r="I2585" s="35">
        <v>0.23904625958787512</v>
      </c>
      <c r="J2585" s="35">
        <v>-3.0641680038236171E-3</v>
      </c>
      <c r="K2585" s="35">
        <v>1.1899346479448858</v>
      </c>
      <c r="L2585" s="35">
        <v>2.6883585465036846</v>
      </c>
      <c r="M2585" s="58" t="s">
        <v>24</v>
      </c>
      <c r="N2585" s="7">
        <v>9.5</v>
      </c>
      <c r="O2585" s="7" t="s">
        <v>179</v>
      </c>
      <c r="P2585" s="7" t="s">
        <v>179</v>
      </c>
    </row>
    <row r="2586" spans="1:16" x14ac:dyDescent="0.25">
      <c r="A2586" s="2" t="s">
        <v>181</v>
      </c>
      <c r="B2586" s="2" t="s">
        <v>201</v>
      </c>
      <c r="C2586" s="6" t="s">
        <v>148</v>
      </c>
      <c r="D2586" s="2" t="s">
        <v>120</v>
      </c>
      <c r="E2586" s="2"/>
      <c r="F2586" s="35">
        <v>8.9965005885644906</v>
      </c>
      <c r="G2586" s="35">
        <v>45.592351733277575</v>
      </c>
      <c r="H2586" s="35">
        <v>-31.923442389364965</v>
      </c>
      <c r="I2586" s="35">
        <v>0.23904625958787395</v>
      </c>
      <c r="J2586" s="35">
        <v>-3.0641680038236171E-3</v>
      </c>
      <c r="K2586" s="35">
        <v>0.11506300101386839</v>
      </c>
      <c r="L2586" s="35">
        <v>103.77324919907015</v>
      </c>
      <c r="M2586" s="58" t="s">
        <v>23</v>
      </c>
      <c r="N2586" s="7">
        <v>9.5</v>
      </c>
      <c r="O2586" s="7" t="s">
        <v>179</v>
      </c>
      <c r="P2586" s="7" t="s">
        <v>179</v>
      </c>
    </row>
    <row r="2587" spans="1:16" x14ac:dyDescent="0.25">
      <c r="A2587" s="2" t="s">
        <v>181</v>
      </c>
      <c r="B2587" s="2" t="s">
        <v>201</v>
      </c>
      <c r="C2587" s="6" t="s">
        <v>148</v>
      </c>
      <c r="D2587" s="2" t="s">
        <v>121</v>
      </c>
      <c r="E2587" s="2"/>
      <c r="F2587" s="35">
        <v>0</v>
      </c>
      <c r="G2587" s="35">
        <v>3.8761401046432793</v>
      </c>
      <c r="H2587" s="35">
        <v>10.368302029548159</v>
      </c>
      <c r="I2587" s="35">
        <v>-4.4566761424373862</v>
      </c>
      <c r="J2587" s="35">
        <v>3.7420076470113693E-3</v>
      </c>
      <c r="K2587" s="35">
        <v>-7.1322120070048189</v>
      </c>
      <c r="L2587" s="35">
        <v>19.541339564706796</v>
      </c>
      <c r="M2587" s="58" t="s">
        <v>22</v>
      </c>
      <c r="N2587" s="7">
        <v>9.5</v>
      </c>
      <c r="O2587" s="7" t="s">
        <v>179</v>
      </c>
      <c r="P2587" s="7" t="s">
        <v>179</v>
      </c>
    </row>
    <row r="2588" spans="1:16" x14ac:dyDescent="0.25">
      <c r="A2588" s="2" t="s">
        <v>181</v>
      </c>
      <c r="B2588" s="2" t="s">
        <v>201</v>
      </c>
      <c r="C2588" s="6" t="s">
        <v>148</v>
      </c>
      <c r="D2588" s="2" t="s">
        <v>121</v>
      </c>
      <c r="E2588" s="2"/>
      <c r="F2588" s="35">
        <v>2</v>
      </c>
      <c r="G2588" s="35">
        <v>4.6899377046432846</v>
      </c>
      <c r="H2588" s="35">
        <v>6.6723020295481605</v>
      </c>
      <c r="I2588" s="35">
        <v>-4.4566761424373862</v>
      </c>
      <c r="J2588" s="35">
        <v>3.7420076470113693E-3</v>
      </c>
      <c r="K2588" s="35">
        <v>1.7811402778699523</v>
      </c>
      <c r="L2588" s="35">
        <v>2.5007355056104767</v>
      </c>
      <c r="M2588" s="58" t="s">
        <v>22</v>
      </c>
      <c r="N2588" s="7">
        <v>9.5</v>
      </c>
      <c r="O2588" s="7" t="s">
        <v>179</v>
      </c>
      <c r="P2588" s="7" t="s">
        <v>179</v>
      </c>
    </row>
    <row r="2589" spans="1:16" x14ac:dyDescent="0.25">
      <c r="A2589" s="2" t="s">
        <v>181</v>
      </c>
      <c r="B2589" s="2" t="s">
        <v>201</v>
      </c>
      <c r="C2589" s="6" t="s">
        <v>148</v>
      </c>
      <c r="D2589" s="2" t="s">
        <v>121</v>
      </c>
      <c r="E2589" s="2"/>
      <c r="F2589" s="35">
        <v>2</v>
      </c>
      <c r="G2589" s="35">
        <v>0.30439593486541699</v>
      </c>
      <c r="H2589" s="35">
        <v>6.6723029735328696</v>
      </c>
      <c r="I2589" s="35">
        <v>0.24224538139900678</v>
      </c>
      <c r="J2589" s="35">
        <v>3.7444925517159449E-3</v>
      </c>
      <c r="K2589" s="35">
        <v>1.7811402778699501</v>
      </c>
      <c r="L2589" s="35">
        <v>2.5007328550455714</v>
      </c>
      <c r="M2589" s="58" t="s">
        <v>22</v>
      </c>
      <c r="N2589" s="7">
        <v>9.5</v>
      </c>
      <c r="O2589" s="7" t="s">
        <v>179</v>
      </c>
      <c r="P2589" s="7" t="s">
        <v>179</v>
      </c>
    </row>
    <row r="2590" spans="1:16" x14ac:dyDescent="0.25">
      <c r="A2590" s="2" t="s">
        <v>181</v>
      </c>
      <c r="B2590" s="2" t="s">
        <v>201</v>
      </c>
      <c r="C2590" s="6" t="s">
        <v>148</v>
      </c>
      <c r="D2590" s="2" t="s">
        <v>121</v>
      </c>
      <c r="E2590" s="2"/>
      <c r="F2590" s="35">
        <v>4.5</v>
      </c>
      <c r="G2590" s="35">
        <v>1.3216429348654126</v>
      </c>
      <c r="H2590" s="35">
        <v>2.0523029735328686</v>
      </c>
      <c r="I2590" s="35">
        <v>0.2422453813990065</v>
      </c>
      <c r="J2590" s="35">
        <v>3.7444925517159449E-3</v>
      </c>
      <c r="K2590" s="35">
        <v>1.1755268243724333</v>
      </c>
      <c r="L2590" s="35">
        <v>-8.4050245787865983</v>
      </c>
      <c r="M2590" s="58" t="s">
        <v>24</v>
      </c>
      <c r="N2590" s="7">
        <v>9.5</v>
      </c>
      <c r="O2590" s="7" t="s">
        <v>179</v>
      </c>
      <c r="P2590" s="7" t="s">
        <v>179</v>
      </c>
    </row>
    <row r="2591" spans="1:16" x14ac:dyDescent="0.25">
      <c r="A2591" s="2" t="s">
        <v>181</v>
      </c>
      <c r="B2591" s="2" t="s">
        <v>201</v>
      </c>
      <c r="C2591" s="6" t="s">
        <v>148</v>
      </c>
      <c r="D2591" s="2" t="s">
        <v>121</v>
      </c>
      <c r="E2591" s="2"/>
      <c r="F2591" s="35">
        <v>4.5</v>
      </c>
      <c r="G2591" s="35">
        <v>2.0985917592729018</v>
      </c>
      <c r="H2591" s="35">
        <v>2.0523277815263752</v>
      </c>
      <c r="I2591" s="35">
        <v>0.23617911201011549</v>
      </c>
      <c r="J2591" s="35">
        <v>-3.0819736508081396E-3</v>
      </c>
      <c r="K2591" s="35">
        <v>1.175520896572168</v>
      </c>
      <c r="L2591" s="35">
        <v>-9.3762072070052671</v>
      </c>
      <c r="M2591" s="58" t="s">
        <v>24</v>
      </c>
      <c r="N2591" s="7">
        <v>9.5</v>
      </c>
      <c r="O2591" s="7" t="s">
        <v>179</v>
      </c>
      <c r="P2591" s="7" t="s">
        <v>179</v>
      </c>
    </row>
    <row r="2592" spans="1:16" x14ac:dyDescent="0.25">
      <c r="A2592" s="2" t="s">
        <v>181</v>
      </c>
      <c r="B2592" s="2" t="s">
        <v>201</v>
      </c>
      <c r="C2592" s="6" t="s">
        <v>148</v>
      </c>
      <c r="D2592" s="2" t="s">
        <v>121</v>
      </c>
      <c r="E2592" s="2"/>
      <c r="F2592" s="35">
        <v>8.9965005885644906</v>
      </c>
      <c r="G2592" s="35">
        <v>3.9282124529590865</v>
      </c>
      <c r="H2592" s="35">
        <v>-6.2572053061407997</v>
      </c>
      <c r="I2592" s="35">
        <v>0.23617911201011499</v>
      </c>
      <c r="J2592" s="35">
        <v>-3.0819736508081396E-3</v>
      </c>
      <c r="K2592" s="35">
        <v>0.11354138041204662</v>
      </c>
      <c r="L2592" s="35">
        <v>7.7409925129920218E-2</v>
      </c>
      <c r="M2592" s="58" t="s">
        <v>23</v>
      </c>
      <c r="N2592" s="7">
        <v>9.5</v>
      </c>
      <c r="O2592" s="7" t="s">
        <v>179</v>
      </c>
      <c r="P2592" s="7" t="s">
        <v>179</v>
      </c>
    </row>
    <row r="2593" spans="1:16" x14ac:dyDescent="0.25">
      <c r="A2593" s="2" t="s">
        <v>181</v>
      </c>
      <c r="B2593" s="2" t="s">
        <v>201</v>
      </c>
      <c r="C2593" s="6" t="s">
        <v>148</v>
      </c>
      <c r="D2593" s="2" t="s">
        <v>122</v>
      </c>
      <c r="E2593" s="2"/>
      <c r="F2593" s="35">
        <v>0</v>
      </c>
      <c r="G2593" s="35">
        <v>28.61454520841021</v>
      </c>
      <c r="H2593" s="35">
        <v>5.8496966636855783</v>
      </c>
      <c r="I2593" s="35">
        <v>4.1186626778132247</v>
      </c>
      <c r="J2593" s="35">
        <v>-3.7152037148074535E-3</v>
      </c>
      <c r="K2593" s="35">
        <v>6.5910071046230625</v>
      </c>
      <c r="L2593" s="35">
        <v>-12.011587769948122</v>
      </c>
      <c r="M2593" s="58" t="s">
        <v>22</v>
      </c>
      <c r="N2593" s="7">
        <v>9.5</v>
      </c>
      <c r="O2593" s="7" t="s">
        <v>179</v>
      </c>
      <c r="P2593" s="7" t="s">
        <v>179</v>
      </c>
    </row>
    <row r="2594" spans="1:16" x14ac:dyDescent="0.25">
      <c r="A2594" s="2" t="s">
        <v>181</v>
      </c>
      <c r="B2594" s="2" t="s">
        <v>201</v>
      </c>
      <c r="C2594" s="6" t="s">
        <v>148</v>
      </c>
      <c r="D2594" s="2" t="s">
        <v>122</v>
      </c>
      <c r="E2594" s="2"/>
      <c r="F2594" s="35">
        <v>2</v>
      </c>
      <c r="G2594" s="35">
        <v>29.428342808410214</v>
      </c>
      <c r="H2594" s="35">
        <v>-2.5503033363144199</v>
      </c>
      <c r="I2594" s="35">
        <v>4.1186626778132247</v>
      </c>
      <c r="J2594" s="35">
        <v>-3.7152037148074535E-3</v>
      </c>
      <c r="K2594" s="35">
        <v>-1.6463182510033874</v>
      </c>
      <c r="L2594" s="35">
        <v>-15.310981097319283</v>
      </c>
      <c r="M2594" s="58" t="s">
        <v>22</v>
      </c>
      <c r="N2594" s="7">
        <v>9.5</v>
      </c>
      <c r="O2594" s="7" t="s">
        <v>179</v>
      </c>
      <c r="P2594" s="7" t="s">
        <v>179</v>
      </c>
    </row>
    <row r="2595" spans="1:16" x14ac:dyDescent="0.25">
      <c r="A2595" s="2" t="s">
        <v>181</v>
      </c>
      <c r="B2595" s="2" t="s">
        <v>201</v>
      </c>
      <c r="C2595" s="6" t="s">
        <v>148</v>
      </c>
      <c r="D2595" s="2" t="s">
        <v>122</v>
      </c>
      <c r="E2595" s="2"/>
      <c r="F2595" s="35">
        <v>2</v>
      </c>
      <c r="G2595" s="35">
        <v>33.517916292016665</v>
      </c>
      <c r="H2595" s="35">
        <v>-2.5502936881935852</v>
      </c>
      <c r="I2595" s="35">
        <v>-0.22254112176063248</v>
      </c>
      <c r="J2595" s="35">
        <v>-3.6997641382700928E-3</v>
      </c>
      <c r="K2595" s="35">
        <v>-1.6463182510033885</v>
      </c>
      <c r="L2595" s="35">
        <v>-15.310997566200957</v>
      </c>
      <c r="M2595" s="58" t="s">
        <v>22</v>
      </c>
      <c r="N2595" s="7">
        <v>9.5</v>
      </c>
      <c r="O2595" s="7" t="s">
        <v>179</v>
      </c>
      <c r="P2595" s="7" t="s">
        <v>179</v>
      </c>
    </row>
    <row r="2596" spans="1:16" x14ac:dyDescent="0.25">
      <c r="A2596" s="2" t="s">
        <v>181</v>
      </c>
      <c r="B2596" s="2" t="s">
        <v>201</v>
      </c>
      <c r="C2596" s="6" t="s">
        <v>148</v>
      </c>
      <c r="D2596" s="2" t="s">
        <v>122</v>
      </c>
      <c r="E2596" s="2"/>
      <c r="F2596" s="35">
        <v>4.5</v>
      </c>
      <c r="G2596" s="35">
        <v>34.535163292016662</v>
      </c>
      <c r="H2596" s="35">
        <v>-13.050293688193591</v>
      </c>
      <c r="I2596" s="35">
        <v>-0.22254112176063315</v>
      </c>
      <c r="J2596" s="35">
        <v>-3.6997641382700928E-3</v>
      </c>
      <c r="K2596" s="35">
        <v>-1.0899654466018065</v>
      </c>
      <c r="L2596" s="35">
        <v>4.1897366542830161</v>
      </c>
      <c r="M2596" s="58" t="s">
        <v>24</v>
      </c>
      <c r="N2596" s="7">
        <v>9.5</v>
      </c>
      <c r="O2596" s="7" t="s">
        <v>179</v>
      </c>
      <c r="P2596" s="7" t="s">
        <v>179</v>
      </c>
    </row>
    <row r="2597" spans="1:16" x14ac:dyDescent="0.25">
      <c r="A2597" s="2" t="s">
        <v>181</v>
      </c>
      <c r="B2597" s="2" t="s">
        <v>201</v>
      </c>
      <c r="C2597" s="6" t="s">
        <v>148</v>
      </c>
      <c r="D2597" s="2" t="s">
        <v>122</v>
      </c>
      <c r="E2597" s="2"/>
      <c r="F2597" s="35">
        <v>4.5</v>
      </c>
      <c r="G2597" s="35">
        <v>35.312108726654706</v>
      </c>
      <c r="H2597" s="35">
        <v>-13.050382467660748</v>
      </c>
      <c r="I2597" s="35">
        <v>-0.21681164279452275</v>
      </c>
      <c r="J2597" s="35">
        <v>3.0080074675887247E-3</v>
      </c>
      <c r="K2597" s="35">
        <v>-1.0899584235068454</v>
      </c>
      <c r="L2597" s="35">
        <v>3.2185519319411173</v>
      </c>
      <c r="M2597" s="58" t="s">
        <v>24</v>
      </c>
      <c r="N2597" s="7">
        <v>9.5</v>
      </c>
      <c r="O2597" s="7" t="s">
        <v>179</v>
      </c>
      <c r="P2597" s="7" t="s">
        <v>179</v>
      </c>
    </row>
    <row r="2598" spans="1:16" x14ac:dyDescent="0.25">
      <c r="A2598" s="2" t="s">
        <v>181</v>
      </c>
      <c r="B2598" s="2" t="s">
        <v>201</v>
      </c>
      <c r="C2598" s="6" t="s">
        <v>148</v>
      </c>
      <c r="D2598" s="2" t="s">
        <v>122</v>
      </c>
      <c r="E2598" s="2"/>
      <c r="F2598" s="35">
        <v>8.9965005885644906</v>
      </c>
      <c r="G2598" s="35">
        <v>37.141729420340887</v>
      </c>
      <c r="H2598" s="35">
        <v>-31.935684939631603</v>
      </c>
      <c r="I2598" s="35">
        <v>-0.21681164279452392</v>
      </c>
      <c r="J2598" s="35">
        <v>3.0080074675887247E-3</v>
      </c>
      <c r="K2598" s="35">
        <v>-0.11506474407363762</v>
      </c>
      <c r="L2598" s="35">
        <v>104.35849121898704</v>
      </c>
      <c r="M2598" s="58" t="s">
        <v>23</v>
      </c>
      <c r="N2598" s="7">
        <v>9.5</v>
      </c>
      <c r="O2598" s="7" t="s">
        <v>179</v>
      </c>
      <c r="P2598" s="7" t="s">
        <v>179</v>
      </c>
    </row>
    <row r="2599" spans="1:16" x14ac:dyDescent="0.25">
      <c r="A2599" s="2" t="s">
        <v>181</v>
      </c>
      <c r="B2599" s="2" t="s">
        <v>201</v>
      </c>
      <c r="C2599" s="6" t="s">
        <v>148</v>
      </c>
      <c r="D2599" s="2" t="s">
        <v>123</v>
      </c>
      <c r="E2599" s="2"/>
      <c r="F2599" s="35">
        <v>0</v>
      </c>
      <c r="G2599" s="35">
        <v>-13.051700019893969</v>
      </c>
      <c r="H2599" s="35">
        <v>10.35607487366584</v>
      </c>
      <c r="I2599" s="35">
        <v>4.1140120084785137</v>
      </c>
      <c r="J2599" s="35">
        <v>-3.6726773320463831E-3</v>
      </c>
      <c r="K2599" s="35">
        <v>6.558519244287468</v>
      </c>
      <c r="L2599" s="35">
        <v>20.015591096880861</v>
      </c>
      <c r="M2599" s="58" t="s">
        <v>22</v>
      </c>
      <c r="N2599" s="7">
        <v>9.5</v>
      </c>
      <c r="O2599" s="7" t="s">
        <v>179</v>
      </c>
      <c r="P2599" s="7" t="s">
        <v>179</v>
      </c>
    </row>
    <row r="2600" spans="1:16" x14ac:dyDescent="0.25">
      <c r="A2600" s="2" t="s">
        <v>181</v>
      </c>
      <c r="B2600" s="2" t="s">
        <v>201</v>
      </c>
      <c r="C2600" s="6" t="s">
        <v>148</v>
      </c>
      <c r="D2600" s="2" t="s">
        <v>123</v>
      </c>
      <c r="E2600" s="2"/>
      <c r="F2600" s="35">
        <v>2</v>
      </c>
      <c r="G2600" s="35">
        <v>-12.237902419893963</v>
      </c>
      <c r="H2600" s="35">
        <v>6.6600748736658408</v>
      </c>
      <c r="I2600" s="35">
        <v>4.1140120084785137</v>
      </c>
      <c r="J2600" s="35">
        <v>-3.6726773320463831E-3</v>
      </c>
      <c r="K2600" s="35">
        <v>-1.6695047726695598</v>
      </c>
      <c r="L2600" s="35">
        <v>2.9994413495491812</v>
      </c>
      <c r="M2600" s="58" t="s">
        <v>22</v>
      </c>
      <c r="N2600" s="7">
        <v>9.5</v>
      </c>
      <c r="O2600" s="7" t="s">
        <v>179</v>
      </c>
      <c r="P2600" s="7" t="s">
        <v>179</v>
      </c>
    </row>
    <row r="2601" spans="1:16" x14ac:dyDescent="0.25">
      <c r="A2601" s="2" t="s">
        <v>181</v>
      </c>
      <c r="B2601" s="2" t="s">
        <v>201</v>
      </c>
      <c r="C2601" s="6" t="s">
        <v>148</v>
      </c>
      <c r="D2601" s="2" t="s">
        <v>123</v>
      </c>
      <c r="E2601" s="2"/>
      <c r="F2601" s="35">
        <v>2</v>
      </c>
      <c r="G2601" s="35">
        <v>-8.1497232951436942</v>
      </c>
      <c r="H2601" s="35">
        <v>6.66007403493143</v>
      </c>
      <c r="I2601" s="35">
        <v>-0.22570230254590673</v>
      </c>
      <c r="J2601" s="35">
        <v>-3.698073111972248E-3</v>
      </c>
      <c r="K2601" s="35">
        <v>-1.6695047726695587</v>
      </c>
      <c r="L2601" s="35">
        <v>2.9994684383810939</v>
      </c>
      <c r="M2601" s="58" t="s">
        <v>22</v>
      </c>
      <c r="N2601" s="7">
        <v>9.5</v>
      </c>
      <c r="O2601" s="7" t="s">
        <v>179</v>
      </c>
      <c r="P2601" s="7" t="s">
        <v>179</v>
      </c>
    </row>
    <row r="2602" spans="1:16" x14ac:dyDescent="0.25">
      <c r="A2602" s="2" t="s">
        <v>181</v>
      </c>
      <c r="B2602" s="2" t="s">
        <v>201</v>
      </c>
      <c r="C2602" s="6" t="s">
        <v>148</v>
      </c>
      <c r="D2602" s="2" t="s">
        <v>123</v>
      </c>
      <c r="E2602" s="2"/>
      <c r="F2602" s="35">
        <v>4.5</v>
      </c>
      <c r="G2602" s="35">
        <v>-7.1324762951436993</v>
      </c>
      <c r="H2602" s="35">
        <v>2.0400740349314286</v>
      </c>
      <c r="I2602" s="35">
        <v>-0.22570230254590698</v>
      </c>
      <c r="J2602" s="35">
        <v>-3.698073111972248E-3</v>
      </c>
      <c r="K2602" s="35">
        <v>-1.1052490163047917</v>
      </c>
      <c r="L2602" s="35">
        <v>-7.875716648947475</v>
      </c>
      <c r="M2602" s="58" t="s">
        <v>24</v>
      </c>
      <c r="N2602" s="7">
        <v>9.5</v>
      </c>
      <c r="O2602" s="7" t="s">
        <v>179</v>
      </c>
      <c r="P2602" s="7" t="s">
        <v>179</v>
      </c>
    </row>
    <row r="2603" spans="1:16" x14ac:dyDescent="0.25">
      <c r="A2603" s="2" t="s">
        <v>181</v>
      </c>
      <c r="B2603" s="2" t="s">
        <v>201</v>
      </c>
      <c r="C2603" s="6" t="s">
        <v>148</v>
      </c>
      <c r="D2603" s="2" t="s">
        <v>123</v>
      </c>
      <c r="E2603" s="2"/>
      <c r="F2603" s="35">
        <v>4.5</v>
      </c>
      <c r="G2603" s="35">
        <v>-6.3555307621698365</v>
      </c>
      <c r="H2603" s="35">
        <v>2.0400240065088089</v>
      </c>
      <c r="I2603" s="35">
        <v>-0.2198527840640456</v>
      </c>
      <c r="J2603" s="35">
        <v>2.9938479142674421E-3</v>
      </c>
      <c r="K2603" s="35">
        <v>-1.1052422906242692</v>
      </c>
      <c r="L2603" s="35">
        <v>-8.8468947666110829</v>
      </c>
      <c r="M2603" s="58" t="s">
        <v>24</v>
      </c>
      <c r="N2603" s="7">
        <v>9.5</v>
      </c>
      <c r="O2603" s="7" t="s">
        <v>179</v>
      </c>
      <c r="P2603" s="7" t="s">
        <v>179</v>
      </c>
    </row>
    <row r="2604" spans="1:16" x14ac:dyDescent="0.25">
      <c r="A2604" s="2" t="s">
        <v>181</v>
      </c>
      <c r="B2604" s="2" t="s">
        <v>201</v>
      </c>
      <c r="C2604" s="6" t="s">
        <v>148</v>
      </c>
      <c r="D2604" s="2" t="s">
        <v>123</v>
      </c>
      <c r="E2604" s="2"/>
      <c r="F2604" s="35">
        <v>8.9965005885644906</v>
      </c>
      <c r="G2604" s="35">
        <v>-4.5259100684836513</v>
      </c>
      <c r="H2604" s="35">
        <v>-6.2695090811583674</v>
      </c>
      <c r="I2604" s="35">
        <v>-0.21985278406404607</v>
      </c>
      <c r="J2604" s="35">
        <v>2.9938479142674421E-3</v>
      </c>
      <c r="K2604" s="35">
        <v>-0.11667411768274574</v>
      </c>
      <c r="L2604" s="35">
        <v>0.66204629713216412</v>
      </c>
      <c r="M2604" s="58" t="s">
        <v>23</v>
      </c>
      <c r="N2604" s="7">
        <v>9.5</v>
      </c>
      <c r="O2604" s="7" t="s">
        <v>179</v>
      </c>
      <c r="P2604" s="7" t="s">
        <v>179</v>
      </c>
    </row>
    <row r="2605" spans="1:16" x14ac:dyDescent="0.25">
      <c r="A2605" s="2" t="s">
        <v>181</v>
      </c>
      <c r="B2605" s="2" t="s">
        <v>201</v>
      </c>
      <c r="C2605" s="6" t="s">
        <v>148</v>
      </c>
      <c r="D2605" s="2" t="s">
        <v>124</v>
      </c>
      <c r="E2605" s="2"/>
      <c r="F2605" s="35">
        <v>0</v>
      </c>
      <c r="G2605" s="35">
        <v>30.644156849350104</v>
      </c>
      <c r="H2605" s="35">
        <v>7.1275231393723537</v>
      </c>
      <c r="I2605" s="35">
        <v>0.35057640280102209</v>
      </c>
      <c r="J2605" s="35">
        <v>-2.3768653058495927E-4</v>
      </c>
      <c r="K2605" s="35">
        <v>0.60450601726323883</v>
      </c>
      <c r="L2605" s="35">
        <v>16.571846902965774</v>
      </c>
      <c r="M2605" s="58" t="s">
        <v>22</v>
      </c>
      <c r="N2605" s="7">
        <v>9.5</v>
      </c>
      <c r="O2605" s="7" t="s">
        <v>179</v>
      </c>
      <c r="P2605" s="7" t="s">
        <v>179</v>
      </c>
    </row>
    <row r="2606" spans="1:16" x14ac:dyDescent="0.25">
      <c r="A2606" s="2" t="s">
        <v>181</v>
      </c>
      <c r="B2606" s="2" t="s">
        <v>201</v>
      </c>
      <c r="C2606" s="6" t="s">
        <v>148</v>
      </c>
      <c r="D2606" s="2" t="s">
        <v>124</v>
      </c>
      <c r="E2606" s="2"/>
      <c r="F2606" s="35">
        <v>2</v>
      </c>
      <c r="G2606" s="35">
        <v>31.457954449350112</v>
      </c>
      <c r="H2606" s="35">
        <v>0.74352313937235504</v>
      </c>
      <c r="I2606" s="35">
        <v>0.35057640280102165</v>
      </c>
      <c r="J2606" s="35">
        <v>-2.3768653058495927E-4</v>
      </c>
      <c r="K2606" s="35">
        <v>-9.6646788338804815E-2</v>
      </c>
      <c r="L2606" s="35">
        <v>8.7008006242210634</v>
      </c>
      <c r="M2606" s="58" t="s">
        <v>22</v>
      </c>
      <c r="N2606" s="7">
        <v>9.5</v>
      </c>
      <c r="O2606" s="7" t="s">
        <v>179</v>
      </c>
      <c r="P2606" s="7" t="s">
        <v>179</v>
      </c>
    </row>
    <row r="2607" spans="1:16" x14ac:dyDescent="0.25">
      <c r="A2607" s="2" t="s">
        <v>181</v>
      </c>
      <c r="B2607" s="2" t="s">
        <v>201</v>
      </c>
      <c r="C2607" s="6" t="s">
        <v>148</v>
      </c>
      <c r="D2607" s="2" t="s">
        <v>124</v>
      </c>
      <c r="E2607" s="2"/>
      <c r="F2607" s="35">
        <v>2</v>
      </c>
      <c r="G2607" s="35">
        <v>31.817826976911363</v>
      </c>
      <c r="H2607" s="35">
        <v>0.74352952530084426</v>
      </c>
      <c r="I2607" s="35">
        <v>-1.2281397264888493E-2</v>
      </c>
      <c r="J2607" s="35">
        <v>-1.8951359104505037E-4</v>
      </c>
      <c r="K2607" s="35">
        <v>-9.6646788338804662E-2</v>
      </c>
      <c r="L2607" s="35">
        <v>8.7007492397523123</v>
      </c>
      <c r="M2607" s="58" t="s">
        <v>22</v>
      </c>
      <c r="N2607" s="7">
        <v>9.5</v>
      </c>
      <c r="O2607" s="7" t="s">
        <v>179</v>
      </c>
      <c r="P2607" s="7" t="s">
        <v>179</v>
      </c>
    </row>
    <row r="2608" spans="1:16" x14ac:dyDescent="0.25">
      <c r="A2608" s="2" t="s">
        <v>181</v>
      </c>
      <c r="B2608" s="2" t="s">
        <v>201</v>
      </c>
      <c r="C2608" s="6" t="s">
        <v>148</v>
      </c>
      <c r="D2608" s="2" t="s">
        <v>124</v>
      </c>
      <c r="E2608" s="2"/>
      <c r="F2608" s="35">
        <v>4.5</v>
      </c>
      <c r="G2608" s="35">
        <v>32.83507397691136</v>
      </c>
      <c r="H2608" s="35">
        <v>-7.2364704746991579</v>
      </c>
      <c r="I2608" s="35">
        <v>-1.2281397264888982E-2</v>
      </c>
      <c r="J2608" s="35">
        <v>-1.8951359104505037E-4</v>
      </c>
      <c r="K2608" s="35">
        <v>-6.5943295176582817E-2</v>
      </c>
      <c r="L2608" s="35">
        <v>16.816925426500205</v>
      </c>
      <c r="M2608" s="58" t="s">
        <v>24</v>
      </c>
      <c r="N2608" s="7">
        <v>9.5</v>
      </c>
      <c r="O2608" s="7" t="s">
        <v>179</v>
      </c>
      <c r="P2608" s="7" t="s">
        <v>179</v>
      </c>
    </row>
    <row r="2609" spans="1:16" x14ac:dyDescent="0.25">
      <c r="A2609" s="2" t="s">
        <v>181</v>
      </c>
      <c r="B2609" s="2" t="s">
        <v>201</v>
      </c>
      <c r="C2609" s="6" t="s">
        <v>148</v>
      </c>
      <c r="D2609" s="2" t="s">
        <v>124</v>
      </c>
      <c r="E2609" s="2"/>
      <c r="F2609" s="35">
        <v>4.5</v>
      </c>
      <c r="G2609" s="35">
        <v>33.612020643929931</v>
      </c>
      <c r="H2609" s="35">
        <v>-7.2365113611768921</v>
      </c>
      <c r="I2609" s="35">
        <v>-1.2064620749636391E-2</v>
      </c>
      <c r="J2609" s="35">
        <v>2.0622993865588278E-4</v>
      </c>
      <c r="K2609" s="35">
        <v>-6.5941270524872489E-2</v>
      </c>
      <c r="L2609" s="35">
        <v>15.845737788377896</v>
      </c>
      <c r="M2609" s="58" t="s">
        <v>24</v>
      </c>
      <c r="N2609" s="7">
        <v>9.5</v>
      </c>
      <c r="O2609" s="7" t="s">
        <v>179</v>
      </c>
      <c r="P2609" s="7" t="s">
        <v>179</v>
      </c>
    </row>
    <row r="2610" spans="1:16" x14ac:dyDescent="0.25">
      <c r="A2610" s="2" t="s">
        <v>181</v>
      </c>
      <c r="B2610" s="2" t="s">
        <v>201</v>
      </c>
      <c r="C2610" s="6" t="s">
        <v>148</v>
      </c>
      <c r="D2610" s="2" t="s">
        <v>124</v>
      </c>
      <c r="E2610" s="2"/>
      <c r="F2610" s="35">
        <v>8.9965005885644906</v>
      </c>
      <c r="G2610" s="35">
        <v>35.441641337616112</v>
      </c>
      <c r="H2610" s="35">
        <v>-21.589341239874742</v>
      </c>
      <c r="I2610" s="35">
        <v>-1.2064620749637271E-2</v>
      </c>
      <c r="J2610" s="35">
        <v>2.0622993865588278E-4</v>
      </c>
      <c r="K2610" s="35">
        <v>-1.1692696223323135E-2</v>
      </c>
      <c r="L2610" s="35">
        <v>80.653469381628838</v>
      </c>
      <c r="M2610" s="58" t="s">
        <v>23</v>
      </c>
      <c r="N2610" s="7">
        <v>9.5</v>
      </c>
      <c r="O2610" s="7" t="s">
        <v>179</v>
      </c>
      <c r="P2610" s="7" t="s">
        <v>179</v>
      </c>
    </row>
    <row r="2611" spans="1:16" x14ac:dyDescent="0.25">
      <c r="A2611" s="2" t="s">
        <v>181</v>
      </c>
      <c r="B2611" s="2" t="s">
        <v>201</v>
      </c>
      <c r="C2611" s="6" t="s">
        <v>148</v>
      </c>
      <c r="D2611" s="2" t="s">
        <v>125</v>
      </c>
      <c r="E2611" s="2"/>
      <c r="F2611" s="35">
        <v>0</v>
      </c>
      <c r="G2611" s="35">
        <v>-22.737558406372802</v>
      </c>
      <c r="H2611" s="35">
        <v>23.380520045602385</v>
      </c>
      <c r="I2611" s="35">
        <v>0.50227879329811631</v>
      </c>
      <c r="J2611" s="35">
        <v>-1.5578220923466066E-4</v>
      </c>
      <c r="K2611" s="35">
        <v>0.82646993303764926</v>
      </c>
      <c r="L2611" s="35">
        <v>113.29990969475605</v>
      </c>
      <c r="M2611" s="58" t="s">
        <v>22</v>
      </c>
      <c r="N2611" s="7">
        <v>9.5</v>
      </c>
      <c r="O2611" s="7" t="s">
        <v>179</v>
      </c>
      <c r="P2611" s="7" t="s">
        <v>179</v>
      </c>
    </row>
    <row r="2612" spans="1:16" x14ac:dyDescent="0.25">
      <c r="A2612" s="2" t="s">
        <v>181</v>
      </c>
      <c r="B2612" s="2" t="s">
        <v>201</v>
      </c>
      <c r="C2612" s="6" t="s">
        <v>148</v>
      </c>
      <c r="D2612" s="2" t="s">
        <v>125</v>
      </c>
      <c r="E2612" s="2"/>
      <c r="F2612" s="35">
        <v>2</v>
      </c>
      <c r="G2612" s="35">
        <v>-21.923760806372798</v>
      </c>
      <c r="H2612" s="35">
        <v>21.700520045602381</v>
      </c>
      <c r="I2612" s="35">
        <v>0.5022787932981162</v>
      </c>
      <c r="J2612" s="35">
        <v>-1.5578220923466066E-4</v>
      </c>
      <c r="K2612" s="35">
        <v>-0.17808765355858308</v>
      </c>
      <c r="L2612" s="35">
        <v>68.218869603551283</v>
      </c>
      <c r="M2612" s="58" t="s">
        <v>22</v>
      </c>
      <c r="N2612" s="7">
        <v>9.5</v>
      </c>
      <c r="O2612" s="7" t="s">
        <v>179</v>
      </c>
      <c r="P2612" s="7" t="s">
        <v>179</v>
      </c>
    </row>
    <row r="2613" spans="1:16" x14ac:dyDescent="0.25">
      <c r="A2613" s="2" t="s">
        <v>181</v>
      </c>
      <c r="B2613" s="2" t="s">
        <v>201</v>
      </c>
      <c r="C2613" s="6" t="s">
        <v>148</v>
      </c>
      <c r="D2613" s="2" t="s">
        <v>125</v>
      </c>
      <c r="E2613" s="2"/>
      <c r="F2613" s="35">
        <v>2</v>
      </c>
      <c r="G2613" s="35">
        <v>-21.411290960341059</v>
      </c>
      <c r="H2613" s="35">
        <v>21.700509255727365</v>
      </c>
      <c r="I2613" s="35">
        <v>-2.3347331282993527E-2</v>
      </c>
      <c r="J2613" s="35">
        <v>-1.2990588121187919E-4</v>
      </c>
      <c r="K2613" s="35">
        <v>-0.17808765355858353</v>
      </c>
      <c r="L2613" s="35">
        <v>68.218842002134778</v>
      </c>
      <c r="M2613" s="58" t="s">
        <v>22</v>
      </c>
      <c r="N2613" s="7">
        <v>9.5</v>
      </c>
      <c r="O2613" s="7" t="s">
        <v>179</v>
      </c>
      <c r="P2613" s="7" t="s">
        <v>179</v>
      </c>
    </row>
    <row r="2614" spans="1:16" x14ac:dyDescent="0.25">
      <c r="A2614" s="2" t="s">
        <v>181</v>
      </c>
      <c r="B2614" s="2" t="s">
        <v>201</v>
      </c>
      <c r="C2614" s="6" t="s">
        <v>148</v>
      </c>
      <c r="D2614" s="2" t="s">
        <v>125</v>
      </c>
      <c r="E2614" s="2"/>
      <c r="F2614" s="35">
        <v>4.5</v>
      </c>
      <c r="G2614" s="35">
        <v>-20.394043960341062</v>
      </c>
      <c r="H2614" s="35">
        <v>19.600509255727363</v>
      </c>
      <c r="I2614" s="35">
        <v>-2.3347331282993655E-2</v>
      </c>
      <c r="J2614" s="35">
        <v>-1.2990588121187919E-4</v>
      </c>
      <c r="K2614" s="35">
        <v>-0.11971932535109955</v>
      </c>
      <c r="L2614" s="35">
        <v>16.592568862816389</v>
      </c>
      <c r="M2614" s="58" t="s">
        <v>24</v>
      </c>
      <c r="N2614" s="7">
        <v>9.5</v>
      </c>
      <c r="O2614" s="7" t="s">
        <v>179</v>
      </c>
      <c r="P2614" s="7" t="s">
        <v>179</v>
      </c>
    </row>
    <row r="2615" spans="1:16" x14ac:dyDescent="0.25">
      <c r="A2615" s="2" t="s">
        <v>181</v>
      </c>
      <c r="B2615" s="2" t="s">
        <v>201</v>
      </c>
      <c r="C2615" s="6" t="s">
        <v>148</v>
      </c>
      <c r="D2615" s="2" t="s">
        <v>125</v>
      </c>
      <c r="E2615" s="2"/>
      <c r="F2615" s="35">
        <v>4.5</v>
      </c>
      <c r="G2615" s="35">
        <v>-19.617097372900979</v>
      </c>
      <c r="H2615" s="35">
        <v>19.600571513699666</v>
      </c>
      <c r="I2615" s="35">
        <v>-2.2814812142905205E-2</v>
      </c>
      <c r="J2615" s="35">
        <v>2.1282354377813556E-4</v>
      </c>
      <c r="K2615" s="35">
        <v>-0.11971696347930072</v>
      </c>
      <c r="L2615" s="35">
        <v>15.621403672950185</v>
      </c>
      <c r="M2615" s="58" t="s">
        <v>24</v>
      </c>
      <c r="N2615" s="7">
        <v>9.5</v>
      </c>
      <c r="O2615" s="7" t="s">
        <v>179</v>
      </c>
      <c r="P2615" s="7" t="s">
        <v>179</v>
      </c>
    </row>
    <row r="2616" spans="1:16" x14ac:dyDescent="0.25">
      <c r="A2616" s="2" t="s">
        <v>181</v>
      </c>
      <c r="B2616" s="2" t="s">
        <v>201</v>
      </c>
      <c r="C2616" s="6" t="s">
        <v>148</v>
      </c>
      <c r="D2616" s="2" t="s">
        <v>125</v>
      </c>
      <c r="E2616" s="2"/>
      <c r="F2616" s="35">
        <v>8.9965005885644906</v>
      </c>
      <c r="G2616" s="35">
        <v>-17.787476679214794</v>
      </c>
      <c r="H2616" s="35">
        <v>15.823511019305494</v>
      </c>
      <c r="I2616" s="35">
        <v>-2.2814812142905434E-2</v>
      </c>
      <c r="J2616" s="35">
        <v>2.1282354377813556E-4</v>
      </c>
      <c r="K2616" s="35">
        <v>-1.7130147250738713E-2</v>
      </c>
      <c r="L2616" s="35">
        <v>-64.020800306557163</v>
      </c>
      <c r="M2616" s="58" t="s">
        <v>23</v>
      </c>
      <c r="N2616" s="7">
        <v>9.5</v>
      </c>
      <c r="O2616" s="7" t="s">
        <v>179</v>
      </c>
      <c r="P2616" s="7" t="s">
        <v>179</v>
      </c>
    </row>
    <row r="2617" spans="1:16" x14ac:dyDescent="0.25">
      <c r="A2617" s="2" t="s">
        <v>181</v>
      </c>
      <c r="B2617" s="2" t="s">
        <v>201</v>
      </c>
      <c r="C2617" s="6" t="s">
        <v>148</v>
      </c>
      <c r="D2617" s="2" t="s">
        <v>126</v>
      </c>
      <c r="E2617" s="2"/>
      <c r="F2617" s="35">
        <v>0</v>
      </c>
      <c r="G2617" s="35">
        <v>47.434767108670336</v>
      </c>
      <c r="H2617" s="35">
        <v>-41.033562192394221</v>
      </c>
      <c r="I2617" s="35">
        <v>0.36593992781917029</v>
      </c>
      <c r="J2617" s="35">
        <v>-2.6449711115304872E-4</v>
      </c>
      <c r="K2617" s="35">
        <v>0.6393557216063227</v>
      </c>
      <c r="L2617" s="35">
        <v>-123.02080613045506</v>
      </c>
      <c r="M2617" s="58" t="s">
        <v>22</v>
      </c>
      <c r="N2617" s="7">
        <v>9.5</v>
      </c>
      <c r="O2617" s="7" t="s">
        <v>179</v>
      </c>
      <c r="P2617" s="7" t="s">
        <v>179</v>
      </c>
    </row>
    <row r="2618" spans="1:16" x14ac:dyDescent="0.25">
      <c r="A2618" s="2" t="s">
        <v>181</v>
      </c>
      <c r="B2618" s="2" t="s">
        <v>201</v>
      </c>
      <c r="C2618" s="6" t="s">
        <v>148</v>
      </c>
      <c r="D2618" s="2" t="s">
        <v>126</v>
      </c>
      <c r="E2618" s="2"/>
      <c r="F2618" s="35">
        <v>2</v>
      </c>
      <c r="G2618" s="35">
        <v>48.248564708670344</v>
      </c>
      <c r="H2618" s="35">
        <v>-34.985562192394227</v>
      </c>
      <c r="I2618" s="35">
        <v>0.36593992781917067</v>
      </c>
      <c r="J2618" s="35">
        <v>-2.6449711115304872E-4</v>
      </c>
      <c r="K2618" s="35">
        <v>-9.2524134032018104E-2</v>
      </c>
      <c r="L2618" s="35">
        <v>-47.001681745666623</v>
      </c>
      <c r="M2618" s="58" t="s">
        <v>22</v>
      </c>
      <c r="N2618" s="7">
        <v>9.5</v>
      </c>
      <c r="O2618" s="7" t="s">
        <v>179</v>
      </c>
      <c r="P2618" s="7" t="s">
        <v>179</v>
      </c>
    </row>
    <row r="2619" spans="1:16" x14ac:dyDescent="0.25">
      <c r="A2619" s="2" t="s">
        <v>181</v>
      </c>
      <c r="B2619" s="2" t="s">
        <v>201</v>
      </c>
      <c r="C2619" s="6" t="s">
        <v>148</v>
      </c>
      <c r="D2619" s="2" t="s">
        <v>126</v>
      </c>
      <c r="E2619" s="2"/>
      <c r="F2619" s="35">
        <v>2</v>
      </c>
      <c r="G2619" s="35">
        <v>48.622295794952343</v>
      </c>
      <c r="H2619" s="35">
        <v>-34.98554846294072</v>
      </c>
      <c r="I2619" s="35">
        <v>-1.1701273150644004E-2</v>
      </c>
      <c r="J2619" s="35">
        <v>-2.0116478435726077E-4</v>
      </c>
      <c r="K2619" s="35">
        <v>-9.2524134032018243E-2</v>
      </c>
      <c r="L2619" s="35">
        <v>-47.001749300148731</v>
      </c>
      <c r="M2619" s="58" t="s">
        <v>22</v>
      </c>
      <c r="N2619" s="7">
        <v>9.5</v>
      </c>
      <c r="O2619" s="7" t="s">
        <v>179</v>
      </c>
      <c r="P2619" s="7" t="s">
        <v>179</v>
      </c>
    </row>
    <row r="2620" spans="1:16" x14ac:dyDescent="0.25">
      <c r="A2620" s="2" t="s">
        <v>181</v>
      </c>
      <c r="B2620" s="2" t="s">
        <v>201</v>
      </c>
      <c r="C2620" s="6" t="s">
        <v>148</v>
      </c>
      <c r="D2620" s="2" t="s">
        <v>126</v>
      </c>
      <c r="E2620" s="2"/>
      <c r="F2620" s="35">
        <v>4.5</v>
      </c>
      <c r="G2620" s="35">
        <v>49.639542794952341</v>
      </c>
      <c r="H2620" s="35">
        <v>-27.425548462940725</v>
      </c>
      <c r="I2620" s="35">
        <v>-1.1701273150643541E-2</v>
      </c>
      <c r="J2620" s="35">
        <v>-2.0116478435726077E-4</v>
      </c>
      <c r="K2620" s="35">
        <v>-6.3270951155408803E-2</v>
      </c>
      <c r="L2620" s="35">
        <v>31.012121857203081</v>
      </c>
      <c r="M2620" s="58" t="s">
        <v>24</v>
      </c>
      <c r="N2620" s="7">
        <v>9.5</v>
      </c>
      <c r="O2620" s="7" t="s">
        <v>179</v>
      </c>
      <c r="P2620" s="7" t="s">
        <v>179</v>
      </c>
    </row>
    <row r="2621" spans="1:16" x14ac:dyDescent="0.25">
      <c r="A2621" s="2" t="s">
        <v>181</v>
      </c>
      <c r="B2621" s="2" t="s">
        <v>201</v>
      </c>
      <c r="C2621" s="6" t="s">
        <v>148</v>
      </c>
      <c r="D2621" s="2" t="s">
        <v>126</v>
      </c>
      <c r="E2621" s="2"/>
      <c r="F2621" s="35">
        <v>4.5</v>
      </c>
      <c r="G2621" s="35">
        <v>50.416489413922221</v>
      </c>
      <c r="H2621" s="35">
        <v>-27.425613404775987</v>
      </c>
      <c r="I2621" s="35">
        <v>-1.1520727132305095E-2</v>
      </c>
      <c r="J2621" s="35">
        <v>2.4916142219238351E-4</v>
      </c>
      <c r="K2621" s="35">
        <v>-6.3268779935221509E-2</v>
      </c>
      <c r="L2621" s="35">
        <v>30.040930774866787</v>
      </c>
      <c r="M2621" s="58" t="s">
        <v>24</v>
      </c>
      <c r="N2621" s="7">
        <v>9.5</v>
      </c>
      <c r="O2621" s="7" t="s">
        <v>179</v>
      </c>
      <c r="P2621" s="7" t="s">
        <v>179</v>
      </c>
    </row>
    <row r="2622" spans="1:16" x14ac:dyDescent="0.25">
      <c r="A2622" s="2" t="s">
        <v>181</v>
      </c>
      <c r="B2622" s="2" t="s">
        <v>201</v>
      </c>
      <c r="C2622" s="6" t="s">
        <v>148</v>
      </c>
      <c r="D2622" s="2" t="s">
        <v>126</v>
      </c>
      <c r="E2622" s="2"/>
      <c r="F2622" s="35">
        <v>8.9965005885644906</v>
      </c>
      <c r="G2622" s="35">
        <v>52.246110107608409</v>
      </c>
      <c r="H2622" s="35">
        <v>-13.828195624956974</v>
      </c>
      <c r="I2622" s="35">
        <v>-1.1520727132304263E-2</v>
      </c>
      <c r="J2622" s="35">
        <v>2.4916142219238351E-4</v>
      </c>
      <c r="K2622" s="35">
        <v>-1.1465823604122634E-2</v>
      </c>
      <c r="L2622" s="35">
        <v>122.78981906622745</v>
      </c>
      <c r="M2622" s="58" t="s">
        <v>23</v>
      </c>
      <c r="N2622" s="7">
        <v>9.5</v>
      </c>
      <c r="O2622" s="7" t="s">
        <v>179</v>
      </c>
      <c r="P2622" s="7" t="s">
        <v>179</v>
      </c>
    </row>
    <row r="2623" spans="1:16" x14ac:dyDescent="0.25">
      <c r="A2623" s="2" t="s">
        <v>181</v>
      </c>
      <c r="B2623" s="2" t="s">
        <v>201</v>
      </c>
      <c r="C2623" s="6" t="s">
        <v>148</v>
      </c>
      <c r="D2623" s="2" t="s">
        <v>127</v>
      </c>
      <c r="E2623" s="2"/>
      <c r="F2623" s="35">
        <v>0</v>
      </c>
      <c r="G2623" s="35">
        <v>-70.724589030126481</v>
      </c>
      <c r="H2623" s="35">
        <v>-15.385636785222179</v>
      </c>
      <c r="I2623" s="35">
        <v>0.73416629097713604</v>
      </c>
      <c r="J2623" s="35">
        <v>-4.6814401783989182E-4</v>
      </c>
      <c r="K2623" s="35">
        <v>1.1834575180570224</v>
      </c>
      <c r="L2623" s="35">
        <v>-47.067821405276895</v>
      </c>
      <c r="M2623" s="58" t="s">
        <v>22</v>
      </c>
      <c r="N2623" s="7">
        <v>9.5</v>
      </c>
      <c r="O2623" s="7" t="s">
        <v>179</v>
      </c>
      <c r="P2623" s="7" t="s">
        <v>179</v>
      </c>
    </row>
    <row r="2624" spans="1:16" x14ac:dyDescent="0.25">
      <c r="A2624" s="2" t="s">
        <v>181</v>
      </c>
      <c r="B2624" s="2" t="s">
        <v>201</v>
      </c>
      <c r="C2624" s="6" t="s">
        <v>148</v>
      </c>
      <c r="D2624" s="2" t="s">
        <v>127</v>
      </c>
      <c r="E2624" s="2"/>
      <c r="F2624" s="35">
        <v>2</v>
      </c>
      <c r="G2624" s="35">
        <v>-69.910791430126451</v>
      </c>
      <c r="H2624" s="35">
        <v>-4.6336367852221763</v>
      </c>
      <c r="I2624" s="35">
        <v>0.7341662909771367</v>
      </c>
      <c r="J2624" s="35">
        <v>-4.6814401783989182E-4</v>
      </c>
      <c r="K2624" s="35">
        <v>-0.28487506389725031</v>
      </c>
      <c r="L2624" s="35">
        <v>-27.04854783483254</v>
      </c>
      <c r="M2624" s="58" t="s">
        <v>22</v>
      </c>
      <c r="N2624" s="7">
        <v>9.5</v>
      </c>
      <c r="O2624" s="7" t="s">
        <v>179</v>
      </c>
      <c r="P2624" s="7" t="s">
        <v>179</v>
      </c>
    </row>
    <row r="2625" spans="1:16" x14ac:dyDescent="0.25">
      <c r="A2625" s="2" t="s">
        <v>181</v>
      </c>
      <c r="B2625" s="2" t="s">
        <v>201</v>
      </c>
      <c r="C2625" s="6" t="s">
        <v>148</v>
      </c>
      <c r="D2625" s="2" t="s">
        <v>127</v>
      </c>
      <c r="E2625" s="2"/>
      <c r="F2625" s="35">
        <v>2</v>
      </c>
      <c r="G2625" s="35">
        <v>-69.16741999237702</v>
      </c>
      <c r="H2625" s="35">
        <v>-4.6336458063154451</v>
      </c>
      <c r="I2625" s="35">
        <v>-3.7753351529173453E-2</v>
      </c>
      <c r="J2625" s="35">
        <v>-5.6142777636602873E-4</v>
      </c>
      <c r="K2625" s="35">
        <v>-0.28487506389725092</v>
      </c>
      <c r="L2625" s="35">
        <v>-27.048448332156745</v>
      </c>
      <c r="M2625" s="58" t="s">
        <v>22</v>
      </c>
      <c r="N2625" s="7">
        <v>9.5</v>
      </c>
      <c r="O2625" s="7" t="s">
        <v>179</v>
      </c>
      <c r="P2625" s="7" t="s">
        <v>179</v>
      </c>
    </row>
    <row r="2626" spans="1:16" x14ac:dyDescent="0.25">
      <c r="A2626" s="2" t="s">
        <v>181</v>
      </c>
      <c r="B2626" s="2" t="s">
        <v>201</v>
      </c>
      <c r="C2626" s="6" t="s">
        <v>148</v>
      </c>
      <c r="D2626" s="2" t="s">
        <v>127</v>
      </c>
      <c r="E2626" s="2"/>
      <c r="F2626" s="35">
        <v>4.5</v>
      </c>
      <c r="G2626" s="35">
        <v>-68.150172992377023</v>
      </c>
      <c r="H2626" s="35">
        <v>8.8063541936845553</v>
      </c>
      <c r="I2626" s="35">
        <v>-3.7753351529172627E-2</v>
      </c>
      <c r="J2626" s="35">
        <v>-5.6142777636602873E-4</v>
      </c>
      <c r="K2626" s="35">
        <v>-0.19049168507431832</v>
      </c>
      <c r="L2626" s="35">
        <v>-32.264333816368136</v>
      </c>
      <c r="M2626" s="58" t="s">
        <v>24</v>
      </c>
      <c r="N2626" s="7">
        <v>9.5</v>
      </c>
      <c r="O2626" s="7" t="s">
        <v>179</v>
      </c>
      <c r="P2626" s="7" t="s">
        <v>179</v>
      </c>
    </row>
    <row r="2627" spans="1:16" x14ac:dyDescent="0.25">
      <c r="A2627" s="2" t="s">
        <v>181</v>
      </c>
      <c r="B2627" s="2" t="s">
        <v>201</v>
      </c>
      <c r="C2627" s="6" t="s">
        <v>148</v>
      </c>
      <c r="D2627" s="2" t="s">
        <v>127</v>
      </c>
      <c r="E2627" s="2"/>
      <c r="F2627" s="35">
        <v>4.5</v>
      </c>
      <c r="G2627" s="35">
        <v>-67.373226356000814</v>
      </c>
      <c r="H2627" s="35">
        <v>8.8063128557242401</v>
      </c>
      <c r="I2627" s="35">
        <v>-3.6897697109955524E-2</v>
      </c>
      <c r="J2627" s="35">
        <v>5.589669843796475E-4</v>
      </c>
      <c r="K2627" s="35">
        <v>-0.1904895640158846</v>
      </c>
      <c r="L2627" s="35">
        <v>-33.235518092040842</v>
      </c>
      <c r="M2627" s="58" t="s">
        <v>24</v>
      </c>
      <c r="N2627" s="7">
        <v>9.5</v>
      </c>
      <c r="O2627" s="7" t="s">
        <v>179</v>
      </c>
      <c r="P2627" s="7" t="s">
        <v>179</v>
      </c>
    </row>
    <row r="2628" spans="1:16" x14ac:dyDescent="0.25">
      <c r="A2628" s="2" t="s">
        <v>181</v>
      </c>
      <c r="B2628" s="2" t="s">
        <v>201</v>
      </c>
      <c r="C2628" s="6" t="s">
        <v>148</v>
      </c>
      <c r="D2628" s="2" t="s">
        <v>127</v>
      </c>
      <c r="E2628" s="2"/>
      <c r="F2628" s="35">
        <v>8.9965005885644906</v>
      </c>
      <c r="G2628" s="35">
        <v>-65.543605662314633</v>
      </c>
      <c r="H2628" s="35">
        <v>32.979500019846931</v>
      </c>
      <c r="I2628" s="35">
        <v>-3.6897697109954039E-2</v>
      </c>
      <c r="J2628" s="35">
        <v>5.589669843796475E-4</v>
      </c>
      <c r="K2628" s="35">
        <v>-2.4579047244298692E-2</v>
      </c>
      <c r="L2628" s="35">
        <v>-127.18048418636651</v>
      </c>
      <c r="M2628" s="58" t="s">
        <v>23</v>
      </c>
      <c r="N2628" s="7">
        <v>9.5</v>
      </c>
      <c r="O2628" s="7" t="s">
        <v>179</v>
      </c>
      <c r="P2628" s="7" t="s">
        <v>179</v>
      </c>
    </row>
    <row r="2629" spans="1:16" x14ac:dyDescent="0.25">
      <c r="A2629" s="2" t="s">
        <v>181</v>
      </c>
      <c r="B2629" s="2" t="s">
        <v>202</v>
      </c>
      <c r="C2629" s="6" t="s">
        <v>149</v>
      </c>
      <c r="D2629" s="2" t="s">
        <v>105</v>
      </c>
      <c r="E2629" s="2"/>
      <c r="F2629" s="35">
        <v>0</v>
      </c>
      <c r="G2629" s="35">
        <v>-48.77838025918058</v>
      </c>
      <c r="H2629" s="35">
        <v>-18.976165215620878</v>
      </c>
      <c r="I2629" s="35">
        <v>-6.8047831062462344E-2</v>
      </c>
      <c r="J2629" s="35">
        <v>3.093917946773349E-5</v>
      </c>
      <c r="K2629" s="35">
        <v>-9.7073015738824528E-2</v>
      </c>
      <c r="L2629" s="35">
        <v>-60.769362693140565</v>
      </c>
      <c r="M2629" s="58" t="s">
        <v>22</v>
      </c>
      <c r="N2629" s="7">
        <v>9.5</v>
      </c>
      <c r="O2629" s="7" t="s">
        <v>179</v>
      </c>
      <c r="P2629" s="7" t="s">
        <v>179</v>
      </c>
    </row>
    <row r="2630" spans="1:16" x14ac:dyDescent="0.25">
      <c r="A2630" s="2" t="s">
        <v>181</v>
      </c>
      <c r="B2630" s="2" t="s">
        <v>202</v>
      </c>
      <c r="C2630" s="6" t="s">
        <v>149</v>
      </c>
      <c r="D2630" s="2" t="s">
        <v>105</v>
      </c>
      <c r="E2630" s="2"/>
      <c r="F2630" s="35">
        <v>2</v>
      </c>
      <c r="G2630" s="35">
        <v>-47.964582659180579</v>
      </c>
      <c r="H2630" s="35">
        <v>-18.976165215620878</v>
      </c>
      <c r="I2630" s="35">
        <v>-6.8047831062462344E-2</v>
      </c>
      <c r="J2630" s="35">
        <v>3.093917946773349E-5</v>
      </c>
      <c r="K2630" s="35">
        <v>3.9022646386100132E-2</v>
      </c>
      <c r="L2630" s="35">
        <v>-22.817032261898817</v>
      </c>
      <c r="M2630" s="58" t="s">
        <v>22</v>
      </c>
      <c r="N2630" s="7">
        <v>9.5</v>
      </c>
      <c r="O2630" s="7" t="s">
        <v>179</v>
      </c>
      <c r="P2630" s="7" t="s">
        <v>179</v>
      </c>
    </row>
    <row r="2631" spans="1:16" x14ac:dyDescent="0.25">
      <c r="A2631" s="2" t="s">
        <v>181</v>
      </c>
      <c r="B2631" s="2" t="s">
        <v>202</v>
      </c>
      <c r="C2631" s="6" t="s">
        <v>149</v>
      </c>
      <c r="D2631" s="2" t="s">
        <v>105</v>
      </c>
      <c r="E2631" s="2"/>
      <c r="F2631" s="35">
        <v>2</v>
      </c>
      <c r="G2631" s="35">
        <v>-47.876938469899748</v>
      </c>
      <c r="H2631" s="35">
        <v>-18.976154080397652</v>
      </c>
      <c r="I2631" s="35">
        <v>4.4285278318183015E-3</v>
      </c>
      <c r="J2631" s="35">
        <v>-2.8474079632002786E-5</v>
      </c>
      <c r="K2631" s="35">
        <v>3.9022646386100222E-2</v>
      </c>
      <c r="L2631" s="35">
        <v>-22.817095636041845</v>
      </c>
      <c r="M2631" s="58" t="s">
        <v>22</v>
      </c>
      <c r="N2631" s="7">
        <v>9.5</v>
      </c>
      <c r="O2631" s="7" t="s">
        <v>179</v>
      </c>
      <c r="P2631" s="7" t="s">
        <v>179</v>
      </c>
    </row>
    <row r="2632" spans="1:16" x14ac:dyDescent="0.25">
      <c r="A2632" s="2" t="s">
        <v>181</v>
      </c>
      <c r="B2632" s="2" t="s">
        <v>202</v>
      </c>
      <c r="C2632" s="6" t="s">
        <v>149</v>
      </c>
      <c r="D2632" s="2" t="s">
        <v>105</v>
      </c>
      <c r="E2632" s="2"/>
      <c r="F2632" s="35">
        <v>4.4982502942822435</v>
      </c>
      <c r="G2632" s="35">
        <v>-46.860403423056653</v>
      </c>
      <c r="H2632" s="35">
        <v>-18.976154080397652</v>
      </c>
      <c r="I2632" s="35">
        <v>4.4285278318183015E-3</v>
      </c>
      <c r="J2632" s="35">
        <v>-2.8474079632002786E-5</v>
      </c>
      <c r="K2632" s="35">
        <v>2.7959075427023045E-2</v>
      </c>
      <c r="L2632" s="35">
        <v>24.590086879656791</v>
      </c>
      <c r="M2632" s="58" t="s">
        <v>24</v>
      </c>
      <c r="N2632" s="7">
        <v>9.5</v>
      </c>
      <c r="O2632" s="7" t="s">
        <v>179</v>
      </c>
      <c r="P2632" s="7" t="s">
        <v>179</v>
      </c>
    </row>
    <row r="2633" spans="1:16" x14ac:dyDescent="0.25">
      <c r="A2633" s="2" t="s">
        <v>181</v>
      </c>
      <c r="B2633" s="2" t="s">
        <v>202</v>
      </c>
      <c r="C2633" s="6" t="s">
        <v>149</v>
      </c>
      <c r="D2633" s="2" t="s">
        <v>105</v>
      </c>
      <c r="E2633" s="2"/>
      <c r="F2633" s="35">
        <v>8.9965005885644871</v>
      </c>
      <c r="G2633" s="35">
        <v>-45.030070776213563</v>
      </c>
      <c r="H2633" s="35">
        <v>-18.976154080397652</v>
      </c>
      <c r="I2633" s="35">
        <v>4.4285278318183015E-3</v>
      </c>
      <c r="J2633" s="35">
        <v>-2.8474079632002786E-5</v>
      </c>
      <c r="K2633" s="35">
        <v>8.0384488043092669E-3</v>
      </c>
      <c r="L2633" s="35">
        <v>109.94957755615076</v>
      </c>
      <c r="M2633" s="58" t="s">
        <v>23</v>
      </c>
      <c r="N2633" s="7">
        <v>9.5</v>
      </c>
      <c r="O2633" s="7" t="s">
        <v>179</v>
      </c>
      <c r="P2633" s="7" t="s">
        <v>179</v>
      </c>
    </row>
    <row r="2634" spans="1:16" x14ac:dyDescent="0.25">
      <c r="A2634" s="2" t="s">
        <v>181</v>
      </c>
      <c r="B2634" s="2" t="s">
        <v>202</v>
      </c>
      <c r="C2634" s="6" t="s">
        <v>149</v>
      </c>
      <c r="D2634" s="2" t="s">
        <v>15</v>
      </c>
      <c r="E2634" s="2"/>
      <c r="F2634" s="35">
        <v>0</v>
      </c>
      <c r="G2634" s="35">
        <v>54.405195810219929</v>
      </c>
      <c r="H2634" s="35">
        <v>4.8226343100339939</v>
      </c>
      <c r="I2634" s="35">
        <v>-4.0708483776151878</v>
      </c>
      <c r="J2634" s="35">
        <v>-2.0898462122396157E-4</v>
      </c>
      <c r="K2634" s="35">
        <v>-6.5165847176706748</v>
      </c>
      <c r="L2634" s="35">
        <v>46.279759137870442</v>
      </c>
      <c r="M2634" s="58" t="s">
        <v>22</v>
      </c>
      <c r="N2634" s="7">
        <v>9.5</v>
      </c>
      <c r="O2634" s="7" t="s">
        <v>179</v>
      </c>
      <c r="P2634" s="7" t="s">
        <v>179</v>
      </c>
    </row>
    <row r="2635" spans="1:16" x14ac:dyDescent="0.25">
      <c r="A2635" s="2" t="s">
        <v>181</v>
      </c>
      <c r="B2635" s="2" t="s">
        <v>202</v>
      </c>
      <c r="C2635" s="6" t="s">
        <v>149</v>
      </c>
      <c r="D2635" s="2" t="s">
        <v>15</v>
      </c>
      <c r="E2635" s="2"/>
      <c r="F2635" s="35">
        <v>2</v>
      </c>
      <c r="G2635" s="35">
        <v>55.21899341021993</v>
      </c>
      <c r="H2635" s="35">
        <v>13.222634310033994</v>
      </c>
      <c r="I2635" s="35">
        <v>-4.0708483776151878</v>
      </c>
      <c r="J2635" s="35">
        <v>-2.0898462122396157E-4</v>
      </c>
      <c r="K2635" s="35">
        <v>1.6251120375597004</v>
      </c>
      <c r="L2635" s="35">
        <v>28.234490517802456</v>
      </c>
      <c r="M2635" s="58" t="s">
        <v>22</v>
      </c>
      <c r="N2635" s="7">
        <v>9.5</v>
      </c>
      <c r="O2635" s="7" t="s">
        <v>179</v>
      </c>
      <c r="P2635" s="7" t="s">
        <v>179</v>
      </c>
    </row>
    <row r="2636" spans="1:16" x14ac:dyDescent="0.25">
      <c r="A2636" s="2" t="s">
        <v>181</v>
      </c>
      <c r="B2636" s="2" t="s">
        <v>202</v>
      </c>
      <c r="C2636" s="6" t="s">
        <v>149</v>
      </c>
      <c r="D2636" s="2" t="s">
        <v>15</v>
      </c>
      <c r="E2636" s="2"/>
      <c r="F2636" s="35">
        <v>2</v>
      </c>
      <c r="G2636" s="35">
        <v>59.257560406645048</v>
      </c>
      <c r="H2636" s="35">
        <v>13.22261986785113</v>
      </c>
      <c r="I2636" s="35">
        <v>0.21594889652393515</v>
      </c>
      <c r="J2636" s="35">
        <v>-1.4575082612638875E-4</v>
      </c>
      <c r="K2636" s="35">
        <v>1.6251120375596977</v>
      </c>
      <c r="L2636" s="35">
        <v>28.234557967183939</v>
      </c>
      <c r="M2636" s="58" t="s">
        <v>22</v>
      </c>
      <c r="N2636" s="7">
        <v>9.5</v>
      </c>
      <c r="O2636" s="7" t="s">
        <v>179</v>
      </c>
      <c r="P2636" s="7" t="s">
        <v>179</v>
      </c>
    </row>
    <row r="2637" spans="1:16" x14ac:dyDescent="0.25">
      <c r="A2637" s="2" t="s">
        <v>181</v>
      </c>
      <c r="B2637" s="2" t="s">
        <v>202</v>
      </c>
      <c r="C2637" s="6" t="s">
        <v>149</v>
      </c>
      <c r="D2637" s="2" t="s">
        <v>15</v>
      </c>
      <c r="E2637" s="2"/>
      <c r="F2637" s="35">
        <v>4.4982502942822435</v>
      </c>
      <c r="G2637" s="35">
        <v>60.274095453488144</v>
      </c>
      <c r="H2637" s="35">
        <v>23.715271103836557</v>
      </c>
      <c r="I2637" s="35">
        <v>0.21594889652393581</v>
      </c>
      <c r="J2637" s="35">
        <v>-1.4575082612638875E-4</v>
      </c>
      <c r="K2637" s="35">
        <v>1.0856176432688496</v>
      </c>
      <c r="L2637" s="35">
        <v>-17.90549052790815</v>
      </c>
      <c r="M2637" s="58" t="s">
        <v>24</v>
      </c>
      <c r="N2637" s="7">
        <v>9.5</v>
      </c>
      <c r="O2637" s="7" t="s">
        <v>179</v>
      </c>
      <c r="P2637" s="7" t="s">
        <v>179</v>
      </c>
    </row>
    <row r="2638" spans="1:16" x14ac:dyDescent="0.25">
      <c r="A2638" s="2" t="s">
        <v>181</v>
      </c>
      <c r="B2638" s="2" t="s">
        <v>202</v>
      </c>
      <c r="C2638" s="6" t="s">
        <v>149</v>
      </c>
      <c r="D2638" s="2" t="s">
        <v>15</v>
      </c>
      <c r="E2638" s="2"/>
      <c r="F2638" s="35">
        <v>8.9965005885644871</v>
      </c>
      <c r="G2638" s="35">
        <v>62.104428100331234</v>
      </c>
      <c r="H2638" s="35">
        <v>42.607922339821982</v>
      </c>
      <c r="I2638" s="35">
        <v>0.21594889652393698</v>
      </c>
      <c r="J2638" s="35">
        <v>-1.4575082612638875E-4</v>
      </c>
      <c r="K2638" s="35">
        <v>0.11422545593012705</v>
      </c>
      <c r="L2638" s="35">
        <v>-167.07465274074576</v>
      </c>
      <c r="M2638" s="58" t="s">
        <v>23</v>
      </c>
      <c r="N2638" s="7">
        <v>9.5</v>
      </c>
      <c r="O2638" s="7" t="s">
        <v>179</v>
      </c>
      <c r="P2638" s="7" t="s">
        <v>179</v>
      </c>
    </row>
    <row r="2639" spans="1:16" x14ac:dyDescent="0.25">
      <c r="A2639" s="2" t="s">
        <v>181</v>
      </c>
      <c r="B2639" s="2" t="s">
        <v>202</v>
      </c>
      <c r="C2639" s="6" t="s">
        <v>149</v>
      </c>
      <c r="D2639" s="2" t="s">
        <v>16</v>
      </c>
      <c r="E2639" s="2"/>
      <c r="F2639" s="35">
        <v>0</v>
      </c>
      <c r="G2639" s="35">
        <v>12.00512170160061</v>
      </c>
      <c r="H2639" s="35">
        <v>0.31305604076248705</v>
      </c>
      <c r="I2639" s="35">
        <v>-4.4411794356280829</v>
      </c>
      <c r="J2639" s="35">
        <v>-2.1424047974611678E-4</v>
      </c>
      <c r="K2639" s="35">
        <v>-7.0809156848703481</v>
      </c>
      <c r="L2639" s="35">
        <v>14.16772107560144</v>
      </c>
      <c r="M2639" s="58" t="s">
        <v>22</v>
      </c>
      <c r="N2639" s="7">
        <v>9.5</v>
      </c>
      <c r="O2639" s="7" t="s">
        <v>179</v>
      </c>
      <c r="P2639" s="7" t="s">
        <v>179</v>
      </c>
    </row>
    <row r="2640" spans="1:16" x14ac:dyDescent="0.25">
      <c r="A2640" s="2" t="s">
        <v>181</v>
      </c>
      <c r="B2640" s="2" t="s">
        <v>202</v>
      </c>
      <c r="C2640" s="6" t="s">
        <v>149</v>
      </c>
      <c r="D2640" s="2" t="s">
        <v>16</v>
      </c>
      <c r="E2640" s="2"/>
      <c r="F2640" s="35">
        <v>2</v>
      </c>
      <c r="G2640" s="35">
        <v>12.818919301600607</v>
      </c>
      <c r="H2640" s="35">
        <v>4.0090560407624878</v>
      </c>
      <c r="I2640" s="35">
        <v>-4.4411794356280829</v>
      </c>
      <c r="J2640" s="35">
        <v>-2.1424047974611678E-4</v>
      </c>
      <c r="K2640" s="35">
        <v>1.8014431863858151</v>
      </c>
      <c r="L2640" s="35">
        <v>9.8456089940764677</v>
      </c>
      <c r="M2640" s="58" t="s">
        <v>22</v>
      </c>
      <c r="N2640" s="7">
        <v>9.5</v>
      </c>
      <c r="O2640" s="7" t="s">
        <v>179</v>
      </c>
      <c r="P2640" s="7" t="s">
        <v>179</v>
      </c>
    </row>
    <row r="2641" spans="1:16" x14ac:dyDescent="0.25">
      <c r="A2641" s="2" t="s">
        <v>181</v>
      </c>
      <c r="B2641" s="2" t="s">
        <v>202</v>
      </c>
      <c r="C2641" s="6" t="s">
        <v>149</v>
      </c>
      <c r="D2641" s="2" t="s">
        <v>16</v>
      </c>
      <c r="E2641" s="2"/>
      <c r="F2641" s="35">
        <v>2</v>
      </c>
      <c r="G2641" s="35">
        <v>17.226704864726134</v>
      </c>
      <c r="H2641" s="35">
        <v>4.0090523087970853</v>
      </c>
      <c r="I2641" s="35">
        <v>0.239448817158565</v>
      </c>
      <c r="J2641" s="35">
        <v>-1.9186646827387796E-4</v>
      </c>
      <c r="K2641" s="35">
        <v>1.8014431863858151</v>
      </c>
      <c r="L2641" s="35">
        <v>9.8456328596887293</v>
      </c>
      <c r="M2641" s="58" t="s">
        <v>22</v>
      </c>
      <c r="N2641" s="7">
        <v>9.5</v>
      </c>
      <c r="O2641" s="7" t="s">
        <v>179</v>
      </c>
      <c r="P2641" s="7" t="s">
        <v>179</v>
      </c>
    </row>
    <row r="2642" spans="1:16" x14ac:dyDescent="0.25">
      <c r="A2642" s="2" t="s">
        <v>181</v>
      </c>
      <c r="B2642" s="2" t="s">
        <v>202</v>
      </c>
      <c r="C2642" s="6" t="s">
        <v>149</v>
      </c>
      <c r="D2642" s="2" t="s">
        <v>16</v>
      </c>
      <c r="E2642" s="2"/>
      <c r="F2642" s="35">
        <v>4.4982502942822435</v>
      </c>
      <c r="G2642" s="35">
        <v>18.243239911569226</v>
      </c>
      <c r="H2642" s="35">
        <v>8.6258188526306707</v>
      </c>
      <c r="I2642" s="35">
        <v>0.23944881715856528</v>
      </c>
      <c r="J2642" s="35">
        <v>-1.9186646827387796E-4</v>
      </c>
      <c r="K2642" s="35">
        <v>1.2032401084538946</v>
      </c>
      <c r="L2642" s="35">
        <v>-5.9369024389388363</v>
      </c>
      <c r="M2642" s="58" t="s">
        <v>24</v>
      </c>
      <c r="N2642" s="7">
        <v>9.5</v>
      </c>
      <c r="O2642" s="7" t="s">
        <v>179</v>
      </c>
      <c r="P2642" s="7" t="s">
        <v>179</v>
      </c>
    </row>
    <row r="2643" spans="1:16" x14ac:dyDescent="0.25">
      <c r="A2643" s="2" t="s">
        <v>181</v>
      </c>
      <c r="B2643" s="2" t="s">
        <v>202</v>
      </c>
      <c r="C2643" s="6" t="s">
        <v>149</v>
      </c>
      <c r="D2643" s="2" t="s">
        <v>16</v>
      </c>
      <c r="E2643" s="2"/>
      <c r="F2643" s="35">
        <v>8.9965005885644871</v>
      </c>
      <c r="G2643" s="35">
        <v>20.073572558412316</v>
      </c>
      <c r="H2643" s="35">
        <v>16.938585396464262</v>
      </c>
      <c r="I2643" s="35">
        <v>0.23944881715856578</v>
      </c>
      <c r="J2643" s="35">
        <v>-1.9186646827387796E-4</v>
      </c>
      <c r="K2643" s="35">
        <v>0.12613939620484194</v>
      </c>
      <c r="L2643" s="35">
        <v>-63.434446907259598</v>
      </c>
      <c r="M2643" s="58" t="s">
        <v>23</v>
      </c>
      <c r="N2643" s="7">
        <v>9.5</v>
      </c>
      <c r="O2643" s="7" t="s">
        <v>179</v>
      </c>
      <c r="P2643" s="7" t="s">
        <v>179</v>
      </c>
    </row>
    <row r="2644" spans="1:16" x14ac:dyDescent="0.25">
      <c r="A2644" s="2" t="s">
        <v>181</v>
      </c>
      <c r="B2644" s="2" t="s">
        <v>202</v>
      </c>
      <c r="C2644" s="6" t="s">
        <v>149</v>
      </c>
      <c r="D2644" s="2" t="s">
        <v>106</v>
      </c>
      <c r="E2644" s="2"/>
      <c r="F2644" s="35">
        <v>0</v>
      </c>
      <c r="G2644" s="35">
        <v>70.632277551954445</v>
      </c>
      <c r="H2644" s="35">
        <v>4.826845376905422</v>
      </c>
      <c r="I2644" s="35">
        <v>4.2528469290961235</v>
      </c>
      <c r="J2644" s="35">
        <v>1.3750765647388823E-4</v>
      </c>
      <c r="K2644" s="35">
        <v>6.7765804383531618</v>
      </c>
      <c r="L2644" s="35">
        <v>46.86922482739579</v>
      </c>
      <c r="M2644" s="58" t="s">
        <v>22</v>
      </c>
      <c r="N2644" s="7">
        <v>9.5</v>
      </c>
      <c r="O2644" s="7" t="s">
        <v>179</v>
      </c>
      <c r="P2644" s="7" t="s">
        <v>179</v>
      </c>
    </row>
    <row r="2645" spans="1:16" x14ac:dyDescent="0.25">
      <c r="A2645" s="2" t="s">
        <v>181</v>
      </c>
      <c r="B2645" s="2" t="s">
        <v>202</v>
      </c>
      <c r="C2645" s="6" t="s">
        <v>149</v>
      </c>
      <c r="D2645" s="2" t="s">
        <v>106</v>
      </c>
      <c r="E2645" s="2"/>
      <c r="F2645" s="35">
        <v>2</v>
      </c>
      <c r="G2645" s="35">
        <v>71.446075151954446</v>
      </c>
      <c r="H2645" s="35">
        <v>13.226845376905423</v>
      </c>
      <c r="I2645" s="35">
        <v>4.2528469290961235</v>
      </c>
      <c r="J2645" s="35">
        <v>1.3750765647388823E-4</v>
      </c>
      <c r="K2645" s="35">
        <v>-1.7291134198390872</v>
      </c>
      <c r="L2645" s="35">
        <v>28.815534073584946</v>
      </c>
      <c r="M2645" s="58" t="s">
        <v>22</v>
      </c>
      <c r="N2645" s="7">
        <v>9.5</v>
      </c>
      <c r="O2645" s="7" t="s">
        <v>179</v>
      </c>
      <c r="P2645" s="7" t="s">
        <v>179</v>
      </c>
    </row>
    <row r="2646" spans="1:16" x14ac:dyDescent="0.25">
      <c r="A2646" s="2" t="s">
        <v>181</v>
      </c>
      <c r="B2646" s="2" t="s">
        <v>202</v>
      </c>
      <c r="C2646" s="6" t="s">
        <v>149</v>
      </c>
      <c r="D2646" s="2" t="s">
        <v>106</v>
      </c>
      <c r="E2646" s="2"/>
      <c r="F2646" s="35">
        <v>2</v>
      </c>
      <c r="G2646" s="35">
        <v>67.261891785074312</v>
      </c>
      <c r="H2646" s="35">
        <v>13.226825687770001</v>
      </c>
      <c r="I2646" s="35">
        <v>-0.2312889355006861</v>
      </c>
      <c r="J2646" s="35">
        <v>2.0119970289659395E-4</v>
      </c>
      <c r="K2646" s="35">
        <v>-1.7291134198390885</v>
      </c>
      <c r="L2646" s="35">
        <v>28.815602011767783</v>
      </c>
      <c r="M2646" s="58" t="s">
        <v>22</v>
      </c>
      <c r="N2646" s="7">
        <v>9.5</v>
      </c>
      <c r="O2646" s="7" t="s">
        <v>179</v>
      </c>
      <c r="P2646" s="7" t="s">
        <v>179</v>
      </c>
    </row>
    <row r="2647" spans="1:16" x14ac:dyDescent="0.25">
      <c r="A2647" s="2" t="s">
        <v>181</v>
      </c>
      <c r="B2647" s="2" t="s">
        <v>202</v>
      </c>
      <c r="C2647" s="6" t="s">
        <v>149</v>
      </c>
      <c r="D2647" s="2" t="s">
        <v>106</v>
      </c>
      <c r="E2647" s="2"/>
      <c r="F2647" s="35">
        <v>4.4982502942822435</v>
      </c>
      <c r="G2647" s="35">
        <v>68.278426831917415</v>
      </c>
      <c r="H2647" s="35">
        <v>23.719476923755426</v>
      </c>
      <c r="I2647" s="35">
        <v>-0.23128893550068541</v>
      </c>
      <c r="J2647" s="35">
        <v>2.0119970289659395E-4</v>
      </c>
      <c r="K2647" s="35">
        <v>-1.1512957686602736</v>
      </c>
      <c r="L2647" s="35">
        <v>-17.334953674174329</v>
      </c>
      <c r="M2647" s="58" t="s">
        <v>24</v>
      </c>
      <c r="N2647" s="7">
        <v>9.5</v>
      </c>
      <c r="O2647" s="7" t="s">
        <v>179</v>
      </c>
      <c r="P2647" s="7" t="s">
        <v>179</v>
      </c>
    </row>
    <row r="2648" spans="1:16" x14ac:dyDescent="0.25">
      <c r="A2648" s="2" t="s">
        <v>181</v>
      </c>
      <c r="B2648" s="2" t="s">
        <v>202</v>
      </c>
      <c r="C2648" s="6" t="s">
        <v>149</v>
      </c>
      <c r="D2648" s="2" t="s">
        <v>106</v>
      </c>
      <c r="E2648" s="2"/>
      <c r="F2648" s="35">
        <v>8.9965005885644871</v>
      </c>
      <c r="G2648" s="35">
        <v>70.10875947876049</v>
      </c>
      <c r="H2648" s="35">
        <v>42.612128159740855</v>
      </c>
      <c r="I2648" s="35">
        <v>-0.23128893550068425</v>
      </c>
      <c r="J2648" s="35">
        <v>2.0119970289659395E-4</v>
      </c>
      <c r="K2648" s="35">
        <v>-0.11090024648009074</v>
      </c>
      <c r="L2648" s="35">
        <v>-166.52303471769972</v>
      </c>
      <c r="M2648" s="58" t="s">
        <v>23</v>
      </c>
      <c r="N2648" s="7">
        <v>9.5</v>
      </c>
      <c r="O2648" s="7" t="s">
        <v>179</v>
      </c>
      <c r="P2648" s="7" t="s">
        <v>179</v>
      </c>
    </row>
    <row r="2649" spans="1:16" x14ac:dyDescent="0.25">
      <c r="A2649" s="2" t="s">
        <v>181</v>
      </c>
      <c r="B2649" s="2" t="s">
        <v>202</v>
      </c>
      <c r="C2649" s="6" t="s">
        <v>149</v>
      </c>
      <c r="D2649" s="2" t="s">
        <v>107</v>
      </c>
      <c r="E2649" s="2"/>
      <c r="F2649" s="35">
        <v>0</v>
      </c>
      <c r="G2649" s="35">
        <v>28.239084818091499</v>
      </c>
      <c r="H2649" s="35">
        <v>0.31720630673747102</v>
      </c>
      <c r="I2649" s="35">
        <v>3.8859621358958623</v>
      </c>
      <c r="J2649" s="35">
        <v>1.3171654091981554E-4</v>
      </c>
      <c r="K2649" s="35">
        <v>6.2177498387578654</v>
      </c>
      <c r="L2649" s="35">
        <v>14.756019061287846</v>
      </c>
      <c r="M2649" s="58" t="s">
        <v>22</v>
      </c>
      <c r="N2649" s="7">
        <v>9.5</v>
      </c>
      <c r="O2649" s="7" t="s">
        <v>179</v>
      </c>
      <c r="P2649" s="7" t="s">
        <v>179</v>
      </c>
    </row>
    <row r="2650" spans="1:16" x14ac:dyDescent="0.25">
      <c r="A2650" s="2" t="s">
        <v>181</v>
      </c>
      <c r="B2650" s="2" t="s">
        <v>202</v>
      </c>
      <c r="C2650" s="6" t="s">
        <v>149</v>
      </c>
      <c r="D2650" s="2" t="s">
        <v>107</v>
      </c>
      <c r="E2650" s="2"/>
      <c r="F2650" s="35">
        <v>2</v>
      </c>
      <c r="G2650" s="35">
        <v>29.0528824180915</v>
      </c>
      <c r="H2650" s="35">
        <v>4.0132063067374704</v>
      </c>
      <c r="I2650" s="35">
        <v>3.8859621358958623</v>
      </c>
      <c r="J2650" s="35">
        <v>1.3171654091981554E-4</v>
      </c>
      <c r="K2650" s="35">
        <v>-1.5541744330338589</v>
      </c>
      <c r="L2650" s="35">
        <v>10.425606447812907</v>
      </c>
      <c r="M2650" s="58" t="s">
        <v>22</v>
      </c>
      <c r="N2650" s="7">
        <v>9.5</v>
      </c>
      <c r="O2650" s="7" t="s">
        <v>179</v>
      </c>
      <c r="P2650" s="7" t="s">
        <v>179</v>
      </c>
    </row>
    <row r="2651" spans="1:16" x14ac:dyDescent="0.25">
      <c r="A2651" s="2" t="s">
        <v>181</v>
      </c>
      <c r="B2651" s="2" t="s">
        <v>202</v>
      </c>
      <c r="C2651" s="6" t="s">
        <v>149</v>
      </c>
      <c r="D2651" s="2" t="s">
        <v>107</v>
      </c>
      <c r="E2651" s="2"/>
      <c r="F2651" s="35">
        <v>2</v>
      </c>
      <c r="G2651" s="35">
        <v>25.234512700360384</v>
      </c>
      <c r="H2651" s="35">
        <v>4.0131973296983672</v>
      </c>
      <c r="I2651" s="35">
        <v>-0.20797466158769898</v>
      </c>
      <c r="J2651" s="35">
        <v>1.5454880687197029E-4</v>
      </c>
      <c r="K2651" s="35">
        <v>-1.5541744330338636</v>
      </c>
      <c r="L2651" s="35">
        <v>10.425630802229877</v>
      </c>
      <c r="M2651" s="58" t="s">
        <v>22</v>
      </c>
      <c r="N2651" s="7">
        <v>9.5</v>
      </c>
      <c r="O2651" s="7" t="s">
        <v>179</v>
      </c>
      <c r="P2651" s="7" t="s">
        <v>179</v>
      </c>
    </row>
    <row r="2652" spans="1:16" x14ac:dyDescent="0.25">
      <c r="A2652" s="2" t="s">
        <v>181</v>
      </c>
      <c r="B2652" s="2" t="s">
        <v>202</v>
      </c>
      <c r="C2652" s="6" t="s">
        <v>149</v>
      </c>
      <c r="D2652" s="2" t="s">
        <v>107</v>
      </c>
      <c r="E2652" s="2"/>
      <c r="F2652" s="35">
        <v>4.4982502942822435</v>
      </c>
      <c r="G2652" s="35">
        <v>26.251047747203479</v>
      </c>
      <c r="H2652" s="35">
        <v>8.6299638735319544</v>
      </c>
      <c r="I2652" s="35">
        <v>-0.20797466158769873</v>
      </c>
      <c r="J2652" s="35">
        <v>1.5454880687197029E-4</v>
      </c>
      <c r="K2652" s="35">
        <v>-1.034601673519145</v>
      </c>
      <c r="L2652" s="35">
        <v>-5.3672597960841211</v>
      </c>
      <c r="M2652" s="58" t="s">
        <v>24</v>
      </c>
      <c r="N2652" s="7">
        <v>9.5</v>
      </c>
      <c r="O2652" s="7" t="s">
        <v>179</v>
      </c>
      <c r="P2652" s="7" t="s">
        <v>179</v>
      </c>
    </row>
    <row r="2653" spans="1:16" x14ac:dyDescent="0.25">
      <c r="A2653" s="2" t="s">
        <v>181</v>
      </c>
      <c r="B2653" s="2" t="s">
        <v>202</v>
      </c>
      <c r="C2653" s="6" t="s">
        <v>149</v>
      </c>
      <c r="D2653" s="2" t="s">
        <v>107</v>
      </c>
      <c r="E2653" s="2"/>
      <c r="F2653" s="35">
        <v>8.9965005885644871</v>
      </c>
      <c r="G2653" s="35">
        <v>28.081380394046569</v>
      </c>
      <c r="H2653" s="35">
        <v>16.942730417365546</v>
      </c>
      <c r="I2653" s="35">
        <v>-0.2079746615876982</v>
      </c>
      <c r="J2653" s="35">
        <v>1.5454880687197029E-4</v>
      </c>
      <c r="K2653" s="35">
        <v>-9.9079590829030284E-2</v>
      </c>
      <c r="L2653" s="35">
        <v>-62.88344960589388</v>
      </c>
      <c r="M2653" s="58" t="s">
        <v>23</v>
      </c>
      <c r="N2653" s="7">
        <v>9.5</v>
      </c>
      <c r="O2653" s="7" t="s">
        <v>179</v>
      </c>
      <c r="P2653" s="7" t="s">
        <v>179</v>
      </c>
    </row>
    <row r="2654" spans="1:16" x14ac:dyDescent="0.25">
      <c r="A2654" s="2" t="s">
        <v>181</v>
      </c>
      <c r="B2654" s="2" t="s">
        <v>202</v>
      </c>
      <c r="C2654" s="6" t="s">
        <v>149</v>
      </c>
      <c r="D2654" s="2" t="s">
        <v>108</v>
      </c>
      <c r="E2654" s="2"/>
      <c r="F2654" s="35">
        <v>0</v>
      </c>
      <c r="G2654" s="35">
        <v>75.721383248896416</v>
      </c>
      <c r="H2654" s="35">
        <v>51.707668671971277</v>
      </c>
      <c r="I2654" s="35">
        <v>1.0007781652481493</v>
      </c>
      <c r="J2654" s="35">
        <v>7.9163551206488162E-6</v>
      </c>
      <c r="K2654" s="35">
        <v>1.531419933524363</v>
      </c>
      <c r="L2654" s="35">
        <v>157.37539624372141</v>
      </c>
      <c r="M2654" s="58" t="s">
        <v>22</v>
      </c>
      <c r="N2654" s="7">
        <v>9.5</v>
      </c>
      <c r="O2654" s="7" t="s">
        <v>179</v>
      </c>
      <c r="P2654" s="7" t="s">
        <v>179</v>
      </c>
    </row>
    <row r="2655" spans="1:16" x14ac:dyDescent="0.25">
      <c r="A2655" s="2" t="s">
        <v>181</v>
      </c>
      <c r="B2655" s="2" t="s">
        <v>202</v>
      </c>
      <c r="C2655" s="6" t="s">
        <v>149</v>
      </c>
      <c r="D2655" s="2" t="s">
        <v>108</v>
      </c>
      <c r="E2655" s="2"/>
      <c r="F2655" s="35">
        <v>2</v>
      </c>
      <c r="G2655" s="35">
        <v>76.535180848896402</v>
      </c>
      <c r="H2655" s="35">
        <v>45.659668671971282</v>
      </c>
      <c r="I2655" s="35">
        <v>1.0007781652481491</v>
      </c>
      <c r="J2655" s="35">
        <v>7.9163551206488162E-6</v>
      </c>
      <c r="K2655" s="35">
        <v>-0.47013639697193499</v>
      </c>
      <c r="L2655" s="35">
        <v>60.008058899778874</v>
      </c>
      <c r="M2655" s="58" t="s">
        <v>22</v>
      </c>
      <c r="N2655" s="7">
        <v>9.5</v>
      </c>
      <c r="O2655" s="7" t="s">
        <v>179</v>
      </c>
      <c r="P2655" s="7" t="s">
        <v>179</v>
      </c>
    </row>
    <row r="2656" spans="1:16" x14ac:dyDescent="0.25">
      <c r="A2656" s="2" t="s">
        <v>181</v>
      </c>
      <c r="B2656" s="2" t="s">
        <v>202</v>
      </c>
      <c r="C2656" s="6" t="s">
        <v>149</v>
      </c>
      <c r="D2656" s="2" t="s">
        <v>108</v>
      </c>
      <c r="E2656" s="2"/>
      <c r="F2656" s="35">
        <v>2</v>
      </c>
      <c r="G2656" s="35">
        <v>75.557178241296668</v>
      </c>
      <c r="H2656" s="35">
        <v>45.659648210385008</v>
      </c>
      <c r="I2656" s="35">
        <v>-6.3429141467777186E-2</v>
      </c>
      <c r="J2656" s="35">
        <v>1.0637771876172612E-4</v>
      </c>
      <c r="K2656" s="35">
        <v>-0.47013639697193582</v>
      </c>
      <c r="L2656" s="35">
        <v>60.00816392523344</v>
      </c>
      <c r="M2656" s="58" t="s">
        <v>22</v>
      </c>
      <c r="N2656" s="7">
        <v>9.5</v>
      </c>
      <c r="O2656" s="7" t="s">
        <v>179</v>
      </c>
      <c r="P2656" s="7" t="s">
        <v>179</v>
      </c>
    </row>
    <row r="2657" spans="1:16" x14ac:dyDescent="0.25">
      <c r="A2657" s="2" t="s">
        <v>181</v>
      </c>
      <c r="B2657" s="2" t="s">
        <v>202</v>
      </c>
      <c r="C2657" s="6" t="s">
        <v>149</v>
      </c>
      <c r="D2657" s="2" t="s">
        <v>108</v>
      </c>
      <c r="E2657" s="2"/>
      <c r="F2657" s="35">
        <v>4.4982502942822435</v>
      </c>
      <c r="G2657" s="35">
        <v>76.573713288139771</v>
      </c>
      <c r="H2657" s="35">
        <v>38.104939320475495</v>
      </c>
      <c r="I2657" s="35">
        <v>-6.3429141467777644E-2</v>
      </c>
      <c r="J2657" s="35">
        <v>1.0637771876172612E-4</v>
      </c>
      <c r="K2657" s="35">
        <v>-0.31167452563399078</v>
      </c>
      <c r="L2657" s="35">
        <v>-44.624288799468076</v>
      </c>
      <c r="M2657" s="58" t="s">
        <v>24</v>
      </c>
      <c r="N2657" s="7">
        <v>9.5</v>
      </c>
      <c r="O2657" s="7" t="s">
        <v>179</v>
      </c>
      <c r="P2657" s="7" t="s">
        <v>179</v>
      </c>
    </row>
    <row r="2658" spans="1:16" x14ac:dyDescent="0.25">
      <c r="A2658" s="2" t="s">
        <v>181</v>
      </c>
      <c r="B2658" s="2" t="s">
        <v>202</v>
      </c>
      <c r="C2658" s="6" t="s">
        <v>149</v>
      </c>
      <c r="D2658" s="2" t="s">
        <v>108</v>
      </c>
      <c r="E2658" s="2"/>
      <c r="F2658" s="35">
        <v>8.9965005885644871</v>
      </c>
      <c r="G2658" s="35">
        <v>78.404045934982847</v>
      </c>
      <c r="H2658" s="35">
        <v>24.502230430565991</v>
      </c>
      <c r="I2658" s="35">
        <v>-6.3429141467778491E-2</v>
      </c>
      <c r="J2658" s="35">
        <v>1.0637771876172612E-4</v>
      </c>
      <c r="K2658" s="35">
        <v>-2.6354371360488085E-2</v>
      </c>
      <c r="L2658" s="35">
        <v>-185.43564867786847</v>
      </c>
      <c r="M2658" s="58" t="s">
        <v>23</v>
      </c>
      <c r="N2658" s="7">
        <v>9.5</v>
      </c>
      <c r="O2658" s="7" t="s">
        <v>179</v>
      </c>
      <c r="P2658" s="7" t="s">
        <v>179</v>
      </c>
    </row>
    <row r="2659" spans="1:16" x14ac:dyDescent="0.25">
      <c r="A2659" s="2" t="s">
        <v>181</v>
      </c>
      <c r="B2659" s="2" t="s">
        <v>202</v>
      </c>
      <c r="C2659" s="6" t="s">
        <v>149</v>
      </c>
      <c r="D2659" s="2" t="s">
        <v>109</v>
      </c>
      <c r="E2659" s="2"/>
      <c r="F2659" s="35">
        <v>0</v>
      </c>
      <c r="G2659" s="35">
        <v>-42.61853968092376</v>
      </c>
      <c r="H2659" s="35">
        <v>26.050998712104935</v>
      </c>
      <c r="I2659" s="35">
        <v>0.53007403632477745</v>
      </c>
      <c r="J2659" s="35">
        <v>7.1551061263842544E-5</v>
      </c>
      <c r="K2659" s="35">
        <v>0.82523520351434532</v>
      </c>
      <c r="L2659" s="35">
        <v>81.235023074837599</v>
      </c>
      <c r="M2659" s="58" t="s">
        <v>22</v>
      </c>
      <c r="N2659" s="7">
        <v>9.5</v>
      </c>
      <c r="O2659" s="7" t="s">
        <v>179</v>
      </c>
      <c r="P2659" s="7" t="s">
        <v>179</v>
      </c>
    </row>
    <row r="2660" spans="1:16" x14ac:dyDescent="0.25">
      <c r="A2660" s="2" t="s">
        <v>181</v>
      </c>
      <c r="B2660" s="2" t="s">
        <v>202</v>
      </c>
      <c r="C2660" s="6" t="s">
        <v>149</v>
      </c>
      <c r="D2660" s="2" t="s">
        <v>109</v>
      </c>
      <c r="E2660" s="2"/>
      <c r="F2660" s="35">
        <v>2</v>
      </c>
      <c r="G2660" s="35">
        <v>-41.804742080923759</v>
      </c>
      <c r="H2660" s="35">
        <v>15.298998712104932</v>
      </c>
      <c r="I2660" s="35">
        <v>0.53007403632477679</v>
      </c>
      <c r="J2660" s="35">
        <v>7.1551061263842544E-5</v>
      </c>
      <c r="K2660" s="35">
        <v>-0.23491286913520887</v>
      </c>
      <c r="L2660" s="35">
        <v>39.885025650627725</v>
      </c>
      <c r="M2660" s="58" t="s">
        <v>22</v>
      </c>
      <c r="N2660" s="7">
        <v>9.5</v>
      </c>
      <c r="O2660" s="7" t="s">
        <v>179</v>
      </c>
      <c r="P2660" s="7" t="s">
        <v>179</v>
      </c>
    </row>
    <row r="2661" spans="1:16" x14ac:dyDescent="0.25">
      <c r="A2661" s="2" t="s">
        <v>181</v>
      </c>
      <c r="B2661" s="2" t="s">
        <v>202</v>
      </c>
      <c r="C2661" s="6" t="s">
        <v>149</v>
      </c>
      <c r="D2661" s="2" t="s">
        <v>109</v>
      </c>
      <c r="E2661" s="2"/>
      <c r="F2661" s="35">
        <v>2</v>
      </c>
      <c r="G2661" s="35">
        <v>-42.312092460455155</v>
      </c>
      <c r="H2661" s="35">
        <v>15.299001404078048</v>
      </c>
      <c r="I2661" s="35">
        <v>-3.210880816656337E-2</v>
      </c>
      <c r="J2661" s="35">
        <v>1.4801053734917501E-5</v>
      </c>
      <c r="K2661" s="35">
        <v>-0.23491286913520881</v>
      </c>
      <c r="L2661" s="35">
        <v>39.884965117286399</v>
      </c>
      <c r="M2661" s="58" t="s">
        <v>22</v>
      </c>
      <c r="N2661" s="7">
        <v>9.5</v>
      </c>
      <c r="O2661" s="7" t="s">
        <v>179</v>
      </c>
      <c r="P2661" s="7" t="s">
        <v>179</v>
      </c>
    </row>
    <row r="2662" spans="1:16" x14ac:dyDescent="0.25">
      <c r="A2662" s="2" t="s">
        <v>181</v>
      </c>
      <c r="B2662" s="2" t="s">
        <v>202</v>
      </c>
      <c r="C2662" s="6" t="s">
        <v>149</v>
      </c>
      <c r="D2662" s="2" t="s">
        <v>109</v>
      </c>
      <c r="E2662" s="2"/>
      <c r="F2662" s="35">
        <v>4.4982502942822435</v>
      </c>
      <c r="G2662" s="35">
        <v>-41.295557413612059</v>
      </c>
      <c r="H2662" s="35">
        <v>1.8684078220167053</v>
      </c>
      <c r="I2662" s="35">
        <v>-3.2108808166564189E-2</v>
      </c>
      <c r="J2662" s="35">
        <v>1.4801053734917501E-5</v>
      </c>
      <c r="K2662" s="35">
        <v>-0.15469702968403873</v>
      </c>
      <c r="L2662" s="35">
        <v>18.44072254170894</v>
      </c>
      <c r="M2662" s="58" t="s">
        <v>24</v>
      </c>
      <c r="N2662" s="7">
        <v>9.5</v>
      </c>
      <c r="O2662" s="7" t="s">
        <v>179</v>
      </c>
      <c r="P2662" s="7" t="s">
        <v>179</v>
      </c>
    </row>
    <row r="2663" spans="1:16" x14ac:dyDescent="0.25">
      <c r="A2663" s="2" t="s">
        <v>181</v>
      </c>
      <c r="B2663" s="2" t="s">
        <v>202</v>
      </c>
      <c r="C2663" s="6" t="s">
        <v>149</v>
      </c>
      <c r="D2663" s="2" t="s">
        <v>109</v>
      </c>
      <c r="E2663" s="2"/>
      <c r="F2663" s="35">
        <v>8.9965005885644871</v>
      </c>
      <c r="G2663" s="35">
        <v>-39.465224766768976</v>
      </c>
      <c r="H2663" s="35">
        <v>-22.314185760044644</v>
      </c>
      <c r="I2663" s="35">
        <v>-3.2108808166565667E-2</v>
      </c>
      <c r="J2663" s="35">
        <v>1.4801053734917501E-5</v>
      </c>
      <c r="K2663" s="35">
        <v>-1.0263573899735914E-2</v>
      </c>
      <c r="L2663" s="35">
        <v>64.425835854990737</v>
      </c>
      <c r="M2663" s="58" t="s">
        <v>23</v>
      </c>
      <c r="N2663" s="7">
        <v>9.5</v>
      </c>
      <c r="O2663" s="7" t="s">
        <v>179</v>
      </c>
      <c r="P2663" s="7" t="s">
        <v>179</v>
      </c>
    </row>
    <row r="2664" spans="1:16" x14ac:dyDescent="0.25">
      <c r="A2664" s="2" t="s">
        <v>181</v>
      </c>
      <c r="B2664" s="2" t="s">
        <v>202</v>
      </c>
      <c r="C2664" s="6" t="s">
        <v>149</v>
      </c>
      <c r="D2664" s="2" t="s">
        <v>110</v>
      </c>
      <c r="E2664" s="2"/>
      <c r="F2664" s="35">
        <v>0</v>
      </c>
      <c r="G2664" s="35">
        <v>58.487203375809337</v>
      </c>
      <c r="H2664" s="35">
        <v>3.5613057760369169</v>
      </c>
      <c r="I2664" s="35">
        <v>0.7887933495904188</v>
      </c>
      <c r="J2664" s="35">
        <v>1.6341964957477853E-5</v>
      </c>
      <c r="K2664" s="35">
        <v>1.2058403018688046</v>
      </c>
      <c r="L2664" s="35">
        <v>17.869230791404696</v>
      </c>
      <c r="M2664" s="58" t="s">
        <v>22</v>
      </c>
      <c r="N2664" s="7">
        <v>9.5</v>
      </c>
      <c r="O2664" s="7" t="s">
        <v>179</v>
      </c>
      <c r="P2664" s="7" t="s">
        <v>179</v>
      </c>
    </row>
    <row r="2665" spans="1:16" x14ac:dyDescent="0.25">
      <c r="A2665" s="2" t="s">
        <v>181</v>
      </c>
      <c r="B2665" s="2" t="s">
        <v>202</v>
      </c>
      <c r="C2665" s="6" t="s">
        <v>149</v>
      </c>
      <c r="D2665" s="2" t="s">
        <v>110</v>
      </c>
      <c r="E2665" s="2"/>
      <c r="F2665" s="35">
        <v>2</v>
      </c>
      <c r="G2665" s="35">
        <v>59.30100097580933</v>
      </c>
      <c r="H2665" s="35">
        <v>9.9453057760369195</v>
      </c>
      <c r="I2665" s="35">
        <v>0.78879334959041925</v>
      </c>
      <c r="J2665" s="35">
        <v>1.6341964957477853E-5</v>
      </c>
      <c r="K2665" s="35">
        <v>-0.37174639731203341</v>
      </c>
      <c r="L2665" s="35">
        <v>4.3626192393308605</v>
      </c>
      <c r="M2665" s="58" t="s">
        <v>22</v>
      </c>
      <c r="N2665" s="7">
        <v>9.5</v>
      </c>
      <c r="O2665" s="7" t="s">
        <v>179</v>
      </c>
      <c r="P2665" s="7" t="s">
        <v>179</v>
      </c>
    </row>
    <row r="2666" spans="1:16" x14ac:dyDescent="0.25">
      <c r="A2666" s="2" t="s">
        <v>181</v>
      </c>
      <c r="B2666" s="2" t="s">
        <v>202</v>
      </c>
      <c r="C2666" s="6" t="s">
        <v>149</v>
      </c>
      <c r="D2666" s="2" t="s">
        <v>110</v>
      </c>
      <c r="E2666" s="2"/>
      <c r="F2666" s="35">
        <v>2</v>
      </c>
      <c r="G2666" s="35">
        <v>58.534040088578074</v>
      </c>
      <c r="H2666" s="35">
        <v>9.9452925392014997</v>
      </c>
      <c r="I2666" s="35">
        <v>-5.0303733840025747E-2</v>
      </c>
      <c r="J2666" s="35">
        <v>9.9525915794830547E-5</v>
      </c>
      <c r="K2666" s="35">
        <v>-0.37174639731203318</v>
      </c>
      <c r="L2666" s="35">
        <v>4.3627079688784169</v>
      </c>
      <c r="M2666" s="58" t="s">
        <v>22</v>
      </c>
      <c r="N2666" s="7">
        <v>9.5</v>
      </c>
      <c r="O2666" s="7" t="s">
        <v>179</v>
      </c>
      <c r="P2666" s="7" t="s">
        <v>179</v>
      </c>
    </row>
    <row r="2667" spans="1:16" x14ac:dyDescent="0.25">
      <c r="A2667" s="2" t="s">
        <v>181</v>
      </c>
      <c r="B2667" s="2" t="s">
        <v>202</v>
      </c>
      <c r="C2667" s="6" t="s">
        <v>149</v>
      </c>
      <c r="D2667" s="2" t="s">
        <v>110</v>
      </c>
      <c r="E2667" s="2"/>
      <c r="F2667" s="35">
        <v>4.4982502942822435</v>
      </c>
      <c r="G2667" s="35">
        <v>59.550575135421163</v>
      </c>
      <c r="H2667" s="35">
        <v>17.919707478550425</v>
      </c>
      <c r="I2667" s="35">
        <v>-5.0303733840025261E-2</v>
      </c>
      <c r="J2667" s="35">
        <v>9.9525915794830547E-5</v>
      </c>
      <c r="K2667" s="35">
        <v>-0.24607507944269386</v>
      </c>
      <c r="L2667" s="35">
        <v>-30.444164278383315</v>
      </c>
      <c r="M2667" s="58" t="s">
        <v>24</v>
      </c>
      <c r="N2667" s="7">
        <v>9.5</v>
      </c>
      <c r="O2667" s="7" t="s">
        <v>179</v>
      </c>
      <c r="P2667" s="7" t="s">
        <v>179</v>
      </c>
    </row>
    <row r="2668" spans="1:16" x14ac:dyDescent="0.25">
      <c r="A2668" s="2" t="s">
        <v>181</v>
      </c>
      <c r="B2668" s="2" t="s">
        <v>202</v>
      </c>
      <c r="C2668" s="6" t="s">
        <v>149</v>
      </c>
      <c r="D2668" s="2" t="s">
        <v>110</v>
      </c>
      <c r="E2668" s="2"/>
      <c r="F2668" s="35">
        <v>8.9965005885644871</v>
      </c>
      <c r="G2668" s="35">
        <v>61.380907782264252</v>
      </c>
      <c r="H2668" s="35">
        <v>32.278122417899354</v>
      </c>
      <c r="I2668" s="35">
        <v>-5.030373384002438E-2</v>
      </c>
      <c r="J2668" s="35">
        <v>9.9525915794830547E-5</v>
      </c>
      <c r="K2668" s="35">
        <v>-1.979629389330648E-2</v>
      </c>
      <c r="L2668" s="35">
        <v>-143.34536583040097</v>
      </c>
      <c r="M2668" s="58" t="s">
        <v>23</v>
      </c>
      <c r="N2668" s="7">
        <v>9.5</v>
      </c>
      <c r="O2668" s="7" t="s">
        <v>179</v>
      </c>
      <c r="P2668" s="7" t="s">
        <v>179</v>
      </c>
    </row>
    <row r="2669" spans="1:16" x14ac:dyDescent="0.25">
      <c r="A2669" s="2" t="s">
        <v>181</v>
      </c>
      <c r="B2669" s="2" t="s">
        <v>202</v>
      </c>
      <c r="C2669" s="6" t="s">
        <v>149</v>
      </c>
      <c r="D2669" s="2" t="s">
        <v>111</v>
      </c>
      <c r="E2669" s="2"/>
      <c r="F2669" s="35">
        <v>0</v>
      </c>
      <c r="G2669" s="35">
        <v>5.0323648692183589</v>
      </c>
      <c r="H2669" s="35">
        <v>-12.701827712617444</v>
      </c>
      <c r="I2669" s="35">
        <v>0.59036063210097356</v>
      </c>
      <c r="J2669" s="35">
        <v>-1.666117451846711E-5</v>
      </c>
      <c r="K2669" s="35">
        <v>0.91131475928851469</v>
      </c>
      <c r="L2669" s="35">
        <v>-79.059514063185659</v>
      </c>
      <c r="M2669" s="58" t="s">
        <v>22</v>
      </c>
      <c r="N2669" s="7">
        <v>9.5</v>
      </c>
      <c r="O2669" s="7" t="s">
        <v>179</v>
      </c>
      <c r="P2669" s="7" t="s">
        <v>179</v>
      </c>
    </row>
    <row r="2670" spans="1:16" x14ac:dyDescent="0.25">
      <c r="A2670" s="2" t="s">
        <v>181</v>
      </c>
      <c r="B2670" s="2" t="s">
        <v>202</v>
      </c>
      <c r="C2670" s="6" t="s">
        <v>149</v>
      </c>
      <c r="D2670" s="2" t="s">
        <v>111</v>
      </c>
      <c r="E2670" s="2"/>
      <c r="F2670" s="35">
        <v>2</v>
      </c>
      <c r="G2670" s="35">
        <v>5.8461624692183563</v>
      </c>
      <c r="H2670" s="35">
        <v>-11.021827712617444</v>
      </c>
      <c r="I2670" s="35">
        <v>0.59036063210097367</v>
      </c>
      <c r="J2670" s="35">
        <v>-1.666117451846711E-5</v>
      </c>
      <c r="K2670" s="35">
        <v>-0.26940650491343243</v>
      </c>
      <c r="L2670" s="35">
        <v>-55.335858637950771</v>
      </c>
      <c r="M2670" s="58" t="s">
        <v>22</v>
      </c>
      <c r="N2670" s="7">
        <v>9.5</v>
      </c>
      <c r="O2670" s="7" t="s">
        <v>179</v>
      </c>
      <c r="P2670" s="7" t="s">
        <v>179</v>
      </c>
    </row>
    <row r="2671" spans="1:16" x14ac:dyDescent="0.25">
      <c r="A2671" s="2" t="s">
        <v>181</v>
      </c>
      <c r="B2671" s="2" t="s">
        <v>202</v>
      </c>
      <c r="C2671" s="6" t="s">
        <v>149</v>
      </c>
      <c r="D2671" s="2" t="s">
        <v>111</v>
      </c>
      <c r="E2671" s="2"/>
      <c r="F2671" s="35">
        <v>2</v>
      </c>
      <c r="G2671" s="35">
        <v>5.2780209608150246</v>
      </c>
      <c r="H2671" s="35">
        <v>-11.021823304256753</v>
      </c>
      <c r="I2671" s="35">
        <v>-3.6664573874693206E-2</v>
      </c>
      <c r="J2671" s="35">
        <v>4.4123364691886537E-5</v>
      </c>
      <c r="K2671" s="35">
        <v>-0.26940650491343227</v>
      </c>
      <c r="L2671" s="35">
        <v>-55.335793801108977</v>
      </c>
      <c r="M2671" s="58" t="s">
        <v>22</v>
      </c>
      <c r="N2671" s="7">
        <v>9.5</v>
      </c>
      <c r="O2671" s="7" t="s">
        <v>179</v>
      </c>
      <c r="P2671" s="7" t="s">
        <v>179</v>
      </c>
    </row>
    <row r="2672" spans="1:16" x14ac:dyDescent="0.25">
      <c r="A2672" s="2" t="s">
        <v>181</v>
      </c>
      <c r="B2672" s="2" t="s">
        <v>202</v>
      </c>
      <c r="C2672" s="6" t="s">
        <v>149</v>
      </c>
      <c r="D2672" s="2" t="s">
        <v>111</v>
      </c>
      <c r="E2672" s="2"/>
      <c r="F2672" s="35">
        <v>4.4982502942822435</v>
      </c>
      <c r="G2672" s="35">
        <v>6.2945560076581195</v>
      </c>
      <c r="H2672" s="35">
        <v>-8.9232930570596665</v>
      </c>
      <c r="I2672" s="35">
        <v>-3.6664573874693074E-2</v>
      </c>
      <c r="J2672" s="35">
        <v>4.4123364691886537E-5</v>
      </c>
      <c r="K2672" s="35">
        <v>-0.17780922244124717</v>
      </c>
      <c r="L2672" s="35">
        <v>-30.4218473915328</v>
      </c>
      <c r="M2672" s="58" t="s">
        <v>24</v>
      </c>
      <c r="N2672" s="7">
        <v>9.5</v>
      </c>
      <c r="O2672" s="7" t="s">
        <v>179</v>
      </c>
      <c r="P2672" s="7" t="s">
        <v>179</v>
      </c>
    </row>
    <row r="2673" spans="1:16" x14ac:dyDescent="0.25">
      <c r="A2673" s="2" t="s">
        <v>181</v>
      </c>
      <c r="B2673" s="2" t="s">
        <v>202</v>
      </c>
      <c r="C2673" s="6" t="s">
        <v>149</v>
      </c>
      <c r="D2673" s="2" t="s">
        <v>111</v>
      </c>
      <c r="E2673" s="2"/>
      <c r="F2673" s="35">
        <v>8.9965005885644871</v>
      </c>
      <c r="G2673" s="35">
        <v>8.1248886545012091</v>
      </c>
      <c r="H2673" s="35">
        <v>-5.1447628098625815</v>
      </c>
      <c r="I2673" s="35">
        <v>-3.6664573874692845E-2</v>
      </c>
      <c r="J2673" s="35">
        <v>4.4123364691886537E-5</v>
      </c>
      <c r="K2673" s="35">
        <v>-1.2882792219676455E-2</v>
      </c>
      <c r="L2673" s="35">
        <v>1.2189708301482272</v>
      </c>
      <c r="M2673" s="58" t="s">
        <v>23</v>
      </c>
      <c r="N2673" s="7">
        <v>9.5</v>
      </c>
      <c r="O2673" s="7" t="s">
        <v>179</v>
      </c>
      <c r="P2673" s="7" t="s">
        <v>179</v>
      </c>
    </row>
    <row r="2674" spans="1:16" x14ac:dyDescent="0.25">
      <c r="A2674" s="2" t="s">
        <v>181</v>
      </c>
      <c r="B2674" s="2" t="s">
        <v>202</v>
      </c>
      <c r="C2674" s="6" t="s">
        <v>149</v>
      </c>
      <c r="D2674" s="2" t="s">
        <v>112</v>
      </c>
      <c r="E2674" s="2"/>
      <c r="F2674" s="35">
        <v>0</v>
      </c>
      <c r="G2674" s="35">
        <v>19.189073156528316</v>
      </c>
      <c r="H2674" s="35">
        <v>-8.358619641951428</v>
      </c>
      <c r="I2674" s="35">
        <v>-3.7009281258779834</v>
      </c>
      <c r="J2674" s="35">
        <v>-1.6485691186733268E-4</v>
      </c>
      <c r="K2674" s="35">
        <v>-5.9172390515697453</v>
      </c>
      <c r="L2674" s="35">
        <v>1.1883958061463458</v>
      </c>
      <c r="M2674" s="58" t="s">
        <v>22</v>
      </c>
      <c r="N2674" s="7">
        <v>9.5</v>
      </c>
      <c r="O2674" s="7" t="s">
        <v>179</v>
      </c>
      <c r="P2674" s="7" t="s">
        <v>179</v>
      </c>
    </row>
    <row r="2675" spans="1:16" x14ac:dyDescent="0.25">
      <c r="A2675" s="2" t="s">
        <v>181</v>
      </c>
      <c r="B2675" s="2" t="s">
        <v>202</v>
      </c>
      <c r="C2675" s="6" t="s">
        <v>149</v>
      </c>
      <c r="D2675" s="2" t="s">
        <v>112</v>
      </c>
      <c r="E2675" s="2"/>
      <c r="F2675" s="35">
        <v>2</v>
      </c>
      <c r="G2675" s="35">
        <v>20.002870756528313</v>
      </c>
      <c r="H2675" s="35">
        <v>-0.79861964195142698</v>
      </c>
      <c r="I2675" s="35">
        <v>-3.7009281258779829</v>
      </c>
      <c r="J2675" s="35">
        <v>-1.6485691186733268E-4</v>
      </c>
      <c r="K2675" s="35">
        <v>1.4846172001862215</v>
      </c>
      <c r="L2675" s="35">
        <v>10.345635090049202</v>
      </c>
      <c r="M2675" s="58" t="s">
        <v>22</v>
      </c>
      <c r="N2675" s="7">
        <v>9.5</v>
      </c>
      <c r="O2675" s="7" t="s">
        <v>179</v>
      </c>
      <c r="P2675" s="7" t="s">
        <v>179</v>
      </c>
    </row>
    <row r="2676" spans="1:16" x14ac:dyDescent="0.25">
      <c r="A2676" s="2" t="s">
        <v>181</v>
      </c>
      <c r="B2676" s="2" t="s">
        <v>202</v>
      </c>
      <c r="C2676" s="6" t="s">
        <v>149</v>
      </c>
      <c r="D2676" s="2" t="s">
        <v>112</v>
      </c>
      <c r="E2676" s="2"/>
      <c r="F2676" s="35">
        <v>2</v>
      </c>
      <c r="G2676" s="35">
        <v>23.677064056653219</v>
      </c>
      <c r="H2676" s="35">
        <v>-0.79862517954729617</v>
      </c>
      <c r="I2676" s="35">
        <v>0.19720276149805935</v>
      </c>
      <c r="J2676" s="35">
        <v>-1.4810212641664015E-4</v>
      </c>
      <c r="K2676" s="35">
        <v>1.484617200186219</v>
      </c>
      <c r="L2676" s="35">
        <v>10.345652961820402</v>
      </c>
      <c r="M2676" s="58" t="s">
        <v>22</v>
      </c>
      <c r="N2676" s="7">
        <v>9.5</v>
      </c>
      <c r="O2676" s="7" t="s">
        <v>179</v>
      </c>
      <c r="P2676" s="7" t="s">
        <v>179</v>
      </c>
    </row>
    <row r="2677" spans="1:16" x14ac:dyDescent="0.25">
      <c r="A2677" s="2" t="s">
        <v>181</v>
      </c>
      <c r="B2677" s="2" t="s">
        <v>202</v>
      </c>
      <c r="C2677" s="6" t="s">
        <v>149</v>
      </c>
      <c r="D2677" s="2" t="s">
        <v>112</v>
      </c>
      <c r="E2677" s="2"/>
      <c r="F2677" s="35">
        <v>4.4982502942822435</v>
      </c>
      <c r="G2677" s="35">
        <v>24.693599103496318</v>
      </c>
      <c r="H2677" s="35">
        <v>8.6447609328395867</v>
      </c>
      <c r="I2677" s="35">
        <v>0.1972027614980599</v>
      </c>
      <c r="J2677" s="35">
        <v>-1.4810212641664015E-4</v>
      </c>
      <c r="K2677" s="35">
        <v>0.99195534324042056</v>
      </c>
      <c r="L2677" s="35">
        <v>0.54484748449995357</v>
      </c>
      <c r="M2677" s="58" t="s">
        <v>24</v>
      </c>
      <c r="N2677" s="7">
        <v>9.5</v>
      </c>
      <c r="O2677" s="7" t="s">
        <v>179</v>
      </c>
      <c r="P2677" s="7" t="s">
        <v>179</v>
      </c>
    </row>
    <row r="2678" spans="1:16" x14ac:dyDescent="0.25">
      <c r="A2678" s="2" t="s">
        <v>181</v>
      </c>
      <c r="B2678" s="2" t="s">
        <v>202</v>
      </c>
      <c r="C2678" s="6" t="s">
        <v>149</v>
      </c>
      <c r="D2678" s="2" t="s">
        <v>112</v>
      </c>
      <c r="E2678" s="2"/>
      <c r="F2678" s="35">
        <v>8.9965005885644871</v>
      </c>
      <c r="G2678" s="35">
        <v>26.523931750339408</v>
      </c>
      <c r="H2678" s="35">
        <v>25.648147045226477</v>
      </c>
      <c r="I2678" s="35">
        <v>0.19720276149806096</v>
      </c>
      <c r="J2678" s="35">
        <v>-1.4810212641664015E-4</v>
      </c>
      <c r="K2678" s="35">
        <v>0.10488796329849888</v>
      </c>
      <c r="L2678" s="35">
        <v>-76.584194217564843</v>
      </c>
      <c r="M2678" s="58" t="s">
        <v>23</v>
      </c>
      <c r="N2678" s="7">
        <v>9.5</v>
      </c>
      <c r="O2678" s="7" t="s">
        <v>179</v>
      </c>
      <c r="P2678" s="7" t="s">
        <v>179</v>
      </c>
    </row>
    <row r="2679" spans="1:16" x14ac:dyDescent="0.25">
      <c r="A2679" s="2" t="s">
        <v>181</v>
      </c>
      <c r="B2679" s="2" t="s">
        <v>202</v>
      </c>
      <c r="C2679" s="6" t="s">
        <v>149</v>
      </c>
      <c r="D2679" s="2" t="s">
        <v>113</v>
      </c>
      <c r="E2679" s="2"/>
      <c r="F2679" s="35">
        <v>0</v>
      </c>
      <c r="G2679" s="35">
        <v>-18.970993541229078</v>
      </c>
      <c r="H2679" s="35">
        <v>-12.417240084295784</v>
      </c>
      <c r="I2679" s="35">
        <v>-4.0342260780895884</v>
      </c>
      <c r="J2679" s="35">
        <v>-1.6958718453727239E-4</v>
      </c>
      <c r="K2679" s="35">
        <v>-6.4251369220494512</v>
      </c>
      <c r="L2679" s="35">
        <v>-27.71243844989575</v>
      </c>
      <c r="M2679" s="58" t="s">
        <v>22</v>
      </c>
      <c r="N2679" s="7">
        <v>9.5</v>
      </c>
      <c r="O2679" s="7" t="s">
        <v>179</v>
      </c>
      <c r="P2679" s="7" t="s">
        <v>179</v>
      </c>
    </row>
    <row r="2680" spans="1:16" x14ac:dyDescent="0.25">
      <c r="A2680" s="2" t="s">
        <v>181</v>
      </c>
      <c r="B2680" s="2" t="s">
        <v>202</v>
      </c>
      <c r="C2680" s="6" t="s">
        <v>149</v>
      </c>
      <c r="D2680" s="2" t="s">
        <v>113</v>
      </c>
      <c r="E2680" s="2"/>
      <c r="F2680" s="35">
        <v>2</v>
      </c>
      <c r="G2680" s="35">
        <v>-18.157195941229077</v>
      </c>
      <c r="H2680" s="35">
        <v>-9.0908400842957828</v>
      </c>
      <c r="I2680" s="35">
        <v>-4.0342260780895884</v>
      </c>
      <c r="J2680" s="35">
        <v>-1.6958718453727239E-4</v>
      </c>
      <c r="K2680" s="35">
        <v>1.6433152341297248</v>
      </c>
      <c r="L2680" s="35">
        <v>-6.204358281304188</v>
      </c>
      <c r="M2680" s="58" t="s">
        <v>22</v>
      </c>
      <c r="N2680" s="7">
        <v>9.5</v>
      </c>
      <c r="O2680" s="7" t="s">
        <v>179</v>
      </c>
      <c r="P2680" s="7" t="s">
        <v>179</v>
      </c>
    </row>
    <row r="2681" spans="1:16" x14ac:dyDescent="0.25">
      <c r="A2681" s="2" t="s">
        <v>181</v>
      </c>
      <c r="B2681" s="2" t="s">
        <v>202</v>
      </c>
      <c r="C2681" s="6" t="s">
        <v>149</v>
      </c>
      <c r="D2681" s="2" t="s">
        <v>113</v>
      </c>
      <c r="E2681" s="2"/>
      <c r="F2681" s="35">
        <v>2</v>
      </c>
      <c r="G2681" s="35">
        <v>-14.150705931073801</v>
      </c>
      <c r="H2681" s="35">
        <v>-9.0908359826959355</v>
      </c>
      <c r="I2681" s="35">
        <v>0.2183526900692262</v>
      </c>
      <c r="J2681" s="35">
        <v>-1.8960620434938042E-4</v>
      </c>
      <c r="K2681" s="35">
        <v>1.6433152341297248</v>
      </c>
      <c r="L2681" s="35">
        <v>-6.2043796349252913</v>
      </c>
      <c r="M2681" s="58" t="s">
        <v>22</v>
      </c>
      <c r="N2681" s="7">
        <v>9.5</v>
      </c>
      <c r="O2681" s="7" t="s">
        <v>179</v>
      </c>
      <c r="P2681" s="7" t="s">
        <v>179</v>
      </c>
    </row>
    <row r="2682" spans="1:16" x14ac:dyDescent="0.25">
      <c r="A2682" s="2" t="s">
        <v>181</v>
      </c>
      <c r="B2682" s="2" t="s">
        <v>202</v>
      </c>
      <c r="C2682" s="6" t="s">
        <v>149</v>
      </c>
      <c r="D2682" s="2" t="s">
        <v>113</v>
      </c>
      <c r="E2682" s="2"/>
      <c r="F2682" s="35">
        <v>4.4982502942822435</v>
      </c>
      <c r="G2682" s="35">
        <v>-13.134170884230702</v>
      </c>
      <c r="H2682" s="35">
        <v>-4.9357460932457062</v>
      </c>
      <c r="I2682" s="35">
        <v>0.21835269006922642</v>
      </c>
      <c r="J2682" s="35">
        <v>-1.8960620434938042E-4</v>
      </c>
      <c r="K2682" s="35">
        <v>1.0978155619069607</v>
      </c>
      <c r="L2682" s="35">
        <v>11.316576764572334</v>
      </c>
      <c r="M2682" s="58" t="s">
        <v>24</v>
      </c>
      <c r="N2682" s="7">
        <v>9.5</v>
      </c>
      <c r="O2682" s="7" t="s">
        <v>179</v>
      </c>
      <c r="P2682" s="7" t="s">
        <v>179</v>
      </c>
    </row>
    <row r="2683" spans="1:16" x14ac:dyDescent="0.25">
      <c r="A2683" s="2" t="s">
        <v>181</v>
      </c>
      <c r="B2683" s="2" t="s">
        <v>202</v>
      </c>
      <c r="C2683" s="6" t="s">
        <v>149</v>
      </c>
      <c r="D2683" s="2" t="s">
        <v>113</v>
      </c>
      <c r="E2683" s="2"/>
      <c r="F2683" s="35">
        <v>8.9965005885644871</v>
      </c>
      <c r="G2683" s="35">
        <v>-11.303838237387614</v>
      </c>
      <c r="H2683" s="35">
        <v>2.5457437962045253</v>
      </c>
      <c r="I2683" s="35">
        <v>0.21835269006922689</v>
      </c>
      <c r="J2683" s="35">
        <v>-1.8960620434938042E-4</v>
      </c>
      <c r="K2683" s="35">
        <v>0.11561050954574227</v>
      </c>
      <c r="L2683" s="35">
        <v>16.691991032572712</v>
      </c>
      <c r="M2683" s="58" t="s">
        <v>23</v>
      </c>
      <c r="N2683" s="7">
        <v>9.5</v>
      </c>
      <c r="O2683" s="7" t="s">
        <v>179</v>
      </c>
      <c r="P2683" s="7" t="s">
        <v>179</v>
      </c>
    </row>
    <row r="2684" spans="1:16" x14ac:dyDescent="0.25">
      <c r="A2684" s="2" t="s">
        <v>181</v>
      </c>
      <c r="B2684" s="2" t="s">
        <v>202</v>
      </c>
      <c r="C2684" s="6" t="s">
        <v>149</v>
      </c>
      <c r="D2684" s="2" t="s">
        <v>114</v>
      </c>
      <c r="E2684" s="2"/>
      <c r="F2684" s="35">
        <v>0</v>
      </c>
      <c r="G2684" s="35">
        <v>33.793446724089364</v>
      </c>
      <c r="H2684" s="35">
        <v>-8.354829681767141</v>
      </c>
      <c r="I2684" s="35">
        <v>3.7903976501621974</v>
      </c>
      <c r="J2684" s="35">
        <v>1.4698613806073214E-4</v>
      </c>
      <c r="K2684" s="35">
        <v>6.046609588851708</v>
      </c>
      <c r="L2684" s="35">
        <v>1.7189149267191584</v>
      </c>
      <c r="M2684" s="58" t="s">
        <v>22</v>
      </c>
      <c r="N2684" s="7">
        <v>9.5</v>
      </c>
      <c r="O2684" s="7" t="s">
        <v>179</v>
      </c>
      <c r="P2684" s="7" t="s">
        <v>179</v>
      </c>
    </row>
    <row r="2685" spans="1:16" x14ac:dyDescent="0.25">
      <c r="A2685" s="2" t="s">
        <v>181</v>
      </c>
      <c r="B2685" s="2" t="s">
        <v>202</v>
      </c>
      <c r="C2685" s="6" t="s">
        <v>149</v>
      </c>
      <c r="D2685" s="2" t="s">
        <v>114</v>
      </c>
      <c r="E2685" s="2"/>
      <c r="F2685" s="35">
        <v>2</v>
      </c>
      <c r="G2685" s="35">
        <v>34.607244324089365</v>
      </c>
      <c r="H2685" s="35">
        <v>-0.79482968176713964</v>
      </c>
      <c r="I2685" s="35">
        <v>3.7903976501621979</v>
      </c>
      <c r="J2685" s="35">
        <v>1.4698613806073214E-4</v>
      </c>
      <c r="K2685" s="35">
        <v>-1.5341857114726873</v>
      </c>
      <c r="L2685" s="35">
        <v>10.868574290253436</v>
      </c>
      <c r="M2685" s="58" t="s">
        <v>22</v>
      </c>
      <c r="N2685" s="7">
        <v>9.5</v>
      </c>
      <c r="O2685" s="7" t="s">
        <v>179</v>
      </c>
      <c r="P2685" s="7" t="s">
        <v>179</v>
      </c>
    </row>
    <row r="2686" spans="1:16" x14ac:dyDescent="0.25">
      <c r="A2686" s="2" t="s">
        <v>181</v>
      </c>
      <c r="B2686" s="2" t="s">
        <v>202</v>
      </c>
      <c r="C2686" s="6" t="s">
        <v>149</v>
      </c>
      <c r="D2686" s="2" t="s">
        <v>114</v>
      </c>
      <c r="E2686" s="2"/>
      <c r="F2686" s="35">
        <v>2</v>
      </c>
      <c r="G2686" s="35">
        <v>30.880962297239567</v>
      </c>
      <c r="H2686" s="35">
        <v>-0.79483994162031002</v>
      </c>
      <c r="I2686" s="35">
        <v>-0.20531128732409978</v>
      </c>
      <c r="J2686" s="35">
        <v>1.6415334970404431E-4</v>
      </c>
      <c r="K2686" s="35">
        <v>-1.5341857114726885</v>
      </c>
      <c r="L2686" s="35">
        <v>10.86859260194586</v>
      </c>
      <c r="M2686" s="58" t="s">
        <v>22</v>
      </c>
      <c r="N2686" s="7">
        <v>9.5</v>
      </c>
      <c r="O2686" s="7" t="s">
        <v>179</v>
      </c>
      <c r="P2686" s="7" t="s">
        <v>179</v>
      </c>
    </row>
    <row r="2687" spans="1:16" x14ac:dyDescent="0.25">
      <c r="A2687" s="2" t="s">
        <v>181</v>
      </c>
      <c r="B2687" s="2" t="s">
        <v>202</v>
      </c>
      <c r="C2687" s="6" t="s">
        <v>149</v>
      </c>
      <c r="D2687" s="2" t="s">
        <v>114</v>
      </c>
      <c r="E2687" s="2"/>
      <c r="F2687" s="35">
        <v>4.4982502942822435</v>
      </c>
      <c r="G2687" s="35">
        <v>31.897497344082666</v>
      </c>
      <c r="H2687" s="35">
        <v>8.6485461707665721</v>
      </c>
      <c r="I2687" s="35">
        <v>-0.2053112873240992</v>
      </c>
      <c r="J2687" s="35">
        <v>1.6415334970404431E-4</v>
      </c>
      <c r="K2687" s="35">
        <v>-1.0212667274957907</v>
      </c>
      <c r="L2687" s="35">
        <v>1.058330652860388</v>
      </c>
      <c r="M2687" s="58" t="s">
        <v>24</v>
      </c>
      <c r="N2687" s="7">
        <v>9.5</v>
      </c>
      <c r="O2687" s="7" t="s">
        <v>179</v>
      </c>
      <c r="P2687" s="7" t="s">
        <v>179</v>
      </c>
    </row>
    <row r="2688" spans="1:16" x14ac:dyDescent="0.25">
      <c r="A2688" s="2" t="s">
        <v>181</v>
      </c>
      <c r="B2688" s="2" t="s">
        <v>202</v>
      </c>
      <c r="C2688" s="6" t="s">
        <v>149</v>
      </c>
      <c r="D2688" s="2" t="s">
        <v>114</v>
      </c>
      <c r="E2688" s="2"/>
      <c r="F2688" s="35">
        <v>8.9965005885644871</v>
      </c>
      <c r="G2688" s="35">
        <v>33.727829990925756</v>
      </c>
      <c r="H2688" s="35">
        <v>25.651932283153464</v>
      </c>
      <c r="I2688" s="35">
        <v>-0.20531128732409817</v>
      </c>
      <c r="J2688" s="35">
        <v>1.6415334970404431E-4</v>
      </c>
      <c r="K2688" s="35">
        <v>-9.7725168870697141E-2</v>
      </c>
      <c r="L2688" s="35">
        <v>-76.087737996823421</v>
      </c>
      <c r="M2688" s="58" t="s">
        <v>23</v>
      </c>
      <c r="N2688" s="7">
        <v>9.5</v>
      </c>
      <c r="O2688" s="7" t="s">
        <v>179</v>
      </c>
      <c r="P2688" s="7" t="s">
        <v>179</v>
      </c>
    </row>
    <row r="2689" spans="1:16" x14ac:dyDescent="0.25">
      <c r="A2689" s="2" t="s">
        <v>181</v>
      </c>
      <c r="B2689" s="2" t="s">
        <v>202</v>
      </c>
      <c r="C2689" s="6" t="s">
        <v>149</v>
      </c>
      <c r="D2689" s="2" t="s">
        <v>115</v>
      </c>
      <c r="E2689" s="2"/>
      <c r="F2689" s="35">
        <v>0</v>
      </c>
      <c r="G2689" s="35">
        <v>-4.3604267363872706</v>
      </c>
      <c r="H2689" s="35">
        <v>-12.413504844918299</v>
      </c>
      <c r="I2689" s="35">
        <v>3.4602013362819619</v>
      </c>
      <c r="J2689" s="35">
        <v>1.4177413406206673E-4</v>
      </c>
      <c r="K2689" s="35">
        <v>5.543662049215941</v>
      </c>
      <c r="L2689" s="35">
        <v>-27.182970262777985</v>
      </c>
      <c r="M2689" s="58" t="s">
        <v>22</v>
      </c>
      <c r="N2689" s="7">
        <v>9.5</v>
      </c>
      <c r="O2689" s="7" t="s">
        <v>179</v>
      </c>
      <c r="P2689" s="7" t="s">
        <v>179</v>
      </c>
    </row>
    <row r="2690" spans="1:16" x14ac:dyDescent="0.25">
      <c r="A2690" s="2" t="s">
        <v>181</v>
      </c>
      <c r="B2690" s="2" t="s">
        <v>202</v>
      </c>
      <c r="C2690" s="6" t="s">
        <v>149</v>
      </c>
      <c r="D2690" s="2" t="s">
        <v>115</v>
      </c>
      <c r="E2690" s="2"/>
      <c r="F2690" s="35">
        <v>2</v>
      </c>
      <c r="G2690" s="35">
        <v>-3.5466291363872728</v>
      </c>
      <c r="H2690" s="35">
        <v>-9.087104844918299</v>
      </c>
      <c r="I2690" s="35">
        <v>3.4602013362819619</v>
      </c>
      <c r="J2690" s="35">
        <v>1.4177413406206673E-4</v>
      </c>
      <c r="K2690" s="35">
        <v>-1.376740623347982</v>
      </c>
      <c r="L2690" s="35">
        <v>-5.6823605729413948</v>
      </c>
      <c r="M2690" s="58" t="s">
        <v>22</v>
      </c>
      <c r="N2690" s="7">
        <v>9.5</v>
      </c>
      <c r="O2690" s="7" t="s">
        <v>179</v>
      </c>
      <c r="P2690" s="7" t="s">
        <v>179</v>
      </c>
    </row>
    <row r="2691" spans="1:16" x14ac:dyDescent="0.25">
      <c r="A2691" s="2" t="s">
        <v>181</v>
      </c>
      <c r="B2691" s="2" t="s">
        <v>202</v>
      </c>
      <c r="C2691" s="6" t="s">
        <v>149</v>
      </c>
      <c r="D2691" s="2" t="s">
        <v>115</v>
      </c>
      <c r="E2691" s="2"/>
      <c r="F2691" s="35">
        <v>2</v>
      </c>
      <c r="G2691" s="35">
        <v>-6.9436788790029809</v>
      </c>
      <c r="H2691" s="35">
        <v>-9.0871054638847806</v>
      </c>
      <c r="I2691" s="35">
        <v>-0.18432844080241143</v>
      </c>
      <c r="J2691" s="35">
        <v>1.2216754328188301E-4</v>
      </c>
      <c r="K2691" s="35">
        <v>-1.3767406233479862</v>
      </c>
      <c r="L2691" s="35">
        <v>-5.6823814866382536</v>
      </c>
      <c r="M2691" s="58" t="s">
        <v>22</v>
      </c>
      <c r="N2691" s="7">
        <v>9.5</v>
      </c>
      <c r="O2691" s="7" t="s">
        <v>179</v>
      </c>
      <c r="P2691" s="7" t="s">
        <v>179</v>
      </c>
    </row>
    <row r="2692" spans="1:16" x14ac:dyDescent="0.25">
      <c r="A2692" s="2" t="s">
        <v>181</v>
      </c>
      <c r="B2692" s="2" t="s">
        <v>202</v>
      </c>
      <c r="C2692" s="6" t="s">
        <v>149</v>
      </c>
      <c r="D2692" s="2" t="s">
        <v>115</v>
      </c>
      <c r="E2692" s="2"/>
      <c r="F2692" s="35">
        <v>4.4982502942822435</v>
      </c>
      <c r="G2692" s="35">
        <v>-5.9271438321598824</v>
      </c>
      <c r="H2692" s="35">
        <v>-4.9320155744345513</v>
      </c>
      <c r="I2692" s="35">
        <v>-0.18432844080241115</v>
      </c>
      <c r="J2692" s="35">
        <v>1.2216754328188301E-4</v>
      </c>
      <c r="K2692" s="35">
        <v>-0.91624204186877511</v>
      </c>
      <c r="L2692" s="35">
        <v>11.829255143141577</v>
      </c>
      <c r="M2692" s="58" t="s">
        <v>24</v>
      </c>
      <c r="N2692" s="7">
        <v>9.5</v>
      </c>
      <c r="O2692" s="7" t="s">
        <v>179</v>
      </c>
      <c r="P2692" s="7" t="s">
        <v>179</v>
      </c>
    </row>
    <row r="2693" spans="1:16" x14ac:dyDescent="0.25">
      <c r="A2693" s="2" t="s">
        <v>181</v>
      </c>
      <c r="B2693" s="2" t="s">
        <v>202</v>
      </c>
      <c r="C2693" s="6" t="s">
        <v>149</v>
      </c>
      <c r="D2693" s="2" t="s">
        <v>115</v>
      </c>
      <c r="E2693" s="2"/>
      <c r="F2693" s="35">
        <v>8.9965005885644871</v>
      </c>
      <c r="G2693" s="35">
        <v>-4.0968111853167928</v>
      </c>
      <c r="H2693" s="35">
        <v>2.5494743150156824</v>
      </c>
      <c r="I2693" s="35">
        <v>-0.1843284408024107</v>
      </c>
      <c r="J2693" s="35">
        <v>1.2216754328188301E-4</v>
      </c>
      <c r="K2693" s="35">
        <v>-8.7086578784742713E-2</v>
      </c>
      <c r="L2693" s="35">
        <v>17.187888603801856</v>
      </c>
      <c r="M2693" s="58" t="s">
        <v>23</v>
      </c>
      <c r="N2693" s="7">
        <v>9.5</v>
      </c>
      <c r="O2693" s="7" t="s">
        <v>179</v>
      </c>
      <c r="P2693" s="7" t="s">
        <v>179</v>
      </c>
    </row>
    <row r="2694" spans="1:16" x14ac:dyDescent="0.25">
      <c r="A2694" s="2" t="s">
        <v>181</v>
      </c>
      <c r="B2694" s="2" t="s">
        <v>202</v>
      </c>
      <c r="C2694" s="6" t="s">
        <v>149</v>
      </c>
      <c r="D2694" s="2" t="s">
        <v>116</v>
      </c>
      <c r="E2694" s="2"/>
      <c r="F2694" s="35">
        <v>0</v>
      </c>
      <c r="G2694" s="35">
        <v>38.37364185133714</v>
      </c>
      <c r="H2694" s="35">
        <v>33.837911283792131</v>
      </c>
      <c r="I2694" s="35">
        <v>0.86353576269901999</v>
      </c>
      <c r="J2694" s="35">
        <v>3.0353966842816663E-5</v>
      </c>
      <c r="K2694" s="35">
        <v>1.3259651345057892</v>
      </c>
      <c r="L2694" s="35">
        <v>101.17446920141222</v>
      </c>
      <c r="M2694" s="58" t="s">
        <v>22</v>
      </c>
      <c r="N2694" s="7">
        <v>9.5</v>
      </c>
      <c r="O2694" s="7" t="s">
        <v>179</v>
      </c>
      <c r="P2694" s="7" t="s">
        <v>179</v>
      </c>
    </row>
    <row r="2695" spans="1:16" x14ac:dyDescent="0.25">
      <c r="A2695" s="2" t="s">
        <v>181</v>
      </c>
      <c r="B2695" s="2" t="s">
        <v>202</v>
      </c>
      <c r="C2695" s="6" t="s">
        <v>149</v>
      </c>
      <c r="D2695" s="2" t="s">
        <v>116</v>
      </c>
      <c r="E2695" s="2"/>
      <c r="F2695" s="35">
        <v>2</v>
      </c>
      <c r="G2695" s="35">
        <v>39.187439451337134</v>
      </c>
      <c r="H2695" s="35">
        <v>28.394711283792123</v>
      </c>
      <c r="I2695" s="35">
        <v>0.86353576269901966</v>
      </c>
      <c r="J2695" s="35">
        <v>3.0353966842816663E-5</v>
      </c>
      <c r="K2695" s="35">
        <v>-0.40110639089225031</v>
      </c>
      <c r="L2695" s="35">
        <v>38.941846633827979</v>
      </c>
      <c r="M2695" s="58" t="s">
        <v>22</v>
      </c>
      <c r="N2695" s="7">
        <v>9.5</v>
      </c>
      <c r="O2695" s="7" t="s">
        <v>179</v>
      </c>
      <c r="P2695" s="7" t="s">
        <v>179</v>
      </c>
    </row>
    <row r="2696" spans="1:16" x14ac:dyDescent="0.25">
      <c r="A2696" s="2" t="s">
        <v>181</v>
      </c>
      <c r="B2696" s="2" t="s">
        <v>202</v>
      </c>
      <c r="C2696" s="6" t="s">
        <v>149</v>
      </c>
      <c r="D2696" s="2" t="s">
        <v>116</v>
      </c>
      <c r="E2696" s="2"/>
      <c r="F2696" s="35">
        <v>2</v>
      </c>
      <c r="G2696" s="35">
        <v>38.34672010783968</v>
      </c>
      <c r="H2696" s="35">
        <v>28.394700328733194</v>
      </c>
      <c r="I2696" s="35">
        <v>-5.4237472694481793E-2</v>
      </c>
      <c r="J2696" s="35">
        <v>7.8813563982663257E-5</v>
      </c>
      <c r="K2696" s="35">
        <v>-0.40110639089225109</v>
      </c>
      <c r="L2696" s="35">
        <v>38.941898324064951</v>
      </c>
      <c r="M2696" s="58" t="s">
        <v>22</v>
      </c>
      <c r="N2696" s="7">
        <v>9.5</v>
      </c>
      <c r="O2696" s="7" t="s">
        <v>179</v>
      </c>
      <c r="P2696" s="7" t="s">
        <v>179</v>
      </c>
    </row>
    <row r="2697" spans="1:16" x14ac:dyDescent="0.25">
      <c r="A2697" s="2" t="s">
        <v>181</v>
      </c>
      <c r="B2697" s="2" t="s">
        <v>202</v>
      </c>
      <c r="C2697" s="6" t="s">
        <v>149</v>
      </c>
      <c r="D2697" s="2" t="s">
        <v>116</v>
      </c>
      <c r="E2697" s="2"/>
      <c r="F2697" s="35">
        <v>4.4982502942822435</v>
      </c>
      <c r="G2697" s="35">
        <v>39.363255154682783</v>
      </c>
      <c r="H2697" s="35">
        <v>21.595462327814637</v>
      </c>
      <c r="I2697" s="35">
        <v>-5.423747269448221E-2</v>
      </c>
      <c r="J2697" s="35">
        <v>7.8813563982663257E-5</v>
      </c>
      <c r="K2697" s="35">
        <v>-0.26560760877213618</v>
      </c>
      <c r="L2697" s="35">
        <v>-23.502070959903978</v>
      </c>
      <c r="M2697" s="58" t="s">
        <v>24</v>
      </c>
      <c r="N2697" s="7">
        <v>9.5</v>
      </c>
      <c r="O2697" s="7" t="s">
        <v>179</v>
      </c>
      <c r="P2697" s="7" t="s">
        <v>179</v>
      </c>
    </row>
    <row r="2698" spans="1:16" x14ac:dyDescent="0.25">
      <c r="A2698" s="2" t="s">
        <v>181</v>
      </c>
      <c r="B2698" s="2" t="s">
        <v>202</v>
      </c>
      <c r="C2698" s="6" t="s">
        <v>149</v>
      </c>
      <c r="D2698" s="2" t="s">
        <v>116</v>
      </c>
      <c r="E2698" s="2"/>
      <c r="F2698" s="35">
        <v>8.9965005885644871</v>
      </c>
      <c r="G2698" s="35">
        <v>41.193587801525872</v>
      </c>
      <c r="H2698" s="35">
        <v>9.3530243268960813</v>
      </c>
      <c r="I2698" s="35">
        <v>-5.4237472694482959E-2</v>
      </c>
      <c r="J2698" s="35">
        <v>7.8813563982663257E-5</v>
      </c>
      <c r="K2698" s="35">
        <v>-2.1633881263054749E-2</v>
      </c>
      <c r="L2698" s="35">
        <v>-93.109090560975275</v>
      </c>
      <c r="M2698" s="58" t="s">
        <v>23</v>
      </c>
      <c r="N2698" s="7">
        <v>9.5</v>
      </c>
      <c r="O2698" s="7" t="s">
        <v>179</v>
      </c>
      <c r="P2698" s="7" t="s">
        <v>179</v>
      </c>
    </row>
    <row r="2699" spans="1:16" x14ac:dyDescent="0.25">
      <c r="A2699" s="2" t="s">
        <v>181</v>
      </c>
      <c r="B2699" s="2" t="s">
        <v>202</v>
      </c>
      <c r="C2699" s="6" t="s">
        <v>149</v>
      </c>
      <c r="D2699" s="2" t="s">
        <v>117</v>
      </c>
      <c r="E2699" s="2"/>
      <c r="F2699" s="35">
        <v>0</v>
      </c>
      <c r="G2699" s="35">
        <v>-68.132288785501004</v>
      </c>
      <c r="H2699" s="35">
        <v>10.746908319912423</v>
      </c>
      <c r="I2699" s="35">
        <v>0.43990204666798538</v>
      </c>
      <c r="J2699" s="35">
        <v>8.7625202371691008E-5</v>
      </c>
      <c r="K2699" s="35">
        <v>0.6903988774967732</v>
      </c>
      <c r="L2699" s="35">
        <v>32.648133349416781</v>
      </c>
      <c r="M2699" s="58" t="s">
        <v>22</v>
      </c>
      <c r="N2699" s="7">
        <v>9.5</v>
      </c>
      <c r="O2699" s="7" t="s">
        <v>179</v>
      </c>
      <c r="P2699" s="7" t="s">
        <v>179</v>
      </c>
    </row>
    <row r="2700" spans="1:16" x14ac:dyDescent="0.25">
      <c r="A2700" s="2" t="s">
        <v>181</v>
      </c>
      <c r="B2700" s="2" t="s">
        <v>202</v>
      </c>
      <c r="C2700" s="6" t="s">
        <v>149</v>
      </c>
      <c r="D2700" s="2" t="s">
        <v>117</v>
      </c>
      <c r="E2700" s="2"/>
      <c r="F2700" s="35">
        <v>2</v>
      </c>
      <c r="G2700" s="35">
        <v>-67.318491185501017</v>
      </c>
      <c r="H2700" s="35">
        <v>1.0701083199124184</v>
      </c>
      <c r="I2700" s="35">
        <v>0.43990204666798471</v>
      </c>
      <c r="J2700" s="35">
        <v>8.7625202371691008E-5</v>
      </c>
      <c r="K2700" s="35">
        <v>-0.18940521583919681</v>
      </c>
      <c r="L2700" s="35">
        <v>20.831116709591942</v>
      </c>
      <c r="M2700" s="58" t="s">
        <v>22</v>
      </c>
      <c r="N2700" s="7">
        <v>9.5</v>
      </c>
      <c r="O2700" s="7" t="s">
        <v>179</v>
      </c>
      <c r="P2700" s="7" t="s">
        <v>179</v>
      </c>
    </row>
    <row r="2701" spans="1:16" x14ac:dyDescent="0.25">
      <c r="A2701" s="2" t="s">
        <v>181</v>
      </c>
      <c r="B2701" s="2" t="s">
        <v>202</v>
      </c>
      <c r="C2701" s="6" t="s">
        <v>149</v>
      </c>
      <c r="D2701" s="2" t="s">
        <v>117</v>
      </c>
      <c r="E2701" s="2"/>
      <c r="F2701" s="35">
        <v>2</v>
      </c>
      <c r="G2701" s="35">
        <v>-67.735623523736976</v>
      </c>
      <c r="H2701" s="35">
        <v>1.0701182030569323</v>
      </c>
      <c r="I2701" s="35">
        <v>-2.6049172723389358E-2</v>
      </c>
      <c r="J2701" s="35">
        <v>-3.6054345414645066E-6</v>
      </c>
      <c r="K2701" s="35">
        <v>-0.1894052158391967</v>
      </c>
      <c r="L2701" s="35">
        <v>20.831019396912613</v>
      </c>
      <c r="M2701" s="58" t="s">
        <v>22</v>
      </c>
      <c r="N2701" s="7">
        <v>9.5</v>
      </c>
      <c r="O2701" s="7" t="s">
        <v>179</v>
      </c>
      <c r="P2701" s="7" t="s">
        <v>179</v>
      </c>
    </row>
    <row r="2702" spans="1:16" x14ac:dyDescent="0.25">
      <c r="A2702" s="2" t="s">
        <v>181</v>
      </c>
      <c r="B2702" s="2" t="s">
        <v>202</v>
      </c>
      <c r="C2702" s="6" t="s">
        <v>149</v>
      </c>
      <c r="D2702" s="2" t="s">
        <v>117</v>
      </c>
      <c r="E2702" s="2"/>
      <c r="F2702" s="35">
        <v>4.4982502942822435</v>
      </c>
      <c r="G2702" s="35">
        <v>-66.719088476893859</v>
      </c>
      <c r="H2702" s="35">
        <v>-11.017416020798276</v>
      </c>
      <c r="I2702" s="35">
        <v>-2.6049172723390097E-2</v>
      </c>
      <c r="J2702" s="35">
        <v>-3.6054345414645066E-6</v>
      </c>
      <c r="K2702" s="35">
        <v>-0.1243278624171793</v>
      </c>
      <c r="L2702" s="35">
        <v>33.256439247155328</v>
      </c>
      <c r="M2702" s="58" t="s">
        <v>24</v>
      </c>
      <c r="N2702" s="7">
        <v>9.5</v>
      </c>
      <c r="O2702" s="7" t="s">
        <v>179</v>
      </c>
      <c r="P2702" s="7" t="s">
        <v>179</v>
      </c>
    </row>
    <row r="2703" spans="1:16" x14ac:dyDescent="0.25">
      <c r="A2703" s="2" t="s">
        <v>181</v>
      </c>
      <c r="B2703" s="2" t="s">
        <v>202</v>
      </c>
      <c r="C2703" s="6" t="s">
        <v>149</v>
      </c>
      <c r="D2703" s="2" t="s">
        <v>117</v>
      </c>
      <c r="E2703" s="2"/>
      <c r="F2703" s="35">
        <v>8.9965005885644871</v>
      </c>
      <c r="G2703" s="35">
        <v>-64.888755830050769</v>
      </c>
      <c r="H2703" s="35">
        <v>-32.781750244653487</v>
      </c>
      <c r="I2703" s="35">
        <v>-2.6049172723391426E-2</v>
      </c>
      <c r="J2703" s="35">
        <v>-3.6054345414645066E-6</v>
      </c>
      <c r="K2703" s="35">
        <v>-7.152163548377795E-3</v>
      </c>
      <c r="L2703" s="35">
        <v>131.76624551859803</v>
      </c>
      <c r="M2703" s="58" t="s">
        <v>23</v>
      </c>
      <c r="N2703" s="7">
        <v>9.5</v>
      </c>
      <c r="O2703" s="7" t="s">
        <v>179</v>
      </c>
      <c r="P2703" s="7" t="s">
        <v>179</v>
      </c>
    </row>
    <row r="2704" spans="1:16" x14ac:dyDescent="0.25">
      <c r="A2704" s="2" t="s">
        <v>181</v>
      </c>
      <c r="B2704" s="2" t="s">
        <v>202</v>
      </c>
      <c r="C2704" s="6" t="s">
        <v>149</v>
      </c>
      <c r="D2704" s="2" t="s">
        <v>118</v>
      </c>
      <c r="E2704" s="2"/>
      <c r="F2704" s="35">
        <v>0</v>
      </c>
      <c r="G2704" s="35">
        <v>22.862879965558776</v>
      </c>
      <c r="H2704" s="35">
        <v>-9.4938153225487945</v>
      </c>
      <c r="I2704" s="35">
        <v>0.67274942860706266</v>
      </c>
      <c r="J2704" s="35">
        <v>3.7937015695962799E-5</v>
      </c>
      <c r="K2704" s="35">
        <v>1.0329434660157866</v>
      </c>
      <c r="L2704" s="35">
        <v>-24.381079705672825</v>
      </c>
      <c r="M2704" s="58" t="s">
        <v>22</v>
      </c>
      <c r="N2704" s="7">
        <v>9.5</v>
      </c>
      <c r="O2704" s="7" t="s">
        <v>179</v>
      </c>
      <c r="P2704" s="7" t="s">
        <v>179</v>
      </c>
    </row>
    <row r="2705" spans="1:16" x14ac:dyDescent="0.25">
      <c r="A2705" s="2" t="s">
        <v>181</v>
      </c>
      <c r="B2705" s="2" t="s">
        <v>202</v>
      </c>
      <c r="C2705" s="6" t="s">
        <v>149</v>
      </c>
      <c r="D2705" s="2" t="s">
        <v>118</v>
      </c>
      <c r="E2705" s="2"/>
      <c r="F2705" s="35">
        <v>2</v>
      </c>
      <c r="G2705" s="35">
        <v>23.676677565558773</v>
      </c>
      <c r="H2705" s="35">
        <v>-3.7482153225487957</v>
      </c>
      <c r="I2705" s="35">
        <v>0.67274942860706299</v>
      </c>
      <c r="J2705" s="35">
        <v>3.7937015695962799E-5</v>
      </c>
      <c r="K2705" s="35">
        <v>-0.31255539119833892</v>
      </c>
      <c r="L2705" s="35">
        <v>-11.139049060575237</v>
      </c>
      <c r="M2705" s="58" t="s">
        <v>22</v>
      </c>
      <c r="N2705" s="7">
        <v>9.5</v>
      </c>
      <c r="O2705" s="7" t="s">
        <v>179</v>
      </c>
      <c r="P2705" s="7" t="s">
        <v>179</v>
      </c>
    </row>
    <row r="2706" spans="1:16" x14ac:dyDescent="0.25">
      <c r="A2706" s="2" t="s">
        <v>181</v>
      </c>
      <c r="B2706" s="2" t="s">
        <v>202</v>
      </c>
      <c r="C2706" s="6" t="s">
        <v>149</v>
      </c>
      <c r="D2706" s="2" t="s">
        <v>118</v>
      </c>
      <c r="E2706" s="2"/>
      <c r="F2706" s="35">
        <v>2</v>
      </c>
      <c r="G2706" s="35">
        <v>23.025895770392943</v>
      </c>
      <c r="H2706" s="35">
        <v>-3.7482197753319606</v>
      </c>
      <c r="I2706" s="35">
        <v>-4.2424605829505503E-2</v>
      </c>
      <c r="J2706" s="35">
        <v>7.264694131245723E-5</v>
      </c>
      <c r="K2706" s="35">
        <v>-0.31255539119833869</v>
      </c>
      <c r="L2706" s="35">
        <v>-11.13901203665457</v>
      </c>
      <c r="M2706" s="58" t="s">
        <v>22</v>
      </c>
      <c r="N2706" s="7">
        <v>9.5</v>
      </c>
      <c r="O2706" s="7" t="s">
        <v>179</v>
      </c>
      <c r="P2706" s="7" t="s">
        <v>179</v>
      </c>
    </row>
    <row r="2707" spans="1:16" x14ac:dyDescent="0.25">
      <c r="A2707" s="2" t="s">
        <v>181</v>
      </c>
      <c r="B2707" s="2" t="s">
        <v>202</v>
      </c>
      <c r="C2707" s="6" t="s">
        <v>149</v>
      </c>
      <c r="D2707" s="2" t="s">
        <v>118</v>
      </c>
      <c r="E2707" s="2"/>
      <c r="F2707" s="35">
        <v>4.4982502942822435</v>
      </c>
      <c r="G2707" s="35">
        <v>24.042430817236042</v>
      </c>
      <c r="H2707" s="35">
        <v>3.4287536700820702</v>
      </c>
      <c r="I2707" s="35">
        <v>-4.2424605829505059E-2</v>
      </c>
      <c r="J2707" s="35">
        <v>7.264694131245723E-5</v>
      </c>
      <c r="K2707" s="35">
        <v>-0.2065681071999689</v>
      </c>
      <c r="L2707" s="35">
        <v>-10.739958890927699</v>
      </c>
      <c r="M2707" s="58" t="s">
        <v>24</v>
      </c>
      <c r="N2707" s="7">
        <v>9.5</v>
      </c>
      <c r="O2707" s="7" t="s">
        <v>179</v>
      </c>
      <c r="P2707" s="7" t="s">
        <v>179</v>
      </c>
    </row>
    <row r="2708" spans="1:16" x14ac:dyDescent="0.25">
      <c r="A2708" s="2" t="s">
        <v>181</v>
      </c>
      <c r="B2708" s="2" t="s">
        <v>202</v>
      </c>
      <c r="C2708" s="6" t="s">
        <v>149</v>
      </c>
      <c r="D2708" s="2" t="s">
        <v>118</v>
      </c>
      <c r="E2708" s="2"/>
      <c r="F2708" s="35">
        <v>8.9965005885644871</v>
      </c>
      <c r="G2708" s="35">
        <v>25.872763464079132</v>
      </c>
      <c r="H2708" s="35">
        <v>16.351327115496112</v>
      </c>
      <c r="I2708" s="35">
        <v>-4.2424605829504275E-2</v>
      </c>
      <c r="J2708" s="35">
        <v>7.264694131245723E-5</v>
      </c>
      <c r="K2708" s="35">
        <v>-1.5731611542591312E-2</v>
      </c>
      <c r="L2708" s="35">
        <v>-55.227835998254506</v>
      </c>
      <c r="M2708" s="58" t="s">
        <v>23</v>
      </c>
      <c r="N2708" s="7">
        <v>9.5</v>
      </c>
      <c r="O2708" s="7" t="s">
        <v>179</v>
      </c>
      <c r="P2708" s="7" t="s">
        <v>179</v>
      </c>
    </row>
    <row r="2709" spans="1:16" x14ac:dyDescent="0.25">
      <c r="A2709" s="2" t="s">
        <v>181</v>
      </c>
      <c r="B2709" s="2" t="s">
        <v>202</v>
      </c>
      <c r="C2709" s="6" t="s">
        <v>149</v>
      </c>
      <c r="D2709" s="2" t="s">
        <v>119</v>
      </c>
      <c r="E2709" s="2"/>
      <c r="F2709" s="35">
        <v>0</v>
      </c>
      <c r="G2709" s="35">
        <v>-25.246474690373102</v>
      </c>
      <c r="H2709" s="35">
        <v>-24.130635462337722</v>
      </c>
      <c r="I2709" s="35">
        <v>0.49415998286656193</v>
      </c>
      <c r="J2709" s="35">
        <v>8.2341901676123272E-6</v>
      </c>
      <c r="K2709" s="35">
        <v>0.7678704776935259</v>
      </c>
      <c r="L2709" s="35">
        <v>-111.61695007480414</v>
      </c>
      <c r="M2709" s="58" t="s">
        <v>22</v>
      </c>
      <c r="N2709" s="7">
        <v>9.5</v>
      </c>
      <c r="O2709" s="7" t="s">
        <v>179</v>
      </c>
      <c r="P2709" s="7" t="s">
        <v>179</v>
      </c>
    </row>
    <row r="2710" spans="1:16" x14ac:dyDescent="0.25">
      <c r="A2710" s="2" t="s">
        <v>181</v>
      </c>
      <c r="B2710" s="2" t="s">
        <v>202</v>
      </c>
      <c r="C2710" s="6" t="s">
        <v>149</v>
      </c>
      <c r="D2710" s="2" t="s">
        <v>119</v>
      </c>
      <c r="E2710" s="2"/>
      <c r="F2710" s="35">
        <v>2</v>
      </c>
      <c r="G2710" s="35">
        <v>-24.432677090373105</v>
      </c>
      <c r="H2710" s="35">
        <v>-22.618635462337721</v>
      </c>
      <c r="I2710" s="35">
        <v>0.49415998286656204</v>
      </c>
      <c r="J2710" s="35">
        <v>8.2341901676123272E-6</v>
      </c>
      <c r="K2710" s="35">
        <v>-0.22044948803959805</v>
      </c>
      <c r="L2710" s="35">
        <v>-64.867679150128708</v>
      </c>
      <c r="M2710" s="58" t="s">
        <v>22</v>
      </c>
      <c r="N2710" s="7">
        <v>9.5</v>
      </c>
      <c r="O2710" s="7" t="s">
        <v>179</v>
      </c>
      <c r="P2710" s="7" t="s">
        <v>179</v>
      </c>
    </row>
    <row r="2711" spans="1:16" x14ac:dyDescent="0.25">
      <c r="A2711" s="2" t="s">
        <v>181</v>
      </c>
      <c r="B2711" s="2" t="s">
        <v>202</v>
      </c>
      <c r="C2711" s="6" t="s">
        <v>149</v>
      </c>
      <c r="D2711" s="2" t="s">
        <v>119</v>
      </c>
      <c r="E2711" s="2"/>
      <c r="F2711" s="35">
        <v>2</v>
      </c>
      <c r="G2711" s="35">
        <v>-24.904521444593801</v>
      </c>
      <c r="H2711" s="35">
        <v>-22.618624034444391</v>
      </c>
      <c r="I2711" s="35">
        <v>-3.0149361860706207E-2</v>
      </c>
      <c r="J2711" s="35">
        <v>2.2784645319807628E-5</v>
      </c>
      <c r="K2711" s="35">
        <v>-0.22044948803959785</v>
      </c>
      <c r="L2711" s="35">
        <v>-64.867663629643218</v>
      </c>
      <c r="M2711" s="58" t="s">
        <v>22</v>
      </c>
      <c r="N2711" s="7">
        <v>9.5</v>
      </c>
      <c r="O2711" s="7" t="s">
        <v>179</v>
      </c>
      <c r="P2711" s="7" t="s">
        <v>179</v>
      </c>
    </row>
    <row r="2712" spans="1:16" x14ac:dyDescent="0.25">
      <c r="A2712" s="2" t="s">
        <v>181</v>
      </c>
      <c r="B2712" s="2" t="s">
        <v>202</v>
      </c>
      <c r="C2712" s="6" t="s">
        <v>149</v>
      </c>
      <c r="D2712" s="2" t="s">
        <v>119</v>
      </c>
      <c r="E2712" s="2"/>
      <c r="F2712" s="35">
        <v>4.4982502942822435</v>
      </c>
      <c r="G2712" s="35">
        <v>-23.887986397750705</v>
      </c>
      <c r="H2712" s="35">
        <v>-20.729946811967011</v>
      </c>
      <c r="I2712" s="35">
        <v>-3.0149361860706096E-2</v>
      </c>
      <c r="J2712" s="35">
        <v>2.2784645319807628E-5</v>
      </c>
      <c r="K2712" s="35">
        <v>-0.14512883589866687</v>
      </c>
      <c r="L2712" s="35">
        <v>-10.719873692762238</v>
      </c>
      <c r="M2712" s="58" t="s">
        <v>24</v>
      </c>
      <c r="N2712" s="7">
        <v>9.5</v>
      </c>
      <c r="O2712" s="7" t="s">
        <v>179</v>
      </c>
      <c r="P2712" s="7" t="s">
        <v>179</v>
      </c>
    </row>
    <row r="2713" spans="1:16" x14ac:dyDescent="0.25">
      <c r="A2713" s="2" t="s">
        <v>181</v>
      </c>
      <c r="B2713" s="2" t="s">
        <v>202</v>
      </c>
      <c r="C2713" s="6" t="s">
        <v>149</v>
      </c>
      <c r="D2713" s="2" t="s">
        <v>119</v>
      </c>
      <c r="E2713" s="2"/>
      <c r="F2713" s="35">
        <v>8.9965005885644871</v>
      </c>
      <c r="G2713" s="35">
        <v>-22.057653750907615</v>
      </c>
      <c r="H2713" s="35">
        <v>-17.329269589489634</v>
      </c>
      <c r="I2713" s="35">
        <v>-3.0149361860705881E-2</v>
      </c>
      <c r="J2713" s="35">
        <v>2.2784645319807628E-5</v>
      </c>
      <c r="K2713" s="35">
        <v>-9.5094600363242812E-3</v>
      </c>
      <c r="L2713" s="35">
        <v>74.880066996239762</v>
      </c>
      <c r="M2713" s="58" t="s">
        <v>23</v>
      </c>
      <c r="N2713" s="7">
        <v>9.5</v>
      </c>
      <c r="O2713" s="7" t="s">
        <v>179</v>
      </c>
      <c r="P2713" s="7" t="s">
        <v>179</v>
      </c>
    </row>
    <row r="2714" spans="1:16" x14ac:dyDescent="0.25">
      <c r="A2714" s="2" t="s">
        <v>181</v>
      </c>
      <c r="B2714" s="2" t="s">
        <v>202</v>
      </c>
      <c r="C2714" s="6" t="s">
        <v>149</v>
      </c>
      <c r="D2714" s="2" t="s">
        <v>120</v>
      </c>
      <c r="E2714" s="2"/>
      <c r="F2714" s="35">
        <v>0</v>
      </c>
      <c r="G2714" s="35">
        <v>29.50743076346836</v>
      </c>
      <c r="H2714" s="35">
        <v>-5.9787396893859377</v>
      </c>
      <c r="I2714" s="35">
        <v>-4.1012081805332565</v>
      </c>
      <c r="J2714" s="35">
        <v>-1.888492919365022E-4</v>
      </c>
      <c r="K2714" s="35">
        <v>-6.5591902217629299</v>
      </c>
      <c r="L2714" s="35">
        <v>11.893307989247445</v>
      </c>
      <c r="M2714" s="58" t="s">
        <v>22</v>
      </c>
      <c r="N2714" s="7">
        <v>9.5</v>
      </c>
      <c r="O2714" s="7" t="s">
        <v>179</v>
      </c>
      <c r="P2714" s="7" t="s">
        <v>179</v>
      </c>
    </row>
    <row r="2715" spans="1:16" x14ac:dyDescent="0.25">
      <c r="A2715" s="2" t="s">
        <v>181</v>
      </c>
      <c r="B2715" s="2" t="s">
        <v>202</v>
      </c>
      <c r="C2715" s="6" t="s">
        <v>149</v>
      </c>
      <c r="D2715" s="2" t="s">
        <v>120</v>
      </c>
      <c r="E2715" s="2"/>
      <c r="F2715" s="35">
        <v>2</v>
      </c>
      <c r="G2715" s="35">
        <v>30.321228363468364</v>
      </c>
      <c r="H2715" s="35">
        <v>2.4212603106140627</v>
      </c>
      <c r="I2715" s="35">
        <v>-4.1012081805332556</v>
      </c>
      <c r="J2715" s="35">
        <v>-1.888492919365022E-4</v>
      </c>
      <c r="K2715" s="35">
        <v>1.6432261393035814</v>
      </c>
      <c r="L2715" s="35">
        <v>15.450787368019327</v>
      </c>
      <c r="M2715" s="58" t="s">
        <v>22</v>
      </c>
      <c r="N2715" s="7">
        <v>9.5</v>
      </c>
      <c r="O2715" s="7" t="s">
        <v>179</v>
      </c>
      <c r="P2715" s="7" t="s">
        <v>179</v>
      </c>
    </row>
    <row r="2716" spans="1:16" x14ac:dyDescent="0.25">
      <c r="A2716" s="2" t="s">
        <v>181</v>
      </c>
      <c r="B2716" s="2" t="s">
        <v>202</v>
      </c>
      <c r="C2716" s="6" t="s">
        <v>149</v>
      </c>
      <c r="D2716" s="2" t="s">
        <v>120</v>
      </c>
      <c r="E2716" s="2"/>
      <c r="F2716" s="35">
        <v>2</v>
      </c>
      <c r="G2716" s="35">
        <v>34.390513944307699</v>
      </c>
      <c r="H2716" s="35">
        <v>2.4212522152775815</v>
      </c>
      <c r="I2716" s="35">
        <v>0.21835479836727098</v>
      </c>
      <c r="J2716" s="35">
        <v>-1.5982980106607876E-4</v>
      </c>
      <c r="K2716" s="35">
        <v>1.6432261393035787</v>
      </c>
      <c r="L2716" s="35">
        <v>15.450818322142977</v>
      </c>
      <c r="M2716" s="58" t="s">
        <v>22</v>
      </c>
      <c r="N2716" s="7">
        <v>9.5</v>
      </c>
      <c r="O2716" s="7" t="s">
        <v>179</v>
      </c>
      <c r="P2716" s="7" t="s">
        <v>179</v>
      </c>
    </row>
    <row r="2717" spans="1:16" x14ac:dyDescent="0.25">
      <c r="A2717" s="2" t="s">
        <v>181</v>
      </c>
      <c r="B2717" s="2" t="s">
        <v>202</v>
      </c>
      <c r="C2717" s="6" t="s">
        <v>149</v>
      </c>
      <c r="D2717" s="2" t="s">
        <v>120</v>
      </c>
      <c r="E2717" s="2"/>
      <c r="F2717" s="35">
        <v>4.4982502942822435</v>
      </c>
      <c r="G2717" s="35">
        <v>35.407048991150788</v>
      </c>
      <c r="H2717" s="35">
        <v>12.913903451263007</v>
      </c>
      <c r="I2717" s="35">
        <v>0.21835479836727165</v>
      </c>
      <c r="J2717" s="35">
        <v>-1.5982980106607876E-4</v>
      </c>
      <c r="K2717" s="35">
        <v>1.0977212000246028</v>
      </c>
      <c r="L2717" s="35">
        <v>-3.7047102562565422</v>
      </c>
      <c r="M2717" s="58" t="s">
        <v>24</v>
      </c>
      <c r="N2717" s="7">
        <v>9.5</v>
      </c>
      <c r="O2717" s="7" t="s">
        <v>179</v>
      </c>
      <c r="P2717" s="7" t="s">
        <v>179</v>
      </c>
    </row>
    <row r="2718" spans="1:16" x14ac:dyDescent="0.25">
      <c r="A2718" s="2" t="s">
        <v>181</v>
      </c>
      <c r="B2718" s="2" t="s">
        <v>202</v>
      </c>
      <c r="C2718" s="6" t="s">
        <v>149</v>
      </c>
      <c r="D2718" s="2" t="s">
        <v>120</v>
      </c>
      <c r="E2718" s="2"/>
      <c r="F2718" s="35">
        <v>8.9965005885644871</v>
      </c>
      <c r="G2718" s="35">
        <v>37.237381637993877</v>
      </c>
      <c r="H2718" s="35">
        <v>31.80655468724844</v>
      </c>
      <c r="I2718" s="35">
        <v>0.21835479836727281</v>
      </c>
      <c r="J2718" s="35">
        <v>-1.5982980106607876E-4</v>
      </c>
      <c r="K2718" s="35">
        <v>0.11550666401108065</v>
      </c>
      <c r="L2718" s="35">
        <v>-104.2866172472545</v>
      </c>
      <c r="M2718" s="58" t="s">
        <v>23</v>
      </c>
      <c r="N2718" s="7">
        <v>9.5</v>
      </c>
      <c r="O2718" s="7" t="s">
        <v>179</v>
      </c>
      <c r="P2718" s="7" t="s">
        <v>179</v>
      </c>
    </row>
    <row r="2719" spans="1:16" x14ac:dyDescent="0.25">
      <c r="A2719" s="2" t="s">
        <v>181</v>
      </c>
      <c r="B2719" s="2" t="s">
        <v>202</v>
      </c>
      <c r="C2719" s="6" t="s">
        <v>149</v>
      </c>
      <c r="D2719" s="2" t="s">
        <v>121</v>
      </c>
      <c r="E2719" s="2"/>
      <c r="F2719" s="35">
        <v>0</v>
      </c>
      <c r="G2719" s="35">
        <v>-12.892643345150963</v>
      </c>
      <c r="H2719" s="35">
        <v>-10.488317958657444</v>
      </c>
      <c r="I2719" s="35">
        <v>-4.4715392385461499</v>
      </c>
      <c r="J2719" s="35">
        <v>-1.9410515045865741E-4</v>
      </c>
      <c r="K2719" s="35">
        <v>-7.123521188962604</v>
      </c>
      <c r="L2719" s="35">
        <v>-20.218730073021554</v>
      </c>
      <c r="M2719" s="58" t="s">
        <v>22</v>
      </c>
      <c r="N2719" s="7">
        <v>9.5</v>
      </c>
      <c r="O2719" s="7" t="s">
        <v>179</v>
      </c>
      <c r="P2719" s="7" t="s">
        <v>179</v>
      </c>
    </row>
    <row r="2720" spans="1:16" x14ac:dyDescent="0.25">
      <c r="A2720" s="2" t="s">
        <v>181</v>
      </c>
      <c r="B2720" s="2" t="s">
        <v>202</v>
      </c>
      <c r="C2720" s="6" t="s">
        <v>149</v>
      </c>
      <c r="D2720" s="2" t="s">
        <v>121</v>
      </c>
      <c r="E2720" s="2"/>
      <c r="F2720" s="35">
        <v>2</v>
      </c>
      <c r="G2720" s="35">
        <v>-12.078845745150957</v>
      </c>
      <c r="H2720" s="35">
        <v>-6.7923179586574429</v>
      </c>
      <c r="I2720" s="35">
        <v>-4.4715392385461499</v>
      </c>
      <c r="J2720" s="35">
        <v>-1.9410515045865741E-4</v>
      </c>
      <c r="K2720" s="35">
        <v>1.8195572881296962</v>
      </c>
      <c r="L2720" s="35">
        <v>-2.9380941557066618</v>
      </c>
      <c r="M2720" s="58" t="s">
        <v>22</v>
      </c>
      <c r="N2720" s="7">
        <v>9.5</v>
      </c>
      <c r="O2720" s="7" t="s">
        <v>179</v>
      </c>
      <c r="P2720" s="7" t="s">
        <v>179</v>
      </c>
    </row>
    <row r="2721" spans="1:16" x14ac:dyDescent="0.25">
      <c r="A2721" s="2" t="s">
        <v>181</v>
      </c>
      <c r="B2721" s="2" t="s">
        <v>202</v>
      </c>
      <c r="C2721" s="6" t="s">
        <v>149</v>
      </c>
      <c r="D2721" s="2" t="s">
        <v>121</v>
      </c>
      <c r="E2721" s="2"/>
      <c r="F2721" s="35">
        <v>2</v>
      </c>
      <c r="G2721" s="35">
        <v>-7.6403415976112141</v>
      </c>
      <c r="H2721" s="35">
        <v>-6.7923153437764618</v>
      </c>
      <c r="I2721" s="35">
        <v>0.24185471900190084</v>
      </c>
      <c r="J2721" s="35">
        <v>-2.0594544321356795E-4</v>
      </c>
      <c r="K2721" s="35">
        <v>1.8195572881296962</v>
      </c>
      <c r="L2721" s="35">
        <v>-2.9381067853522369</v>
      </c>
      <c r="M2721" s="58" t="s">
        <v>22</v>
      </c>
      <c r="N2721" s="7">
        <v>9.5</v>
      </c>
      <c r="O2721" s="7" t="s">
        <v>179</v>
      </c>
      <c r="P2721" s="7" t="s">
        <v>179</v>
      </c>
    </row>
    <row r="2722" spans="1:16" x14ac:dyDescent="0.25">
      <c r="A2722" s="2" t="s">
        <v>181</v>
      </c>
      <c r="B2722" s="2" t="s">
        <v>202</v>
      </c>
      <c r="C2722" s="6" t="s">
        <v>149</v>
      </c>
      <c r="D2722" s="2" t="s">
        <v>121</v>
      </c>
      <c r="E2722" s="2"/>
      <c r="F2722" s="35">
        <v>4.4982502942822435</v>
      </c>
      <c r="G2722" s="35">
        <v>-6.6238065507681227</v>
      </c>
      <c r="H2722" s="35">
        <v>-2.1755487999428746</v>
      </c>
      <c r="I2722" s="35">
        <v>0.24185471900190111</v>
      </c>
      <c r="J2722" s="35">
        <v>-2.0594544321356795E-4</v>
      </c>
      <c r="K2722" s="35">
        <v>1.2153436652096479</v>
      </c>
      <c r="L2722" s="35">
        <v>8.2638778327127707</v>
      </c>
      <c r="M2722" s="58" t="s">
        <v>24</v>
      </c>
      <c r="N2722" s="7">
        <v>9.5</v>
      </c>
      <c r="O2722" s="7" t="s">
        <v>179</v>
      </c>
      <c r="P2722" s="7" t="s">
        <v>179</v>
      </c>
    </row>
    <row r="2723" spans="1:16" x14ac:dyDescent="0.25">
      <c r="A2723" s="2" t="s">
        <v>181</v>
      </c>
      <c r="B2723" s="2" t="s">
        <v>202</v>
      </c>
      <c r="C2723" s="6" t="s">
        <v>149</v>
      </c>
      <c r="D2723" s="2" t="s">
        <v>121</v>
      </c>
      <c r="E2723" s="2"/>
      <c r="F2723" s="35">
        <v>8.9965005885644871</v>
      </c>
      <c r="G2723" s="35">
        <v>-4.7934739039250331</v>
      </c>
      <c r="H2723" s="35">
        <v>6.1372177438907149</v>
      </c>
      <c r="I2723" s="35">
        <v>0.24185471900190161</v>
      </c>
      <c r="J2723" s="35">
        <v>-2.0594544321356795E-4</v>
      </c>
      <c r="K2723" s="35">
        <v>0.12742060428579552</v>
      </c>
      <c r="L2723" s="35">
        <v>-0.64641141376832112</v>
      </c>
      <c r="M2723" s="58" t="s">
        <v>23</v>
      </c>
      <c r="N2723" s="7">
        <v>9.5</v>
      </c>
      <c r="O2723" s="7" t="s">
        <v>179</v>
      </c>
      <c r="P2723" s="7" t="s">
        <v>179</v>
      </c>
    </row>
    <row r="2724" spans="1:16" x14ac:dyDescent="0.25">
      <c r="A2724" s="2" t="s">
        <v>181</v>
      </c>
      <c r="B2724" s="2" t="s">
        <v>202</v>
      </c>
      <c r="C2724" s="6" t="s">
        <v>149</v>
      </c>
      <c r="D2724" s="2" t="s">
        <v>122</v>
      </c>
      <c r="E2724" s="2"/>
      <c r="F2724" s="35">
        <v>0</v>
      </c>
      <c r="G2724" s="35">
        <v>45.734512505202865</v>
      </c>
      <c r="H2724" s="35">
        <v>-5.9745286225145087</v>
      </c>
      <c r="I2724" s="35">
        <v>4.2224871261780565</v>
      </c>
      <c r="J2724" s="35">
        <v>1.576429857613476E-4</v>
      </c>
      <c r="K2724" s="35">
        <v>6.7339749342609059</v>
      </c>
      <c r="L2724" s="35">
        <v>12.482773678772796</v>
      </c>
      <c r="M2724" s="58" t="s">
        <v>22</v>
      </c>
      <c r="N2724" s="7">
        <v>9.5</v>
      </c>
      <c r="O2724" s="7" t="s">
        <v>179</v>
      </c>
      <c r="P2724" s="7" t="s">
        <v>179</v>
      </c>
    </row>
    <row r="2725" spans="1:16" x14ac:dyDescent="0.25">
      <c r="A2725" s="2" t="s">
        <v>181</v>
      </c>
      <c r="B2725" s="2" t="s">
        <v>202</v>
      </c>
      <c r="C2725" s="6" t="s">
        <v>149</v>
      </c>
      <c r="D2725" s="2" t="s">
        <v>122</v>
      </c>
      <c r="E2725" s="2"/>
      <c r="F2725" s="35">
        <v>2</v>
      </c>
      <c r="G2725" s="35">
        <v>46.548310105202873</v>
      </c>
      <c r="H2725" s="35">
        <v>2.425471377485493</v>
      </c>
      <c r="I2725" s="35">
        <v>4.2224871261780565</v>
      </c>
      <c r="J2725" s="35">
        <v>1.576429857613476E-4</v>
      </c>
      <c r="K2725" s="35">
        <v>-1.7109993180952061</v>
      </c>
      <c r="L2725" s="35">
        <v>16.031830923801817</v>
      </c>
      <c r="M2725" s="58" t="s">
        <v>22</v>
      </c>
      <c r="N2725" s="7">
        <v>9.5</v>
      </c>
      <c r="O2725" s="7" t="s">
        <v>179</v>
      </c>
      <c r="P2725" s="7" t="s">
        <v>179</v>
      </c>
    </row>
    <row r="2726" spans="1:16" x14ac:dyDescent="0.25">
      <c r="A2726" s="2" t="s">
        <v>181</v>
      </c>
      <c r="B2726" s="2" t="s">
        <v>202</v>
      </c>
      <c r="C2726" s="6" t="s">
        <v>149</v>
      </c>
      <c r="D2726" s="2" t="s">
        <v>122</v>
      </c>
      <c r="E2726" s="2"/>
      <c r="F2726" s="35">
        <v>2</v>
      </c>
      <c r="G2726" s="35">
        <v>42.39484532273697</v>
      </c>
      <c r="H2726" s="35">
        <v>2.4254580351964536</v>
      </c>
      <c r="I2726" s="35">
        <v>-0.22888303365735024</v>
      </c>
      <c r="J2726" s="35">
        <v>1.87120727956904E-4</v>
      </c>
      <c r="K2726" s="35">
        <v>-1.7109993180952074</v>
      </c>
      <c r="L2726" s="35">
        <v>16.03186236672682</v>
      </c>
      <c r="M2726" s="58" t="s">
        <v>22</v>
      </c>
      <c r="N2726" s="7">
        <v>9.5</v>
      </c>
      <c r="O2726" s="7" t="s">
        <v>179</v>
      </c>
      <c r="P2726" s="7" t="s">
        <v>179</v>
      </c>
    </row>
    <row r="2727" spans="1:16" x14ac:dyDescent="0.25">
      <c r="A2727" s="2" t="s">
        <v>181</v>
      </c>
      <c r="B2727" s="2" t="s">
        <v>202</v>
      </c>
      <c r="C2727" s="6" t="s">
        <v>149</v>
      </c>
      <c r="D2727" s="2" t="s">
        <v>122</v>
      </c>
      <c r="E2727" s="2"/>
      <c r="F2727" s="35">
        <v>4.4982502942822435</v>
      </c>
      <c r="G2727" s="35">
        <v>43.411380369580058</v>
      </c>
      <c r="H2727" s="35">
        <v>12.91810927118188</v>
      </c>
      <c r="I2727" s="35">
        <v>-0.22888303365734958</v>
      </c>
      <c r="J2727" s="35">
        <v>1.87120727956904E-4</v>
      </c>
      <c r="K2727" s="35">
        <v>-1.1391922119045204</v>
      </c>
      <c r="L2727" s="35">
        <v>-3.1341734025227233</v>
      </c>
      <c r="M2727" s="58" t="s">
        <v>24</v>
      </c>
      <c r="N2727" s="7">
        <v>9.5</v>
      </c>
      <c r="O2727" s="7" t="s">
        <v>179</v>
      </c>
      <c r="P2727" s="7" t="s">
        <v>179</v>
      </c>
    </row>
    <row r="2728" spans="1:16" x14ac:dyDescent="0.25">
      <c r="A2728" s="2" t="s">
        <v>181</v>
      </c>
      <c r="B2728" s="2" t="s">
        <v>202</v>
      </c>
      <c r="C2728" s="6" t="s">
        <v>149</v>
      </c>
      <c r="D2728" s="2" t="s">
        <v>122</v>
      </c>
      <c r="E2728" s="2"/>
      <c r="F2728" s="35">
        <v>8.9965005885644871</v>
      </c>
      <c r="G2728" s="35">
        <v>45.241713016423148</v>
      </c>
      <c r="H2728" s="35">
        <v>31.810760507167313</v>
      </c>
      <c r="I2728" s="35">
        <v>-0.22888303365734841</v>
      </c>
      <c r="J2728" s="35">
        <v>1.87120727956904E-4</v>
      </c>
      <c r="K2728" s="35">
        <v>-0.10961903839913714</v>
      </c>
      <c r="L2728" s="35">
        <v>-103.73499922420845</v>
      </c>
      <c r="M2728" s="58" t="s">
        <v>23</v>
      </c>
      <c r="N2728" s="7">
        <v>9.5</v>
      </c>
      <c r="O2728" s="7" t="s">
        <v>179</v>
      </c>
      <c r="P2728" s="7" t="s">
        <v>179</v>
      </c>
    </row>
    <row r="2729" spans="1:16" x14ac:dyDescent="0.25">
      <c r="A2729" s="2" t="s">
        <v>181</v>
      </c>
      <c r="B2729" s="2" t="s">
        <v>202</v>
      </c>
      <c r="C2729" s="6" t="s">
        <v>149</v>
      </c>
      <c r="D2729" s="2" t="s">
        <v>123</v>
      </c>
      <c r="E2729" s="2"/>
      <c r="F2729" s="35">
        <v>0</v>
      </c>
      <c r="G2729" s="35">
        <v>3.341319771339927</v>
      </c>
      <c r="H2729" s="35">
        <v>-10.48416769268246</v>
      </c>
      <c r="I2729" s="35">
        <v>3.8556023329777944</v>
      </c>
      <c r="J2729" s="35">
        <v>1.5185187020727491E-4</v>
      </c>
      <c r="K2729" s="35">
        <v>6.1751443346656094</v>
      </c>
      <c r="L2729" s="35">
        <v>-19.630432087335148</v>
      </c>
      <c r="M2729" s="58" t="s">
        <v>22</v>
      </c>
      <c r="N2729" s="7">
        <v>9.5</v>
      </c>
      <c r="O2729" s="7" t="s">
        <v>179</v>
      </c>
      <c r="P2729" s="7" t="s">
        <v>179</v>
      </c>
    </row>
    <row r="2730" spans="1:16" x14ac:dyDescent="0.25">
      <c r="A2730" s="2" t="s">
        <v>181</v>
      </c>
      <c r="B2730" s="2" t="s">
        <v>202</v>
      </c>
      <c r="C2730" s="6" t="s">
        <v>149</v>
      </c>
      <c r="D2730" s="2" t="s">
        <v>123</v>
      </c>
      <c r="E2730" s="2"/>
      <c r="F2730" s="35">
        <v>2</v>
      </c>
      <c r="G2730" s="35">
        <v>4.1551173713399319</v>
      </c>
      <c r="H2730" s="35">
        <v>-6.7881676926824603</v>
      </c>
      <c r="I2730" s="35">
        <v>3.8556023329777944</v>
      </c>
      <c r="J2730" s="35">
        <v>1.5185187020727491E-4</v>
      </c>
      <c r="K2730" s="35">
        <v>-1.5360603312899779</v>
      </c>
      <c r="L2730" s="35">
        <v>-2.3580967019702226</v>
      </c>
      <c r="M2730" s="58" t="s">
        <v>22</v>
      </c>
      <c r="N2730" s="7">
        <v>9.5</v>
      </c>
      <c r="O2730" s="7" t="s">
        <v>179</v>
      </c>
      <c r="P2730" s="7" t="s">
        <v>179</v>
      </c>
    </row>
    <row r="2731" spans="1:16" x14ac:dyDescent="0.25">
      <c r="A2731" s="2" t="s">
        <v>181</v>
      </c>
      <c r="B2731" s="2" t="s">
        <v>202</v>
      </c>
      <c r="C2731" s="6" t="s">
        <v>149</v>
      </c>
      <c r="D2731" s="2" t="s">
        <v>123</v>
      </c>
      <c r="E2731" s="2"/>
      <c r="F2731" s="35">
        <v>2</v>
      </c>
      <c r="G2731" s="35">
        <v>0.36746623802303652</v>
      </c>
      <c r="H2731" s="35">
        <v>-6.78817032287518</v>
      </c>
      <c r="I2731" s="35">
        <v>-0.20556875974436314</v>
      </c>
      <c r="J2731" s="35">
        <v>1.4046983193228028E-4</v>
      </c>
      <c r="K2731" s="35">
        <v>-1.5360603312899825</v>
      </c>
      <c r="L2731" s="35">
        <v>-2.3581088428110886</v>
      </c>
      <c r="M2731" s="58" t="s">
        <v>22</v>
      </c>
      <c r="N2731" s="7">
        <v>9.5</v>
      </c>
      <c r="O2731" s="7" t="s">
        <v>179</v>
      </c>
      <c r="P2731" s="7" t="s">
        <v>179</v>
      </c>
    </row>
    <row r="2732" spans="1:16" x14ac:dyDescent="0.25">
      <c r="A2732" s="2" t="s">
        <v>181</v>
      </c>
      <c r="B2732" s="2" t="s">
        <v>202</v>
      </c>
      <c r="C2732" s="6" t="s">
        <v>149</v>
      </c>
      <c r="D2732" s="2" t="s">
        <v>123</v>
      </c>
      <c r="E2732" s="2"/>
      <c r="F2732" s="35">
        <v>4.4982502942822435</v>
      </c>
      <c r="G2732" s="35">
        <v>1.3840012848661278</v>
      </c>
      <c r="H2732" s="35">
        <v>-2.171403779041591</v>
      </c>
      <c r="I2732" s="35">
        <v>-0.20556875974436289</v>
      </c>
      <c r="J2732" s="35">
        <v>1.4046983193228028E-4</v>
      </c>
      <c r="K2732" s="35">
        <v>-1.0224981167633918</v>
      </c>
      <c r="L2732" s="35">
        <v>8.8335204755674859</v>
      </c>
      <c r="M2732" s="58" t="s">
        <v>24</v>
      </c>
      <c r="N2732" s="7">
        <v>9.5</v>
      </c>
      <c r="O2732" s="7" t="s">
        <v>179</v>
      </c>
      <c r="P2732" s="7" t="s">
        <v>179</v>
      </c>
    </row>
    <row r="2733" spans="1:16" x14ac:dyDescent="0.25">
      <c r="A2733" s="2" t="s">
        <v>181</v>
      </c>
      <c r="B2733" s="2" t="s">
        <v>202</v>
      </c>
      <c r="C2733" s="6" t="s">
        <v>149</v>
      </c>
      <c r="D2733" s="2" t="s">
        <v>123</v>
      </c>
      <c r="E2733" s="2"/>
      <c r="F2733" s="35">
        <v>8.9965005885644871</v>
      </c>
      <c r="G2733" s="35">
        <v>3.2143339317092172</v>
      </c>
      <c r="H2733" s="35">
        <v>6.1413627647919986</v>
      </c>
      <c r="I2733" s="35">
        <v>-0.20556875974436237</v>
      </c>
      <c r="J2733" s="35">
        <v>1.4046983193228028E-4</v>
      </c>
      <c r="K2733" s="35">
        <v>-9.7798382748076687E-2</v>
      </c>
      <c r="L2733" s="35">
        <v>-9.5414112402603002E-2</v>
      </c>
      <c r="M2733" s="58" t="s">
        <v>23</v>
      </c>
      <c r="N2733" s="7">
        <v>9.5</v>
      </c>
      <c r="O2733" s="7" t="s">
        <v>179</v>
      </c>
      <c r="P2733" s="7" t="s">
        <v>179</v>
      </c>
    </row>
    <row r="2734" spans="1:16" x14ac:dyDescent="0.25">
      <c r="A2734" s="2" t="s">
        <v>181</v>
      </c>
      <c r="B2734" s="2" t="s">
        <v>202</v>
      </c>
      <c r="C2734" s="6" t="s">
        <v>149</v>
      </c>
      <c r="D2734" s="2" t="s">
        <v>124</v>
      </c>
      <c r="E2734" s="2"/>
      <c r="F2734" s="35">
        <v>0</v>
      </c>
      <c r="G2734" s="35">
        <v>50.823618202144836</v>
      </c>
      <c r="H2734" s="35">
        <v>40.906294672551347</v>
      </c>
      <c r="I2734" s="35">
        <v>0.97041836233008116</v>
      </c>
      <c r="J2734" s="35">
        <v>2.8051684408108196E-5</v>
      </c>
      <c r="K2734" s="35">
        <v>1.488814429432108</v>
      </c>
      <c r="L2734" s="35">
        <v>122.98894509509843</v>
      </c>
      <c r="M2734" s="58" t="s">
        <v>22</v>
      </c>
      <c r="N2734" s="7">
        <v>9.5</v>
      </c>
      <c r="O2734" s="7" t="s">
        <v>179</v>
      </c>
      <c r="P2734" s="7" t="s">
        <v>179</v>
      </c>
    </row>
    <row r="2735" spans="1:16" x14ac:dyDescent="0.25">
      <c r="A2735" s="2" t="s">
        <v>181</v>
      </c>
      <c r="B2735" s="2" t="s">
        <v>202</v>
      </c>
      <c r="C2735" s="6" t="s">
        <v>149</v>
      </c>
      <c r="D2735" s="2" t="s">
        <v>124</v>
      </c>
      <c r="E2735" s="2"/>
      <c r="F2735" s="35">
        <v>2</v>
      </c>
      <c r="G2735" s="35">
        <v>51.637415802144844</v>
      </c>
      <c r="H2735" s="35">
        <v>34.858294672551345</v>
      </c>
      <c r="I2735" s="35">
        <v>0.97041836233008094</v>
      </c>
      <c r="J2735" s="35">
        <v>2.8051684408108196E-5</v>
      </c>
      <c r="K2735" s="35">
        <v>-0.45202229522805382</v>
      </c>
      <c r="L2735" s="35">
        <v>47.224355749995738</v>
      </c>
      <c r="M2735" s="58" t="s">
        <v>22</v>
      </c>
      <c r="N2735" s="7">
        <v>9.5</v>
      </c>
      <c r="O2735" s="7" t="s">
        <v>179</v>
      </c>
      <c r="P2735" s="7" t="s">
        <v>179</v>
      </c>
    </row>
    <row r="2736" spans="1:16" x14ac:dyDescent="0.25">
      <c r="A2736" s="2" t="s">
        <v>181</v>
      </c>
      <c r="B2736" s="2" t="s">
        <v>202</v>
      </c>
      <c r="C2736" s="6" t="s">
        <v>149</v>
      </c>
      <c r="D2736" s="2" t="s">
        <v>124</v>
      </c>
      <c r="E2736" s="2"/>
      <c r="F2736" s="35">
        <v>2</v>
      </c>
      <c r="G2736" s="35">
        <v>50.690131778959319</v>
      </c>
      <c r="H2736" s="35">
        <v>34.858280557811455</v>
      </c>
      <c r="I2736" s="35">
        <v>-6.1023239624441332E-2</v>
      </c>
      <c r="J2736" s="35">
        <v>9.2298743822036153E-5</v>
      </c>
      <c r="K2736" s="35">
        <v>-0.45202229522805465</v>
      </c>
      <c r="L2736" s="35">
        <v>47.224424280192473</v>
      </c>
      <c r="M2736" s="58" t="s">
        <v>22</v>
      </c>
      <c r="N2736" s="7">
        <v>9.5</v>
      </c>
      <c r="O2736" s="7" t="s">
        <v>179</v>
      </c>
      <c r="P2736" s="7" t="s">
        <v>179</v>
      </c>
    </row>
    <row r="2737" spans="1:16" x14ac:dyDescent="0.25">
      <c r="A2737" s="2" t="s">
        <v>181</v>
      </c>
      <c r="B2737" s="2" t="s">
        <v>202</v>
      </c>
      <c r="C2737" s="6" t="s">
        <v>149</v>
      </c>
      <c r="D2737" s="2" t="s">
        <v>124</v>
      </c>
      <c r="E2737" s="2"/>
      <c r="F2737" s="35">
        <v>4.4982502942822435</v>
      </c>
      <c r="G2737" s="35">
        <v>51.706666825802415</v>
      </c>
      <c r="H2737" s="35">
        <v>27.303571667901952</v>
      </c>
      <c r="I2737" s="35">
        <v>-6.1023239624441804E-2</v>
      </c>
      <c r="J2737" s="35">
        <v>9.2298743822036153E-5</v>
      </c>
      <c r="K2737" s="35">
        <v>-0.29957096887823759</v>
      </c>
      <c r="L2737" s="35">
        <v>-30.423508527816466</v>
      </c>
      <c r="M2737" s="58" t="s">
        <v>24</v>
      </c>
      <c r="N2737" s="7">
        <v>9.5</v>
      </c>
      <c r="O2737" s="7" t="s">
        <v>179</v>
      </c>
      <c r="P2737" s="7" t="s">
        <v>179</v>
      </c>
    </row>
    <row r="2738" spans="1:16" x14ac:dyDescent="0.25">
      <c r="A2738" s="2" t="s">
        <v>181</v>
      </c>
      <c r="B2738" s="2" t="s">
        <v>202</v>
      </c>
      <c r="C2738" s="6" t="s">
        <v>149</v>
      </c>
      <c r="D2738" s="2" t="s">
        <v>124</v>
      </c>
      <c r="E2738" s="2"/>
      <c r="F2738" s="35">
        <v>8.9965005885644871</v>
      </c>
      <c r="G2738" s="35">
        <v>53.536999472645498</v>
      </c>
      <c r="H2738" s="35">
        <v>13.700862777992443</v>
      </c>
      <c r="I2738" s="35">
        <v>-6.1023239624442643E-2</v>
      </c>
      <c r="J2738" s="35">
        <v>9.2298743822036153E-5</v>
      </c>
      <c r="K2738" s="35">
        <v>-2.5073163279534481E-2</v>
      </c>
      <c r="L2738" s="35">
        <v>-122.64761318437719</v>
      </c>
      <c r="M2738" s="58" t="s">
        <v>23</v>
      </c>
      <c r="N2738" s="7">
        <v>9.5</v>
      </c>
      <c r="O2738" s="7" t="s">
        <v>179</v>
      </c>
      <c r="P2738" s="7" t="s">
        <v>179</v>
      </c>
    </row>
    <row r="2739" spans="1:16" x14ac:dyDescent="0.25">
      <c r="A2739" s="2" t="s">
        <v>181</v>
      </c>
      <c r="B2739" s="2" t="s">
        <v>202</v>
      </c>
      <c r="C2739" s="6" t="s">
        <v>149</v>
      </c>
      <c r="D2739" s="2" t="s">
        <v>125</v>
      </c>
      <c r="E2739" s="2"/>
      <c r="F2739" s="35">
        <v>0</v>
      </c>
      <c r="G2739" s="35">
        <v>-67.516304727675333</v>
      </c>
      <c r="H2739" s="35">
        <v>15.249624712685003</v>
      </c>
      <c r="I2739" s="35">
        <v>0.49971423340670934</v>
      </c>
      <c r="J2739" s="35">
        <v>9.1686390551301913E-5</v>
      </c>
      <c r="K2739" s="35">
        <v>0.78262969942209026</v>
      </c>
      <c r="L2739" s="35">
        <v>46.848571926214603</v>
      </c>
      <c r="M2739" s="58" t="s">
        <v>22</v>
      </c>
      <c r="N2739" s="7">
        <v>9.5</v>
      </c>
      <c r="O2739" s="7" t="s">
        <v>179</v>
      </c>
      <c r="P2739" s="7" t="s">
        <v>179</v>
      </c>
    </row>
    <row r="2740" spans="1:16" x14ac:dyDescent="0.25">
      <c r="A2740" s="2" t="s">
        <v>181</v>
      </c>
      <c r="B2740" s="2" t="s">
        <v>202</v>
      </c>
      <c r="C2740" s="6" t="s">
        <v>149</v>
      </c>
      <c r="D2740" s="2" t="s">
        <v>125</v>
      </c>
      <c r="E2740" s="2"/>
      <c r="F2740" s="35">
        <v>2</v>
      </c>
      <c r="G2740" s="35">
        <v>-66.702507127675332</v>
      </c>
      <c r="H2740" s="35">
        <v>4.4976247126850017</v>
      </c>
      <c r="I2740" s="35">
        <v>0.49971423340670862</v>
      </c>
      <c r="J2740" s="35">
        <v>9.1686390551301913E-5</v>
      </c>
      <c r="K2740" s="35">
        <v>-0.21679876739132772</v>
      </c>
      <c r="L2740" s="35">
        <v>27.101322500844596</v>
      </c>
      <c r="M2740" s="58" t="s">
        <v>22</v>
      </c>
      <c r="N2740" s="7">
        <v>9.5</v>
      </c>
      <c r="O2740" s="7" t="s">
        <v>179</v>
      </c>
      <c r="P2740" s="7" t="s">
        <v>179</v>
      </c>
    </row>
    <row r="2741" spans="1:16" x14ac:dyDescent="0.25">
      <c r="A2741" s="2" t="s">
        <v>181</v>
      </c>
      <c r="B2741" s="2" t="s">
        <v>202</v>
      </c>
      <c r="C2741" s="6" t="s">
        <v>149</v>
      </c>
      <c r="D2741" s="2" t="s">
        <v>125</v>
      </c>
      <c r="E2741" s="2"/>
      <c r="F2741" s="35">
        <v>2</v>
      </c>
      <c r="G2741" s="35">
        <v>-67.179138922792504</v>
      </c>
      <c r="H2741" s="35">
        <v>4.4976337515045008</v>
      </c>
      <c r="I2741" s="35">
        <v>-2.9702906323227526E-2</v>
      </c>
      <c r="J2741" s="35">
        <v>7.2207879522751717E-7</v>
      </c>
      <c r="K2741" s="35">
        <v>-0.21679876739132758</v>
      </c>
      <c r="L2741" s="35">
        <v>27.101225472245432</v>
      </c>
      <c r="M2741" s="58" t="s">
        <v>22</v>
      </c>
      <c r="N2741" s="7">
        <v>9.5</v>
      </c>
      <c r="O2741" s="7" t="s">
        <v>179</v>
      </c>
      <c r="P2741" s="7" t="s">
        <v>179</v>
      </c>
    </row>
    <row r="2742" spans="1:16" x14ac:dyDescent="0.25">
      <c r="A2742" s="2" t="s">
        <v>181</v>
      </c>
      <c r="B2742" s="2" t="s">
        <v>202</v>
      </c>
      <c r="C2742" s="6" t="s">
        <v>149</v>
      </c>
      <c r="D2742" s="2" t="s">
        <v>125</v>
      </c>
      <c r="E2742" s="2"/>
      <c r="F2742" s="35">
        <v>4.4982502942822435</v>
      </c>
      <c r="G2742" s="35">
        <v>-66.162603875949415</v>
      </c>
      <c r="H2742" s="35">
        <v>-8.9329598305568414</v>
      </c>
      <c r="I2742" s="35">
        <v>-2.9702906323228341E-2</v>
      </c>
      <c r="J2742" s="35">
        <v>7.2207879522751717E-7</v>
      </c>
      <c r="K2742" s="35">
        <v>-0.14259347292828548</v>
      </c>
      <c r="L2742" s="35">
        <v>32.641502813360546</v>
      </c>
      <c r="M2742" s="58" t="s">
        <v>24</v>
      </c>
      <c r="N2742" s="7">
        <v>9.5</v>
      </c>
      <c r="O2742" s="7" t="s">
        <v>179</v>
      </c>
      <c r="P2742" s="7" t="s">
        <v>179</v>
      </c>
    </row>
    <row r="2743" spans="1:16" x14ac:dyDescent="0.25">
      <c r="A2743" s="2" t="s">
        <v>181</v>
      </c>
      <c r="B2743" s="2" t="s">
        <v>202</v>
      </c>
      <c r="C2743" s="6" t="s">
        <v>149</v>
      </c>
      <c r="D2743" s="2" t="s">
        <v>125</v>
      </c>
      <c r="E2743" s="2"/>
      <c r="F2743" s="35">
        <v>8.9965005885644871</v>
      </c>
      <c r="G2743" s="35">
        <v>-64.332271229106325</v>
      </c>
      <c r="H2743" s="35">
        <v>-33.115553412618191</v>
      </c>
      <c r="I2743" s="35">
        <v>-2.9702906323229819E-2</v>
      </c>
      <c r="J2743" s="35">
        <v>7.2207879522751717E-7</v>
      </c>
      <c r="K2743" s="35">
        <v>-8.9823658187823136E-3</v>
      </c>
      <c r="L2743" s="35">
        <v>127.21387134848202</v>
      </c>
      <c r="M2743" s="58" t="s">
        <v>23</v>
      </c>
      <c r="N2743" s="7">
        <v>9.5</v>
      </c>
      <c r="O2743" s="7" t="s">
        <v>179</v>
      </c>
      <c r="P2743" s="7" t="s">
        <v>179</v>
      </c>
    </row>
    <row r="2744" spans="1:16" x14ac:dyDescent="0.25">
      <c r="A2744" s="2" t="s">
        <v>181</v>
      </c>
      <c r="B2744" s="2" t="s">
        <v>202</v>
      </c>
      <c r="C2744" s="6" t="s">
        <v>149</v>
      </c>
      <c r="D2744" s="2" t="s">
        <v>126</v>
      </c>
      <c r="E2744" s="2"/>
      <c r="F2744" s="35">
        <v>0</v>
      </c>
      <c r="G2744" s="35">
        <v>33.589438329057764</v>
      </c>
      <c r="H2744" s="35">
        <v>-7.2400682233830143</v>
      </c>
      <c r="I2744" s="35">
        <v>0.75843354667235074</v>
      </c>
      <c r="J2744" s="35">
        <v>3.647729424493723E-5</v>
      </c>
      <c r="K2744" s="35">
        <v>1.1632347977765496</v>
      </c>
      <c r="L2744" s="35">
        <v>-16.517220357218299</v>
      </c>
      <c r="M2744" s="58" t="s">
        <v>22</v>
      </c>
      <c r="N2744" s="7">
        <v>9.5</v>
      </c>
      <c r="O2744" s="7" t="s">
        <v>179</v>
      </c>
      <c r="P2744" s="7" t="s">
        <v>179</v>
      </c>
    </row>
    <row r="2745" spans="1:16" x14ac:dyDescent="0.25">
      <c r="A2745" s="2" t="s">
        <v>181</v>
      </c>
      <c r="B2745" s="2" t="s">
        <v>202</v>
      </c>
      <c r="C2745" s="6" t="s">
        <v>149</v>
      </c>
      <c r="D2745" s="2" t="s">
        <v>126</v>
      </c>
      <c r="E2745" s="2"/>
      <c r="F2745" s="35">
        <v>2</v>
      </c>
      <c r="G2745" s="35">
        <v>34.403235929057765</v>
      </c>
      <c r="H2745" s="35">
        <v>-0.85606822338301192</v>
      </c>
      <c r="I2745" s="35">
        <v>0.75843354667235119</v>
      </c>
      <c r="J2745" s="35">
        <v>3.647729424493723E-5</v>
      </c>
      <c r="K2745" s="35">
        <v>-0.35363229556815223</v>
      </c>
      <c r="L2745" s="35">
        <v>-8.4210839104522694</v>
      </c>
      <c r="M2745" s="58" t="s">
        <v>22</v>
      </c>
      <c r="N2745" s="7">
        <v>9.5</v>
      </c>
      <c r="O2745" s="7" t="s">
        <v>179</v>
      </c>
      <c r="P2745" s="7" t="s">
        <v>179</v>
      </c>
    </row>
    <row r="2746" spans="1:16" x14ac:dyDescent="0.25">
      <c r="A2746" s="2" t="s">
        <v>181</v>
      </c>
      <c r="B2746" s="2" t="s">
        <v>202</v>
      </c>
      <c r="C2746" s="6" t="s">
        <v>149</v>
      </c>
      <c r="D2746" s="2" t="s">
        <v>126</v>
      </c>
      <c r="E2746" s="2"/>
      <c r="F2746" s="35">
        <v>2</v>
      </c>
      <c r="G2746" s="35">
        <v>33.666993626240725</v>
      </c>
      <c r="H2746" s="35">
        <v>-0.85607511337204756</v>
      </c>
      <c r="I2746" s="35">
        <v>-4.7897831996689899E-2</v>
      </c>
      <c r="J2746" s="35">
        <v>8.5446940855140563E-5</v>
      </c>
      <c r="K2746" s="35">
        <v>-0.35363229556815201</v>
      </c>
      <c r="L2746" s="35">
        <v>-8.4210316761625474</v>
      </c>
      <c r="M2746" s="58" t="s">
        <v>22</v>
      </c>
      <c r="N2746" s="7">
        <v>9.5</v>
      </c>
      <c r="O2746" s="7" t="s">
        <v>179</v>
      </c>
      <c r="P2746" s="7" t="s">
        <v>179</v>
      </c>
    </row>
    <row r="2747" spans="1:16" x14ac:dyDescent="0.25">
      <c r="A2747" s="2" t="s">
        <v>181</v>
      </c>
      <c r="B2747" s="2" t="s">
        <v>202</v>
      </c>
      <c r="C2747" s="6" t="s">
        <v>149</v>
      </c>
      <c r="D2747" s="2" t="s">
        <v>126</v>
      </c>
      <c r="E2747" s="2"/>
      <c r="F2747" s="35">
        <v>4.4982502942822435</v>
      </c>
      <c r="G2747" s="35">
        <v>34.683528673083813</v>
      </c>
      <c r="H2747" s="35">
        <v>7.1183398259768786</v>
      </c>
      <c r="I2747" s="35">
        <v>-4.7897831996689413E-2</v>
      </c>
      <c r="J2747" s="35">
        <v>8.5446940855140563E-5</v>
      </c>
      <c r="K2747" s="35">
        <v>-0.23397152268694058</v>
      </c>
      <c r="L2747" s="35">
        <v>-16.243384006731706</v>
      </c>
      <c r="M2747" s="58" t="s">
        <v>24</v>
      </c>
      <c r="N2747" s="7">
        <v>9.5</v>
      </c>
      <c r="O2747" s="7" t="s">
        <v>179</v>
      </c>
      <c r="P2747" s="7" t="s">
        <v>179</v>
      </c>
    </row>
    <row r="2748" spans="1:16" x14ac:dyDescent="0.25">
      <c r="A2748" s="2" t="s">
        <v>181</v>
      </c>
      <c r="B2748" s="2" t="s">
        <v>202</v>
      </c>
      <c r="C2748" s="6" t="s">
        <v>149</v>
      </c>
      <c r="D2748" s="2" t="s">
        <v>126</v>
      </c>
      <c r="E2748" s="2"/>
      <c r="F2748" s="35">
        <v>8.9965005885644871</v>
      </c>
      <c r="G2748" s="35">
        <v>36.513861319926903</v>
      </c>
      <c r="H2748" s="35">
        <v>21.476754765325808</v>
      </c>
      <c r="I2748" s="35">
        <v>-4.7897831996688539E-2</v>
      </c>
      <c r="J2748" s="35">
        <v>8.5446940855140563E-5</v>
      </c>
      <c r="K2748" s="35">
        <v>-1.8515085812352883E-2</v>
      </c>
      <c r="L2748" s="35">
        <v>-80.557330336909686</v>
      </c>
      <c r="M2748" s="58" t="s">
        <v>23</v>
      </c>
      <c r="N2748" s="7">
        <v>9.5</v>
      </c>
      <c r="O2748" s="7" t="s">
        <v>179</v>
      </c>
      <c r="P2748" s="7" t="s">
        <v>179</v>
      </c>
    </row>
    <row r="2749" spans="1:16" x14ac:dyDescent="0.25">
      <c r="A2749" s="2" t="s">
        <v>181</v>
      </c>
      <c r="B2749" s="2" t="s">
        <v>202</v>
      </c>
      <c r="C2749" s="6" t="s">
        <v>149</v>
      </c>
      <c r="D2749" s="2" t="s">
        <v>127</v>
      </c>
      <c r="E2749" s="2"/>
      <c r="F2749" s="35">
        <v>0</v>
      </c>
      <c r="G2749" s="35">
        <v>-19.865400177533214</v>
      </c>
      <c r="H2749" s="35">
        <v>-23.503201712037374</v>
      </c>
      <c r="I2749" s="35">
        <v>0.5600008291829055</v>
      </c>
      <c r="J2749" s="35">
        <v>3.4741547689922702E-6</v>
      </c>
      <c r="K2749" s="35">
        <v>0.86870925519625963</v>
      </c>
      <c r="L2749" s="35">
        <v>-113.44596521180866</v>
      </c>
      <c r="M2749" s="58" t="s">
        <v>22</v>
      </c>
      <c r="N2749" s="7">
        <v>9.5</v>
      </c>
      <c r="O2749" s="7" t="s">
        <v>179</v>
      </c>
      <c r="P2749" s="7" t="s">
        <v>179</v>
      </c>
    </row>
    <row r="2750" spans="1:16" x14ac:dyDescent="0.25">
      <c r="A2750" s="2" t="s">
        <v>181</v>
      </c>
      <c r="B2750" s="2" t="s">
        <v>202</v>
      </c>
      <c r="C2750" s="6" t="s">
        <v>149</v>
      </c>
      <c r="D2750" s="2" t="s">
        <v>127</v>
      </c>
      <c r="E2750" s="2"/>
      <c r="F2750" s="35">
        <v>2</v>
      </c>
      <c r="G2750" s="35">
        <v>-19.05160257753321</v>
      </c>
      <c r="H2750" s="35">
        <v>-21.823201712037374</v>
      </c>
      <c r="I2750" s="35">
        <v>0.56000082918290561</v>
      </c>
      <c r="J2750" s="35">
        <v>3.4741547689922702E-6</v>
      </c>
      <c r="K2750" s="35">
        <v>-0.25129240316955126</v>
      </c>
      <c r="L2750" s="35">
        <v>-68.1195617877339</v>
      </c>
      <c r="M2750" s="58" t="s">
        <v>22</v>
      </c>
      <c r="N2750" s="7">
        <v>9.5</v>
      </c>
      <c r="O2750" s="7" t="s">
        <v>179</v>
      </c>
      <c r="P2750" s="7" t="s">
        <v>179</v>
      </c>
    </row>
    <row r="2751" spans="1:16" x14ac:dyDescent="0.25">
      <c r="A2751" s="2" t="s">
        <v>181</v>
      </c>
      <c r="B2751" s="2" t="s">
        <v>202</v>
      </c>
      <c r="C2751" s="6" t="s">
        <v>149</v>
      </c>
      <c r="D2751" s="2" t="s">
        <v>127</v>
      </c>
      <c r="E2751" s="2"/>
      <c r="F2751" s="35">
        <v>2</v>
      </c>
      <c r="G2751" s="35">
        <v>-19.589025501522322</v>
      </c>
      <c r="H2751" s="35">
        <v>-21.823190956830302</v>
      </c>
      <c r="I2751" s="35">
        <v>-3.4258672031357358E-2</v>
      </c>
      <c r="J2751" s="35">
        <v>3.0044389752196556E-5</v>
      </c>
      <c r="K2751" s="35">
        <v>-0.25129240316955109</v>
      </c>
      <c r="L2751" s="35">
        <v>-68.119533446149944</v>
      </c>
      <c r="M2751" s="58" t="s">
        <v>22</v>
      </c>
      <c r="N2751" s="7">
        <v>9.5</v>
      </c>
      <c r="O2751" s="7" t="s">
        <v>179</v>
      </c>
      <c r="P2751" s="7" t="s">
        <v>179</v>
      </c>
    </row>
    <row r="2752" spans="1:16" x14ac:dyDescent="0.25">
      <c r="A2752" s="2" t="s">
        <v>181</v>
      </c>
      <c r="B2752" s="2" t="s">
        <v>202</v>
      </c>
      <c r="C2752" s="6" t="s">
        <v>149</v>
      </c>
      <c r="D2752" s="2" t="s">
        <v>127</v>
      </c>
      <c r="E2752" s="2"/>
      <c r="F2752" s="35">
        <v>4.4982502942822435</v>
      </c>
      <c r="G2752" s="35">
        <v>-18.572490454679233</v>
      </c>
      <c r="H2752" s="35">
        <v>-19.724660709633216</v>
      </c>
      <c r="I2752" s="35">
        <v>-3.4258672031357226E-2</v>
      </c>
      <c r="J2752" s="35">
        <v>3.0044389752196556E-5</v>
      </c>
      <c r="K2752" s="35">
        <v>-0.16570566568549389</v>
      </c>
      <c r="L2752" s="35">
        <v>-16.221067119881194</v>
      </c>
      <c r="M2752" s="58" t="s">
        <v>24</v>
      </c>
      <c r="N2752" s="7">
        <v>9.5</v>
      </c>
      <c r="O2752" s="7" t="s">
        <v>179</v>
      </c>
      <c r="P2752" s="7" t="s">
        <v>179</v>
      </c>
    </row>
    <row r="2753" spans="1:16" x14ac:dyDescent="0.25">
      <c r="A2753" s="2" t="s">
        <v>181</v>
      </c>
      <c r="B2753" s="2" t="s">
        <v>202</v>
      </c>
      <c r="C2753" s="6" t="s">
        <v>149</v>
      </c>
      <c r="D2753" s="2" t="s">
        <v>127</v>
      </c>
      <c r="E2753" s="2"/>
      <c r="F2753" s="35">
        <v>8.9965005885644871</v>
      </c>
      <c r="G2753" s="35">
        <v>-16.742157807836143</v>
      </c>
      <c r="H2753" s="35">
        <v>-15.946130462436129</v>
      </c>
      <c r="I2753" s="35">
        <v>-3.4258672031356997E-2</v>
      </c>
      <c r="J2753" s="35">
        <v>3.0044389752196556E-5</v>
      </c>
      <c r="K2753" s="35">
        <v>-1.1601584138722854E-2</v>
      </c>
      <c r="L2753" s="35">
        <v>64.007006323639501</v>
      </c>
      <c r="M2753" s="58" t="s">
        <v>23</v>
      </c>
      <c r="N2753" s="7">
        <v>9.5</v>
      </c>
      <c r="O2753" s="7" t="s">
        <v>179</v>
      </c>
      <c r="P2753" s="7" t="s">
        <v>179</v>
      </c>
    </row>
    <row r="2754" spans="1:16" x14ac:dyDescent="0.25">
      <c r="A2754" s="2" t="s">
        <v>183</v>
      </c>
      <c r="B2754" s="2" t="s">
        <v>203</v>
      </c>
      <c r="C2754" s="6" t="s">
        <v>150</v>
      </c>
      <c r="D2754" s="2" t="s">
        <v>105</v>
      </c>
      <c r="E2754" s="2"/>
      <c r="F2754" s="35">
        <v>0</v>
      </c>
      <c r="G2754" s="35">
        <v>-100.88865316756572</v>
      </c>
      <c r="H2754" s="35">
        <v>1.7970231853660084</v>
      </c>
      <c r="I2754" s="35">
        <v>-1.274955327850648</v>
      </c>
      <c r="J2754" s="35">
        <v>-9.4616906522348537E-5</v>
      </c>
      <c r="K2754" s="35">
        <v>-0.41355910103159094</v>
      </c>
      <c r="L2754" s="35">
        <v>4.2606689362678329</v>
      </c>
      <c r="M2754" s="58" t="s">
        <v>22</v>
      </c>
      <c r="N2754" s="7">
        <v>11.333333333333334</v>
      </c>
      <c r="O2754" s="7" t="s">
        <v>180</v>
      </c>
      <c r="P2754" s="7" t="s">
        <v>180</v>
      </c>
    </row>
    <row r="2755" spans="1:16" x14ac:dyDescent="0.25">
      <c r="A2755" s="2" t="s">
        <v>183</v>
      </c>
      <c r="B2755" s="2" t="s">
        <v>203</v>
      </c>
      <c r="C2755" s="6" t="s">
        <v>150</v>
      </c>
      <c r="D2755" s="2" t="s">
        <v>105</v>
      </c>
      <c r="E2755" s="2"/>
      <c r="F2755" s="35">
        <v>0.29999999999999988</v>
      </c>
      <c r="G2755" s="35">
        <v>-100.74574732756572</v>
      </c>
      <c r="H2755" s="35">
        <v>1.7970231853660084</v>
      </c>
      <c r="I2755" s="35">
        <v>-1.274955327850648</v>
      </c>
      <c r="J2755" s="35">
        <v>-9.4616906522348537E-5</v>
      </c>
      <c r="K2755" s="35">
        <v>-3.1072502676396711E-2</v>
      </c>
      <c r="L2755" s="35">
        <v>3.7215619806580307</v>
      </c>
      <c r="M2755" s="58" t="s">
        <v>22</v>
      </c>
      <c r="N2755" s="7">
        <v>11.333333333333334</v>
      </c>
      <c r="O2755" s="7" t="s">
        <v>180</v>
      </c>
      <c r="P2755" s="7" t="s">
        <v>180</v>
      </c>
    </row>
    <row r="2756" spans="1:16" x14ac:dyDescent="0.25">
      <c r="A2756" s="2" t="s">
        <v>183</v>
      </c>
      <c r="B2756" s="2" t="s">
        <v>203</v>
      </c>
      <c r="C2756" s="6" t="s">
        <v>150</v>
      </c>
      <c r="D2756" s="2" t="s">
        <v>105</v>
      </c>
      <c r="E2756" s="2"/>
      <c r="F2756" s="35">
        <v>0.29999999999999988</v>
      </c>
      <c r="G2756" s="35">
        <v>-78.870993019342919</v>
      </c>
      <c r="H2756" s="35">
        <v>1.7970231853660092</v>
      </c>
      <c r="I2756" s="35">
        <v>-9.4443153880316884E-3</v>
      </c>
      <c r="J2756" s="35">
        <v>-7.775454698004405E-5</v>
      </c>
      <c r="K2756" s="35">
        <v>-3.1072502676397235E-2</v>
      </c>
      <c r="L2756" s="35">
        <v>3.7215629923996039</v>
      </c>
      <c r="M2756" s="58" t="s">
        <v>22</v>
      </c>
      <c r="N2756" s="7">
        <v>11.333333333333334</v>
      </c>
      <c r="O2756" s="7" t="s">
        <v>180</v>
      </c>
      <c r="P2756" s="7" t="s">
        <v>180</v>
      </c>
    </row>
    <row r="2757" spans="1:16" x14ac:dyDescent="0.25">
      <c r="A2757" s="2" t="s">
        <v>183</v>
      </c>
      <c r="B2757" s="2" t="s">
        <v>203</v>
      </c>
      <c r="C2757" s="6" t="s">
        <v>150</v>
      </c>
      <c r="D2757" s="2" t="s">
        <v>105</v>
      </c>
      <c r="E2757" s="2"/>
      <c r="F2757" s="35">
        <v>5.3</v>
      </c>
      <c r="G2757" s="35">
        <v>-76.489229019342915</v>
      </c>
      <c r="H2757" s="35">
        <v>1.7970231853660092</v>
      </c>
      <c r="I2757" s="35">
        <v>-9.4443153880316884E-3</v>
      </c>
      <c r="J2757" s="35">
        <v>-7.775454698004405E-5</v>
      </c>
      <c r="K2757" s="35">
        <v>1.6149074263761214E-2</v>
      </c>
      <c r="L2757" s="35">
        <v>-5.2635529344304413</v>
      </c>
      <c r="M2757" s="58" t="s">
        <v>24</v>
      </c>
      <c r="N2757" s="7">
        <v>11.333333333333334</v>
      </c>
      <c r="O2757" s="7" t="s">
        <v>180</v>
      </c>
      <c r="P2757" s="7" t="s">
        <v>180</v>
      </c>
    </row>
    <row r="2758" spans="1:16" x14ac:dyDescent="0.25">
      <c r="A2758" s="2" t="s">
        <v>183</v>
      </c>
      <c r="B2758" s="2" t="s">
        <v>203</v>
      </c>
      <c r="C2758" s="6" t="s">
        <v>150</v>
      </c>
      <c r="D2758" s="2" t="s">
        <v>105</v>
      </c>
      <c r="E2758" s="2"/>
      <c r="F2758" s="35">
        <v>5.3</v>
      </c>
      <c r="G2758" s="35">
        <v>-93.901065793298329</v>
      </c>
      <c r="H2758" s="35">
        <v>1.7970135354354833</v>
      </c>
      <c r="I2758" s="35">
        <v>-8.5607295951345332E-3</v>
      </c>
      <c r="J2758" s="35">
        <v>2.4322646078125913E-5</v>
      </c>
      <c r="K2758" s="35">
        <v>1.61490742637612E-2</v>
      </c>
      <c r="L2758" s="35">
        <v>-5.2634343121019898</v>
      </c>
      <c r="M2758" s="58" t="s">
        <v>24</v>
      </c>
      <c r="N2758" s="7">
        <v>11.333333333333334</v>
      </c>
      <c r="O2758" s="7" t="s">
        <v>180</v>
      </c>
      <c r="P2758" s="7" t="s">
        <v>180</v>
      </c>
    </row>
    <row r="2759" spans="1:16" x14ac:dyDescent="0.25">
      <c r="A2759" s="2" t="s">
        <v>183</v>
      </c>
      <c r="B2759" s="2" t="s">
        <v>203</v>
      </c>
      <c r="C2759" s="6" t="s">
        <v>150</v>
      </c>
      <c r="D2759" s="2" t="s">
        <v>105</v>
      </c>
      <c r="E2759" s="2"/>
      <c r="F2759" s="35">
        <v>5.4149169609489114</v>
      </c>
      <c r="G2759" s="35">
        <v>-93.846324777182815</v>
      </c>
      <c r="H2759" s="35">
        <v>1.7970135354354833</v>
      </c>
      <c r="I2759" s="35">
        <v>-8.5607295951345332E-3</v>
      </c>
      <c r="J2759" s="35">
        <v>2.4322646078125913E-5</v>
      </c>
      <c r="K2759" s="35">
        <v>1.7132847292339465E-2</v>
      </c>
      <c r="L2759" s="35">
        <v>-5.4699416463782944</v>
      </c>
      <c r="M2759" s="58" t="s">
        <v>24</v>
      </c>
      <c r="N2759" s="7">
        <v>11.333333333333334</v>
      </c>
      <c r="O2759" s="7" t="s">
        <v>180</v>
      </c>
      <c r="P2759" s="7" t="s">
        <v>180</v>
      </c>
    </row>
    <row r="2760" spans="1:16" x14ac:dyDescent="0.25">
      <c r="A2760" s="2" t="s">
        <v>183</v>
      </c>
      <c r="B2760" s="2" t="s">
        <v>203</v>
      </c>
      <c r="C2760" s="6" t="s">
        <v>150</v>
      </c>
      <c r="D2760" s="2" t="s">
        <v>105</v>
      </c>
      <c r="E2760" s="2"/>
      <c r="F2760" s="35">
        <v>10.829833921897823</v>
      </c>
      <c r="G2760" s="35">
        <v>-91.266913921067328</v>
      </c>
      <c r="H2760" s="35">
        <v>1.7970135354354833</v>
      </c>
      <c r="I2760" s="35">
        <v>-8.5607295951345332E-3</v>
      </c>
      <c r="J2760" s="35">
        <v>2.4322646078125913E-5</v>
      </c>
      <c r="K2760" s="35">
        <v>6.3488487175130753E-2</v>
      </c>
      <c r="L2760" s="35">
        <v>-15.200620718462657</v>
      </c>
      <c r="M2760" s="58" t="s">
        <v>23</v>
      </c>
      <c r="N2760" s="7">
        <v>11.333333333333334</v>
      </c>
      <c r="O2760" s="7" t="s">
        <v>180</v>
      </c>
      <c r="P2760" s="7" t="s">
        <v>180</v>
      </c>
    </row>
    <row r="2761" spans="1:16" x14ac:dyDescent="0.25">
      <c r="A2761" s="2" t="s">
        <v>183</v>
      </c>
      <c r="B2761" s="2" t="s">
        <v>203</v>
      </c>
      <c r="C2761" s="6" t="s">
        <v>150</v>
      </c>
      <c r="D2761" s="2" t="s">
        <v>15</v>
      </c>
      <c r="E2761" s="2"/>
      <c r="F2761" s="35">
        <v>0</v>
      </c>
      <c r="G2761" s="35">
        <v>107.63646534789252</v>
      </c>
      <c r="H2761" s="35">
        <v>-6.5134565551286867</v>
      </c>
      <c r="I2761" s="35">
        <v>-2.6169431222002131</v>
      </c>
      <c r="J2761" s="35">
        <v>-3.3169175616939973E-4</v>
      </c>
      <c r="K2761" s="35">
        <v>-4.2683516783623761</v>
      </c>
      <c r="L2761" s="35">
        <v>-22.406583161233922</v>
      </c>
      <c r="M2761" s="58" t="s">
        <v>22</v>
      </c>
      <c r="N2761" s="7">
        <v>11.333333333333334</v>
      </c>
      <c r="O2761" s="7" t="s">
        <v>180</v>
      </c>
      <c r="P2761" s="7" t="s">
        <v>180</v>
      </c>
    </row>
    <row r="2762" spans="1:16" x14ac:dyDescent="0.25">
      <c r="A2762" s="2" t="s">
        <v>183</v>
      </c>
      <c r="B2762" s="2" t="s">
        <v>203</v>
      </c>
      <c r="C2762" s="6" t="s">
        <v>150</v>
      </c>
      <c r="D2762" s="2" t="s">
        <v>15</v>
      </c>
      <c r="E2762" s="2"/>
      <c r="F2762" s="35">
        <v>0.29999999999999988</v>
      </c>
      <c r="G2762" s="35">
        <v>107.77937118789254</v>
      </c>
      <c r="H2762" s="35">
        <v>-6.5134565551286867</v>
      </c>
      <c r="I2762" s="35">
        <v>-2.6169431222002131</v>
      </c>
      <c r="J2762" s="35">
        <v>-3.3169175616939973E-4</v>
      </c>
      <c r="K2762" s="35">
        <v>-3.4832687417023123</v>
      </c>
      <c r="L2762" s="35">
        <v>-20.452546194695319</v>
      </c>
      <c r="M2762" s="58" t="s">
        <v>22</v>
      </c>
      <c r="N2762" s="7">
        <v>11.333333333333334</v>
      </c>
      <c r="O2762" s="7" t="s">
        <v>180</v>
      </c>
      <c r="P2762" s="7" t="s">
        <v>180</v>
      </c>
    </row>
    <row r="2763" spans="1:16" x14ac:dyDescent="0.25">
      <c r="A2763" s="2" t="s">
        <v>183</v>
      </c>
      <c r="B2763" s="2" t="s">
        <v>203</v>
      </c>
      <c r="C2763" s="6" t="s">
        <v>150</v>
      </c>
      <c r="D2763" s="2" t="s">
        <v>15</v>
      </c>
      <c r="E2763" s="2"/>
      <c r="F2763" s="35">
        <v>0.29999999999999988</v>
      </c>
      <c r="G2763" s="35">
        <v>133.45651013111964</v>
      </c>
      <c r="H2763" s="35">
        <v>-6.5134565551286858</v>
      </c>
      <c r="I2763" s="35">
        <v>-1.1232890316373356</v>
      </c>
      <c r="J2763" s="35">
        <v>-1.6643002040290809E-4</v>
      </c>
      <c r="K2763" s="35">
        <v>-3.4832687417023127</v>
      </c>
      <c r="L2763" s="35">
        <v>-20.452536278991175</v>
      </c>
      <c r="M2763" s="58" t="s">
        <v>22</v>
      </c>
      <c r="N2763" s="7">
        <v>11.333333333333334</v>
      </c>
      <c r="O2763" s="7" t="s">
        <v>180</v>
      </c>
      <c r="P2763" s="7" t="s">
        <v>180</v>
      </c>
    </row>
    <row r="2764" spans="1:16" x14ac:dyDescent="0.25">
      <c r="A2764" s="2" t="s">
        <v>183</v>
      </c>
      <c r="B2764" s="2" t="s">
        <v>203</v>
      </c>
      <c r="C2764" s="6" t="s">
        <v>150</v>
      </c>
      <c r="D2764" s="2" t="s">
        <v>15</v>
      </c>
      <c r="E2764" s="2"/>
      <c r="F2764" s="35">
        <v>5.3</v>
      </c>
      <c r="G2764" s="35">
        <v>135.83827413111962</v>
      </c>
      <c r="H2764" s="35">
        <v>-6.5134565551286858</v>
      </c>
      <c r="I2764" s="35">
        <v>-1.1232890316373356</v>
      </c>
      <c r="J2764" s="35">
        <v>-1.6643002040290809E-4</v>
      </c>
      <c r="K2764" s="35">
        <v>2.1331764164843663</v>
      </c>
      <c r="L2764" s="35">
        <v>12.114746496652248</v>
      </c>
      <c r="M2764" s="58" t="s">
        <v>24</v>
      </c>
      <c r="N2764" s="7">
        <v>11.333333333333334</v>
      </c>
      <c r="O2764" s="7" t="s">
        <v>180</v>
      </c>
      <c r="P2764" s="7" t="s">
        <v>180</v>
      </c>
    </row>
    <row r="2765" spans="1:16" x14ac:dyDescent="0.25">
      <c r="A2765" s="2" t="s">
        <v>183</v>
      </c>
      <c r="B2765" s="2" t="s">
        <v>203</v>
      </c>
      <c r="C2765" s="6" t="s">
        <v>150</v>
      </c>
      <c r="D2765" s="2" t="s">
        <v>15</v>
      </c>
      <c r="E2765" s="2"/>
      <c r="F2765" s="35">
        <v>5.3</v>
      </c>
      <c r="G2765" s="35">
        <v>118.00515333814468</v>
      </c>
      <c r="H2765" s="35">
        <v>-6.5134573789304095</v>
      </c>
      <c r="I2765" s="35">
        <v>0.342543303108997</v>
      </c>
      <c r="J2765" s="35">
        <v>-4.6091048331869223E-4</v>
      </c>
      <c r="K2765" s="35">
        <v>2.1331764164843636</v>
      </c>
      <c r="L2765" s="35">
        <v>12.114177779969209</v>
      </c>
      <c r="M2765" s="58" t="s">
        <v>24</v>
      </c>
      <c r="N2765" s="7">
        <v>11.333333333333334</v>
      </c>
      <c r="O2765" s="7" t="s">
        <v>180</v>
      </c>
      <c r="P2765" s="7" t="s">
        <v>180</v>
      </c>
    </row>
    <row r="2766" spans="1:16" x14ac:dyDescent="0.25">
      <c r="A2766" s="2" t="s">
        <v>183</v>
      </c>
      <c r="B2766" s="2" t="s">
        <v>203</v>
      </c>
      <c r="C2766" s="6" t="s">
        <v>150</v>
      </c>
      <c r="D2766" s="2" t="s">
        <v>15</v>
      </c>
      <c r="E2766" s="2"/>
      <c r="F2766" s="35">
        <v>5.4149169609489114</v>
      </c>
      <c r="G2766" s="35">
        <v>118.05989435426018</v>
      </c>
      <c r="H2766" s="35">
        <v>-6.5134573789304095</v>
      </c>
      <c r="I2766" s="35">
        <v>0.342543303108997</v>
      </c>
      <c r="J2766" s="35">
        <v>-4.6091048331869223E-4</v>
      </c>
      <c r="K2766" s="35">
        <v>2.0938123810976763</v>
      </c>
      <c r="L2766" s="35">
        <v>12.862684507226154</v>
      </c>
      <c r="M2766" s="58" t="s">
        <v>24</v>
      </c>
      <c r="N2766" s="7">
        <v>11.333333333333334</v>
      </c>
      <c r="O2766" s="7" t="s">
        <v>180</v>
      </c>
      <c r="P2766" s="7" t="s">
        <v>180</v>
      </c>
    </row>
    <row r="2767" spans="1:16" x14ac:dyDescent="0.25">
      <c r="A2767" s="2" t="s">
        <v>183</v>
      </c>
      <c r="B2767" s="2" t="s">
        <v>203</v>
      </c>
      <c r="C2767" s="6" t="s">
        <v>150</v>
      </c>
      <c r="D2767" s="2" t="s">
        <v>15</v>
      </c>
      <c r="E2767" s="2"/>
      <c r="F2767" s="35">
        <v>10.829833921897823</v>
      </c>
      <c r="G2767" s="35">
        <v>120.63930521037568</v>
      </c>
      <c r="H2767" s="35">
        <v>-6.5134573789304095</v>
      </c>
      <c r="I2767" s="35">
        <v>0.342543303108997</v>
      </c>
      <c r="J2767" s="35">
        <v>-4.6091048331869223E-4</v>
      </c>
      <c r="K2767" s="35">
        <v>0.23896883923330484</v>
      </c>
      <c r="L2767" s="35">
        <v>48.132515342814251</v>
      </c>
      <c r="M2767" s="58" t="s">
        <v>23</v>
      </c>
      <c r="N2767" s="7">
        <v>11.333333333333334</v>
      </c>
      <c r="O2767" s="7" t="s">
        <v>180</v>
      </c>
      <c r="P2767" s="7" t="s">
        <v>180</v>
      </c>
    </row>
    <row r="2768" spans="1:16" x14ac:dyDescent="0.25">
      <c r="A2768" s="2" t="s">
        <v>183</v>
      </c>
      <c r="B2768" s="2" t="s">
        <v>203</v>
      </c>
      <c r="C2768" s="6" t="s">
        <v>150</v>
      </c>
      <c r="D2768" s="2" t="s">
        <v>16</v>
      </c>
      <c r="E2768" s="2"/>
      <c r="F2768" s="35">
        <v>0</v>
      </c>
      <c r="G2768" s="35">
        <v>26.524454566102769</v>
      </c>
      <c r="H2768" s="35">
        <v>-3.3949850607410048</v>
      </c>
      <c r="I2768" s="35">
        <v>-3.6373296486483535</v>
      </c>
      <c r="J2768" s="35">
        <v>-4.2445056967226085E-4</v>
      </c>
      <c r="K2768" s="35">
        <v>-4.7939016384036988</v>
      </c>
      <c r="L2768" s="35">
        <v>-12.347946582599644</v>
      </c>
      <c r="M2768" s="58" t="s">
        <v>22</v>
      </c>
      <c r="N2768" s="7">
        <v>11.333333333333334</v>
      </c>
      <c r="O2768" s="7" t="s">
        <v>180</v>
      </c>
      <c r="P2768" s="7" t="s">
        <v>180</v>
      </c>
    </row>
    <row r="2769" spans="1:16" x14ac:dyDescent="0.25">
      <c r="A2769" s="2" t="s">
        <v>183</v>
      </c>
      <c r="B2769" s="2" t="s">
        <v>203</v>
      </c>
      <c r="C2769" s="6" t="s">
        <v>150</v>
      </c>
      <c r="D2769" s="2" t="s">
        <v>16</v>
      </c>
      <c r="E2769" s="2"/>
      <c r="F2769" s="35">
        <v>0.29999999999999988</v>
      </c>
      <c r="G2769" s="35">
        <v>26.667360406102766</v>
      </c>
      <c r="H2769" s="35">
        <v>-3.3949850607410048</v>
      </c>
      <c r="I2769" s="35">
        <v>-3.6373296486483535</v>
      </c>
      <c r="J2769" s="35">
        <v>-4.2445056967226085E-4</v>
      </c>
      <c r="K2769" s="35">
        <v>-3.7027027438091933</v>
      </c>
      <c r="L2769" s="35">
        <v>-11.329451064377341</v>
      </c>
      <c r="M2769" s="58" t="s">
        <v>22</v>
      </c>
      <c r="N2769" s="7">
        <v>11.333333333333334</v>
      </c>
      <c r="O2769" s="7" t="s">
        <v>180</v>
      </c>
      <c r="P2769" s="7" t="s">
        <v>180</v>
      </c>
    </row>
    <row r="2770" spans="1:16" x14ac:dyDescent="0.25">
      <c r="A2770" s="2" t="s">
        <v>183</v>
      </c>
      <c r="B2770" s="2" t="s">
        <v>203</v>
      </c>
      <c r="C2770" s="6" t="s">
        <v>150</v>
      </c>
      <c r="D2770" s="2" t="s">
        <v>16</v>
      </c>
      <c r="E2770" s="2"/>
      <c r="F2770" s="35">
        <v>0.29999999999999988</v>
      </c>
      <c r="G2770" s="35">
        <v>68.133516231727569</v>
      </c>
      <c r="H2770" s="35">
        <v>-3.3949850607410021</v>
      </c>
      <c r="I2770" s="35">
        <v>-1.196334545141607</v>
      </c>
      <c r="J2770" s="35">
        <v>-2.5850473182524808E-4</v>
      </c>
      <c r="K2770" s="35">
        <v>-3.7027027438092004</v>
      </c>
      <c r="L2770" s="35">
        <v>-11.329441107627074</v>
      </c>
      <c r="M2770" s="58" t="s">
        <v>22</v>
      </c>
      <c r="N2770" s="7">
        <v>11.333333333333334</v>
      </c>
      <c r="O2770" s="7" t="s">
        <v>180</v>
      </c>
      <c r="P2770" s="7" t="s">
        <v>180</v>
      </c>
    </row>
    <row r="2771" spans="1:16" x14ac:dyDescent="0.25">
      <c r="A2771" s="2" t="s">
        <v>183</v>
      </c>
      <c r="B2771" s="2" t="s">
        <v>203</v>
      </c>
      <c r="C2771" s="6" t="s">
        <v>150</v>
      </c>
      <c r="D2771" s="2" t="s">
        <v>16</v>
      </c>
      <c r="E2771" s="2"/>
      <c r="F2771" s="35">
        <v>5.3</v>
      </c>
      <c r="G2771" s="35">
        <v>70.515280231727573</v>
      </c>
      <c r="H2771" s="35">
        <v>-3.3949850607410021</v>
      </c>
      <c r="I2771" s="35">
        <v>-1.196334545141607</v>
      </c>
      <c r="J2771" s="35">
        <v>-2.5850473182524808E-4</v>
      </c>
      <c r="K2771" s="35">
        <v>2.2789699818988338</v>
      </c>
      <c r="L2771" s="35">
        <v>5.6454841960779349</v>
      </c>
      <c r="M2771" s="58" t="s">
        <v>24</v>
      </c>
      <c r="N2771" s="7">
        <v>11.333333333333334</v>
      </c>
      <c r="O2771" s="7" t="s">
        <v>180</v>
      </c>
      <c r="P2771" s="7" t="s">
        <v>180</v>
      </c>
    </row>
    <row r="2772" spans="1:16" x14ac:dyDescent="0.25">
      <c r="A2772" s="2" t="s">
        <v>183</v>
      </c>
      <c r="B2772" s="2" t="s">
        <v>203</v>
      </c>
      <c r="C2772" s="6" t="s">
        <v>150</v>
      </c>
      <c r="D2772" s="2" t="s">
        <v>16</v>
      </c>
      <c r="E2772" s="2"/>
      <c r="F2772" s="35">
        <v>5.3</v>
      </c>
      <c r="G2772" s="35">
        <v>38.173916338827695</v>
      </c>
      <c r="H2772" s="35">
        <v>-3.3950015760875196</v>
      </c>
      <c r="I2772" s="35">
        <v>0.36675242430832905</v>
      </c>
      <c r="J2772" s="35">
        <v>-4.0354023545950864E-4</v>
      </c>
      <c r="K2772" s="35">
        <v>2.278969981898832</v>
      </c>
      <c r="L2772" s="35">
        <v>5.645091083876558</v>
      </c>
      <c r="M2772" s="58" t="s">
        <v>24</v>
      </c>
      <c r="N2772" s="7">
        <v>11.333333333333334</v>
      </c>
      <c r="O2772" s="7" t="s">
        <v>180</v>
      </c>
      <c r="P2772" s="7" t="s">
        <v>180</v>
      </c>
    </row>
    <row r="2773" spans="1:16" x14ac:dyDescent="0.25">
      <c r="A2773" s="2" t="s">
        <v>183</v>
      </c>
      <c r="B2773" s="2" t="s">
        <v>203</v>
      </c>
      <c r="C2773" s="6" t="s">
        <v>150</v>
      </c>
      <c r="D2773" s="2" t="s">
        <v>16</v>
      </c>
      <c r="E2773" s="2"/>
      <c r="F2773" s="35">
        <v>5.4149169609489114</v>
      </c>
      <c r="G2773" s="35">
        <v>38.228657354943202</v>
      </c>
      <c r="H2773" s="35">
        <v>-3.3950015760875196</v>
      </c>
      <c r="I2773" s="35">
        <v>0.36675242430832905</v>
      </c>
      <c r="J2773" s="35">
        <v>-4.0354023545950864E-4</v>
      </c>
      <c r="K2773" s="35">
        <v>2.2368239078766732</v>
      </c>
      <c r="L2773" s="35">
        <v>6.0352343474173011</v>
      </c>
      <c r="M2773" s="58" t="s">
        <v>24</v>
      </c>
      <c r="N2773" s="7">
        <v>11.333333333333334</v>
      </c>
      <c r="O2773" s="7" t="s">
        <v>180</v>
      </c>
      <c r="P2773" s="7" t="s">
        <v>180</v>
      </c>
    </row>
    <row r="2774" spans="1:16" x14ac:dyDescent="0.25">
      <c r="A2774" s="2" t="s">
        <v>183</v>
      </c>
      <c r="B2774" s="2" t="s">
        <v>203</v>
      </c>
      <c r="C2774" s="6" t="s">
        <v>150</v>
      </c>
      <c r="D2774" s="2" t="s">
        <v>16</v>
      </c>
      <c r="E2774" s="2"/>
      <c r="F2774" s="35">
        <v>10.829833921897823</v>
      </c>
      <c r="G2774" s="35">
        <v>40.808068211058696</v>
      </c>
      <c r="H2774" s="35">
        <v>-3.3950015760875196</v>
      </c>
      <c r="I2774" s="35">
        <v>0.36675242430832905</v>
      </c>
      <c r="J2774" s="35">
        <v>-4.0354023545950864E-4</v>
      </c>
      <c r="K2774" s="35">
        <v>0.25088998502037091</v>
      </c>
      <c r="L2774" s="35">
        <v>24.418885964221889</v>
      </c>
      <c r="M2774" s="58" t="s">
        <v>23</v>
      </c>
      <c r="N2774" s="7">
        <v>11.333333333333334</v>
      </c>
      <c r="O2774" s="7" t="s">
        <v>180</v>
      </c>
      <c r="P2774" s="7" t="s">
        <v>180</v>
      </c>
    </row>
    <row r="2775" spans="1:16" x14ac:dyDescent="0.25">
      <c r="A2775" s="2" t="s">
        <v>183</v>
      </c>
      <c r="B2775" s="2" t="s">
        <v>203</v>
      </c>
      <c r="C2775" s="6" t="s">
        <v>150</v>
      </c>
      <c r="D2775" s="2" t="s">
        <v>106</v>
      </c>
      <c r="E2775" s="2"/>
      <c r="F2775" s="35">
        <v>0</v>
      </c>
      <c r="G2775" s="35">
        <v>127.72553985009753</v>
      </c>
      <c r="H2775" s="35">
        <v>-5.5620958823631401</v>
      </c>
      <c r="I2775" s="35">
        <v>4.5672137337753185</v>
      </c>
      <c r="J2775" s="35">
        <v>5.9316522580480269E-4</v>
      </c>
      <c r="K2775" s="35">
        <v>4.9951727720870158</v>
      </c>
      <c r="L2775" s="35">
        <v>-18.438265906067802</v>
      </c>
      <c r="M2775" s="58" t="s">
        <v>22</v>
      </c>
      <c r="N2775" s="7">
        <v>11.333333333333334</v>
      </c>
      <c r="O2775" s="7" t="s">
        <v>180</v>
      </c>
      <c r="P2775" s="7" t="s">
        <v>180</v>
      </c>
    </row>
    <row r="2776" spans="1:16" x14ac:dyDescent="0.25">
      <c r="A2776" s="2" t="s">
        <v>183</v>
      </c>
      <c r="B2776" s="2" t="s">
        <v>203</v>
      </c>
      <c r="C2776" s="6" t="s">
        <v>150</v>
      </c>
      <c r="D2776" s="2" t="s">
        <v>106</v>
      </c>
      <c r="E2776" s="2"/>
      <c r="F2776" s="35">
        <v>0.29999999999999988</v>
      </c>
      <c r="G2776" s="35">
        <v>127.86844569009754</v>
      </c>
      <c r="H2776" s="35">
        <v>-5.5620958823631401</v>
      </c>
      <c r="I2776" s="35">
        <v>4.5672137337753185</v>
      </c>
      <c r="J2776" s="35">
        <v>5.9316522580480269E-4</v>
      </c>
      <c r="K2776" s="35">
        <v>3.6250086519544209</v>
      </c>
      <c r="L2776" s="35">
        <v>-16.76963714135886</v>
      </c>
      <c r="M2776" s="58" t="s">
        <v>22</v>
      </c>
      <c r="N2776" s="7">
        <v>11.333333333333334</v>
      </c>
      <c r="O2776" s="7" t="s">
        <v>180</v>
      </c>
      <c r="P2776" s="7" t="s">
        <v>180</v>
      </c>
    </row>
    <row r="2777" spans="1:16" x14ac:dyDescent="0.25">
      <c r="A2777" s="2" t="s">
        <v>183</v>
      </c>
      <c r="B2777" s="2" t="s">
        <v>203</v>
      </c>
      <c r="C2777" s="6" t="s">
        <v>150</v>
      </c>
      <c r="D2777" s="2" t="s">
        <v>106</v>
      </c>
      <c r="E2777" s="2"/>
      <c r="F2777" s="35">
        <v>0.29999999999999988</v>
      </c>
      <c r="G2777" s="35">
        <v>72.151964155307112</v>
      </c>
      <c r="H2777" s="35">
        <v>-5.5620958823631339</v>
      </c>
      <c r="I2777" s="35">
        <v>1.1772505956571655</v>
      </c>
      <c r="J2777" s="35">
        <v>4.8184000954566323E-4</v>
      </c>
      <c r="K2777" s="35">
        <v>3.6250086519544182</v>
      </c>
      <c r="L2777" s="35">
        <v>-16.769643820871831</v>
      </c>
      <c r="M2777" s="58" t="s">
        <v>22</v>
      </c>
      <c r="N2777" s="7">
        <v>11.333333333333334</v>
      </c>
      <c r="O2777" s="7" t="s">
        <v>180</v>
      </c>
      <c r="P2777" s="7" t="s">
        <v>180</v>
      </c>
    </row>
    <row r="2778" spans="1:16" x14ac:dyDescent="0.25">
      <c r="A2778" s="2" t="s">
        <v>183</v>
      </c>
      <c r="B2778" s="2" t="s">
        <v>203</v>
      </c>
      <c r="C2778" s="6" t="s">
        <v>150</v>
      </c>
      <c r="D2778" s="2" t="s">
        <v>106</v>
      </c>
      <c r="E2778" s="2"/>
      <c r="F2778" s="35">
        <v>5.3</v>
      </c>
      <c r="G2778" s="35">
        <v>74.533728155307116</v>
      </c>
      <c r="H2778" s="35">
        <v>-5.5620958823631339</v>
      </c>
      <c r="I2778" s="35">
        <v>1.1772505956571655</v>
      </c>
      <c r="J2778" s="35">
        <v>4.8184000954566323E-4</v>
      </c>
      <c r="K2778" s="35">
        <v>-2.2612443263314086</v>
      </c>
      <c r="L2778" s="35">
        <v>11.040835590943839</v>
      </c>
      <c r="M2778" s="58" t="s">
        <v>24</v>
      </c>
      <c r="N2778" s="7">
        <v>11.333333333333334</v>
      </c>
      <c r="O2778" s="7" t="s">
        <v>180</v>
      </c>
      <c r="P2778" s="7" t="s">
        <v>180</v>
      </c>
    </row>
    <row r="2779" spans="1:16" x14ac:dyDescent="0.25">
      <c r="A2779" s="2" t="s">
        <v>183</v>
      </c>
      <c r="B2779" s="2" t="s">
        <v>203</v>
      </c>
      <c r="C2779" s="6" t="s">
        <v>150</v>
      </c>
      <c r="D2779" s="2" t="s">
        <v>106</v>
      </c>
      <c r="E2779" s="2"/>
      <c r="F2779" s="35">
        <v>5.3</v>
      </c>
      <c r="G2779" s="35">
        <v>126.04036802786271</v>
      </c>
      <c r="H2779" s="35">
        <v>-5.5620427102839809</v>
      </c>
      <c r="I2779" s="35">
        <v>-0.38634128930358752</v>
      </c>
      <c r="J2779" s="35">
        <v>2.2202976897571611E-4</v>
      </c>
      <c r="K2779" s="35">
        <v>-2.2612443263314081</v>
      </c>
      <c r="L2779" s="35">
        <v>11.040700775309174</v>
      </c>
      <c r="M2779" s="58" t="s">
        <v>24</v>
      </c>
      <c r="N2779" s="7">
        <v>11.333333333333334</v>
      </c>
      <c r="O2779" s="7" t="s">
        <v>180</v>
      </c>
      <c r="P2779" s="7" t="s">
        <v>180</v>
      </c>
    </row>
    <row r="2780" spans="1:16" x14ac:dyDescent="0.25">
      <c r="A2780" s="2" t="s">
        <v>183</v>
      </c>
      <c r="B2780" s="2" t="s">
        <v>203</v>
      </c>
      <c r="C2780" s="6" t="s">
        <v>150</v>
      </c>
      <c r="D2780" s="2" t="s">
        <v>106</v>
      </c>
      <c r="E2780" s="2"/>
      <c r="F2780" s="35">
        <v>5.4149169609489114</v>
      </c>
      <c r="G2780" s="35">
        <v>126.09510904397821</v>
      </c>
      <c r="H2780" s="35">
        <v>-5.5620427102839809</v>
      </c>
      <c r="I2780" s="35">
        <v>-0.38634128930358752</v>
      </c>
      <c r="J2780" s="35">
        <v>2.2202976897571611E-4</v>
      </c>
      <c r="K2780" s="35">
        <v>-2.2168471594755554</v>
      </c>
      <c r="L2780" s="35">
        <v>11.679873820243055</v>
      </c>
      <c r="M2780" s="58" t="s">
        <v>24</v>
      </c>
      <c r="N2780" s="7">
        <v>11.333333333333334</v>
      </c>
      <c r="O2780" s="7" t="s">
        <v>180</v>
      </c>
      <c r="P2780" s="7" t="s">
        <v>180</v>
      </c>
    </row>
    <row r="2781" spans="1:16" x14ac:dyDescent="0.25">
      <c r="A2781" s="2" t="s">
        <v>183</v>
      </c>
      <c r="B2781" s="2" t="s">
        <v>203</v>
      </c>
      <c r="C2781" s="6" t="s">
        <v>150</v>
      </c>
      <c r="D2781" s="2" t="s">
        <v>106</v>
      </c>
      <c r="E2781" s="2"/>
      <c r="F2781" s="35">
        <v>10.829833921897823</v>
      </c>
      <c r="G2781" s="35">
        <v>128.67451990009371</v>
      </c>
      <c r="H2781" s="35">
        <v>-5.5620427102839809</v>
      </c>
      <c r="I2781" s="35">
        <v>-0.38634128930358752</v>
      </c>
      <c r="J2781" s="35">
        <v>2.2202976897571611E-4</v>
      </c>
      <c r="K2781" s="35">
        <v>-0.12484115931068994</v>
      </c>
      <c r="L2781" s="35">
        <v>41.797873229682025</v>
      </c>
      <c r="M2781" s="58" t="s">
        <v>23</v>
      </c>
      <c r="N2781" s="7">
        <v>11.333333333333334</v>
      </c>
      <c r="O2781" s="7" t="s">
        <v>180</v>
      </c>
      <c r="P2781" s="7" t="s">
        <v>180</v>
      </c>
    </row>
    <row r="2782" spans="1:16" x14ac:dyDescent="0.25">
      <c r="A2782" s="2" t="s">
        <v>183</v>
      </c>
      <c r="B2782" s="2" t="s">
        <v>203</v>
      </c>
      <c r="C2782" s="6" t="s">
        <v>150</v>
      </c>
      <c r="D2782" s="2" t="s">
        <v>107</v>
      </c>
      <c r="E2782" s="2"/>
      <c r="F2782" s="35">
        <v>0</v>
      </c>
      <c r="G2782" s="35">
        <v>46.603777945957127</v>
      </c>
      <c r="H2782" s="35">
        <v>-2.445074781031976</v>
      </c>
      <c r="I2782" s="35">
        <v>3.5441793949974683</v>
      </c>
      <c r="J2782" s="35">
        <v>4.9924753666655915E-4</v>
      </c>
      <c r="K2782" s="35">
        <v>4.4662361549786436</v>
      </c>
      <c r="L2782" s="35">
        <v>-8.3856744008051951</v>
      </c>
      <c r="M2782" s="58" t="s">
        <v>22</v>
      </c>
      <c r="N2782" s="7">
        <v>11.333333333333334</v>
      </c>
      <c r="O2782" s="7" t="s">
        <v>180</v>
      </c>
      <c r="P2782" s="7" t="s">
        <v>180</v>
      </c>
    </row>
    <row r="2783" spans="1:16" x14ac:dyDescent="0.25">
      <c r="A2783" s="2" t="s">
        <v>183</v>
      </c>
      <c r="B2783" s="2" t="s">
        <v>203</v>
      </c>
      <c r="C2783" s="6" t="s">
        <v>150</v>
      </c>
      <c r="D2783" s="2" t="s">
        <v>107</v>
      </c>
      <c r="E2783" s="2"/>
      <c r="F2783" s="35">
        <v>0.29999999999999988</v>
      </c>
      <c r="G2783" s="35">
        <v>46.746683785957131</v>
      </c>
      <c r="H2783" s="35">
        <v>-2.445074781031976</v>
      </c>
      <c r="I2783" s="35">
        <v>3.5441793949974683</v>
      </c>
      <c r="J2783" s="35">
        <v>4.9924753666655915E-4</v>
      </c>
      <c r="K2783" s="35">
        <v>3.4029823364794041</v>
      </c>
      <c r="L2783" s="35">
        <v>-7.6521519664956026</v>
      </c>
      <c r="M2783" s="58" t="s">
        <v>22</v>
      </c>
      <c r="N2783" s="7">
        <v>11.333333333333334</v>
      </c>
      <c r="O2783" s="7" t="s">
        <v>180</v>
      </c>
      <c r="P2783" s="7" t="s">
        <v>180</v>
      </c>
    </row>
    <row r="2784" spans="1:16" x14ac:dyDescent="0.25">
      <c r="A2784" s="2" t="s">
        <v>183</v>
      </c>
      <c r="B2784" s="2" t="s">
        <v>203</v>
      </c>
      <c r="C2784" s="6" t="s">
        <v>150</v>
      </c>
      <c r="D2784" s="2" t="s">
        <v>107</v>
      </c>
      <c r="E2784" s="2"/>
      <c r="F2784" s="35">
        <v>0.29999999999999988</v>
      </c>
      <c r="G2784" s="35">
        <v>6.8493907305682065</v>
      </c>
      <c r="H2784" s="35">
        <v>-2.4450747810319782</v>
      </c>
      <c r="I2784" s="35">
        <v>1.1033675656433863</v>
      </c>
      <c r="J2784" s="35">
        <v>3.8903751321308044E-4</v>
      </c>
      <c r="K2784" s="35">
        <v>3.4029823364794058</v>
      </c>
      <c r="L2784" s="35">
        <v>-7.6521585790970068</v>
      </c>
      <c r="M2784" s="58" t="s">
        <v>22</v>
      </c>
      <c r="N2784" s="7">
        <v>11.333333333333334</v>
      </c>
      <c r="O2784" s="7" t="s">
        <v>180</v>
      </c>
      <c r="P2784" s="7" t="s">
        <v>180</v>
      </c>
    </row>
    <row r="2785" spans="1:16" x14ac:dyDescent="0.25">
      <c r="A2785" s="2" t="s">
        <v>183</v>
      </c>
      <c r="B2785" s="2" t="s">
        <v>203</v>
      </c>
      <c r="C2785" s="6" t="s">
        <v>150</v>
      </c>
      <c r="D2785" s="2" t="s">
        <v>107</v>
      </c>
      <c r="E2785" s="2"/>
      <c r="F2785" s="35">
        <v>5.3</v>
      </c>
      <c r="G2785" s="35">
        <v>9.2311547305682051</v>
      </c>
      <c r="H2785" s="35">
        <v>-2.4450747810319782</v>
      </c>
      <c r="I2785" s="35">
        <v>1.1033675656433863</v>
      </c>
      <c r="J2785" s="35">
        <v>3.8903751321308044E-4</v>
      </c>
      <c r="K2785" s="35">
        <v>-2.1138554917375254</v>
      </c>
      <c r="L2785" s="35">
        <v>4.5732153260628827</v>
      </c>
      <c r="M2785" s="58" t="s">
        <v>24</v>
      </c>
      <c r="N2785" s="7">
        <v>11.333333333333334</v>
      </c>
      <c r="O2785" s="7" t="s">
        <v>180</v>
      </c>
      <c r="P2785" s="7" t="s">
        <v>180</v>
      </c>
    </row>
    <row r="2786" spans="1:16" x14ac:dyDescent="0.25">
      <c r="A2786" s="2" t="s">
        <v>183</v>
      </c>
      <c r="B2786" s="2" t="s">
        <v>203</v>
      </c>
      <c r="C2786" s="6" t="s">
        <v>150</v>
      </c>
      <c r="D2786" s="2" t="s">
        <v>107</v>
      </c>
      <c r="E2786" s="2"/>
      <c r="F2786" s="35">
        <v>5.3</v>
      </c>
      <c r="G2786" s="35">
        <v>46.203833848940718</v>
      </c>
      <c r="H2786" s="35">
        <v>-2.445037390596887</v>
      </c>
      <c r="I2786" s="35">
        <v>-0.36186727194272039</v>
      </c>
      <c r="J2786" s="35">
        <v>2.7863120396526752E-4</v>
      </c>
      <c r="K2786" s="35">
        <v>-2.113855491737525</v>
      </c>
      <c r="L2786" s="35">
        <v>4.5732554696427936</v>
      </c>
      <c r="M2786" s="58" t="s">
        <v>24</v>
      </c>
      <c r="N2786" s="7">
        <v>11.333333333333334</v>
      </c>
      <c r="O2786" s="7" t="s">
        <v>180</v>
      </c>
      <c r="P2786" s="7" t="s">
        <v>180</v>
      </c>
    </row>
    <row r="2787" spans="1:16" x14ac:dyDescent="0.25">
      <c r="A2787" s="2" t="s">
        <v>183</v>
      </c>
      <c r="B2787" s="2" t="s">
        <v>203</v>
      </c>
      <c r="C2787" s="6" t="s">
        <v>150</v>
      </c>
      <c r="D2787" s="2" t="s">
        <v>107</v>
      </c>
      <c r="E2787" s="2"/>
      <c r="F2787" s="35">
        <v>5.4149169609489114</v>
      </c>
      <c r="G2787" s="35">
        <v>46.258574865056225</v>
      </c>
      <c r="H2787" s="35">
        <v>-2.445037390596887</v>
      </c>
      <c r="I2787" s="35">
        <v>-0.36186727194272039</v>
      </c>
      <c r="J2787" s="35">
        <v>2.7863120396526752E-4</v>
      </c>
      <c r="K2787" s="35">
        <v>-2.0722708045789942</v>
      </c>
      <c r="L2787" s="35">
        <v>4.8542317359766445</v>
      </c>
      <c r="M2787" s="58" t="s">
        <v>24</v>
      </c>
      <c r="N2787" s="7">
        <v>11.333333333333334</v>
      </c>
      <c r="O2787" s="7" t="s">
        <v>180</v>
      </c>
      <c r="P2787" s="7" t="s">
        <v>180</v>
      </c>
    </row>
    <row r="2788" spans="1:16" x14ac:dyDescent="0.25">
      <c r="A2788" s="2" t="s">
        <v>183</v>
      </c>
      <c r="B2788" s="2" t="s">
        <v>203</v>
      </c>
      <c r="C2788" s="6" t="s">
        <v>150</v>
      </c>
      <c r="D2788" s="2" t="s">
        <v>107</v>
      </c>
      <c r="E2788" s="2"/>
      <c r="F2788" s="35">
        <v>10.829833921897823</v>
      </c>
      <c r="G2788" s="35">
        <v>48.837985721171719</v>
      </c>
      <c r="H2788" s="35">
        <v>-2.445037390596887</v>
      </c>
      <c r="I2788" s="35">
        <v>-0.36186727194272039</v>
      </c>
      <c r="J2788" s="35">
        <v>2.7863120396526752E-4</v>
      </c>
      <c r="K2788" s="35">
        <v>-0.1127895761240459</v>
      </c>
      <c r="L2788" s="35">
        <v>18.093906172473989</v>
      </c>
      <c r="M2788" s="58" t="s">
        <v>23</v>
      </c>
      <c r="N2788" s="7">
        <v>11.333333333333334</v>
      </c>
      <c r="O2788" s="7" t="s">
        <v>180</v>
      </c>
      <c r="P2788" s="7" t="s">
        <v>180</v>
      </c>
    </row>
    <row r="2789" spans="1:16" x14ac:dyDescent="0.25">
      <c r="A2789" s="2" t="s">
        <v>183</v>
      </c>
      <c r="B2789" s="2" t="s">
        <v>203</v>
      </c>
      <c r="C2789" s="6" t="s">
        <v>150</v>
      </c>
      <c r="D2789" s="2" t="s">
        <v>108</v>
      </c>
      <c r="E2789" s="2"/>
      <c r="F2789" s="35">
        <v>0</v>
      </c>
      <c r="G2789" s="35">
        <v>118.12532734738143</v>
      </c>
      <c r="H2789" s="35">
        <v>-1.4291183703629994E-2</v>
      </c>
      <c r="I2789" s="35">
        <v>1.4841417366970846</v>
      </c>
      <c r="J2789" s="35">
        <v>3.053387488249962E-4</v>
      </c>
      <c r="K2789" s="35">
        <v>1.0122651128352254</v>
      </c>
      <c r="L2789" s="35">
        <v>17.266475368410028</v>
      </c>
      <c r="M2789" s="58" t="s">
        <v>22</v>
      </c>
      <c r="N2789" s="7">
        <v>11.333333333333334</v>
      </c>
      <c r="O2789" s="7" t="s">
        <v>180</v>
      </c>
      <c r="P2789" s="7" t="s">
        <v>180</v>
      </c>
    </row>
    <row r="2790" spans="1:16" x14ac:dyDescent="0.25">
      <c r="A2790" s="2" t="s">
        <v>183</v>
      </c>
      <c r="B2790" s="2" t="s">
        <v>203</v>
      </c>
      <c r="C2790" s="6" t="s">
        <v>150</v>
      </c>
      <c r="D2790" s="2" t="s">
        <v>108</v>
      </c>
      <c r="E2790" s="2"/>
      <c r="F2790" s="35">
        <v>0.29999999999999988</v>
      </c>
      <c r="G2790" s="35">
        <v>118.26823318738143</v>
      </c>
      <c r="H2790" s="35">
        <v>-1.4291183703629994E-2</v>
      </c>
      <c r="I2790" s="35">
        <v>1.4841417366970846</v>
      </c>
      <c r="J2790" s="35">
        <v>3.053387488249962E-4</v>
      </c>
      <c r="K2790" s="35">
        <v>0.56702259182610004</v>
      </c>
      <c r="L2790" s="35">
        <v>17.270762723521116</v>
      </c>
      <c r="M2790" s="58" t="s">
        <v>22</v>
      </c>
      <c r="N2790" s="7">
        <v>11.333333333333334</v>
      </c>
      <c r="O2790" s="7" t="s">
        <v>180</v>
      </c>
      <c r="P2790" s="7" t="s">
        <v>180</v>
      </c>
    </row>
    <row r="2791" spans="1:16" x14ac:dyDescent="0.25">
      <c r="A2791" s="2" t="s">
        <v>183</v>
      </c>
      <c r="B2791" s="2" t="s">
        <v>203</v>
      </c>
      <c r="C2791" s="6" t="s">
        <v>150</v>
      </c>
      <c r="D2791" s="2" t="s">
        <v>108</v>
      </c>
      <c r="E2791" s="2"/>
      <c r="F2791" s="35">
        <v>0.29999999999999988</v>
      </c>
      <c r="G2791" s="35">
        <v>97.475155034444512</v>
      </c>
      <c r="H2791" s="35">
        <v>-1.429118370363602E-2</v>
      </c>
      <c r="I2791" s="35">
        <v>0.189582801490113</v>
      </c>
      <c r="J2791" s="35">
        <v>1.0690209481815372E-4</v>
      </c>
      <c r="K2791" s="35">
        <v>0.56702259182610104</v>
      </c>
      <c r="L2791" s="35">
        <v>17.270750817321883</v>
      </c>
      <c r="M2791" s="58" t="s">
        <v>22</v>
      </c>
      <c r="N2791" s="7">
        <v>11.333333333333334</v>
      </c>
      <c r="O2791" s="7" t="s">
        <v>180</v>
      </c>
      <c r="P2791" s="7" t="s">
        <v>180</v>
      </c>
    </row>
    <row r="2792" spans="1:16" x14ac:dyDescent="0.25">
      <c r="A2792" s="2" t="s">
        <v>183</v>
      </c>
      <c r="B2792" s="2" t="s">
        <v>203</v>
      </c>
      <c r="C2792" s="6" t="s">
        <v>150</v>
      </c>
      <c r="D2792" s="2" t="s">
        <v>108</v>
      </c>
      <c r="E2792" s="2"/>
      <c r="F2792" s="35">
        <v>5.3</v>
      </c>
      <c r="G2792" s="35">
        <v>99.856919034444516</v>
      </c>
      <c r="H2792" s="35">
        <v>-1.429118370363602E-2</v>
      </c>
      <c r="I2792" s="35">
        <v>0.189582801490113</v>
      </c>
      <c r="J2792" s="35">
        <v>1.0690209481815372E-4</v>
      </c>
      <c r="K2792" s="35">
        <v>-0.38089141562446377</v>
      </c>
      <c r="L2792" s="35">
        <v>17.342206735840062</v>
      </c>
      <c r="M2792" s="58" t="s">
        <v>24</v>
      </c>
      <c r="N2792" s="7">
        <v>11.333333333333334</v>
      </c>
      <c r="O2792" s="7" t="s">
        <v>180</v>
      </c>
      <c r="P2792" s="7" t="s">
        <v>180</v>
      </c>
    </row>
    <row r="2793" spans="1:16" x14ac:dyDescent="0.25">
      <c r="A2793" s="2" t="s">
        <v>183</v>
      </c>
      <c r="B2793" s="2" t="s">
        <v>203</v>
      </c>
      <c r="C2793" s="6" t="s">
        <v>150</v>
      </c>
      <c r="D2793" s="2" t="s">
        <v>108</v>
      </c>
      <c r="E2793" s="2"/>
      <c r="F2793" s="35">
        <v>5.3</v>
      </c>
      <c r="G2793" s="35">
        <v>121.62379487394927</v>
      </c>
      <c r="H2793" s="35">
        <v>-1.4282821455406033E-2</v>
      </c>
      <c r="I2793" s="35">
        <v>-7.4495525319772604E-2</v>
      </c>
      <c r="J2793" s="35">
        <v>-8.6249382615671616E-5</v>
      </c>
      <c r="K2793" s="35">
        <v>-0.38089141562446377</v>
      </c>
      <c r="L2793" s="35">
        <v>17.342005760706297</v>
      </c>
      <c r="M2793" s="58" t="s">
        <v>24</v>
      </c>
      <c r="N2793" s="7">
        <v>11.333333333333334</v>
      </c>
      <c r="O2793" s="7" t="s">
        <v>180</v>
      </c>
      <c r="P2793" s="7" t="s">
        <v>180</v>
      </c>
    </row>
    <row r="2794" spans="1:16" x14ac:dyDescent="0.25">
      <c r="A2794" s="2" t="s">
        <v>183</v>
      </c>
      <c r="B2794" s="2" t="s">
        <v>203</v>
      </c>
      <c r="C2794" s="6" t="s">
        <v>150</v>
      </c>
      <c r="D2794" s="2" t="s">
        <v>108</v>
      </c>
      <c r="E2794" s="2"/>
      <c r="F2794" s="35">
        <v>5.4149169609489114</v>
      </c>
      <c r="G2794" s="35">
        <v>121.67853589006477</v>
      </c>
      <c r="H2794" s="35">
        <v>-1.4282821455406033E-2</v>
      </c>
      <c r="I2794" s="35">
        <v>-7.4495525319772604E-2</v>
      </c>
      <c r="J2794" s="35">
        <v>-8.6249382615671616E-5</v>
      </c>
      <c r="K2794" s="35">
        <v>-0.37233061625042285</v>
      </c>
      <c r="L2794" s="35">
        <v>17.34364709914173</v>
      </c>
      <c r="M2794" s="58" t="s">
        <v>24</v>
      </c>
      <c r="N2794" s="7">
        <v>11.333333333333334</v>
      </c>
      <c r="O2794" s="7" t="s">
        <v>180</v>
      </c>
      <c r="P2794" s="7" t="s">
        <v>180</v>
      </c>
    </row>
    <row r="2795" spans="1:16" x14ac:dyDescent="0.25">
      <c r="A2795" s="2" t="s">
        <v>183</v>
      </c>
      <c r="B2795" s="2" t="s">
        <v>203</v>
      </c>
      <c r="C2795" s="6" t="s">
        <v>150</v>
      </c>
      <c r="D2795" s="2" t="s">
        <v>108</v>
      </c>
      <c r="E2795" s="2"/>
      <c r="F2795" s="35">
        <v>10.829833921897823</v>
      </c>
      <c r="G2795" s="35">
        <v>124.25794674618027</v>
      </c>
      <c r="H2795" s="35">
        <v>-1.4282821455406033E-2</v>
      </c>
      <c r="I2795" s="35">
        <v>-7.4495525319772604E-2</v>
      </c>
      <c r="J2795" s="35">
        <v>-8.6249382615671616E-5</v>
      </c>
      <c r="K2795" s="35">
        <v>3.1056467318412755E-2</v>
      </c>
      <c r="L2795" s="35">
        <v>17.420987391290812</v>
      </c>
      <c r="M2795" s="58" t="s">
        <v>23</v>
      </c>
      <c r="N2795" s="7">
        <v>11.333333333333334</v>
      </c>
      <c r="O2795" s="7" t="s">
        <v>180</v>
      </c>
      <c r="P2795" s="7" t="s">
        <v>180</v>
      </c>
    </row>
    <row r="2796" spans="1:16" x14ac:dyDescent="0.25">
      <c r="A2796" s="2" t="s">
        <v>183</v>
      </c>
      <c r="B2796" s="2" t="s">
        <v>203</v>
      </c>
      <c r="C2796" s="6" t="s">
        <v>150</v>
      </c>
      <c r="D2796" s="2" t="s">
        <v>109</v>
      </c>
      <c r="E2796" s="2"/>
      <c r="F2796" s="35">
        <v>0</v>
      </c>
      <c r="G2796" s="35">
        <v>-95.692994501914427</v>
      </c>
      <c r="H2796" s="35">
        <v>13.382483200287838</v>
      </c>
      <c r="I2796" s="35">
        <v>-0.91805706203496995</v>
      </c>
      <c r="J2796" s="35">
        <v>2.836336572790291E-4</v>
      </c>
      <c r="K2796" s="35">
        <v>-5.5941097893168609E-3</v>
      </c>
      <c r="L2796" s="35">
        <v>81.709741319479591</v>
      </c>
      <c r="M2796" s="58" t="s">
        <v>22</v>
      </c>
      <c r="N2796" s="7">
        <v>11.333333333333334</v>
      </c>
      <c r="O2796" s="7" t="s">
        <v>180</v>
      </c>
      <c r="P2796" s="7" t="s">
        <v>180</v>
      </c>
    </row>
    <row r="2797" spans="1:16" x14ac:dyDescent="0.25">
      <c r="A2797" s="2" t="s">
        <v>183</v>
      </c>
      <c r="B2797" s="2" t="s">
        <v>203</v>
      </c>
      <c r="C2797" s="6" t="s">
        <v>150</v>
      </c>
      <c r="D2797" s="2" t="s">
        <v>109</v>
      </c>
      <c r="E2797" s="2"/>
      <c r="F2797" s="35">
        <v>0.29999999999999988</v>
      </c>
      <c r="G2797" s="35">
        <v>-95.55008866191443</v>
      </c>
      <c r="H2797" s="35">
        <v>13.382483200287838</v>
      </c>
      <c r="I2797" s="35">
        <v>-0.91805706203496995</v>
      </c>
      <c r="J2797" s="35">
        <v>2.836336572790291E-4</v>
      </c>
      <c r="K2797" s="35">
        <v>0.26982300882117399</v>
      </c>
      <c r="L2797" s="35">
        <v>77.694996359393244</v>
      </c>
      <c r="M2797" s="58" t="s">
        <v>22</v>
      </c>
      <c r="N2797" s="7">
        <v>11.333333333333334</v>
      </c>
      <c r="O2797" s="7" t="s">
        <v>180</v>
      </c>
      <c r="P2797" s="7" t="s">
        <v>180</v>
      </c>
    </row>
    <row r="2798" spans="1:16" x14ac:dyDescent="0.25">
      <c r="A2798" s="2" t="s">
        <v>183</v>
      </c>
      <c r="B2798" s="2" t="s">
        <v>203</v>
      </c>
      <c r="C2798" s="6" t="s">
        <v>150</v>
      </c>
      <c r="D2798" s="2" t="s">
        <v>109</v>
      </c>
      <c r="E2798" s="2"/>
      <c r="F2798" s="35">
        <v>0.29999999999999988</v>
      </c>
      <c r="G2798" s="35">
        <v>-77.979391925590534</v>
      </c>
      <c r="H2798" s="35">
        <v>13.382483200287822</v>
      </c>
      <c r="I2798" s="35">
        <v>8.9210496113710208E-2</v>
      </c>
      <c r="J2798" s="35">
        <v>-1.525814231558434E-4</v>
      </c>
      <c r="K2798" s="35">
        <v>0.26982300882117377</v>
      </c>
      <c r="L2798" s="35">
        <v>77.694970186488376</v>
      </c>
      <c r="M2798" s="58" t="s">
        <v>22</v>
      </c>
      <c r="N2798" s="7">
        <v>11.333333333333334</v>
      </c>
      <c r="O2798" s="7" t="s">
        <v>180</v>
      </c>
      <c r="P2798" s="7" t="s">
        <v>180</v>
      </c>
    </row>
    <row r="2799" spans="1:16" x14ac:dyDescent="0.25">
      <c r="A2799" s="2" t="s">
        <v>183</v>
      </c>
      <c r="B2799" s="2" t="s">
        <v>203</v>
      </c>
      <c r="C2799" s="6" t="s">
        <v>150</v>
      </c>
      <c r="D2799" s="2" t="s">
        <v>109</v>
      </c>
      <c r="E2799" s="2"/>
      <c r="F2799" s="35">
        <v>5.3</v>
      </c>
      <c r="G2799" s="35">
        <v>-75.59762792559053</v>
      </c>
      <c r="H2799" s="35">
        <v>13.382483200287822</v>
      </c>
      <c r="I2799" s="35">
        <v>8.9210496113710208E-2</v>
      </c>
      <c r="J2799" s="35">
        <v>-1.525814231558434E-4</v>
      </c>
      <c r="K2799" s="35">
        <v>-0.17622947174737719</v>
      </c>
      <c r="L2799" s="35">
        <v>10.782554185049275</v>
      </c>
      <c r="M2799" s="58" t="s">
        <v>24</v>
      </c>
      <c r="N2799" s="7">
        <v>11.333333333333334</v>
      </c>
      <c r="O2799" s="7" t="s">
        <v>180</v>
      </c>
      <c r="P2799" s="7" t="s">
        <v>180</v>
      </c>
    </row>
    <row r="2800" spans="1:16" x14ac:dyDescent="0.25">
      <c r="A2800" s="2" t="s">
        <v>183</v>
      </c>
      <c r="B2800" s="2" t="s">
        <v>203</v>
      </c>
      <c r="C2800" s="6" t="s">
        <v>150</v>
      </c>
      <c r="D2800" s="2" t="s">
        <v>109</v>
      </c>
      <c r="E2800" s="2"/>
      <c r="F2800" s="35">
        <v>5.3</v>
      </c>
      <c r="G2800" s="35">
        <v>-89.269860797420648</v>
      </c>
      <c r="H2800" s="35">
        <v>13.382433458589297</v>
      </c>
      <c r="I2800" s="35">
        <v>-4.049303792066062E-2</v>
      </c>
      <c r="J2800" s="35">
        <v>6.1163287561935822E-5</v>
      </c>
      <c r="K2800" s="35">
        <v>-0.1762294717473771</v>
      </c>
      <c r="L2800" s="35">
        <v>10.782860975191449</v>
      </c>
      <c r="M2800" s="58" t="s">
        <v>24</v>
      </c>
      <c r="N2800" s="7">
        <v>11.333333333333334</v>
      </c>
      <c r="O2800" s="7" t="s">
        <v>180</v>
      </c>
      <c r="P2800" s="7" t="s">
        <v>180</v>
      </c>
    </row>
    <row r="2801" spans="1:16" x14ac:dyDescent="0.25">
      <c r="A2801" s="2" t="s">
        <v>183</v>
      </c>
      <c r="B2801" s="2" t="s">
        <v>203</v>
      </c>
      <c r="C2801" s="6" t="s">
        <v>150</v>
      </c>
      <c r="D2801" s="2" t="s">
        <v>109</v>
      </c>
      <c r="E2801" s="2"/>
      <c r="F2801" s="35">
        <v>5.4149169609489114</v>
      </c>
      <c r="G2801" s="35">
        <v>-89.215119781305134</v>
      </c>
      <c r="H2801" s="35">
        <v>13.382433458589297</v>
      </c>
      <c r="I2801" s="35">
        <v>-4.049303792066062E-2</v>
      </c>
      <c r="J2801" s="35">
        <v>6.1163287561935822E-5</v>
      </c>
      <c r="K2801" s="35">
        <v>-0.1715761348899458</v>
      </c>
      <c r="L2801" s="35">
        <v>9.2449923920293369</v>
      </c>
      <c r="M2801" s="58" t="s">
        <v>24</v>
      </c>
      <c r="N2801" s="7">
        <v>11.333333333333334</v>
      </c>
      <c r="O2801" s="7" t="s">
        <v>180</v>
      </c>
      <c r="P2801" s="7" t="s">
        <v>180</v>
      </c>
    </row>
    <row r="2802" spans="1:16" x14ac:dyDescent="0.25">
      <c r="A2802" s="2" t="s">
        <v>183</v>
      </c>
      <c r="B2802" s="2" t="s">
        <v>203</v>
      </c>
      <c r="C2802" s="6" t="s">
        <v>150</v>
      </c>
      <c r="D2802" s="2" t="s">
        <v>109</v>
      </c>
      <c r="E2802" s="2"/>
      <c r="F2802" s="35">
        <v>10.829833921897823</v>
      </c>
      <c r="G2802" s="35">
        <v>-86.635708925189633</v>
      </c>
      <c r="H2802" s="35">
        <v>13.382433458589297</v>
      </c>
      <c r="I2802" s="35">
        <v>-4.049303792066062E-2</v>
      </c>
      <c r="J2802" s="35">
        <v>6.1163287561935822E-5</v>
      </c>
      <c r="K2802" s="35">
        <v>4.7690302946986771E-2</v>
      </c>
      <c r="L2802" s="35">
        <v>-63.219773521656016</v>
      </c>
      <c r="M2802" s="58" t="s">
        <v>23</v>
      </c>
      <c r="N2802" s="7">
        <v>11.333333333333334</v>
      </c>
      <c r="O2802" s="7" t="s">
        <v>180</v>
      </c>
      <c r="P2802" s="7" t="s">
        <v>180</v>
      </c>
    </row>
    <row r="2803" spans="1:16" x14ac:dyDescent="0.25">
      <c r="A2803" s="2" t="s">
        <v>183</v>
      </c>
      <c r="B2803" s="2" t="s">
        <v>203</v>
      </c>
      <c r="C2803" s="6" t="s">
        <v>150</v>
      </c>
      <c r="D2803" s="2" t="s">
        <v>110</v>
      </c>
      <c r="E2803" s="2"/>
      <c r="F2803" s="35">
        <v>0</v>
      </c>
      <c r="G2803" s="35">
        <v>120.00569258462286</v>
      </c>
      <c r="H2803" s="35">
        <v>-9.9714058593901207</v>
      </c>
      <c r="I2803" s="35">
        <v>1.4834473771001837</v>
      </c>
      <c r="J2803" s="35">
        <v>-3.6368390886509295E-6</v>
      </c>
      <c r="K2803" s="35">
        <v>0.99242126997419655</v>
      </c>
      <c r="L2803" s="35">
        <v>-49.318066578914646</v>
      </c>
      <c r="M2803" s="58" t="s">
        <v>22</v>
      </c>
      <c r="N2803" s="7">
        <v>11.333333333333334</v>
      </c>
      <c r="O2803" s="7" t="s">
        <v>180</v>
      </c>
      <c r="P2803" s="7" t="s">
        <v>180</v>
      </c>
    </row>
    <row r="2804" spans="1:16" x14ac:dyDescent="0.25">
      <c r="A2804" s="2" t="s">
        <v>183</v>
      </c>
      <c r="B2804" s="2" t="s">
        <v>203</v>
      </c>
      <c r="C2804" s="6" t="s">
        <v>150</v>
      </c>
      <c r="D2804" s="2" t="s">
        <v>110</v>
      </c>
      <c r="E2804" s="2"/>
      <c r="F2804" s="35">
        <v>0.29999999999999988</v>
      </c>
      <c r="G2804" s="35">
        <v>120.14859842462286</v>
      </c>
      <c r="H2804" s="35">
        <v>-9.9714058593901207</v>
      </c>
      <c r="I2804" s="35">
        <v>1.4834473771001837</v>
      </c>
      <c r="J2804" s="35">
        <v>-3.6368390886509295E-6</v>
      </c>
      <c r="K2804" s="35">
        <v>0.54738705684414168</v>
      </c>
      <c r="L2804" s="35">
        <v>-46.326644821097602</v>
      </c>
      <c r="M2804" s="58" t="s">
        <v>22</v>
      </c>
      <c r="N2804" s="7">
        <v>11.333333333333334</v>
      </c>
      <c r="O2804" s="7" t="s">
        <v>180</v>
      </c>
      <c r="P2804" s="7" t="s">
        <v>180</v>
      </c>
    </row>
    <row r="2805" spans="1:16" x14ac:dyDescent="0.25">
      <c r="A2805" s="2" t="s">
        <v>183</v>
      </c>
      <c r="B2805" s="2" t="s">
        <v>203</v>
      </c>
      <c r="C2805" s="6" t="s">
        <v>150</v>
      </c>
      <c r="D2805" s="2" t="s">
        <v>110</v>
      </c>
      <c r="E2805" s="2"/>
      <c r="F2805" s="35">
        <v>0.29999999999999988</v>
      </c>
      <c r="G2805" s="35">
        <v>99.261474904676149</v>
      </c>
      <c r="H2805" s="35">
        <v>-9.9714058593901154</v>
      </c>
      <c r="I2805" s="35">
        <v>0.18324571987263233</v>
      </c>
      <c r="J2805" s="35">
        <v>1.7551750451889211E-4</v>
      </c>
      <c r="K2805" s="35">
        <v>0.54738705684414268</v>
      </c>
      <c r="L2805" s="35">
        <v>-46.326634071836985</v>
      </c>
      <c r="M2805" s="58" t="s">
        <v>22</v>
      </c>
      <c r="N2805" s="7">
        <v>11.333333333333334</v>
      </c>
      <c r="O2805" s="7" t="s">
        <v>180</v>
      </c>
      <c r="P2805" s="7" t="s">
        <v>180</v>
      </c>
    </row>
    <row r="2806" spans="1:16" x14ac:dyDescent="0.25">
      <c r="A2806" s="2" t="s">
        <v>183</v>
      </c>
      <c r="B2806" s="2" t="s">
        <v>203</v>
      </c>
      <c r="C2806" s="6" t="s">
        <v>150</v>
      </c>
      <c r="D2806" s="2" t="s">
        <v>110</v>
      </c>
      <c r="E2806" s="2"/>
      <c r="F2806" s="35">
        <v>5.3</v>
      </c>
      <c r="G2806" s="35">
        <v>101.64323890467617</v>
      </c>
      <c r="H2806" s="35">
        <v>-9.9714058593901154</v>
      </c>
      <c r="I2806" s="35">
        <v>0.18324571987263233</v>
      </c>
      <c r="J2806" s="35">
        <v>1.7551750451889211E-4</v>
      </c>
      <c r="K2806" s="35">
        <v>-0.36884154251901885</v>
      </c>
      <c r="L2806" s="35">
        <v>3.5303952251135997</v>
      </c>
      <c r="M2806" s="58" t="s">
        <v>24</v>
      </c>
      <c r="N2806" s="7">
        <v>11.333333333333334</v>
      </c>
      <c r="O2806" s="7" t="s">
        <v>180</v>
      </c>
      <c r="P2806" s="7" t="s">
        <v>180</v>
      </c>
    </row>
    <row r="2807" spans="1:16" x14ac:dyDescent="0.25">
      <c r="A2807" s="2" t="s">
        <v>183</v>
      </c>
      <c r="B2807" s="2" t="s">
        <v>203</v>
      </c>
      <c r="C2807" s="6" t="s">
        <v>150</v>
      </c>
      <c r="D2807" s="2" t="s">
        <v>110</v>
      </c>
      <c r="E2807" s="2"/>
      <c r="F2807" s="35">
        <v>5.3</v>
      </c>
      <c r="G2807" s="35">
        <v>123.5177991704534</v>
      </c>
      <c r="H2807" s="35">
        <v>-9.9713606702306912</v>
      </c>
      <c r="I2807" s="35">
        <v>-7.2495224464436236E-2</v>
      </c>
      <c r="J2807" s="35">
        <v>-1.1469517421724078E-4</v>
      </c>
      <c r="K2807" s="35">
        <v>-0.36884154251901818</v>
      </c>
      <c r="L2807" s="35">
        <v>3.5300488521991196</v>
      </c>
      <c r="M2807" s="58" t="s">
        <v>24</v>
      </c>
      <c r="N2807" s="7">
        <v>11.333333333333334</v>
      </c>
      <c r="O2807" s="7" t="s">
        <v>180</v>
      </c>
      <c r="P2807" s="7" t="s">
        <v>180</v>
      </c>
    </row>
    <row r="2808" spans="1:16" x14ac:dyDescent="0.25">
      <c r="A2808" s="2" t="s">
        <v>183</v>
      </c>
      <c r="B2808" s="2" t="s">
        <v>203</v>
      </c>
      <c r="C2808" s="6" t="s">
        <v>150</v>
      </c>
      <c r="D2808" s="2" t="s">
        <v>110</v>
      </c>
      <c r="E2808" s="2"/>
      <c r="F2808" s="35">
        <v>5.4149169609489114</v>
      </c>
      <c r="G2808" s="35">
        <v>123.5725401865689</v>
      </c>
      <c r="H2808" s="35">
        <v>-9.9713606702306912</v>
      </c>
      <c r="I2808" s="35">
        <v>-7.2495224464436236E-2</v>
      </c>
      <c r="J2808" s="35">
        <v>-1.1469517421724078E-4</v>
      </c>
      <c r="K2808" s="35">
        <v>-0.360510611640256</v>
      </c>
      <c r="L2808" s="35">
        <v>4.6759273169475319</v>
      </c>
      <c r="M2808" s="58" t="s">
        <v>24</v>
      </c>
      <c r="N2808" s="7">
        <v>11.333333333333334</v>
      </c>
      <c r="O2808" s="7" t="s">
        <v>180</v>
      </c>
      <c r="P2808" s="7" t="s">
        <v>180</v>
      </c>
    </row>
    <row r="2809" spans="1:16" x14ac:dyDescent="0.25">
      <c r="A2809" s="2" t="s">
        <v>183</v>
      </c>
      <c r="B2809" s="2" t="s">
        <v>203</v>
      </c>
      <c r="C2809" s="6" t="s">
        <v>150</v>
      </c>
      <c r="D2809" s="2" t="s">
        <v>110</v>
      </c>
      <c r="E2809" s="2"/>
      <c r="F2809" s="35">
        <v>10.829833921897823</v>
      </c>
      <c r="G2809" s="35">
        <v>126.1519510426844</v>
      </c>
      <c r="H2809" s="35">
        <v>-9.9713606702306912</v>
      </c>
      <c r="I2809" s="35">
        <v>-7.2495224464436236E-2</v>
      </c>
      <c r="J2809" s="35">
        <v>-1.1469517421724078E-4</v>
      </c>
      <c r="K2809" s="35">
        <v>3.2045008900018067E-2</v>
      </c>
      <c r="L2809" s="35">
        <v>58.670017333918594</v>
      </c>
      <c r="M2809" s="58" t="s">
        <v>23</v>
      </c>
      <c r="N2809" s="7">
        <v>11.333333333333334</v>
      </c>
      <c r="O2809" s="7" t="s">
        <v>180</v>
      </c>
      <c r="P2809" s="7" t="s">
        <v>180</v>
      </c>
    </row>
    <row r="2810" spans="1:16" x14ac:dyDescent="0.25">
      <c r="A2810" s="2" t="s">
        <v>183</v>
      </c>
      <c r="B2810" s="2" t="s">
        <v>203</v>
      </c>
      <c r="C2810" s="6" t="s">
        <v>150</v>
      </c>
      <c r="D2810" s="2" t="s">
        <v>111</v>
      </c>
      <c r="E2810" s="2"/>
      <c r="F2810" s="35">
        <v>0</v>
      </c>
      <c r="G2810" s="35">
        <v>0.79684870731826218</v>
      </c>
      <c r="H2810" s="35">
        <v>-22.029378478577264</v>
      </c>
      <c r="I2810" s="35">
        <v>-1.1219618932902901E-3</v>
      </c>
      <c r="J2810" s="35">
        <v>-2.8988750659077992E-4</v>
      </c>
      <c r="K2810" s="35">
        <v>0.23667856258218758</v>
      </c>
      <c r="L2810" s="35">
        <v>-118.62471415129259</v>
      </c>
      <c r="M2810" s="58" t="s">
        <v>22</v>
      </c>
      <c r="N2810" s="7">
        <v>11.333333333333334</v>
      </c>
      <c r="O2810" s="7" t="s">
        <v>180</v>
      </c>
      <c r="P2810" s="7" t="s">
        <v>180</v>
      </c>
    </row>
    <row r="2811" spans="1:16" x14ac:dyDescent="0.25">
      <c r="A2811" s="2" t="s">
        <v>183</v>
      </c>
      <c r="B2811" s="2" t="s">
        <v>203</v>
      </c>
      <c r="C2811" s="6" t="s">
        <v>150</v>
      </c>
      <c r="D2811" s="2" t="s">
        <v>111</v>
      </c>
      <c r="E2811" s="2"/>
      <c r="F2811" s="35">
        <v>0.29999999999999988</v>
      </c>
      <c r="G2811" s="35">
        <v>0.93975454731826158</v>
      </c>
      <c r="H2811" s="35">
        <v>-22.029378478577264</v>
      </c>
      <c r="I2811" s="35">
        <v>-1.1219618932902901E-3</v>
      </c>
      <c r="J2811" s="35">
        <v>-2.8988750659077992E-4</v>
      </c>
      <c r="K2811" s="35">
        <v>0.23701515115017463</v>
      </c>
      <c r="L2811" s="35">
        <v>-112.01590060771942</v>
      </c>
      <c r="M2811" s="58" t="s">
        <v>22</v>
      </c>
      <c r="N2811" s="7">
        <v>11.333333333333334</v>
      </c>
      <c r="O2811" s="7" t="s">
        <v>180</v>
      </c>
      <c r="P2811" s="7" t="s">
        <v>180</v>
      </c>
    </row>
    <row r="2812" spans="1:16" x14ac:dyDescent="0.25">
      <c r="A2812" s="2" t="s">
        <v>183</v>
      </c>
      <c r="B2812" s="2" t="s">
        <v>203</v>
      </c>
      <c r="C2812" s="6" t="s">
        <v>150</v>
      </c>
      <c r="D2812" s="2" t="s">
        <v>111</v>
      </c>
      <c r="E2812" s="2"/>
      <c r="F2812" s="35">
        <v>0.29999999999999988</v>
      </c>
      <c r="G2812" s="35">
        <v>3.0794870913947809</v>
      </c>
      <c r="H2812" s="35">
        <v>-22.029378478577293</v>
      </c>
      <c r="I2812" s="35">
        <v>8.0287744720549808E-2</v>
      </c>
      <c r="J2812" s="35">
        <v>2.768226676309995E-4</v>
      </c>
      <c r="K2812" s="35">
        <v>0.23701515115017499</v>
      </c>
      <c r="L2812" s="35">
        <v>-112.015866605109</v>
      </c>
      <c r="M2812" s="58" t="s">
        <v>22</v>
      </c>
      <c r="N2812" s="7">
        <v>11.333333333333334</v>
      </c>
      <c r="O2812" s="7" t="s">
        <v>180</v>
      </c>
      <c r="P2812" s="7" t="s">
        <v>180</v>
      </c>
    </row>
    <row r="2813" spans="1:16" x14ac:dyDescent="0.25">
      <c r="A2813" s="2" t="s">
        <v>183</v>
      </c>
      <c r="B2813" s="2" t="s">
        <v>203</v>
      </c>
      <c r="C2813" s="6" t="s">
        <v>150</v>
      </c>
      <c r="D2813" s="2" t="s">
        <v>111</v>
      </c>
      <c r="E2813" s="2"/>
      <c r="F2813" s="35">
        <v>5.3</v>
      </c>
      <c r="G2813" s="35">
        <v>5.4612510913947796</v>
      </c>
      <c r="H2813" s="35">
        <v>-22.029378478577293</v>
      </c>
      <c r="I2813" s="35">
        <v>8.0287744720549808E-2</v>
      </c>
      <c r="J2813" s="35">
        <v>2.768226676309995E-4</v>
      </c>
      <c r="K2813" s="35">
        <v>-0.16442357245257411</v>
      </c>
      <c r="L2813" s="35">
        <v>-1.8689742122225199</v>
      </c>
      <c r="M2813" s="58" t="s">
        <v>24</v>
      </c>
      <c r="N2813" s="7">
        <v>11.333333333333334</v>
      </c>
      <c r="O2813" s="7" t="s">
        <v>180</v>
      </c>
      <c r="P2813" s="7" t="s">
        <v>180</v>
      </c>
    </row>
    <row r="2814" spans="1:16" x14ac:dyDescent="0.25">
      <c r="A2814" s="2" t="s">
        <v>183</v>
      </c>
      <c r="B2814" s="2" t="s">
        <v>203</v>
      </c>
      <c r="C2814" s="6" t="s">
        <v>150</v>
      </c>
      <c r="D2814" s="2" t="s">
        <v>111</v>
      </c>
      <c r="E2814" s="2"/>
      <c r="F2814" s="35">
        <v>5.3</v>
      </c>
      <c r="G2814" s="35">
        <v>6.1642096496241852</v>
      </c>
      <c r="H2814" s="35">
        <v>-22.029296584615818</v>
      </c>
      <c r="I2814" s="35">
        <v>-3.8510127588655983E-2</v>
      </c>
      <c r="J2814" s="35">
        <v>-2.5148913438423359E-4</v>
      </c>
      <c r="K2814" s="35">
        <v>-0.16442357245257408</v>
      </c>
      <c r="L2814" s="35">
        <v>-1.8697063958915683</v>
      </c>
      <c r="M2814" s="58" t="s">
        <v>24</v>
      </c>
      <c r="N2814" s="7">
        <v>11.333333333333334</v>
      </c>
      <c r="O2814" s="7" t="s">
        <v>180</v>
      </c>
      <c r="P2814" s="7" t="s">
        <v>180</v>
      </c>
    </row>
    <row r="2815" spans="1:16" x14ac:dyDescent="0.25">
      <c r="A2815" s="2" t="s">
        <v>183</v>
      </c>
      <c r="B2815" s="2" t="s">
        <v>203</v>
      </c>
      <c r="C2815" s="6" t="s">
        <v>150</v>
      </c>
      <c r="D2815" s="2" t="s">
        <v>111</v>
      </c>
      <c r="E2815" s="2"/>
      <c r="F2815" s="35">
        <v>5.4149169609489114</v>
      </c>
      <c r="G2815" s="35">
        <v>6.2189506657396914</v>
      </c>
      <c r="H2815" s="35">
        <v>-22.029296584615818</v>
      </c>
      <c r="I2815" s="35">
        <v>-3.8510127588655983E-2</v>
      </c>
      <c r="J2815" s="35">
        <v>-2.5148913438423359E-4</v>
      </c>
      <c r="K2815" s="35">
        <v>-0.15999810562433089</v>
      </c>
      <c r="L2815" s="35">
        <v>0.66183341945471552</v>
      </c>
      <c r="M2815" s="58" t="s">
        <v>24</v>
      </c>
      <c r="N2815" s="7">
        <v>11.333333333333334</v>
      </c>
      <c r="O2815" s="7" t="s">
        <v>180</v>
      </c>
      <c r="P2815" s="7" t="s">
        <v>180</v>
      </c>
    </row>
    <row r="2816" spans="1:16" x14ac:dyDescent="0.25">
      <c r="A2816" s="2" t="s">
        <v>183</v>
      </c>
      <c r="B2816" s="2" t="s">
        <v>203</v>
      </c>
      <c r="C2816" s="6" t="s">
        <v>150</v>
      </c>
      <c r="D2816" s="2" t="s">
        <v>111</v>
      </c>
      <c r="E2816" s="2"/>
      <c r="F2816" s="35">
        <v>10.829833921897823</v>
      </c>
      <c r="G2816" s="35">
        <v>8.7983615218551918</v>
      </c>
      <c r="H2816" s="35">
        <v>-22.029296584615818</v>
      </c>
      <c r="I2816" s="35">
        <v>-3.8510127588655983E-2</v>
      </c>
      <c r="J2816" s="35">
        <v>-2.5148913438423359E-4</v>
      </c>
      <c r="K2816" s="35">
        <v>4.8531037423788906E-2</v>
      </c>
      <c r="L2816" s="35">
        <v>119.94864513326479</v>
      </c>
      <c r="M2816" s="58" t="s">
        <v>23</v>
      </c>
      <c r="N2816" s="7">
        <v>11.333333333333334</v>
      </c>
      <c r="O2816" s="7" t="s">
        <v>180</v>
      </c>
      <c r="P2816" s="7" t="s">
        <v>180</v>
      </c>
    </row>
    <row r="2817" spans="1:16" x14ac:dyDescent="0.25">
      <c r="A2817" s="2" t="s">
        <v>183</v>
      </c>
      <c r="B2817" s="2" t="s">
        <v>203</v>
      </c>
      <c r="C2817" s="6" t="s">
        <v>150</v>
      </c>
      <c r="D2817" s="2" t="s">
        <v>112</v>
      </c>
      <c r="E2817" s="2"/>
      <c r="F2817" s="35">
        <v>0</v>
      </c>
      <c r="G2817" s="35">
        <v>35.42183183107101</v>
      </c>
      <c r="H2817" s="35">
        <v>-4.2524798271859314</v>
      </c>
      <c r="I2817" s="35">
        <v>-3.010827945979794</v>
      </c>
      <c r="J2817" s="35">
        <v>-3.5854769409674397E-4</v>
      </c>
      <c r="K2817" s="35">
        <v>-4.0645629907263192</v>
      </c>
      <c r="L2817" s="35">
        <v>-15.653844279118347</v>
      </c>
      <c r="M2817" s="58" t="s">
        <v>22</v>
      </c>
      <c r="N2817" s="7">
        <v>11.333333333333334</v>
      </c>
      <c r="O2817" s="7" t="s">
        <v>180</v>
      </c>
      <c r="P2817" s="7" t="s">
        <v>180</v>
      </c>
    </row>
    <row r="2818" spans="1:16" x14ac:dyDescent="0.25">
      <c r="A2818" s="2" t="s">
        <v>183</v>
      </c>
      <c r="B2818" s="2" t="s">
        <v>203</v>
      </c>
      <c r="C2818" s="6" t="s">
        <v>150</v>
      </c>
      <c r="D2818" s="2" t="s">
        <v>112</v>
      </c>
      <c r="E2818" s="2"/>
      <c r="F2818" s="35">
        <v>0.29999999999999988</v>
      </c>
      <c r="G2818" s="35">
        <v>35.564737671071015</v>
      </c>
      <c r="H2818" s="35">
        <v>-4.2524798271859314</v>
      </c>
      <c r="I2818" s="35">
        <v>-3.010827945979794</v>
      </c>
      <c r="J2818" s="35">
        <v>-3.5854769409674397E-4</v>
      </c>
      <c r="K2818" s="35">
        <v>-3.1613146069323812</v>
      </c>
      <c r="L2818" s="35">
        <v>-14.378100330962573</v>
      </c>
      <c r="M2818" s="58" t="s">
        <v>22</v>
      </c>
      <c r="N2818" s="7">
        <v>11.333333333333334</v>
      </c>
      <c r="O2818" s="7" t="s">
        <v>180</v>
      </c>
      <c r="P2818" s="7" t="s">
        <v>180</v>
      </c>
    </row>
    <row r="2819" spans="1:16" x14ac:dyDescent="0.25">
      <c r="A2819" s="2" t="s">
        <v>183</v>
      </c>
      <c r="B2819" s="2" t="s">
        <v>203</v>
      </c>
      <c r="C2819" s="6" t="s">
        <v>150</v>
      </c>
      <c r="D2819" s="2" t="s">
        <v>112</v>
      </c>
      <c r="E2819" s="2"/>
      <c r="F2819" s="35">
        <v>0.29999999999999988</v>
      </c>
      <c r="G2819" s="35">
        <v>69.5233513295546</v>
      </c>
      <c r="H2819" s="35">
        <v>-4.2524798271859305</v>
      </c>
      <c r="I2819" s="35">
        <v>-1.0202853725015264</v>
      </c>
      <c r="J2819" s="35">
        <v>-2.0464619465100073E-4</v>
      </c>
      <c r="K2819" s="35">
        <v>-3.1613146069323816</v>
      </c>
      <c r="L2819" s="35">
        <v>-14.378091096872607</v>
      </c>
      <c r="M2819" s="58" t="s">
        <v>22</v>
      </c>
      <c r="N2819" s="7">
        <v>11.333333333333334</v>
      </c>
      <c r="O2819" s="7" t="s">
        <v>180</v>
      </c>
      <c r="P2819" s="7" t="s">
        <v>180</v>
      </c>
    </row>
    <row r="2820" spans="1:16" x14ac:dyDescent="0.25">
      <c r="A2820" s="2" t="s">
        <v>183</v>
      </c>
      <c r="B2820" s="2" t="s">
        <v>203</v>
      </c>
      <c r="C2820" s="6" t="s">
        <v>150</v>
      </c>
      <c r="D2820" s="2" t="s">
        <v>112</v>
      </c>
      <c r="E2820" s="2"/>
      <c r="F2820" s="35">
        <v>5.3</v>
      </c>
      <c r="G2820" s="35">
        <v>71.90511532955459</v>
      </c>
      <c r="H2820" s="35">
        <v>-4.2524798271859305</v>
      </c>
      <c r="I2820" s="35">
        <v>-1.0202853725015264</v>
      </c>
      <c r="J2820" s="35">
        <v>-2.0464619465100073E-4</v>
      </c>
      <c r="K2820" s="35">
        <v>1.9401122555752499</v>
      </c>
      <c r="L2820" s="35">
        <v>6.8843080390570481</v>
      </c>
      <c r="M2820" s="58" t="s">
        <v>24</v>
      </c>
      <c r="N2820" s="7">
        <v>11.333333333333334</v>
      </c>
      <c r="O2820" s="7" t="s">
        <v>180</v>
      </c>
      <c r="P2820" s="7" t="s">
        <v>180</v>
      </c>
    </row>
    <row r="2821" spans="1:16" x14ac:dyDescent="0.25">
      <c r="A2821" s="2" t="s">
        <v>183</v>
      </c>
      <c r="B2821" s="2" t="s">
        <v>203</v>
      </c>
      <c r="C2821" s="6" t="s">
        <v>150</v>
      </c>
      <c r="D2821" s="2" t="s">
        <v>112</v>
      </c>
      <c r="E2821" s="2"/>
      <c r="F2821" s="35">
        <v>5.3</v>
      </c>
      <c r="G2821" s="35">
        <v>46.078706435385456</v>
      </c>
      <c r="H2821" s="35">
        <v>-4.2524884025611982</v>
      </c>
      <c r="I2821" s="35">
        <v>0.31053493407396998</v>
      </c>
      <c r="J2821" s="35">
        <v>-3.8562503008211779E-4</v>
      </c>
      <c r="K2821" s="35">
        <v>1.9401122555752479</v>
      </c>
      <c r="L2821" s="35">
        <v>6.8838979466205101</v>
      </c>
      <c r="M2821" s="58" t="s">
        <v>24</v>
      </c>
      <c r="N2821" s="7">
        <v>11.333333333333334</v>
      </c>
      <c r="O2821" s="7" t="s">
        <v>180</v>
      </c>
      <c r="P2821" s="7" t="s">
        <v>180</v>
      </c>
    </row>
    <row r="2822" spans="1:16" x14ac:dyDescent="0.25">
      <c r="A2822" s="2" t="s">
        <v>183</v>
      </c>
      <c r="B2822" s="2" t="s">
        <v>203</v>
      </c>
      <c r="C2822" s="6" t="s">
        <v>150</v>
      </c>
      <c r="D2822" s="2" t="s">
        <v>112</v>
      </c>
      <c r="E2822" s="2"/>
      <c r="F2822" s="35">
        <v>5.4149169609489114</v>
      </c>
      <c r="G2822" s="35">
        <v>46.13344745150097</v>
      </c>
      <c r="H2822" s="35">
        <v>-4.2524884025611982</v>
      </c>
      <c r="I2822" s="35">
        <v>0.31053493407396998</v>
      </c>
      <c r="J2822" s="35">
        <v>-3.8562503008211779E-4</v>
      </c>
      <c r="K2822" s="35">
        <v>1.9044265246829966</v>
      </c>
      <c r="L2822" s="35">
        <v>7.3725809903133346</v>
      </c>
      <c r="M2822" s="58" t="s">
        <v>24</v>
      </c>
      <c r="N2822" s="7">
        <v>11.333333333333334</v>
      </c>
      <c r="O2822" s="7" t="s">
        <v>180</v>
      </c>
      <c r="P2822" s="7" t="s">
        <v>180</v>
      </c>
    </row>
    <row r="2823" spans="1:16" x14ac:dyDescent="0.25">
      <c r="A2823" s="2" t="s">
        <v>183</v>
      </c>
      <c r="B2823" s="2" t="s">
        <v>203</v>
      </c>
      <c r="C2823" s="6" t="s">
        <v>150</v>
      </c>
      <c r="D2823" s="2" t="s">
        <v>112</v>
      </c>
      <c r="E2823" s="2"/>
      <c r="F2823" s="35">
        <v>10.829833921897823</v>
      </c>
      <c r="G2823" s="35">
        <v>48.712858307616457</v>
      </c>
      <c r="H2823" s="35">
        <v>-4.2524884025611982</v>
      </c>
      <c r="I2823" s="35">
        <v>0.31053493407396998</v>
      </c>
      <c r="J2823" s="35">
        <v>-3.8562503008211779E-4</v>
      </c>
      <c r="K2823" s="35">
        <v>0.22290564319870509</v>
      </c>
      <c r="L2823" s="35">
        <v>30.3994525675805</v>
      </c>
      <c r="M2823" s="58" t="s">
        <v>23</v>
      </c>
      <c r="N2823" s="7">
        <v>11.333333333333334</v>
      </c>
      <c r="O2823" s="7" t="s">
        <v>180</v>
      </c>
      <c r="P2823" s="7" t="s">
        <v>180</v>
      </c>
    </row>
    <row r="2824" spans="1:16" x14ac:dyDescent="0.25">
      <c r="A2824" s="2" t="s">
        <v>183</v>
      </c>
      <c r="B2824" s="2" t="s">
        <v>203</v>
      </c>
      <c r="C2824" s="6" t="s">
        <v>150</v>
      </c>
      <c r="D2824" s="2" t="s">
        <v>113</v>
      </c>
      <c r="E2824" s="2"/>
      <c r="F2824" s="35">
        <v>0</v>
      </c>
      <c r="G2824" s="35">
        <v>-37.578977872539781</v>
      </c>
      <c r="H2824" s="35">
        <v>-1.4458554822370182</v>
      </c>
      <c r="I2824" s="35">
        <v>-3.9291758197831208</v>
      </c>
      <c r="J2824" s="35">
        <v>-4.4203062624931911E-4</v>
      </c>
      <c r="K2824" s="35">
        <v>-4.5375579547635096</v>
      </c>
      <c r="L2824" s="35">
        <v>-6.6010713583474985</v>
      </c>
      <c r="M2824" s="58" t="s">
        <v>22</v>
      </c>
      <c r="N2824" s="7">
        <v>11.333333333333334</v>
      </c>
      <c r="O2824" s="7" t="s">
        <v>180</v>
      </c>
      <c r="P2824" s="7" t="s">
        <v>180</v>
      </c>
    </row>
    <row r="2825" spans="1:16" x14ac:dyDescent="0.25">
      <c r="A2825" s="2" t="s">
        <v>183</v>
      </c>
      <c r="B2825" s="2" t="s">
        <v>203</v>
      </c>
      <c r="C2825" s="6" t="s">
        <v>150</v>
      </c>
      <c r="D2825" s="2" t="s">
        <v>113</v>
      </c>
      <c r="E2825" s="2"/>
      <c r="F2825" s="35">
        <v>0.29999999999999988</v>
      </c>
      <c r="G2825" s="35">
        <v>-37.436072032539776</v>
      </c>
      <c r="H2825" s="35">
        <v>-1.4458554822370182</v>
      </c>
      <c r="I2825" s="35">
        <v>-3.9291758197831208</v>
      </c>
      <c r="J2825" s="35">
        <v>-4.4203062624931911E-4</v>
      </c>
      <c r="K2825" s="35">
        <v>-3.3588052088285743</v>
      </c>
      <c r="L2825" s="35">
        <v>-6.1673147136763911</v>
      </c>
      <c r="M2825" s="58" t="s">
        <v>22</v>
      </c>
      <c r="N2825" s="7">
        <v>11.333333333333334</v>
      </c>
      <c r="O2825" s="7" t="s">
        <v>180</v>
      </c>
      <c r="P2825" s="7" t="s">
        <v>180</v>
      </c>
    </row>
    <row r="2826" spans="1:16" x14ac:dyDescent="0.25">
      <c r="A2826" s="2" t="s">
        <v>183</v>
      </c>
      <c r="B2826" s="2" t="s">
        <v>203</v>
      </c>
      <c r="C2826" s="6" t="s">
        <v>150</v>
      </c>
      <c r="D2826" s="2" t="s">
        <v>113</v>
      </c>
      <c r="E2826" s="2"/>
      <c r="F2826" s="35">
        <v>0.29999999999999988</v>
      </c>
      <c r="G2826" s="35">
        <v>10.732656820101763</v>
      </c>
      <c r="H2826" s="35">
        <v>-1.445855482237016</v>
      </c>
      <c r="I2826" s="35">
        <v>-1.0860263346553705</v>
      </c>
      <c r="J2826" s="35">
        <v>-2.8751343493110668E-4</v>
      </c>
      <c r="K2826" s="35">
        <v>-3.3588052088285805</v>
      </c>
      <c r="L2826" s="35">
        <v>-6.1673054426449152</v>
      </c>
      <c r="M2826" s="58" t="s">
        <v>22</v>
      </c>
      <c r="N2826" s="7">
        <v>11.333333333333334</v>
      </c>
      <c r="O2826" s="7" t="s">
        <v>180</v>
      </c>
      <c r="P2826" s="7" t="s">
        <v>180</v>
      </c>
    </row>
    <row r="2827" spans="1:16" x14ac:dyDescent="0.25">
      <c r="A2827" s="2" t="s">
        <v>183</v>
      </c>
      <c r="B2827" s="2" t="s">
        <v>203</v>
      </c>
      <c r="C2827" s="6" t="s">
        <v>150</v>
      </c>
      <c r="D2827" s="2" t="s">
        <v>113</v>
      </c>
      <c r="E2827" s="2"/>
      <c r="F2827" s="35">
        <v>5.3</v>
      </c>
      <c r="G2827" s="35">
        <v>13.114420820101758</v>
      </c>
      <c r="H2827" s="35">
        <v>-1.445855482237016</v>
      </c>
      <c r="I2827" s="35">
        <v>-1.0860263346553705</v>
      </c>
      <c r="J2827" s="35">
        <v>-2.8751343493110668E-4</v>
      </c>
      <c r="K2827" s="35">
        <v>2.071326464448271</v>
      </c>
      <c r="L2827" s="35">
        <v>1.0619719685401654</v>
      </c>
      <c r="M2827" s="58" t="s">
        <v>24</v>
      </c>
      <c r="N2827" s="7">
        <v>11.333333333333334</v>
      </c>
      <c r="O2827" s="7" t="s">
        <v>180</v>
      </c>
      <c r="P2827" s="7" t="s">
        <v>180</v>
      </c>
    </row>
    <row r="2828" spans="1:16" x14ac:dyDescent="0.25">
      <c r="A2828" s="2" t="s">
        <v>183</v>
      </c>
      <c r="B2828" s="2" t="s">
        <v>203</v>
      </c>
      <c r="C2828" s="6" t="s">
        <v>150</v>
      </c>
      <c r="D2828" s="2" t="s">
        <v>113</v>
      </c>
      <c r="E2828" s="2"/>
      <c r="F2828" s="35">
        <v>5.3</v>
      </c>
      <c r="G2828" s="35">
        <v>-25.769406863999823</v>
      </c>
      <c r="H2828" s="35">
        <v>-1.4458781800025973</v>
      </c>
      <c r="I2828" s="35">
        <v>0.33232314315336886</v>
      </c>
      <c r="J2828" s="35">
        <v>-3.339918070088526E-4</v>
      </c>
      <c r="K2828" s="35">
        <v>2.0713264644482696</v>
      </c>
      <c r="L2828" s="35">
        <v>1.0617199201371239</v>
      </c>
      <c r="M2828" s="58" t="s">
        <v>24</v>
      </c>
      <c r="N2828" s="7">
        <v>11.333333333333334</v>
      </c>
      <c r="O2828" s="7" t="s">
        <v>180</v>
      </c>
      <c r="P2828" s="7" t="s">
        <v>180</v>
      </c>
    </row>
    <row r="2829" spans="1:16" x14ac:dyDescent="0.25">
      <c r="A2829" s="2" t="s">
        <v>183</v>
      </c>
      <c r="B2829" s="2" t="s">
        <v>203</v>
      </c>
      <c r="C2829" s="6" t="s">
        <v>150</v>
      </c>
      <c r="D2829" s="2" t="s">
        <v>113</v>
      </c>
      <c r="E2829" s="2"/>
      <c r="F2829" s="35">
        <v>5.4149169609489114</v>
      </c>
      <c r="G2829" s="35">
        <v>-25.714665847884312</v>
      </c>
      <c r="H2829" s="35">
        <v>-1.4458781800025973</v>
      </c>
      <c r="I2829" s="35">
        <v>0.33232314315336886</v>
      </c>
      <c r="J2829" s="35">
        <v>-3.339918070088526E-4</v>
      </c>
      <c r="K2829" s="35">
        <v>2.0331368987840941</v>
      </c>
      <c r="L2829" s="35">
        <v>1.2278758464853659</v>
      </c>
      <c r="M2829" s="58" t="s">
        <v>24</v>
      </c>
      <c r="N2829" s="7">
        <v>11.333333333333334</v>
      </c>
      <c r="O2829" s="7" t="s">
        <v>180</v>
      </c>
      <c r="P2829" s="7" t="s">
        <v>180</v>
      </c>
    </row>
    <row r="2830" spans="1:16" x14ac:dyDescent="0.25">
      <c r="A2830" s="2" t="s">
        <v>183</v>
      </c>
      <c r="B2830" s="2" t="s">
        <v>203</v>
      </c>
      <c r="C2830" s="6" t="s">
        <v>150</v>
      </c>
      <c r="D2830" s="2" t="s">
        <v>113</v>
      </c>
      <c r="E2830" s="2"/>
      <c r="F2830" s="35">
        <v>10.829833921897823</v>
      </c>
      <c r="G2830" s="35">
        <v>-23.135254991768825</v>
      </c>
      <c r="H2830" s="35">
        <v>-1.4458781800025973</v>
      </c>
      <c r="I2830" s="35">
        <v>0.33232314315336886</v>
      </c>
      <c r="J2830" s="35">
        <v>-3.339918070088526E-4</v>
      </c>
      <c r="K2830" s="35">
        <v>0.23363467440706456</v>
      </c>
      <c r="L2830" s="35">
        <v>9.0571861268473697</v>
      </c>
      <c r="M2830" s="58" t="s">
        <v>23</v>
      </c>
      <c r="N2830" s="7">
        <v>11.333333333333334</v>
      </c>
      <c r="O2830" s="7" t="s">
        <v>180</v>
      </c>
      <c r="P2830" s="7" t="s">
        <v>180</v>
      </c>
    </row>
    <row r="2831" spans="1:16" x14ac:dyDescent="0.25">
      <c r="A2831" s="2" t="s">
        <v>183</v>
      </c>
      <c r="B2831" s="2" t="s">
        <v>203</v>
      </c>
      <c r="C2831" s="6" t="s">
        <v>150</v>
      </c>
      <c r="D2831" s="2" t="s">
        <v>114</v>
      </c>
      <c r="E2831" s="2"/>
      <c r="F2831" s="35">
        <v>0</v>
      </c>
      <c r="G2831" s="35">
        <v>53.501998883055499</v>
      </c>
      <c r="H2831" s="35">
        <v>-3.3962552216969399</v>
      </c>
      <c r="I2831" s="35">
        <v>3.4549132243981844</v>
      </c>
      <c r="J2831" s="35">
        <v>4.7382358968003804E-4</v>
      </c>
      <c r="K2831" s="35">
        <v>4.2726090146781335</v>
      </c>
      <c r="L2831" s="35">
        <v>-12.08235874946884</v>
      </c>
      <c r="M2831" s="58" t="s">
        <v>22</v>
      </c>
      <c r="N2831" s="7">
        <v>11.333333333333334</v>
      </c>
      <c r="O2831" s="7" t="s">
        <v>180</v>
      </c>
      <c r="P2831" s="7" t="s">
        <v>180</v>
      </c>
    </row>
    <row r="2832" spans="1:16" x14ac:dyDescent="0.25">
      <c r="A2832" s="2" t="s">
        <v>183</v>
      </c>
      <c r="B2832" s="2" t="s">
        <v>203</v>
      </c>
      <c r="C2832" s="6" t="s">
        <v>150</v>
      </c>
      <c r="D2832" s="2" t="s">
        <v>114</v>
      </c>
      <c r="E2832" s="2"/>
      <c r="F2832" s="35">
        <v>0.29999999999999988</v>
      </c>
      <c r="G2832" s="35">
        <v>53.644904723055504</v>
      </c>
      <c r="H2832" s="35">
        <v>-3.3962552216969399</v>
      </c>
      <c r="I2832" s="35">
        <v>3.4549132243981844</v>
      </c>
      <c r="J2832" s="35">
        <v>4.7382358968003804E-4</v>
      </c>
      <c r="K2832" s="35">
        <v>3.2361350473586787</v>
      </c>
      <c r="L2832" s="35">
        <v>-11.063482182959756</v>
      </c>
      <c r="M2832" s="58" t="s">
        <v>22</v>
      </c>
      <c r="N2832" s="7">
        <v>11.333333333333334</v>
      </c>
      <c r="O2832" s="7" t="s">
        <v>180</v>
      </c>
      <c r="P2832" s="7" t="s">
        <v>180</v>
      </c>
    </row>
    <row r="2833" spans="1:16" x14ac:dyDescent="0.25">
      <c r="A2833" s="2" t="s">
        <v>183</v>
      </c>
      <c r="B2833" s="2" t="s">
        <v>203</v>
      </c>
      <c r="C2833" s="6" t="s">
        <v>150</v>
      </c>
      <c r="D2833" s="2" t="s">
        <v>114</v>
      </c>
      <c r="E2833" s="2"/>
      <c r="F2833" s="35">
        <v>0.29999999999999988</v>
      </c>
      <c r="G2833" s="35">
        <v>14.34925995132334</v>
      </c>
      <c r="H2833" s="35">
        <v>-3.3962552216969346</v>
      </c>
      <c r="I2833" s="35">
        <v>1.0502002920635245</v>
      </c>
      <c r="J2833" s="35">
        <v>3.7879683230271349E-4</v>
      </c>
      <c r="K2833" s="35">
        <v>3.2361350473586761</v>
      </c>
      <c r="L2833" s="35">
        <v>-11.063487884565196</v>
      </c>
      <c r="M2833" s="58" t="s">
        <v>22</v>
      </c>
      <c r="N2833" s="7">
        <v>11.333333333333334</v>
      </c>
      <c r="O2833" s="7" t="s">
        <v>180</v>
      </c>
      <c r="P2833" s="7" t="s">
        <v>180</v>
      </c>
    </row>
    <row r="2834" spans="1:16" x14ac:dyDescent="0.25">
      <c r="A2834" s="2" t="s">
        <v>183</v>
      </c>
      <c r="B2834" s="2" t="s">
        <v>203</v>
      </c>
      <c r="C2834" s="6" t="s">
        <v>150</v>
      </c>
      <c r="D2834" s="2" t="s">
        <v>114</v>
      </c>
      <c r="E2834" s="2"/>
      <c r="F2834" s="35">
        <v>5.3</v>
      </c>
      <c r="G2834" s="35">
        <v>16.731023951323337</v>
      </c>
      <c r="H2834" s="35">
        <v>-3.3962552216969346</v>
      </c>
      <c r="I2834" s="35">
        <v>1.0502002920635245</v>
      </c>
      <c r="J2834" s="35">
        <v>3.7879683230271349E-4</v>
      </c>
      <c r="K2834" s="35">
        <v>-2.0148664129589471</v>
      </c>
      <c r="L2834" s="35">
        <v>5.9177882239194775</v>
      </c>
      <c r="M2834" s="58" t="s">
        <v>24</v>
      </c>
      <c r="N2834" s="7">
        <v>11.333333333333334</v>
      </c>
      <c r="O2834" s="7" t="s">
        <v>180</v>
      </c>
      <c r="P2834" s="7" t="s">
        <v>180</v>
      </c>
    </row>
    <row r="2835" spans="1:16" x14ac:dyDescent="0.25">
      <c r="A2835" s="2" t="s">
        <v>183</v>
      </c>
      <c r="B2835" s="2" t="s">
        <v>203</v>
      </c>
      <c r="C2835" s="6" t="s">
        <v>150</v>
      </c>
      <c r="D2835" s="2" t="s">
        <v>114</v>
      </c>
      <c r="E2835" s="2"/>
      <c r="F2835" s="35">
        <v>5.3</v>
      </c>
      <c r="G2835" s="35">
        <v>53.310399656131693</v>
      </c>
      <c r="H2835" s="35">
        <v>-3.3962152007794133</v>
      </c>
      <c r="I2835" s="35">
        <v>-0.34546119909735606</v>
      </c>
      <c r="J2835" s="35">
        <v>2.2902119698284972E-4</v>
      </c>
      <c r="K2835" s="35">
        <v>-2.0148664129589466</v>
      </c>
      <c r="L2835" s="35">
        <v>5.9177686424264788</v>
      </c>
      <c r="M2835" s="58" t="s">
        <v>24</v>
      </c>
      <c r="N2835" s="7">
        <v>11.333333333333334</v>
      </c>
      <c r="O2835" s="7" t="s">
        <v>180</v>
      </c>
      <c r="P2835" s="7" t="s">
        <v>180</v>
      </c>
    </row>
    <row r="2836" spans="1:16" x14ac:dyDescent="0.25">
      <c r="A2836" s="2" t="s">
        <v>183</v>
      </c>
      <c r="B2836" s="2" t="s">
        <v>203</v>
      </c>
      <c r="C2836" s="6" t="s">
        <v>150</v>
      </c>
      <c r="D2836" s="2" t="s">
        <v>114</v>
      </c>
      <c r="E2836" s="2"/>
      <c r="F2836" s="35">
        <v>5.4149169609489114</v>
      </c>
      <c r="G2836" s="35">
        <v>53.365140672247207</v>
      </c>
      <c r="H2836" s="35">
        <v>-3.3962152007794133</v>
      </c>
      <c r="I2836" s="35">
        <v>-0.34546119909735606</v>
      </c>
      <c r="J2836" s="35">
        <v>2.2902119698284972E-4</v>
      </c>
      <c r="K2836" s="35">
        <v>-1.975167061832912</v>
      </c>
      <c r="L2836" s="35">
        <v>6.3080513720285447</v>
      </c>
      <c r="M2836" s="58" t="s">
        <v>24</v>
      </c>
      <c r="N2836" s="7">
        <v>11.333333333333334</v>
      </c>
      <c r="O2836" s="7" t="s">
        <v>180</v>
      </c>
      <c r="P2836" s="7" t="s">
        <v>180</v>
      </c>
    </row>
    <row r="2837" spans="1:16" x14ac:dyDescent="0.25">
      <c r="A2837" s="2" t="s">
        <v>183</v>
      </c>
      <c r="B2837" s="2" t="s">
        <v>203</v>
      </c>
      <c r="C2837" s="6" t="s">
        <v>150</v>
      </c>
      <c r="D2837" s="2" t="s">
        <v>114</v>
      </c>
      <c r="E2837" s="2"/>
      <c r="F2837" s="35">
        <v>10.829833921897823</v>
      </c>
      <c r="G2837" s="35">
        <v>55.944551528362695</v>
      </c>
      <c r="H2837" s="35">
        <v>-3.3962152007794133</v>
      </c>
      <c r="I2837" s="35">
        <v>-0.34546119909735606</v>
      </c>
      <c r="J2837" s="35">
        <v>2.2902119698284972E-4</v>
      </c>
      <c r="K2837" s="35">
        <v>-0.10452335549089023</v>
      </c>
      <c r="L2837" s="35">
        <v>24.698274665761495</v>
      </c>
      <c r="M2837" s="58" t="s">
        <v>23</v>
      </c>
      <c r="N2837" s="7">
        <v>11.333333333333334</v>
      </c>
      <c r="O2837" s="7" t="s">
        <v>180</v>
      </c>
      <c r="P2837" s="7" t="s">
        <v>180</v>
      </c>
    </row>
    <row r="2838" spans="1:16" x14ac:dyDescent="0.25">
      <c r="A2838" s="2" t="s">
        <v>183</v>
      </c>
      <c r="B2838" s="2" t="s">
        <v>203</v>
      </c>
      <c r="C2838" s="6" t="s">
        <v>150</v>
      </c>
      <c r="D2838" s="2" t="s">
        <v>115</v>
      </c>
      <c r="E2838" s="2"/>
      <c r="F2838" s="35">
        <v>0</v>
      </c>
      <c r="G2838" s="35">
        <v>-19.507586830670853</v>
      </c>
      <c r="H2838" s="35">
        <v>-0.59093623049889232</v>
      </c>
      <c r="I2838" s="35">
        <v>2.534182319498119</v>
      </c>
      <c r="J2838" s="35">
        <v>3.8929766945561891E-4</v>
      </c>
      <c r="K2838" s="35">
        <v>3.7965660592805985</v>
      </c>
      <c r="L2838" s="35">
        <v>-3.035026394732494</v>
      </c>
      <c r="M2838" s="58" t="s">
        <v>22</v>
      </c>
      <c r="N2838" s="7">
        <v>11.333333333333334</v>
      </c>
      <c r="O2838" s="7" t="s">
        <v>180</v>
      </c>
      <c r="P2838" s="7" t="s">
        <v>180</v>
      </c>
    </row>
    <row r="2839" spans="1:16" x14ac:dyDescent="0.25">
      <c r="A2839" s="2" t="s">
        <v>183</v>
      </c>
      <c r="B2839" s="2" t="s">
        <v>203</v>
      </c>
      <c r="C2839" s="6" t="s">
        <v>150</v>
      </c>
      <c r="D2839" s="2" t="s">
        <v>115</v>
      </c>
      <c r="E2839" s="2"/>
      <c r="F2839" s="35">
        <v>0.29999999999999988</v>
      </c>
      <c r="G2839" s="35">
        <v>-19.364680990670848</v>
      </c>
      <c r="H2839" s="35">
        <v>-0.59093623049889232</v>
      </c>
      <c r="I2839" s="35">
        <v>2.534182319498119</v>
      </c>
      <c r="J2839" s="35">
        <v>3.8929766945561891E-4</v>
      </c>
      <c r="K2839" s="35">
        <v>3.0363113634311634</v>
      </c>
      <c r="L2839" s="35">
        <v>-2.8577455255828266</v>
      </c>
      <c r="M2839" s="58" t="s">
        <v>22</v>
      </c>
      <c r="N2839" s="7">
        <v>11.333333333333334</v>
      </c>
      <c r="O2839" s="7" t="s">
        <v>180</v>
      </c>
      <c r="P2839" s="7" t="s">
        <v>180</v>
      </c>
    </row>
    <row r="2840" spans="1:16" x14ac:dyDescent="0.25">
      <c r="A2840" s="2" t="s">
        <v>183</v>
      </c>
      <c r="B2840" s="2" t="s">
        <v>203</v>
      </c>
      <c r="C2840" s="6" t="s">
        <v>150</v>
      </c>
      <c r="D2840" s="2" t="s">
        <v>115</v>
      </c>
      <c r="E2840" s="2"/>
      <c r="F2840" s="35">
        <v>0.29999999999999988</v>
      </c>
      <c r="G2840" s="35">
        <v>-44.423056130941681</v>
      </c>
      <c r="H2840" s="35">
        <v>-0.59093623049889454</v>
      </c>
      <c r="I2840" s="35">
        <v>0.9837055650511235</v>
      </c>
      <c r="J2840" s="35">
        <v>2.9527458560338896E-4</v>
      </c>
      <c r="K2840" s="35">
        <v>3.0363113634311651</v>
      </c>
      <c r="L2840" s="35">
        <v>-2.8577511669678541</v>
      </c>
      <c r="M2840" s="58" t="s">
        <v>22</v>
      </c>
      <c r="N2840" s="7">
        <v>11.333333333333334</v>
      </c>
      <c r="O2840" s="7" t="s">
        <v>180</v>
      </c>
      <c r="P2840" s="7" t="s">
        <v>180</v>
      </c>
    </row>
    <row r="2841" spans="1:16" x14ac:dyDescent="0.25">
      <c r="A2841" s="2" t="s">
        <v>183</v>
      </c>
      <c r="B2841" s="2" t="s">
        <v>203</v>
      </c>
      <c r="C2841" s="6" t="s">
        <v>150</v>
      </c>
      <c r="D2841" s="2" t="s">
        <v>115</v>
      </c>
      <c r="E2841" s="2"/>
      <c r="F2841" s="35">
        <v>5.3</v>
      </c>
      <c r="G2841" s="35">
        <v>-42.041292130941684</v>
      </c>
      <c r="H2841" s="35">
        <v>-0.59093623049889454</v>
      </c>
      <c r="I2841" s="35">
        <v>0.9837055650511235</v>
      </c>
      <c r="J2841" s="35">
        <v>2.9527458560338896E-4</v>
      </c>
      <c r="K2841" s="35">
        <v>-1.8822164618244523</v>
      </c>
      <c r="L2841" s="35">
        <v>9.6929985526618523E-2</v>
      </c>
      <c r="M2841" s="58" t="s">
        <v>24</v>
      </c>
      <c r="N2841" s="7">
        <v>11.333333333333334</v>
      </c>
      <c r="O2841" s="7" t="s">
        <v>180</v>
      </c>
      <c r="P2841" s="7" t="s">
        <v>180</v>
      </c>
    </row>
    <row r="2842" spans="1:16" x14ac:dyDescent="0.25">
      <c r="A2842" s="2" t="s">
        <v>183</v>
      </c>
      <c r="B2842" s="2" t="s">
        <v>203</v>
      </c>
      <c r="C2842" s="6" t="s">
        <v>150</v>
      </c>
      <c r="D2842" s="2" t="s">
        <v>115</v>
      </c>
      <c r="E2842" s="2"/>
      <c r="F2842" s="35">
        <v>5.3</v>
      </c>
      <c r="G2842" s="35">
        <v>-18.542481104898101</v>
      </c>
      <c r="H2842" s="35">
        <v>-0.59091041306102776</v>
      </c>
      <c r="I2842" s="35">
        <v>-0.3234345834725757</v>
      </c>
      <c r="J2842" s="35">
        <v>2.7996248847344596E-4</v>
      </c>
      <c r="K2842" s="35">
        <v>-1.8822164618244517</v>
      </c>
      <c r="L2842" s="35">
        <v>9.7067867326735488E-2</v>
      </c>
      <c r="M2842" s="58" t="s">
        <v>24</v>
      </c>
      <c r="N2842" s="7">
        <v>11.333333333333334</v>
      </c>
      <c r="O2842" s="7" t="s">
        <v>180</v>
      </c>
      <c r="P2842" s="7" t="s">
        <v>180</v>
      </c>
    </row>
    <row r="2843" spans="1:16" x14ac:dyDescent="0.25">
      <c r="A2843" s="2" t="s">
        <v>183</v>
      </c>
      <c r="B2843" s="2" t="s">
        <v>203</v>
      </c>
      <c r="C2843" s="6" t="s">
        <v>150</v>
      </c>
      <c r="D2843" s="2" t="s">
        <v>115</v>
      </c>
      <c r="E2843" s="2"/>
      <c r="F2843" s="35">
        <v>5.4149169609489114</v>
      </c>
      <c r="G2843" s="35">
        <v>-18.487740088782591</v>
      </c>
      <c r="H2843" s="35">
        <v>-0.59091041306102776</v>
      </c>
      <c r="I2843" s="35">
        <v>-0.3234345834725757</v>
      </c>
      <c r="J2843" s="35">
        <v>2.7996248847344596E-4</v>
      </c>
      <c r="K2843" s="35">
        <v>-1.8450483424260065</v>
      </c>
      <c r="L2843" s="35">
        <v>0.16497349618877466</v>
      </c>
      <c r="M2843" s="58" t="s">
        <v>24</v>
      </c>
      <c r="N2843" s="7">
        <v>11.333333333333334</v>
      </c>
      <c r="O2843" s="7" t="s">
        <v>180</v>
      </c>
      <c r="P2843" s="7" t="s">
        <v>180</v>
      </c>
    </row>
    <row r="2844" spans="1:16" x14ac:dyDescent="0.25">
      <c r="A2844" s="2" t="s">
        <v>183</v>
      </c>
      <c r="B2844" s="2" t="s">
        <v>203</v>
      </c>
      <c r="C2844" s="6" t="s">
        <v>150</v>
      </c>
      <c r="D2844" s="2" t="s">
        <v>115</v>
      </c>
      <c r="E2844" s="2"/>
      <c r="F2844" s="35">
        <v>10.829833921897823</v>
      </c>
      <c r="G2844" s="35">
        <v>-15.908329232667104</v>
      </c>
      <c r="H2844" s="35">
        <v>-0.59091041306102776</v>
      </c>
      <c r="I2844" s="35">
        <v>-0.3234345834725757</v>
      </c>
      <c r="J2844" s="35">
        <v>2.7996248847344596E-4</v>
      </c>
      <c r="K2844" s="35">
        <v>-9.3676930622910576E-2</v>
      </c>
      <c r="L2844" s="35">
        <v>3.3647043142742619</v>
      </c>
      <c r="M2844" s="58" t="s">
        <v>23</v>
      </c>
      <c r="N2844" s="7">
        <v>11.333333333333334</v>
      </c>
      <c r="O2844" s="7" t="s">
        <v>180</v>
      </c>
      <c r="P2844" s="7" t="s">
        <v>180</v>
      </c>
    </row>
    <row r="2845" spans="1:16" x14ac:dyDescent="0.25">
      <c r="A2845" s="2" t="s">
        <v>183</v>
      </c>
      <c r="B2845" s="2" t="s">
        <v>203</v>
      </c>
      <c r="C2845" s="6" t="s">
        <v>150</v>
      </c>
      <c r="D2845" s="2" t="s">
        <v>116</v>
      </c>
      <c r="E2845" s="2"/>
      <c r="F2845" s="35">
        <v>0</v>
      </c>
      <c r="G2845" s="35">
        <v>44.86180763061104</v>
      </c>
      <c r="H2845" s="35">
        <v>1.5967690070966187</v>
      </c>
      <c r="I2845" s="35">
        <v>0.68014842702777412</v>
      </c>
      <c r="J2845" s="35">
        <v>2.1477976039821229E-4</v>
      </c>
      <c r="K2845" s="35">
        <v>0.68799212135152188</v>
      </c>
      <c r="L2845" s="35">
        <v>20.05190839756121</v>
      </c>
      <c r="M2845" s="58" t="s">
        <v>22</v>
      </c>
      <c r="N2845" s="7">
        <v>11.333333333333334</v>
      </c>
      <c r="O2845" s="7" t="s">
        <v>180</v>
      </c>
      <c r="P2845" s="7" t="s">
        <v>180</v>
      </c>
    </row>
    <row r="2846" spans="1:16" x14ac:dyDescent="0.25">
      <c r="A2846" s="2" t="s">
        <v>183</v>
      </c>
      <c r="B2846" s="2" t="s">
        <v>203</v>
      </c>
      <c r="C2846" s="6" t="s">
        <v>150</v>
      </c>
      <c r="D2846" s="2" t="s">
        <v>116</v>
      </c>
      <c r="E2846" s="2"/>
      <c r="F2846" s="35">
        <v>0.29999999999999988</v>
      </c>
      <c r="G2846" s="35">
        <v>45.004713470611044</v>
      </c>
      <c r="H2846" s="35">
        <v>1.5967690070966187</v>
      </c>
      <c r="I2846" s="35">
        <v>0.68014842702777412</v>
      </c>
      <c r="J2846" s="35">
        <v>2.1477976039821229E-4</v>
      </c>
      <c r="K2846" s="35">
        <v>0.48394759324318976</v>
      </c>
      <c r="L2846" s="35">
        <v>19.572877695432222</v>
      </c>
      <c r="M2846" s="58" t="s">
        <v>22</v>
      </c>
      <c r="N2846" s="7">
        <v>11.333333333333334</v>
      </c>
      <c r="O2846" s="7" t="s">
        <v>180</v>
      </c>
      <c r="P2846" s="7" t="s">
        <v>180</v>
      </c>
    </row>
    <row r="2847" spans="1:16" x14ac:dyDescent="0.25">
      <c r="A2847" s="2" t="s">
        <v>183</v>
      </c>
      <c r="B2847" s="2" t="s">
        <v>203</v>
      </c>
      <c r="C2847" s="6" t="s">
        <v>150</v>
      </c>
      <c r="D2847" s="2" t="s">
        <v>116</v>
      </c>
      <c r="E2847" s="2"/>
      <c r="F2847" s="35">
        <v>0.29999999999999988</v>
      </c>
      <c r="G2847" s="35">
        <v>37.140131742546998</v>
      </c>
      <c r="H2847" s="35">
        <v>1.5967690070966132</v>
      </c>
      <c r="I2847" s="35">
        <v>0.16129927731317753</v>
      </c>
      <c r="J2847" s="35">
        <v>4.1352709047954932E-5</v>
      </c>
      <c r="K2847" s="35">
        <v>0.48394759324319053</v>
      </c>
      <c r="L2847" s="35">
        <v>19.572867289809142</v>
      </c>
      <c r="M2847" s="58" t="s">
        <v>22</v>
      </c>
      <c r="N2847" s="7">
        <v>11.333333333333334</v>
      </c>
      <c r="O2847" s="7" t="s">
        <v>180</v>
      </c>
      <c r="P2847" s="7" t="s">
        <v>180</v>
      </c>
    </row>
    <row r="2848" spans="1:16" x14ac:dyDescent="0.25">
      <c r="A2848" s="2" t="s">
        <v>183</v>
      </c>
      <c r="B2848" s="2" t="s">
        <v>203</v>
      </c>
      <c r="C2848" s="6" t="s">
        <v>150</v>
      </c>
      <c r="D2848" s="2" t="s">
        <v>116</v>
      </c>
      <c r="E2848" s="2"/>
      <c r="F2848" s="35">
        <v>5.3</v>
      </c>
      <c r="G2848" s="35">
        <v>39.521895742546995</v>
      </c>
      <c r="H2848" s="35">
        <v>1.5967690070966132</v>
      </c>
      <c r="I2848" s="35">
        <v>0.16129927731317753</v>
      </c>
      <c r="J2848" s="35">
        <v>4.1352709047954932E-5</v>
      </c>
      <c r="K2848" s="35">
        <v>-0.32254879332269709</v>
      </c>
      <c r="L2848" s="35">
        <v>11.58902225432608</v>
      </c>
      <c r="M2848" s="58" t="s">
        <v>24</v>
      </c>
      <c r="N2848" s="7">
        <v>11.333333333333334</v>
      </c>
      <c r="O2848" s="7" t="s">
        <v>180</v>
      </c>
      <c r="P2848" s="7" t="s">
        <v>180</v>
      </c>
    </row>
    <row r="2849" spans="1:16" x14ac:dyDescent="0.25">
      <c r="A2849" s="2" t="s">
        <v>183</v>
      </c>
      <c r="B2849" s="2" t="s">
        <v>203</v>
      </c>
      <c r="C2849" s="6" t="s">
        <v>150</v>
      </c>
      <c r="D2849" s="2" t="s">
        <v>116</v>
      </c>
      <c r="E2849" s="2"/>
      <c r="F2849" s="35">
        <v>5.3</v>
      </c>
      <c r="G2849" s="35">
        <v>49.335483817609585</v>
      </c>
      <c r="H2849" s="35">
        <v>1.596768699166305</v>
      </c>
      <c r="I2849" s="35">
        <v>-6.4800011511922676E-2</v>
      </c>
      <c r="J2849" s="35">
        <v>-4.8430039449399255E-5</v>
      </c>
      <c r="K2849" s="35">
        <v>-0.32254879332269709</v>
      </c>
      <c r="L2849" s="35">
        <v>11.588943129283891</v>
      </c>
      <c r="M2849" s="58" t="s">
        <v>24</v>
      </c>
      <c r="N2849" s="7">
        <v>11.333333333333334</v>
      </c>
      <c r="O2849" s="7" t="s">
        <v>180</v>
      </c>
      <c r="P2849" s="7" t="s">
        <v>180</v>
      </c>
    </row>
    <row r="2850" spans="1:16" x14ac:dyDescent="0.25">
      <c r="A2850" s="2" t="s">
        <v>183</v>
      </c>
      <c r="B2850" s="2" t="s">
        <v>203</v>
      </c>
      <c r="C2850" s="6" t="s">
        <v>150</v>
      </c>
      <c r="D2850" s="2" t="s">
        <v>116</v>
      </c>
      <c r="E2850" s="2"/>
      <c r="F2850" s="35">
        <v>5.4149169609489114</v>
      </c>
      <c r="G2850" s="35">
        <v>49.3902248337251</v>
      </c>
      <c r="H2850" s="35">
        <v>1.596768699166305</v>
      </c>
      <c r="I2850" s="35">
        <v>-6.4800011511922676E-2</v>
      </c>
      <c r="J2850" s="35">
        <v>-4.8430039449399255E-5</v>
      </c>
      <c r="K2850" s="35">
        <v>-0.31510217293029247</v>
      </c>
      <c r="L2850" s="35">
        <v>11.405447323037352</v>
      </c>
      <c r="M2850" s="58" t="s">
        <v>24</v>
      </c>
      <c r="N2850" s="7">
        <v>11.333333333333334</v>
      </c>
      <c r="O2850" s="7" t="s">
        <v>180</v>
      </c>
      <c r="P2850" s="7" t="s">
        <v>180</v>
      </c>
    </row>
    <row r="2851" spans="1:16" x14ac:dyDescent="0.25">
      <c r="A2851" s="2" t="s">
        <v>183</v>
      </c>
      <c r="B2851" s="2" t="s">
        <v>203</v>
      </c>
      <c r="C2851" s="6" t="s">
        <v>150</v>
      </c>
      <c r="D2851" s="2" t="s">
        <v>116</v>
      </c>
      <c r="E2851" s="2"/>
      <c r="F2851" s="35">
        <v>10.829833921897823</v>
      </c>
      <c r="G2851" s="35">
        <v>51.969635689840587</v>
      </c>
      <c r="H2851" s="35">
        <v>1.596768699166305</v>
      </c>
      <c r="I2851" s="35">
        <v>-6.4800011511922676E-2</v>
      </c>
      <c r="J2851" s="35">
        <v>-4.8430039449399255E-5</v>
      </c>
      <c r="K2851" s="35">
        <v>3.5784508475302193E-2</v>
      </c>
      <c r="L2851" s="35">
        <v>2.7590774112093999</v>
      </c>
      <c r="M2851" s="58" t="s">
        <v>23</v>
      </c>
      <c r="N2851" s="7">
        <v>11.333333333333334</v>
      </c>
      <c r="O2851" s="7" t="s">
        <v>180</v>
      </c>
      <c r="P2851" s="7" t="s">
        <v>180</v>
      </c>
    </row>
    <row r="2852" spans="1:16" x14ac:dyDescent="0.25">
      <c r="A2852" s="2" t="s">
        <v>183</v>
      </c>
      <c r="B2852" s="2" t="s">
        <v>203</v>
      </c>
      <c r="C2852" s="6" t="s">
        <v>150</v>
      </c>
      <c r="D2852" s="2" t="s">
        <v>117</v>
      </c>
      <c r="E2852" s="2"/>
      <c r="F2852" s="35">
        <v>0</v>
      </c>
      <c r="G2852" s="35">
        <v>-147.57468203375527</v>
      </c>
      <c r="H2852" s="35">
        <v>13.653865952688939</v>
      </c>
      <c r="I2852" s="35">
        <v>-1.4818304918310752</v>
      </c>
      <c r="J2852" s="35">
        <v>1.9524517800684194E-4</v>
      </c>
      <c r="K2852" s="35">
        <v>-0.22808117901056607</v>
      </c>
      <c r="L2852" s="35">
        <v>78.050847753523826</v>
      </c>
      <c r="M2852" s="58" t="s">
        <v>22</v>
      </c>
      <c r="N2852" s="7">
        <v>11.333333333333334</v>
      </c>
      <c r="O2852" s="7" t="s">
        <v>180</v>
      </c>
      <c r="P2852" s="7" t="s">
        <v>180</v>
      </c>
    </row>
    <row r="2853" spans="1:16" x14ac:dyDescent="0.25">
      <c r="A2853" s="2" t="s">
        <v>183</v>
      </c>
      <c r="B2853" s="2" t="s">
        <v>203</v>
      </c>
      <c r="C2853" s="6" t="s">
        <v>150</v>
      </c>
      <c r="D2853" s="2" t="s">
        <v>117</v>
      </c>
      <c r="E2853" s="2"/>
      <c r="F2853" s="35">
        <v>0.29999999999999988</v>
      </c>
      <c r="G2853" s="35">
        <v>-147.43177619375524</v>
      </c>
      <c r="H2853" s="35">
        <v>13.653865952688939</v>
      </c>
      <c r="I2853" s="35">
        <v>-1.4818304918310752</v>
      </c>
      <c r="J2853" s="35">
        <v>1.9524517800684194E-4</v>
      </c>
      <c r="K2853" s="35">
        <v>0.2164679685387563</v>
      </c>
      <c r="L2853" s="35">
        <v>73.954687967717135</v>
      </c>
      <c r="M2853" s="58" t="s">
        <v>22</v>
      </c>
      <c r="N2853" s="7">
        <v>11.333333333333334</v>
      </c>
      <c r="O2853" s="7" t="s">
        <v>180</v>
      </c>
      <c r="P2853" s="7" t="s">
        <v>180</v>
      </c>
    </row>
    <row r="2854" spans="1:16" x14ac:dyDescent="0.25">
      <c r="A2854" s="2" t="s">
        <v>183</v>
      </c>
      <c r="B2854" s="2" t="s">
        <v>203</v>
      </c>
      <c r="C2854" s="6" t="s">
        <v>150</v>
      </c>
      <c r="D2854" s="2" t="s">
        <v>117</v>
      </c>
      <c r="E2854" s="2"/>
      <c r="F2854" s="35">
        <v>0.29999999999999988</v>
      </c>
      <c r="G2854" s="35">
        <v>-120.76896052148454</v>
      </c>
      <c r="H2854" s="35">
        <v>13.653865952688927</v>
      </c>
      <c r="I2854" s="35">
        <v>7.0964202474415011E-2</v>
      </c>
      <c r="J2854" s="35">
        <v>-1.9218245712864247E-4</v>
      </c>
      <c r="K2854" s="35">
        <v>0.21646796853875599</v>
      </c>
      <c r="L2854" s="35">
        <v>73.954664722058993</v>
      </c>
      <c r="M2854" s="58" t="s">
        <v>22</v>
      </c>
      <c r="N2854" s="7">
        <v>11.333333333333334</v>
      </c>
      <c r="O2854" s="7" t="s">
        <v>180</v>
      </c>
      <c r="P2854" s="7" t="s">
        <v>180</v>
      </c>
    </row>
    <row r="2855" spans="1:16" x14ac:dyDescent="0.25">
      <c r="A2855" s="2" t="s">
        <v>183</v>
      </c>
      <c r="B2855" s="2" t="s">
        <v>203</v>
      </c>
      <c r="C2855" s="6" t="s">
        <v>150</v>
      </c>
      <c r="D2855" s="2" t="s">
        <v>117</v>
      </c>
      <c r="E2855" s="2"/>
      <c r="F2855" s="35">
        <v>5.3</v>
      </c>
      <c r="G2855" s="35">
        <v>-118.38719652148454</v>
      </c>
      <c r="H2855" s="35">
        <v>13.653865952688927</v>
      </c>
      <c r="I2855" s="35">
        <v>7.0964202474415011E-2</v>
      </c>
      <c r="J2855" s="35">
        <v>-1.9218245712864247E-4</v>
      </c>
      <c r="K2855" s="35">
        <v>-0.13835304383331912</v>
      </c>
      <c r="L2855" s="35">
        <v>5.6853349586143702</v>
      </c>
      <c r="M2855" s="58" t="s">
        <v>24</v>
      </c>
      <c r="N2855" s="7">
        <v>11.333333333333334</v>
      </c>
      <c r="O2855" s="7" t="s">
        <v>180</v>
      </c>
      <c r="P2855" s="7" t="s">
        <v>180</v>
      </c>
    </row>
    <row r="2856" spans="1:16" x14ac:dyDescent="0.25">
      <c r="A2856" s="2" t="s">
        <v>183</v>
      </c>
      <c r="B2856" s="2" t="s">
        <v>203</v>
      </c>
      <c r="C2856" s="6" t="s">
        <v>150</v>
      </c>
      <c r="D2856" s="2" t="s">
        <v>117</v>
      </c>
      <c r="E2856" s="2"/>
      <c r="F2856" s="35">
        <v>5.3</v>
      </c>
      <c r="G2856" s="35">
        <v>-140.46880628662333</v>
      </c>
      <c r="H2856" s="35">
        <v>13.653813351206537</v>
      </c>
      <c r="I2856" s="35">
        <v>-3.4197772852721887E-2</v>
      </c>
      <c r="J2856" s="35">
        <v>8.4241363710447456E-5</v>
      </c>
      <c r="K2856" s="35">
        <v>-0.13835304383331912</v>
      </c>
      <c r="L2856" s="35">
        <v>5.685712822320526</v>
      </c>
      <c r="M2856" s="58" t="s">
        <v>24</v>
      </c>
      <c r="N2856" s="7">
        <v>11.333333333333334</v>
      </c>
      <c r="O2856" s="7" t="s">
        <v>180</v>
      </c>
      <c r="P2856" s="7" t="s">
        <v>180</v>
      </c>
    </row>
    <row r="2857" spans="1:16" x14ac:dyDescent="0.25">
      <c r="A2857" s="2" t="s">
        <v>183</v>
      </c>
      <c r="B2857" s="2" t="s">
        <v>203</v>
      </c>
      <c r="C2857" s="6" t="s">
        <v>150</v>
      </c>
      <c r="D2857" s="2" t="s">
        <v>117</v>
      </c>
      <c r="E2857" s="2"/>
      <c r="F2857" s="35">
        <v>5.4149169609489114</v>
      </c>
      <c r="G2857" s="35">
        <v>-140.41406527050779</v>
      </c>
      <c r="H2857" s="35">
        <v>13.653813351206537</v>
      </c>
      <c r="I2857" s="35">
        <v>-3.4197772852721887E-2</v>
      </c>
      <c r="J2857" s="35">
        <v>8.4241363710447456E-5</v>
      </c>
      <c r="K2857" s="35">
        <v>-0.13442313970586314</v>
      </c>
      <c r="L2857" s="35">
        <v>4.1166580866361997</v>
      </c>
      <c r="M2857" s="58" t="s">
        <v>24</v>
      </c>
      <c r="N2857" s="7">
        <v>11.333333333333334</v>
      </c>
      <c r="O2857" s="7" t="s">
        <v>180</v>
      </c>
      <c r="P2857" s="7" t="s">
        <v>180</v>
      </c>
    </row>
    <row r="2858" spans="1:16" x14ac:dyDescent="0.25">
      <c r="A2858" s="2" t="s">
        <v>183</v>
      </c>
      <c r="B2858" s="2" t="s">
        <v>203</v>
      </c>
      <c r="C2858" s="6" t="s">
        <v>150</v>
      </c>
      <c r="D2858" s="2" t="s">
        <v>117</v>
      </c>
      <c r="E2858" s="2"/>
      <c r="F2858" s="35">
        <v>10.829833921897823</v>
      </c>
      <c r="G2858" s="35">
        <v>-137.83465441439233</v>
      </c>
      <c r="H2858" s="35">
        <v>13.653813351206537</v>
      </c>
      <c r="I2858" s="35">
        <v>-3.4197772852721887E-2</v>
      </c>
      <c r="J2858" s="35">
        <v>8.4241363710447456E-5</v>
      </c>
      <c r="K2858" s="35">
        <v>5.0754960541018808E-2</v>
      </c>
      <c r="L2858" s="35">
        <v>-69.817607410442747</v>
      </c>
      <c r="M2858" s="58" t="s">
        <v>23</v>
      </c>
      <c r="N2858" s="7">
        <v>11.333333333333334</v>
      </c>
      <c r="O2858" s="7" t="s">
        <v>180</v>
      </c>
      <c r="P2858" s="7" t="s">
        <v>180</v>
      </c>
    </row>
    <row r="2859" spans="1:16" x14ac:dyDescent="0.25">
      <c r="A2859" s="2" t="s">
        <v>183</v>
      </c>
      <c r="B2859" s="2" t="s">
        <v>203</v>
      </c>
      <c r="C2859" s="6" t="s">
        <v>150</v>
      </c>
      <c r="D2859" s="2" t="s">
        <v>118</v>
      </c>
      <c r="E2859" s="2"/>
      <c r="F2859" s="35">
        <v>0</v>
      </c>
      <c r="G2859" s="35">
        <v>46.554136344128295</v>
      </c>
      <c r="H2859" s="35">
        <v>-7.3646342010212242</v>
      </c>
      <c r="I2859" s="35">
        <v>0.67952350339056311</v>
      </c>
      <c r="J2859" s="35">
        <v>-6.3298268724070126E-5</v>
      </c>
      <c r="K2859" s="35">
        <v>0.67013266277659611</v>
      </c>
      <c r="L2859" s="35">
        <v>-39.874179355031004</v>
      </c>
      <c r="M2859" s="58" t="s">
        <v>22</v>
      </c>
      <c r="N2859" s="7">
        <v>11.333333333333334</v>
      </c>
      <c r="O2859" s="7" t="s">
        <v>180</v>
      </c>
      <c r="P2859" s="7" t="s">
        <v>180</v>
      </c>
    </row>
    <row r="2860" spans="1:16" x14ac:dyDescent="0.25">
      <c r="A2860" s="2" t="s">
        <v>183</v>
      </c>
      <c r="B2860" s="2" t="s">
        <v>203</v>
      </c>
      <c r="C2860" s="6" t="s">
        <v>150</v>
      </c>
      <c r="D2860" s="2" t="s">
        <v>118</v>
      </c>
      <c r="E2860" s="2"/>
      <c r="F2860" s="35">
        <v>0.29999999999999988</v>
      </c>
      <c r="G2860" s="35">
        <v>46.6970421841283</v>
      </c>
      <c r="H2860" s="35">
        <v>-7.3646342010212242</v>
      </c>
      <c r="I2860" s="35">
        <v>0.67952350339056311</v>
      </c>
      <c r="J2860" s="35">
        <v>-6.3298268724070126E-5</v>
      </c>
      <c r="K2860" s="35">
        <v>0.46627561175942722</v>
      </c>
      <c r="L2860" s="35">
        <v>-37.664789094724625</v>
      </c>
      <c r="M2860" s="58" t="s">
        <v>22</v>
      </c>
      <c r="N2860" s="7">
        <v>11.333333333333334</v>
      </c>
      <c r="O2860" s="7" t="s">
        <v>180</v>
      </c>
      <c r="P2860" s="7" t="s">
        <v>180</v>
      </c>
    </row>
    <row r="2861" spans="1:16" x14ac:dyDescent="0.25">
      <c r="A2861" s="2" t="s">
        <v>183</v>
      </c>
      <c r="B2861" s="2" t="s">
        <v>203</v>
      </c>
      <c r="C2861" s="6" t="s">
        <v>150</v>
      </c>
      <c r="D2861" s="2" t="s">
        <v>118</v>
      </c>
      <c r="E2861" s="2"/>
      <c r="F2861" s="35">
        <v>0.29999999999999988</v>
      </c>
      <c r="G2861" s="35">
        <v>38.747819625755476</v>
      </c>
      <c r="H2861" s="35">
        <v>-7.3646342010212198</v>
      </c>
      <c r="I2861" s="35">
        <v>0.15559590385744493</v>
      </c>
      <c r="J2861" s="35">
        <v>1.0310657777861946E-4</v>
      </c>
      <c r="K2861" s="35">
        <v>0.46627561175942805</v>
      </c>
      <c r="L2861" s="35">
        <v>-37.664779110433834</v>
      </c>
      <c r="M2861" s="58" t="s">
        <v>22</v>
      </c>
      <c r="N2861" s="7">
        <v>11.333333333333334</v>
      </c>
      <c r="O2861" s="7" t="s">
        <v>180</v>
      </c>
      <c r="P2861" s="7" t="s">
        <v>180</v>
      </c>
    </row>
    <row r="2862" spans="1:16" x14ac:dyDescent="0.25">
      <c r="A2862" s="2" t="s">
        <v>183</v>
      </c>
      <c r="B2862" s="2" t="s">
        <v>203</v>
      </c>
      <c r="C2862" s="6" t="s">
        <v>150</v>
      </c>
      <c r="D2862" s="2" t="s">
        <v>118</v>
      </c>
      <c r="E2862" s="2"/>
      <c r="F2862" s="35">
        <v>5.3</v>
      </c>
      <c r="G2862" s="35">
        <v>41.129583625755465</v>
      </c>
      <c r="H2862" s="35">
        <v>-7.3646342010212198</v>
      </c>
      <c r="I2862" s="35">
        <v>0.15559590385744493</v>
      </c>
      <c r="J2862" s="35">
        <v>1.0310657777861946E-4</v>
      </c>
      <c r="K2862" s="35">
        <v>-0.31170390752779659</v>
      </c>
      <c r="L2862" s="35">
        <v>-0.84160810532773633</v>
      </c>
      <c r="M2862" s="58" t="s">
        <v>24</v>
      </c>
      <c r="N2862" s="7">
        <v>11.333333333333334</v>
      </c>
      <c r="O2862" s="7" t="s">
        <v>180</v>
      </c>
      <c r="P2862" s="7" t="s">
        <v>180</v>
      </c>
    </row>
    <row r="2863" spans="1:16" x14ac:dyDescent="0.25">
      <c r="A2863" s="2" t="s">
        <v>183</v>
      </c>
      <c r="B2863" s="2" t="s">
        <v>203</v>
      </c>
      <c r="C2863" s="6" t="s">
        <v>150</v>
      </c>
      <c r="D2863" s="2" t="s">
        <v>118</v>
      </c>
      <c r="E2863" s="2"/>
      <c r="F2863" s="35">
        <v>5.3</v>
      </c>
      <c r="G2863" s="35">
        <v>51.040087684463309</v>
      </c>
      <c r="H2863" s="35">
        <v>-7.3646013647314517</v>
      </c>
      <c r="I2863" s="35">
        <v>-6.2999740742119947E-2</v>
      </c>
      <c r="J2863" s="35">
        <v>-7.4031251890811496E-5</v>
      </c>
      <c r="K2863" s="35">
        <v>-0.31170390752779609</v>
      </c>
      <c r="L2863" s="35">
        <v>-0.84181808837257122</v>
      </c>
      <c r="M2863" s="58" t="s">
        <v>24</v>
      </c>
      <c r="N2863" s="7">
        <v>11.333333333333334</v>
      </c>
      <c r="O2863" s="7" t="s">
        <v>180</v>
      </c>
      <c r="P2863" s="7" t="s">
        <v>180</v>
      </c>
    </row>
    <row r="2864" spans="1:16" x14ac:dyDescent="0.25">
      <c r="A2864" s="2" t="s">
        <v>183</v>
      </c>
      <c r="B2864" s="2" t="s">
        <v>203</v>
      </c>
      <c r="C2864" s="6" t="s">
        <v>150</v>
      </c>
      <c r="D2864" s="2" t="s">
        <v>118</v>
      </c>
      <c r="E2864" s="2"/>
      <c r="F2864" s="35">
        <v>5.4149169609489114</v>
      </c>
      <c r="G2864" s="35">
        <v>51.094828700578823</v>
      </c>
      <c r="H2864" s="35">
        <v>-7.3646013647314517</v>
      </c>
      <c r="I2864" s="35">
        <v>-6.2999740742119947E-2</v>
      </c>
      <c r="J2864" s="35">
        <v>-7.4031251890811496E-5</v>
      </c>
      <c r="K2864" s="35">
        <v>-0.3044641687811423</v>
      </c>
      <c r="L2864" s="35">
        <v>4.4995190625730886E-3</v>
      </c>
      <c r="M2864" s="58" t="s">
        <v>24</v>
      </c>
      <c r="N2864" s="7">
        <v>11.333333333333334</v>
      </c>
      <c r="O2864" s="7" t="s">
        <v>180</v>
      </c>
      <c r="P2864" s="7" t="s">
        <v>180</v>
      </c>
    </row>
    <row r="2865" spans="1:16" x14ac:dyDescent="0.25">
      <c r="A2865" s="2" t="s">
        <v>183</v>
      </c>
      <c r="B2865" s="2" t="s">
        <v>203</v>
      </c>
      <c r="C2865" s="6" t="s">
        <v>150</v>
      </c>
      <c r="D2865" s="2" t="s">
        <v>118</v>
      </c>
      <c r="E2865" s="2"/>
      <c r="F2865" s="35">
        <v>10.829833921897823</v>
      </c>
      <c r="G2865" s="35">
        <v>53.674239556694303</v>
      </c>
      <c r="H2865" s="35">
        <v>-7.3646013647314517</v>
      </c>
      <c r="I2865" s="35">
        <v>-6.2999740742119947E-2</v>
      </c>
      <c r="J2865" s="35">
        <v>-7.4031251890811496E-5</v>
      </c>
      <c r="K2865" s="35">
        <v>3.6674195898746972E-2</v>
      </c>
      <c r="L2865" s="35">
        <v>39.883204359574407</v>
      </c>
      <c r="M2865" s="58" t="s">
        <v>23</v>
      </c>
      <c r="N2865" s="7">
        <v>11.333333333333334</v>
      </c>
      <c r="O2865" s="7" t="s">
        <v>180</v>
      </c>
      <c r="P2865" s="7" t="s">
        <v>180</v>
      </c>
    </row>
    <row r="2866" spans="1:16" x14ac:dyDescent="0.25">
      <c r="A2866" s="2" t="s">
        <v>183</v>
      </c>
      <c r="B2866" s="2" t="s">
        <v>203</v>
      </c>
      <c r="C2866" s="6" t="s">
        <v>150</v>
      </c>
      <c r="D2866" s="2" t="s">
        <v>119</v>
      </c>
      <c r="E2866" s="2"/>
      <c r="F2866" s="35">
        <v>0</v>
      </c>
      <c r="G2866" s="35">
        <v>-60.733823145445847</v>
      </c>
      <c r="H2866" s="35">
        <v>-18.216809558289654</v>
      </c>
      <c r="I2866" s="35">
        <v>-0.65658890170356354</v>
      </c>
      <c r="J2866" s="35">
        <v>-3.2092386947598619E-4</v>
      </c>
      <c r="K2866" s="35">
        <v>-1.0035773876212069E-2</v>
      </c>
      <c r="L2866" s="35">
        <v>-102.25016217017115</v>
      </c>
      <c r="M2866" s="58" t="s">
        <v>22</v>
      </c>
      <c r="N2866" s="7">
        <v>11.333333333333334</v>
      </c>
      <c r="O2866" s="7" t="s">
        <v>180</v>
      </c>
      <c r="P2866" s="7" t="s">
        <v>180</v>
      </c>
    </row>
    <row r="2867" spans="1:16" x14ac:dyDescent="0.25">
      <c r="A2867" s="2" t="s">
        <v>183</v>
      </c>
      <c r="B2867" s="2" t="s">
        <v>203</v>
      </c>
      <c r="C2867" s="6" t="s">
        <v>150</v>
      </c>
      <c r="D2867" s="2" t="s">
        <v>119</v>
      </c>
      <c r="E2867" s="2"/>
      <c r="F2867" s="35">
        <v>0.29999999999999988</v>
      </c>
      <c r="G2867" s="35">
        <v>-60.590917305445842</v>
      </c>
      <c r="H2867" s="35">
        <v>-18.216809558289654</v>
      </c>
      <c r="I2867" s="35">
        <v>-0.65658890170356354</v>
      </c>
      <c r="J2867" s="35">
        <v>-3.2092386947598619E-4</v>
      </c>
      <c r="K2867" s="35">
        <v>0.18694089663485691</v>
      </c>
      <c r="L2867" s="35">
        <v>-96.785119302684265</v>
      </c>
      <c r="M2867" s="58" t="s">
        <v>22</v>
      </c>
      <c r="N2867" s="7">
        <v>11.333333333333334</v>
      </c>
      <c r="O2867" s="7" t="s">
        <v>180</v>
      </c>
      <c r="P2867" s="7" t="s">
        <v>180</v>
      </c>
    </row>
    <row r="2868" spans="1:16" x14ac:dyDescent="0.25">
      <c r="A2868" s="2" t="s">
        <v>183</v>
      </c>
      <c r="B2868" s="2" t="s">
        <v>203</v>
      </c>
      <c r="C2868" s="6" t="s">
        <v>150</v>
      </c>
      <c r="D2868" s="2" t="s">
        <v>119</v>
      </c>
      <c r="E2868" s="2"/>
      <c r="F2868" s="35">
        <v>0.29999999999999988</v>
      </c>
      <c r="G2868" s="35">
        <v>-47.815969406197766</v>
      </c>
      <c r="H2868" s="35">
        <v>-18.216809558289683</v>
      </c>
      <c r="I2868" s="35">
        <v>6.2933726220570682E-2</v>
      </c>
      <c r="J2868" s="35">
        <v>1.942812245795161E-4</v>
      </c>
      <c r="K2868" s="35">
        <v>0.18694089663485702</v>
      </c>
      <c r="L2868" s="35">
        <v>-96.785088390378647</v>
      </c>
      <c r="M2868" s="58" t="s">
        <v>22</v>
      </c>
      <c r="N2868" s="7">
        <v>11.333333333333334</v>
      </c>
      <c r="O2868" s="7" t="s">
        <v>180</v>
      </c>
      <c r="P2868" s="7" t="s">
        <v>180</v>
      </c>
    </row>
    <row r="2869" spans="1:16" x14ac:dyDescent="0.25">
      <c r="A2869" s="2" t="s">
        <v>183</v>
      </c>
      <c r="B2869" s="2" t="s">
        <v>203</v>
      </c>
      <c r="C2869" s="6" t="s">
        <v>150</v>
      </c>
      <c r="D2869" s="2" t="s">
        <v>119</v>
      </c>
      <c r="E2869" s="2"/>
      <c r="F2869" s="35">
        <v>5.3</v>
      </c>
      <c r="G2869" s="35">
        <v>-45.434205406197776</v>
      </c>
      <c r="H2869" s="35">
        <v>-18.216809558289683</v>
      </c>
      <c r="I2869" s="35">
        <v>6.2933726220570682E-2</v>
      </c>
      <c r="J2869" s="35">
        <v>1.942812245795161E-4</v>
      </c>
      <c r="K2869" s="35">
        <v>-0.12772773446799635</v>
      </c>
      <c r="L2869" s="35">
        <v>-5.701040598930244</v>
      </c>
      <c r="M2869" s="58" t="s">
        <v>24</v>
      </c>
      <c r="N2869" s="7">
        <v>11.333333333333334</v>
      </c>
      <c r="O2869" s="7" t="s">
        <v>180</v>
      </c>
      <c r="P2869" s="7" t="s">
        <v>180</v>
      </c>
    </row>
    <row r="2870" spans="1:16" x14ac:dyDescent="0.25">
      <c r="A2870" s="2" t="s">
        <v>183</v>
      </c>
      <c r="B2870" s="2" t="s">
        <v>203</v>
      </c>
      <c r="C2870" s="6" t="s">
        <v>150</v>
      </c>
      <c r="D2870" s="2" t="s">
        <v>119</v>
      </c>
      <c r="E2870" s="2"/>
      <c r="F2870" s="35">
        <v>5.3</v>
      </c>
      <c r="G2870" s="35">
        <v>-54.578142884282983</v>
      </c>
      <c r="H2870" s="35">
        <v>-18.216743687678068</v>
      </c>
      <c r="I2870" s="35">
        <v>-3.2413153553917717E-2</v>
      </c>
      <c r="J2870" s="35">
        <v>-1.9714581604110505E-4</v>
      </c>
      <c r="K2870" s="35">
        <v>-0.12772773446799637</v>
      </c>
      <c r="L2870" s="35">
        <v>-5.7015978116541897</v>
      </c>
      <c r="M2870" s="58" t="s">
        <v>24</v>
      </c>
      <c r="N2870" s="7">
        <v>11.333333333333334</v>
      </c>
      <c r="O2870" s="7" t="s">
        <v>180</v>
      </c>
      <c r="P2870" s="7" t="s">
        <v>180</v>
      </c>
    </row>
    <row r="2871" spans="1:16" x14ac:dyDescent="0.25">
      <c r="A2871" s="2" t="s">
        <v>183</v>
      </c>
      <c r="B2871" s="2" t="s">
        <v>203</v>
      </c>
      <c r="C2871" s="6" t="s">
        <v>150</v>
      </c>
      <c r="D2871" s="2" t="s">
        <v>119</v>
      </c>
      <c r="E2871" s="2"/>
      <c r="F2871" s="35">
        <v>5.4149169609489114</v>
      </c>
      <c r="G2871" s="35">
        <v>-54.523401868167468</v>
      </c>
      <c r="H2871" s="35">
        <v>-18.216743687678068</v>
      </c>
      <c r="I2871" s="35">
        <v>-3.2413153553917717E-2</v>
      </c>
      <c r="J2871" s="35">
        <v>-1.9714581604110505E-4</v>
      </c>
      <c r="K2871" s="35">
        <v>-0.12400291336680973</v>
      </c>
      <c r="L2871" s="35">
        <v>-3.6081849886809607</v>
      </c>
      <c r="M2871" s="58" t="s">
        <v>24</v>
      </c>
      <c r="N2871" s="7">
        <v>11.333333333333334</v>
      </c>
      <c r="O2871" s="7" t="s">
        <v>180</v>
      </c>
      <c r="P2871" s="7" t="s">
        <v>180</v>
      </c>
    </row>
    <row r="2872" spans="1:16" x14ac:dyDescent="0.25">
      <c r="A2872" s="2" t="s">
        <v>183</v>
      </c>
      <c r="B2872" s="2" t="s">
        <v>203</v>
      </c>
      <c r="C2872" s="6" t="s">
        <v>150</v>
      </c>
      <c r="D2872" s="2" t="s">
        <v>119</v>
      </c>
      <c r="E2872" s="2"/>
      <c r="F2872" s="35">
        <v>10.829833921897823</v>
      </c>
      <c r="G2872" s="35">
        <v>-51.943991012051981</v>
      </c>
      <c r="H2872" s="35">
        <v>-18.216743687678068</v>
      </c>
      <c r="I2872" s="35">
        <v>-3.2413153553917717E-2</v>
      </c>
      <c r="J2872" s="35">
        <v>-1.9714581604110505E-4</v>
      </c>
      <c r="K2872" s="35">
        <v>5.1511621570140727E-2</v>
      </c>
      <c r="L2872" s="35">
        <v>95.033969378985972</v>
      </c>
      <c r="M2872" s="58" t="s">
        <v>23</v>
      </c>
      <c r="N2872" s="7">
        <v>11.333333333333334</v>
      </c>
      <c r="O2872" s="7" t="s">
        <v>180</v>
      </c>
      <c r="P2872" s="7" t="s">
        <v>180</v>
      </c>
    </row>
    <row r="2873" spans="1:16" x14ac:dyDescent="0.25">
      <c r="A2873" s="2" t="s">
        <v>183</v>
      </c>
      <c r="B2873" s="2" t="s">
        <v>203</v>
      </c>
      <c r="C2873" s="6" t="s">
        <v>150</v>
      </c>
      <c r="D2873" s="2" t="s">
        <v>120</v>
      </c>
      <c r="E2873" s="2"/>
      <c r="F2873" s="35">
        <v>0</v>
      </c>
      <c r="G2873" s="35">
        <v>56.274343682616824</v>
      </c>
      <c r="H2873" s="35">
        <v>-5.0835278012354017</v>
      </c>
      <c r="I2873" s="35">
        <v>-3.1450267254147506</v>
      </c>
      <c r="J2873" s="35">
        <v>-3.8225517906144917E-4</v>
      </c>
      <c r="K2873" s="35">
        <v>-4.4500422484593978</v>
      </c>
      <c r="L2873" s="35">
        <v>-18.320569488868522</v>
      </c>
      <c r="M2873" s="58" t="s">
        <v>22</v>
      </c>
      <c r="N2873" s="7">
        <v>11.333333333333334</v>
      </c>
      <c r="O2873" s="7" t="s">
        <v>180</v>
      </c>
      <c r="P2873" s="7" t="s">
        <v>180</v>
      </c>
    </row>
    <row r="2874" spans="1:16" x14ac:dyDescent="0.25">
      <c r="A2874" s="2" t="s">
        <v>183</v>
      </c>
      <c r="B2874" s="2" t="s">
        <v>203</v>
      </c>
      <c r="C2874" s="6" t="s">
        <v>150</v>
      </c>
      <c r="D2874" s="2" t="s">
        <v>120</v>
      </c>
      <c r="E2874" s="2"/>
      <c r="F2874" s="35">
        <v>0.29999999999999988</v>
      </c>
      <c r="G2874" s="35">
        <v>56.417249522616814</v>
      </c>
      <c r="H2874" s="35">
        <v>-5.0835278012354017</v>
      </c>
      <c r="I2874" s="35">
        <v>-3.1450267254147506</v>
      </c>
      <c r="J2874" s="35">
        <v>-3.8225517906144917E-4</v>
      </c>
      <c r="K2874" s="35">
        <v>-3.5065342308349727</v>
      </c>
      <c r="L2874" s="35">
        <v>-16.795511148497905</v>
      </c>
      <c r="M2874" s="58" t="s">
        <v>22</v>
      </c>
      <c r="N2874" s="7">
        <v>11.333333333333334</v>
      </c>
      <c r="O2874" s="7" t="s">
        <v>180</v>
      </c>
      <c r="P2874" s="7" t="s">
        <v>180</v>
      </c>
    </row>
    <row r="2875" spans="1:16" x14ac:dyDescent="0.25">
      <c r="A2875" s="2" t="s">
        <v>183</v>
      </c>
      <c r="B2875" s="2" t="s">
        <v>203</v>
      </c>
      <c r="C2875" s="6" t="s">
        <v>150</v>
      </c>
      <c r="D2875" s="2" t="s">
        <v>120</v>
      </c>
      <c r="E2875" s="2"/>
      <c r="F2875" s="35">
        <v>0.29999999999999988</v>
      </c>
      <c r="G2875" s="35">
        <v>90.756101644600875</v>
      </c>
      <c r="H2875" s="35">
        <v>-5.0835278012354008</v>
      </c>
      <c r="I2875" s="35">
        <v>-1.1316698441264568</v>
      </c>
      <c r="J2875" s="35">
        <v>-2.1351374199328713E-4</v>
      </c>
      <c r="K2875" s="35">
        <v>-3.5065342308349732</v>
      </c>
      <c r="L2875" s="35">
        <v>-16.795501024011681</v>
      </c>
      <c r="M2875" s="58" t="s">
        <v>22</v>
      </c>
      <c r="N2875" s="7">
        <v>11.333333333333334</v>
      </c>
      <c r="O2875" s="7" t="s">
        <v>180</v>
      </c>
      <c r="P2875" s="7" t="s">
        <v>180</v>
      </c>
    </row>
    <row r="2876" spans="1:16" x14ac:dyDescent="0.25">
      <c r="A2876" s="2" t="s">
        <v>183</v>
      </c>
      <c r="B2876" s="2" t="s">
        <v>203</v>
      </c>
      <c r="C2876" s="6" t="s">
        <v>150</v>
      </c>
      <c r="D2876" s="2" t="s">
        <v>120</v>
      </c>
      <c r="E2876" s="2"/>
      <c r="F2876" s="35">
        <v>5.3</v>
      </c>
      <c r="G2876" s="35">
        <v>93.137865644600865</v>
      </c>
      <c r="H2876" s="35">
        <v>-5.0835278012354008</v>
      </c>
      <c r="I2876" s="35">
        <v>-1.1316698441264568</v>
      </c>
      <c r="J2876" s="35">
        <v>-2.1351374199328713E-4</v>
      </c>
      <c r="K2876" s="35">
        <v>2.1518149897973102</v>
      </c>
      <c r="L2876" s="35">
        <v>8.6221379821653166</v>
      </c>
      <c r="M2876" s="58" t="s">
        <v>24</v>
      </c>
      <c r="N2876" s="7">
        <v>11.333333333333334</v>
      </c>
      <c r="O2876" s="7" t="s">
        <v>180</v>
      </c>
      <c r="P2876" s="7" t="s">
        <v>180</v>
      </c>
    </row>
    <row r="2877" spans="1:16" x14ac:dyDescent="0.25">
      <c r="A2877" s="2" t="s">
        <v>183</v>
      </c>
      <c r="B2877" s="2" t="s">
        <v>203</v>
      </c>
      <c r="C2877" s="6" t="s">
        <v>150</v>
      </c>
      <c r="D2877" s="2" t="s">
        <v>120</v>
      </c>
      <c r="E2877" s="2"/>
      <c r="F2877" s="35">
        <v>5.3</v>
      </c>
      <c r="G2877" s="35">
        <v>67.269328348529754</v>
      </c>
      <c r="H2877" s="35">
        <v>-5.083535493997787</v>
      </c>
      <c r="I2877" s="35">
        <v>0.34564533734438313</v>
      </c>
      <c r="J2877" s="35">
        <v>-4.3414834302179958E-4</v>
      </c>
      <c r="K2877" s="35">
        <v>2.151814989797308</v>
      </c>
      <c r="L2877" s="35">
        <v>8.6216591558276274</v>
      </c>
      <c r="M2877" s="58" t="s">
        <v>24</v>
      </c>
      <c r="N2877" s="7">
        <v>11.333333333333334</v>
      </c>
      <c r="O2877" s="7" t="s">
        <v>180</v>
      </c>
      <c r="P2877" s="7" t="s">
        <v>180</v>
      </c>
    </row>
    <row r="2878" spans="1:16" x14ac:dyDescent="0.25">
      <c r="A2878" s="2" t="s">
        <v>183</v>
      </c>
      <c r="B2878" s="2" t="s">
        <v>203</v>
      </c>
      <c r="C2878" s="6" t="s">
        <v>150</v>
      </c>
      <c r="D2878" s="2" t="s">
        <v>120</v>
      </c>
      <c r="E2878" s="2"/>
      <c r="F2878" s="35">
        <v>5.4149169609489114</v>
      </c>
      <c r="G2878" s="35">
        <v>67.324069364645268</v>
      </c>
      <c r="H2878" s="35">
        <v>-5.083535493997787</v>
      </c>
      <c r="I2878" s="35">
        <v>0.34564533734438313</v>
      </c>
      <c r="J2878" s="35">
        <v>-4.3414834302179958E-4</v>
      </c>
      <c r="K2878" s="35">
        <v>2.11209447806353</v>
      </c>
      <c r="L2878" s="35">
        <v>9.2058436056737794</v>
      </c>
      <c r="M2878" s="58" t="s">
        <v>24</v>
      </c>
      <c r="N2878" s="7">
        <v>11.333333333333334</v>
      </c>
      <c r="O2878" s="7" t="s">
        <v>180</v>
      </c>
      <c r="P2878" s="7" t="s">
        <v>180</v>
      </c>
    </row>
    <row r="2879" spans="1:16" x14ac:dyDescent="0.25">
      <c r="A2879" s="2" t="s">
        <v>183</v>
      </c>
      <c r="B2879" s="2" t="s">
        <v>203</v>
      </c>
      <c r="C2879" s="6" t="s">
        <v>150</v>
      </c>
      <c r="D2879" s="2" t="s">
        <v>120</v>
      </c>
      <c r="E2879" s="2"/>
      <c r="F2879" s="35">
        <v>10.829833921897823</v>
      </c>
      <c r="G2879" s="35">
        <v>69.903480220760756</v>
      </c>
      <c r="H2879" s="35">
        <v>-5.083535493997787</v>
      </c>
      <c r="I2879" s="35">
        <v>0.34564533734438313</v>
      </c>
      <c r="J2879" s="35">
        <v>-4.3414834302179958E-4</v>
      </c>
      <c r="K2879" s="35">
        <v>0.24045367840452248</v>
      </c>
      <c r="L2879" s="35">
        <v>36.732766173708193</v>
      </c>
      <c r="M2879" s="58" t="s">
        <v>23</v>
      </c>
      <c r="N2879" s="7">
        <v>11.333333333333334</v>
      </c>
      <c r="O2879" s="7" t="s">
        <v>180</v>
      </c>
      <c r="P2879" s="7" t="s">
        <v>180</v>
      </c>
    </row>
    <row r="2880" spans="1:16" x14ac:dyDescent="0.25">
      <c r="A2880" s="2" t="s">
        <v>183</v>
      </c>
      <c r="B2880" s="2" t="s">
        <v>203</v>
      </c>
      <c r="C2880" s="6" t="s">
        <v>150</v>
      </c>
      <c r="D2880" s="2" t="s">
        <v>121</v>
      </c>
      <c r="E2880" s="2"/>
      <c r="F2880" s="35">
        <v>0</v>
      </c>
      <c r="G2880" s="35">
        <v>-24.837667099172943</v>
      </c>
      <c r="H2880" s="35">
        <v>-1.9650563068477194</v>
      </c>
      <c r="I2880" s="35">
        <v>-4.1654132518628915</v>
      </c>
      <c r="J2880" s="35">
        <v>-4.750139925643103E-4</v>
      </c>
      <c r="K2880" s="35">
        <v>-4.9755922085007205</v>
      </c>
      <c r="L2880" s="35">
        <v>-8.2619329102342451</v>
      </c>
      <c r="M2880" s="58" t="s">
        <v>22</v>
      </c>
      <c r="N2880" s="7">
        <v>11.333333333333334</v>
      </c>
      <c r="O2880" s="7" t="s">
        <v>180</v>
      </c>
      <c r="P2880" s="7" t="s">
        <v>180</v>
      </c>
    </row>
    <row r="2881" spans="1:16" x14ac:dyDescent="0.25">
      <c r="A2881" s="2" t="s">
        <v>183</v>
      </c>
      <c r="B2881" s="2" t="s">
        <v>203</v>
      </c>
      <c r="C2881" s="6" t="s">
        <v>150</v>
      </c>
      <c r="D2881" s="2" t="s">
        <v>121</v>
      </c>
      <c r="E2881" s="2"/>
      <c r="F2881" s="35">
        <v>0.29999999999999988</v>
      </c>
      <c r="G2881" s="35">
        <v>-24.69476125917295</v>
      </c>
      <c r="H2881" s="35">
        <v>-1.9650563068477194</v>
      </c>
      <c r="I2881" s="35">
        <v>-4.1654132518628915</v>
      </c>
      <c r="J2881" s="35">
        <v>-4.750139925643103E-4</v>
      </c>
      <c r="K2881" s="35">
        <v>-3.7259682329418538</v>
      </c>
      <c r="L2881" s="35">
        <v>-7.6724160181799288</v>
      </c>
      <c r="M2881" s="58" t="s">
        <v>22</v>
      </c>
      <c r="N2881" s="7">
        <v>11.333333333333334</v>
      </c>
      <c r="O2881" s="7" t="s">
        <v>180</v>
      </c>
      <c r="P2881" s="7" t="s">
        <v>180</v>
      </c>
    </row>
    <row r="2882" spans="1:16" x14ac:dyDescent="0.25">
      <c r="A2882" s="2" t="s">
        <v>183</v>
      </c>
      <c r="B2882" s="2" t="s">
        <v>203</v>
      </c>
      <c r="C2882" s="6" t="s">
        <v>150</v>
      </c>
      <c r="D2882" s="2" t="s">
        <v>121</v>
      </c>
      <c r="E2882" s="2"/>
      <c r="F2882" s="35">
        <v>0.29999999999999988</v>
      </c>
      <c r="G2882" s="35">
        <v>25.433107745208801</v>
      </c>
      <c r="H2882" s="35">
        <v>-1.9650563068477174</v>
      </c>
      <c r="I2882" s="35">
        <v>-1.2047153576307281</v>
      </c>
      <c r="J2882" s="35">
        <v>-3.0558845341562712E-4</v>
      </c>
      <c r="K2882" s="35">
        <v>-3.7259682329418609</v>
      </c>
      <c r="L2882" s="35">
        <v>-7.6724058526475822</v>
      </c>
      <c r="M2882" s="58" t="s">
        <v>22</v>
      </c>
      <c r="N2882" s="7">
        <v>11.333333333333334</v>
      </c>
      <c r="O2882" s="7" t="s">
        <v>180</v>
      </c>
      <c r="P2882" s="7" t="s">
        <v>180</v>
      </c>
    </row>
    <row r="2883" spans="1:16" x14ac:dyDescent="0.25">
      <c r="A2883" s="2" t="s">
        <v>183</v>
      </c>
      <c r="B2883" s="2" t="s">
        <v>203</v>
      </c>
      <c r="C2883" s="6" t="s">
        <v>150</v>
      </c>
      <c r="D2883" s="2" t="s">
        <v>121</v>
      </c>
      <c r="E2883" s="2"/>
      <c r="F2883" s="35">
        <v>5.3</v>
      </c>
      <c r="G2883" s="35">
        <v>27.814871745208798</v>
      </c>
      <c r="H2883" s="35">
        <v>-1.9650563068477174</v>
      </c>
      <c r="I2883" s="35">
        <v>-1.2047153576307281</v>
      </c>
      <c r="J2883" s="35">
        <v>-3.0558845341562712E-4</v>
      </c>
      <c r="K2883" s="35">
        <v>2.2976085552117782</v>
      </c>
      <c r="L2883" s="35">
        <v>2.1528756815910026</v>
      </c>
      <c r="M2883" s="58" t="s">
        <v>24</v>
      </c>
      <c r="N2883" s="7">
        <v>11.333333333333334</v>
      </c>
      <c r="O2883" s="7" t="s">
        <v>180</v>
      </c>
      <c r="P2883" s="7" t="s">
        <v>180</v>
      </c>
    </row>
    <row r="2884" spans="1:16" x14ac:dyDescent="0.25">
      <c r="A2884" s="2" t="s">
        <v>183</v>
      </c>
      <c r="B2884" s="2" t="s">
        <v>203</v>
      </c>
      <c r="C2884" s="6" t="s">
        <v>150</v>
      </c>
      <c r="D2884" s="2" t="s">
        <v>121</v>
      </c>
      <c r="E2884" s="2"/>
      <c r="F2884" s="35">
        <v>5.3</v>
      </c>
      <c r="G2884" s="35">
        <v>-12.561908650787224</v>
      </c>
      <c r="H2884" s="35">
        <v>-1.9650796911548971</v>
      </c>
      <c r="I2884" s="35">
        <v>0.36985445854371524</v>
      </c>
      <c r="J2884" s="35">
        <v>-3.7677809516261599E-4</v>
      </c>
      <c r="K2884" s="35">
        <v>2.2976085552117764</v>
      </c>
      <c r="L2884" s="35">
        <v>2.1525724597349778</v>
      </c>
      <c r="M2884" s="58" t="s">
        <v>24</v>
      </c>
      <c r="N2884" s="7">
        <v>11.333333333333334</v>
      </c>
      <c r="O2884" s="7" t="s">
        <v>180</v>
      </c>
      <c r="P2884" s="7" t="s">
        <v>180</v>
      </c>
    </row>
    <row r="2885" spans="1:16" x14ac:dyDescent="0.25">
      <c r="A2885" s="2" t="s">
        <v>183</v>
      </c>
      <c r="B2885" s="2" t="s">
        <v>203</v>
      </c>
      <c r="C2885" s="6" t="s">
        <v>150</v>
      </c>
      <c r="D2885" s="2" t="s">
        <v>121</v>
      </c>
      <c r="E2885" s="2"/>
      <c r="F2885" s="35">
        <v>5.4149169609489114</v>
      </c>
      <c r="G2885" s="35">
        <v>-12.507167634671712</v>
      </c>
      <c r="H2885" s="35">
        <v>-1.9650796911548971</v>
      </c>
      <c r="I2885" s="35">
        <v>0.36985445854371524</v>
      </c>
      <c r="J2885" s="35">
        <v>-3.7677809516261599E-4</v>
      </c>
      <c r="K2885" s="35">
        <v>2.2551060048425269</v>
      </c>
      <c r="L2885" s="35">
        <v>2.3783934458649245</v>
      </c>
      <c r="M2885" s="58" t="s">
        <v>24</v>
      </c>
      <c r="N2885" s="7">
        <v>11.333333333333334</v>
      </c>
      <c r="O2885" s="7" t="s">
        <v>180</v>
      </c>
      <c r="P2885" s="7" t="s">
        <v>180</v>
      </c>
    </row>
    <row r="2886" spans="1:16" x14ac:dyDescent="0.25">
      <c r="A2886" s="2" t="s">
        <v>183</v>
      </c>
      <c r="B2886" s="2" t="s">
        <v>203</v>
      </c>
      <c r="C2886" s="6" t="s">
        <v>150</v>
      </c>
      <c r="D2886" s="2" t="s">
        <v>121</v>
      </c>
      <c r="E2886" s="2"/>
      <c r="F2886" s="35">
        <v>10.829833921897823</v>
      </c>
      <c r="G2886" s="35">
        <v>-9.9277567785562262</v>
      </c>
      <c r="H2886" s="35">
        <v>-1.9650796911548971</v>
      </c>
      <c r="I2886" s="35">
        <v>0.36985445854371524</v>
      </c>
      <c r="J2886" s="35">
        <v>-3.7677809516261599E-4</v>
      </c>
      <c r="K2886" s="35">
        <v>0.25237482419158858</v>
      </c>
      <c r="L2886" s="35">
        <v>13.019136795115822</v>
      </c>
      <c r="M2886" s="58" t="s">
        <v>23</v>
      </c>
      <c r="N2886" s="7">
        <v>11.333333333333334</v>
      </c>
      <c r="O2886" s="7" t="s">
        <v>180</v>
      </c>
      <c r="P2886" s="7" t="s">
        <v>180</v>
      </c>
    </row>
    <row r="2887" spans="1:16" x14ac:dyDescent="0.25">
      <c r="A2887" s="2" t="s">
        <v>183</v>
      </c>
      <c r="B2887" s="2" t="s">
        <v>203</v>
      </c>
      <c r="C2887" s="6" t="s">
        <v>150</v>
      </c>
      <c r="D2887" s="2" t="s">
        <v>122</v>
      </c>
      <c r="E2887" s="2"/>
      <c r="F2887" s="35">
        <v>0</v>
      </c>
      <c r="G2887" s="35">
        <v>76.363418184821825</v>
      </c>
      <c r="H2887" s="35">
        <v>-4.1321671284698551</v>
      </c>
      <c r="I2887" s="35">
        <v>4.039130130560781</v>
      </c>
      <c r="J2887" s="35">
        <v>5.4260180291275319E-4</v>
      </c>
      <c r="K2887" s="35">
        <v>4.8134822019899941</v>
      </c>
      <c r="L2887" s="35">
        <v>-14.352252233702403</v>
      </c>
      <c r="M2887" s="58" t="s">
        <v>22</v>
      </c>
      <c r="N2887" s="7">
        <v>11.333333333333334</v>
      </c>
      <c r="O2887" s="7" t="s">
        <v>180</v>
      </c>
      <c r="P2887" s="7" t="s">
        <v>180</v>
      </c>
    </row>
    <row r="2888" spans="1:16" x14ac:dyDescent="0.25">
      <c r="A2888" s="2" t="s">
        <v>183</v>
      </c>
      <c r="B2888" s="2" t="s">
        <v>203</v>
      </c>
      <c r="C2888" s="6" t="s">
        <v>150</v>
      </c>
      <c r="D2888" s="2" t="s">
        <v>122</v>
      </c>
      <c r="E2888" s="2"/>
      <c r="F2888" s="35">
        <v>0.29999999999999988</v>
      </c>
      <c r="G2888" s="35">
        <v>76.506324024821822</v>
      </c>
      <c r="H2888" s="35">
        <v>-4.1321671284698551</v>
      </c>
      <c r="I2888" s="35">
        <v>4.039130130560781</v>
      </c>
      <c r="J2888" s="35">
        <v>5.4260180291275319E-4</v>
      </c>
      <c r="K2888" s="35">
        <v>3.6017431628217604</v>
      </c>
      <c r="L2888" s="35">
        <v>-13.112602095161446</v>
      </c>
      <c r="M2888" s="58" t="s">
        <v>22</v>
      </c>
      <c r="N2888" s="7">
        <v>11.333333333333334</v>
      </c>
      <c r="O2888" s="7" t="s">
        <v>180</v>
      </c>
      <c r="P2888" s="7" t="s">
        <v>180</v>
      </c>
    </row>
    <row r="2889" spans="1:16" x14ac:dyDescent="0.25">
      <c r="A2889" s="2" t="s">
        <v>183</v>
      </c>
      <c r="B2889" s="2" t="s">
        <v>203</v>
      </c>
      <c r="C2889" s="6" t="s">
        <v>150</v>
      </c>
      <c r="D2889" s="2" t="s">
        <v>122</v>
      </c>
      <c r="E2889" s="2"/>
      <c r="F2889" s="35">
        <v>0.29999999999999988</v>
      </c>
      <c r="G2889" s="35">
        <v>29.451555668788345</v>
      </c>
      <c r="H2889" s="35">
        <v>-4.1321671284698498</v>
      </c>
      <c r="I2889" s="35">
        <v>1.1688697831680446</v>
      </c>
      <c r="J2889" s="35">
        <v>4.3475628795528419E-4</v>
      </c>
      <c r="K2889" s="35">
        <v>3.6017431628217578</v>
      </c>
      <c r="L2889" s="35">
        <v>-13.112608565892339</v>
      </c>
      <c r="M2889" s="58" t="s">
        <v>22</v>
      </c>
      <c r="N2889" s="7">
        <v>11.333333333333334</v>
      </c>
      <c r="O2889" s="7" t="s">
        <v>180</v>
      </c>
      <c r="P2889" s="7" t="s">
        <v>180</v>
      </c>
    </row>
    <row r="2890" spans="1:16" x14ac:dyDescent="0.25">
      <c r="A2890" s="2" t="s">
        <v>183</v>
      </c>
      <c r="B2890" s="2" t="s">
        <v>203</v>
      </c>
      <c r="C2890" s="6" t="s">
        <v>150</v>
      </c>
      <c r="D2890" s="2" t="s">
        <v>122</v>
      </c>
      <c r="E2890" s="2"/>
      <c r="F2890" s="35">
        <v>5.3</v>
      </c>
      <c r="G2890" s="35">
        <v>31.833319668788342</v>
      </c>
      <c r="H2890" s="35">
        <v>-4.1321671284698498</v>
      </c>
      <c r="I2890" s="35">
        <v>1.1688697831680446</v>
      </c>
      <c r="J2890" s="35">
        <v>4.3475628795528419E-4</v>
      </c>
      <c r="K2890" s="35">
        <v>-2.2426057530184642</v>
      </c>
      <c r="L2890" s="35">
        <v>7.5482270764569055</v>
      </c>
      <c r="M2890" s="58" t="s">
        <v>24</v>
      </c>
      <c r="N2890" s="7">
        <v>11.333333333333334</v>
      </c>
      <c r="O2890" s="7" t="s">
        <v>180</v>
      </c>
      <c r="P2890" s="7" t="s">
        <v>180</v>
      </c>
    </row>
    <row r="2891" spans="1:16" x14ac:dyDescent="0.25">
      <c r="A2891" s="2" t="s">
        <v>183</v>
      </c>
      <c r="B2891" s="2" t="s">
        <v>203</v>
      </c>
      <c r="C2891" s="6" t="s">
        <v>150</v>
      </c>
      <c r="D2891" s="2" t="s">
        <v>122</v>
      </c>
      <c r="E2891" s="2"/>
      <c r="F2891" s="35">
        <v>5.3</v>
      </c>
      <c r="G2891" s="35">
        <v>75.3045430382478</v>
      </c>
      <c r="H2891" s="35">
        <v>-4.1321208253513584</v>
      </c>
      <c r="I2891" s="35">
        <v>-0.38323925506820133</v>
      </c>
      <c r="J2891" s="35">
        <v>2.487919092726087E-4</v>
      </c>
      <c r="K2891" s="35">
        <v>-2.2426057530184638</v>
      </c>
      <c r="L2891" s="35">
        <v>7.5481821511675946</v>
      </c>
      <c r="M2891" s="58" t="s">
        <v>24</v>
      </c>
      <c r="N2891" s="7">
        <v>11.333333333333334</v>
      </c>
      <c r="O2891" s="7" t="s">
        <v>180</v>
      </c>
      <c r="P2891" s="7" t="s">
        <v>180</v>
      </c>
    </row>
    <row r="2892" spans="1:16" x14ac:dyDescent="0.25">
      <c r="A2892" s="2" t="s">
        <v>183</v>
      </c>
      <c r="B2892" s="2" t="s">
        <v>203</v>
      </c>
      <c r="C2892" s="6" t="s">
        <v>150</v>
      </c>
      <c r="D2892" s="2" t="s">
        <v>122</v>
      </c>
      <c r="E2892" s="2"/>
      <c r="F2892" s="35">
        <v>5.4149169609489114</v>
      </c>
      <c r="G2892" s="35">
        <v>75.3592840543633</v>
      </c>
      <c r="H2892" s="35">
        <v>-4.1321208253513584</v>
      </c>
      <c r="I2892" s="35">
        <v>-0.38323925506820133</v>
      </c>
      <c r="J2892" s="35">
        <v>2.487919092726087E-4</v>
      </c>
      <c r="K2892" s="35">
        <v>-2.1985650625097013</v>
      </c>
      <c r="L2892" s="35">
        <v>8.0230329186906779</v>
      </c>
      <c r="M2892" s="58" t="s">
        <v>24</v>
      </c>
      <c r="N2892" s="7">
        <v>11.333333333333334</v>
      </c>
      <c r="O2892" s="7" t="s">
        <v>180</v>
      </c>
      <c r="P2892" s="7" t="s">
        <v>180</v>
      </c>
    </row>
    <row r="2893" spans="1:16" x14ac:dyDescent="0.25">
      <c r="A2893" s="2" t="s">
        <v>183</v>
      </c>
      <c r="B2893" s="2" t="s">
        <v>203</v>
      </c>
      <c r="C2893" s="6" t="s">
        <v>150</v>
      </c>
      <c r="D2893" s="2" t="s">
        <v>122</v>
      </c>
      <c r="E2893" s="2"/>
      <c r="F2893" s="35">
        <v>10.829833921897823</v>
      </c>
      <c r="G2893" s="35">
        <v>77.938694910478787</v>
      </c>
      <c r="H2893" s="35">
        <v>-4.1321208253513584</v>
      </c>
      <c r="I2893" s="35">
        <v>-0.38323925506820133</v>
      </c>
      <c r="J2893" s="35">
        <v>2.487919092726087E-4</v>
      </c>
      <c r="K2893" s="35">
        <v>-0.1233563201394723</v>
      </c>
      <c r="L2893" s="35">
        <v>30.39812406057596</v>
      </c>
      <c r="M2893" s="58" t="s">
        <v>23</v>
      </c>
      <c r="N2893" s="7">
        <v>11.333333333333334</v>
      </c>
      <c r="O2893" s="7" t="s">
        <v>180</v>
      </c>
      <c r="P2893" s="7" t="s">
        <v>180</v>
      </c>
    </row>
    <row r="2894" spans="1:16" x14ac:dyDescent="0.25">
      <c r="A2894" s="2" t="s">
        <v>183</v>
      </c>
      <c r="B2894" s="2" t="s">
        <v>203</v>
      </c>
      <c r="C2894" s="6" t="s">
        <v>150</v>
      </c>
      <c r="D2894" s="2" t="s">
        <v>123</v>
      </c>
      <c r="E2894" s="2"/>
      <c r="F2894" s="35">
        <v>0</v>
      </c>
      <c r="G2894" s="35">
        <v>-4.7583437193185807</v>
      </c>
      <c r="H2894" s="35">
        <v>-1.0151460271386905</v>
      </c>
      <c r="I2894" s="35">
        <v>3.0160957917829307</v>
      </c>
      <c r="J2894" s="35">
        <v>4.486841137745097E-4</v>
      </c>
      <c r="K2894" s="35">
        <v>4.2845455848816218</v>
      </c>
      <c r="L2894" s="35">
        <v>-4.2996607284397967</v>
      </c>
      <c r="M2894" s="58" t="s">
        <v>22</v>
      </c>
      <c r="N2894" s="7">
        <v>11.333333333333334</v>
      </c>
      <c r="O2894" s="7" t="s">
        <v>180</v>
      </c>
      <c r="P2894" s="7" t="s">
        <v>180</v>
      </c>
    </row>
    <row r="2895" spans="1:16" x14ac:dyDescent="0.25">
      <c r="A2895" s="2" t="s">
        <v>183</v>
      </c>
      <c r="B2895" s="2" t="s">
        <v>203</v>
      </c>
      <c r="C2895" s="6" t="s">
        <v>150</v>
      </c>
      <c r="D2895" s="2" t="s">
        <v>123</v>
      </c>
      <c r="E2895" s="2"/>
      <c r="F2895" s="35">
        <v>0.29999999999999988</v>
      </c>
      <c r="G2895" s="35">
        <v>-4.6154378793185886</v>
      </c>
      <c r="H2895" s="35">
        <v>-1.0151460271386905</v>
      </c>
      <c r="I2895" s="35">
        <v>3.0160957917829307</v>
      </c>
      <c r="J2895" s="35">
        <v>4.486841137745097E-4</v>
      </c>
      <c r="K2895" s="35">
        <v>3.3797168473467436</v>
      </c>
      <c r="L2895" s="35">
        <v>-3.9951169202981891</v>
      </c>
      <c r="M2895" s="58" t="s">
        <v>22</v>
      </c>
      <c r="N2895" s="7">
        <v>11.333333333333334</v>
      </c>
      <c r="O2895" s="7" t="s">
        <v>180</v>
      </c>
      <c r="P2895" s="7" t="s">
        <v>180</v>
      </c>
    </row>
    <row r="2896" spans="1:16" x14ac:dyDescent="0.25">
      <c r="A2896" s="2" t="s">
        <v>183</v>
      </c>
      <c r="B2896" s="2" t="s">
        <v>203</v>
      </c>
      <c r="C2896" s="6" t="s">
        <v>150</v>
      </c>
      <c r="D2896" s="2" t="s">
        <v>123</v>
      </c>
      <c r="E2896" s="2"/>
      <c r="F2896" s="35">
        <v>0.29999999999999988</v>
      </c>
      <c r="G2896" s="35">
        <v>-35.851017755950565</v>
      </c>
      <c r="H2896" s="35">
        <v>-1.0151460271386934</v>
      </c>
      <c r="I2896" s="35">
        <v>1.0949867531542652</v>
      </c>
      <c r="J2896" s="35">
        <v>3.419537916227014E-4</v>
      </c>
      <c r="K2896" s="35">
        <v>3.3797168473467454</v>
      </c>
      <c r="L2896" s="35">
        <v>-3.995123324117515</v>
      </c>
      <c r="M2896" s="58" t="s">
        <v>22</v>
      </c>
      <c r="N2896" s="7">
        <v>11.333333333333334</v>
      </c>
      <c r="O2896" s="7" t="s">
        <v>180</v>
      </c>
      <c r="P2896" s="7" t="s">
        <v>180</v>
      </c>
    </row>
    <row r="2897" spans="1:16" x14ac:dyDescent="0.25">
      <c r="A2897" s="2" t="s">
        <v>183</v>
      </c>
      <c r="B2897" s="2" t="s">
        <v>203</v>
      </c>
      <c r="C2897" s="6" t="s">
        <v>150</v>
      </c>
      <c r="D2897" s="2" t="s">
        <v>123</v>
      </c>
      <c r="E2897" s="2"/>
      <c r="F2897" s="35">
        <v>5.3</v>
      </c>
      <c r="G2897" s="35">
        <v>-33.469253755950575</v>
      </c>
      <c r="H2897" s="35">
        <v>-1.0151460271386934</v>
      </c>
      <c r="I2897" s="35">
        <v>1.0949867531542652</v>
      </c>
      <c r="J2897" s="35">
        <v>3.419537916227014E-4</v>
      </c>
      <c r="K2897" s="35">
        <v>-2.095216918424581</v>
      </c>
      <c r="L2897" s="35">
        <v>1.0806068115759508</v>
      </c>
      <c r="M2897" s="58" t="s">
        <v>24</v>
      </c>
      <c r="N2897" s="7">
        <v>11.333333333333334</v>
      </c>
      <c r="O2897" s="7" t="s">
        <v>180</v>
      </c>
      <c r="P2897" s="7" t="s">
        <v>180</v>
      </c>
    </row>
    <row r="2898" spans="1:16" x14ac:dyDescent="0.25">
      <c r="A2898" s="2" t="s">
        <v>183</v>
      </c>
      <c r="B2898" s="2" t="s">
        <v>203</v>
      </c>
      <c r="C2898" s="6" t="s">
        <v>150</v>
      </c>
      <c r="D2898" s="2" t="s">
        <v>123</v>
      </c>
      <c r="E2898" s="2"/>
      <c r="F2898" s="35">
        <v>5.3</v>
      </c>
      <c r="G2898" s="35">
        <v>-4.5319911406742017</v>
      </c>
      <c r="H2898" s="35">
        <v>-1.0151155056642647</v>
      </c>
      <c r="I2898" s="35">
        <v>-0.35876523770733421</v>
      </c>
      <c r="J2898" s="35">
        <v>3.0539334426216017E-4</v>
      </c>
      <c r="K2898" s="35">
        <v>-2.0952169184245806</v>
      </c>
      <c r="L2898" s="35">
        <v>1.080736845501213</v>
      </c>
      <c r="M2898" s="58" t="s">
        <v>24</v>
      </c>
      <c r="N2898" s="7">
        <v>11.333333333333334</v>
      </c>
      <c r="O2898" s="7" t="s">
        <v>180</v>
      </c>
      <c r="P2898" s="7" t="s">
        <v>180</v>
      </c>
    </row>
    <row r="2899" spans="1:16" x14ac:dyDescent="0.25">
      <c r="A2899" s="2" t="s">
        <v>183</v>
      </c>
      <c r="B2899" s="2" t="s">
        <v>203</v>
      </c>
      <c r="C2899" s="6" t="s">
        <v>150</v>
      </c>
      <c r="D2899" s="2" t="s">
        <v>123</v>
      </c>
      <c r="E2899" s="2"/>
      <c r="F2899" s="35">
        <v>5.4149169609489114</v>
      </c>
      <c r="G2899" s="35">
        <v>-4.4772501245586893</v>
      </c>
      <c r="H2899" s="35">
        <v>-1.0151155056642647</v>
      </c>
      <c r="I2899" s="35">
        <v>-0.35876523770733421</v>
      </c>
      <c r="J2899" s="35">
        <v>3.0539334426216017E-4</v>
      </c>
      <c r="K2899" s="35">
        <v>-2.05398870761314</v>
      </c>
      <c r="L2899" s="35">
        <v>1.1973908344242681</v>
      </c>
      <c r="M2899" s="58" t="s">
        <v>24</v>
      </c>
      <c r="N2899" s="7">
        <v>11.333333333333334</v>
      </c>
      <c r="O2899" s="7" t="s">
        <v>180</v>
      </c>
      <c r="P2899" s="7" t="s">
        <v>180</v>
      </c>
    </row>
    <row r="2900" spans="1:16" x14ac:dyDescent="0.25">
      <c r="A2900" s="2" t="s">
        <v>183</v>
      </c>
      <c r="B2900" s="2" t="s">
        <v>203</v>
      </c>
      <c r="C2900" s="6" t="s">
        <v>150</v>
      </c>
      <c r="D2900" s="2" t="s">
        <v>123</v>
      </c>
      <c r="E2900" s="2"/>
      <c r="F2900" s="35">
        <v>10.829833921897823</v>
      </c>
      <c r="G2900" s="35">
        <v>-1.8978392684432035</v>
      </c>
      <c r="H2900" s="35">
        <v>-1.0151155056642647</v>
      </c>
      <c r="I2900" s="35">
        <v>-0.35876523770733421</v>
      </c>
      <c r="J2900" s="35">
        <v>3.0539334426216017E-4</v>
      </c>
      <c r="K2900" s="35">
        <v>-0.11130473695282826</v>
      </c>
      <c r="L2900" s="35">
        <v>6.6941570033679216</v>
      </c>
      <c r="M2900" s="58" t="s">
        <v>23</v>
      </c>
      <c r="N2900" s="7">
        <v>11.333333333333334</v>
      </c>
      <c r="O2900" s="7" t="s">
        <v>180</v>
      </c>
      <c r="P2900" s="7" t="s">
        <v>180</v>
      </c>
    </row>
    <row r="2901" spans="1:16" x14ac:dyDescent="0.25">
      <c r="A2901" s="2" t="s">
        <v>183</v>
      </c>
      <c r="B2901" s="2" t="s">
        <v>203</v>
      </c>
      <c r="C2901" s="6" t="s">
        <v>150</v>
      </c>
      <c r="D2901" s="2" t="s">
        <v>124</v>
      </c>
      <c r="E2901" s="2"/>
      <c r="F2901" s="35">
        <v>0</v>
      </c>
      <c r="G2901" s="35">
        <v>66.76320568210572</v>
      </c>
      <c r="H2901" s="35">
        <v>1.4156375701896551</v>
      </c>
      <c r="I2901" s="35">
        <v>0.9560581334825472</v>
      </c>
      <c r="J2901" s="35">
        <v>2.5477532593294676E-4</v>
      </c>
      <c r="K2901" s="35">
        <v>0.83057454273820353</v>
      </c>
      <c r="L2901" s="35">
        <v>21.352489040775428</v>
      </c>
      <c r="M2901" s="58" t="s">
        <v>22</v>
      </c>
      <c r="N2901" s="7">
        <v>11.333333333333334</v>
      </c>
      <c r="O2901" s="7" t="s">
        <v>180</v>
      </c>
      <c r="P2901" s="7" t="s">
        <v>180</v>
      </c>
    </row>
    <row r="2902" spans="1:16" x14ac:dyDescent="0.25">
      <c r="A2902" s="2" t="s">
        <v>183</v>
      </c>
      <c r="B2902" s="2" t="s">
        <v>203</v>
      </c>
      <c r="C2902" s="6" t="s">
        <v>150</v>
      </c>
      <c r="D2902" s="2" t="s">
        <v>124</v>
      </c>
      <c r="E2902" s="2"/>
      <c r="F2902" s="35">
        <v>0.29999999999999988</v>
      </c>
      <c r="G2902" s="35">
        <v>66.906111522105718</v>
      </c>
      <c r="H2902" s="35">
        <v>1.4156375701896551</v>
      </c>
      <c r="I2902" s="35">
        <v>0.9560581334825472</v>
      </c>
      <c r="J2902" s="35">
        <v>2.5477532593294676E-4</v>
      </c>
      <c r="K2902" s="35">
        <v>0.54375710269343946</v>
      </c>
      <c r="L2902" s="35">
        <v>20.927797769718531</v>
      </c>
      <c r="M2902" s="58" t="s">
        <v>22</v>
      </c>
      <c r="N2902" s="7">
        <v>11.333333333333334</v>
      </c>
      <c r="O2902" s="7" t="s">
        <v>180</v>
      </c>
      <c r="P2902" s="7" t="s">
        <v>180</v>
      </c>
    </row>
    <row r="2903" spans="1:16" x14ac:dyDescent="0.25">
      <c r="A2903" s="2" t="s">
        <v>183</v>
      </c>
      <c r="B2903" s="2" t="s">
        <v>203</v>
      </c>
      <c r="C2903" s="6" t="s">
        <v>150</v>
      </c>
      <c r="D2903" s="2" t="s">
        <v>124</v>
      </c>
      <c r="E2903" s="2"/>
      <c r="F2903" s="35">
        <v>0.29999999999999988</v>
      </c>
      <c r="G2903" s="35">
        <v>54.774746547925744</v>
      </c>
      <c r="H2903" s="35">
        <v>1.4156375701896486</v>
      </c>
      <c r="I2903" s="35">
        <v>0.18120198900099202</v>
      </c>
      <c r="J2903" s="35">
        <v>5.9818373227774697E-5</v>
      </c>
      <c r="K2903" s="35">
        <v>0.54375710269344035</v>
      </c>
      <c r="L2903" s="35">
        <v>20.927786072301377</v>
      </c>
      <c r="M2903" s="58" t="s">
        <v>22</v>
      </c>
      <c r="N2903" s="7">
        <v>11.333333333333334</v>
      </c>
      <c r="O2903" s="7" t="s">
        <v>180</v>
      </c>
      <c r="P2903" s="7" t="s">
        <v>180</v>
      </c>
    </row>
    <row r="2904" spans="1:16" x14ac:dyDescent="0.25">
      <c r="A2904" s="2" t="s">
        <v>183</v>
      </c>
      <c r="B2904" s="2" t="s">
        <v>203</v>
      </c>
      <c r="C2904" s="6" t="s">
        <v>150</v>
      </c>
      <c r="D2904" s="2" t="s">
        <v>124</v>
      </c>
      <c r="E2904" s="2"/>
      <c r="F2904" s="35">
        <v>5.3</v>
      </c>
      <c r="G2904" s="35">
        <v>57.156510547925734</v>
      </c>
      <c r="H2904" s="35">
        <v>1.4156375701896486</v>
      </c>
      <c r="I2904" s="35">
        <v>0.18120198900099202</v>
      </c>
      <c r="J2904" s="35">
        <v>5.9818373227774697E-5</v>
      </c>
      <c r="K2904" s="35">
        <v>-0.36225284231151955</v>
      </c>
      <c r="L2904" s="35">
        <v>13.849598221353128</v>
      </c>
      <c r="M2904" s="58" t="s">
        <v>24</v>
      </c>
      <c r="N2904" s="7">
        <v>11.333333333333334</v>
      </c>
      <c r="O2904" s="7" t="s">
        <v>180</v>
      </c>
      <c r="P2904" s="7" t="s">
        <v>180</v>
      </c>
    </row>
    <row r="2905" spans="1:16" x14ac:dyDescent="0.25">
      <c r="A2905" s="2" t="s">
        <v>183</v>
      </c>
      <c r="B2905" s="2" t="s">
        <v>203</v>
      </c>
      <c r="C2905" s="6" t="s">
        <v>150</v>
      </c>
      <c r="D2905" s="2" t="s">
        <v>124</v>
      </c>
      <c r="E2905" s="2"/>
      <c r="F2905" s="35">
        <v>5.3</v>
      </c>
      <c r="G2905" s="35">
        <v>70.887969884334339</v>
      </c>
      <c r="H2905" s="35">
        <v>1.4156390634772162</v>
      </c>
      <c r="I2905" s="35">
        <v>-7.1393491084386487E-2</v>
      </c>
      <c r="J2905" s="35">
        <v>-5.9487242318778997E-5</v>
      </c>
      <c r="K2905" s="35">
        <v>-0.36225284231151955</v>
      </c>
      <c r="L2905" s="35">
        <v>13.849487136564717</v>
      </c>
      <c r="M2905" s="58" t="s">
        <v>24</v>
      </c>
      <c r="N2905" s="7">
        <v>11.333333333333334</v>
      </c>
      <c r="O2905" s="7" t="s">
        <v>180</v>
      </c>
      <c r="P2905" s="7" t="s">
        <v>180</v>
      </c>
    </row>
    <row r="2906" spans="1:16" x14ac:dyDescent="0.25">
      <c r="A2906" s="2" t="s">
        <v>183</v>
      </c>
      <c r="B2906" s="2" t="s">
        <v>203</v>
      </c>
      <c r="C2906" s="6" t="s">
        <v>150</v>
      </c>
      <c r="D2906" s="2" t="s">
        <v>124</v>
      </c>
      <c r="E2906" s="2"/>
      <c r="F2906" s="35">
        <v>5.4149169609489114</v>
      </c>
      <c r="G2906" s="35">
        <v>70.942710900449853</v>
      </c>
      <c r="H2906" s="35">
        <v>1.4156390634772162</v>
      </c>
      <c r="I2906" s="35">
        <v>-7.1393491084386487E-2</v>
      </c>
      <c r="J2906" s="35">
        <v>-5.9487242318778997E-5</v>
      </c>
      <c r="K2906" s="35">
        <v>-0.35404851928456876</v>
      </c>
      <c r="L2906" s="35">
        <v>13.686806197589354</v>
      </c>
      <c r="M2906" s="58" t="s">
        <v>24</v>
      </c>
      <c r="N2906" s="7">
        <v>11.333333333333334</v>
      </c>
      <c r="O2906" s="7" t="s">
        <v>180</v>
      </c>
      <c r="P2906" s="7" t="s">
        <v>180</v>
      </c>
    </row>
    <row r="2907" spans="1:16" x14ac:dyDescent="0.25">
      <c r="A2907" s="2" t="s">
        <v>183</v>
      </c>
      <c r="B2907" s="2" t="s">
        <v>203</v>
      </c>
      <c r="C2907" s="6" t="s">
        <v>150</v>
      </c>
      <c r="D2907" s="2" t="s">
        <v>124</v>
      </c>
      <c r="E2907" s="2"/>
      <c r="F2907" s="35">
        <v>10.829833921897823</v>
      </c>
      <c r="G2907" s="35">
        <v>73.52212175656534</v>
      </c>
      <c r="H2907" s="35">
        <v>1.4156390634772162</v>
      </c>
      <c r="I2907" s="35">
        <v>-7.1393491084386487E-2</v>
      </c>
      <c r="J2907" s="35">
        <v>-5.9487242318778997E-5</v>
      </c>
      <c r="K2907" s="35">
        <v>3.2541306489630391E-2</v>
      </c>
      <c r="L2907" s="35">
        <v>6.0212382221847456</v>
      </c>
      <c r="M2907" s="58" t="s">
        <v>23</v>
      </c>
      <c r="N2907" s="7">
        <v>11.333333333333334</v>
      </c>
      <c r="O2907" s="7" t="s">
        <v>180</v>
      </c>
      <c r="P2907" s="7" t="s">
        <v>180</v>
      </c>
    </row>
    <row r="2908" spans="1:16" x14ac:dyDescent="0.25">
      <c r="A2908" s="2" t="s">
        <v>183</v>
      </c>
      <c r="B2908" s="2" t="s">
        <v>203</v>
      </c>
      <c r="C2908" s="6" t="s">
        <v>150</v>
      </c>
      <c r="D2908" s="2" t="s">
        <v>125</v>
      </c>
      <c r="E2908" s="2"/>
      <c r="F2908" s="35">
        <v>0</v>
      </c>
      <c r="G2908" s="35">
        <v>-147.05511616719014</v>
      </c>
      <c r="H2908" s="35">
        <v>14.812411954181124</v>
      </c>
      <c r="I2908" s="35">
        <v>-1.4461406652495075</v>
      </c>
      <c r="J2908" s="35">
        <v>2.3307023438697968E-4</v>
      </c>
      <c r="K2908" s="35">
        <v>-0.18728467988633868</v>
      </c>
      <c r="L2908" s="35">
        <v>85.795754991844987</v>
      </c>
      <c r="M2908" s="58" t="s">
        <v>22</v>
      </c>
      <c r="N2908" s="7">
        <v>11.333333333333334</v>
      </c>
      <c r="O2908" s="7" t="s">
        <v>180</v>
      </c>
      <c r="P2908" s="7" t="s">
        <v>180</v>
      </c>
    </row>
    <row r="2909" spans="1:16" x14ac:dyDescent="0.25">
      <c r="A2909" s="2" t="s">
        <v>183</v>
      </c>
      <c r="B2909" s="2" t="s">
        <v>203</v>
      </c>
      <c r="C2909" s="6" t="s">
        <v>150</v>
      </c>
      <c r="D2909" s="2" t="s">
        <v>125</v>
      </c>
      <c r="E2909" s="2"/>
      <c r="F2909" s="35">
        <v>0.29999999999999988</v>
      </c>
      <c r="G2909" s="35">
        <v>-146.91221032719014</v>
      </c>
      <c r="H2909" s="35">
        <v>14.812411954181124</v>
      </c>
      <c r="I2909" s="35">
        <v>-1.4461406652495075</v>
      </c>
      <c r="J2909" s="35">
        <v>2.3307023438697968E-4</v>
      </c>
      <c r="K2909" s="35">
        <v>0.24655751968851336</v>
      </c>
      <c r="L2909" s="35">
        <v>81.352031405590665</v>
      </c>
      <c r="M2909" s="58" t="s">
        <v>22</v>
      </c>
      <c r="N2909" s="7">
        <v>11.333333333333334</v>
      </c>
      <c r="O2909" s="7" t="s">
        <v>180</v>
      </c>
      <c r="P2909" s="7" t="s">
        <v>180</v>
      </c>
    </row>
    <row r="2910" spans="1:16" x14ac:dyDescent="0.25">
      <c r="A2910" s="2" t="s">
        <v>183</v>
      </c>
      <c r="B2910" s="2" t="s">
        <v>203</v>
      </c>
      <c r="C2910" s="6" t="s">
        <v>150</v>
      </c>
      <c r="D2910" s="2" t="s">
        <v>125</v>
      </c>
      <c r="E2910" s="2"/>
      <c r="F2910" s="35">
        <v>0.29999999999999988</v>
      </c>
      <c r="G2910" s="35">
        <v>-120.6798004121093</v>
      </c>
      <c r="H2910" s="35">
        <v>14.812411954181108</v>
      </c>
      <c r="I2910" s="35">
        <v>8.0829683624589227E-2</v>
      </c>
      <c r="J2910" s="35">
        <v>-1.9966514474622241E-4</v>
      </c>
      <c r="K2910" s="35">
        <v>0.24655751968851305</v>
      </c>
      <c r="L2910" s="35">
        <v>81.352005441467867</v>
      </c>
      <c r="M2910" s="58" t="s">
        <v>22</v>
      </c>
      <c r="N2910" s="7">
        <v>11.333333333333334</v>
      </c>
      <c r="O2910" s="7" t="s">
        <v>180</v>
      </c>
      <c r="P2910" s="7" t="s">
        <v>180</v>
      </c>
    </row>
    <row r="2911" spans="1:16" x14ac:dyDescent="0.25">
      <c r="A2911" s="2" t="s">
        <v>183</v>
      </c>
      <c r="B2911" s="2" t="s">
        <v>203</v>
      </c>
      <c r="C2911" s="6" t="s">
        <v>150</v>
      </c>
      <c r="D2911" s="2" t="s">
        <v>125</v>
      </c>
      <c r="E2911" s="2"/>
      <c r="F2911" s="35">
        <v>5.3</v>
      </c>
      <c r="G2911" s="35">
        <v>-118.29803641210931</v>
      </c>
      <c r="H2911" s="35">
        <v>14.812411954181108</v>
      </c>
      <c r="I2911" s="35">
        <v>8.0829683624589227E-2</v>
      </c>
      <c r="J2911" s="35">
        <v>-1.9966514474622241E-4</v>
      </c>
      <c r="K2911" s="35">
        <v>-0.15759089843443294</v>
      </c>
      <c r="L2911" s="35">
        <v>7.2899456705623411</v>
      </c>
      <c r="M2911" s="58" t="s">
        <v>24</v>
      </c>
      <c r="N2911" s="7">
        <v>11.333333333333334</v>
      </c>
      <c r="O2911" s="7" t="s">
        <v>180</v>
      </c>
      <c r="P2911" s="7" t="s">
        <v>180</v>
      </c>
    </row>
    <row r="2912" spans="1:16" x14ac:dyDescent="0.25">
      <c r="A2912" s="2" t="s">
        <v>183</v>
      </c>
      <c r="B2912" s="2" t="s">
        <v>203</v>
      </c>
      <c r="C2912" s="6" t="s">
        <v>150</v>
      </c>
      <c r="D2912" s="2" t="s">
        <v>125</v>
      </c>
      <c r="E2912" s="2"/>
      <c r="F2912" s="35">
        <v>5.3</v>
      </c>
      <c r="G2912" s="35">
        <v>-140.00568578703556</v>
      </c>
      <c r="H2912" s="35">
        <v>14.812355343521919</v>
      </c>
      <c r="I2912" s="35">
        <v>-3.7391003685274496E-2</v>
      </c>
      <c r="J2912" s="35">
        <v>8.7925427858828427E-5</v>
      </c>
      <c r="K2912" s="35">
        <v>-0.15759089843443294</v>
      </c>
      <c r="L2912" s="35">
        <v>7.2903423510498691</v>
      </c>
      <c r="M2912" s="58" t="s">
        <v>24</v>
      </c>
      <c r="N2912" s="7">
        <v>11.333333333333334</v>
      </c>
      <c r="O2912" s="7" t="s">
        <v>180</v>
      </c>
      <c r="P2912" s="7" t="s">
        <v>180</v>
      </c>
    </row>
    <row r="2913" spans="1:16" x14ac:dyDescent="0.25">
      <c r="A2913" s="2" t="s">
        <v>183</v>
      </c>
      <c r="B2913" s="2" t="s">
        <v>203</v>
      </c>
      <c r="C2913" s="6" t="s">
        <v>150</v>
      </c>
      <c r="D2913" s="2" t="s">
        <v>125</v>
      </c>
      <c r="E2913" s="2"/>
      <c r="F2913" s="35">
        <v>5.4149169609489114</v>
      </c>
      <c r="G2913" s="35">
        <v>-139.95094477092007</v>
      </c>
      <c r="H2913" s="35">
        <v>14.812355343521919</v>
      </c>
      <c r="I2913" s="35">
        <v>-3.7391003685274496E-2</v>
      </c>
      <c r="J2913" s="35">
        <v>8.7925427858828427E-5</v>
      </c>
      <c r="K2913" s="35">
        <v>-0.15329403792409166</v>
      </c>
      <c r="L2913" s="35">
        <v>5.588151490476962</v>
      </c>
      <c r="M2913" s="58" t="s">
        <v>24</v>
      </c>
      <c r="N2913" s="7">
        <v>11.333333333333334</v>
      </c>
      <c r="O2913" s="7" t="s">
        <v>180</v>
      </c>
      <c r="P2913" s="7" t="s">
        <v>180</v>
      </c>
    </row>
    <row r="2914" spans="1:16" x14ac:dyDescent="0.25">
      <c r="A2914" s="2" t="s">
        <v>183</v>
      </c>
      <c r="B2914" s="2" t="s">
        <v>203</v>
      </c>
      <c r="C2914" s="6" t="s">
        <v>150</v>
      </c>
      <c r="D2914" s="2" t="s">
        <v>125</v>
      </c>
      <c r="E2914" s="2"/>
      <c r="F2914" s="35">
        <v>10.829833921897823</v>
      </c>
      <c r="G2914" s="35">
        <v>-137.37153391480456</v>
      </c>
      <c r="H2914" s="35">
        <v>14.812355343521919</v>
      </c>
      <c r="I2914" s="35">
        <v>-3.7391003685274496E-2</v>
      </c>
      <c r="J2914" s="35">
        <v>8.7925427858828427E-5</v>
      </c>
      <c r="K2914" s="35">
        <v>4.917514211820441E-2</v>
      </c>
      <c r="L2914" s="35">
        <v>-74.619522690762082</v>
      </c>
      <c r="M2914" s="58" t="s">
        <v>23</v>
      </c>
      <c r="N2914" s="7">
        <v>11.333333333333334</v>
      </c>
      <c r="O2914" s="7" t="s">
        <v>180</v>
      </c>
      <c r="P2914" s="7" t="s">
        <v>180</v>
      </c>
    </row>
    <row r="2915" spans="1:16" x14ac:dyDescent="0.25">
      <c r="A2915" s="2" t="s">
        <v>183</v>
      </c>
      <c r="B2915" s="2" t="s">
        <v>203</v>
      </c>
      <c r="C2915" s="6" t="s">
        <v>150</v>
      </c>
      <c r="D2915" s="2" t="s">
        <v>126</v>
      </c>
      <c r="E2915" s="2"/>
      <c r="F2915" s="35">
        <v>0</v>
      </c>
      <c r="G2915" s="35">
        <v>68.643570919347155</v>
      </c>
      <c r="H2915" s="35">
        <v>-8.5414771054968348</v>
      </c>
      <c r="I2915" s="35">
        <v>0.95536377388564619</v>
      </c>
      <c r="J2915" s="35">
        <v>-5.4200261980700388E-5</v>
      </c>
      <c r="K2915" s="35">
        <v>0.81073069987717472</v>
      </c>
      <c r="L2915" s="35">
        <v>-45.232052906549249</v>
      </c>
      <c r="M2915" s="58" t="s">
        <v>22</v>
      </c>
      <c r="N2915" s="7">
        <v>11.333333333333334</v>
      </c>
      <c r="O2915" s="7" t="s">
        <v>180</v>
      </c>
      <c r="P2915" s="7" t="s">
        <v>180</v>
      </c>
    </row>
    <row r="2916" spans="1:16" x14ac:dyDescent="0.25">
      <c r="A2916" s="2" t="s">
        <v>183</v>
      </c>
      <c r="B2916" s="2" t="s">
        <v>203</v>
      </c>
      <c r="C2916" s="6" t="s">
        <v>150</v>
      </c>
      <c r="D2916" s="2" t="s">
        <v>126</v>
      </c>
      <c r="E2916" s="2"/>
      <c r="F2916" s="35">
        <v>0.29999999999999988</v>
      </c>
      <c r="G2916" s="35">
        <v>68.786476759347153</v>
      </c>
      <c r="H2916" s="35">
        <v>-8.5414771054968348</v>
      </c>
      <c r="I2916" s="35">
        <v>0.95536377388564619</v>
      </c>
      <c r="J2916" s="35">
        <v>-5.4200261980700388E-5</v>
      </c>
      <c r="K2916" s="35">
        <v>0.52412156771148111</v>
      </c>
      <c r="L2916" s="35">
        <v>-42.669609774900195</v>
      </c>
      <c r="M2916" s="58" t="s">
        <v>22</v>
      </c>
      <c r="N2916" s="7">
        <v>11.333333333333334</v>
      </c>
      <c r="O2916" s="7" t="s">
        <v>180</v>
      </c>
      <c r="P2916" s="7" t="s">
        <v>180</v>
      </c>
    </row>
    <row r="2917" spans="1:16" x14ac:dyDescent="0.25">
      <c r="A2917" s="2" t="s">
        <v>183</v>
      </c>
      <c r="B2917" s="2" t="s">
        <v>203</v>
      </c>
      <c r="C2917" s="6" t="s">
        <v>150</v>
      </c>
      <c r="D2917" s="2" t="s">
        <v>126</v>
      </c>
      <c r="E2917" s="2"/>
      <c r="F2917" s="35">
        <v>0.29999999999999988</v>
      </c>
      <c r="G2917" s="35">
        <v>56.561066418157388</v>
      </c>
      <c r="H2917" s="35">
        <v>-8.5414771054968313</v>
      </c>
      <c r="I2917" s="35">
        <v>0.17486490738351135</v>
      </c>
      <c r="J2917" s="35">
        <v>1.284337829285131E-4</v>
      </c>
      <c r="K2917" s="35">
        <v>0.52412156771148199</v>
      </c>
      <c r="L2917" s="35">
        <v>-42.669598816857494</v>
      </c>
      <c r="M2917" s="58" t="s">
        <v>22</v>
      </c>
      <c r="N2917" s="7">
        <v>11.333333333333334</v>
      </c>
      <c r="O2917" s="7" t="s">
        <v>180</v>
      </c>
      <c r="P2917" s="7" t="s">
        <v>180</v>
      </c>
    </row>
    <row r="2918" spans="1:16" x14ac:dyDescent="0.25">
      <c r="A2918" s="2" t="s">
        <v>183</v>
      </c>
      <c r="B2918" s="2" t="s">
        <v>203</v>
      </c>
      <c r="C2918" s="6" t="s">
        <v>150</v>
      </c>
      <c r="D2918" s="2" t="s">
        <v>126</v>
      </c>
      <c r="E2918" s="2"/>
      <c r="F2918" s="35">
        <v>5.3</v>
      </c>
      <c r="G2918" s="35">
        <v>58.942830418157378</v>
      </c>
      <c r="H2918" s="35">
        <v>-8.5414771054968313</v>
      </c>
      <c r="I2918" s="35">
        <v>0.17486490738351135</v>
      </c>
      <c r="J2918" s="35">
        <v>1.284337829285131E-4</v>
      </c>
      <c r="K2918" s="35">
        <v>-0.35020296920607463</v>
      </c>
      <c r="L2918" s="35">
        <v>3.7786710626667358E-2</v>
      </c>
      <c r="M2918" s="58" t="s">
        <v>24</v>
      </c>
      <c r="N2918" s="7">
        <v>11.333333333333334</v>
      </c>
      <c r="O2918" s="7" t="s">
        <v>180</v>
      </c>
      <c r="P2918" s="7" t="s">
        <v>180</v>
      </c>
    </row>
    <row r="2919" spans="1:16" x14ac:dyDescent="0.25">
      <c r="A2919" s="2" t="s">
        <v>183</v>
      </c>
      <c r="B2919" s="2" t="s">
        <v>203</v>
      </c>
      <c r="C2919" s="6" t="s">
        <v>150</v>
      </c>
      <c r="D2919" s="2" t="s">
        <v>126</v>
      </c>
      <c r="E2919" s="2"/>
      <c r="F2919" s="35">
        <v>5.3</v>
      </c>
      <c r="G2919" s="35">
        <v>72.781974180838475</v>
      </c>
      <c r="H2919" s="35">
        <v>-8.5414387852980695</v>
      </c>
      <c r="I2919" s="35">
        <v>-6.9393190229050106E-2</v>
      </c>
      <c r="J2919" s="35">
        <v>-8.7933033920348165E-5</v>
      </c>
      <c r="K2919" s="35">
        <v>-0.35020296920607397</v>
      </c>
      <c r="L2919" s="35">
        <v>3.7530228057539083E-2</v>
      </c>
      <c r="M2919" s="58" t="s">
        <v>24</v>
      </c>
      <c r="N2919" s="7">
        <v>11.333333333333334</v>
      </c>
      <c r="O2919" s="7" t="s">
        <v>180</v>
      </c>
      <c r="P2919" s="7" t="s">
        <v>180</v>
      </c>
    </row>
    <row r="2920" spans="1:16" x14ac:dyDescent="0.25">
      <c r="A2920" s="2" t="s">
        <v>183</v>
      </c>
      <c r="B2920" s="2" t="s">
        <v>203</v>
      </c>
      <c r="C2920" s="6" t="s">
        <v>150</v>
      </c>
      <c r="D2920" s="2" t="s">
        <v>126</v>
      </c>
      <c r="E2920" s="2"/>
      <c r="F2920" s="35">
        <v>5.4149169609489114</v>
      </c>
      <c r="G2920" s="35">
        <v>72.836715196953989</v>
      </c>
      <c r="H2920" s="35">
        <v>-8.5414387852980695</v>
      </c>
      <c r="I2920" s="35">
        <v>-6.9393190229050106E-2</v>
      </c>
      <c r="J2920" s="35">
        <v>-8.7933033920348165E-5</v>
      </c>
      <c r="K2920" s="35">
        <v>-0.34222851467440185</v>
      </c>
      <c r="L2920" s="35">
        <v>1.0190864153951553</v>
      </c>
      <c r="M2920" s="58" t="s">
        <v>24</v>
      </c>
      <c r="N2920" s="7">
        <v>11.333333333333334</v>
      </c>
      <c r="O2920" s="7" t="s">
        <v>180</v>
      </c>
      <c r="P2920" s="7" t="s">
        <v>180</v>
      </c>
    </row>
    <row r="2921" spans="1:16" x14ac:dyDescent="0.25">
      <c r="A2921" s="2" t="s">
        <v>183</v>
      </c>
      <c r="B2921" s="2" t="s">
        <v>203</v>
      </c>
      <c r="C2921" s="6" t="s">
        <v>150</v>
      </c>
      <c r="D2921" s="2" t="s">
        <v>126</v>
      </c>
      <c r="E2921" s="2"/>
      <c r="F2921" s="35">
        <v>10.829833921897823</v>
      </c>
      <c r="G2921" s="35">
        <v>75.416126053069476</v>
      </c>
      <c r="H2921" s="35">
        <v>-8.5414387852980695</v>
      </c>
      <c r="I2921" s="35">
        <v>-6.9393190229050106E-2</v>
      </c>
      <c r="J2921" s="35">
        <v>-8.7933033920348165E-5</v>
      </c>
      <c r="K2921" s="35">
        <v>3.3529848071235706E-2</v>
      </c>
      <c r="L2921" s="35">
        <v>47.270268164812521</v>
      </c>
      <c r="M2921" s="58" t="s">
        <v>23</v>
      </c>
      <c r="N2921" s="7">
        <v>11.333333333333334</v>
      </c>
      <c r="O2921" s="7" t="s">
        <v>180</v>
      </c>
      <c r="P2921" s="7" t="s">
        <v>180</v>
      </c>
    </row>
    <row r="2922" spans="1:16" x14ac:dyDescent="0.25">
      <c r="A2922" s="2" t="s">
        <v>183</v>
      </c>
      <c r="B2922" s="2" t="s">
        <v>203</v>
      </c>
      <c r="C2922" s="6" t="s">
        <v>150</v>
      </c>
      <c r="D2922" s="2" t="s">
        <v>127</v>
      </c>
      <c r="E2922" s="2"/>
      <c r="F2922" s="35">
        <v>0</v>
      </c>
      <c r="G2922" s="35">
        <v>-50.565272957957447</v>
      </c>
      <c r="H2922" s="35">
        <v>-20.599449724683982</v>
      </c>
      <c r="I2922" s="35">
        <v>-0.5292055651078279</v>
      </c>
      <c r="J2922" s="35">
        <v>-3.4045092948282936E-4</v>
      </c>
      <c r="K2922" s="35">
        <v>5.4987992485165754E-2</v>
      </c>
      <c r="L2922" s="35">
        <v>-114.5387004789272</v>
      </c>
      <c r="M2922" s="58" t="s">
        <v>22</v>
      </c>
      <c r="N2922" s="7">
        <v>11.333333333333334</v>
      </c>
      <c r="O2922" s="7" t="s">
        <v>180</v>
      </c>
      <c r="P2922" s="7" t="s">
        <v>180</v>
      </c>
    </row>
    <row r="2923" spans="1:16" x14ac:dyDescent="0.25">
      <c r="A2923" s="2" t="s">
        <v>183</v>
      </c>
      <c r="B2923" s="2" t="s">
        <v>203</v>
      </c>
      <c r="C2923" s="6" t="s">
        <v>150</v>
      </c>
      <c r="D2923" s="2" t="s">
        <v>127</v>
      </c>
      <c r="E2923" s="2"/>
      <c r="F2923" s="35">
        <v>0.29999999999999988</v>
      </c>
      <c r="G2923" s="35">
        <v>-50.422367117957457</v>
      </c>
      <c r="H2923" s="35">
        <v>-20.599449724683982</v>
      </c>
      <c r="I2923" s="35">
        <v>-0.5292055651078279</v>
      </c>
      <c r="J2923" s="35">
        <v>-3.4045092948282936E-4</v>
      </c>
      <c r="K2923" s="35">
        <v>0.21374966201751405</v>
      </c>
      <c r="L2923" s="35">
        <v>-108.35886556152201</v>
      </c>
      <c r="M2923" s="58" t="s">
        <v>22</v>
      </c>
      <c r="N2923" s="7">
        <v>11.333333333333334</v>
      </c>
      <c r="O2923" s="7" t="s">
        <v>180</v>
      </c>
      <c r="P2923" s="7" t="s">
        <v>180</v>
      </c>
    </row>
    <row r="2924" spans="1:16" x14ac:dyDescent="0.25">
      <c r="A2924" s="2" t="s">
        <v>183</v>
      </c>
      <c r="B2924" s="2" t="s">
        <v>203</v>
      </c>
      <c r="C2924" s="6" t="s">
        <v>150</v>
      </c>
      <c r="D2924" s="2" t="s">
        <v>127</v>
      </c>
      <c r="E2924" s="2"/>
      <c r="F2924" s="35">
        <v>0.29999999999999988</v>
      </c>
      <c r="G2924" s="35">
        <v>-39.620921395123993</v>
      </c>
      <c r="H2924" s="35">
        <v>-20.599449724684007</v>
      </c>
      <c r="I2924" s="35">
        <v>7.1906932231428827E-2</v>
      </c>
      <c r="J2924" s="35">
        <v>2.2973894604062041E-4</v>
      </c>
      <c r="K2924" s="35">
        <v>0.21374966201751425</v>
      </c>
      <c r="L2924" s="35">
        <v>-108.35883135012951</v>
      </c>
      <c r="M2924" s="58" t="s">
        <v>22</v>
      </c>
      <c r="N2924" s="7">
        <v>11.333333333333334</v>
      </c>
      <c r="O2924" s="7" t="s">
        <v>180</v>
      </c>
      <c r="P2924" s="7" t="s">
        <v>180</v>
      </c>
    </row>
    <row r="2925" spans="1:16" x14ac:dyDescent="0.25">
      <c r="A2925" s="2" t="s">
        <v>183</v>
      </c>
      <c r="B2925" s="2" t="s">
        <v>203</v>
      </c>
      <c r="C2925" s="6" t="s">
        <v>150</v>
      </c>
      <c r="D2925" s="2" t="s">
        <v>127</v>
      </c>
      <c r="E2925" s="2"/>
      <c r="F2925" s="35">
        <v>5.3</v>
      </c>
      <c r="G2925" s="35">
        <v>-37.239157395123996</v>
      </c>
      <c r="H2925" s="35">
        <v>-20.599449724684007</v>
      </c>
      <c r="I2925" s="35">
        <v>7.1906932231428827E-2</v>
      </c>
      <c r="J2925" s="35">
        <v>2.2973894604062041E-4</v>
      </c>
      <c r="K2925" s="35">
        <v>-0.14578499913962989</v>
      </c>
      <c r="L2925" s="35">
        <v>-5.3615827267094529</v>
      </c>
      <c r="M2925" s="58" t="s">
        <v>24</v>
      </c>
      <c r="N2925" s="7">
        <v>11.333333333333334</v>
      </c>
      <c r="O2925" s="7" t="s">
        <v>180</v>
      </c>
      <c r="P2925" s="7" t="s">
        <v>180</v>
      </c>
    </row>
    <row r="2926" spans="1:16" x14ac:dyDescent="0.25">
      <c r="A2926" s="2" t="s">
        <v>183</v>
      </c>
      <c r="B2926" s="2" t="s">
        <v>203</v>
      </c>
      <c r="C2926" s="6" t="s">
        <v>150</v>
      </c>
      <c r="D2926" s="2" t="s">
        <v>127</v>
      </c>
      <c r="E2926" s="2"/>
      <c r="F2926" s="35">
        <v>5.3</v>
      </c>
      <c r="G2926" s="35">
        <v>-44.571615339990736</v>
      </c>
      <c r="H2926" s="35">
        <v>-20.599374699683192</v>
      </c>
      <c r="I2926" s="35">
        <v>-3.5408093353269852E-2</v>
      </c>
      <c r="J2926" s="35">
        <v>-2.2472699408734097E-4</v>
      </c>
      <c r="K2926" s="35">
        <v>-0.14578499913962992</v>
      </c>
      <c r="L2926" s="35">
        <v>-5.3622250200331489</v>
      </c>
      <c r="M2926" s="58" t="s">
        <v>24</v>
      </c>
      <c r="N2926" s="7">
        <v>11.333333333333334</v>
      </c>
      <c r="O2926" s="7" t="s">
        <v>180</v>
      </c>
      <c r="P2926" s="7" t="s">
        <v>180</v>
      </c>
    </row>
    <row r="2927" spans="1:16" x14ac:dyDescent="0.25">
      <c r="A2927" s="2" t="s">
        <v>183</v>
      </c>
      <c r="B2927" s="2" t="s">
        <v>203</v>
      </c>
      <c r="C2927" s="6" t="s">
        <v>150</v>
      </c>
      <c r="D2927" s="2" t="s">
        <v>127</v>
      </c>
      <c r="E2927" s="2"/>
      <c r="F2927" s="35">
        <v>5.4149169609489114</v>
      </c>
      <c r="G2927" s="35">
        <v>-44.516874323875221</v>
      </c>
      <c r="H2927" s="35">
        <v>-20.599374699683192</v>
      </c>
      <c r="I2927" s="35">
        <v>-3.5408093353269852E-2</v>
      </c>
      <c r="J2927" s="35">
        <v>-2.2472699408734097E-4</v>
      </c>
      <c r="K2927" s="35">
        <v>-0.14171600865847678</v>
      </c>
      <c r="L2927" s="35">
        <v>-2.9950074820976602</v>
      </c>
      <c r="M2927" s="58" t="s">
        <v>24</v>
      </c>
      <c r="N2927" s="7">
        <v>11.333333333333334</v>
      </c>
      <c r="O2927" s="7" t="s">
        <v>180</v>
      </c>
      <c r="P2927" s="7" t="s">
        <v>180</v>
      </c>
    </row>
    <row r="2928" spans="1:16" x14ac:dyDescent="0.25">
      <c r="A2928" s="2" t="s">
        <v>183</v>
      </c>
      <c r="B2928" s="2" t="s">
        <v>203</v>
      </c>
      <c r="C2928" s="6" t="s">
        <v>150</v>
      </c>
      <c r="D2928" s="2" t="s">
        <v>127</v>
      </c>
      <c r="E2928" s="2"/>
      <c r="F2928" s="35">
        <v>10.829833921897823</v>
      </c>
      <c r="G2928" s="35">
        <v>-41.937463467759734</v>
      </c>
      <c r="H2928" s="35">
        <v>-20.599374699683192</v>
      </c>
      <c r="I2928" s="35">
        <v>-3.5408093353269852E-2</v>
      </c>
      <c r="J2928" s="35">
        <v>-2.2472699408734097E-4</v>
      </c>
      <c r="K2928" s="35">
        <v>5.0015876595006545E-2</v>
      </c>
      <c r="L2928" s="35">
        <v>108.54889596415872</v>
      </c>
      <c r="M2928" s="58" t="s">
        <v>23</v>
      </c>
      <c r="N2928" s="7">
        <v>11.333333333333334</v>
      </c>
      <c r="O2928" s="7" t="s">
        <v>180</v>
      </c>
      <c r="P2928" s="7" t="s">
        <v>180</v>
      </c>
    </row>
    <row r="2929" spans="1:16" x14ac:dyDescent="0.25">
      <c r="A2929" s="2" t="s">
        <v>183</v>
      </c>
      <c r="B2929" s="2" t="s">
        <v>204</v>
      </c>
      <c r="C2929" s="6" t="s">
        <v>151</v>
      </c>
      <c r="D2929" s="2" t="s">
        <v>105</v>
      </c>
      <c r="E2929" s="2"/>
      <c r="F2929" s="35">
        <v>0</v>
      </c>
      <c r="G2929" s="35">
        <v>-100.88452362983401</v>
      </c>
      <c r="H2929" s="35">
        <v>-1.7984417317741306</v>
      </c>
      <c r="I2929" s="35">
        <v>-1.2733228351813224</v>
      </c>
      <c r="J2929" s="35">
        <v>9.5446456926598765E-5</v>
      </c>
      <c r="K2929" s="35">
        <v>-0.41133799128242815</v>
      </c>
      <c r="L2929" s="35">
        <v>-4.2697822779446479</v>
      </c>
      <c r="M2929" s="58" t="s">
        <v>22</v>
      </c>
      <c r="N2929" s="7">
        <v>11.333333333333334</v>
      </c>
      <c r="O2929" s="7" t="s">
        <v>180</v>
      </c>
      <c r="P2929" s="7" t="s">
        <v>180</v>
      </c>
    </row>
    <row r="2930" spans="1:16" x14ac:dyDescent="0.25">
      <c r="A2930" s="2" t="s">
        <v>183</v>
      </c>
      <c r="B2930" s="2" t="s">
        <v>204</v>
      </c>
      <c r="C2930" s="6" t="s">
        <v>151</v>
      </c>
      <c r="D2930" s="2" t="s">
        <v>105</v>
      </c>
      <c r="E2930" s="2"/>
      <c r="F2930" s="35">
        <v>0.29999999999999988</v>
      </c>
      <c r="G2930" s="35">
        <v>-100.74161778983401</v>
      </c>
      <c r="H2930" s="35">
        <v>-1.7984417317741306</v>
      </c>
      <c r="I2930" s="35">
        <v>-1.2733228351813224</v>
      </c>
      <c r="J2930" s="35">
        <v>9.5446456926598765E-5</v>
      </c>
      <c r="K2930" s="35">
        <v>-2.9341140728031557E-2</v>
      </c>
      <c r="L2930" s="35">
        <v>-3.7302497584124081</v>
      </c>
      <c r="M2930" s="58" t="s">
        <v>22</v>
      </c>
      <c r="N2930" s="7">
        <v>11.333333333333334</v>
      </c>
      <c r="O2930" s="7" t="s">
        <v>180</v>
      </c>
      <c r="P2930" s="7" t="s">
        <v>180</v>
      </c>
    </row>
    <row r="2931" spans="1:16" x14ac:dyDescent="0.25">
      <c r="A2931" s="2" t="s">
        <v>183</v>
      </c>
      <c r="B2931" s="2" t="s">
        <v>204</v>
      </c>
      <c r="C2931" s="6" t="s">
        <v>151</v>
      </c>
      <c r="D2931" s="2" t="s">
        <v>105</v>
      </c>
      <c r="E2931" s="2"/>
      <c r="F2931" s="35">
        <v>0.29999999999999988</v>
      </c>
      <c r="G2931" s="35">
        <v>-78.884966261604674</v>
      </c>
      <c r="H2931" s="35">
        <v>-1.7984417317741297</v>
      </c>
      <c r="I2931" s="35">
        <v>-8.8979895183204458E-3</v>
      </c>
      <c r="J2931" s="35">
        <v>7.8203139746847147E-5</v>
      </c>
      <c r="K2931" s="35">
        <v>-2.9341140728031768E-2</v>
      </c>
      <c r="L2931" s="35">
        <v>-3.7302507930114381</v>
      </c>
      <c r="M2931" s="58" t="s">
        <v>22</v>
      </c>
      <c r="N2931" s="7">
        <v>11.333333333333334</v>
      </c>
      <c r="O2931" s="7" t="s">
        <v>180</v>
      </c>
      <c r="P2931" s="7" t="s">
        <v>180</v>
      </c>
    </row>
    <row r="2932" spans="1:16" x14ac:dyDescent="0.25">
      <c r="A2932" s="2" t="s">
        <v>183</v>
      </c>
      <c r="B2932" s="2" t="s">
        <v>204</v>
      </c>
      <c r="C2932" s="6" t="s">
        <v>151</v>
      </c>
      <c r="D2932" s="2" t="s">
        <v>105</v>
      </c>
      <c r="E2932" s="2"/>
      <c r="F2932" s="35">
        <v>5.3</v>
      </c>
      <c r="G2932" s="35">
        <v>-76.50320226160467</v>
      </c>
      <c r="H2932" s="35">
        <v>-1.7984417317741297</v>
      </c>
      <c r="I2932" s="35">
        <v>-8.8979895183204458E-3</v>
      </c>
      <c r="J2932" s="35">
        <v>7.8203139746847147E-5</v>
      </c>
      <c r="K2932" s="35">
        <v>1.5148806863570461E-2</v>
      </c>
      <c r="L2932" s="35">
        <v>5.261957865859209</v>
      </c>
      <c r="M2932" s="58" t="s">
        <v>24</v>
      </c>
      <c r="N2932" s="7">
        <v>11.333333333333334</v>
      </c>
      <c r="O2932" s="7" t="s">
        <v>180</v>
      </c>
      <c r="P2932" s="7" t="s">
        <v>180</v>
      </c>
    </row>
    <row r="2933" spans="1:16" x14ac:dyDescent="0.25">
      <c r="A2933" s="2" t="s">
        <v>183</v>
      </c>
      <c r="B2933" s="2" t="s">
        <v>204</v>
      </c>
      <c r="C2933" s="6" t="s">
        <v>151</v>
      </c>
      <c r="D2933" s="2" t="s">
        <v>105</v>
      </c>
      <c r="E2933" s="2"/>
      <c r="F2933" s="35">
        <v>5.3</v>
      </c>
      <c r="G2933" s="35">
        <v>-93.899717275470906</v>
      </c>
      <c r="H2933" s="35">
        <v>-1.7984320031285881</v>
      </c>
      <c r="I2933" s="35">
        <v>-8.7265204012053534E-3</v>
      </c>
      <c r="J2933" s="35">
        <v>-2.3901287454198564E-5</v>
      </c>
      <c r="K2933" s="35">
        <v>1.514880686357052E-2</v>
      </c>
      <c r="L2933" s="35">
        <v>5.2618398543084197</v>
      </c>
      <c r="M2933" s="58" t="s">
        <v>24</v>
      </c>
      <c r="N2933" s="7">
        <v>11.333333333333334</v>
      </c>
      <c r="O2933" s="7" t="s">
        <v>180</v>
      </c>
      <c r="P2933" s="7" t="s">
        <v>180</v>
      </c>
    </row>
    <row r="2934" spans="1:16" x14ac:dyDescent="0.25">
      <c r="A2934" s="2" t="s">
        <v>183</v>
      </c>
      <c r="B2934" s="2" t="s">
        <v>204</v>
      </c>
      <c r="C2934" s="6" t="s">
        <v>151</v>
      </c>
      <c r="D2934" s="2" t="s">
        <v>105</v>
      </c>
      <c r="E2934" s="2"/>
      <c r="F2934" s="35">
        <v>5.4149169609489114</v>
      </c>
      <c r="G2934" s="35">
        <v>-93.844976259355391</v>
      </c>
      <c r="H2934" s="35">
        <v>-1.7984320031285881</v>
      </c>
      <c r="I2934" s="35">
        <v>-8.7265204012053534E-3</v>
      </c>
      <c r="J2934" s="35">
        <v>-2.3901287454198564E-5</v>
      </c>
      <c r="K2934" s="35">
        <v>1.6151632067735719E-2</v>
      </c>
      <c r="L2934" s="35">
        <v>5.4685101945812198</v>
      </c>
      <c r="M2934" s="58" t="s">
        <v>24</v>
      </c>
      <c r="N2934" s="7">
        <v>11.333333333333334</v>
      </c>
      <c r="O2934" s="7" t="s">
        <v>180</v>
      </c>
      <c r="P2934" s="7" t="s">
        <v>180</v>
      </c>
    </row>
    <row r="2935" spans="1:16" x14ac:dyDescent="0.25">
      <c r="A2935" s="2" t="s">
        <v>183</v>
      </c>
      <c r="B2935" s="2" t="s">
        <v>204</v>
      </c>
      <c r="C2935" s="6" t="s">
        <v>151</v>
      </c>
      <c r="D2935" s="2" t="s">
        <v>105</v>
      </c>
      <c r="E2935" s="2"/>
      <c r="F2935" s="35">
        <v>10.829833921897823</v>
      </c>
      <c r="G2935" s="35">
        <v>-91.265565403239904</v>
      </c>
      <c r="H2935" s="35">
        <v>-1.7984320031285881</v>
      </c>
      <c r="I2935" s="35">
        <v>-8.7265204012053534E-3</v>
      </c>
      <c r="J2935" s="35">
        <v>-2.3901287454198564E-5</v>
      </c>
      <c r="K2935" s="35">
        <v>6.3405015398289286E-2</v>
      </c>
      <c r="L2935" s="35">
        <v>15.206870151435535</v>
      </c>
      <c r="M2935" s="58" t="s">
        <v>23</v>
      </c>
      <c r="N2935" s="7">
        <v>11.333333333333334</v>
      </c>
      <c r="O2935" s="7" t="s">
        <v>180</v>
      </c>
      <c r="P2935" s="7" t="s">
        <v>180</v>
      </c>
    </row>
    <row r="2936" spans="1:16" x14ac:dyDescent="0.25">
      <c r="A2936" s="2" t="s">
        <v>183</v>
      </c>
      <c r="B2936" s="2" t="s">
        <v>204</v>
      </c>
      <c r="C2936" s="6" t="s">
        <v>151</v>
      </c>
      <c r="D2936" s="2" t="s">
        <v>15</v>
      </c>
      <c r="E2936" s="2"/>
      <c r="F2936" s="35">
        <v>0</v>
      </c>
      <c r="G2936" s="35">
        <v>107.54570069115572</v>
      </c>
      <c r="H2936" s="35">
        <v>6.5075425090170542</v>
      </c>
      <c r="I2936" s="35">
        <v>-2.6522555729724671</v>
      </c>
      <c r="J2936" s="35">
        <v>3.1653528063215754E-4</v>
      </c>
      <c r="K2936" s="35">
        <v>-4.3168630857781478</v>
      </c>
      <c r="L2936" s="35">
        <v>22.368656417353133</v>
      </c>
      <c r="M2936" s="58" t="s">
        <v>22</v>
      </c>
      <c r="N2936" s="7">
        <v>11.333333333333334</v>
      </c>
      <c r="O2936" s="7" t="s">
        <v>180</v>
      </c>
      <c r="P2936" s="7" t="s">
        <v>180</v>
      </c>
    </row>
    <row r="2937" spans="1:16" x14ac:dyDescent="0.25">
      <c r="A2937" s="2" t="s">
        <v>183</v>
      </c>
      <c r="B2937" s="2" t="s">
        <v>204</v>
      </c>
      <c r="C2937" s="6" t="s">
        <v>151</v>
      </c>
      <c r="D2937" s="2" t="s">
        <v>15</v>
      </c>
      <c r="E2937" s="2"/>
      <c r="F2937" s="35">
        <v>0.29999999999999988</v>
      </c>
      <c r="G2937" s="35">
        <v>107.68860653115573</v>
      </c>
      <c r="H2937" s="35">
        <v>6.5075425090170542</v>
      </c>
      <c r="I2937" s="35">
        <v>-2.6522555729724671</v>
      </c>
      <c r="J2937" s="35">
        <v>3.1653528063215754E-4</v>
      </c>
      <c r="K2937" s="35">
        <v>-3.521186413886408</v>
      </c>
      <c r="L2937" s="35">
        <v>20.41639366464802</v>
      </c>
      <c r="M2937" s="58" t="s">
        <v>22</v>
      </c>
      <c r="N2937" s="7">
        <v>11.333333333333334</v>
      </c>
      <c r="O2937" s="7" t="s">
        <v>180</v>
      </c>
      <c r="P2937" s="7" t="s">
        <v>180</v>
      </c>
    </row>
    <row r="2938" spans="1:16" x14ac:dyDescent="0.25">
      <c r="A2938" s="2" t="s">
        <v>183</v>
      </c>
      <c r="B2938" s="2" t="s">
        <v>204</v>
      </c>
      <c r="C2938" s="6" t="s">
        <v>151</v>
      </c>
      <c r="D2938" s="2" t="s">
        <v>15</v>
      </c>
      <c r="E2938" s="2"/>
      <c r="F2938" s="35">
        <v>0.29999999999999988</v>
      </c>
      <c r="G2938" s="35">
        <v>133.75531453324189</v>
      </c>
      <c r="H2938" s="35">
        <v>6.5075425090170631</v>
      </c>
      <c r="I2938" s="35">
        <v>-1.1352273388780396</v>
      </c>
      <c r="J2938" s="35">
        <v>1.572681803423563E-4</v>
      </c>
      <c r="K2938" s="35">
        <v>-3.5211864138864106</v>
      </c>
      <c r="L2938" s="35">
        <v>20.416384108621994</v>
      </c>
      <c r="M2938" s="58" t="s">
        <v>22</v>
      </c>
      <c r="N2938" s="7">
        <v>11.333333333333334</v>
      </c>
      <c r="O2938" s="7" t="s">
        <v>180</v>
      </c>
      <c r="P2938" s="7" t="s">
        <v>180</v>
      </c>
    </row>
    <row r="2939" spans="1:16" x14ac:dyDescent="0.25">
      <c r="A2939" s="2" t="s">
        <v>183</v>
      </c>
      <c r="B2939" s="2" t="s">
        <v>204</v>
      </c>
      <c r="C2939" s="6" t="s">
        <v>151</v>
      </c>
      <c r="D2939" s="2" t="s">
        <v>15</v>
      </c>
      <c r="E2939" s="2"/>
      <c r="F2939" s="35">
        <v>5.3</v>
      </c>
      <c r="G2939" s="35">
        <v>136.13707853324189</v>
      </c>
      <c r="H2939" s="35">
        <v>6.5075425090170631</v>
      </c>
      <c r="I2939" s="35">
        <v>-1.1352273388780396</v>
      </c>
      <c r="J2939" s="35">
        <v>1.572681803423563E-4</v>
      </c>
      <c r="K2939" s="35">
        <v>2.1549502805037863</v>
      </c>
      <c r="L2939" s="35">
        <v>-12.121328436463315</v>
      </c>
      <c r="M2939" s="58" t="s">
        <v>24</v>
      </c>
      <c r="N2939" s="7">
        <v>11.333333333333334</v>
      </c>
      <c r="O2939" s="7" t="s">
        <v>180</v>
      </c>
      <c r="P2939" s="7" t="s">
        <v>180</v>
      </c>
    </row>
    <row r="2940" spans="1:16" x14ac:dyDescent="0.25">
      <c r="A2940" s="2" t="s">
        <v>183</v>
      </c>
      <c r="B2940" s="2" t="s">
        <v>204</v>
      </c>
      <c r="C2940" s="6" t="s">
        <v>151</v>
      </c>
      <c r="D2940" s="2" t="s">
        <v>15</v>
      </c>
      <c r="E2940" s="2"/>
      <c r="F2940" s="35">
        <v>5.3</v>
      </c>
      <c r="G2940" s="35">
        <v>117.97421308189233</v>
      </c>
      <c r="H2940" s="35">
        <v>6.5075424976495455</v>
      </c>
      <c r="I2940" s="35">
        <v>0.34615195598076409</v>
      </c>
      <c r="J2940" s="35">
        <v>4.5145361477549385E-4</v>
      </c>
      <c r="K2940" s="35">
        <v>2.1549502805037877</v>
      </c>
      <c r="L2940" s="35">
        <v>-12.120770315500323</v>
      </c>
      <c r="M2940" s="58" t="s">
        <v>24</v>
      </c>
      <c r="N2940" s="7">
        <v>11.333333333333334</v>
      </c>
      <c r="O2940" s="7" t="s">
        <v>180</v>
      </c>
      <c r="P2940" s="7" t="s">
        <v>180</v>
      </c>
    </row>
    <row r="2941" spans="1:16" x14ac:dyDescent="0.25">
      <c r="A2941" s="2" t="s">
        <v>183</v>
      </c>
      <c r="B2941" s="2" t="s">
        <v>204</v>
      </c>
      <c r="C2941" s="6" t="s">
        <v>151</v>
      </c>
      <c r="D2941" s="2" t="s">
        <v>15</v>
      </c>
      <c r="E2941" s="2"/>
      <c r="F2941" s="35">
        <v>5.4149169609489114</v>
      </c>
      <c r="G2941" s="35">
        <v>118.02895409800782</v>
      </c>
      <c r="H2941" s="35">
        <v>6.5075424976495455</v>
      </c>
      <c r="I2941" s="35">
        <v>0.34615195598076409</v>
      </c>
      <c r="J2941" s="35">
        <v>4.5145361477549385E-4</v>
      </c>
      <c r="K2941" s="35">
        <v>2.1151715496959569</v>
      </c>
      <c r="L2941" s="35">
        <v>-12.868597322576097</v>
      </c>
      <c r="M2941" s="58" t="s">
        <v>24</v>
      </c>
      <c r="N2941" s="7">
        <v>11.333333333333334</v>
      </c>
      <c r="O2941" s="7" t="s">
        <v>180</v>
      </c>
      <c r="P2941" s="7" t="s">
        <v>180</v>
      </c>
    </row>
    <row r="2942" spans="1:16" x14ac:dyDescent="0.25">
      <c r="A2942" s="2" t="s">
        <v>183</v>
      </c>
      <c r="B2942" s="2" t="s">
        <v>204</v>
      </c>
      <c r="C2942" s="6" t="s">
        <v>151</v>
      </c>
      <c r="D2942" s="2" t="s">
        <v>15</v>
      </c>
      <c r="E2942" s="2"/>
      <c r="F2942" s="35">
        <v>10.829833921897823</v>
      </c>
      <c r="G2942" s="35">
        <v>120.60836495412333</v>
      </c>
      <c r="H2942" s="35">
        <v>6.5075424976495455</v>
      </c>
      <c r="I2942" s="35">
        <v>0.34615195598076409</v>
      </c>
      <c r="J2942" s="35">
        <v>4.5145361477549385E-4</v>
      </c>
      <c r="K2942" s="35">
        <v>0.24078745219007661</v>
      </c>
      <c r="L2942" s="35">
        <v>-48.106399567194451</v>
      </c>
      <c r="M2942" s="58" t="s">
        <v>23</v>
      </c>
      <c r="N2942" s="7">
        <v>11.333333333333334</v>
      </c>
      <c r="O2942" s="7" t="s">
        <v>180</v>
      </c>
      <c r="P2942" s="7" t="s">
        <v>180</v>
      </c>
    </row>
    <row r="2943" spans="1:16" x14ac:dyDescent="0.25">
      <c r="A2943" s="2" t="s">
        <v>183</v>
      </c>
      <c r="B2943" s="2" t="s">
        <v>204</v>
      </c>
      <c r="C2943" s="6" t="s">
        <v>151</v>
      </c>
      <c r="D2943" s="2" t="s">
        <v>16</v>
      </c>
      <c r="E2943" s="2"/>
      <c r="F2943" s="35">
        <v>0</v>
      </c>
      <c r="G2943" s="35">
        <v>26.396231590247258</v>
      </c>
      <c r="H2943" s="35">
        <v>3.3829853330913386</v>
      </c>
      <c r="I2943" s="35">
        <v>-3.6871508282149392</v>
      </c>
      <c r="J2943" s="35">
        <v>4.0348358425872869E-4</v>
      </c>
      <c r="K2943" s="35">
        <v>-4.8623904208128508</v>
      </c>
      <c r="L2943" s="35">
        <v>12.270996370437992</v>
      </c>
      <c r="M2943" s="58" t="s">
        <v>22</v>
      </c>
      <c r="N2943" s="7">
        <v>11.333333333333334</v>
      </c>
      <c r="O2943" s="7" t="s">
        <v>180</v>
      </c>
      <c r="P2943" s="7" t="s">
        <v>180</v>
      </c>
    </row>
    <row r="2944" spans="1:16" x14ac:dyDescent="0.25">
      <c r="A2944" s="2" t="s">
        <v>183</v>
      </c>
      <c r="B2944" s="2" t="s">
        <v>204</v>
      </c>
      <c r="C2944" s="6" t="s">
        <v>151</v>
      </c>
      <c r="D2944" s="2" t="s">
        <v>16</v>
      </c>
      <c r="E2944" s="2"/>
      <c r="F2944" s="35">
        <v>0.29999999999999988</v>
      </c>
      <c r="G2944" s="35">
        <v>26.539137430247262</v>
      </c>
      <c r="H2944" s="35">
        <v>3.3829853330913386</v>
      </c>
      <c r="I2944" s="35">
        <v>-3.6871508282149392</v>
      </c>
      <c r="J2944" s="35">
        <v>4.0348358425872869E-4</v>
      </c>
      <c r="K2944" s="35">
        <v>-3.7562451723483687</v>
      </c>
      <c r="L2944" s="35">
        <v>11.25610077051059</v>
      </c>
      <c r="M2944" s="58" t="s">
        <v>22</v>
      </c>
      <c r="N2944" s="7">
        <v>11.333333333333334</v>
      </c>
      <c r="O2944" s="7" t="s">
        <v>180</v>
      </c>
      <c r="P2944" s="7" t="s">
        <v>180</v>
      </c>
    </row>
    <row r="2945" spans="1:16" x14ac:dyDescent="0.25">
      <c r="A2945" s="2" t="s">
        <v>183</v>
      </c>
      <c r="B2945" s="2" t="s">
        <v>204</v>
      </c>
      <c r="C2945" s="6" t="s">
        <v>151</v>
      </c>
      <c r="D2945" s="2" t="s">
        <v>16</v>
      </c>
      <c r="E2945" s="2"/>
      <c r="F2945" s="35">
        <v>0.29999999999999988</v>
      </c>
      <c r="G2945" s="35">
        <v>68.554749828783287</v>
      </c>
      <c r="H2945" s="35">
        <v>3.3829853330913262</v>
      </c>
      <c r="I2945" s="35">
        <v>-1.2131883303335294</v>
      </c>
      <c r="J2945" s="35">
        <v>2.456390883111059E-4</v>
      </c>
      <c r="K2945" s="35">
        <v>-3.7562451723483701</v>
      </c>
      <c r="L2945" s="35">
        <v>11.256091299840829</v>
      </c>
      <c r="M2945" s="58" t="s">
        <v>22</v>
      </c>
      <c r="N2945" s="7">
        <v>11.333333333333334</v>
      </c>
      <c r="O2945" s="7" t="s">
        <v>180</v>
      </c>
      <c r="P2945" s="7" t="s">
        <v>180</v>
      </c>
    </row>
    <row r="2946" spans="1:16" x14ac:dyDescent="0.25">
      <c r="A2946" s="2" t="s">
        <v>183</v>
      </c>
      <c r="B2946" s="2" t="s">
        <v>204</v>
      </c>
      <c r="C2946" s="6" t="s">
        <v>151</v>
      </c>
      <c r="D2946" s="2" t="s">
        <v>16</v>
      </c>
      <c r="E2946" s="2"/>
      <c r="F2946" s="35">
        <v>5.3</v>
      </c>
      <c r="G2946" s="35">
        <v>70.936513828783276</v>
      </c>
      <c r="H2946" s="35">
        <v>3.3829853330913262</v>
      </c>
      <c r="I2946" s="35">
        <v>-1.2131883303335294</v>
      </c>
      <c r="J2946" s="35">
        <v>2.456390883111059E-4</v>
      </c>
      <c r="K2946" s="35">
        <v>2.3096964793192756</v>
      </c>
      <c r="L2946" s="35">
        <v>-5.6588353656158006</v>
      </c>
      <c r="M2946" s="58" t="s">
        <v>24</v>
      </c>
      <c r="N2946" s="7">
        <v>11.333333333333334</v>
      </c>
      <c r="O2946" s="7" t="s">
        <v>180</v>
      </c>
      <c r="P2946" s="7" t="s">
        <v>180</v>
      </c>
    </row>
    <row r="2947" spans="1:16" x14ac:dyDescent="0.25">
      <c r="A2947" s="2" t="s">
        <v>183</v>
      </c>
      <c r="B2947" s="2" t="s">
        <v>204</v>
      </c>
      <c r="C2947" s="6" t="s">
        <v>151</v>
      </c>
      <c r="D2947" s="2" t="s">
        <v>16</v>
      </c>
      <c r="E2947" s="2"/>
      <c r="F2947" s="35">
        <v>5.3</v>
      </c>
      <c r="G2947" s="35">
        <v>38.130084126650715</v>
      </c>
      <c r="H2947" s="35">
        <v>3.3830007917485729</v>
      </c>
      <c r="I2947" s="35">
        <v>0.37184476949834705</v>
      </c>
      <c r="J2947" s="35">
        <v>3.9015063375103795E-4</v>
      </c>
      <c r="K2947" s="35">
        <v>2.3096964793192747</v>
      </c>
      <c r="L2947" s="35">
        <v>-5.6584568278167025</v>
      </c>
      <c r="M2947" s="58" t="s">
        <v>24</v>
      </c>
      <c r="N2947" s="7">
        <v>11.333333333333334</v>
      </c>
      <c r="O2947" s="7" t="s">
        <v>180</v>
      </c>
      <c r="P2947" s="7" t="s">
        <v>180</v>
      </c>
    </row>
    <row r="2948" spans="1:16" x14ac:dyDescent="0.25">
      <c r="A2948" s="2" t="s">
        <v>183</v>
      </c>
      <c r="B2948" s="2" t="s">
        <v>204</v>
      </c>
      <c r="C2948" s="6" t="s">
        <v>151</v>
      </c>
      <c r="D2948" s="2" t="s">
        <v>16</v>
      </c>
      <c r="E2948" s="2"/>
      <c r="F2948" s="35">
        <v>5.4149169609489114</v>
      </c>
      <c r="G2948" s="35">
        <v>38.184825142766215</v>
      </c>
      <c r="H2948" s="35">
        <v>3.3830007917485729</v>
      </c>
      <c r="I2948" s="35">
        <v>0.37184476949834705</v>
      </c>
      <c r="J2948" s="35">
        <v>3.9015063375103795E-4</v>
      </c>
      <c r="K2948" s="35">
        <v>2.2669652084637759</v>
      </c>
      <c r="L2948" s="35">
        <v>-6.04722099769221</v>
      </c>
      <c r="M2948" s="58" t="s">
        <v>24</v>
      </c>
      <c r="N2948" s="7">
        <v>11.333333333333334</v>
      </c>
      <c r="O2948" s="7" t="s">
        <v>180</v>
      </c>
      <c r="P2948" s="7" t="s">
        <v>180</v>
      </c>
    </row>
    <row r="2949" spans="1:16" x14ac:dyDescent="0.25">
      <c r="A2949" s="2" t="s">
        <v>183</v>
      </c>
      <c r="B2949" s="2" t="s">
        <v>204</v>
      </c>
      <c r="C2949" s="6" t="s">
        <v>151</v>
      </c>
      <c r="D2949" s="2" t="s">
        <v>16</v>
      </c>
      <c r="E2949" s="2"/>
      <c r="F2949" s="35">
        <v>10.829833921897823</v>
      </c>
      <c r="G2949" s="35">
        <v>40.764235998881716</v>
      </c>
      <c r="H2949" s="35">
        <v>3.3830007917485729</v>
      </c>
      <c r="I2949" s="35">
        <v>0.37184476949834705</v>
      </c>
      <c r="J2949" s="35">
        <v>3.9015063375103795E-4</v>
      </c>
      <c r="K2949" s="35">
        <v>0.25345665926703842</v>
      </c>
      <c r="L2949" s="35">
        <v>-24.365889363835151</v>
      </c>
      <c r="M2949" s="58" t="s">
        <v>23</v>
      </c>
      <c r="N2949" s="7">
        <v>11.333333333333334</v>
      </c>
      <c r="O2949" s="7" t="s">
        <v>180</v>
      </c>
      <c r="P2949" s="7" t="s">
        <v>180</v>
      </c>
    </row>
    <row r="2950" spans="1:16" x14ac:dyDescent="0.25">
      <c r="A2950" s="2" t="s">
        <v>183</v>
      </c>
      <c r="B2950" s="2" t="s">
        <v>204</v>
      </c>
      <c r="C2950" s="6" t="s">
        <v>151</v>
      </c>
      <c r="D2950" s="2" t="s">
        <v>106</v>
      </c>
      <c r="E2950" s="2"/>
      <c r="F2950" s="35">
        <v>0</v>
      </c>
      <c r="G2950" s="35">
        <v>127.80308552546008</v>
      </c>
      <c r="H2950" s="35">
        <v>5.5741612484089531</v>
      </c>
      <c r="I2950" s="35">
        <v>4.5972517903048047</v>
      </c>
      <c r="J2950" s="35">
        <v>-5.8113468975999367E-4</v>
      </c>
      <c r="K2950" s="35">
        <v>5.0365703944051345</v>
      </c>
      <c r="L2950" s="35">
        <v>18.515620466620767</v>
      </c>
      <c r="M2950" s="58" t="s">
        <v>22</v>
      </c>
      <c r="N2950" s="7">
        <v>11.333333333333334</v>
      </c>
      <c r="O2950" s="7" t="s">
        <v>180</v>
      </c>
      <c r="P2950" s="7" t="s">
        <v>180</v>
      </c>
    </row>
    <row r="2951" spans="1:16" x14ac:dyDescent="0.25">
      <c r="A2951" s="2" t="s">
        <v>183</v>
      </c>
      <c r="B2951" s="2" t="s">
        <v>204</v>
      </c>
      <c r="C2951" s="6" t="s">
        <v>151</v>
      </c>
      <c r="D2951" s="2" t="s">
        <v>106</v>
      </c>
      <c r="E2951" s="2"/>
      <c r="F2951" s="35">
        <v>0.29999999999999988</v>
      </c>
      <c r="G2951" s="35">
        <v>127.94599136546009</v>
      </c>
      <c r="H2951" s="35">
        <v>5.5741612484089531</v>
      </c>
      <c r="I2951" s="35">
        <v>4.5972517903048047</v>
      </c>
      <c r="J2951" s="35">
        <v>-5.8113468975999367E-4</v>
      </c>
      <c r="K2951" s="35">
        <v>3.6573948573136934</v>
      </c>
      <c r="L2951" s="35">
        <v>16.843372092098086</v>
      </c>
      <c r="M2951" s="58" t="s">
        <v>22</v>
      </c>
      <c r="N2951" s="7">
        <v>11.333333333333334</v>
      </c>
      <c r="O2951" s="7" t="s">
        <v>180</v>
      </c>
      <c r="P2951" s="7" t="s">
        <v>180</v>
      </c>
    </row>
    <row r="2952" spans="1:16" x14ac:dyDescent="0.25">
      <c r="A2952" s="2" t="s">
        <v>183</v>
      </c>
      <c r="B2952" s="2" t="s">
        <v>204</v>
      </c>
      <c r="C2952" s="6" t="s">
        <v>151</v>
      </c>
      <c r="D2952" s="2" t="s">
        <v>106</v>
      </c>
      <c r="E2952" s="2"/>
      <c r="F2952" s="35">
        <v>0.29999999999999988</v>
      </c>
      <c r="G2952" s="35">
        <v>71.89860812711315</v>
      </c>
      <c r="H2952" s="35">
        <v>5.5741612484089584</v>
      </c>
      <c r="I2952" s="35">
        <v>1.1874345499732406</v>
      </c>
      <c r="J2952" s="35">
        <v>-4.7417383343428441E-4</v>
      </c>
      <c r="K2952" s="35">
        <v>3.6573948573136947</v>
      </c>
      <c r="L2952" s="35">
        <v>16.84337850974946</v>
      </c>
      <c r="M2952" s="58" t="s">
        <v>22</v>
      </c>
      <c r="N2952" s="7">
        <v>11.333333333333334</v>
      </c>
      <c r="O2952" s="7" t="s">
        <v>180</v>
      </c>
      <c r="P2952" s="7" t="s">
        <v>180</v>
      </c>
    </row>
    <row r="2953" spans="1:16" x14ac:dyDescent="0.25">
      <c r="A2953" s="2" t="s">
        <v>183</v>
      </c>
      <c r="B2953" s="2" t="s">
        <v>204</v>
      </c>
      <c r="C2953" s="6" t="s">
        <v>151</v>
      </c>
      <c r="D2953" s="2" t="s">
        <v>106</v>
      </c>
      <c r="E2953" s="2"/>
      <c r="F2953" s="35">
        <v>5.3</v>
      </c>
      <c r="G2953" s="35">
        <v>74.280372127113154</v>
      </c>
      <c r="H2953" s="35">
        <v>5.5741612484089584</v>
      </c>
      <c r="I2953" s="35">
        <v>1.1874345499732406</v>
      </c>
      <c r="J2953" s="35">
        <v>-4.7417383343428441E-4</v>
      </c>
      <c r="K2953" s="35">
        <v>-2.2797778925525085</v>
      </c>
      <c r="L2953" s="35">
        <v>-11.02742773229533</v>
      </c>
      <c r="M2953" s="58" t="s">
        <v>24</v>
      </c>
      <c r="N2953" s="7">
        <v>11.333333333333334</v>
      </c>
      <c r="O2953" s="7" t="s">
        <v>180</v>
      </c>
      <c r="P2953" s="7" t="s">
        <v>180</v>
      </c>
    </row>
    <row r="2954" spans="1:16" x14ac:dyDescent="0.25">
      <c r="A2954" s="2" t="s">
        <v>183</v>
      </c>
      <c r="B2954" s="2" t="s">
        <v>204</v>
      </c>
      <c r="C2954" s="6" t="s">
        <v>151</v>
      </c>
      <c r="D2954" s="2" t="s">
        <v>106</v>
      </c>
      <c r="E2954" s="2"/>
      <c r="F2954" s="35">
        <v>5.3</v>
      </c>
      <c r="G2954" s="35">
        <v>126.06704225109236</v>
      </c>
      <c r="H2954" s="35">
        <v>5.5741085403888198</v>
      </c>
      <c r="I2954" s="35">
        <v>-0.3894128002336919</v>
      </c>
      <c r="J2954" s="35">
        <v>-2.1389907443484618E-4</v>
      </c>
      <c r="K2954" s="35">
        <v>-2.279777892552509</v>
      </c>
      <c r="L2954" s="35">
        <v>-11.027284671568204</v>
      </c>
      <c r="M2954" s="58" t="s">
        <v>24</v>
      </c>
      <c r="N2954" s="7">
        <v>11.333333333333334</v>
      </c>
      <c r="O2954" s="7" t="s">
        <v>180</v>
      </c>
      <c r="P2954" s="7" t="s">
        <v>180</v>
      </c>
    </row>
    <row r="2955" spans="1:16" x14ac:dyDescent="0.25">
      <c r="A2955" s="2" t="s">
        <v>183</v>
      </c>
      <c r="B2955" s="2" t="s">
        <v>204</v>
      </c>
      <c r="C2955" s="6" t="s">
        <v>151</v>
      </c>
      <c r="D2955" s="2" t="s">
        <v>106</v>
      </c>
      <c r="E2955" s="2"/>
      <c r="F2955" s="35">
        <v>5.4149169609489114</v>
      </c>
      <c r="G2955" s="35">
        <v>126.12178326720786</v>
      </c>
      <c r="H2955" s="35">
        <v>5.5741085403888198</v>
      </c>
      <c r="I2955" s="35">
        <v>-0.3894128002336919</v>
      </c>
      <c r="J2955" s="35">
        <v>-2.1389907443484618E-4</v>
      </c>
      <c r="K2955" s="35">
        <v>-2.2350277569950472</v>
      </c>
      <c r="L2955" s="35">
        <v>-11.66784428502906</v>
      </c>
      <c r="M2955" s="58" t="s">
        <v>24</v>
      </c>
      <c r="N2955" s="7">
        <v>11.333333333333334</v>
      </c>
      <c r="O2955" s="7" t="s">
        <v>180</v>
      </c>
      <c r="P2955" s="7" t="s">
        <v>180</v>
      </c>
    </row>
    <row r="2956" spans="1:16" x14ac:dyDescent="0.25">
      <c r="A2956" s="2" t="s">
        <v>183</v>
      </c>
      <c r="B2956" s="2" t="s">
        <v>204</v>
      </c>
      <c r="C2956" s="6" t="s">
        <v>151</v>
      </c>
      <c r="D2956" s="2" t="s">
        <v>106</v>
      </c>
      <c r="E2956" s="2"/>
      <c r="F2956" s="35">
        <v>10.829833921897823</v>
      </c>
      <c r="G2956" s="35">
        <v>128.70119412332338</v>
      </c>
      <c r="H2956" s="35">
        <v>5.5741085403888198</v>
      </c>
      <c r="I2956" s="35">
        <v>-0.3894128002336919</v>
      </c>
      <c r="J2956" s="35">
        <v>-2.1389907443484618E-4</v>
      </c>
      <c r="K2956" s="35">
        <v>-0.12638978019901956</v>
      </c>
      <c r="L2956" s="35">
        <v>-41.85117916255065</v>
      </c>
      <c r="M2956" s="58" t="s">
        <v>23</v>
      </c>
      <c r="N2956" s="7">
        <v>11.333333333333334</v>
      </c>
      <c r="O2956" s="7" t="s">
        <v>180</v>
      </c>
      <c r="P2956" s="7" t="s">
        <v>180</v>
      </c>
    </row>
    <row r="2957" spans="1:16" x14ac:dyDescent="0.25">
      <c r="A2957" s="2" t="s">
        <v>183</v>
      </c>
      <c r="B2957" s="2" t="s">
        <v>204</v>
      </c>
      <c r="C2957" s="6" t="s">
        <v>151</v>
      </c>
      <c r="D2957" s="2" t="s">
        <v>107</v>
      </c>
      <c r="E2957" s="2"/>
      <c r="F2957" s="35">
        <v>0</v>
      </c>
      <c r="G2957" s="35">
        <v>46.643833648595106</v>
      </c>
      <c r="H2957" s="35">
        <v>2.4510510902130087</v>
      </c>
      <c r="I2957" s="35">
        <v>3.5596964375295976</v>
      </c>
      <c r="J2957" s="35">
        <v>-4.9303260977103761E-4</v>
      </c>
      <c r="K2957" s="35">
        <v>4.4876394691026498</v>
      </c>
      <c r="L2957" s="35">
        <v>8.4239838515629284</v>
      </c>
      <c r="M2957" s="58" t="s">
        <v>22</v>
      </c>
      <c r="N2957" s="7">
        <v>11.333333333333334</v>
      </c>
      <c r="O2957" s="7" t="s">
        <v>180</v>
      </c>
      <c r="P2957" s="7" t="s">
        <v>180</v>
      </c>
    </row>
    <row r="2958" spans="1:16" x14ac:dyDescent="0.25">
      <c r="A2958" s="2" t="s">
        <v>183</v>
      </c>
      <c r="B2958" s="2" t="s">
        <v>204</v>
      </c>
      <c r="C2958" s="6" t="s">
        <v>151</v>
      </c>
      <c r="D2958" s="2" t="s">
        <v>107</v>
      </c>
      <c r="E2958" s="2"/>
      <c r="F2958" s="35">
        <v>0.29999999999999988</v>
      </c>
      <c r="G2958" s="35">
        <v>46.78673948859511</v>
      </c>
      <c r="H2958" s="35">
        <v>2.4510510902130087</v>
      </c>
      <c r="I2958" s="35">
        <v>3.5596964375295976</v>
      </c>
      <c r="J2958" s="35">
        <v>-4.9303260977103761E-4</v>
      </c>
      <c r="K2958" s="35">
        <v>3.4197305378437708</v>
      </c>
      <c r="L2958" s="35">
        <v>7.6886685244990272</v>
      </c>
      <c r="M2958" s="58" t="s">
        <v>22</v>
      </c>
      <c r="N2958" s="7">
        <v>11.333333333333334</v>
      </c>
      <c r="O2958" s="7" t="s">
        <v>180</v>
      </c>
      <c r="P2958" s="7" t="s">
        <v>180</v>
      </c>
    </row>
    <row r="2959" spans="1:16" x14ac:dyDescent="0.25">
      <c r="A2959" s="2" t="s">
        <v>183</v>
      </c>
      <c r="B2959" s="2" t="s">
        <v>204</v>
      </c>
      <c r="C2959" s="6" t="s">
        <v>151</v>
      </c>
      <c r="D2959" s="2" t="s">
        <v>107</v>
      </c>
      <c r="E2959" s="2"/>
      <c r="F2959" s="35">
        <v>0.29999999999999988</v>
      </c>
      <c r="G2959" s="35">
        <v>6.7185675771519806</v>
      </c>
      <c r="H2959" s="35">
        <v>2.4510510902130069</v>
      </c>
      <c r="I2959" s="35">
        <v>1.1086318768122474</v>
      </c>
      <c r="J2959" s="35">
        <v>-3.8507829787407677E-4</v>
      </c>
      <c r="K2959" s="35">
        <v>3.4197305378437735</v>
      </c>
      <c r="L2959" s="35">
        <v>7.6886750017577361</v>
      </c>
      <c r="M2959" s="58" t="s">
        <v>22</v>
      </c>
      <c r="N2959" s="7">
        <v>11.333333333333334</v>
      </c>
      <c r="O2959" s="7" t="s">
        <v>180</v>
      </c>
      <c r="P2959" s="7" t="s">
        <v>180</v>
      </c>
    </row>
    <row r="2960" spans="1:16" x14ac:dyDescent="0.25">
      <c r="A2960" s="2" t="s">
        <v>183</v>
      </c>
      <c r="B2960" s="2" t="s">
        <v>204</v>
      </c>
      <c r="C2960" s="6" t="s">
        <v>151</v>
      </c>
      <c r="D2960" s="2" t="s">
        <v>107</v>
      </c>
      <c r="E2960" s="2"/>
      <c r="F2960" s="35">
        <v>5.3</v>
      </c>
      <c r="G2960" s="35">
        <v>9.1003315771519784</v>
      </c>
      <c r="H2960" s="35">
        <v>2.4510510902130069</v>
      </c>
      <c r="I2960" s="35">
        <v>1.1086318768122474</v>
      </c>
      <c r="J2960" s="35">
        <v>-3.8507829787407677E-4</v>
      </c>
      <c r="K2960" s="35">
        <v>-2.1234288462174624</v>
      </c>
      <c r="L2960" s="35">
        <v>-4.5665804493072955</v>
      </c>
      <c r="M2960" s="58" t="s">
        <v>24</v>
      </c>
      <c r="N2960" s="7">
        <v>11.333333333333334</v>
      </c>
      <c r="O2960" s="7" t="s">
        <v>180</v>
      </c>
      <c r="P2960" s="7" t="s">
        <v>180</v>
      </c>
    </row>
    <row r="2961" spans="1:16" x14ac:dyDescent="0.25">
      <c r="A2961" s="2" t="s">
        <v>183</v>
      </c>
      <c r="B2961" s="2" t="s">
        <v>204</v>
      </c>
      <c r="C2961" s="6" t="s">
        <v>151</v>
      </c>
      <c r="D2961" s="2" t="s">
        <v>107</v>
      </c>
      <c r="E2961" s="2"/>
      <c r="F2961" s="35">
        <v>5.3</v>
      </c>
      <c r="G2961" s="35">
        <v>46.21760527693629</v>
      </c>
      <c r="H2961" s="35">
        <v>2.4510139420732968</v>
      </c>
      <c r="I2961" s="35">
        <v>-0.36345383459322594</v>
      </c>
      <c r="J2961" s="35">
        <v>-2.7443654274609007E-4</v>
      </c>
      <c r="K2961" s="35">
        <v>-2.1234288462174624</v>
      </c>
      <c r="L2961" s="35">
        <v>-4.5666163300110947</v>
      </c>
      <c r="M2961" s="58" t="s">
        <v>24</v>
      </c>
      <c r="N2961" s="7">
        <v>11.333333333333334</v>
      </c>
      <c r="O2961" s="7" t="s">
        <v>180</v>
      </c>
      <c r="P2961" s="7" t="s">
        <v>180</v>
      </c>
    </row>
    <row r="2962" spans="1:16" x14ac:dyDescent="0.25">
      <c r="A2962" s="2" t="s">
        <v>183</v>
      </c>
      <c r="B2962" s="2" t="s">
        <v>204</v>
      </c>
      <c r="C2962" s="6" t="s">
        <v>151</v>
      </c>
      <c r="D2962" s="2" t="s">
        <v>107</v>
      </c>
      <c r="E2962" s="2"/>
      <c r="F2962" s="35">
        <v>5.4149169609489114</v>
      </c>
      <c r="G2962" s="35">
        <v>46.272346293051797</v>
      </c>
      <c r="H2962" s="35">
        <v>2.4510139420732968</v>
      </c>
      <c r="I2962" s="35">
        <v>-0.36345383459322594</v>
      </c>
      <c r="J2962" s="35">
        <v>-2.7443654274609007E-4</v>
      </c>
      <c r="K2962" s="35">
        <v>-2.0816618361007806</v>
      </c>
      <c r="L2962" s="35">
        <v>-4.8482794034775685</v>
      </c>
      <c r="M2962" s="58" t="s">
        <v>24</v>
      </c>
      <c r="N2962" s="7">
        <v>11.333333333333334</v>
      </c>
      <c r="O2962" s="7" t="s">
        <v>180</v>
      </c>
      <c r="P2962" s="7" t="s">
        <v>180</v>
      </c>
    </row>
    <row r="2963" spans="1:16" x14ac:dyDescent="0.25">
      <c r="A2963" s="2" t="s">
        <v>183</v>
      </c>
      <c r="B2963" s="2" t="s">
        <v>204</v>
      </c>
      <c r="C2963" s="6" t="s">
        <v>151</v>
      </c>
      <c r="D2963" s="2" t="s">
        <v>107</v>
      </c>
      <c r="E2963" s="2"/>
      <c r="F2963" s="35">
        <v>10.829833921897823</v>
      </c>
      <c r="G2963" s="35">
        <v>48.851757149167298</v>
      </c>
      <c r="H2963" s="35">
        <v>2.4510139420732968</v>
      </c>
      <c r="I2963" s="35">
        <v>-0.36345383459322594</v>
      </c>
      <c r="J2963" s="35">
        <v>-2.7443654274609007E-4</v>
      </c>
      <c r="K2963" s="35">
        <v>-0.11358950264000203</v>
      </c>
      <c r="L2963" s="35">
        <v>-18.12031636993251</v>
      </c>
      <c r="M2963" s="58" t="s">
        <v>23</v>
      </c>
      <c r="N2963" s="7">
        <v>11.333333333333334</v>
      </c>
      <c r="O2963" s="7" t="s">
        <v>180</v>
      </c>
      <c r="P2963" s="7" t="s">
        <v>180</v>
      </c>
    </row>
    <row r="2964" spans="1:16" x14ac:dyDescent="0.25">
      <c r="A2964" s="2" t="s">
        <v>183</v>
      </c>
      <c r="B2964" s="2" t="s">
        <v>204</v>
      </c>
      <c r="C2964" s="6" t="s">
        <v>151</v>
      </c>
      <c r="D2964" s="2" t="s">
        <v>108</v>
      </c>
      <c r="E2964" s="2"/>
      <c r="F2964" s="35">
        <v>0</v>
      </c>
      <c r="G2964" s="35">
        <v>120.09795187538225</v>
      </c>
      <c r="H2964" s="35">
        <v>9.9863759282152156</v>
      </c>
      <c r="I2964" s="35">
        <v>1.5196477325871076</v>
      </c>
      <c r="J2964" s="35">
        <v>1.9413949506503437E-5</v>
      </c>
      <c r="K2964" s="35">
        <v>1.0423952929304816</v>
      </c>
      <c r="L2964" s="35">
        <v>49.412737158551096</v>
      </c>
      <c r="M2964" s="58" t="s">
        <v>22</v>
      </c>
      <c r="N2964" s="7">
        <v>11.333333333333334</v>
      </c>
      <c r="O2964" s="7" t="s">
        <v>180</v>
      </c>
      <c r="P2964" s="7" t="s">
        <v>180</v>
      </c>
    </row>
    <row r="2965" spans="1:16" x14ac:dyDescent="0.25">
      <c r="A2965" s="2" t="s">
        <v>183</v>
      </c>
      <c r="B2965" s="2" t="s">
        <v>204</v>
      </c>
      <c r="C2965" s="6" t="s">
        <v>151</v>
      </c>
      <c r="D2965" s="2" t="s">
        <v>108</v>
      </c>
      <c r="E2965" s="2"/>
      <c r="F2965" s="35">
        <v>0.29999999999999988</v>
      </c>
      <c r="G2965" s="35">
        <v>120.24085771538226</v>
      </c>
      <c r="H2965" s="35">
        <v>9.9863759282152156</v>
      </c>
      <c r="I2965" s="35">
        <v>1.5196477325871076</v>
      </c>
      <c r="J2965" s="35">
        <v>1.9413949506503437E-5</v>
      </c>
      <c r="K2965" s="35">
        <v>0.58650097315434946</v>
      </c>
      <c r="L2965" s="35">
        <v>46.416824380086538</v>
      </c>
      <c r="M2965" s="58" t="s">
        <v>22</v>
      </c>
      <c r="N2965" s="7">
        <v>11.333333333333334</v>
      </c>
      <c r="O2965" s="7" t="s">
        <v>180</v>
      </c>
      <c r="P2965" s="7" t="s">
        <v>180</v>
      </c>
    </row>
    <row r="2966" spans="1:16" x14ac:dyDescent="0.25">
      <c r="A2966" s="2" t="s">
        <v>183</v>
      </c>
      <c r="B2966" s="2" t="s">
        <v>204</v>
      </c>
      <c r="C2966" s="6" t="s">
        <v>151</v>
      </c>
      <c r="D2966" s="2" t="s">
        <v>108</v>
      </c>
      <c r="E2966" s="2"/>
      <c r="F2966" s="35">
        <v>0.29999999999999988</v>
      </c>
      <c r="G2966" s="35">
        <v>98.955275598365759</v>
      </c>
      <c r="H2966" s="35">
        <v>9.9863759282152014</v>
      </c>
      <c r="I2966" s="35">
        <v>0.1955385595353667</v>
      </c>
      <c r="J2966" s="35">
        <v>-1.6552471571813321E-4</v>
      </c>
      <c r="K2966" s="35">
        <v>0.5865009731543499</v>
      </c>
      <c r="L2966" s="35">
        <v>46.416813283766572</v>
      </c>
      <c r="M2966" s="58" t="s">
        <v>22</v>
      </c>
      <c r="N2966" s="7">
        <v>11.333333333333334</v>
      </c>
      <c r="O2966" s="7" t="s">
        <v>180</v>
      </c>
      <c r="P2966" s="7" t="s">
        <v>180</v>
      </c>
    </row>
    <row r="2967" spans="1:16" x14ac:dyDescent="0.25">
      <c r="A2967" s="2" t="s">
        <v>183</v>
      </c>
      <c r="B2967" s="2" t="s">
        <v>204</v>
      </c>
      <c r="C2967" s="6" t="s">
        <v>151</v>
      </c>
      <c r="D2967" s="2" t="s">
        <v>108</v>
      </c>
      <c r="E2967" s="2"/>
      <c r="F2967" s="35">
        <v>5.3</v>
      </c>
      <c r="G2967" s="35">
        <v>101.33703959836576</v>
      </c>
      <c r="H2967" s="35">
        <v>9.9863759282152014</v>
      </c>
      <c r="I2967" s="35">
        <v>0.1955385595353667</v>
      </c>
      <c r="J2967" s="35">
        <v>-1.6552471571813321E-4</v>
      </c>
      <c r="K2967" s="35">
        <v>-0.39119182452248352</v>
      </c>
      <c r="L2967" s="35">
        <v>-3.5150663573094323</v>
      </c>
      <c r="M2967" s="58" t="s">
        <v>24</v>
      </c>
      <c r="N2967" s="7">
        <v>11.333333333333334</v>
      </c>
      <c r="O2967" s="7" t="s">
        <v>180</v>
      </c>
      <c r="P2967" s="7" t="s">
        <v>180</v>
      </c>
    </row>
    <row r="2968" spans="1:16" x14ac:dyDescent="0.25">
      <c r="A2968" s="2" t="s">
        <v>183</v>
      </c>
      <c r="B2968" s="2" t="s">
        <v>204</v>
      </c>
      <c r="C2968" s="6" t="s">
        <v>151</v>
      </c>
      <c r="D2968" s="2" t="s">
        <v>108</v>
      </c>
      <c r="E2968" s="2"/>
      <c r="F2968" s="35">
        <v>5.3</v>
      </c>
      <c r="G2968" s="35">
        <v>123.54872636289114</v>
      </c>
      <c r="H2968" s="35">
        <v>9.9863313914416576</v>
      </c>
      <c r="I2968" s="35">
        <v>-7.6199034781691294E-2</v>
      </c>
      <c r="J2968" s="35">
        <v>1.2526330671634316E-4</v>
      </c>
      <c r="K2968" s="35">
        <v>-0.39119182452248347</v>
      </c>
      <c r="L2968" s="35">
        <v>-3.5147092185851254</v>
      </c>
      <c r="M2968" s="58" t="s">
        <v>24</v>
      </c>
      <c r="N2968" s="7">
        <v>11.333333333333334</v>
      </c>
      <c r="O2968" s="7" t="s">
        <v>180</v>
      </c>
      <c r="P2968" s="7" t="s">
        <v>180</v>
      </c>
    </row>
    <row r="2969" spans="1:16" x14ac:dyDescent="0.25">
      <c r="A2969" s="2" t="s">
        <v>183</v>
      </c>
      <c r="B2969" s="2" t="s">
        <v>204</v>
      </c>
      <c r="C2969" s="6" t="s">
        <v>151</v>
      </c>
      <c r="D2969" s="2" t="s">
        <v>108</v>
      </c>
      <c r="E2969" s="2"/>
      <c r="F2969" s="35">
        <v>5.4149169609489114</v>
      </c>
      <c r="G2969" s="35">
        <v>123.60346737900664</v>
      </c>
      <c r="H2969" s="35">
        <v>9.9863313914416576</v>
      </c>
      <c r="I2969" s="35">
        <v>-7.6199034781691294E-2</v>
      </c>
      <c r="J2969" s="35">
        <v>1.2526330671634316E-4</v>
      </c>
      <c r="K2969" s="35">
        <v>-0.38243526301813108</v>
      </c>
      <c r="L2969" s="35">
        <v>-4.6623080731183144</v>
      </c>
      <c r="M2969" s="58" t="s">
        <v>24</v>
      </c>
      <c r="N2969" s="7">
        <v>11.333333333333334</v>
      </c>
      <c r="O2969" s="7" t="s">
        <v>180</v>
      </c>
      <c r="P2969" s="7" t="s">
        <v>180</v>
      </c>
    </row>
    <row r="2970" spans="1:16" x14ac:dyDescent="0.25">
      <c r="A2970" s="2" t="s">
        <v>183</v>
      </c>
      <c r="B2970" s="2" t="s">
        <v>204</v>
      </c>
      <c r="C2970" s="6" t="s">
        <v>151</v>
      </c>
      <c r="D2970" s="2" t="s">
        <v>108</v>
      </c>
      <c r="E2970" s="2"/>
      <c r="F2970" s="35">
        <v>10.829833921897823</v>
      </c>
      <c r="G2970" s="35">
        <v>126.18287823512216</v>
      </c>
      <c r="H2970" s="35">
        <v>9.9863313914416576</v>
      </c>
      <c r="I2970" s="35">
        <v>-7.6199034781691294E-2</v>
      </c>
      <c r="J2970" s="35">
        <v>1.2526330671634316E-4</v>
      </c>
      <c r="K2970" s="35">
        <v>3.0176182829184984E-2</v>
      </c>
      <c r="L2970" s="35">
        <v>-58.737463302292262</v>
      </c>
      <c r="M2970" s="58" t="s">
        <v>23</v>
      </c>
      <c r="N2970" s="7">
        <v>11.333333333333334</v>
      </c>
      <c r="O2970" s="7" t="s">
        <v>180</v>
      </c>
      <c r="P2970" s="7" t="s">
        <v>180</v>
      </c>
    </row>
    <row r="2971" spans="1:16" x14ac:dyDescent="0.25">
      <c r="A2971" s="2" t="s">
        <v>183</v>
      </c>
      <c r="B2971" s="2" t="s">
        <v>204</v>
      </c>
      <c r="C2971" s="6" t="s">
        <v>151</v>
      </c>
      <c r="D2971" s="2" t="s">
        <v>109</v>
      </c>
      <c r="E2971" s="2"/>
      <c r="F2971" s="35">
        <v>0</v>
      </c>
      <c r="G2971" s="35">
        <v>0.82545128922118582</v>
      </c>
      <c r="H2971" s="35">
        <v>22.039084165044773</v>
      </c>
      <c r="I2971" s="35">
        <v>1.2295793222970017E-2</v>
      </c>
      <c r="J2971" s="35">
        <v>3.0234524871088639E-4</v>
      </c>
      <c r="K2971" s="35">
        <v>0.25603780825757366</v>
      </c>
      <c r="L2971" s="35">
        <v>118.67997907054458</v>
      </c>
      <c r="M2971" s="58" t="s">
        <v>22</v>
      </c>
      <c r="N2971" s="7">
        <v>11.333333333333334</v>
      </c>
      <c r="O2971" s="7" t="s">
        <v>180</v>
      </c>
      <c r="P2971" s="7" t="s">
        <v>180</v>
      </c>
    </row>
    <row r="2972" spans="1:16" x14ac:dyDescent="0.25">
      <c r="A2972" s="2" t="s">
        <v>183</v>
      </c>
      <c r="B2972" s="2" t="s">
        <v>204</v>
      </c>
      <c r="C2972" s="6" t="s">
        <v>151</v>
      </c>
      <c r="D2972" s="2" t="s">
        <v>109</v>
      </c>
      <c r="E2972" s="2"/>
      <c r="F2972" s="35">
        <v>0.29999999999999988</v>
      </c>
      <c r="G2972" s="35">
        <v>0.96835712922119255</v>
      </c>
      <c r="H2972" s="35">
        <v>22.039084165044773</v>
      </c>
      <c r="I2972" s="35">
        <v>1.2295793222970017E-2</v>
      </c>
      <c r="J2972" s="35">
        <v>3.0234524871088639E-4</v>
      </c>
      <c r="K2972" s="35">
        <v>0.25234907029068265</v>
      </c>
      <c r="L2972" s="35">
        <v>112.06825382103113</v>
      </c>
      <c r="M2972" s="58" t="s">
        <v>22</v>
      </c>
      <c r="N2972" s="7">
        <v>11.333333333333334</v>
      </c>
      <c r="O2972" s="7" t="s">
        <v>180</v>
      </c>
      <c r="P2972" s="7" t="s">
        <v>180</v>
      </c>
    </row>
    <row r="2973" spans="1:16" x14ac:dyDescent="0.25">
      <c r="A2973" s="2" t="s">
        <v>183</v>
      </c>
      <c r="B2973" s="2" t="s">
        <v>204</v>
      </c>
      <c r="C2973" s="6" t="s">
        <v>151</v>
      </c>
      <c r="D2973" s="2" t="s">
        <v>109</v>
      </c>
      <c r="E2973" s="2"/>
      <c r="F2973" s="35">
        <v>0.29999999999999988</v>
      </c>
      <c r="G2973" s="35">
        <v>2.9634568524385969</v>
      </c>
      <c r="H2973" s="35">
        <v>22.039084165044724</v>
      </c>
      <c r="I2973" s="35">
        <v>8.5027530585262287E-2</v>
      </c>
      <c r="J2973" s="35">
        <v>-2.6890632124535488E-4</v>
      </c>
      <c r="K2973" s="35">
        <v>0.25234907029068293</v>
      </c>
      <c r="L2973" s="35">
        <v>112.06821954593687</v>
      </c>
      <c r="M2973" s="58" t="s">
        <v>22</v>
      </c>
      <c r="N2973" s="7">
        <v>11.333333333333334</v>
      </c>
      <c r="O2973" s="7" t="s">
        <v>180</v>
      </c>
      <c r="P2973" s="7" t="s">
        <v>180</v>
      </c>
    </row>
    <row r="2974" spans="1:16" x14ac:dyDescent="0.25">
      <c r="A2974" s="2" t="s">
        <v>183</v>
      </c>
      <c r="B2974" s="2" t="s">
        <v>204</v>
      </c>
      <c r="C2974" s="6" t="s">
        <v>151</v>
      </c>
      <c r="D2974" s="2" t="s">
        <v>109</v>
      </c>
      <c r="E2974" s="2"/>
      <c r="F2974" s="35">
        <v>5.3</v>
      </c>
      <c r="G2974" s="35">
        <v>5.3452208524385956</v>
      </c>
      <c r="H2974" s="35">
        <v>22.039084165044724</v>
      </c>
      <c r="I2974" s="35">
        <v>8.5027530585262287E-2</v>
      </c>
      <c r="J2974" s="35">
        <v>-2.6890632124535488E-4</v>
      </c>
      <c r="K2974" s="35">
        <v>-0.17278858263562843</v>
      </c>
      <c r="L2974" s="35">
        <v>1.8727987207132466</v>
      </c>
      <c r="M2974" s="58" t="s">
        <v>24</v>
      </c>
      <c r="N2974" s="7">
        <v>11.333333333333334</v>
      </c>
      <c r="O2974" s="7" t="s">
        <v>180</v>
      </c>
      <c r="P2974" s="7" t="s">
        <v>180</v>
      </c>
    </row>
    <row r="2975" spans="1:16" x14ac:dyDescent="0.25">
      <c r="A2975" s="2" t="s">
        <v>183</v>
      </c>
      <c r="B2975" s="2" t="s">
        <v>204</v>
      </c>
      <c r="C2975" s="6" t="s">
        <v>151</v>
      </c>
      <c r="D2975" s="2" t="s">
        <v>109</v>
      </c>
      <c r="E2975" s="2"/>
      <c r="F2975" s="35">
        <v>5.3</v>
      </c>
      <c r="G2975" s="35">
        <v>6.1698995825594087</v>
      </c>
      <c r="H2975" s="35">
        <v>22.039002876141396</v>
      </c>
      <c r="I2975" s="35">
        <v>-3.9895084303515599E-2</v>
      </c>
      <c r="J2975" s="35">
        <v>2.5981308659848117E-4</v>
      </c>
      <c r="K2975" s="35">
        <v>-0.17278858263562849</v>
      </c>
      <c r="L2975" s="35">
        <v>1.8735391033525601</v>
      </c>
      <c r="M2975" s="58" t="s">
        <v>24</v>
      </c>
      <c r="N2975" s="7">
        <v>11.333333333333334</v>
      </c>
      <c r="O2975" s="7" t="s">
        <v>180</v>
      </c>
      <c r="P2975" s="7" t="s">
        <v>180</v>
      </c>
    </row>
    <row r="2976" spans="1:16" x14ac:dyDescent="0.25">
      <c r="A2976" s="2" t="s">
        <v>183</v>
      </c>
      <c r="B2976" s="2" t="s">
        <v>204</v>
      </c>
      <c r="C2976" s="6" t="s">
        <v>151</v>
      </c>
      <c r="D2976" s="2" t="s">
        <v>109</v>
      </c>
      <c r="E2976" s="2"/>
      <c r="F2976" s="35">
        <v>5.4149169609489114</v>
      </c>
      <c r="G2976" s="35">
        <v>6.2246405986749149</v>
      </c>
      <c r="H2976" s="35">
        <v>22.039002876141396</v>
      </c>
      <c r="I2976" s="35">
        <v>-3.9895084303515599E-2</v>
      </c>
      <c r="J2976" s="35">
        <v>2.5981308659848117E-4</v>
      </c>
      <c r="K2976" s="35">
        <v>-0.16820396079066788</v>
      </c>
      <c r="L2976" s="35">
        <v>-0.65911612951792786</v>
      </c>
      <c r="M2976" s="58" t="s">
        <v>24</v>
      </c>
      <c r="N2976" s="7">
        <v>11.333333333333334</v>
      </c>
      <c r="O2976" s="7" t="s">
        <v>180</v>
      </c>
      <c r="P2976" s="7" t="s">
        <v>180</v>
      </c>
    </row>
    <row r="2977" spans="1:16" x14ac:dyDescent="0.25">
      <c r="A2977" s="2" t="s">
        <v>183</v>
      </c>
      <c r="B2977" s="2" t="s">
        <v>204</v>
      </c>
      <c r="C2977" s="6" t="s">
        <v>151</v>
      </c>
      <c r="D2977" s="2" t="s">
        <v>109</v>
      </c>
      <c r="E2977" s="2"/>
      <c r="F2977" s="35">
        <v>10.829833921897823</v>
      </c>
      <c r="G2977" s="35">
        <v>8.8040514547904145</v>
      </c>
      <c r="H2977" s="35">
        <v>22.039002876141396</v>
      </c>
      <c r="I2977" s="35">
        <v>-3.9895084303515599E-2</v>
      </c>
      <c r="J2977" s="35">
        <v>2.5981308659848117E-4</v>
      </c>
      <c r="K2977" s="35">
        <v>4.7824607862925417E-2</v>
      </c>
      <c r="L2977" s="35">
        <v>-119.9984866059378</v>
      </c>
      <c r="M2977" s="58" t="s">
        <v>23</v>
      </c>
      <c r="N2977" s="7">
        <v>11.333333333333334</v>
      </c>
      <c r="O2977" s="7" t="s">
        <v>180</v>
      </c>
      <c r="P2977" s="7" t="s">
        <v>180</v>
      </c>
    </row>
    <row r="2978" spans="1:16" x14ac:dyDescent="0.25">
      <c r="A2978" s="2" t="s">
        <v>183</v>
      </c>
      <c r="B2978" s="2" t="s">
        <v>204</v>
      </c>
      <c r="C2978" s="6" t="s">
        <v>151</v>
      </c>
      <c r="D2978" s="2" t="s">
        <v>110</v>
      </c>
      <c r="E2978" s="2"/>
      <c r="F2978" s="35">
        <v>0</v>
      </c>
      <c r="G2978" s="35">
        <v>118.22860151496283</v>
      </c>
      <c r="H2978" s="35">
        <v>2.8092004250791513E-2</v>
      </c>
      <c r="I2978" s="35">
        <v>1.5237248110654924</v>
      </c>
      <c r="J2978" s="35">
        <v>-2.9048697210601793E-4</v>
      </c>
      <c r="K2978" s="35">
        <v>1.0666051975537627</v>
      </c>
      <c r="L2978" s="35">
        <v>-17.176673563082474</v>
      </c>
      <c r="M2978" s="58" t="s">
        <v>22</v>
      </c>
      <c r="N2978" s="7">
        <v>11.333333333333334</v>
      </c>
      <c r="O2978" s="7" t="s">
        <v>180</v>
      </c>
      <c r="P2978" s="7" t="s">
        <v>180</v>
      </c>
    </row>
    <row r="2979" spans="1:16" x14ac:dyDescent="0.25">
      <c r="A2979" s="2" t="s">
        <v>183</v>
      </c>
      <c r="B2979" s="2" t="s">
        <v>204</v>
      </c>
      <c r="C2979" s="6" t="s">
        <v>151</v>
      </c>
      <c r="D2979" s="2" t="s">
        <v>110</v>
      </c>
      <c r="E2979" s="2"/>
      <c r="F2979" s="35">
        <v>0.29999999999999988</v>
      </c>
      <c r="G2979" s="35">
        <v>118.37150735496283</v>
      </c>
      <c r="H2979" s="35">
        <v>2.8092004250791513E-2</v>
      </c>
      <c r="I2979" s="35">
        <v>1.5237248110654924</v>
      </c>
      <c r="J2979" s="35">
        <v>-2.9048697210601793E-4</v>
      </c>
      <c r="K2979" s="35">
        <v>0.60948775423411505</v>
      </c>
      <c r="L2979" s="35">
        <v>-17.185101164357715</v>
      </c>
      <c r="M2979" s="58" t="s">
        <v>22</v>
      </c>
      <c r="N2979" s="7">
        <v>11.333333333333334</v>
      </c>
      <c r="O2979" s="7" t="s">
        <v>180</v>
      </c>
      <c r="P2979" s="7" t="s">
        <v>180</v>
      </c>
    </row>
    <row r="2980" spans="1:16" x14ac:dyDescent="0.25">
      <c r="A2980" s="2" t="s">
        <v>183</v>
      </c>
      <c r="B2980" s="2" t="s">
        <v>204</v>
      </c>
      <c r="C2980" s="6" t="s">
        <v>151</v>
      </c>
      <c r="D2980" s="2" t="s">
        <v>110</v>
      </c>
      <c r="E2980" s="2"/>
      <c r="F2980" s="35">
        <v>0.29999999999999988</v>
      </c>
      <c r="G2980" s="35">
        <v>97.141606616909158</v>
      </c>
      <c r="H2980" s="35">
        <v>2.8092004250783811E-2</v>
      </c>
      <c r="I2980" s="35">
        <v>0.20295652075152223</v>
      </c>
      <c r="J2980" s="35">
        <v>-9.7502771061803032E-5</v>
      </c>
      <c r="K2980" s="35">
        <v>0.60948775423411583</v>
      </c>
      <c r="L2980" s="35">
        <v>-17.18508958530564</v>
      </c>
      <c r="M2980" s="58" t="s">
        <v>22</v>
      </c>
      <c r="N2980" s="7">
        <v>11.333333333333334</v>
      </c>
      <c r="O2980" s="7" t="s">
        <v>180</v>
      </c>
      <c r="P2980" s="7" t="s">
        <v>180</v>
      </c>
    </row>
    <row r="2981" spans="1:16" x14ac:dyDescent="0.25">
      <c r="A2981" s="2" t="s">
        <v>183</v>
      </c>
      <c r="B2981" s="2" t="s">
        <v>204</v>
      </c>
      <c r="C2981" s="6" t="s">
        <v>151</v>
      </c>
      <c r="D2981" s="2" t="s">
        <v>110</v>
      </c>
      <c r="E2981" s="2"/>
      <c r="F2981" s="35">
        <v>5.3</v>
      </c>
      <c r="G2981" s="35">
        <v>99.523370616909162</v>
      </c>
      <c r="H2981" s="35">
        <v>2.8092004250783811E-2</v>
      </c>
      <c r="I2981" s="35">
        <v>0.20295652075152223</v>
      </c>
      <c r="J2981" s="35">
        <v>-9.7502771061803032E-5</v>
      </c>
      <c r="K2981" s="35">
        <v>-0.40529484952349532</v>
      </c>
      <c r="L2981" s="35">
        <v>-17.325549606559559</v>
      </c>
      <c r="M2981" s="58" t="s">
        <v>24</v>
      </c>
      <c r="N2981" s="7">
        <v>11.333333333333334</v>
      </c>
      <c r="O2981" s="7" t="s">
        <v>180</v>
      </c>
      <c r="P2981" s="7" t="s">
        <v>180</v>
      </c>
    </row>
    <row r="2982" spans="1:16" x14ac:dyDescent="0.25">
      <c r="A2982" s="2" t="s">
        <v>183</v>
      </c>
      <c r="B2982" s="2" t="s">
        <v>204</v>
      </c>
      <c r="C2982" s="6" t="s">
        <v>151</v>
      </c>
      <c r="D2982" s="2" t="s">
        <v>110</v>
      </c>
      <c r="E2982" s="2"/>
      <c r="F2982" s="35">
        <v>5.3</v>
      </c>
      <c r="G2982" s="35">
        <v>121.6600616444735</v>
      </c>
      <c r="H2982" s="35">
        <v>2.8084231520295214E-2</v>
      </c>
      <c r="I2982" s="35">
        <v>-7.8540098224306867E-2</v>
      </c>
      <c r="J2982" s="35">
        <v>9.6189088584163886E-5</v>
      </c>
      <c r="K2982" s="35">
        <v>-0.40529484952349576</v>
      </c>
      <c r="L2982" s="35">
        <v>-17.325338358018701</v>
      </c>
      <c r="M2982" s="58" t="s">
        <v>24</v>
      </c>
      <c r="N2982" s="7">
        <v>11.333333333333334</v>
      </c>
      <c r="O2982" s="7" t="s">
        <v>180</v>
      </c>
      <c r="P2982" s="7" t="s">
        <v>180</v>
      </c>
    </row>
    <row r="2983" spans="1:16" x14ac:dyDescent="0.25">
      <c r="A2983" s="2" t="s">
        <v>183</v>
      </c>
      <c r="B2983" s="2" t="s">
        <v>204</v>
      </c>
      <c r="C2983" s="6" t="s">
        <v>151</v>
      </c>
      <c r="D2983" s="2" t="s">
        <v>110</v>
      </c>
      <c r="E2983" s="2"/>
      <c r="F2983" s="35">
        <v>5.4149169609489114</v>
      </c>
      <c r="G2983" s="35">
        <v>121.714802660589</v>
      </c>
      <c r="H2983" s="35">
        <v>2.8084231520295214E-2</v>
      </c>
      <c r="I2983" s="35">
        <v>-7.8540098224306867E-2</v>
      </c>
      <c r="J2983" s="35">
        <v>9.6189088584163886E-5</v>
      </c>
      <c r="K2983" s="35">
        <v>-0.3962692601229294</v>
      </c>
      <c r="L2983" s="35">
        <v>-17.328565712555605</v>
      </c>
      <c r="M2983" s="58" t="s">
        <v>24</v>
      </c>
      <c r="N2983" s="7">
        <v>11.333333333333334</v>
      </c>
      <c r="O2983" s="7" t="s">
        <v>180</v>
      </c>
      <c r="P2983" s="7" t="s">
        <v>180</v>
      </c>
    </row>
    <row r="2984" spans="1:16" x14ac:dyDescent="0.25">
      <c r="A2984" s="2" t="s">
        <v>183</v>
      </c>
      <c r="B2984" s="2" t="s">
        <v>204</v>
      </c>
      <c r="C2984" s="6" t="s">
        <v>151</v>
      </c>
      <c r="D2984" s="2" t="s">
        <v>110</v>
      </c>
      <c r="E2984" s="2"/>
      <c r="F2984" s="35">
        <v>10.829833921897823</v>
      </c>
      <c r="G2984" s="35">
        <v>124.29421351670452</v>
      </c>
      <c r="H2984" s="35">
        <v>2.8084231520295214E-2</v>
      </c>
      <c r="I2984" s="35">
        <v>-7.8540098224306867E-2</v>
      </c>
      <c r="J2984" s="35">
        <v>9.6189088584163886E-5</v>
      </c>
      <c r="K2984" s="35">
        <v>2.9018849866463199E-2</v>
      </c>
      <c r="L2984" s="35">
        <v>-17.480639494150065</v>
      </c>
      <c r="M2984" s="58" t="s">
        <v>23</v>
      </c>
      <c r="N2984" s="7">
        <v>11.333333333333334</v>
      </c>
      <c r="O2984" s="7" t="s">
        <v>180</v>
      </c>
      <c r="P2984" s="7" t="s">
        <v>180</v>
      </c>
    </row>
    <row r="2985" spans="1:16" x14ac:dyDescent="0.25">
      <c r="A2985" s="2" t="s">
        <v>183</v>
      </c>
      <c r="B2985" s="2" t="s">
        <v>204</v>
      </c>
      <c r="C2985" s="6" t="s">
        <v>151</v>
      </c>
      <c r="D2985" s="2" t="s">
        <v>111</v>
      </c>
      <c r="E2985" s="2"/>
      <c r="F2985" s="35">
        <v>0</v>
      </c>
      <c r="G2985" s="35">
        <v>-95.594515317521271</v>
      </c>
      <c r="H2985" s="35">
        <v>-13.378949191331627</v>
      </c>
      <c r="I2985" s="35">
        <v>-0.88212906829502913</v>
      </c>
      <c r="J2985" s="35">
        <v>-2.7565096272910141E-4</v>
      </c>
      <c r="K2985" s="35">
        <v>4.2877663052524023E-2</v>
      </c>
      <c r="L2985" s="35">
        <v>-81.680155583095853</v>
      </c>
      <c r="M2985" s="58" t="s">
        <v>22</v>
      </c>
      <c r="N2985" s="7">
        <v>11.333333333333334</v>
      </c>
      <c r="O2985" s="7" t="s">
        <v>180</v>
      </c>
      <c r="P2985" s="7" t="s">
        <v>180</v>
      </c>
    </row>
    <row r="2986" spans="1:16" x14ac:dyDescent="0.25">
      <c r="A2986" s="2" t="s">
        <v>183</v>
      </c>
      <c r="B2986" s="2" t="s">
        <v>204</v>
      </c>
      <c r="C2986" s="6" t="s">
        <v>151</v>
      </c>
      <c r="D2986" s="2" t="s">
        <v>111</v>
      </c>
      <c r="E2986" s="2"/>
      <c r="F2986" s="35">
        <v>0.29999999999999988</v>
      </c>
      <c r="G2986" s="35">
        <v>-95.451609477521245</v>
      </c>
      <c r="H2986" s="35">
        <v>-13.378949191331627</v>
      </c>
      <c r="I2986" s="35">
        <v>-0.88212906829502913</v>
      </c>
      <c r="J2986" s="35">
        <v>-2.7565096272910141E-4</v>
      </c>
      <c r="K2986" s="35">
        <v>0.30751638354103267</v>
      </c>
      <c r="L2986" s="35">
        <v>-77.666470825696379</v>
      </c>
      <c r="M2986" s="58" t="s">
        <v>22</v>
      </c>
      <c r="N2986" s="7">
        <v>11.333333333333334</v>
      </c>
      <c r="O2986" s="7" t="s">
        <v>180</v>
      </c>
      <c r="P2986" s="7" t="s">
        <v>180</v>
      </c>
    </row>
    <row r="2987" spans="1:16" x14ac:dyDescent="0.25">
      <c r="A2987" s="2" t="s">
        <v>183</v>
      </c>
      <c r="B2987" s="2" t="s">
        <v>204</v>
      </c>
      <c r="C2987" s="6" t="s">
        <v>151</v>
      </c>
      <c r="D2987" s="2" t="s">
        <v>111</v>
      </c>
      <c r="E2987" s="2"/>
      <c r="F2987" s="35">
        <v>0.29999999999999988</v>
      </c>
      <c r="G2987" s="35">
        <v>-78.280532373228496</v>
      </c>
      <c r="H2987" s="35">
        <v>-13.378949191331618</v>
      </c>
      <c r="I2987" s="35">
        <v>0.10116131193177814</v>
      </c>
      <c r="J2987" s="35">
        <v>1.5738108706774578E-4</v>
      </c>
      <c r="K2987" s="35">
        <v>0.30751638354103328</v>
      </c>
      <c r="L2987" s="35">
        <v>-77.666444843773419</v>
      </c>
      <c r="M2987" s="58" t="s">
        <v>22</v>
      </c>
      <c r="N2987" s="7">
        <v>11.333333333333334</v>
      </c>
      <c r="O2987" s="7" t="s">
        <v>180</v>
      </c>
      <c r="P2987" s="7" t="s">
        <v>180</v>
      </c>
    </row>
    <row r="2988" spans="1:16" x14ac:dyDescent="0.25">
      <c r="A2988" s="2" t="s">
        <v>183</v>
      </c>
      <c r="B2988" s="2" t="s">
        <v>204</v>
      </c>
      <c r="C2988" s="6" t="s">
        <v>151</v>
      </c>
      <c r="D2988" s="2" t="s">
        <v>111</v>
      </c>
      <c r="E2988" s="2"/>
      <c r="F2988" s="35">
        <v>5.3</v>
      </c>
      <c r="G2988" s="35">
        <v>-75.898768373228492</v>
      </c>
      <c r="H2988" s="35">
        <v>-13.378949191331618</v>
      </c>
      <c r="I2988" s="35">
        <v>0.10116131193177814</v>
      </c>
      <c r="J2988" s="35">
        <v>1.5738108706774578E-4</v>
      </c>
      <c r="K2988" s="35">
        <v>-0.1982901761178574</v>
      </c>
      <c r="L2988" s="35">
        <v>-10.771698887115338</v>
      </c>
      <c r="M2988" s="58" t="s">
        <v>24</v>
      </c>
      <c r="N2988" s="7">
        <v>11.333333333333334</v>
      </c>
      <c r="O2988" s="7" t="s">
        <v>180</v>
      </c>
      <c r="P2988" s="7" t="s">
        <v>180</v>
      </c>
    </row>
    <row r="2989" spans="1:16" x14ac:dyDescent="0.25">
      <c r="A2989" s="2" t="s">
        <v>183</v>
      </c>
      <c r="B2989" s="2" t="s">
        <v>204</v>
      </c>
      <c r="C2989" s="6" t="s">
        <v>151</v>
      </c>
      <c r="D2989" s="2" t="s">
        <v>111</v>
      </c>
      <c r="E2989" s="2"/>
      <c r="F2989" s="35">
        <v>5.3</v>
      </c>
      <c r="G2989" s="35">
        <v>-89.232071991450368</v>
      </c>
      <c r="H2989" s="35">
        <v>-13.378899097327073</v>
      </c>
      <c r="I2989" s="35">
        <v>-4.4150519935986267E-2</v>
      </c>
      <c r="J2989" s="35">
        <v>-5.6187367239866842E-5</v>
      </c>
      <c r="K2989" s="35">
        <v>-0.19829017611785721</v>
      </c>
      <c r="L2989" s="35">
        <v>-10.771999720662425</v>
      </c>
      <c r="M2989" s="58" t="s">
        <v>24</v>
      </c>
      <c r="N2989" s="7">
        <v>11.333333333333334</v>
      </c>
      <c r="O2989" s="7" t="s">
        <v>180</v>
      </c>
      <c r="P2989" s="7" t="s">
        <v>180</v>
      </c>
    </row>
    <row r="2990" spans="1:16" x14ac:dyDescent="0.25">
      <c r="A2990" s="2" t="s">
        <v>183</v>
      </c>
      <c r="B2990" s="2" t="s">
        <v>204</v>
      </c>
      <c r="C2990" s="6" t="s">
        <v>151</v>
      </c>
      <c r="D2990" s="2" t="s">
        <v>111</v>
      </c>
      <c r="E2990" s="2"/>
      <c r="F2990" s="35">
        <v>5.4149169609489114</v>
      </c>
      <c r="G2990" s="35">
        <v>-89.177330975334868</v>
      </c>
      <c r="H2990" s="35">
        <v>-13.378899097327073</v>
      </c>
      <c r="I2990" s="35">
        <v>-4.4150519935986267E-2</v>
      </c>
      <c r="J2990" s="35">
        <v>-5.6187367239866842E-5</v>
      </c>
      <c r="K2990" s="35">
        <v>-0.19321653254249938</v>
      </c>
      <c r="L2990" s="35">
        <v>-9.2345372955554641</v>
      </c>
      <c r="M2990" s="58" t="s">
        <v>24</v>
      </c>
      <c r="N2990" s="7">
        <v>11.333333333333334</v>
      </c>
      <c r="O2990" s="7" t="s">
        <v>180</v>
      </c>
      <c r="P2990" s="7" t="s">
        <v>180</v>
      </c>
    </row>
    <row r="2991" spans="1:16" x14ac:dyDescent="0.25">
      <c r="A2991" s="2" t="s">
        <v>183</v>
      </c>
      <c r="B2991" s="2" t="s">
        <v>204</v>
      </c>
      <c r="C2991" s="6" t="s">
        <v>151</v>
      </c>
      <c r="D2991" s="2" t="s">
        <v>111</v>
      </c>
      <c r="E2991" s="2"/>
      <c r="F2991" s="35">
        <v>10.829833921897823</v>
      </c>
      <c r="G2991" s="35">
        <v>-86.597920119219353</v>
      </c>
      <c r="H2991" s="35">
        <v>-13.378899097327073</v>
      </c>
      <c r="I2991" s="35">
        <v>-4.4150519935986267E-2</v>
      </c>
      <c r="J2991" s="35">
        <v>-5.6187367239866842E-5</v>
      </c>
      <c r="K2991" s="35">
        <v>4.5854866693585683E-2</v>
      </c>
      <c r="L2991" s="35">
        <v>63.211090345384967</v>
      </c>
      <c r="M2991" s="58" t="s">
        <v>23</v>
      </c>
      <c r="N2991" s="7">
        <v>11.333333333333334</v>
      </c>
      <c r="O2991" s="7" t="s">
        <v>180</v>
      </c>
      <c r="P2991" s="7" t="s">
        <v>180</v>
      </c>
    </row>
    <row r="2992" spans="1:16" x14ac:dyDescent="0.25">
      <c r="A2992" s="2" t="s">
        <v>183</v>
      </c>
      <c r="B2992" s="2" t="s">
        <v>204</v>
      </c>
      <c r="C2992" s="6" t="s">
        <v>151</v>
      </c>
      <c r="D2992" s="2" t="s">
        <v>112</v>
      </c>
      <c r="E2992" s="2"/>
      <c r="F2992" s="35">
        <v>0</v>
      </c>
      <c r="G2992" s="35">
        <v>35.342664450054023</v>
      </c>
      <c r="H2992" s="35">
        <v>4.2459294584504663</v>
      </c>
      <c r="I2992" s="35">
        <v>-3.0416044750403906</v>
      </c>
      <c r="J2992" s="35">
        <v>3.4547735467907903E-4</v>
      </c>
      <c r="K2992" s="35">
        <v>-4.1068640517895449</v>
      </c>
      <c r="L2992" s="35">
        <v>15.611832368858764</v>
      </c>
      <c r="M2992" s="58" t="s">
        <v>22</v>
      </c>
      <c r="N2992" s="7">
        <v>11.333333333333334</v>
      </c>
      <c r="O2992" s="7" t="s">
        <v>180</v>
      </c>
      <c r="P2992" s="7" t="s">
        <v>180</v>
      </c>
    </row>
    <row r="2993" spans="1:16" x14ac:dyDescent="0.25">
      <c r="A2993" s="2" t="s">
        <v>183</v>
      </c>
      <c r="B2993" s="2" t="s">
        <v>204</v>
      </c>
      <c r="C2993" s="6" t="s">
        <v>151</v>
      </c>
      <c r="D2993" s="2" t="s">
        <v>112</v>
      </c>
      <c r="E2993" s="2"/>
      <c r="F2993" s="35">
        <v>0.29999999999999988</v>
      </c>
      <c r="G2993" s="35">
        <v>35.485570290054028</v>
      </c>
      <c r="H2993" s="35">
        <v>4.2459294584504663</v>
      </c>
      <c r="I2993" s="35">
        <v>-3.0416044750403906</v>
      </c>
      <c r="J2993" s="35">
        <v>3.4547735467907903E-4</v>
      </c>
      <c r="K2993" s="35">
        <v>-3.1943827092774284</v>
      </c>
      <c r="L2993" s="35">
        <v>14.338053531323627</v>
      </c>
      <c r="M2993" s="58" t="s">
        <v>22</v>
      </c>
      <c r="N2993" s="7">
        <v>11.333333333333334</v>
      </c>
      <c r="O2993" s="7" t="s">
        <v>180</v>
      </c>
      <c r="P2993" s="7" t="s">
        <v>180</v>
      </c>
    </row>
    <row r="2994" spans="1:16" x14ac:dyDescent="0.25">
      <c r="A2994" s="2" t="s">
        <v>183</v>
      </c>
      <c r="B2994" s="2" t="s">
        <v>204</v>
      </c>
      <c r="C2994" s="6" t="s">
        <v>151</v>
      </c>
      <c r="D2994" s="2" t="s">
        <v>112</v>
      </c>
      <c r="E2994" s="2"/>
      <c r="F2994" s="35">
        <v>0.29999999999999988</v>
      </c>
      <c r="G2994" s="35">
        <v>69.783630185439435</v>
      </c>
      <c r="H2994" s="35">
        <v>4.2459294584504734</v>
      </c>
      <c r="I2994" s="35">
        <v>-1.0306951273480112</v>
      </c>
      <c r="J2994" s="35">
        <v>1.9668401445212334E-4</v>
      </c>
      <c r="K2994" s="35">
        <v>-3.1943827092774302</v>
      </c>
      <c r="L2994" s="35">
        <v>14.33804460372321</v>
      </c>
      <c r="M2994" s="58" t="s">
        <v>22</v>
      </c>
      <c r="N2994" s="7">
        <v>11.333333333333334</v>
      </c>
      <c r="O2994" s="7" t="s">
        <v>180</v>
      </c>
      <c r="P2994" s="7" t="s">
        <v>180</v>
      </c>
    </row>
    <row r="2995" spans="1:16" x14ac:dyDescent="0.25">
      <c r="A2995" s="2" t="s">
        <v>183</v>
      </c>
      <c r="B2995" s="2" t="s">
        <v>204</v>
      </c>
      <c r="C2995" s="6" t="s">
        <v>151</v>
      </c>
      <c r="D2995" s="2" t="s">
        <v>112</v>
      </c>
      <c r="E2995" s="2"/>
      <c r="F2995" s="35">
        <v>5.3</v>
      </c>
      <c r="G2995" s="35">
        <v>72.165394185439439</v>
      </c>
      <c r="H2995" s="35">
        <v>4.2459294584504734</v>
      </c>
      <c r="I2995" s="35">
        <v>-1.0306951273480112</v>
      </c>
      <c r="J2995" s="35">
        <v>1.9668401445212334E-4</v>
      </c>
      <c r="K2995" s="35">
        <v>1.9590929274626245</v>
      </c>
      <c r="L2995" s="35">
        <v>-6.8916026885291561</v>
      </c>
      <c r="M2995" s="58" t="s">
        <v>24</v>
      </c>
      <c r="N2995" s="7">
        <v>11.333333333333334</v>
      </c>
      <c r="O2995" s="7" t="s">
        <v>180</v>
      </c>
      <c r="P2995" s="7" t="s">
        <v>180</v>
      </c>
    </row>
    <row r="2996" spans="1:16" x14ac:dyDescent="0.25">
      <c r="A2996" s="2" t="s">
        <v>183</v>
      </c>
      <c r="B2996" s="2" t="s">
        <v>204</v>
      </c>
      <c r="C2996" s="6" t="s">
        <v>151</v>
      </c>
      <c r="D2996" s="2" t="s">
        <v>112</v>
      </c>
      <c r="E2996" s="2"/>
      <c r="F2996" s="35">
        <v>5.3</v>
      </c>
      <c r="G2996" s="35">
        <v>46.051671330570947</v>
      </c>
      <c r="H2996" s="35">
        <v>4.2459373470412256</v>
      </c>
      <c r="I2996" s="35">
        <v>0.31368064493633935</v>
      </c>
      <c r="J2996" s="35">
        <v>3.7736755009904751E-4</v>
      </c>
      <c r="K2996" s="35">
        <v>1.9590929274626261</v>
      </c>
      <c r="L2996" s="35">
        <v>-6.8912017043410803</v>
      </c>
      <c r="M2996" s="58" t="s">
        <v>24</v>
      </c>
      <c r="N2996" s="7">
        <v>11.333333333333334</v>
      </c>
      <c r="O2996" s="7" t="s">
        <v>180</v>
      </c>
      <c r="P2996" s="7" t="s">
        <v>180</v>
      </c>
    </row>
    <row r="2997" spans="1:16" x14ac:dyDescent="0.25">
      <c r="A2997" s="2" t="s">
        <v>183</v>
      </c>
      <c r="B2997" s="2" t="s">
        <v>204</v>
      </c>
      <c r="C2997" s="6" t="s">
        <v>151</v>
      </c>
      <c r="D2997" s="2" t="s">
        <v>112</v>
      </c>
      <c r="E2997" s="2"/>
      <c r="F2997" s="35">
        <v>5.4149169609489114</v>
      </c>
      <c r="G2997" s="35">
        <v>46.106412346686461</v>
      </c>
      <c r="H2997" s="35">
        <v>4.2459373470412256</v>
      </c>
      <c r="I2997" s="35">
        <v>0.31368064493633935</v>
      </c>
      <c r="J2997" s="35">
        <v>3.7736755009904751E-4</v>
      </c>
      <c r="K2997" s="35">
        <v>1.9230457010380473</v>
      </c>
      <c r="L2997" s="35">
        <v>-7.379131920642541</v>
      </c>
      <c r="M2997" s="58" t="s">
        <v>24</v>
      </c>
      <c r="N2997" s="7">
        <v>11.333333333333334</v>
      </c>
      <c r="O2997" s="7" t="s">
        <v>180</v>
      </c>
      <c r="P2997" s="7" t="s">
        <v>180</v>
      </c>
    </row>
    <row r="2998" spans="1:16" x14ac:dyDescent="0.25">
      <c r="A2998" s="2" t="s">
        <v>183</v>
      </c>
      <c r="B2998" s="2" t="s">
        <v>204</v>
      </c>
      <c r="C2998" s="6" t="s">
        <v>151</v>
      </c>
      <c r="D2998" s="2" t="s">
        <v>112</v>
      </c>
      <c r="E2998" s="2"/>
      <c r="F2998" s="35">
        <v>10.829833921897823</v>
      </c>
      <c r="G2998" s="35">
        <v>48.685823202801949</v>
      </c>
      <c r="H2998" s="35">
        <v>4.2459373470412256</v>
      </c>
      <c r="I2998" s="35">
        <v>0.31368064493633935</v>
      </c>
      <c r="J2998" s="35">
        <v>3.7736755009904751E-4</v>
      </c>
      <c r="K2998" s="35">
        <v>0.22449105645087053</v>
      </c>
      <c r="L2998" s="35">
        <v>-30.37053007626249</v>
      </c>
      <c r="M2998" s="58" t="s">
        <v>23</v>
      </c>
      <c r="N2998" s="7">
        <v>11.333333333333334</v>
      </c>
      <c r="O2998" s="7" t="s">
        <v>180</v>
      </c>
      <c r="P2998" s="7" t="s">
        <v>180</v>
      </c>
    </row>
    <row r="2999" spans="1:16" x14ac:dyDescent="0.25">
      <c r="A2999" s="2" t="s">
        <v>183</v>
      </c>
      <c r="B2999" s="2" t="s">
        <v>204</v>
      </c>
      <c r="C2999" s="6" t="s">
        <v>151</v>
      </c>
      <c r="D2999" s="2" t="s">
        <v>113</v>
      </c>
      <c r="E2999" s="2"/>
      <c r="F2999" s="35">
        <v>0</v>
      </c>
      <c r="G2999" s="35">
        <v>-37.691857740763595</v>
      </c>
      <c r="H2999" s="35">
        <v>1.4338280001173214</v>
      </c>
      <c r="I2999" s="35">
        <v>-3.9730102047586153</v>
      </c>
      <c r="J2999" s="35">
        <v>4.2373082794299312E-4</v>
      </c>
      <c r="K2999" s="35">
        <v>-4.5978386533207773</v>
      </c>
      <c r="L2999" s="35">
        <v>6.523938326635137</v>
      </c>
      <c r="M2999" s="58" t="s">
        <v>22</v>
      </c>
      <c r="N2999" s="7">
        <v>11.333333333333334</v>
      </c>
      <c r="O2999" s="7" t="s">
        <v>180</v>
      </c>
      <c r="P2999" s="7" t="s">
        <v>180</v>
      </c>
    </row>
    <row r="3000" spans="1:16" x14ac:dyDescent="0.25">
      <c r="A3000" s="2" t="s">
        <v>183</v>
      </c>
      <c r="B3000" s="2" t="s">
        <v>204</v>
      </c>
      <c r="C3000" s="6" t="s">
        <v>151</v>
      </c>
      <c r="D3000" s="2" t="s">
        <v>113</v>
      </c>
      <c r="E3000" s="2"/>
      <c r="F3000" s="35">
        <v>0.29999999999999988</v>
      </c>
      <c r="G3000" s="35">
        <v>-37.548951900763591</v>
      </c>
      <c r="H3000" s="35">
        <v>1.4338280001173214</v>
      </c>
      <c r="I3000" s="35">
        <v>-3.9730102047586153</v>
      </c>
      <c r="J3000" s="35">
        <v>4.2373082794299312E-4</v>
      </c>
      <c r="K3000" s="35">
        <v>-3.4059355918931931</v>
      </c>
      <c r="L3000" s="35">
        <v>6.0937899265999409</v>
      </c>
      <c r="M3000" s="58" t="s">
        <v>22</v>
      </c>
      <c r="N3000" s="7">
        <v>11.333333333333334</v>
      </c>
      <c r="O3000" s="7" t="s">
        <v>180</v>
      </c>
      <c r="P3000" s="7" t="s">
        <v>180</v>
      </c>
    </row>
    <row r="3001" spans="1:16" x14ac:dyDescent="0.25">
      <c r="A3001" s="2" t="s">
        <v>183</v>
      </c>
      <c r="B3001" s="2" t="s">
        <v>204</v>
      </c>
      <c r="C3001" s="6" t="s">
        <v>151</v>
      </c>
      <c r="D3001" s="2" t="s">
        <v>113</v>
      </c>
      <c r="E3001" s="2"/>
      <c r="F3001" s="35">
        <v>0.29999999999999988</v>
      </c>
      <c r="G3001" s="35">
        <v>11.103121951426711</v>
      </c>
      <c r="H3001" s="35">
        <v>1.4338280001173105</v>
      </c>
      <c r="I3001" s="35">
        <v>-1.1008600196579519</v>
      </c>
      <c r="J3001" s="35">
        <v>2.7621783162399806E-4</v>
      </c>
      <c r="K3001" s="35">
        <v>-3.4059355918931944</v>
      </c>
      <c r="L3001" s="35">
        <v>6.0937810758201607</v>
      </c>
      <c r="M3001" s="58" t="s">
        <v>22</v>
      </c>
      <c r="N3001" s="7">
        <v>11.333333333333334</v>
      </c>
      <c r="O3001" s="7" t="s">
        <v>180</v>
      </c>
      <c r="P3001" s="7" t="s">
        <v>180</v>
      </c>
    </row>
    <row r="3002" spans="1:16" x14ac:dyDescent="0.25">
      <c r="A3002" s="2" t="s">
        <v>183</v>
      </c>
      <c r="B3002" s="2" t="s">
        <v>204</v>
      </c>
      <c r="C3002" s="6" t="s">
        <v>151</v>
      </c>
      <c r="D3002" s="2" t="s">
        <v>113</v>
      </c>
      <c r="E3002" s="2"/>
      <c r="F3002" s="35">
        <v>5.3</v>
      </c>
      <c r="G3002" s="35">
        <v>13.484885951426707</v>
      </c>
      <c r="H3002" s="35">
        <v>1.4338280001173105</v>
      </c>
      <c r="I3002" s="35">
        <v>-1.1008600196579519</v>
      </c>
      <c r="J3002" s="35">
        <v>2.7621783162399806E-4</v>
      </c>
      <c r="K3002" s="35">
        <v>2.0983645063965652</v>
      </c>
      <c r="L3002" s="35">
        <v>-1.0753589247663913</v>
      </c>
      <c r="M3002" s="58" t="s">
        <v>24</v>
      </c>
      <c r="N3002" s="7">
        <v>11.333333333333334</v>
      </c>
      <c r="O3002" s="7" t="s">
        <v>180</v>
      </c>
      <c r="P3002" s="7" t="s">
        <v>180</v>
      </c>
    </row>
    <row r="3003" spans="1:16" x14ac:dyDescent="0.25">
      <c r="A3003" s="2" t="s">
        <v>183</v>
      </c>
      <c r="B3003" s="2" t="s">
        <v>204</v>
      </c>
      <c r="C3003" s="6" t="s">
        <v>151</v>
      </c>
      <c r="D3003" s="2" t="s">
        <v>113</v>
      </c>
      <c r="E3003" s="2"/>
      <c r="F3003" s="35">
        <v>5.3</v>
      </c>
      <c r="G3003" s="35">
        <v>-25.808044729146506</v>
      </c>
      <c r="H3003" s="35">
        <v>1.4338498117303513</v>
      </c>
      <c r="I3003" s="35">
        <v>0.33680417710216404</v>
      </c>
      <c r="J3003" s="35">
        <v>3.2219486717703719E-4</v>
      </c>
      <c r="K3003" s="35">
        <v>2.0983645063965639</v>
      </c>
      <c r="L3003" s="35">
        <v>-1.0751195654258212</v>
      </c>
      <c r="M3003" s="58" t="s">
        <v>24</v>
      </c>
      <c r="N3003" s="7">
        <v>11.333333333333334</v>
      </c>
      <c r="O3003" s="7" t="s">
        <v>180</v>
      </c>
      <c r="P3003" s="7" t="s">
        <v>180</v>
      </c>
    </row>
    <row r="3004" spans="1:16" x14ac:dyDescent="0.25">
      <c r="A3004" s="2" t="s">
        <v>183</v>
      </c>
      <c r="B3004" s="2" t="s">
        <v>204</v>
      </c>
      <c r="C3004" s="6" t="s">
        <v>151</v>
      </c>
      <c r="D3004" s="2" t="s">
        <v>113</v>
      </c>
      <c r="E3004" s="2"/>
      <c r="F3004" s="35">
        <v>5.4149169609489114</v>
      </c>
      <c r="G3004" s="35">
        <v>-25.753303713030991</v>
      </c>
      <c r="H3004" s="35">
        <v>1.4338498117303513</v>
      </c>
      <c r="I3004" s="35">
        <v>0.33680417710216404</v>
      </c>
      <c r="J3004" s="35">
        <v>3.2219486717703719E-4</v>
      </c>
      <c r="K3004" s="35">
        <v>2.0596599939290843</v>
      </c>
      <c r="L3004" s="35">
        <v>-1.2398932282470425</v>
      </c>
      <c r="M3004" s="58" t="s">
        <v>24</v>
      </c>
      <c r="N3004" s="7">
        <v>11.333333333333334</v>
      </c>
      <c r="O3004" s="7" t="s">
        <v>180</v>
      </c>
      <c r="P3004" s="7" t="s">
        <v>180</v>
      </c>
    </row>
    <row r="3005" spans="1:16" x14ac:dyDescent="0.25">
      <c r="A3005" s="2" t="s">
        <v>183</v>
      </c>
      <c r="B3005" s="2" t="s">
        <v>204</v>
      </c>
      <c r="C3005" s="6" t="s">
        <v>151</v>
      </c>
      <c r="D3005" s="2" t="s">
        <v>113</v>
      </c>
      <c r="E3005" s="2"/>
      <c r="F3005" s="35">
        <v>10.829833921897823</v>
      </c>
      <c r="G3005" s="35">
        <v>-23.173892856915504</v>
      </c>
      <c r="H3005" s="35">
        <v>1.4338498117303513</v>
      </c>
      <c r="I3005" s="35">
        <v>0.33680417710216404</v>
      </c>
      <c r="J3005" s="35">
        <v>3.2219486717703719E-4</v>
      </c>
      <c r="K3005" s="35">
        <v>0.23589334282013616</v>
      </c>
      <c r="L3005" s="35">
        <v>-9.004070893239124</v>
      </c>
      <c r="M3005" s="58" t="s">
        <v>23</v>
      </c>
      <c r="N3005" s="7">
        <v>11.333333333333334</v>
      </c>
      <c r="O3005" s="7" t="s">
        <v>180</v>
      </c>
      <c r="P3005" s="7" t="s">
        <v>180</v>
      </c>
    </row>
    <row r="3006" spans="1:16" x14ac:dyDescent="0.25">
      <c r="A3006" s="2" t="s">
        <v>183</v>
      </c>
      <c r="B3006" s="2" t="s">
        <v>204</v>
      </c>
      <c r="C3006" s="6" t="s">
        <v>151</v>
      </c>
      <c r="D3006" s="2" t="s">
        <v>114</v>
      </c>
      <c r="E3006" s="2"/>
      <c r="F3006" s="35">
        <v>0</v>
      </c>
      <c r="G3006" s="35">
        <v>53.57431080092794</v>
      </c>
      <c r="H3006" s="35">
        <v>3.4058863239031747</v>
      </c>
      <c r="I3006" s="35">
        <v>3.4829521519091546</v>
      </c>
      <c r="J3006" s="35">
        <v>-4.6242561867385702E-4</v>
      </c>
      <c r="K3006" s="35">
        <v>4.311226080375409</v>
      </c>
      <c r="L3006" s="35">
        <v>12.144100013199637</v>
      </c>
      <c r="M3006" s="58" t="s">
        <v>22</v>
      </c>
      <c r="N3006" s="7">
        <v>11.333333333333334</v>
      </c>
      <c r="O3006" s="7" t="s">
        <v>180</v>
      </c>
      <c r="P3006" s="7" t="s">
        <v>180</v>
      </c>
    </row>
    <row r="3007" spans="1:16" x14ac:dyDescent="0.25">
      <c r="A3007" s="2" t="s">
        <v>183</v>
      </c>
      <c r="B3007" s="2" t="s">
        <v>204</v>
      </c>
      <c r="C3007" s="6" t="s">
        <v>151</v>
      </c>
      <c r="D3007" s="2" t="s">
        <v>114</v>
      </c>
      <c r="E3007" s="2"/>
      <c r="F3007" s="35">
        <v>0.29999999999999988</v>
      </c>
      <c r="G3007" s="35">
        <v>53.717216640927951</v>
      </c>
      <c r="H3007" s="35">
        <v>3.4058863239031747</v>
      </c>
      <c r="I3007" s="35">
        <v>3.4829521519091546</v>
      </c>
      <c r="J3007" s="35">
        <v>-4.6242561867385702E-4</v>
      </c>
      <c r="K3007" s="35">
        <v>3.2663404348026632</v>
      </c>
      <c r="L3007" s="35">
        <v>11.122334116028684</v>
      </c>
      <c r="M3007" s="58" t="s">
        <v>22</v>
      </c>
      <c r="N3007" s="7">
        <v>11.333333333333334</v>
      </c>
      <c r="O3007" s="7" t="s">
        <v>180</v>
      </c>
      <c r="P3007" s="7" t="s">
        <v>180</v>
      </c>
    </row>
    <row r="3008" spans="1:16" x14ac:dyDescent="0.25">
      <c r="A3008" s="2" t="s">
        <v>183</v>
      </c>
      <c r="B3008" s="2" t="s">
        <v>204</v>
      </c>
      <c r="C3008" s="6" t="s">
        <v>151</v>
      </c>
      <c r="D3008" s="2" t="s">
        <v>114</v>
      </c>
      <c r="E3008" s="2"/>
      <c r="F3008" s="35">
        <v>0.29999999999999988</v>
      </c>
      <c r="G3008" s="35">
        <v>14.112594419923594</v>
      </c>
      <c r="H3008" s="35">
        <v>3.4058863239031791</v>
      </c>
      <c r="I3008" s="35">
        <v>1.0597005726181412</v>
      </c>
      <c r="J3008" s="35">
        <v>-3.7161379794685331E-4</v>
      </c>
      <c r="K3008" s="35">
        <v>3.2663404348026646</v>
      </c>
      <c r="L3008" s="35">
        <v>11.122339564737924</v>
      </c>
      <c r="M3008" s="58" t="s">
        <v>22</v>
      </c>
      <c r="N3008" s="7">
        <v>11.333333333333334</v>
      </c>
      <c r="O3008" s="7" t="s">
        <v>180</v>
      </c>
      <c r="P3008" s="7" t="s">
        <v>180</v>
      </c>
    </row>
    <row r="3009" spans="1:16" x14ac:dyDescent="0.25">
      <c r="A3009" s="2" t="s">
        <v>183</v>
      </c>
      <c r="B3009" s="2" t="s">
        <v>204</v>
      </c>
      <c r="C3009" s="6" t="s">
        <v>151</v>
      </c>
      <c r="D3009" s="2" t="s">
        <v>114</v>
      </c>
      <c r="E3009" s="2"/>
      <c r="F3009" s="35">
        <v>5.3</v>
      </c>
      <c r="G3009" s="35">
        <v>16.494358419923589</v>
      </c>
      <c r="H3009" s="35">
        <v>3.4058863239031791</v>
      </c>
      <c r="I3009" s="35">
        <v>1.0597005726181412</v>
      </c>
      <c r="J3009" s="35">
        <v>-3.7161379794685331E-4</v>
      </c>
      <c r="K3009" s="35">
        <v>-2.0321624282880411</v>
      </c>
      <c r="L3009" s="35">
        <v>-5.9070920547779693</v>
      </c>
      <c r="M3009" s="58" t="s">
        <v>24</v>
      </c>
      <c r="N3009" s="7">
        <v>11.333333333333334</v>
      </c>
      <c r="O3009" s="7" t="s">
        <v>180</v>
      </c>
      <c r="P3009" s="7" t="s">
        <v>180</v>
      </c>
    </row>
    <row r="3010" spans="1:16" x14ac:dyDescent="0.25">
      <c r="A3010" s="2" t="s">
        <v>183</v>
      </c>
      <c r="B3010" s="2" t="s">
        <v>204</v>
      </c>
      <c r="C3010" s="6" t="s">
        <v>151</v>
      </c>
      <c r="D3010" s="2" t="s">
        <v>114</v>
      </c>
      <c r="E3010" s="2"/>
      <c r="F3010" s="35">
        <v>5.3</v>
      </c>
      <c r="G3010" s="35">
        <v>53.33521758285098</v>
      </c>
      <c r="H3010" s="35">
        <v>3.4058467855065726</v>
      </c>
      <c r="I3010" s="35">
        <v>-0.34832763565667108</v>
      </c>
      <c r="J3010" s="35">
        <v>-2.2144987019025858E-4</v>
      </c>
      <c r="K3010" s="35">
        <v>-2.0321624282880411</v>
      </c>
      <c r="L3010" s="35">
        <v>-5.9070646248021728</v>
      </c>
      <c r="M3010" s="58" t="s">
        <v>24</v>
      </c>
      <c r="N3010" s="7">
        <v>11.333333333333334</v>
      </c>
      <c r="O3010" s="7" t="s">
        <v>180</v>
      </c>
      <c r="P3010" s="7" t="s">
        <v>180</v>
      </c>
    </row>
    <row r="3011" spans="1:16" x14ac:dyDescent="0.25">
      <c r="A3011" s="2" t="s">
        <v>183</v>
      </c>
      <c r="B3011" s="2" t="s">
        <v>204</v>
      </c>
      <c r="C3011" s="6" t="s">
        <v>151</v>
      </c>
      <c r="D3011" s="2" t="s">
        <v>114</v>
      </c>
      <c r="E3011" s="2"/>
      <c r="F3011" s="35">
        <v>5.4149169609489114</v>
      </c>
      <c r="G3011" s="35">
        <v>53.389958598966494</v>
      </c>
      <c r="H3011" s="35">
        <v>3.4058467855065726</v>
      </c>
      <c r="I3011" s="35">
        <v>-0.34832763565667108</v>
      </c>
      <c r="J3011" s="35">
        <v>-2.2144987019025858E-4</v>
      </c>
      <c r="K3011" s="35">
        <v>-1.9921336749838565</v>
      </c>
      <c r="L3011" s="35">
        <v>-6.2984541868502077</v>
      </c>
      <c r="M3011" s="58" t="s">
        <v>24</v>
      </c>
      <c r="N3011" s="7">
        <v>11.333333333333334</v>
      </c>
      <c r="O3011" s="7" t="s">
        <v>180</v>
      </c>
      <c r="P3011" s="7" t="s">
        <v>180</v>
      </c>
    </row>
    <row r="3012" spans="1:16" x14ac:dyDescent="0.25">
      <c r="A3012" s="2" t="s">
        <v>183</v>
      </c>
      <c r="B3012" s="2" t="s">
        <v>204</v>
      </c>
      <c r="C3012" s="6" t="s">
        <v>151</v>
      </c>
      <c r="D3012" s="2" t="s">
        <v>114</v>
      </c>
      <c r="E3012" s="2"/>
      <c r="F3012" s="35">
        <v>10.829833921897823</v>
      </c>
      <c r="G3012" s="35">
        <v>55.969369455081981</v>
      </c>
      <c r="H3012" s="35">
        <v>3.4058467855065726</v>
      </c>
      <c r="I3012" s="35">
        <v>-0.34832763565667108</v>
      </c>
      <c r="J3012" s="35">
        <v>-2.2144987019025858E-4</v>
      </c>
      <c r="K3012" s="35">
        <v>-0.10596845269931601</v>
      </c>
      <c r="L3012" s="35">
        <v>-24.740831712083065</v>
      </c>
      <c r="M3012" s="58" t="s">
        <v>23</v>
      </c>
      <c r="N3012" s="7">
        <v>11.333333333333334</v>
      </c>
      <c r="O3012" s="7" t="s">
        <v>180</v>
      </c>
      <c r="P3012" s="7" t="s">
        <v>180</v>
      </c>
    </row>
    <row r="3013" spans="1:16" x14ac:dyDescent="0.25">
      <c r="A3013" s="2" t="s">
        <v>183</v>
      </c>
      <c r="B3013" s="2" t="s">
        <v>204</v>
      </c>
      <c r="C3013" s="6" t="s">
        <v>151</v>
      </c>
      <c r="D3013" s="2" t="s">
        <v>115</v>
      </c>
      <c r="E3013" s="2"/>
      <c r="F3013" s="35">
        <v>0</v>
      </c>
      <c r="G3013" s="35">
        <v>-19.469015888250532</v>
      </c>
      <c r="H3013" s="35">
        <v>0.5950871815268246</v>
      </c>
      <c r="I3013" s="35">
        <v>2.5491523344114682</v>
      </c>
      <c r="J3013" s="35">
        <v>-3.8313374668379663E-4</v>
      </c>
      <c r="K3013" s="35">
        <v>3.8171882476031729</v>
      </c>
      <c r="L3013" s="35">
        <v>3.0616270596475808</v>
      </c>
      <c r="M3013" s="58" t="s">
        <v>22</v>
      </c>
      <c r="N3013" s="7">
        <v>11.333333333333334</v>
      </c>
      <c r="O3013" s="7" t="s">
        <v>180</v>
      </c>
      <c r="P3013" s="7" t="s">
        <v>180</v>
      </c>
    </row>
    <row r="3014" spans="1:16" x14ac:dyDescent="0.25">
      <c r="A3014" s="2" t="s">
        <v>183</v>
      </c>
      <c r="B3014" s="2" t="s">
        <v>204</v>
      </c>
      <c r="C3014" s="6" t="s">
        <v>151</v>
      </c>
      <c r="D3014" s="2" t="s">
        <v>115</v>
      </c>
      <c r="E3014" s="2"/>
      <c r="F3014" s="35">
        <v>0.29999999999999988</v>
      </c>
      <c r="G3014" s="35">
        <v>-19.326110048250523</v>
      </c>
      <c r="H3014" s="35">
        <v>0.5950871815268246</v>
      </c>
      <c r="I3014" s="35">
        <v>2.5491523344114682</v>
      </c>
      <c r="J3014" s="35">
        <v>-3.8313374668379663E-4</v>
      </c>
      <c r="K3014" s="35">
        <v>3.0524425472797327</v>
      </c>
      <c r="L3014" s="35">
        <v>2.8831009051895342</v>
      </c>
      <c r="M3014" s="58" t="s">
        <v>22</v>
      </c>
      <c r="N3014" s="7">
        <v>11.333333333333334</v>
      </c>
      <c r="O3014" s="7" t="s">
        <v>180</v>
      </c>
      <c r="P3014" s="7" t="s">
        <v>180</v>
      </c>
    </row>
    <row r="3015" spans="1:16" x14ac:dyDescent="0.25">
      <c r="A3015" s="2" t="s">
        <v>183</v>
      </c>
      <c r="B3015" s="2" t="s">
        <v>204</v>
      </c>
      <c r="C3015" s="6" t="s">
        <v>151</v>
      </c>
      <c r="D3015" s="2" t="s">
        <v>115</v>
      </c>
      <c r="E3015" s="2"/>
      <c r="F3015" s="35">
        <v>0.29999999999999988</v>
      </c>
      <c r="G3015" s="35">
        <v>-44.549442075041469</v>
      </c>
      <c r="H3015" s="35">
        <v>0.59508718152682272</v>
      </c>
      <c r="I3015" s="35">
        <v>0.98877816677324715</v>
      </c>
      <c r="J3015" s="35">
        <v>-2.9142781594266643E-4</v>
      </c>
      <c r="K3015" s="35">
        <v>3.0524425472797359</v>
      </c>
      <c r="L3015" s="35">
        <v>2.8831064075453758</v>
      </c>
      <c r="M3015" s="58" t="s">
        <v>22</v>
      </c>
      <c r="N3015" s="7">
        <v>11.333333333333334</v>
      </c>
      <c r="O3015" s="7" t="s">
        <v>180</v>
      </c>
      <c r="P3015" s="7" t="s">
        <v>180</v>
      </c>
    </row>
    <row r="3016" spans="1:16" x14ac:dyDescent="0.25">
      <c r="A3016" s="2" t="s">
        <v>183</v>
      </c>
      <c r="B3016" s="2" t="s">
        <v>204</v>
      </c>
      <c r="C3016" s="6" t="s">
        <v>151</v>
      </c>
      <c r="D3016" s="2" t="s">
        <v>115</v>
      </c>
      <c r="E3016" s="2"/>
      <c r="F3016" s="35">
        <v>5.3</v>
      </c>
      <c r="G3016" s="35">
        <v>-42.167678075041472</v>
      </c>
      <c r="H3016" s="35">
        <v>0.59508718152682272</v>
      </c>
      <c r="I3016" s="35">
        <v>0.98877816677324715</v>
      </c>
      <c r="J3016" s="35">
        <v>-2.9142781594266643E-4</v>
      </c>
      <c r="K3016" s="35">
        <v>-1.8914482865864994</v>
      </c>
      <c r="L3016" s="35">
        <v>-9.2329500088738248E-2</v>
      </c>
      <c r="M3016" s="58" t="s">
        <v>24</v>
      </c>
      <c r="N3016" s="7">
        <v>11.333333333333334</v>
      </c>
      <c r="O3016" s="7" t="s">
        <v>180</v>
      </c>
      <c r="P3016" s="7" t="s">
        <v>180</v>
      </c>
    </row>
    <row r="3017" spans="1:16" x14ac:dyDescent="0.25">
      <c r="A3017" s="2" t="s">
        <v>183</v>
      </c>
      <c r="B3017" s="2" t="s">
        <v>204</v>
      </c>
      <c r="C3017" s="6" t="s">
        <v>151</v>
      </c>
      <c r="D3017" s="2" t="s">
        <v>115</v>
      </c>
      <c r="E3017" s="2"/>
      <c r="F3017" s="35">
        <v>5.3</v>
      </c>
      <c r="G3017" s="35">
        <v>-18.52927569388947</v>
      </c>
      <c r="H3017" s="35">
        <v>0.59506164702260222</v>
      </c>
      <c r="I3017" s="35">
        <v>-0.32496456658025169</v>
      </c>
      <c r="J3017" s="35">
        <v>-2.7593359167037807E-4</v>
      </c>
      <c r="K3017" s="35">
        <v>-1.8914482865864992</v>
      </c>
      <c r="L3017" s="35">
        <v>-9.2463117400773773E-2</v>
      </c>
      <c r="M3017" s="58" t="s">
        <v>24</v>
      </c>
      <c r="N3017" s="7">
        <v>11.333333333333334</v>
      </c>
      <c r="O3017" s="7" t="s">
        <v>180</v>
      </c>
      <c r="P3017" s="7" t="s">
        <v>180</v>
      </c>
    </row>
    <row r="3018" spans="1:16" x14ac:dyDescent="0.25">
      <c r="A3018" s="2" t="s">
        <v>183</v>
      </c>
      <c r="B3018" s="2" t="s">
        <v>204</v>
      </c>
      <c r="C3018" s="6" t="s">
        <v>151</v>
      </c>
      <c r="D3018" s="2" t="s">
        <v>115</v>
      </c>
      <c r="E3018" s="2"/>
      <c r="F3018" s="35">
        <v>5.4149169609489114</v>
      </c>
      <c r="G3018" s="35">
        <v>-18.474534677773956</v>
      </c>
      <c r="H3018" s="35">
        <v>0.59506164702260222</v>
      </c>
      <c r="I3018" s="35">
        <v>-0.32496456658025169</v>
      </c>
      <c r="J3018" s="35">
        <v>-2.7593359167037807E-4</v>
      </c>
      <c r="K3018" s="35">
        <v>-1.8541043461790163</v>
      </c>
      <c r="L3018" s="35">
        <v>-0.16084579345386565</v>
      </c>
      <c r="M3018" s="58" t="s">
        <v>24</v>
      </c>
      <c r="N3018" s="7">
        <v>11.333333333333334</v>
      </c>
      <c r="O3018" s="7" t="s">
        <v>180</v>
      </c>
      <c r="P3018" s="7" t="s">
        <v>180</v>
      </c>
    </row>
    <row r="3019" spans="1:16" x14ac:dyDescent="0.25">
      <c r="A3019" s="2" t="s">
        <v>183</v>
      </c>
      <c r="B3019" s="2" t="s">
        <v>204</v>
      </c>
      <c r="C3019" s="6" t="s">
        <v>151</v>
      </c>
      <c r="D3019" s="2" t="s">
        <v>115</v>
      </c>
      <c r="E3019" s="2"/>
      <c r="F3019" s="35">
        <v>10.829833921897823</v>
      </c>
      <c r="G3019" s="35">
        <v>-15.895123821658473</v>
      </c>
      <c r="H3019" s="35">
        <v>0.59506164702260222</v>
      </c>
      <c r="I3019" s="35">
        <v>-0.32496456658025169</v>
      </c>
      <c r="J3019" s="35">
        <v>-2.7593359167037807E-4</v>
      </c>
      <c r="K3019" s="35">
        <v>-9.4448202896200262E-2</v>
      </c>
      <c r="L3019" s="35">
        <v>-3.3830551987267463</v>
      </c>
      <c r="M3019" s="58" t="s">
        <v>23</v>
      </c>
      <c r="N3019" s="7">
        <v>11.333333333333334</v>
      </c>
      <c r="O3019" s="7" t="s">
        <v>180</v>
      </c>
      <c r="P3019" s="7" t="s">
        <v>180</v>
      </c>
    </row>
    <row r="3020" spans="1:16" x14ac:dyDescent="0.25">
      <c r="A3020" s="2" t="s">
        <v>183</v>
      </c>
      <c r="B3020" s="2" t="s">
        <v>204</v>
      </c>
      <c r="C3020" s="6" t="s">
        <v>151</v>
      </c>
      <c r="D3020" s="2" t="s">
        <v>116</v>
      </c>
      <c r="E3020" s="2"/>
      <c r="F3020" s="35">
        <v>0</v>
      </c>
      <c r="G3020" s="35">
        <v>46.639690515857907</v>
      </c>
      <c r="H3020" s="35">
        <v>7.3768795357288122</v>
      </c>
      <c r="I3020" s="35">
        <v>0.71310849996322678</v>
      </c>
      <c r="J3020" s="35">
        <v>7.8068156665990346E-5</v>
      </c>
      <c r="K3020" s="35">
        <v>0.7164684890482218</v>
      </c>
      <c r="L3020" s="35">
        <v>39.951505035936933</v>
      </c>
      <c r="M3020" s="58" t="s">
        <v>22</v>
      </c>
      <c r="N3020" s="7">
        <v>11.333333333333334</v>
      </c>
      <c r="O3020" s="7" t="s">
        <v>180</v>
      </c>
      <c r="P3020" s="7" t="s">
        <v>180</v>
      </c>
    </row>
    <row r="3021" spans="1:16" x14ac:dyDescent="0.25">
      <c r="A3021" s="2" t="s">
        <v>183</v>
      </c>
      <c r="B3021" s="2" t="s">
        <v>204</v>
      </c>
      <c r="C3021" s="6" t="s">
        <v>151</v>
      </c>
      <c r="D3021" s="2" t="s">
        <v>116</v>
      </c>
      <c r="E3021" s="2"/>
      <c r="F3021" s="35">
        <v>0.29999999999999988</v>
      </c>
      <c r="G3021" s="35">
        <v>46.782596355857912</v>
      </c>
      <c r="H3021" s="35">
        <v>7.3768795357288122</v>
      </c>
      <c r="I3021" s="35">
        <v>0.71310849996322678</v>
      </c>
      <c r="J3021" s="35">
        <v>7.8068156665990346E-5</v>
      </c>
      <c r="K3021" s="35">
        <v>0.50253593905925387</v>
      </c>
      <c r="L3021" s="35">
        <v>37.738441175218298</v>
      </c>
      <c r="M3021" s="58" t="s">
        <v>22</v>
      </c>
      <c r="N3021" s="7">
        <v>11.333333333333334</v>
      </c>
      <c r="O3021" s="7" t="s">
        <v>180</v>
      </c>
      <c r="P3021" s="7" t="s">
        <v>180</v>
      </c>
    </row>
    <row r="3022" spans="1:16" x14ac:dyDescent="0.25">
      <c r="A3022" s="2" t="s">
        <v>183</v>
      </c>
      <c r="B3022" s="2" t="s">
        <v>204</v>
      </c>
      <c r="C3022" s="6" t="s">
        <v>151</v>
      </c>
      <c r="D3022" s="2" t="s">
        <v>116</v>
      </c>
      <c r="E3022" s="2"/>
      <c r="F3022" s="35">
        <v>0.29999999999999988</v>
      </c>
      <c r="G3022" s="35">
        <v>38.463595144050942</v>
      </c>
      <c r="H3022" s="35">
        <v>7.3768795357287988</v>
      </c>
      <c r="I3022" s="35">
        <v>0.16699418122405446</v>
      </c>
      <c r="J3022" s="35">
        <v>-9.3829592002317216E-5</v>
      </c>
      <c r="K3022" s="35">
        <v>0.50253593905925409</v>
      </c>
      <c r="L3022" s="35">
        <v>37.738430861353329</v>
      </c>
      <c r="M3022" s="58" t="s">
        <v>22</v>
      </c>
      <c r="N3022" s="7">
        <v>11.333333333333334</v>
      </c>
      <c r="O3022" s="7" t="s">
        <v>180</v>
      </c>
      <c r="P3022" s="7" t="s">
        <v>180</v>
      </c>
    </row>
    <row r="3023" spans="1:16" x14ac:dyDescent="0.25">
      <c r="A3023" s="2" t="s">
        <v>183</v>
      </c>
      <c r="B3023" s="2" t="s">
        <v>204</v>
      </c>
      <c r="C3023" s="6" t="s">
        <v>151</v>
      </c>
      <c r="D3023" s="2" t="s">
        <v>116</v>
      </c>
      <c r="E3023" s="2"/>
      <c r="F3023" s="35">
        <v>5.3</v>
      </c>
      <c r="G3023" s="35">
        <v>40.845359144050938</v>
      </c>
      <c r="H3023" s="35">
        <v>7.3768795357287988</v>
      </c>
      <c r="I3023" s="35">
        <v>0.16699418122405446</v>
      </c>
      <c r="J3023" s="35">
        <v>-9.3829592002317216E-5</v>
      </c>
      <c r="K3023" s="35">
        <v>-0.33243496706101833</v>
      </c>
      <c r="L3023" s="35">
        <v>0.85403318270933881</v>
      </c>
      <c r="M3023" s="58" t="s">
        <v>24</v>
      </c>
      <c r="N3023" s="7">
        <v>11.333333333333334</v>
      </c>
      <c r="O3023" s="7" t="s">
        <v>180</v>
      </c>
      <c r="P3023" s="7" t="s">
        <v>180</v>
      </c>
    </row>
    <row r="3024" spans="1:16" x14ac:dyDescent="0.25">
      <c r="A3024" s="2" t="s">
        <v>183</v>
      </c>
      <c r="B3024" s="2" t="s">
        <v>204</v>
      </c>
      <c r="C3024" s="6" t="s">
        <v>151</v>
      </c>
      <c r="D3024" s="2" t="s">
        <v>116</v>
      </c>
      <c r="E3024" s="2"/>
      <c r="F3024" s="35">
        <v>5.3</v>
      </c>
      <c r="G3024" s="35">
        <v>51.068733283469896</v>
      </c>
      <c r="H3024" s="35">
        <v>7.3768473514541277</v>
      </c>
      <c r="I3024" s="35">
        <v>-6.6435246749870558E-2</v>
      </c>
      <c r="J3024" s="35">
        <v>8.3796272845811817E-5</v>
      </c>
      <c r="K3024" s="35">
        <v>-0.33243496706101822</v>
      </c>
      <c r="L3024" s="35">
        <v>0.85425328288259894</v>
      </c>
      <c r="M3024" s="58" t="s">
        <v>24</v>
      </c>
      <c r="N3024" s="7">
        <v>11.333333333333334</v>
      </c>
      <c r="O3024" s="7" t="s">
        <v>180</v>
      </c>
      <c r="P3024" s="7" t="s">
        <v>180</v>
      </c>
    </row>
    <row r="3025" spans="1:16" x14ac:dyDescent="0.25">
      <c r="A3025" s="2" t="s">
        <v>183</v>
      </c>
      <c r="B3025" s="2" t="s">
        <v>204</v>
      </c>
      <c r="C3025" s="6" t="s">
        <v>151</v>
      </c>
      <c r="D3025" s="2" t="s">
        <v>116</v>
      </c>
      <c r="E3025" s="2"/>
      <c r="F3025" s="35">
        <v>5.4149169609489114</v>
      </c>
      <c r="G3025" s="35">
        <v>51.123474299585411</v>
      </c>
      <c r="H3025" s="35">
        <v>7.3768473514541277</v>
      </c>
      <c r="I3025" s="35">
        <v>-6.6435246749870558E-2</v>
      </c>
      <c r="J3025" s="35">
        <v>8.3796272845811817E-5</v>
      </c>
      <c r="K3025" s="35">
        <v>-0.32480043040463197</v>
      </c>
      <c r="L3025" s="35">
        <v>6.5284038694631294E-3</v>
      </c>
      <c r="M3025" s="58" t="s">
        <v>24</v>
      </c>
      <c r="N3025" s="7">
        <v>11.333333333333334</v>
      </c>
      <c r="O3025" s="7" t="s">
        <v>180</v>
      </c>
      <c r="P3025" s="7" t="s">
        <v>180</v>
      </c>
    </row>
    <row r="3026" spans="1:16" x14ac:dyDescent="0.25">
      <c r="A3026" s="2" t="s">
        <v>183</v>
      </c>
      <c r="B3026" s="2" t="s">
        <v>204</v>
      </c>
      <c r="C3026" s="6" t="s">
        <v>151</v>
      </c>
      <c r="D3026" s="2" t="s">
        <v>116</v>
      </c>
      <c r="E3026" s="2"/>
      <c r="F3026" s="35">
        <v>10.829833921897823</v>
      </c>
      <c r="G3026" s="35">
        <v>53.702885155700891</v>
      </c>
      <c r="H3026" s="35">
        <v>7.3768473514541277</v>
      </c>
      <c r="I3026" s="35">
        <v>-6.6435246749870558E-2</v>
      </c>
      <c r="J3026" s="35">
        <v>8.3796272845811817E-5</v>
      </c>
      <c r="K3026" s="35">
        <v>3.4940914026068061E-2</v>
      </c>
      <c r="L3026" s="35">
        <v>-39.938487437850533</v>
      </c>
      <c r="M3026" s="58" t="s">
        <v>23</v>
      </c>
      <c r="N3026" s="7">
        <v>11.333333333333334</v>
      </c>
      <c r="O3026" s="7" t="s">
        <v>180</v>
      </c>
      <c r="P3026" s="7" t="s">
        <v>180</v>
      </c>
    </row>
    <row r="3027" spans="1:16" x14ac:dyDescent="0.25">
      <c r="A3027" s="2" t="s">
        <v>183</v>
      </c>
      <c r="B3027" s="2" t="s">
        <v>204</v>
      </c>
      <c r="C3027" s="6" t="s">
        <v>151</v>
      </c>
      <c r="D3027" s="2" t="s">
        <v>117</v>
      </c>
      <c r="E3027" s="2"/>
      <c r="F3027" s="35">
        <v>0</v>
      </c>
      <c r="G3027" s="35">
        <v>-60.705560011687062</v>
      </c>
      <c r="H3027" s="35">
        <v>18.224316948875412</v>
      </c>
      <c r="I3027" s="35">
        <v>-0.64350824546449703</v>
      </c>
      <c r="J3027" s="35">
        <v>3.3270632594993501E-4</v>
      </c>
      <c r="K3027" s="35">
        <v>8.7467528426047048E-3</v>
      </c>
      <c r="L3027" s="35">
        <v>102.29202275673106</v>
      </c>
      <c r="M3027" s="58" t="s">
        <v>22</v>
      </c>
      <c r="N3027" s="7">
        <v>11.333333333333334</v>
      </c>
      <c r="O3027" s="7" t="s">
        <v>180</v>
      </c>
      <c r="P3027" s="7" t="s">
        <v>180</v>
      </c>
    </row>
    <row r="3028" spans="1:16" x14ac:dyDescent="0.25">
      <c r="A3028" s="2" t="s">
        <v>183</v>
      </c>
      <c r="B3028" s="2" t="s">
        <v>204</v>
      </c>
      <c r="C3028" s="6" t="s">
        <v>151</v>
      </c>
      <c r="D3028" s="2" t="s">
        <v>117</v>
      </c>
      <c r="E3028" s="2"/>
      <c r="F3028" s="35">
        <v>0.29999999999999988</v>
      </c>
      <c r="G3028" s="35">
        <v>-60.562654171687058</v>
      </c>
      <c r="H3028" s="35">
        <v>18.224316948875412</v>
      </c>
      <c r="I3028" s="35">
        <v>-0.64350824546449703</v>
      </c>
      <c r="J3028" s="35">
        <v>3.3270632594993501E-4</v>
      </c>
      <c r="K3028" s="35">
        <v>0.20179922648195373</v>
      </c>
      <c r="L3028" s="35">
        <v>96.824727672068448</v>
      </c>
      <c r="M3028" s="58" t="s">
        <v>22</v>
      </c>
      <c r="N3028" s="7">
        <v>11.333333333333334</v>
      </c>
      <c r="O3028" s="7" t="s">
        <v>180</v>
      </c>
      <c r="P3028" s="7" t="s">
        <v>180</v>
      </c>
    </row>
    <row r="3029" spans="1:16" x14ac:dyDescent="0.25">
      <c r="A3029" s="2" t="s">
        <v>183</v>
      </c>
      <c r="B3029" s="2" t="s">
        <v>204</v>
      </c>
      <c r="C3029" s="6" t="s">
        <v>151</v>
      </c>
      <c r="D3029" s="2" t="s">
        <v>117</v>
      </c>
      <c r="E3029" s="2"/>
      <c r="F3029" s="35">
        <v>0.29999999999999988</v>
      </c>
      <c r="G3029" s="35">
        <v>-47.929041727283526</v>
      </c>
      <c r="H3029" s="35">
        <v>18.224316948875373</v>
      </c>
      <c r="I3029" s="35">
        <v>6.7534255168960514E-2</v>
      </c>
      <c r="J3029" s="35">
        <v>-1.8687303697681676E-4</v>
      </c>
      <c r="K3029" s="35">
        <v>0.20179922648195381</v>
      </c>
      <c r="L3029" s="35">
        <v>96.824696497306604</v>
      </c>
      <c r="M3029" s="58" t="s">
        <v>22</v>
      </c>
      <c r="N3029" s="7">
        <v>11.333333333333334</v>
      </c>
      <c r="O3029" s="7" t="s">
        <v>180</v>
      </c>
      <c r="P3029" s="7" t="s">
        <v>180</v>
      </c>
    </row>
    <row r="3030" spans="1:16" x14ac:dyDescent="0.25">
      <c r="A3030" s="2" t="s">
        <v>183</v>
      </c>
      <c r="B3030" s="2" t="s">
        <v>204</v>
      </c>
      <c r="C3030" s="6" t="s">
        <v>151</v>
      </c>
      <c r="D3030" s="2" t="s">
        <v>117</v>
      </c>
      <c r="E3030" s="2"/>
      <c r="F3030" s="35">
        <v>5.3</v>
      </c>
      <c r="G3030" s="35">
        <v>-45.547277727283529</v>
      </c>
      <c r="H3030" s="35">
        <v>18.224316948875373</v>
      </c>
      <c r="I3030" s="35">
        <v>6.7534255168960514E-2</v>
      </c>
      <c r="J3030" s="35">
        <v>-1.8687303697681676E-4</v>
      </c>
      <c r="K3030" s="35">
        <v>-0.13587204936284866</v>
      </c>
      <c r="L3030" s="35">
        <v>5.7031117529297504</v>
      </c>
      <c r="M3030" s="58" t="s">
        <v>24</v>
      </c>
      <c r="N3030" s="7">
        <v>11.333333333333334</v>
      </c>
      <c r="O3030" s="7" t="s">
        <v>180</v>
      </c>
      <c r="P3030" s="7" t="s">
        <v>180</v>
      </c>
    </row>
    <row r="3031" spans="1:16" x14ac:dyDescent="0.25">
      <c r="A3031" s="2" t="s">
        <v>183</v>
      </c>
      <c r="B3031" s="2" t="s">
        <v>204</v>
      </c>
      <c r="C3031" s="6" t="s">
        <v>151</v>
      </c>
      <c r="D3031" s="2" t="s">
        <v>117</v>
      </c>
      <c r="E3031" s="2"/>
      <c r="F3031" s="35">
        <v>5.3</v>
      </c>
      <c r="G3031" s="35">
        <v>-54.572210818828665</v>
      </c>
      <c r="H3031" s="35">
        <v>18.224251687683893</v>
      </c>
      <c r="I3031" s="35">
        <v>-3.3761691319512448E-2</v>
      </c>
      <c r="J3031" s="35">
        <v>2.0489107473973601E-4</v>
      </c>
      <c r="K3031" s="35">
        <v>-0.13587204936284869</v>
      </c>
      <c r="L3031" s="35">
        <v>5.7036767726265163</v>
      </c>
      <c r="M3031" s="58" t="s">
        <v>24</v>
      </c>
      <c r="N3031" s="7">
        <v>11.333333333333334</v>
      </c>
      <c r="O3031" s="7" t="s">
        <v>180</v>
      </c>
      <c r="P3031" s="7" t="s">
        <v>180</v>
      </c>
    </row>
    <row r="3032" spans="1:16" x14ac:dyDescent="0.25">
      <c r="A3032" s="2" t="s">
        <v>183</v>
      </c>
      <c r="B3032" s="2" t="s">
        <v>204</v>
      </c>
      <c r="C3032" s="6" t="s">
        <v>151</v>
      </c>
      <c r="D3032" s="2" t="s">
        <v>117</v>
      </c>
      <c r="E3032" s="2"/>
      <c r="F3032" s="35">
        <v>5.4149169609489114</v>
      </c>
      <c r="G3032" s="35">
        <v>-54.517469802713151</v>
      </c>
      <c r="H3032" s="35">
        <v>18.224251687683893</v>
      </c>
      <c r="I3032" s="35">
        <v>-3.3761691319512448E-2</v>
      </c>
      <c r="J3032" s="35">
        <v>2.0489107473973601E-4</v>
      </c>
      <c r="K3032" s="35">
        <v>-0.13199225839991507</v>
      </c>
      <c r="L3032" s="35">
        <v>3.6094011531098111</v>
      </c>
      <c r="M3032" s="58" t="s">
        <v>24</v>
      </c>
      <c r="N3032" s="7">
        <v>11.333333333333334</v>
      </c>
      <c r="O3032" s="7" t="s">
        <v>180</v>
      </c>
      <c r="P3032" s="7" t="s">
        <v>180</v>
      </c>
    </row>
    <row r="3033" spans="1:16" x14ac:dyDescent="0.25">
      <c r="A3033" s="2" t="s">
        <v>183</v>
      </c>
      <c r="B3033" s="2" t="s">
        <v>204</v>
      </c>
      <c r="C3033" s="6" t="s">
        <v>151</v>
      </c>
      <c r="D3033" s="2" t="s">
        <v>117</v>
      </c>
      <c r="E3033" s="2"/>
      <c r="F3033" s="35">
        <v>10.829833921897823</v>
      </c>
      <c r="G3033" s="35">
        <v>-51.938058946597664</v>
      </c>
      <c r="H3033" s="35">
        <v>18.224251687683893</v>
      </c>
      <c r="I3033" s="35">
        <v>-3.3761691319512448E-2</v>
      </c>
      <c r="J3033" s="35">
        <v>2.0489107473973601E-4</v>
      </c>
      <c r="K3033" s="35">
        <v>5.0824496556434444E-2</v>
      </c>
      <c r="L3033" s="35">
        <v>-95.073408411131496</v>
      </c>
      <c r="M3033" s="58" t="s">
        <v>23</v>
      </c>
      <c r="N3033" s="7">
        <v>11.333333333333334</v>
      </c>
      <c r="O3033" s="7" t="s">
        <v>180</v>
      </c>
      <c r="P3033" s="7" t="s">
        <v>180</v>
      </c>
    </row>
    <row r="3034" spans="1:16" x14ac:dyDescent="0.25">
      <c r="A3034" s="2" t="s">
        <v>183</v>
      </c>
      <c r="B3034" s="2" t="s">
        <v>204</v>
      </c>
      <c r="C3034" s="6" t="s">
        <v>151</v>
      </c>
      <c r="D3034" s="2" t="s">
        <v>118</v>
      </c>
      <c r="E3034" s="2"/>
      <c r="F3034" s="35">
        <v>0</v>
      </c>
      <c r="G3034" s="35">
        <v>44.957275191480399</v>
      </c>
      <c r="H3034" s="35">
        <v>-1.5855759958391711</v>
      </c>
      <c r="I3034" s="35">
        <v>0.7167778705937734</v>
      </c>
      <c r="J3034" s="35">
        <v>-2.0084267278527886E-4</v>
      </c>
      <c r="K3034" s="35">
        <v>0.73825740320917488</v>
      </c>
      <c r="L3034" s="35">
        <v>-19.978964613533282</v>
      </c>
      <c r="M3034" s="58" t="s">
        <v>22</v>
      </c>
      <c r="N3034" s="7">
        <v>11.333333333333334</v>
      </c>
      <c r="O3034" s="7" t="s">
        <v>180</v>
      </c>
      <c r="P3034" s="7" t="s">
        <v>180</v>
      </c>
    </row>
    <row r="3035" spans="1:16" x14ac:dyDescent="0.25">
      <c r="A3035" s="2" t="s">
        <v>183</v>
      </c>
      <c r="B3035" s="2" t="s">
        <v>204</v>
      </c>
      <c r="C3035" s="6" t="s">
        <v>151</v>
      </c>
      <c r="D3035" s="2" t="s">
        <v>118</v>
      </c>
      <c r="E3035" s="2"/>
      <c r="F3035" s="35">
        <v>0.29999999999999988</v>
      </c>
      <c r="G3035" s="35">
        <v>45.10018103148041</v>
      </c>
      <c r="H3035" s="35">
        <v>-1.5855759958391711</v>
      </c>
      <c r="I3035" s="35">
        <v>0.7167778705937734</v>
      </c>
      <c r="J3035" s="35">
        <v>-2.0084267278527886E-4</v>
      </c>
      <c r="K3035" s="35">
        <v>0.52322404203104289</v>
      </c>
      <c r="L3035" s="35">
        <v>-19.50329181478153</v>
      </c>
      <c r="M3035" s="58" t="s">
        <v>22</v>
      </c>
      <c r="N3035" s="7">
        <v>11.333333333333334</v>
      </c>
      <c r="O3035" s="7" t="s">
        <v>180</v>
      </c>
      <c r="P3035" s="7" t="s">
        <v>180</v>
      </c>
    </row>
    <row r="3036" spans="1:16" x14ac:dyDescent="0.25">
      <c r="A3036" s="2" t="s">
        <v>183</v>
      </c>
      <c r="B3036" s="2" t="s">
        <v>204</v>
      </c>
      <c r="C3036" s="6" t="s">
        <v>151</v>
      </c>
      <c r="D3036" s="2" t="s">
        <v>118</v>
      </c>
      <c r="E3036" s="2"/>
      <c r="F3036" s="35">
        <v>0.29999999999999988</v>
      </c>
      <c r="G3036" s="35">
        <v>36.831293060739995</v>
      </c>
      <c r="H3036" s="35">
        <v>-1.585575995839178</v>
      </c>
      <c r="I3036" s="35">
        <v>0.17367034631859446</v>
      </c>
      <c r="J3036" s="35">
        <v>-3.2609841811620065E-5</v>
      </c>
      <c r="K3036" s="35">
        <v>0.52322404203104345</v>
      </c>
      <c r="L3036" s="35">
        <v>-19.503281720811664</v>
      </c>
      <c r="M3036" s="58" t="s">
        <v>22</v>
      </c>
      <c r="N3036" s="7">
        <v>11.333333333333334</v>
      </c>
      <c r="O3036" s="7" t="s">
        <v>180</v>
      </c>
      <c r="P3036" s="7" t="s">
        <v>180</v>
      </c>
    </row>
    <row r="3037" spans="1:16" x14ac:dyDescent="0.25">
      <c r="A3037" s="2" t="s">
        <v>183</v>
      </c>
      <c r="B3037" s="2" t="s">
        <v>204</v>
      </c>
      <c r="C3037" s="6" t="s">
        <v>151</v>
      </c>
      <c r="D3037" s="2" t="s">
        <v>118</v>
      </c>
      <c r="E3037" s="2"/>
      <c r="F3037" s="35">
        <v>5.3</v>
      </c>
      <c r="G3037" s="35">
        <v>39.213057060739992</v>
      </c>
      <c r="H3037" s="35">
        <v>-1.585575995839178</v>
      </c>
      <c r="I3037" s="35">
        <v>0.17367034631859446</v>
      </c>
      <c r="J3037" s="35">
        <v>-3.2609841811620065E-5</v>
      </c>
      <c r="K3037" s="35">
        <v>-0.34512768956192891</v>
      </c>
      <c r="L3037" s="35">
        <v>-11.575401741615776</v>
      </c>
      <c r="M3037" s="58" t="s">
        <v>24</v>
      </c>
      <c r="N3037" s="7">
        <v>11.333333333333334</v>
      </c>
      <c r="O3037" s="7" t="s">
        <v>180</v>
      </c>
      <c r="P3037" s="7" t="s">
        <v>180</v>
      </c>
    </row>
    <row r="3038" spans="1:16" x14ac:dyDescent="0.25">
      <c r="A3038" s="2" t="s">
        <v>183</v>
      </c>
      <c r="B3038" s="2" t="s">
        <v>204</v>
      </c>
      <c r="C3038" s="6" t="s">
        <v>151</v>
      </c>
      <c r="D3038" s="2" t="s">
        <v>118</v>
      </c>
      <c r="E3038" s="2"/>
      <c r="F3038" s="35">
        <v>5.3</v>
      </c>
      <c r="G3038" s="35">
        <v>49.36893503689403</v>
      </c>
      <c r="H3038" s="35">
        <v>-1.5855750924750991</v>
      </c>
      <c r="I3038" s="35">
        <v>-6.8542203848224584E-2</v>
      </c>
      <c r="J3038" s="35">
        <v>5.7629476526850484E-5</v>
      </c>
      <c r="K3038" s="35">
        <v>-0.34512768956192924</v>
      </c>
      <c r="L3038" s="35">
        <v>-11.575312942607626</v>
      </c>
      <c r="M3038" s="58" t="s">
        <v>24</v>
      </c>
      <c r="N3038" s="7">
        <v>11.333333333333334</v>
      </c>
      <c r="O3038" s="7" t="s">
        <v>180</v>
      </c>
      <c r="P3038" s="7" t="s">
        <v>180</v>
      </c>
    </row>
    <row r="3039" spans="1:16" x14ac:dyDescent="0.25">
      <c r="A3039" s="2" t="s">
        <v>183</v>
      </c>
      <c r="B3039" s="2" t="s">
        <v>204</v>
      </c>
      <c r="C3039" s="6" t="s">
        <v>151</v>
      </c>
      <c r="D3039" s="2" t="s">
        <v>118</v>
      </c>
      <c r="E3039" s="2"/>
      <c r="F3039" s="35">
        <v>5.4149169609489114</v>
      </c>
      <c r="G3039" s="35">
        <v>49.423676053009537</v>
      </c>
      <c r="H3039" s="35">
        <v>-1.5855750924750991</v>
      </c>
      <c r="I3039" s="35">
        <v>-6.8542203848224584E-2</v>
      </c>
      <c r="J3039" s="35">
        <v>5.7629476526850484E-5</v>
      </c>
      <c r="K3039" s="35">
        <v>-0.33725102779895055</v>
      </c>
      <c r="L3039" s="35">
        <v>-11.393103471624096</v>
      </c>
      <c r="M3039" s="58" t="s">
        <v>24</v>
      </c>
      <c r="N3039" s="7">
        <v>11.333333333333334</v>
      </c>
      <c r="O3039" s="7" t="s">
        <v>180</v>
      </c>
      <c r="P3039" s="7" t="s">
        <v>180</v>
      </c>
    </row>
    <row r="3040" spans="1:16" x14ac:dyDescent="0.25">
      <c r="A3040" s="2" t="s">
        <v>183</v>
      </c>
      <c r="B3040" s="2" t="s">
        <v>204</v>
      </c>
      <c r="C3040" s="6" t="s">
        <v>151</v>
      </c>
      <c r="D3040" s="2" t="s">
        <v>118</v>
      </c>
      <c r="E3040" s="2"/>
      <c r="F3040" s="35">
        <v>10.829833921897823</v>
      </c>
      <c r="G3040" s="35">
        <v>52.003086909125024</v>
      </c>
      <c r="H3040" s="35">
        <v>-1.5855750924750991</v>
      </c>
      <c r="I3040" s="35">
        <v>-6.8542203848224584E-2</v>
      </c>
      <c r="J3040" s="35">
        <v>5.7629476526850484E-5</v>
      </c>
      <c r="K3040" s="35">
        <v>3.389931435961846E-2</v>
      </c>
      <c r="L3040" s="35">
        <v>-2.8073460105225436</v>
      </c>
      <c r="M3040" s="58" t="s">
        <v>23</v>
      </c>
      <c r="N3040" s="7">
        <v>11.333333333333334</v>
      </c>
      <c r="O3040" s="7" t="s">
        <v>180</v>
      </c>
      <c r="P3040" s="7" t="s">
        <v>180</v>
      </c>
    </row>
    <row r="3041" spans="1:16" x14ac:dyDescent="0.25">
      <c r="A3041" s="2" t="s">
        <v>183</v>
      </c>
      <c r="B3041" s="2" t="s">
        <v>204</v>
      </c>
      <c r="C3041" s="6" t="s">
        <v>151</v>
      </c>
      <c r="D3041" s="2" t="s">
        <v>119</v>
      </c>
      <c r="E3041" s="2"/>
      <c r="F3041" s="35">
        <v>0</v>
      </c>
      <c r="G3041" s="35">
        <v>-147.48352995775525</v>
      </c>
      <c r="H3041" s="35">
        <v>-13.651913071863348</v>
      </c>
      <c r="I3041" s="35">
        <v>-1.4484906208306962</v>
      </c>
      <c r="J3041" s="35">
        <v>-1.8749026434605395E-4</v>
      </c>
      <c r="K3041" s="35">
        <v>-0.18309737784194</v>
      </c>
      <c r="L3041" s="35">
        <v>-78.032098431545336</v>
      </c>
      <c r="M3041" s="58" t="s">
        <v>22</v>
      </c>
      <c r="N3041" s="7">
        <v>11.333333333333334</v>
      </c>
      <c r="O3041" s="7" t="s">
        <v>180</v>
      </c>
      <c r="P3041" s="7" t="s">
        <v>180</v>
      </c>
    </row>
    <row r="3042" spans="1:16" x14ac:dyDescent="0.25">
      <c r="A3042" s="2" t="s">
        <v>183</v>
      </c>
      <c r="B3042" s="2" t="s">
        <v>204</v>
      </c>
      <c r="C3042" s="6" t="s">
        <v>151</v>
      </c>
      <c r="D3042" s="2" t="s">
        <v>119</v>
      </c>
      <c r="E3042" s="2"/>
      <c r="F3042" s="35">
        <v>0.29999999999999988</v>
      </c>
      <c r="G3042" s="35">
        <v>-147.34062411775525</v>
      </c>
      <c r="H3042" s="35">
        <v>-13.651913071863348</v>
      </c>
      <c r="I3042" s="35">
        <v>-1.4484906208306962</v>
      </c>
      <c r="J3042" s="35">
        <v>-1.8749026434605395E-4</v>
      </c>
      <c r="K3042" s="35">
        <v>0.25144980840726872</v>
      </c>
      <c r="L3042" s="35">
        <v>-73.936524509986327</v>
      </c>
      <c r="M3042" s="58" t="s">
        <v>22</v>
      </c>
      <c r="N3042" s="7">
        <v>11.333333333333334</v>
      </c>
      <c r="O3042" s="7" t="s">
        <v>180</v>
      </c>
      <c r="P3042" s="7" t="s">
        <v>180</v>
      </c>
    </row>
    <row r="3043" spans="1:16" x14ac:dyDescent="0.25">
      <c r="A3043" s="2" t="s">
        <v>183</v>
      </c>
      <c r="B3043" s="2" t="s">
        <v>204</v>
      </c>
      <c r="C3043" s="6" t="s">
        <v>151</v>
      </c>
      <c r="D3043" s="2" t="s">
        <v>119</v>
      </c>
      <c r="E3043" s="2"/>
      <c r="F3043" s="35">
        <v>0.29999999999999988</v>
      </c>
      <c r="G3043" s="35">
        <v>-121.04863203038391</v>
      </c>
      <c r="H3043" s="35">
        <v>-13.651913071863339</v>
      </c>
      <c r="I3043" s="35">
        <v>8.2054658380824777E-2</v>
      </c>
      <c r="J3043" s="35">
        <v>1.9678563050497388E-4</v>
      </c>
      <c r="K3043" s="35">
        <v>0.2514498084072691</v>
      </c>
      <c r="L3043" s="35">
        <v>-73.936501453432669</v>
      </c>
      <c r="M3043" s="58" t="s">
        <v>22</v>
      </c>
      <c r="N3043" s="7">
        <v>11.333333333333334</v>
      </c>
      <c r="O3043" s="7" t="s">
        <v>180</v>
      </c>
      <c r="P3043" s="7" t="s">
        <v>180</v>
      </c>
    </row>
    <row r="3044" spans="1:16" x14ac:dyDescent="0.25">
      <c r="A3044" s="2" t="s">
        <v>183</v>
      </c>
      <c r="B3044" s="2" t="s">
        <v>204</v>
      </c>
      <c r="C3044" s="6" t="s">
        <v>151</v>
      </c>
      <c r="D3044" s="2" t="s">
        <v>119</v>
      </c>
      <c r="E3044" s="2"/>
      <c r="F3044" s="35">
        <v>5.3</v>
      </c>
      <c r="G3044" s="35">
        <v>-118.66686803038391</v>
      </c>
      <c r="H3044" s="35">
        <v>-13.651913071863339</v>
      </c>
      <c r="I3044" s="35">
        <v>8.2054658380824777E-2</v>
      </c>
      <c r="J3044" s="35">
        <v>1.9678563050497388E-4</v>
      </c>
      <c r="K3044" s="35">
        <v>-0.15882348349685474</v>
      </c>
      <c r="L3044" s="35">
        <v>-5.6769360941159768</v>
      </c>
      <c r="M3044" s="58" t="s">
        <v>24</v>
      </c>
      <c r="N3044" s="7">
        <v>11.333333333333334</v>
      </c>
      <c r="O3044" s="7" t="s">
        <v>180</v>
      </c>
      <c r="P3044" s="7" t="s">
        <v>180</v>
      </c>
    </row>
    <row r="3045" spans="1:16" x14ac:dyDescent="0.25">
      <c r="A3045" s="2" t="s">
        <v>183</v>
      </c>
      <c r="B3045" s="2" t="s">
        <v>204</v>
      </c>
      <c r="C3045" s="6" t="s">
        <v>151</v>
      </c>
      <c r="D3045" s="2" t="s">
        <v>119</v>
      </c>
      <c r="E3045" s="2"/>
      <c r="F3045" s="35">
        <v>5.3</v>
      </c>
      <c r="G3045" s="35">
        <v>-140.43398523543746</v>
      </c>
      <c r="H3045" s="35">
        <v>-13.651860088437731</v>
      </c>
      <c r="I3045" s="35">
        <v>-3.7591583388736048E-2</v>
      </c>
      <c r="J3045" s="35">
        <v>-7.950933371477718E-5</v>
      </c>
      <c r="K3045" s="35">
        <v>-0.15882348349685455</v>
      </c>
      <c r="L3045" s="35">
        <v>-5.6773081689869729</v>
      </c>
      <c r="M3045" s="58" t="s">
        <v>24</v>
      </c>
      <c r="N3045" s="7">
        <v>11.333333333333334</v>
      </c>
      <c r="O3045" s="7" t="s">
        <v>180</v>
      </c>
      <c r="P3045" s="7" t="s">
        <v>180</v>
      </c>
    </row>
    <row r="3046" spans="1:16" x14ac:dyDescent="0.25">
      <c r="A3046" s="2" t="s">
        <v>183</v>
      </c>
      <c r="B3046" s="2" t="s">
        <v>204</v>
      </c>
      <c r="C3046" s="6" t="s">
        <v>151</v>
      </c>
      <c r="D3046" s="2" t="s">
        <v>119</v>
      </c>
      <c r="E3046" s="2"/>
      <c r="F3046" s="35">
        <v>5.4149169609489114</v>
      </c>
      <c r="G3046" s="35">
        <v>-140.37924421932198</v>
      </c>
      <c r="H3046" s="35">
        <v>-13.651860088437731</v>
      </c>
      <c r="I3046" s="35">
        <v>-3.7591583388736048E-2</v>
      </c>
      <c r="J3046" s="35">
        <v>-7.950933371477718E-5</v>
      </c>
      <c r="K3046" s="35">
        <v>-0.15450357297656342</v>
      </c>
      <c r="L3046" s="35">
        <v>-4.1084778963239712</v>
      </c>
      <c r="M3046" s="58" t="s">
        <v>24</v>
      </c>
      <c r="N3046" s="7">
        <v>11.333333333333334</v>
      </c>
      <c r="O3046" s="7" t="s">
        <v>180</v>
      </c>
      <c r="P3046" s="7" t="s">
        <v>180</v>
      </c>
    </row>
    <row r="3047" spans="1:16" x14ac:dyDescent="0.25">
      <c r="A3047" s="2" t="s">
        <v>183</v>
      </c>
      <c r="B3047" s="2" t="s">
        <v>204</v>
      </c>
      <c r="C3047" s="6" t="s">
        <v>151</v>
      </c>
      <c r="D3047" s="2" t="s">
        <v>119</v>
      </c>
      <c r="E3047" s="2"/>
      <c r="F3047" s="35">
        <v>10.829833921897823</v>
      </c>
      <c r="G3047" s="35">
        <v>-137.79983336320649</v>
      </c>
      <c r="H3047" s="35">
        <v>-13.651860088437731</v>
      </c>
      <c r="I3047" s="35">
        <v>-3.7591583388736048E-2</v>
      </c>
      <c r="J3047" s="35">
        <v>-7.950933371477718E-5</v>
      </c>
      <c r="K3047" s="35">
        <v>4.9051729504028696E-2</v>
      </c>
      <c r="L3047" s="35">
        <v>69.815210845058985</v>
      </c>
      <c r="M3047" s="58" t="s">
        <v>23</v>
      </c>
      <c r="N3047" s="7">
        <v>11.333333333333334</v>
      </c>
      <c r="O3047" s="7" t="s">
        <v>180</v>
      </c>
      <c r="P3047" s="7" t="s">
        <v>180</v>
      </c>
    </row>
    <row r="3048" spans="1:16" x14ac:dyDescent="0.25">
      <c r="A3048" s="2" t="s">
        <v>183</v>
      </c>
      <c r="B3048" s="2" t="s">
        <v>204</v>
      </c>
      <c r="C3048" s="6" t="s">
        <v>151</v>
      </c>
      <c r="D3048" s="2" t="s">
        <v>120</v>
      </c>
      <c r="E3048" s="2"/>
      <c r="F3048" s="35">
        <v>0</v>
      </c>
      <c r="G3048" s="35">
        <v>56.185686882152986</v>
      </c>
      <c r="H3048" s="35">
        <v>5.0765278825295832</v>
      </c>
      <c r="I3048" s="35">
        <v>-3.1794977488195046</v>
      </c>
      <c r="J3048" s="35">
        <v>3.6758623704963495E-4</v>
      </c>
      <c r="K3048" s="35">
        <v>-4.4974165612391168</v>
      </c>
      <c r="L3048" s="35">
        <v>18.275676238388542</v>
      </c>
      <c r="M3048" s="58" t="s">
        <v>22</v>
      </c>
      <c r="N3048" s="7">
        <v>11.333333333333334</v>
      </c>
      <c r="O3048" s="7" t="s">
        <v>180</v>
      </c>
      <c r="P3048" s="7" t="s">
        <v>180</v>
      </c>
    </row>
    <row r="3049" spans="1:16" x14ac:dyDescent="0.25">
      <c r="A3049" s="2" t="s">
        <v>183</v>
      </c>
      <c r="B3049" s="2" t="s">
        <v>204</v>
      </c>
      <c r="C3049" s="6" t="s">
        <v>151</v>
      </c>
      <c r="D3049" s="2" t="s">
        <v>120</v>
      </c>
      <c r="E3049" s="2"/>
      <c r="F3049" s="35">
        <v>0.29999999999999988</v>
      </c>
      <c r="G3049" s="35">
        <v>56.32859272215299</v>
      </c>
      <c r="H3049" s="35">
        <v>5.0765278825295832</v>
      </c>
      <c r="I3049" s="35">
        <v>-3.1794977488195046</v>
      </c>
      <c r="J3049" s="35">
        <v>3.6758623704963495E-4</v>
      </c>
      <c r="K3049" s="35">
        <v>-3.5435672365932658</v>
      </c>
      <c r="L3049" s="35">
        <v>16.75271787362967</v>
      </c>
      <c r="M3049" s="58" t="s">
        <v>22</v>
      </c>
      <c r="N3049" s="7">
        <v>11.333333333333334</v>
      </c>
      <c r="O3049" s="7" t="s">
        <v>180</v>
      </c>
      <c r="P3049" s="7" t="s">
        <v>180</v>
      </c>
    </row>
    <row r="3050" spans="1:16" x14ac:dyDescent="0.25">
      <c r="A3050" s="2" t="s">
        <v>183</v>
      </c>
      <c r="B3050" s="2" t="s">
        <v>204</v>
      </c>
      <c r="C3050" s="6" t="s">
        <v>151</v>
      </c>
      <c r="D3050" s="2" t="s">
        <v>120</v>
      </c>
      <c r="E3050" s="2"/>
      <c r="F3050" s="35">
        <v>0.29999999999999988</v>
      </c>
      <c r="G3050" s="35">
        <v>91.047658264924081</v>
      </c>
      <c r="H3050" s="35">
        <v>5.076527882529593</v>
      </c>
      <c r="I3050" s="35">
        <v>-1.143328062283983</v>
      </c>
      <c r="J3050" s="35">
        <v>2.0459051851167429E-4</v>
      </c>
      <c r="K3050" s="35">
        <v>-3.5435672365932684</v>
      </c>
      <c r="L3050" s="35">
        <v>16.75270809388655</v>
      </c>
      <c r="M3050" s="58" t="s">
        <v>22</v>
      </c>
      <c r="N3050" s="7">
        <v>11.333333333333334</v>
      </c>
      <c r="O3050" s="7" t="s">
        <v>180</v>
      </c>
      <c r="P3050" s="7" t="s">
        <v>180</v>
      </c>
    </row>
    <row r="3051" spans="1:16" x14ac:dyDescent="0.25">
      <c r="A3051" s="2" t="s">
        <v>183</v>
      </c>
      <c r="B3051" s="2" t="s">
        <v>204</v>
      </c>
      <c r="C3051" s="6" t="s">
        <v>151</v>
      </c>
      <c r="D3051" s="2" t="s">
        <v>120</v>
      </c>
      <c r="E3051" s="2"/>
      <c r="F3051" s="35">
        <v>5.3</v>
      </c>
      <c r="G3051" s="35">
        <v>93.429422264924085</v>
      </c>
      <c r="H3051" s="35">
        <v>5.076527882529593</v>
      </c>
      <c r="I3051" s="35">
        <v>-1.143328062283983</v>
      </c>
      <c r="J3051" s="35">
        <v>2.0459051851167429E-4</v>
      </c>
      <c r="K3051" s="35">
        <v>2.1730730748266467</v>
      </c>
      <c r="L3051" s="35">
        <v>-8.6299313187614075</v>
      </c>
      <c r="M3051" s="58" t="s">
        <v>24</v>
      </c>
      <c r="N3051" s="7">
        <v>11.333333333333334</v>
      </c>
      <c r="O3051" s="7" t="s">
        <v>180</v>
      </c>
      <c r="P3051" s="7" t="s">
        <v>180</v>
      </c>
    </row>
    <row r="3052" spans="1:16" x14ac:dyDescent="0.25">
      <c r="A3052" s="2" t="s">
        <v>183</v>
      </c>
      <c r="B3052" s="2" t="s">
        <v>204</v>
      </c>
      <c r="C3052" s="6" t="s">
        <v>151</v>
      </c>
      <c r="D3052" s="2" t="s">
        <v>120</v>
      </c>
      <c r="E3052" s="2"/>
      <c r="F3052" s="35">
        <v>5.3</v>
      </c>
      <c r="G3052" s="35">
        <v>67.239064366307275</v>
      </c>
      <c r="H3052" s="35">
        <v>5.0765347971190398</v>
      </c>
      <c r="I3052" s="35">
        <v>0.34916849257453625</v>
      </c>
      <c r="J3052" s="35">
        <v>4.2490304032201669E-4</v>
      </c>
      <c r="K3052" s="35">
        <v>2.1730730748266476</v>
      </c>
      <c r="L3052" s="35">
        <v>-8.6294627213219535</v>
      </c>
      <c r="M3052" s="58" t="s">
        <v>24</v>
      </c>
      <c r="N3052" s="7">
        <v>11.333333333333334</v>
      </c>
      <c r="O3052" s="7" t="s">
        <v>180</v>
      </c>
      <c r="P3052" s="7" t="s">
        <v>180</v>
      </c>
    </row>
    <row r="3053" spans="1:16" x14ac:dyDescent="0.25">
      <c r="A3053" s="2" t="s">
        <v>183</v>
      </c>
      <c r="B3053" s="2" t="s">
        <v>204</v>
      </c>
      <c r="C3053" s="6" t="s">
        <v>151</v>
      </c>
      <c r="D3053" s="2" t="s">
        <v>120</v>
      </c>
      <c r="E3053" s="2"/>
      <c r="F3053" s="35">
        <v>5.4149169609489114</v>
      </c>
      <c r="G3053" s="35">
        <v>67.293805382422775</v>
      </c>
      <c r="H3053" s="35">
        <v>5.0765347971190398</v>
      </c>
      <c r="I3053" s="35">
        <v>0.34916849257453625</v>
      </c>
      <c r="J3053" s="35">
        <v>4.2490304032201669E-4</v>
      </c>
      <c r="K3053" s="35">
        <v>2.1329476928008697</v>
      </c>
      <c r="L3053" s="35">
        <v>-9.2128426723582724</v>
      </c>
      <c r="M3053" s="58" t="s">
        <v>24</v>
      </c>
      <c r="N3053" s="7">
        <v>11.333333333333334</v>
      </c>
      <c r="O3053" s="7" t="s">
        <v>180</v>
      </c>
      <c r="P3053" s="7" t="s">
        <v>180</v>
      </c>
    </row>
    <row r="3054" spans="1:16" x14ac:dyDescent="0.25">
      <c r="A3054" s="2" t="s">
        <v>183</v>
      </c>
      <c r="B3054" s="2" t="s">
        <v>204</v>
      </c>
      <c r="C3054" s="6" t="s">
        <v>151</v>
      </c>
      <c r="D3054" s="2" t="s">
        <v>120</v>
      </c>
      <c r="E3054" s="2"/>
      <c r="F3054" s="35">
        <v>10.829833921897823</v>
      </c>
      <c r="G3054" s="35">
        <v>69.873216238538291</v>
      </c>
      <c r="H3054" s="35">
        <v>5.0765347971190398</v>
      </c>
      <c r="I3054" s="35">
        <v>0.34916849257453625</v>
      </c>
      <c r="J3054" s="35">
        <v>4.2490304032201669E-4</v>
      </c>
      <c r="K3054" s="35">
        <v>0.24222930013004926</v>
      </c>
      <c r="L3054" s="35">
        <v>-36.70185704812549</v>
      </c>
      <c r="M3054" s="58" t="s">
        <v>23</v>
      </c>
      <c r="N3054" s="7">
        <v>11.333333333333334</v>
      </c>
      <c r="O3054" s="7" t="s">
        <v>180</v>
      </c>
      <c r="P3054" s="7" t="s">
        <v>180</v>
      </c>
    </row>
    <row r="3055" spans="1:16" x14ac:dyDescent="0.25">
      <c r="A3055" s="2" t="s">
        <v>183</v>
      </c>
      <c r="B3055" s="2" t="s">
        <v>204</v>
      </c>
      <c r="C3055" s="6" t="s">
        <v>151</v>
      </c>
      <c r="D3055" s="2" t="s">
        <v>121</v>
      </c>
      <c r="E3055" s="2"/>
      <c r="F3055" s="35">
        <v>0</v>
      </c>
      <c r="G3055" s="35">
        <v>-24.96378221875548</v>
      </c>
      <c r="H3055" s="35">
        <v>1.9519707066038683</v>
      </c>
      <c r="I3055" s="35">
        <v>-4.2143930040619768</v>
      </c>
      <c r="J3055" s="35">
        <v>4.545345406762061E-4</v>
      </c>
      <c r="K3055" s="35">
        <v>-5.0429438962738198</v>
      </c>
      <c r="L3055" s="35">
        <v>8.1780161914734002</v>
      </c>
      <c r="M3055" s="58" t="s">
        <v>22</v>
      </c>
      <c r="N3055" s="7">
        <v>11.333333333333334</v>
      </c>
      <c r="O3055" s="7" t="s">
        <v>180</v>
      </c>
      <c r="P3055" s="7" t="s">
        <v>180</v>
      </c>
    </row>
    <row r="3056" spans="1:16" x14ac:dyDescent="0.25">
      <c r="A3056" s="2" t="s">
        <v>183</v>
      </c>
      <c r="B3056" s="2" t="s">
        <v>204</v>
      </c>
      <c r="C3056" s="6" t="s">
        <v>151</v>
      </c>
      <c r="D3056" s="2" t="s">
        <v>121</v>
      </c>
      <c r="E3056" s="2"/>
      <c r="F3056" s="35">
        <v>0.29999999999999988</v>
      </c>
      <c r="G3056" s="35">
        <v>-24.820876378755472</v>
      </c>
      <c r="H3056" s="35">
        <v>1.9519707066038683</v>
      </c>
      <c r="I3056" s="35">
        <v>-4.2143930040619768</v>
      </c>
      <c r="J3056" s="35">
        <v>4.545345406762061E-4</v>
      </c>
      <c r="K3056" s="35">
        <v>-3.7786259950552266</v>
      </c>
      <c r="L3056" s="35">
        <v>7.5924249794922414</v>
      </c>
      <c r="M3056" s="58" t="s">
        <v>22</v>
      </c>
      <c r="N3056" s="7">
        <v>11.333333333333334</v>
      </c>
      <c r="O3056" s="7" t="s">
        <v>180</v>
      </c>
      <c r="P3056" s="7" t="s">
        <v>180</v>
      </c>
    </row>
    <row r="3057" spans="1:16" x14ac:dyDescent="0.25">
      <c r="A3057" s="2" t="s">
        <v>183</v>
      </c>
      <c r="B3057" s="2" t="s">
        <v>204</v>
      </c>
      <c r="C3057" s="6" t="s">
        <v>151</v>
      </c>
      <c r="D3057" s="2" t="s">
        <v>121</v>
      </c>
      <c r="E3057" s="2"/>
      <c r="F3057" s="35">
        <v>0.29999999999999988</v>
      </c>
      <c r="G3057" s="35">
        <v>25.847093560465488</v>
      </c>
      <c r="H3057" s="35">
        <v>1.9519707066038559</v>
      </c>
      <c r="I3057" s="35">
        <v>-1.2212890537394727</v>
      </c>
      <c r="J3057" s="35">
        <v>2.9296142648042384E-4</v>
      </c>
      <c r="K3057" s="35">
        <v>-3.7786259950552279</v>
      </c>
      <c r="L3057" s="35">
        <v>7.5924152851053854</v>
      </c>
      <c r="M3057" s="58" t="s">
        <v>22</v>
      </c>
      <c r="N3057" s="7">
        <v>11.333333333333334</v>
      </c>
      <c r="O3057" s="7" t="s">
        <v>180</v>
      </c>
      <c r="P3057" s="7" t="s">
        <v>180</v>
      </c>
    </row>
    <row r="3058" spans="1:16" x14ac:dyDescent="0.25">
      <c r="A3058" s="2" t="s">
        <v>183</v>
      </c>
      <c r="B3058" s="2" t="s">
        <v>204</v>
      </c>
      <c r="C3058" s="6" t="s">
        <v>151</v>
      </c>
      <c r="D3058" s="2" t="s">
        <v>121</v>
      </c>
      <c r="E3058" s="2"/>
      <c r="F3058" s="35">
        <v>5.3</v>
      </c>
      <c r="G3058" s="35">
        <v>28.228857560465485</v>
      </c>
      <c r="H3058" s="35">
        <v>1.9519707066038559</v>
      </c>
      <c r="I3058" s="35">
        <v>-1.2212890537394727</v>
      </c>
      <c r="J3058" s="35">
        <v>2.9296142648042384E-4</v>
      </c>
      <c r="K3058" s="35">
        <v>2.3278192736421355</v>
      </c>
      <c r="L3058" s="35">
        <v>-2.1674382479138918</v>
      </c>
      <c r="M3058" s="58" t="s">
        <v>24</v>
      </c>
      <c r="N3058" s="7">
        <v>11.333333333333334</v>
      </c>
      <c r="O3058" s="7" t="s">
        <v>180</v>
      </c>
      <c r="P3058" s="7" t="s">
        <v>180</v>
      </c>
    </row>
    <row r="3059" spans="1:16" x14ac:dyDescent="0.25">
      <c r="A3059" s="2" t="s">
        <v>183</v>
      </c>
      <c r="B3059" s="2" t="s">
        <v>204</v>
      </c>
      <c r="C3059" s="6" t="s">
        <v>151</v>
      </c>
      <c r="D3059" s="2" t="s">
        <v>121</v>
      </c>
      <c r="E3059" s="2"/>
      <c r="F3059" s="35">
        <v>5.3</v>
      </c>
      <c r="G3059" s="35">
        <v>-12.60506458893434</v>
      </c>
      <c r="H3059" s="35">
        <v>1.9519930912180672</v>
      </c>
      <c r="I3059" s="35">
        <v>0.37486130609211926</v>
      </c>
      <c r="J3059" s="35">
        <v>3.6360005929756079E-4</v>
      </c>
      <c r="K3059" s="35">
        <v>2.3278192736421346</v>
      </c>
      <c r="L3059" s="35">
        <v>-2.1671492336383333</v>
      </c>
      <c r="M3059" s="58" t="s">
        <v>24</v>
      </c>
      <c r="N3059" s="7">
        <v>11.333333333333334</v>
      </c>
      <c r="O3059" s="7" t="s">
        <v>180</v>
      </c>
      <c r="P3059" s="7" t="s">
        <v>180</v>
      </c>
    </row>
    <row r="3060" spans="1:16" x14ac:dyDescent="0.25">
      <c r="A3060" s="2" t="s">
        <v>183</v>
      </c>
      <c r="B3060" s="2" t="s">
        <v>204</v>
      </c>
      <c r="C3060" s="6" t="s">
        <v>151</v>
      </c>
      <c r="D3060" s="2" t="s">
        <v>121</v>
      </c>
      <c r="E3060" s="2"/>
      <c r="F3060" s="35">
        <v>5.4149169609489114</v>
      </c>
      <c r="G3060" s="35">
        <v>-12.550323572818842</v>
      </c>
      <c r="H3060" s="35">
        <v>1.9519930912180672</v>
      </c>
      <c r="I3060" s="35">
        <v>0.37486130609211926</v>
      </c>
      <c r="J3060" s="35">
        <v>3.6360005929756079E-4</v>
      </c>
      <c r="K3060" s="35">
        <v>2.2847413515686887</v>
      </c>
      <c r="L3060" s="35">
        <v>-2.3914663474743856</v>
      </c>
      <c r="M3060" s="58" t="s">
        <v>24</v>
      </c>
      <c r="N3060" s="7">
        <v>11.333333333333334</v>
      </c>
      <c r="O3060" s="7" t="s">
        <v>180</v>
      </c>
      <c r="P3060" s="7" t="s">
        <v>180</v>
      </c>
    </row>
    <row r="3061" spans="1:16" x14ac:dyDescent="0.25">
      <c r="A3061" s="2" t="s">
        <v>183</v>
      </c>
      <c r="B3061" s="2" t="s">
        <v>204</v>
      </c>
      <c r="C3061" s="6" t="s">
        <v>151</v>
      </c>
      <c r="D3061" s="2" t="s">
        <v>121</v>
      </c>
      <c r="E3061" s="2"/>
      <c r="F3061" s="35">
        <v>10.829833921897823</v>
      </c>
      <c r="G3061" s="35">
        <v>-9.970912716703328</v>
      </c>
      <c r="H3061" s="35">
        <v>1.9519930912180672</v>
      </c>
      <c r="I3061" s="35">
        <v>0.37486130609211926</v>
      </c>
      <c r="J3061" s="35">
        <v>3.6360005929756079E-4</v>
      </c>
      <c r="K3061" s="35">
        <v>0.25489850720701107</v>
      </c>
      <c r="L3061" s="35">
        <v>-12.961346844766188</v>
      </c>
      <c r="M3061" s="58" t="s">
        <v>23</v>
      </c>
      <c r="N3061" s="7">
        <v>11.333333333333334</v>
      </c>
      <c r="O3061" s="7" t="s">
        <v>180</v>
      </c>
      <c r="P3061" s="7" t="s">
        <v>180</v>
      </c>
    </row>
    <row r="3062" spans="1:16" x14ac:dyDescent="0.25">
      <c r="A3062" s="2" t="s">
        <v>183</v>
      </c>
      <c r="B3062" s="2" t="s">
        <v>204</v>
      </c>
      <c r="C3062" s="6" t="s">
        <v>151</v>
      </c>
      <c r="D3062" s="2" t="s">
        <v>122</v>
      </c>
      <c r="E3062" s="2"/>
      <c r="F3062" s="35">
        <v>0</v>
      </c>
      <c r="G3062" s="35">
        <v>76.443071716457339</v>
      </c>
      <c r="H3062" s="35">
        <v>4.143146621921483</v>
      </c>
      <c r="I3062" s="35">
        <v>4.0700096144577662</v>
      </c>
      <c r="J3062" s="35">
        <v>-5.3008373334251626E-4</v>
      </c>
      <c r="K3062" s="35">
        <v>4.8560169189441655</v>
      </c>
      <c r="L3062" s="35">
        <v>14.422640287656177</v>
      </c>
      <c r="M3062" s="58" t="s">
        <v>22</v>
      </c>
      <c r="N3062" s="7">
        <v>11.333333333333334</v>
      </c>
      <c r="O3062" s="7" t="s">
        <v>180</v>
      </c>
      <c r="P3062" s="7" t="s">
        <v>180</v>
      </c>
    </row>
    <row r="3063" spans="1:16" x14ac:dyDescent="0.25">
      <c r="A3063" s="2" t="s">
        <v>183</v>
      </c>
      <c r="B3063" s="2" t="s">
        <v>204</v>
      </c>
      <c r="C3063" s="6" t="s">
        <v>151</v>
      </c>
      <c r="D3063" s="2" t="s">
        <v>122</v>
      </c>
      <c r="E3063" s="2"/>
      <c r="F3063" s="35">
        <v>0.29999999999999988</v>
      </c>
      <c r="G3063" s="35">
        <v>76.585977556457351</v>
      </c>
      <c r="H3063" s="35">
        <v>4.143146621921483</v>
      </c>
      <c r="I3063" s="35">
        <v>4.0700096144577662</v>
      </c>
      <c r="J3063" s="35">
        <v>-5.3008373334251626E-4</v>
      </c>
      <c r="K3063" s="35">
        <v>3.6350140346068356</v>
      </c>
      <c r="L3063" s="35">
        <v>13.179696301079735</v>
      </c>
      <c r="M3063" s="58" t="s">
        <v>22</v>
      </c>
      <c r="N3063" s="7">
        <v>11.333333333333334</v>
      </c>
      <c r="O3063" s="7" t="s">
        <v>180</v>
      </c>
      <c r="P3063" s="7" t="s">
        <v>180</v>
      </c>
    </row>
    <row r="3064" spans="1:16" x14ac:dyDescent="0.25">
      <c r="A3064" s="2" t="s">
        <v>183</v>
      </c>
      <c r="B3064" s="2" t="s">
        <v>204</v>
      </c>
      <c r="C3064" s="6" t="s">
        <v>151</v>
      </c>
      <c r="D3064" s="2" t="s">
        <v>122</v>
      </c>
      <c r="E3064" s="2"/>
      <c r="F3064" s="35">
        <v>0.29999999999999988</v>
      </c>
      <c r="G3064" s="35">
        <v>29.190951858795358</v>
      </c>
      <c r="H3064" s="35">
        <v>4.1431466219214883</v>
      </c>
      <c r="I3064" s="35">
        <v>1.1793338265672972</v>
      </c>
      <c r="J3064" s="35">
        <v>-4.2685149526496647E-4</v>
      </c>
      <c r="K3064" s="35">
        <v>3.6350140346068374</v>
      </c>
      <c r="L3064" s="35">
        <v>13.179702495014016</v>
      </c>
      <c r="M3064" s="58" t="s">
        <v>22</v>
      </c>
      <c r="N3064" s="7">
        <v>11.333333333333334</v>
      </c>
      <c r="O3064" s="7" t="s">
        <v>180</v>
      </c>
      <c r="P3064" s="7" t="s">
        <v>180</v>
      </c>
    </row>
    <row r="3065" spans="1:16" x14ac:dyDescent="0.25">
      <c r="A3065" s="2" t="s">
        <v>183</v>
      </c>
      <c r="B3065" s="2" t="s">
        <v>204</v>
      </c>
      <c r="C3065" s="6" t="s">
        <v>151</v>
      </c>
      <c r="D3065" s="2" t="s">
        <v>122</v>
      </c>
      <c r="E3065" s="2"/>
      <c r="F3065" s="35">
        <v>5.3</v>
      </c>
      <c r="G3065" s="35">
        <v>31.572715858795355</v>
      </c>
      <c r="H3065" s="35">
        <v>4.1431466219214883</v>
      </c>
      <c r="I3065" s="35">
        <v>1.1793338265672972</v>
      </c>
      <c r="J3065" s="35">
        <v>-4.2685149526496647E-4</v>
      </c>
      <c r="K3065" s="35">
        <v>-2.2616550982296486</v>
      </c>
      <c r="L3065" s="35">
        <v>-7.5360306145934217</v>
      </c>
      <c r="M3065" s="58" t="s">
        <v>24</v>
      </c>
      <c r="N3065" s="7">
        <v>11.333333333333334</v>
      </c>
      <c r="O3065" s="7" t="s">
        <v>180</v>
      </c>
      <c r="P3065" s="7" t="s">
        <v>180</v>
      </c>
    </row>
    <row r="3066" spans="1:16" x14ac:dyDescent="0.25">
      <c r="A3066" s="2" t="s">
        <v>183</v>
      </c>
      <c r="B3066" s="2" t="s">
        <v>204</v>
      </c>
      <c r="C3066" s="6" t="s">
        <v>151</v>
      </c>
      <c r="D3066" s="2" t="s">
        <v>122</v>
      </c>
      <c r="E3066" s="2"/>
      <c r="F3066" s="35">
        <v>5.3</v>
      </c>
      <c r="G3066" s="35">
        <v>75.331893535507305</v>
      </c>
      <c r="H3066" s="35">
        <v>4.143100839858314</v>
      </c>
      <c r="I3066" s="35">
        <v>-0.38639626363991975</v>
      </c>
      <c r="J3066" s="35">
        <v>-2.4044964888832334E-4</v>
      </c>
      <c r="K3066" s="35">
        <v>-2.2616550982296491</v>
      </c>
      <c r="L3066" s="35">
        <v>-7.5359770773898331</v>
      </c>
      <c r="M3066" s="58" t="s">
        <v>24</v>
      </c>
      <c r="N3066" s="7">
        <v>11.333333333333334</v>
      </c>
      <c r="O3066" s="7" t="s">
        <v>180</v>
      </c>
      <c r="P3066" s="7" t="s">
        <v>180</v>
      </c>
    </row>
    <row r="3067" spans="1:16" x14ac:dyDescent="0.25">
      <c r="A3067" s="2" t="s">
        <v>183</v>
      </c>
      <c r="B3067" s="2" t="s">
        <v>204</v>
      </c>
      <c r="C3067" s="6" t="s">
        <v>151</v>
      </c>
      <c r="D3067" s="2" t="s">
        <v>122</v>
      </c>
      <c r="E3067" s="2"/>
      <c r="F3067" s="35">
        <v>5.4149169609489114</v>
      </c>
      <c r="G3067" s="35">
        <v>75.386634551622805</v>
      </c>
      <c r="H3067" s="35">
        <v>4.143100839858314</v>
      </c>
      <c r="I3067" s="35">
        <v>-0.38639626363991975</v>
      </c>
      <c r="J3067" s="35">
        <v>-2.4044964888832334E-4</v>
      </c>
      <c r="K3067" s="35">
        <v>-2.2172516138901348</v>
      </c>
      <c r="L3067" s="35">
        <v>-8.012089634811236</v>
      </c>
      <c r="M3067" s="58" t="s">
        <v>24</v>
      </c>
      <c r="N3067" s="7">
        <v>11.333333333333334</v>
      </c>
      <c r="O3067" s="7" t="s">
        <v>180</v>
      </c>
      <c r="P3067" s="7" t="s">
        <v>180</v>
      </c>
    </row>
    <row r="3068" spans="1:16" x14ac:dyDescent="0.25">
      <c r="A3068" s="2" t="s">
        <v>183</v>
      </c>
      <c r="B3068" s="2" t="s">
        <v>204</v>
      </c>
      <c r="C3068" s="6" t="s">
        <v>151</v>
      </c>
      <c r="D3068" s="2" t="s">
        <v>122</v>
      </c>
      <c r="E3068" s="2"/>
      <c r="F3068" s="35">
        <v>10.829833921897823</v>
      </c>
      <c r="G3068" s="35">
        <v>77.966045407738321</v>
      </c>
      <c r="H3068" s="35">
        <v>4.143100839858314</v>
      </c>
      <c r="I3068" s="35">
        <v>-0.38639626363991975</v>
      </c>
      <c r="J3068" s="35">
        <v>-2.4044964888832334E-4</v>
      </c>
      <c r="K3068" s="35">
        <v>-0.12494793225904691</v>
      </c>
      <c r="L3068" s="35">
        <v>-30.446636643481686</v>
      </c>
      <c r="M3068" s="58" t="s">
        <v>23</v>
      </c>
      <c r="N3068" s="7">
        <v>11.333333333333334</v>
      </c>
      <c r="O3068" s="7" t="s">
        <v>180</v>
      </c>
      <c r="P3068" s="7" t="s">
        <v>180</v>
      </c>
    </row>
    <row r="3069" spans="1:16" x14ac:dyDescent="0.25">
      <c r="A3069" s="2" t="s">
        <v>183</v>
      </c>
      <c r="B3069" s="2" t="s">
        <v>204</v>
      </c>
      <c r="C3069" s="6" t="s">
        <v>151</v>
      </c>
      <c r="D3069" s="2" t="s">
        <v>123</v>
      </c>
      <c r="E3069" s="2"/>
      <c r="F3069" s="35">
        <v>0</v>
      </c>
      <c r="G3069" s="35">
        <v>-4.7161801604076308</v>
      </c>
      <c r="H3069" s="35">
        <v>1.0200364637255381</v>
      </c>
      <c r="I3069" s="35">
        <v>3.0324542616825596</v>
      </c>
      <c r="J3069" s="35">
        <v>-4.4198165335356025E-4</v>
      </c>
      <c r="K3069" s="35">
        <v>4.3070859936416808</v>
      </c>
      <c r="L3069" s="35">
        <v>4.331003672598337</v>
      </c>
      <c r="M3069" s="58" t="s">
        <v>22</v>
      </c>
      <c r="N3069" s="7">
        <v>11.333333333333334</v>
      </c>
      <c r="O3069" s="7" t="s">
        <v>180</v>
      </c>
      <c r="P3069" s="7" t="s">
        <v>180</v>
      </c>
    </row>
    <row r="3070" spans="1:16" x14ac:dyDescent="0.25">
      <c r="A3070" s="2" t="s">
        <v>183</v>
      </c>
      <c r="B3070" s="2" t="s">
        <v>204</v>
      </c>
      <c r="C3070" s="6" t="s">
        <v>151</v>
      </c>
      <c r="D3070" s="2" t="s">
        <v>123</v>
      </c>
      <c r="E3070" s="2"/>
      <c r="F3070" s="35">
        <v>0.29999999999999988</v>
      </c>
      <c r="G3070" s="35">
        <v>-4.5732743204076245</v>
      </c>
      <c r="H3070" s="35">
        <v>1.0200364637255381</v>
      </c>
      <c r="I3070" s="35">
        <v>3.0324542616825596</v>
      </c>
      <c r="J3070" s="35">
        <v>-4.4198165335356025E-4</v>
      </c>
      <c r="K3070" s="35">
        <v>3.397349715136913</v>
      </c>
      <c r="L3070" s="35">
        <v>4.0249927334806772</v>
      </c>
      <c r="M3070" s="58" t="s">
        <v>22</v>
      </c>
      <c r="N3070" s="7">
        <v>11.333333333333334</v>
      </c>
      <c r="O3070" s="7" t="s">
        <v>180</v>
      </c>
      <c r="P3070" s="7" t="s">
        <v>180</v>
      </c>
    </row>
    <row r="3071" spans="1:16" x14ac:dyDescent="0.25">
      <c r="A3071" s="2" t="s">
        <v>183</v>
      </c>
      <c r="B3071" s="2" t="s">
        <v>204</v>
      </c>
      <c r="C3071" s="6" t="s">
        <v>151</v>
      </c>
      <c r="D3071" s="2" t="s">
        <v>123</v>
      </c>
      <c r="E3071" s="2"/>
      <c r="F3071" s="35">
        <v>0.29999999999999988</v>
      </c>
      <c r="G3071" s="35">
        <v>-35.989088691165819</v>
      </c>
      <c r="H3071" s="35">
        <v>1.0200364637255364</v>
      </c>
      <c r="I3071" s="35">
        <v>1.100531153406304</v>
      </c>
      <c r="J3071" s="35">
        <v>-3.3775595970475877E-4</v>
      </c>
      <c r="K3071" s="35">
        <v>3.3973497151369161</v>
      </c>
      <c r="L3071" s="35">
        <v>4.0249989870222924</v>
      </c>
      <c r="M3071" s="58" t="s">
        <v>22</v>
      </c>
      <c r="N3071" s="7">
        <v>11.333333333333334</v>
      </c>
      <c r="O3071" s="7" t="s">
        <v>180</v>
      </c>
      <c r="P3071" s="7" t="s">
        <v>180</v>
      </c>
    </row>
    <row r="3072" spans="1:16" x14ac:dyDescent="0.25">
      <c r="A3072" s="2" t="s">
        <v>183</v>
      </c>
      <c r="B3072" s="2" t="s">
        <v>204</v>
      </c>
      <c r="C3072" s="6" t="s">
        <v>151</v>
      </c>
      <c r="D3072" s="2" t="s">
        <v>123</v>
      </c>
      <c r="E3072" s="2"/>
      <c r="F3072" s="35">
        <v>5.3</v>
      </c>
      <c r="G3072" s="35">
        <v>-33.607324691165822</v>
      </c>
      <c r="H3072" s="35">
        <v>1.0200364637255364</v>
      </c>
      <c r="I3072" s="35">
        <v>1.100531153406304</v>
      </c>
      <c r="J3072" s="35">
        <v>-3.3775595970475877E-4</v>
      </c>
      <c r="K3072" s="35">
        <v>-2.1053060518946021</v>
      </c>
      <c r="L3072" s="35">
        <v>-1.0751833316053876</v>
      </c>
      <c r="M3072" s="58" t="s">
        <v>24</v>
      </c>
      <c r="N3072" s="7">
        <v>11.333333333333334</v>
      </c>
      <c r="O3072" s="7" t="s">
        <v>180</v>
      </c>
      <c r="P3072" s="7" t="s">
        <v>180</v>
      </c>
    </row>
    <row r="3073" spans="1:16" x14ac:dyDescent="0.25">
      <c r="A3073" s="2" t="s">
        <v>183</v>
      </c>
      <c r="B3073" s="2" t="s">
        <v>204</v>
      </c>
      <c r="C3073" s="6" t="s">
        <v>151</v>
      </c>
      <c r="D3073" s="2" t="s">
        <v>123</v>
      </c>
      <c r="E3073" s="2"/>
      <c r="F3073" s="35">
        <v>5.3</v>
      </c>
      <c r="G3073" s="35">
        <v>-4.5175434386487607</v>
      </c>
      <c r="H3073" s="35">
        <v>1.0200062415427908</v>
      </c>
      <c r="I3073" s="35">
        <v>-0.36043729799945379</v>
      </c>
      <c r="J3073" s="35">
        <v>-3.0098711719956723E-4</v>
      </c>
      <c r="K3073" s="35">
        <v>-2.1053060518946021</v>
      </c>
      <c r="L3073" s="35">
        <v>-1.0753087358327253</v>
      </c>
      <c r="M3073" s="58" t="s">
        <v>24</v>
      </c>
      <c r="N3073" s="7">
        <v>11.333333333333334</v>
      </c>
      <c r="O3073" s="7" t="s">
        <v>180</v>
      </c>
      <c r="P3073" s="7" t="s">
        <v>180</v>
      </c>
    </row>
    <row r="3074" spans="1:16" x14ac:dyDescent="0.25">
      <c r="A3074" s="2" t="s">
        <v>183</v>
      </c>
      <c r="B3074" s="2" t="s">
        <v>204</v>
      </c>
      <c r="C3074" s="6" t="s">
        <v>151</v>
      </c>
      <c r="D3074" s="2" t="s">
        <v>123</v>
      </c>
      <c r="E3074" s="2"/>
      <c r="F3074" s="35">
        <v>5.4149169609489114</v>
      </c>
      <c r="G3074" s="35">
        <v>-4.4628024225332616</v>
      </c>
      <c r="H3074" s="35">
        <v>1.0200062415427908</v>
      </c>
      <c r="I3074" s="35">
        <v>-0.36043729799945379</v>
      </c>
      <c r="J3074" s="35">
        <v>-3.0098711719956723E-4</v>
      </c>
      <c r="K3074" s="35">
        <v>-2.0638856929958682</v>
      </c>
      <c r="L3074" s="35">
        <v>-1.1925247532597443</v>
      </c>
      <c r="M3074" s="58" t="s">
        <v>24</v>
      </c>
      <c r="N3074" s="7">
        <v>11.333333333333334</v>
      </c>
      <c r="O3074" s="7" t="s">
        <v>180</v>
      </c>
      <c r="P3074" s="7" t="s">
        <v>180</v>
      </c>
    </row>
    <row r="3075" spans="1:16" x14ac:dyDescent="0.25">
      <c r="A3075" s="2" t="s">
        <v>183</v>
      </c>
      <c r="B3075" s="2" t="s">
        <v>204</v>
      </c>
      <c r="C3075" s="6" t="s">
        <v>151</v>
      </c>
      <c r="D3075" s="2" t="s">
        <v>123</v>
      </c>
      <c r="E3075" s="2"/>
      <c r="F3075" s="35">
        <v>10.829833921897823</v>
      </c>
      <c r="G3075" s="35">
        <v>-1.8833915664177472</v>
      </c>
      <c r="H3075" s="35">
        <v>1.0200062415427908</v>
      </c>
      <c r="I3075" s="35">
        <v>-0.36043729799945379</v>
      </c>
      <c r="J3075" s="35">
        <v>-3.0098711719956723E-4</v>
      </c>
      <c r="K3075" s="35">
        <v>-0.11214765470002938</v>
      </c>
      <c r="L3075" s="35">
        <v>-6.7157738508635481</v>
      </c>
      <c r="M3075" s="58" t="s">
        <v>23</v>
      </c>
      <c r="N3075" s="7">
        <v>11.333333333333334</v>
      </c>
      <c r="O3075" s="7" t="s">
        <v>180</v>
      </c>
      <c r="P3075" s="7" t="s">
        <v>180</v>
      </c>
    </row>
    <row r="3076" spans="1:16" x14ac:dyDescent="0.25">
      <c r="A3076" s="2" t="s">
        <v>183</v>
      </c>
      <c r="B3076" s="2" t="s">
        <v>204</v>
      </c>
      <c r="C3076" s="6" t="s">
        <v>151</v>
      </c>
      <c r="D3076" s="2" t="s">
        <v>124</v>
      </c>
      <c r="E3076" s="2"/>
      <c r="F3076" s="35">
        <v>0</v>
      </c>
      <c r="G3076" s="35">
        <v>68.737938066379513</v>
      </c>
      <c r="H3076" s="35">
        <v>8.5553613017277463</v>
      </c>
      <c r="I3076" s="35">
        <v>0.99240555674006969</v>
      </c>
      <c r="J3076" s="35">
        <v>7.0464905923980819E-5</v>
      </c>
      <c r="K3076" s="35">
        <v>0.86184181746951272</v>
      </c>
      <c r="L3076" s="35">
        <v>45.319756979586508</v>
      </c>
      <c r="M3076" s="58" t="s">
        <v>22</v>
      </c>
      <c r="N3076" s="7">
        <v>11.333333333333334</v>
      </c>
      <c r="O3076" s="7" t="s">
        <v>180</v>
      </c>
      <c r="P3076" s="7" t="s">
        <v>180</v>
      </c>
    </row>
    <row r="3077" spans="1:16" x14ac:dyDescent="0.25">
      <c r="A3077" s="2" t="s">
        <v>183</v>
      </c>
      <c r="B3077" s="2" t="s">
        <v>204</v>
      </c>
      <c r="C3077" s="6" t="s">
        <v>151</v>
      </c>
      <c r="D3077" s="2" t="s">
        <v>124</v>
      </c>
      <c r="E3077" s="2"/>
      <c r="F3077" s="35">
        <v>0.29999999999999988</v>
      </c>
      <c r="G3077" s="35">
        <v>68.880843906379525</v>
      </c>
      <c r="H3077" s="35">
        <v>8.5553613017277463</v>
      </c>
      <c r="I3077" s="35">
        <v>0.99240555674006969</v>
      </c>
      <c r="J3077" s="35">
        <v>7.0464905923980819E-5</v>
      </c>
      <c r="K3077" s="35">
        <v>0.56412015044749186</v>
      </c>
      <c r="L3077" s="35">
        <v>42.753148589068189</v>
      </c>
      <c r="M3077" s="58" t="s">
        <v>22</v>
      </c>
      <c r="N3077" s="7">
        <v>11.333333333333334</v>
      </c>
      <c r="O3077" s="7" t="s">
        <v>180</v>
      </c>
      <c r="P3077" s="7" t="s">
        <v>180</v>
      </c>
    </row>
    <row r="3078" spans="1:16" x14ac:dyDescent="0.25">
      <c r="A3078" s="2" t="s">
        <v>183</v>
      </c>
      <c r="B3078" s="2" t="s">
        <v>204</v>
      </c>
      <c r="C3078" s="6" t="s">
        <v>151</v>
      </c>
      <c r="D3078" s="2" t="s">
        <v>124</v>
      </c>
      <c r="E3078" s="2"/>
      <c r="F3078" s="35">
        <v>0.29999999999999988</v>
      </c>
      <c r="G3078" s="35">
        <v>56.247619330047968</v>
      </c>
      <c r="H3078" s="35">
        <v>8.5553613017277321</v>
      </c>
      <c r="I3078" s="35">
        <v>0.18743783612942319</v>
      </c>
      <c r="J3078" s="35">
        <v>-1.1820237754881523E-4</v>
      </c>
      <c r="K3078" s="35">
        <v>0.5641201504474922</v>
      </c>
      <c r="L3078" s="35">
        <v>42.753137269031129</v>
      </c>
      <c r="M3078" s="58" t="s">
        <v>22</v>
      </c>
      <c r="N3078" s="7">
        <v>11.333333333333334</v>
      </c>
      <c r="O3078" s="7" t="s">
        <v>180</v>
      </c>
      <c r="P3078" s="7" t="s">
        <v>180</v>
      </c>
    </row>
    <row r="3079" spans="1:16" x14ac:dyDescent="0.25">
      <c r="A3079" s="2" t="s">
        <v>183</v>
      </c>
      <c r="B3079" s="2" t="s">
        <v>204</v>
      </c>
      <c r="C3079" s="6" t="s">
        <v>151</v>
      </c>
      <c r="D3079" s="2" t="s">
        <v>124</v>
      </c>
      <c r="E3079" s="2"/>
      <c r="F3079" s="35">
        <v>5.3</v>
      </c>
      <c r="G3079" s="35">
        <v>58.629383330047965</v>
      </c>
      <c r="H3079" s="35">
        <v>8.5553613017277321</v>
      </c>
      <c r="I3079" s="35">
        <v>0.18743783612942319</v>
      </c>
      <c r="J3079" s="35">
        <v>-1.1820237754881523E-4</v>
      </c>
      <c r="K3079" s="35">
        <v>-0.37306903019962367</v>
      </c>
      <c r="L3079" s="35">
        <v>-2.3669239607524119E-2</v>
      </c>
      <c r="M3079" s="58" t="s">
        <v>24</v>
      </c>
      <c r="N3079" s="7">
        <v>11.333333333333334</v>
      </c>
      <c r="O3079" s="7" t="s">
        <v>180</v>
      </c>
      <c r="P3079" s="7" t="s">
        <v>180</v>
      </c>
    </row>
    <row r="3080" spans="1:16" x14ac:dyDescent="0.25">
      <c r="A3080" s="2" t="s">
        <v>183</v>
      </c>
      <c r="B3080" s="2" t="s">
        <v>204</v>
      </c>
      <c r="C3080" s="6" t="s">
        <v>151</v>
      </c>
      <c r="D3080" s="2" t="s">
        <v>124</v>
      </c>
      <c r="E3080" s="2"/>
      <c r="F3080" s="35">
        <v>5.3</v>
      </c>
      <c r="G3080" s="35">
        <v>72.813577647306104</v>
      </c>
      <c r="H3080" s="35">
        <v>8.5553236909111519</v>
      </c>
      <c r="I3080" s="35">
        <v>-7.3182498187919165E-2</v>
      </c>
      <c r="J3080" s="35">
        <v>9.8712732262865984E-5</v>
      </c>
      <c r="K3080" s="35">
        <v>-0.37306903019962356</v>
      </c>
      <c r="L3080" s="35">
        <v>-2.3401624406755896E-2</v>
      </c>
      <c r="M3080" s="58" t="s">
        <v>24</v>
      </c>
      <c r="N3080" s="7">
        <v>11.333333333333334</v>
      </c>
      <c r="O3080" s="7" t="s">
        <v>180</v>
      </c>
      <c r="P3080" s="7" t="s">
        <v>180</v>
      </c>
    </row>
    <row r="3081" spans="1:16" x14ac:dyDescent="0.25">
      <c r="A3081" s="2" t="s">
        <v>183</v>
      </c>
      <c r="B3081" s="2" t="s">
        <v>204</v>
      </c>
      <c r="C3081" s="6" t="s">
        <v>151</v>
      </c>
      <c r="D3081" s="2" t="s">
        <v>124</v>
      </c>
      <c r="E3081" s="2"/>
      <c r="F3081" s="35">
        <v>5.4149169609489114</v>
      </c>
      <c r="G3081" s="35">
        <v>72.86831866342159</v>
      </c>
      <c r="H3081" s="35">
        <v>8.5553236909111519</v>
      </c>
      <c r="I3081" s="35">
        <v>-7.3182498187919165E-2</v>
      </c>
      <c r="J3081" s="35">
        <v>9.8712732262865984E-5</v>
      </c>
      <c r="K3081" s="35">
        <v>-0.3646591199132187</v>
      </c>
      <c r="L3081" s="35">
        <v>-1.0065534229004902</v>
      </c>
      <c r="M3081" s="58" t="s">
        <v>24</v>
      </c>
      <c r="N3081" s="7">
        <v>11.333333333333334</v>
      </c>
      <c r="O3081" s="7" t="s">
        <v>180</v>
      </c>
      <c r="P3081" s="7" t="s">
        <v>180</v>
      </c>
    </row>
    <row r="3082" spans="1:16" x14ac:dyDescent="0.25">
      <c r="A3082" s="2" t="s">
        <v>183</v>
      </c>
      <c r="B3082" s="2" t="s">
        <v>204</v>
      </c>
      <c r="C3082" s="6" t="s">
        <v>151</v>
      </c>
      <c r="D3082" s="2" t="s">
        <v>124</v>
      </c>
      <c r="E3082" s="2"/>
      <c r="F3082" s="35">
        <v>10.829833921897823</v>
      </c>
      <c r="G3082" s="35">
        <v>75.447729519537106</v>
      </c>
      <c r="H3082" s="35">
        <v>8.5553236909111519</v>
      </c>
      <c r="I3082" s="35">
        <v>-7.3182498187919165E-2</v>
      </c>
      <c r="J3082" s="35">
        <v>9.8712732262865984E-5</v>
      </c>
      <c r="K3082" s="35">
        <v>3.1618030769157632E-2</v>
      </c>
      <c r="L3082" s="35">
        <v>-47.332920783223301</v>
      </c>
      <c r="M3082" s="58" t="s">
        <v>23</v>
      </c>
      <c r="N3082" s="7">
        <v>11.333333333333334</v>
      </c>
      <c r="O3082" s="7" t="s">
        <v>180</v>
      </c>
      <c r="P3082" s="7" t="s">
        <v>180</v>
      </c>
    </row>
    <row r="3083" spans="1:16" x14ac:dyDescent="0.25">
      <c r="A3083" s="2" t="s">
        <v>183</v>
      </c>
      <c r="B3083" s="2" t="s">
        <v>204</v>
      </c>
      <c r="C3083" s="6" t="s">
        <v>151</v>
      </c>
      <c r="D3083" s="2" t="s">
        <v>125</v>
      </c>
      <c r="E3083" s="2"/>
      <c r="F3083" s="35">
        <v>0</v>
      </c>
      <c r="G3083" s="35">
        <v>-50.534562519781552</v>
      </c>
      <c r="H3083" s="35">
        <v>20.608069538557302</v>
      </c>
      <c r="I3083" s="35">
        <v>-0.51494638262406789</v>
      </c>
      <c r="J3083" s="35">
        <v>3.533962051283638E-4</v>
      </c>
      <c r="K3083" s="35">
        <v>7.5484332796604825E-2</v>
      </c>
      <c r="L3083" s="35">
        <v>114.58699889157997</v>
      </c>
      <c r="M3083" s="58" t="s">
        <v>22</v>
      </c>
      <c r="N3083" s="7">
        <v>11.333333333333334</v>
      </c>
      <c r="O3083" s="7" t="s">
        <v>180</v>
      </c>
      <c r="P3083" s="7" t="s">
        <v>180</v>
      </c>
    </row>
    <row r="3084" spans="1:16" x14ac:dyDescent="0.25">
      <c r="A3084" s="2" t="s">
        <v>183</v>
      </c>
      <c r="B3084" s="2" t="s">
        <v>204</v>
      </c>
      <c r="C3084" s="6" t="s">
        <v>151</v>
      </c>
      <c r="D3084" s="2" t="s">
        <v>125</v>
      </c>
      <c r="E3084" s="2"/>
      <c r="F3084" s="35">
        <v>0.29999999999999988</v>
      </c>
      <c r="G3084" s="35">
        <v>-50.391656679781541</v>
      </c>
      <c r="H3084" s="35">
        <v>20.608069538557302</v>
      </c>
      <c r="I3084" s="35">
        <v>-0.51494638262406789</v>
      </c>
      <c r="J3084" s="35">
        <v>3.533962051283638E-4</v>
      </c>
      <c r="K3084" s="35">
        <v>0.22996824758382514</v>
      </c>
      <c r="L3084" s="35">
        <v>108.40457803001279</v>
      </c>
      <c r="M3084" s="58" t="s">
        <v>22</v>
      </c>
      <c r="N3084" s="7">
        <v>11.333333333333334</v>
      </c>
      <c r="O3084" s="7" t="s">
        <v>180</v>
      </c>
      <c r="P3084" s="7" t="s">
        <v>180</v>
      </c>
    </row>
    <row r="3085" spans="1:16" x14ac:dyDescent="0.25">
      <c r="A3085" s="2" t="s">
        <v>183</v>
      </c>
      <c r="B3085" s="2" t="s">
        <v>204</v>
      </c>
      <c r="C3085" s="6" t="s">
        <v>151</v>
      </c>
      <c r="D3085" s="2" t="s">
        <v>125</v>
      </c>
      <c r="E3085" s="2"/>
      <c r="F3085" s="35">
        <v>0.29999999999999988</v>
      </c>
      <c r="G3085" s="35">
        <v>-39.744199415879201</v>
      </c>
      <c r="H3085" s="35">
        <v>20.608069538557256</v>
      </c>
      <c r="I3085" s="35">
        <v>7.6926807179318768E-2</v>
      </c>
      <c r="J3085" s="35">
        <v>-2.2158398307603694E-4</v>
      </c>
      <c r="K3085" s="35">
        <v>0.22996824758382528</v>
      </c>
      <c r="L3085" s="35">
        <v>108.40454353120143</v>
      </c>
      <c r="M3085" s="58" t="s">
        <v>22</v>
      </c>
      <c r="N3085" s="7">
        <v>11.333333333333334</v>
      </c>
      <c r="O3085" s="7" t="s">
        <v>180</v>
      </c>
      <c r="P3085" s="7" t="s">
        <v>180</v>
      </c>
    </row>
    <row r="3086" spans="1:16" x14ac:dyDescent="0.25">
      <c r="A3086" s="2" t="s">
        <v>183</v>
      </c>
      <c r="B3086" s="2" t="s">
        <v>204</v>
      </c>
      <c r="C3086" s="6" t="s">
        <v>151</v>
      </c>
      <c r="D3086" s="2" t="s">
        <v>125</v>
      </c>
      <c r="E3086" s="2"/>
      <c r="F3086" s="35">
        <v>5.3</v>
      </c>
      <c r="G3086" s="35">
        <v>-37.362435415879204</v>
      </c>
      <c r="H3086" s="35">
        <v>20.608069538557256</v>
      </c>
      <c r="I3086" s="35">
        <v>7.6926807179318768E-2</v>
      </c>
      <c r="J3086" s="35">
        <v>-2.2158398307603694E-4</v>
      </c>
      <c r="K3086" s="35">
        <v>-0.15466578831276856</v>
      </c>
      <c r="L3086" s="35">
        <v>5.3641958384151547</v>
      </c>
      <c r="M3086" s="58" t="s">
        <v>24</v>
      </c>
      <c r="N3086" s="7">
        <v>11.333333333333334</v>
      </c>
      <c r="O3086" s="7" t="s">
        <v>180</v>
      </c>
      <c r="P3086" s="7" t="s">
        <v>180</v>
      </c>
    </row>
    <row r="3087" spans="1:16" x14ac:dyDescent="0.25">
      <c r="A3087" s="2" t="s">
        <v>183</v>
      </c>
      <c r="B3087" s="2" t="s">
        <v>204</v>
      </c>
      <c r="C3087" s="6" t="s">
        <v>151</v>
      </c>
      <c r="D3087" s="2" t="s">
        <v>125</v>
      </c>
      <c r="E3087" s="2"/>
      <c r="F3087" s="35">
        <v>5.3</v>
      </c>
      <c r="G3087" s="35">
        <v>-44.565249133025645</v>
      </c>
      <c r="H3087" s="35">
        <v>20.607995175610888</v>
      </c>
      <c r="I3087" s="35">
        <v>-3.6878547709743463E-2</v>
      </c>
      <c r="J3087" s="35">
        <v>2.3326251214500398E-4</v>
      </c>
      <c r="K3087" s="35">
        <v>-0.15466578831276859</v>
      </c>
      <c r="L3087" s="35">
        <v>5.3648466975309299</v>
      </c>
      <c r="M3087" s="58" t="s">
        <v>24</v>
      </c>
      <c r="N3087" s="7">
        <v>11.333333333333334</v>
      </c>
      <c r="O3087" s="7" t="s">
        <v>180</v>
      </c>
      <c r="P3087" s="7" t="s">
        <v>180</v>
      </c>
    </row>
    <row r="3088" spans="1:16" x14ac:dyDescent="0.25">
      <c r="A3088" s="2" t="s">
        <v>183</v>
      </c>
      <c r="B3088" s="2" t="s">
        <v>204</v>
      </c>
      <c r="C3088" s="6" t="s">
        <v>151</v>
      </c>
      <c r="D3088" s="2" t="s">
        <v>125</v>
      </c>
      <c r="E3088" s="2"/>
      <c r="F3088" s="35">
        <v>5.4149169609489114</v>
      </c>
      <c r="G3088" s="35">
        <v>-44.510508116910145</v>
      </c>
      <c r="H3088" s="35">
        <v>20.607995175610888</v>
      </c>
      <c r="I3088" s="35">
        <v>-3.6878547709743463E-2</v>
      </c>
      <c r="J3088" s="35">
        <v>2.3326251214500398E-4</v>
      </c>
      <c r="K3088" s="35">
        <v>-0.15042781768575542</v>
      </c>
      <c r="L3088" s="35">
        <v>2.9966385206998969</v>
      </c>
      <c r="M3088" s="58" t="s">
        <v>24</v>
      </c>
      <c r="N3088" s="7">
        <v>11.333333333333334</v>
      </c>
      <c r="O3088" s="7" t="s">
        <v>180</v>
      </c>
      <c r="P3088" s="7" t="s">
        <v>180</v>
      </c>
    </row>
    <row r="3089" spans="1:16" x14ac:dyDescent="0.25">
      <c r="A3089" s="2" t="s">
        <v>183</v>
      </c>
      <c r="B3089" s="2" t="s">
        <v>204</v>
      </c>
      <c r="C3089" s="6" t="s">
        <v>151</v>
      </c>
      <c r="D3089" s="2" t="s">
        <v>125</v>
      </c>
      <c r="E3089" s="2"/>
      <c r="F3089" s="35">
        <v>10.829833921897823</v>
      </c>
      <c r="G3089" s="35">
        <v>-41.93109726079463</v>
      </c>
      <c r="H3089" s="35">
        <v>20.607995175610888</v>
      </c>
      <c r="I3089" s="35">
        <v>-3.6878547709743463E-2</v>
      </c>
      <c r="J3089" s="35">
        <v>2.3326251214500398E-4</v>
      </c>
      <c r="K3089" s="35">
        <v>4.9266455802898061E-2</v>
      </c>
      <c r="L3089" s="35">
        <v>-108.59394408686883</v>
      </c>
      <c r="M3089" s="58" t="s">
        <v>23</v>
      </c>
      <c r="N3089" s="7">
        <v>11.333333333333334</v>
      </c>
      <c r="O3089" s="7" t="s">
        <v>180</v>
      </c>
      <c r="P3089" s="7" t="s">
        <v>180</v>
      </c>
    </row>
    <row r="3090" spans="1:16" x14ac:dyDescent="0.25">
      <c r="A3090" s="2" t="s">
        <v>183</v>
      </c>
      <c r="B3090" s="2" t="s">
        <v>204</v>
      </c>
      <c r="C3090" s="6" t="s">
        <v>151</v>
      </c>
      <c r="D3090" s="2" t="s">
        <v>126</v>
      </c>
      <c r="E3090" s="2"/>
      <c r="F3090" s="35">
        <v>0</v>
      </c>
      <c r="G3090" s="35">
        <v>66.868587705960095</v>
      </c>
      <c r="H3090" s="35">
        <v>-1.4029226222366786</v>
      </c>
      <c r="I3090" s="35">
        <v>0.99648263521845459</v>
      </c>
      <c r="J3090" s="35">
        <v>-2.3943601568854052E-4</v>
      </c>
      <c r="K3090" s="35">
        <v>0.88605172209279393</v>
      </c>
      <c r="L3090" s="35">
        <v>-21.269653742047065</v>
      </c>
      <c r="M3090" s="58" t="s">
        <v>22</v>
      </c>
      <c r="N3090" s="7">
        <v>11.333333333333334</v>
      </c>
      <c r="O3090" s="7" t="s">
        <v>180</v>
      </c>
      <c r="P3090" s="7" t="s">
        <v>180</v>
      </c>
    </row>
    <row r="3091" spans="1:16" x14ac:dyDescent="0.25">
      <c r="A3091" s="2" t="s">
        <v>183</v>
      </c>
      <c r="B3091" s="2" t="s">
        <v>204</v>
      </c>
      <c r="C3091" s="6" t="s">
        <v>151</v>
      </c>
      <c r="D3091" s="2" t="s">
        <v>126</v>
      </c>
      <c r="E3091" s="2"/>
      <c r="F3091" s="35">
        <v>0.29999999999999988</v>
      </c>
      <c r="G3091" s="35">
        <v>67.011493545960093</v>
      </c>
      <c r="H3091" s="35">
        <v>-1.4029226222366786</v>
      </c>
      <c r="I3091" s="35">
        <v>0.99648263521845459</v>
      </c>
      <c r="J3091" s="35">
        <v>-2.3943601568854052E-4</v>
      </c>
      <c r="K3091" s="35">
        <v>0.58710693152725746</v>
      </c>
      <c r="L3091" s="35">
        <v>-20.848776955376064</v>
      </c>
      <c r="M3091" s="58" t="s">
        <v>22</v>
      </c>
      <c r="N3091" s="7">
        <v>11.333333333333334</v>
      </c>
      <c r="O3091" s="7" t="s">
        <v>180</v>
      </c>
      <c r="P3091" s="7" t="s">
        <v>180</v>
      </c>
    </row>
    <row r="3092" spans="1:16" x14ac:dyDescent="0.25">
      <c r="A3092" s="2" t="s">
        <v>183</v>
      </c>
      <c r="B3092" s="2" t="s">
        <v>204</v>
      </c>
      <c r="C3092" s="6" t="s">
        <v>151</v>
      </c>
      <c r="D3092" s="2" t="s">
        <v>126</v>
      </c>
      <c r="E3092" s="2"/>
      <c r="F3092" s="35">
        <v>0.29999999999999988</v>
      </c>
      <c r="G3092" s="35">
        <v>54.43395034859136</v>
      </c>
      <c r="H3092" s="35">
        <v>-1.4029226222366864</v>
      </c>
      <c r="I3092" s="35">
        <v>0.19485579734557873</v>
      </c>
      <c r="J3092" s="35">
        <v>-5.018043289248506E-5</v>
      </c>
      <c r="K3092" s="35">
        <v>0.58710693152725812</v>
      </c>
      <c r="L3092" s="35">
        <v>-20.848765600041087</v>
      </c>
      <c r="M3092" s="58" t="s">
        <v>22</v>
      </c>
      <c r="N3092" s="7">
        <v>11.333333333333334</v>
      </c>
      <c r="O3092" s="7" t="s">
        <v>180</v>
      </c>
      <c r="P3092" s="7" t="s">
        <v>180</v>
      </c>
    </row>
    <row r="3093" spans="1:16" x14ac:dyDescent="0.25">
      <c r="A3093" s="2" t="s">
        <v>183</v>
      </c>
      <c r="B3093" s="2" t="s">
        <v>204</v>
      </c>
      <c r="C3093" s="6" t="s">
        <v>151</v>
      </c>
      <c r="D3093" s="2" t="s">
        <v>126</v>
      </c>
      <c r="E3093" s="2"/>
      <c r="F3093" s="35">
        <v>5.3</v>
      </c>
      <c r="G3093" s="35">
        <v>56.815714348591356</v>
      </c>
      <c r="H3093" s="35">
        <v>-1.4029226222366864</v>
      </c>
      <c r="I3093" s="35">
        <v>0.19485579734557873</v>
      </c>
      <c r="J3093" s="35">
        <v>-5.018043289248506E-5</v>
      </c>
      <c r="K3093" s="35">
        <v>-0.38717205520063547</v>
      </c>
      <c r="L3093" s="35">
        <v>-13.834152488857649</v>
      </c>
      <c r="M3093" s="58" t="s">
        <v>24</v>
      </c>
      <c r="N3093" s="7">
        <v>11.333333333333334</v>
      </c>
      <c r="O3093" s="7" t="s">
        <v>180</v>
      </c>
      <c r="P3093" s="7" t="s">
        <v>180</v>
      </c>
    </row>
    <row r="3094" spans="1:16" x14ac:dyDescent="0.25">
      <c r="A3094" s="2" t="s">
        <v>183</v>
      </c>
      <c r="B3094" s="2" t="s">
        <v>204</v>
      </c>
      <c r="C3094" s="6" t="s">
        <v>151</v>
      </c>
      <c r="D3094" s="2" t="s">
        <v>126</v>
      </c>
      <c r="E3094" s="2"/>
      <c r="F3094" s="35">
        <v>5.3</v>
      </c>
      <c r="G3094" s="35">
        <v>70.924912928888446</v>
      </c>
      <c r="H3094" s="35">
        <v>-1.4029234690102106</v>
      </c>
      <c r="I3094" s="35">
        <v>-7.5523561630534738E-2</v>
      </c>
      <c r="J3094" s="35">
        <v>6.9638514130686714E-5</v>
      </c>
      <c r="K3094" s="35">
        <v>-0.38717205520063586</v>
      </c>
      <c r="L3094" s="35">
        <v>-13.834030763840337</v>
      </c>
      <c r="M3094" s="58" t="s">
        <v>24</v>
      </c>
      <c r="N3094" s="7">
        <v>11.333333333333334</v>
      </c>
      <c r="O3094" s="7" t="s">
        <v>180</v>
      </c>
      <c r="P3094" s="7" t="s">
        <v>180</v>
      </c>
    </row>
    <row r="3095" spans="1:16" x14ac:dyDescent="0.25">
      <c r="A3095" s="2" t="s">
        <v>183</v>
      </c>
      <c r="B3095" s="2" t="s">
        <v>204</v>
      </c>
      <c r="C3095" s="6" t="s">
        <v>151</v>
      </c>
      <c r="D3095" s="2" t="s">
        <v>126</v>
      </c>
      <c r="E3095" s="2"/>
      <c r="F3095" s="35">
        <v>5.4149169609489114</v>
      </c>
      <c r="G3095" s="35">
        <v>70.979653945003946</v>
      </c>
      <c r="H3095" s="35">
        <v>-1.4029234690102106</v>
      </c>
      <c r="I3095" s="35">
        <v>-7.5523561630534738E-2</v>
      </c>
      <c r="J3095" s="35">
        <v>6.9638514130686714E-5</v>
      </c>
      <c r="K3095" s="35">
        <v>-0.37849311701801702</v>
      </c>
      <c r="L3095" s="35">
        <v>-13.672811062337781</v>
      </c>
      <c r="M3095" s="58" t="s">
        <v>24</v>
      </c>
      <c r="N3095" s="7">
        <v>11.333333333333334</v>
      </c>
      <c r="O3095" s="7" t="s">
        <v>180</v>
      </c>
      <c r="P3095" s="7" t="s">
        <v>180</v>
      </c>
    </row>
    <row r="3096" spans="1:16" x14ac:dyDescent="0.25">
      <c r="A3096" s="2" t="s">
        <v>183</v>
      </c>
      <c r="B3096" s="2" t="s">
        <v>204</v>
      </c>
      <c r="C3096" s="6" t="s">
        <v>151</v>
      </c>
      <c r="D3096" s="2" t="s">
        <v>126</v>
      </c>
      <c r="E3096" s="2"/>
      <c r="F3096" s="35">
        <v>10.829833921897823</v>
      </c>
      <c r="G3096" s="35">
        <v>73.559064801119462</v>
      </c>
      <c r="H3096" s="35">
        <v>-1.4029234690102106</v>
      </c>
      <c r="I3096" s="35">
        <v>-7.5523561630534738E-2</v>
      </c>
      <c r="J3096" s="35">
        <v>6.9638514130686714E-5</v>
      </c>
      <c r="K3096" s="35">
        <v>3.0460697806435847E-2</v>
      </c>
      <c r="L3096" s="35">
        <v>-6.0760969750811036</v>
      </c>
      <c r="M3096" s="58" t="s">
        <v>23</v>
      </c>
      <c r="N3096" s="7">
        <v>11.333333333333334</v>
      </c>
      <c r="O3096" s="7" t="s">
        <v>180</v>
      </c>
      <c r="P3096" s="7" t="s">
        <v>180</v>
      </c>
    </row>
    <row r="3097" spans="1:16" x14ac:dyDescent="0.25">
      <c r="A3097" s="2" t="s">
        <v>183</v>
      </c>
      <c r="B3097" s="2" t="s">
        <v>204</v>
      </c>
      <c r="C3097" s="6" t="s">
        <v>151</v>
      </c>
      <c r="D3097" s="2" t="s">
        <v>127</v>
      </c>
      <c r="E3097" s="2"/>
      <c r="F3097" s="35">
        <v>0</v>
      </c>
      <c r="G3097" s="35">
        <v>-146.95452912652399</v>
      </c>
      <c r="H3097" s="35">
        <v>-14.809963817819096</v>
      </c>
      <c r="I3097" s="35">
        <v>-1.4093712441420672</v>
      </c>
      <c r="J3097" s="35">
        <v>-2.2460000631162398E-4</v>
      </c>
      <c r="K3097" s="35">
        <v>-0.13767581240844481</v>
      </c>
      <c r="L3097" s="35">
        <v>-85.773135762060463</v>
      </c>
      <c r="M3097" s="58" t="s">
        <v>22</v>
      </c>
      <c r="N3097" s="7">
        <v>11.333333333333334</v>
      </c>
      <c r="O3097" s="7" t="s">
        <v>180</v>
      </c>
      <c r="P3097" s="7" t="s">
        <v>180</v>
      </c>
    </row>
    <row r="3098" spans="1:16" x14ac:dyDescent="0.25">
      <c r="A3098" s="2" t="s">
        <v>183</v>
      </c>
      <c r="B3098" s="2" t="s">
        <v>204</v>
      </c>
      <c r="C3098" s="6" t="s">
        <v>151</v>
      </c>
      <c r="D3098" s="2" t="s">
        <v>127</v>
      </c>
      <c r="E3098" s="2"/>
      <c r="F3098" s="35">
        <v>0.29999999999999988</v>
      </c>
      <c r="G3098" s="35">
        <v>-146.811623286524</v>
      </c>
      <c r="H3098" s="35">
        <v>-14.809963817819096</v>
      </c>
      <c r="I3098" s="35">
        <v>-1.4093712441420672</v>
      </c>
      <c r="J3098" s="35">
        <v>-2.2460000631162398E-4</v>
      </c>
      <c r="K3098" s="35">
        <v>0.28513556083417513</v>
      </c>
      <c r="L3098" s="35">
        <v>-81.330146616714728</v>
      </c>
      <c r="M3098" s="58" t="s">
        <v>22</v>
      </c>
      <c r="N3098" s="7">
        <v>11.333333333333334</v>
      </c>
      <c r="O3098" s="7" t="s">
        <v>180</v>
      </c>
      <c r="P3098" s="7" t="s">
        <v>180</v>
      </c>
    </row>
    <row r="3099" spans="1:16" x14ac:dyDescent="0.25">
      <c r="A3099" s="2" t="s">
        <v>183</v>
      </c>
      <c r="B3099" s="2" t="s">
        <v>204</v>
      </c>
      <c r="C3099" s="6" t="s">
        <v>151</v>
      </c>
      <c r="D3099" s="2" t="s">
        <v>127</v>
      </c>
      <c r="E3099" s="2"/>
      <c r="F3099" s="35">
        <v>0.29999999999999988</v>
      </c>
      <c r="G3099" s="35">
        <v>-120.9881886415463</v>
      </c>
      <c r="H3099" s="35">
        <v>-14.809963817819089</v>
      </c>
      <c r="I3099" s="35">
        <v>9.3060588525834625E-2</v>
      </c>
      <c r="J3099" s="35">
        <v>2.0470342523706375E-4</v>
      </c>
      <c r="K3099" s="35">
        <v>0.28513556083417563</v>
      </c>
      <c r="L3099" s="35">
        <v>-81.330120858508863</v>
      </c>
      <c r="M3099" s="58" t="s">
        <v>22</v>
      </c>
      <c r="N3099" s="7">
        <v>11.333333333333334</v>
      </c>
      <c r="O3099" s="7" t="s">
        <v>180</v>
      </c>
      <c r="P3099" s="7" t="s">
        <v>180</v>
      </c>
    </row>
    <row r="3100" spans="1:16" x14ac:dyDescent="0.25">
      <c r="A3100" s="2" t="s">
        <v>183</v>
      </c>
      <c r="B3100" s="2" t="s">
        <v>204</v>
      </c>
      <c r="C3100" s="6" t="s">
        <v>151</v>
      </c>
      <c r="D3100" s="2" t="s">
        <v>127</v>
      </c>
      <c r="E3100" s="2"/>
      <c r="F3100" s="35">
        <v>5.3</v>
      </c>
      <c r="G3100" s="35">
        <v>-118.6064246415463</v>
      </c>
      <c r="H3100" s="35">
        <v>-14.809963817819089</v>
      </c>
      <c r="I3100" s="35">
        <v>9.3060588525834625E-2</v>
      </c>
      <c r="J3100" s="35">
        <v>2.0470342523706375E-4</v>
      </c>
      <c r="K3100" s="35">
        <v>-0.18016738179499753</v>
      </c>
      <c r="L3100" s="35">
        <v>-7.2803017694134304</v>
      </c>
      <c r="M3100" s="58" t="s">
        <v>24</v>
      </c>
      <c r="N3100" s="7">
        <v>11.333333333333334</v>
      </c>
      <c r="O3100" s="7" t="s">
        <v>180</v>
      </c>
      <c r="P3100" s="7" t="s">
        <v>180</v>
      </c>
    </row>
    <row r="3101" spans="1:16" x14ac:dyDescent="0.25">
      <c r="A3101" s="2" t="s">
        <v>183</v>
      </c>
      <c r="B3101" s="2" t="s">
        <v>204</v>
      </c>
      <c r="C3101" s="6" t="s">
        <v>151</v>
      </c>
      <c r="D3101" s="2" t="s">
        <v>127</v>
      </c>
      <c r="E3101" s="2"/>
      <c r="F3101" s="35">
        <v>5.3</v>
      </c>
      <c r="G3101" s="35">
        <v>-139.96722070703541</v>
      </c>
      <c r="H3101" s="35">
        <v>-14.809906797857579</v>
      </c>
      <c r="I3101" s="35">
        <v>-4.1133983342214131E-2</v>
      </c>
      <c r="J3101" s="35">
        <v>-8.2737941693344008E-5</v>
      </c>
      <c r="K3101" s="35">
        <v>-0.18016738179499731</v>
      </c>
      <c r="L3101" s="35">
        <v>-7.2806921264840563</v>
      </c>
      <c r="M3101" s="58" t="s">
        <v>24</v>
      </c>
      <c r="N3101" s="7">
        <v>11.333333333333334</v>
      </c>
      <c r="O3101" s="7" t="s">
        <v>180</v>
      </c>
      <c r="P3101" s="7" t="s">
        <v>180</v>
      </c>
    </row>
    <row r="3102" spans="1:16" x14ac:dyDescent="0.25">
      <c r="A3102" s="2" t="s">
        <v>183</v>
      </c>
      <c r="B3102" s="2" t="s">
        <v>204</v>
      </c>
      <c r="C3102" s="6" t="s">
        <v>151</v>
      </c>
      <c r="D3102" s="2" t="s">
        <v>127</v>
      </c>
      <c r="E3102" s="2"/>
      <c r="F3102" s="35">
        <v>5.4149169609489114</v>
      </c>
      <c r="G3102" s="35">
        <v>-139.91247969091992</v>
      </c>
      <c r="H3102" s="35">
        <v>-14.809906797857579</v>
      </c>
      <c r="I3102" s="35">
        <v>-4.1133983342214131E-2</v>
      </c>
      <c r="J3102" s="35">
        <v>-8.2737941693344008E-5</v>
      </c>
      <c r="K3102" s="35">
        <v>-0.17544038943758691</v>
      </c>
      <c r="L3102" s="35">
        <v>-5.5787826453376397</v>
      </c>
      <c r="M3102" s="58" t="s">
        <v>24</v>
      </c>
      <c r="N3102" s="7">
        <v>11.333333333333334</v>
      </c>
      <c r="O3102" s="7" t="s">
        <v>180</v>
      </c>
      <c r="P3102" s="7" t="s">
        <v>180</v>
      </c>
    </row>
    <row r="3103" spans="1:16" x14ac:dyDescent="0.25">
      <c r="A3103" s="2" t="s">
        <v>183</v>
      </c>
      <c r="B3103" s="2" t="s">
        <v>204</v>
      </c>
      <c r="C3103" s="6" t="s">
        <v>151</v>
      </c>
      <c r="D3103" s="2" t="s">
        <v>127</v>
      </c>
      <c r="E3103" s="2"/>
      <c r="F3103" s="35">
        <v>10.829833921897823</v>
      </c>
      <c r="G3103" s="35">
        <v>-137.33306883480441</v>
      </c>
      <c r="H3103" s="35">
        <v>-14.809906797857579</v>
      </c>
      <c r="I3103" s="35">
        <v>-4.1133983342214131E-2</v>
      </c>
      <c r="J3103" s="35">
        <v>-8.2737941693344008E-5</v>
      </c>
      <c r="K3103" s="35">
        <v>4.7296714633558334E-2</v>
      </c>
      <c r="L3103" s="35">
        <v>74.615632864453929</v>
      </c>
      <c r="M3103" s="58" t="s">
        <v>23</v>
      </c>
      <c r="N3103" s="7">
        <v>11.333333333333334</v>
      </c>
      <c r="O3103" s="7" t="s">
        <v>180</v>
      </c>
      <c r="P3103" s="7" t="s">
        <v>180</v>
      </c>
    </row>
    <row r="3104" spans="1:16" x14ac:dyDescent="0.25">
      <c r="A3104" s="2" t="s">
        <v>181</v>
      </c>
      <c r="B3104" s="2" t="s">
        <v>205</v>
      </c>
      <c r="C3104" s="6" t="s">
        <v>152</v>
      </c>
      <c r="D3104" s="2" t="s">
        <v>105</v>
      </c>
      <c r="E3104" s="2"/>
      <c r="F3104" s="35">
        <v>0</v>
      </c>
      <c r="G3104" s="35">
        <v>-48.759754467275158</v>
      </c>
      <c r="H3104" s="35">
        <v>18.974631982341048</v>
      </c>
      <c r="I3104" s="35">
        <v>-5.8667362089416059E-2</v>
      </c>
      <c r="J3104" s="35">
        <v>-3.0614781039592216E-5</v>
      </c>
      <c r="K3104" s="35">
        <v>-8.2135718096889007E-2</v>
      </c>
      <c r="L3104" s="35">
        <v>60.759908581011949</v>
      </c>
      <c r="M3104" s="58" t="s">
        <v>22</v>
      </c>
      <c r="N3104" s="7">
        <v>9.5</v>
      </c>
      <c r="O3104" s="7" t="s">
        <v>179</v>
      </c>
      <c r="P3104" s="7" t="s">
        <v>179</v>
      </c>
    </row>
    <row r="3105" spans="1:16" x14ac:dyDescent="0.25">
      <c r="A3105" s="2" t="s">
        <v>181</v>
      </c>
      <c r="B3105" s="2" t="s">
        <v>205</v>
      </c>
      <c r="C3105" s="6" t="s">
        <v>152</v>
      </c>
      <c r="D3105" s="2" t="s">
        <v>105</v>
      </c>
      <c r="E3105" s="2"/>
      <c r="F3105" s="35">
        <v>2</v>
      </c>
      <c r="G3105" s="35">
        <v>-47.94595686727515</v>
      </c>
      <c r="H3105" s="35">
        <v>18.974631982341048</v>
      </c>
      <c r="I3105" s="35">
        <v>-5.8667362089416059E-2</v>
      </c>
      <c r="J3105" s="35">
        <v>-3.0614781039592216E-5</v>
      </c>
      <c r="K3105" s="35">
        <v>3.5199006081943117E-2</v>
      </c>
      <c r="L3105" s="35">
        <v>22.810644616329849</v>
      </c>
      <c r="M3105" s="58" t="s">
        <v>22</v>
      </c>
      <c r="N3105" s="7">
        <v>9.5</v>
      </c>
      <c r="O3105" s="7" t="s">
        <v>179</v>
      </c>
      <c r="P3105" s="7" t="s">
        <v>179</v>
      </c>
    </row>
    <row r="3106" spans="1:16" x14ac:dyDescent="0.25">
      <c r="A3106" s="2" t="s">
        <v>181</v>
      </c>
      <c r="B3106" s="2" t="s">
        <v>205</v>
      </c>
      <c r="C3106" s="6" t="s">
        <v>152</v>
      </c>
      <c r="D3106" s="2" t="s">
        <v>105</v>
      </c>
      <c r="E3106" s="2"/>
      <c r="F3106" s="35">
        <v>2</v>
      </c>
      <c r="G3106" s="35">
        <v>-47.867584868711162</v>
      </c>
      <c r="H3106" s="35">
        <v>18.974620832618523</v>
      </c>
      <c r="I3106" s="35">
        <v>3.918663085460572E-3</v>
      </c>
      <c r="J3106" s="35">
        <v>2.8815397467394776E-5</v>
      </c>
      <c r="K3106" s="35">
        <v>3.5199006081943027E-2</v>
      </c>
      <c r="L3106" s="35">
        <v>22.81070800852024</v>
      </c>
      <c r="M3106" s="58" t="s">
        <v>22</v>
      </c>
      <c r="N3106" s="7">
        <v>9.5</v>
      </c>
      <c r="O3106" s="7" t="s">
        <v>179</v>
      </c>
      <c r="P3106" s="7" t="s">
        <v>179</v>
      </c>
    </row>
    <row r="3107" spans="1:16" x14ac:dyDescent="0.25">
      <c r="A3107" s="2" t="s">
        <v>181</v>
      </c>
      <c r="B3107" s="2" t="s">
        <v>205</v>
      </c>
      <c r="C3107" s="6" t="s">
        <v>152</v>
      </c>
      <c r="D3107" s="2" t="s">
        <v>105</v>
      </c>
      <c r="E3107" s="2"/>
      <c r="F3107" s="35">
        <v>4.4982502942822453</v>
      </c>
      <c r="G3107" s="35">
        <v>-46.851049821868067</v>
      </c>
      <c r="H3107" s="35">
        <v>18.974620832618523</v>
      </c>
      <c r="I3107" s="35">
        <v>3.918663085460572E-3</v>
      </c>
      <c r="J3107" s="35">
        <v>2.8815397467394776E-5</v>
      </c>
      <c r="K3107" s="35">
        <v>2.5409204875498186E-2</v>
      </c>
      <c r="L3107" s="35">
        <v>-24.592644070462995</v>
      </c>
      <c r="M3107" s="58" t="s">
        <v>24</v>
      </c>
      <c r="N3107" s="7">
        <v>9.5</v>
      </c>
      <c r="O3107" s="7" t="s">
        <v>179</v>
      </c>
      <c r="P3107" s="7" t="s">
        <v>179</v>
      </c>
    </row>
    <row r="3108" spans="1:16" x14ac:dyDescent="0.25">
      <c r="A3108" s="2" t="s">
        <v>181</v>
      </c>
      <c r="B3108" s="2" t="s">
        <v>205</v>
      </c>
      <c r="C3108" s="6" t="s">
        <v>152</v>
      </c>
      <c r="D3108" s="2" t="s">
        <v>105</v>
      </c>
      <c r="E3108" s="2"/>
      <c r="F3108" s="35">
        <v>8.9965005885644906</v>
      </c>
      <c r="G3108" s="35">
        <v>-45.020717175024977</v>
      </c>
      <c r="H3108" s="35">
        <v>18.974620832618523</v>
      </c>
      <c r="I3108" s="35">
        <v>3.918663085460572E-3</v>
      </c>
      <c r="J3108" s="35">
        <v>2.8815397467394776E-5</v>
      </c>
      <c r="K3108" s="35">
        <v>7.7820774981321988E-3</v>
      </c>
      <c r="L3108" s="35">
        <v>-109.94523781468328</v>
      </c>
      <c r="M3108" s="58" t="s">
        <v>23</v>
      </c>
      <c r="N3108" s="7">
        <v>9.5</v>
      </c>
      <c r="O3108" s="7" t="s">
        <v>179</v>
      </c>
      <c r="P3108" s="7" t="s">
        <v>179</v>
      </c>
    </row>
    <row r="3109" spans="1:16" x14ac:dyDescent="0.25">
      <c r="A3109" s="2" t="s">
        <v>181</v>
      </c>
      <c r="B3109" s="2" t="s">
        <v>205</v>
      </c>
      <c r="C3109" s="6" t="s">
        <v>152</v>
      </c>
      <c r="D3109" s="2" t="s">
        <v>15</v>
      </c>
      <c r="E3109" s="2"/>
      <c r="F3109" s="35">
        <v>0</v>
      </c>
      <c r="G3109" s="35">
        <v>54.02678152586509</v>
      </c>
      <c r="H3109" s="35">
        <v>-4.8298743299047482</v>
      </c>
      <c r="I3109" s="35">
        <v>-4.2704400220387608</v>
      </c>
      <c r="J3109" s="35">
        <v>2.0191432445965872E-4</v>
      </c>
      <c r="K3109" s="35">
        <v>-6.834416528092536</v>
      </c>
      <c r="L3109" s="35">
        <v>-46.322250734111982</v>
      </c>
      <c r="M3109" s="58" t="s">
        <v>22</v>
      </c>
      <c r="N3109" s="7">
        <v>9.5</v>
      </c>
      <c r="O3109" s="7" t="s">
        <v>179</v>
      </c>
      <c r="P3109" s="7" t="s">
        <v>179</v>
      </c>
    </row>
    <row r="3110" spans="1:16" x14ac:dyDescent="0.25">
      <c r="A3110" s="2" t="s">
        <v>181</v>
      </c>
      <c r="B3110" s="2" t="s">
        <v>205</v>
      </c>
      <c r="C3110" s="6" t="s">
        <v>152</v>
      </c>
      <c r="D3110" s="2" t="s">
        <v>15</v>
      </c>
      <c r="E3110" s="2"/>
      <c r="F3110" s="35">
        <v>2</v>
      </c>
      <c r="G3110" s="35">
        <v>54.840579125865091</v>
      </c>
      <c r="H3110" s="35">
        <v>-13.229874329904748</v>
      </c>
      <c r="I3110" s="35">
        <v>-4.2704400220387617</v>
      </c>
      <c r="J3110" s="35">
        <v>2.0191432445965872E-4</v>
      </c>
      <c r="K3110" s="35">
        <v>1.7064635159849861</v>
      </c>
      <c r="L3110" s="35">
        <v>-28.2625020743025</v>
      </c>
      <c r="M3110" s="58" t="s">
        <v>22</v>
      </c>
      <c r="N3110" s="7">
        <v>9.5</v>
      </c>
      <c r="O3110" s="7" t="s">
        <v>179</v>
      </c>
      <c r="P3110" s="7" t="s">
        <v>179</v>
      </c>
    </row>
    <row r="3111" spans="1:16" x14ac:dyDescent="0.25">
      <c r="A3111" s="2" t="s">
        <v>181</v>
      </c>
      <c r="B3111" s="2" t="s">
        <v>205</v>
      </c>
      <c r="C3111" s="6" t="s">
        <v>152</v>
      </c>
      <c r="D3111" s="2" t="s">
        <v>15</v>
      </c>
      <c r="E3111" s="2"/>
      <c r="F3111" s="35">
        <v>2</v>
      </c>
      <c r="G3111" s="35">
        <v>59.076433073719457</v>
      </c>
      <c r="H3111" s="35">
        <v>-13.229859896377141</v>
      </c>
      <c r="I3111" s="35">
        <v>0.22679660295135529</v>
      </c>
      <c r="J3111" s="35">
        <v>1.3866580442796613E-4</v>
      </c>
      <c r="K3111" s="35">
        <v>1.7064635159849899</v>
      </c>
      <c r="L3111" s="35">
        <v>-28.262569539390533</v>
      </c>
      <c r="M3111" s="58" t="s">
        <v>22</v>
      </c>
      <c r="N3111" s="7">
        <v>9.5</v>
      </c>
      <c r="O3111" s="7" t="s">
        <v>179</v>
      </c>
      <c r="P3111" s="7" t="s">
        <v>179</v>
      </c>
    </row>
    <row r="3112" spans="1:16" x14ac:dyDescent="0.25">
      <c r="A3112" s="2" t="s">
        <v>181</v>
      </c>
      <c r="B3112" s="2" t="s">
        <v>205</v>
      </c>
      <c r="C3112" s="6" t="s">
        <v>152</v>
      </c>
      <c r="D3112" s="2" t="s">
        <v>15</v>
      </c>
      <c r="E3112" s="2"/>
      <c r="F3112" s="35">
        <v>4.4982502942822453</v>
      </c>
      <c r="G3112" s="35">
        <v>60.092968120562546</v>
      </c>
      <c r="H3112" s="35">
        <v>-23.72251113236257</v>
      </c>
      <c r="I3112" s="35">
        <v>0.22679660295135465</v>
      </c>
      <c r="J3112" s="35">
        <v>1.3866580442796613E-4</v>
      </c>
      <c r="K3112" s="35">
        <v>1.1398688359195539</v>
      </c>
      <c r="L3112" s="35">
        <v>17.895566359097298</v>
      </c>
      <c r="M3112" s="58" t="s">
        <v>24</v>
      </c>
      <c r="N3112" s="7">
        <v>9.5</v>
      </c>
      <c r="O3112" s="7" t="s">
        <v>179</v>
      </c>
      <c r="P3112" s="7" t="s">
        <v>179</v>
      </c>
    </row>
    <row r="3113" spans="1:16" x14ac:dyDescent="0.25">
      <c r="A3113" s="2" t="s">
        <v>181</v>
      </c>
      <c r="B3113" s="2" t="s">
        <v>205</v>
      </c>
      <c r="C3113" s="6" t="s">
        <v>152</v>
      </c>
      <c r="D3113" s="2" t="s">
        <v>15</v>
      </c>
      <c r="E3113" s="2"/>
      <c r="F3113" s="35">
        <v>8.9965005885644906</v>
      </c>
      <c r="G3113" s="35">
        <v>61.923300767405635</v>
      </c>
      <c r="H3113" s="35">
        <v>-42.615162368348003</v>
      </c>
      <c r="I3113" s="35">
        <v>0.22679660295135348</v>
      </c>
      <c r="J3113" s="35">
        <v>1.3866580442796613E-4</v>
      </c>
      <c r="K3113" s="35">
        <v>0.11968094995141207</v>
      </c>
      <c r="L3113" s="35">
        <v>167.09729603238267</v>
      </c>
      <c r="M3113" s="58" t="s">
        <v>23</v>
      </c>
      <c r="N3113" s="7">
        <v>9.5</v>
      </c>
      <c r="O3113" s="7" t="s">
        <v>179</v>
      </c>
      <c r="P3113" s="7" t="s">
        <v>179</v>
      </c>
    </row>
    <row r="3114" spans="1:16" x14ac:dyDescent="0.25">
      <c r="A3114" s="2" t="s">
        <v>181</v>
      </c>
      <c r="B3114" s="2" t="s">
        <v>205</v>
      </c>
      <c r="C3114" s="6" t="s">
        <v>152</v>
      </c>
      <c r="D3114" s="2" t="s">
        <v>16</v>
      </c>
      <c r="E3114" s="2"/>
      <c r="F3114" s="35">
        <v>0</v>
      </c>
      <c r="G3114" s="35">
        <v>11.473640899602179</v>
      </c>
      <c r="H3114" s="35">
        <v>-0.32728247900630225</v>
      </c>
      <c r="I3114" s="35">
        <v>-4.7224255953427985</v>
      </c>
      <c r="J3114" s="35">
        <v>2.0426106816545742E-4</v>
      </c>
      <c r="K3114" s="35">
        <v>-7.5287754271531604</v>
      </c>
      <c r="L3114" s="35">
        <v>-14.252222522305765</v>
      </c>
      <c r="M3114" s="58" t="s">
        <v>22</v>
      </c>
      <c r="N3114" s="7">
        <v>9.5</v>
      </c>
      <c r="O3114" s="7" t="s">
        <v>179</v>
      </c>
      <c r="P3114" s="7" t="s">
        <v>179</v>
      </c>
    </row>
    <row r="3115" spans="1:16" x14ac:dyDescent="0.25">
      <c r="A3115" s="2" t="s">
        <v>181</v>
      </c>
      <c r="B3115" s="2" t="s">
        <v>205</v>
      </c>
      <c r="C3115" s="6" t="s">
        <v>152</v>
      </c>
      <c r="D3115" s="2" t="s">
        <v>16</v>
      </c>
      <c r="E3115" s="2"/>
      <c r="F3115" s="35">
        <v>2</v>
      </c>
      <c r="G3115" s="35">
        <v>12.287438499602178</v>
      </c>
      <c r="H3115" s="35">
        <v>-4.0232824790063013</v>
      </c>
      <c r="I3115" s="35">
        <v>-4.7224255953427985</v>
      </c>
      <c r="J3115" s="35">
        <v>2.0426106816545742E-4</v>
      </c>
      <c r="K3115" s="35">
        <v>1.9160757635324357</v>
      </c>
      <c r="L3115" s="35">
        <v>-9.9016575642931617</v>
      </c>
      <c r="M3115" s="58" t="s">
        <v>22</v>
      </c>
      <c r="N3115" s="7">
        <v>9.5</v>
      </c>
      <c r="O3115" s="7" t="s">
        <v>179</v>
      </c>
      <c r="P3115" s="7" t="s">
        <v>179</v>
      </c>
    </row>
    <row r="3116" spans="1:16" x14ac:dyDescent="0.25">
      <c r="A3116" s="2" t="s">
        <v>181</v>
      </c>
      <c r="B3116" s="2" t="s">
        <v>205</v>
      </c>
      <c r="C3116" s="6" t="s">
        <v>152</v>
      </c>
      <c r="D3116" s="2" t="s">
        <v>16</v>
      </c>
      <c r="E3116" s="2"/>
      <c r="F3116" s="35">
        <v>2</v>
      </c>
      <c r="G3116" s="35">
        <v>16.97322259426759</v>
      </c>
      <c r="H3116" s="35">
        <v>-4.0232787450899368</v>
      </c>
      <c r="I3116" s="35">
        <v>0.25473433411933855</v>
      </c>
      <c r="J3116" s="35">
        <v>1.818984888445005E-4</v>
      </c>
      <c r="K3116" s="35">
        <v>1.9160757635324364</v>
      </c>
      <c r="L3116" s="35">
        <v>-9.9016814177110657</v>
      </c>
      <c r="M3116" s="58" t="s">
        <v>22</v>
      </c>
      <c r="N3116" s="7">
        <v>9.5</v>
      </c>
      <c r="O3116" s="7" t="s">
        <v>179</v>
      </c>
      <c r="P3116" s="7" t="s">
        <v>179</v>
      </c>
    </row>
    <row r="3117" spans="1:16" x14ac:dyDescent="0.25">
      <c r="A3117" s="2" t="s">
        <v>181</v>
      </c>
      <c r="B3117" s="2" t="s">
        <v>205</v>
      </c>
      <c r="C3117" s="6" t="s">
        <v>152</v>
      </c>
      <c r="D3117" s="2" t="s">
        <v>16</v>
      </c>
      <c r="E3117" s="2"/>
      <c r="F3117" s="35">
        <v>4.4982502942822453</v>
      </c>
      <c r="G3117" s="35">
        <v>17.989757641110682</v>
      </c>
      <c r="H3117" s="35">
        <v>-8.6400452889235257</v>
      </c>
      <c r="I3117" s="35">
        <v>0.25473433411933821</v>
      </c>
      <c r="J3117" s="35">
        <v>1.818984888445005E-4</v>
      </c>
      <c r="K3117" s="35">
        <v>1.2796856383550077</v>
      </c>
      <c r="L3117" s="35">
        <v>5.9163950795717115</v>
      </c>
      <c r="M3117" s="58" t="s">
        <v>24</v>
      </c>
      <c r="N3117" s="7">
        <v>9.5</v>
      </c>
      <c r="O3117" s="7" t="s">
        <v>179</v>
      </c>
      <c r="P3117" s="7" t="s">
        <v>179</v>
      </c>
    </row>
    <row r="3118" spans="1:16" x14ac:dyDescent="0.25">
      <c r="A3118" s="2" t="s">
        <v>181</v>
      </c>
      <c r="B3118" s="2" t="s">
        <v>205</v>
      </c>
      <c r="C3118" s="6" t="s">
        <v>152</v>
      </c>
      <c r="D3118" s="2" t="s">
        <v>16</v>
      </c>
      <c r="E3118" s="2"/>
      <c r="F3118" s="35">
        <v>8.9965005885644906</v>
      </c>
      <c r="G3118" s="35">
        <v>19.820090287953771</v>
      </c>
      <c r="H3118" s="35">
        <v>-16.952811832757117</v>
      </c>
      <c r="I3118" s="35">
        <v>0.25473433411933771</v>
      </c>
      <c r="J3118" s="35">
        <v>1.818984888445005E-4</v>
      </c>
      <c r="K3118" s="35">
        <v>0.13382684493890401</v>
      </c>
      <c r="L3118" s="35">
        <v>63.477933619133395</v>
      </c>
      <c r="M3118" s="58" t="s">
        <v>23</v>
      </c>
      <c r="N3118" s="7">
        <v>9.5</v>
      </c>
      <c r="O3118" s="7" t="s">
        <v>179</v>
      </c>
      <c r="P3118" s="7" t="s">
        <v>179</v>
      </c>
    </row>
    <row r="3119" spans="1:16" x14ac:dyDescent="0.25">
      <c r="A3119" s="2" t="s">
        <v>181</v>
      </c>
      <c r="B3119" s="2" t="s">
        <v>205</v>
      </c>
      <c r="C3119" s="6" t="s">
        <v>152</v>
      </c>
      <c r="D3119" s="2" t="s">
        <v>106</v>
      </c>
      <c r="E3119" s="2"/>
      <c r="F3119" s="35">
        <v>0</v>
      </c>
      <c r="G3119" s="35">
        <v>70.949106969211854</v>
      </c>
      <c r="H3119" s="35">
        <v>-4.8129756520545337</v>
      </c>
      <c r="I3119" s="35">
        <v>4.421777332093269</v>
      </c>
      <c r="J3119" s="35">
        <v>-1.3149059118942939E-4</v>
      </c>
      <c r="K3119" s="35">
        <v>7.0455879122848835</v>
      </c>
      <c r="L3119" s="35">
        <v>-46.785878011552633</v>
      </c>
      <c r="M3119" s="58" t="s">
        <v>22</v>
      </c>
      <c r="N3119" s="7">
        <v>9.5</v>
      </c>
      <c r="O3119" s="7" t="s">
        <v>179</v>
      </c>
      <c r="P3119" s="7" t="s">
        <v>179</v>
      </c>
    </row>
    <row r="3120" spans="1:16" x14ac:dyDescent="0.25">
      <c r="A3120" s="2" t="s">
        <v>181</v>
      </c>
      <c r="B3120" s="2" t="s">
        <v>205</v>
      </c>
      <c r="C3120" s="6" t="s">
        <v>152</v>
      </c>
      <c r="D3120" s="2" t="s">
        <v>106</v>
      </c>
      <c r="E3120" s="2"/>
      <c r="F3120" s="35">
        <v>2</v>
      </c>
      <c r="G3120" s="35">
        <v>71.762904569211855</v>
      </c>
      <c r="H3120" s="35">
        <v>-13.212975652054533</v>
      </c>
      <c r="I3120" s="35">
        <v>4.4217773320932681</v>
      </c>
      <c r="J3120" s="35">
        <v>-1.3149059118942939E-4</v>
      </c>
      <c r="K3120" s="35">
        <v>-1.7979667519016529</v>
      </c>
      <c r="L3120" s="35">
        <v>-28.759926707443576</v>
      </c>
      <c r="M3120" s="58" t="s">
        <v>22</v>
      </c>
      <c r="N3120" s="7">
        <v>9.5</v>
      </c>
      <c r="O3120" s="7" t="s">
        <v>179</v>
      </c>
      <c r="P3120" s="7" t="s">
        <v>179</v>
      </c>
    </row>
    <row r="3121" spans="1:16" x14ac:dyDescent="0.25">
      <c r="A3121" s="2" t="s">
        <v>181</v>
      </c>
      <c r="B3121" s="2" t="s">
        <v>205</v>
      </c>
      <c r="C3121" s="6" t="s">
        <v>152</v>
      </c>
      <c r="D3121" s="2" t="s">
        <v>106</v>
      </c>
      <c r="E3121" s="2"/>
      <c r="F3121" s="35">
        <v>2</v>
      </c>
      <c r="G3121" s="35">
        <v>67.411741589233557</v>
      </c>
      <c r="H3121" s="35">
        <v>-13.212955998731939</v>
      </c>
      <c r="I3121" s="35">
        <v>-0.24047006570350671</v>
      </c>
      <c r="J3121" s="35">
        <v>-1.9523108687670578E-4</v>
      </c>
      <c r="K3121" s="35">
        <v>-1.7979667519016542</v>
      </c>
      <c r="L3121" s="35">
        <v>-28.759994697305626</v>
      </c>
      <c r="M3121" s="58" t="s">
        <v>22</v>
      </c>
      <c r="N3121" s="7">
        <v>9.5</v>
      </c>
      <c r="O3121" s="7" t="s">
        <v>179</v>
      </c>
      <c r="P3121" s="7" t="s">
        <v>179</v>
      </c>
    </row>
    <row r="3122" spans="1:16" x14ac:dyDescent="0.25">
      <c r="A3122" s="2" t="s">
        <v>181</v>
      </c>
      <c r="B3122" s="2" t="s">
        <v>205</v>
      </c>
      <c r="C3122" s="6" t="s">
        <v>152</v>
      </c>
      <c r="D3122" s="2" t="s">
        <v>106</v>
      </c>
      <c r="E3122" s="2"/>
      <c r="F3122" s="35">
        <v>4.4982502942822453</v>
      </c>
      <c r="G3122" s="35">
        <v>68.428276636076646</v>
      </c>
      <c r="H3122" s="35">
        <v>-23.70560723471737</v>
      </c>
      <c r="I3122" s="35">
        <v>-0.24047006570350735</v>
      </c>
      <c r="J3122" s="35">
        <v>-1.9523108687670578E-4</v>
      </c>
      <c r="K3122" s="35">
        <v>-1.1972123394917975</v>
      </c>
      <c r="L3122" s="35">
        <v>17.355911033915564</v>
      </c>
      <c r="M3122" s="58" t="s">
        <v>24</v>
      </c>
      <c r="N3122" s="7">
        <v>9.5</v>
      </c>
      <c r="O3122" s="7" t="s">
        <v>179</v>
      </c>
      <c r="P3122" s="7" t="s">
        <v>179</v>
      </c>
    </row>
    <row r="3123" spans="1:16" x14ac:dyDescent="0.25">
      <c r="A3123" s="2" t="s">
        <v>181</v>
      </c>
      <c r="B3123" s="2" t="s">
        <v>205</v>
      </c>
      <c r="C3123" s="6" t="s">
        <v>152</v>
      </c>
      <c r="D3123" s="2" t="s">
        <v>106</v>
      </c>
      <c r="E3123" s="2"/>
      <c r="F3123" s="35">
        <v>8.9965005885644906</v>
      </c>
      <c r="G3123" s="35">
        <v>70.25860928291975</v>
      </c>
      <c r="H3123" s="35">
        <v>-42.598258470702788</v>
      </c>
      <c r="I3123" s="35">
        <v>-0.24047006570350851</v>
      </c>
      <c r="J3123" s="35">
        <v>-1.9523108687670578E-4</v>
      </c>
      <c r="K3123" s="35">
        <v>-0.11551779567492217</v>
      </c>
      <c r="L3123" s="35">
        <v>166.48160274464394</v>
      </c>
      <c r="M3123" s="58" t="s">
        <v>23</v>
      </c>
      <c r="N3123" s="7">
        <v>9.5</v>
      </c>
      <c r="O3123" s="7" t="s">
        <v>179</v>
      </c>
      <c r="P3123" s="7" t="s">
        <v>179</v>
      </c>
    </row>
    <row r="3124" spans="1:16" x14ac:dyDescent="0.25">
      <c r="A3124" s="2" t="s">
        <v>181</v>
      </c>
      <c r="B3124" s="2" t="s">
        <v>205</v>
      </c>
      <c r="C3124" s="6" t="s">
        <v>152</v>
      </c>
      <c r="D3124" s="2" t="s">
        <v>107</v>
      </c>
      <c r="E3124" s="2"/>
      <c r="F3124" s="35">
        <v>0</v>
      </c>
      <c r="G3124" s="35">
        <v>28.402717269593101</v>
      </c>
      <c r="H3124" s="35">
        <v>-0.3103269629293508</v>
      </c>
      <c r="I3124" s="35">
        <v>3.9731688623016588</v>
      </c>
      <c r="J3124" s="35">
        <v>-1.2861104735606082E-4</v>
      </c>
      <c r="K3124" s="35">
        <v>6.3566192474580712</v>
      </c>
      <c r="L3124" s="35">
        <v>-14.714705718476996</v>
      </c>
      <c r="M3124" s="58" t="s">
        <v>22</v>
      </c>
      <c r="N3124" s="7">
        <v>9.5</v>
      </c>
      <c r="O3124" s="7" t="s">
        <v>179</v>
      </c>
      <c r="P3124" s="7" t="s">
        <v>179</v>
      </c>
    </row>
    <row r="3125" spans="1:16" x14ac:dyDescent="0.25">
      <c r="A3125" s="2" t="s">
        <v>181</v>
      </c>
      <c r="B3125" s="2" t="s">
        <v>205</v>
      </c>
      <c r="C3125" s="6" t="s">
        <v>152</v>
      </c>
      <c r="D3125" s="2" t="s">
        <v>107</v>
      </c>
      <c r="E3125" s="2"/>
      <c r="F3125" s="35">
        <v>2</v>
      </c>
      <c r="G3125" s="35">
        <v>29.216514869593102</v>
      </c>
      <c r="H3125" s="35">
        <v>-4.006326962929351</v>
      </c>
      <c r="I3125" s="35">
        <v>3.9731688623016588</v>
      </c>
      <c r="J3125" s="35">
        <v>-1.2861104735606082E-4</v>
      </c>
      <c r="K3125" s="35">
        <v>-1.5897184771452459</v>
      </c>
      <c r="L3125" s="35">
        <v>-10.398051792618299</v>
      </c>
      <c r="M3125" s="58" t="s">
        <v>22</v>
      </c>
      <c r="N3125" s="7">
        <v>9.5</v>
      </c>
      <c r="O3125" s="7" t="s">
        <v>179</v>
      </c>
      <c r="P3125" s="7" t="s">
        <v>179</v>
      </c>
    </row>
    <row r="3126" spans="1:16" x14ac:dyDescent="0.25">
      <c r="A3126" s="2" t="s">
        <v>181</v>
      </c>
      <c r="B3126" s="2" t="s">
        <v>205</v>
      </c>
      <c r="C3126" s="6" t="s">
        <v>152</v>
      </c>
      <c r="D3126" s="2" t="s">
        <v>107</v>
      </c>
      <c r="E3126" s="2"/>
      <c r="F3126" s="35">
        <v>2</v>
      </c>
      <c r="G3126" s="35">
        <v>25.311945481536608</v>
      </c>
      <c r="H3126" s="35">
        <v>-4.0063180110909391</v>
      </c>
      <c r="I3126" s="35">
        <v>-0.21271422240645385</v>
      </c>
      <c r="J3126" s="35">
        <v>-1.5146559921103554E-4</v>
      </c>
      <c r="K3126" s="35">
        <v>-1.5897184771452459</v>
      </c>
      <c r="L3126" s="35">
        <v>-10.398076170806956</v>
      </c>
      <c r="M3126" s="58" t="s">
        <v>22</v>
      </c>
      <c r="N3126" s="7">
        <v>9.5</v>
      </c>
      <c r="O3126" s="7" t="s">
        <v>179</v>
      </c>
      <c r="P3126" s="7" t="s">
        <v>179</v>
      </c>
    </row>
    <row r="3127" spans="1:16" x14ac:dyDescent="0.25">
      <c r="A3127" s="2" t="s">
        <v>181</v>
      </c>
      <c r="B3127" s="2" t="s">
        <v>205</v>
      </c>
      <c r="C3127" s="6" t="s">
        <v>152</v>
      </c>
      <c r="D3127" s="2" t="s">
        <v>107</v>
      </c>
      <c r="E3127" s="2"/>
      <c r="F3127" s="35">
        <v>4.4982502942822453</v>
      </c>
      <c r="G3127" s="35">
        <v>26.328480528379696</v>
      </c>
      <c r="H3127" s="35">
        <v>-8.6230845549245281</v>
      </c>
      <c r="I3127" s="35">
        <v>-0.21271422240645413</v>
      </c>
      <c r="J3127" s="35">
        <v>-1.5146559921103554E-4</v>
      </c>
      <c r="K3127" s="35">
        <v>-1.0583051084203037</v>
      </c>
      <c r="L3127" s="35">
        <v>5.3776281677715803</v>
      </c>
      <c r="M3127" s="58" t="s">
        <v>24</v>
      </c>
      <c r="N3127" s="7">
        <v>9.5</v>
      </c>
      <c r="O3127" s="7" t="s">
        <v>179</v>
      </c>
      <c r="P3127" s="7" t="s">
        <v>179</v>
      </c>
    </row>
    <row r="3128" spans="1:16" x14ac:dyDescent="0.25">
      <c r="A3128" s="2" t="s">
        <v>181</v>
      </c>
      <c r="B3128" s="2" t="s">
        <v>205</v>
      </c>
      <c r="C3128" s="6" t="s">
        <v>152</v>
      </c>
      <c r="D3128" s="2" t="s">
        <v>107</v>
      </c>
      <c r="E3128" s="2"/>
      <c r="F3128" s="35">
        <v>8.9965005885644906</v>
      </c>
      <c r="G3128" s="35">
        <v>28.158813175222786</v>
      </c>
      <c r="H3128" s="35">
        <v>-16.935851098758118</v>
      </c>
      <c r="I3128" s="35">
        <v>-0.21271422240645463</v>
      </c>
      <c r="J3128" s="35">
        <v>-1.5146559921103554E-4</v>
      </c>
      <c r="K3128" s="35">
        <v>-0.10146329488245141</v>
      </c>
      <c r="L3128" s="35">
        <v>62.862873080631033</v>
      </c>
      <c r="M3128" s="58" t="s">
        <v>23</v>
      </c>
      <c r="N3128" s="7">
        <v>9.5</v>
      </c>
      <c r="O3128" s="7" t="s">
        <v>179</v>
      </c>
      <c r="P3128" s="7" t="s">
        <v>179</v>
      </c>
    </row>
    <row r="3129" spans="1:16" x14ac:dyDescent="0.25">
      <c r="A3129" s="2" t="s">
        <v>181</v>
      </c>
      <c r="B3129" s="2" t="s">
        <v>205</v>
      </c>
      <c r="C3129" s="6" t="s">
        <v>152</v>
      </c>
      <c r="D3129" s="2" t="s">
        <v>108</v>
      </c>
      <c r="E3129" s="2"/>
      <c r="F3129" s="35">
        <v>0</v>
      </c>
      <c r="G3129" s="35">
        <v>58.888254133346386</v>
      </c>
      <c r="H3129" s="35">
        <v>-3.5447036562419973</v>
      </c>
      <c r="I3129" s="35">
        <v>1.0023225012024986</v>
      </c>
      <c r="J3129" s="35">
        <v>-8.5406379343085713E-6</v>
      </c>
      <c r="K3129" s="35">
        <v>1.5458632325800326</v>
      </c>
      <c r="L3129" s="35">
        <v>-17.769236421800546</v>
      </c>
      <c r="M3129" s="58" t="s">
        <v>22</v>
      </c>
      <c r="N3129" s="7">
        <v>9.5</v>
      </c>
      <c r="O3129" s="7" t="s">
        <v>179</v>
      </c>
      <c r="P3129" s="7" t="s">
        <v>179</v>
      </c>
    </row>
    <row r="3130" spans="1:16" x14ac:dyDescent="0.25">
      <c r="A3130" s="2" t="s">
        <v>181</v>
      </c>
      <c r="B3130" s="2" t="s">
        <v>205</v>
      </c>
      <c r="C3130" s="6" t="s">
        <v>152</v>
      </c>
      <c r="D3130" s="2" t="s">
        <v>108</v>
      </c>
      <c r="E3130" s="2"/>
      <c r="F3130" s="35">
        <v>2</v>
      </c>
      <c r="G3130" s="35">
        <v>59.70205173334638</v>
      </c>
      <c r="H3130" s="35">
        <v>-9.9287036562419999</v>
      </c>
      <c r="I3130" s="35">
        <v>1.0023225012024983</v>
      </c>
      <c r="J3130" s="35">
        <v>-8.5406379343085713E-6</v>
      </c>
      <c r="K3130" s="35">
        <v>-0.4587817698249641</v>
      </c>
      <c r="L3130" s="35">
        <v>-4.2958291093165508</v>
      </c>
      <c r="M3130" s="58" t="s">
        <v>22</v>
      </c>
      <c r="N3130" s="7">
        <v>9.5</v>
      </c>
      <c r="O3130" s="7" t="s">
        <v>179</v>
      </c>
      <c r="P3130" s="7" t="s">
        <v>179</v>
      </c>
    </row>
    <row r="3131" spans="1:16" x14ac:dyDescent="0.25">
      <c r="A3131" s="2" t="s">
        <v>181</v>
      </c>
      <c r="B3131" s="2" t="s">
        <v>205</v>
      </c>
      <c r="C3131" s="6" t="s">
        <v>152</v>
      </c>
      <c r="D3131" s="2" t="s">
        <v>108</v>
      </c>
      <c r="E3131" s="2"/>
      <c r="F3131" s="35">
        <v>2</v>
      </c>
      <c r="G3131" s="35">
        <v>58.724026957631025</v>
      </c>
      <c r="H3131" s="35">
        <v>-9.9286904589140406</v>
      </c>
      <c r="I3131" s="35">
        <v>-6.1909327627292031E-2</v>
      </c>
      <c r="J3131" s="35">
        <v>-9.1778883198250294E-5</v>
      </c>
      <c r="K3131" s="35">
        <v>-0.4587817698249651</v>
      </c>
      <c r="L3131" s="35">
        <v>-4.2959178967781462</v>
      </c>
      <c r="M3131" s="58" t="s">
        <v>22</v>
      </c>
      <c r="N3131" s="7">
        <v>9.5</v>
      </c>
      <c r="O3131" s="7" t="s">
        <v>179</v>
      </c>
      <c r="P3131" s="7" t="s">
        <v>179</v>
      </c>
    </row>
    <row r="3132" spans="1:16" x14ac:dyDescent="0.25">
      <c r="A3132" s="2" t="s">
        <v>181</v>
      </c>
      <c r="B3132" s="2" t="s">
        <v>205</v>
      </c>
      <c r="C3132" s="6" t="s">
        <v>152</v>
      </c>
      <c r="D3132" s="2" t="s">
        <v>108</v>
      </c>
      <c r="E3132" s="2"/>
      <c r="F3132" s="35">
        <v>4.4982502942822453</v>
      </c>
      <c r="G3132" s="35">
        <v>59.740562004474121</v>
      </c>
      <c r="H3132" s="35">
        <v>-17.903105398262973</v>
      </c>
      <c r="I3132" s="35">
        <v>-6.1909327627292517E-2</v>
      </c>
      <c r="J3132" s="35">
        <v>-9.1778883198250294E-5</v>
      </c>
      <c r="K3132" s="35">
        <v>-0.30411677386126623</v>
      </c>
      <c r="L3132" s="35">
        <v>30.469478198519766</v>
      </c>
      <c r="M3132" s="58" t="s">
        <v>24</v>
      </c>
      <c r="N3132" s="7">
        <v>9.5</v>
      </c>
      <c r="O3132" s="7" t="s">
        <v>179</v>
      </c>
      <c r="P3132" s="7" t="s">
        <v>179</v>
      </c>
    </row>
    <row r="3133" spans="1:16" x14ac:dyDescent="0.25">
      <c r="A3133" s="2" t="s">
        <v>181</v>
      </c>
      <c r="B3133" s="2" t="s">
        <v>205</v>
      </c>
      <c r="C3133" s="6" t="s">
        <v>152</v>
      </c>
      <c r="D3133" s="2" t="s">
        <v>108</v>
      </c>
      <c r="E3133" s="2"/>
      <c r="F3133" s="35">
        <v>8.9965005885644906</v>
      </c>
      <c r="G3133" s="35">
        <v>61.570894651317211</v>
      </c>
      <c r="H3133" s="35">
        <v>-32.261520337611898</v>
      </c>
      <c r="I3133" s="35">
        <v>-6.1909327627293398E-2</v>
      </c>
      <c r="J3133" s="35">
        <v>-9.1778883198250294E-5</v>
      </c>
      <c r="K3133" s="35">
        <v>-2.5633122642979827E-2</v>
      </c>
      <c r="L3133" s="35">
        <v>143.29599943799869</v>
      </c>
      <c r="M3133" s="58" t="s">
        <v>23</v>
      </c>
      <c r="N3133" s="7">
        <v>9.5</v>
      </c>
      <c r="O3133" s="7" t="s">
        <v>179</v>
      </c>
      <c r="P3133" s="7" t="s">
        <v>179</v>
      </c>
    </row>
    <row r="3134" spans="1:16" x14ac:dyDescent="0.25">
      <c r="A3134" s="2" t="s">
        <v>181</v>
      </c>
      <c r="B3134" s="2" t="s">
        <v>205</v>
      </c>
      <c r="C3134" s="6" t="s">
        <v>152</v>
      </c>
      <c r="D3134" s="2" t="s">
        <v>109</v>
      </c>
      <c r="E3134" s="2"/>
      <c r="F3134" s="35">
        <v>0</v>
      </c>
      <c r="G3134" s="35">
        <v>5.2863555585994426</v>
      </c>
      <c r="H3134" s="35">
        <v>12.709630649742223</v>
      </c>
      <c r="I3134" s="35">
        <v>0.72486647599304588</v>
      </c>
      <c r="J3134" s="35">
        <v>2.2669499068461524E-5</v>
      </c>
      <c r="K3134" s="35">
        <v>1.1254851328873696</v>
      </c>
      <c r="L3134" s="35">
        <v>79.10791623420522</v>
      </c>
      <c r="M3134" s="58" t="s">
        <v>22</v>
      </c>
      <c r="N3134" s="7">
        <v>9.5</v>
      </c>
      <c r="O3134" s="7" t="s">
        <v>179</v>
      </c>
      <c r="P3134" s="7" t="s">
        <v>179</v>
      </c>
    </row>
    <row r="3135" spans="1:16" x14ac:dyDescent="0.25">
      <c r="A3135" s="2" t="s">
        <v>181</v>
      </c>
      <c r="B3135" s="2" t="s">
        <v>205</v>
      </c>
      <c r="C3135" s="6" t="s">
        <v>152</v>
      </c>
      <c r="D3135" s="2" t="s">
        <v>109</v>
      </c>
      <c r="E3135" s="2"/>
      <c r="F3135" s="35">
        <v>2</v>
      </c>
      <c r="G3135" s="35">
        <v>6.1001531585994409</v>
      </c>
      <c r="H3135" s="35">
        <v>11.029630649742222</v>
      </c>
      <c r="I3135" s="35">
        <v>0.72486647599304577</v>
      </c>
      <c r="J3135" s="35">
        <v>2.2669499068461524E-5</v>
      </c>
      <c r="K3135" s="35">
        <v>-0.3242478190987218</v>
      </c>
      <c r="L3135" s="35">
        <v>55.368654934720787</v>
      </c>
      <c r="M3135" s="58" t="s">
        <v>22</v>
      </c>
      <c r="N3135" s="7">
        <v>9.5</v>
      </c>
      <c r="O3135" s="7" t="s">
        <v>179</v>
      </c>
      <c r="P3135" s="7" t="s">
        <v>179</v>
      </c>
    </row>
    <row r="3136" spans="1:16" x14ac:dyDescent="0.25">
      <c r="A3136" s="2" t="s">
        <v>181</v>
      </c>
      <c r="B3136" s="2" t="s">
        <v>205</v>
      </c>
      <c r="C3136" s="6" t="s">
        <v>152</v>
      </c>
      <c r="D3136" s="2" t="s">
        <v>109</v>
      </c>
      <c r="E3136" s="2"/>
      <c r="F3136" s="35">
        <v>2</v>
      </c>
      <c r="G3136" s="35">
        <v>5.3990566563859126</v>
      </c>
      <c r="H3136" s="35">
        <v>11.029626130100315</v>
      </c>
      <c r="I3136" s="35">
        <v>-4.3977345732862737E-2</v>
      </c>
      <c r="J3136" s="35">
        <v>-3.8127873298636106E-5</v>
      </c>
      <c r="K3136" s="35">
        <v>-0.32424781909872175</v>
      </c>
      <c r="L3136" s="35">
        <v>55.368590084190203</v>
      </c>
      <c r="M3136" s="58" t="s">
        <v>22</v>
      </c>
      <c r="N3136" s="7">
        <v>9.5</v>
      </c>
      <c r="O3136" s="7" t="s">
        <v>179</v>
      </c>
      <c r="P3136" s="7" t="s">
        <v>179</v>
      </c>
    </row>
    <row r="3137" spans="1:16" x14ac:dyDescent="0.25">
      <c r="A3137" s="2" t="s">
        <v>181</v>
      </c>
      <c r="B3137" s="2" t="s">
        <v>205</v>
      </c>
      <c r="C3137" s="6" t="s">
        <v>152</v>
      </c>
      <c r="D3137" s="2" t="s">
        <v>109</v>
      </c>
      <c r="E3137" s="2"/>
      <c r="F3137" s="35">
        <v>4.4982502942822453</v>
      </c>
      <c r="G3137" s="35">
        <v>6.415591703229004</v>
      </c>
      <c r="H3137" s="35">
        <v>8.9310958829032305</v>
      </c>
      <c r="I3137" s="35">
        <v>-4.3977345732862862E-2</v>
      </c>
      <c r="J3137" s="35">
        <v>-3.8127873298636106E-5</v>
      </c>
      <c r="K3137" s="35">
        <v>-0.21438140217984522</v>
      </c>
      <c r="L3137" s="35">
        <v>30.435150262654112</v>
      </c>
      <c r="M3137" s="58" t="s">
        <v>24</v>
      </c>
      <c r="N3137" s="7">
        <v>9.5</v>
      </c>
      <c r="O3137" s="7" t="s">
        <v>179</v>
      </c>
      <c r="P3137" s="7" t="s">
        <v>179</v>
      </c>
    </row>
    <row r="3138" spans="1:16" x14ac:dyDescent="0.25">
      <c r="A3138" s="2" t="s">
        <v>181</v>
      </c>
      <c r="B3138" s="2" t="s">
        <v>205</v>
      </c>
      <c r="C3138" s="6" t="s">
        <v>152</v>
      </c>
      <c r="D3138" s="2" t="s">
        <v>109</v>
      </c>
      <c r="E3138" s="2"/>
      <c r="F3138" s="35">
        <v>8.9965005885644906</v>
      </c>
      <c r="G3138" s="35">
        <v>8.2459243500720927</v>
      </c>
      <c r="H3138" s="35">
        <v>5.1525656357061447</v>
      </c>
      <c r="I3138" s="35">
        <v>-4.3977345732863091E-2</v>
      </c>
      <c r="J3138" s="35">
        <v>-3.8127873298636106E-5</v>
      </c>
      <c r="K3138" s="35">
        <v>-1.6560293795242337E-2</v>
      </c>
      <c r="L3138" s="35">
        <v>-1.2407670226739567</v>
      </c>
      <c r="M3138" s="58" t="s">
        <v>23</v>
      </c>
      <c r="N3138" s="7">
        <v>9.5</v>
      </c>
      <c r="O3138" s="7" t="s">
        <v>179</v>
      </c>
      <c r="P3138" s="7" t="s">
        <v>179</v>
      </c>
    </row>
    <row r="3139" spans="1:16" x14ac:dyDescent="0.25">
      <c r="A3139" s="2" t="s">
        <v>181</v>
      </c>
      <c r="B3139" s="2" t="s">
        <v>205</v>
      </c>
      <c r="C3139" s="6" t="s">
        <v>152</v>
      </c>
      <c r="D3139" s="2" t="s">
        <v>110</v>
      </c>
      <c r="E3139" s="2"/>
      <c r="F3139" s="35">
        <v>0</v>
      </c>
      <c r="G3139" s="35">
        <v>76.12183212434941</v>
      </c>
      <c r="H3139" s="35">
        <v>-51.691099839217507</v>
      </c>
      <c r="I3139" s="35">
        <v>1.2140200498713378</v>
      </c>
      <c r="J3139" s="35">
        <v>-5.2698682866738167E-7</v>
      </c>
      <c r="K3139" s="35">
        <v>1.8709934743054386</v>
      </c>
      <c r="L3139" s="35">
        <v>-157.27627299588221</v>
      </c>
      <c r="M3139" s="58" t="s">
        <v>22</v>
      </c>
      <c r="N3139" s="7">
        <v>9.5</v>
      </c>
      <c r="O3139" s="7" t="s">
        <v>179</v>
      </c>
      <c r="P3139" s="7" t="s">
        <v>179</v>
      </c>
    </row>
    <row r="3140" spans="1:16" x14ac:dyDescent="0.25">
      <c r="A3140" s="2" t="s">
        <v>181</v>
      </c>
      <c r="B3140" s="2" t="s">
        <v>205</v>
      </c>
      <c r="C3140" s="6" t="s">
        <v>152</v>
      </c>
      <c r="D3140" s="2" t="s">
        <v>110</v>
      </c>
      <c r="E3140" s="2"/>
      <c r="F3140" s="35">
        <v>2</v>
      </c>
      <c r="G3140" s="35">
        <v>76.935629724349397</v>
      </c>
      <c r="H3140" s="35">
        <v>-45.643099839217506</v>
      </c>
      <c r="I3140" s="35">
        <v>1.2140200498713383</v>
      </c>
      <c r="J3140" s="35">
        <v>-5.2698682866738167E-7</v>
      </c>
      <c r="K3140" s="35">
        <v>-0.55704662543723726</v>
      </c>
      <c r="L3140" s="35">
        <v>-59.942073317447182</v>
      </c>
      <c r="M3140" s="58" t="s">
        <v>22</v>
      </c>
      <c r="N3140" s="7">
        <v>9.5</v>
      </c>
      <c r="O3140" s="7" t="s">
        <v>179</v>
      </c>
      <c r="P3140" s="7" t="s">
        <v>179</v>
      </c>
    </row>
    <row r="3141" spans="1:16" x14ac:dyDescent="0.25">
      <c r="A3141" s="2" t="s">
        <v>181</v>
      </c>
      <c r="B3141" s="2" t="s">
        <v>205</v>
      </c>
      <c r="C3141" s="6" t="s">
        <v>152</v>
      </c>
      <c r="D3141" s="2" t="s">
        <v>110</v>
      </c>
      <c r="E3141" s="2"/>
      <c r="F3141" s="35">
        <v>2</v>
      </c>
      <c r="G3141" s="35">
        <v>75.746848198499634</v>
      </c>
      <c r="H3141" s="35">
        <v>-45.643079405950708</v>
      </c>
      <c r="I3141" s="35">
        <v>-7.501803450494271E-2</v>
      </c>
      <c r="J3141" s="35">
        <v>-9.9042541441418858E-5</v>
      </c>
      <c r="K3141" s="35">
        <v>-0.55704662543723815</v>
      </c>
      <c r="L3141" s="35">
        <v>-59.942178400705501</v>
      </c>
      <c r="M3141" s="58" t="s">
        <v>22</v>
      </c>
      <c r="N3141" s="7">
        <v>9.5</v>
      </c>
      <c r="O3141" s="7" t="s">
        <v>179</v>
      </c>
      <c r="P3141" s="7" t="s">
        <v>179</v>
      </c>
    </row>
    <row r="3142" spans="1:16" x14ac:dyDescent="0.25">
      <c r="A3142" s="2" t="s">
        <v>181</v>
      </c>
      <c r="B3142" s="2" t="s">
        <v>205</v>
      </c>
      <c r="C3142" s="6" t="s">
        <v>152</v>
      </c>
      <c r="D3142" s="2" t="s">
        <v>110</v>
      </c>
      <c r="E3142" s="2"/>
      <c r="F3142" s="35">
        <v>4.4982502942822453</v>
      </c>
      <c r="G3142" s="35">
        <v>76.763383245342723</v>
      </c>
      <c r="H3142" s="35">
        <v>-38.088370516041216</v>
      </c>
      <c r="I3142" s="35">
        <v>-7.5018034504942252E-2</v>
      </c>
      <c r="J3142" s="35">
        <v>-9.9042541441418858E-5</v>
      </c>
      <c r="K3142" s="35">
        <v>-0.36963279865878995</v>
      </c>
      <c r="L3142" s="35">
        <v>44.648881303442174</v>
      </c>
      <c r="M3142" s="58" t="s">
        <v>24</v>
      </c>
      <c r="N3142" s="7">
        <v>9.5</v>
      </c>
      <c r="O3142" s="7" t="s">
        <v>179</v>
      </c>
      <c r="P3142" s="7" t="s">
        <v>179</v>
      </c>
    </row>
    <row r="3143" spans="1:16" x14ac:dyDescent="0.25">
      <c r="A3143" s="2" t="s">
        <v>181</v>
      </c>
      <c r="B3143" s="2" t="s">
        <v>205</v>
      </c>
      <c r="C3143" s="6" t="s">
        <v>152</v>
      </c>
      <c r="D3143" s="2" t="s">
        <v>110</v>
      </c>
      <c r="E3143" s="2"/>
      <c r="F3143" s="35">
        <v>8.9965005885644906</v>
      </c>
      <c r="G3143" s="35">
        <v>78.593715892185827</v>
      </c>
      <c r="H3143" s="35">
        <v>-24.485661626131698</v>
      </c>
      <c r="I3143" s="35">
        <v>-7.5018034504941405E-2</v>
      </c>
      <c r="J3143" s="35">
        <v>-9.9042541441418858E-5</v>
      </c>
      <c r="K3143" s="35">
        <v>-3.2182902870459849E-2</v>
      </c>
      <c r="L3143" s="35">
        <v>185.38571055242008</v>
      </c>
      <c r="M3143" s="58" t="s">
        <v>23</v>
      </c>
      <c r="N3143" s="7">
        <v>9.5</v>
      </c>
      <c r="O3143" s="7" t="s">
        <v>179</v>
      </c>
      <c r="P3143" s="7" t="s">
        <v>179</v>
      </c>
    </row>
    <row r="3144" spans="1:16" x14ac:dyDescent="0.25">
      <c r="A3144" s="2" t="s">
        <v>181</v>
      </c>
      <c r="B3144" s="2" t="s">
        <v>205</v>
      </c>
      <c r="C3144" s="6" t="s">
        <v>152</v>
      </c>
      <c r="D3144" s="2" t="s">
        <v>111</v>
      </c>
      <c r="E3144" s="2"/>
      <c r="F3144" s="35">
        <v>0</v>
      </c>
      <c r="G3144" s="35">
        <v>-42.346808756859076</v>
      </c>
      <c r="H3144" s="35">
        <v>-26.04325560233513</v>
      </c>
      <c r="I3144" s="35">
        <v>0.67404924992586679</v>
      </c>
      <c r="J3144" s="35">
        <v>-6.7673084204180399E-5</v>
      </c>
      <c r="K3144" s="35">
        <v>1.0545213585065019</v>
      </c>
      <c r="L3144" s="35">
        <v>-81.190787655379921</v>
      </c>
      <c r="M3144" s="58" t="s">
        <v>22</v>
      </c>
      <c r="N3144" s="7">
        <v>9.5</v>
      </c>
      <c r="O3144" s="7" t="s">
        <v>179</v>
      </c>
      <c r="P3144" s="7" t="s">
        <v>179</v>
      </c>
    </row>
    <row r="3145" spans="1:16" x14ac:dyDescent="0.25">
      <c r="A3145" s="2" t="s">
        <v>181</v>
      </c>
      <c r="B3145" s="2" t="s">
        <v>205</v>
      </c>
      <c r="C3145" s="6" t="s">
        <v>152</v>
      </c>
      <c r="D3145" s="2" t="s">
        <v>111</v>
      </c>
      <c r="E3145" s="2"/>
      <c r="F3145" s="35">
        <v>2</v>
      </c>
      <c r="G3145" s="35">
        <v>-41.533011156859082</v>
      </c>
      <c r="H3145" s="35">
        <v>-15.291255602335124</v>
      </c>
      <c r="I3145" s="35">
        <v>0.67404924992586746</v>
      </c>
      <c r="J3145" s="35">
        <v>-6.7673084204180399E-5</v>
      </c>
      <c r="K3145" s="35">
        <v>-0.29357714134523227</v>
      </c>
      <c r="L3145" s="35">
        <v>-39.856276450709679</v>
      </c>
      <c r="M3145" s="58" t="s">
        <v>22</v>
      </c>
      <c r="N3145" s="7">
        <v>9.5</v>
      </c>
      <c r="O3145" s="7" t="s">
        <v>179</v>
      </c>
      <c r="P3145" s="7" t="s">
        <v>179</v>
      </c>
    </row>
    <row r="3146" spans="1:16" x14ac:dyDescent="0.25">
      <c r="A3146" s="2" t="s">
        <v>181</v>
      </c>
      <c r="B3146" s="2" t="s">
        <v>205</v>
      </c>
      <c r="C3146" s="6" t="s">
        <v>152</v>
      </c>
      <c r="D3146" s="2" t="s">
        <v>111</v>
      </c>
      <c r="E3146" s="2"/>
      <c r="F3146" s="35">
        <v>2</v>
      </c>
      <c r="G3146" s="35">
        <v>-42.18267190071596</v>
      </c>
      <c r="H3146" s="35">
        <v>-15.291258252346202</v>
      </c>
      <c r="I3146" s="35">
        <v>-3.9931271072060473E-2</v>
      </c>
      <c r="J3146" s="35">
        <v>-1.0929556674429634E-5</v>
      </c>
      <c r="K3146" s="35">
        <v>-0.2935771413452325</v>
      </c>
      <c r="L3146" s="35">
        <v>-39.856215924280278</v>
      </c>
      <c r="M3146" s="58" t="s">
        <v>22</v>
      </c>
      <c r="N3146" s="7">
        <v>9.5</v>
      </c>
      <c r="O3146" s="7" t="s">
        <v>179</v>
      </c>
      <c r="P3146" s="7" t="s">
        <v>179</v>
      </c>
    </row>
    <row r="3147" spans="1:16" x14ac:dyDescent="0.25">
      <c r="A3147" s="2" t="s">
        <v>181</v>
      </c>
      <c r="B3147" s="2" t="s">
        <v>205</v>
      </c>
      <c r="C3147" s="6" t="s">
        <v>152</v>
      </c>
      <c r="D3147" s="2" t="s">
        <v>111</v>
      </c>
      <c r="E3147" s="2"/>
      <c r="F3147" s="35">
        <v>4.4982502942822453</v>
      </c>
      <c r="G3147" s="35">
        <v>-41.166136853872878</v>
      </c>
      <c r="H3147" s="35">
        <v>-1.8606646702848535</v>
      </c>
      <c r="I3147" s="35">
        <v>-3.9931271072059647E-2</v>
      </c>
      <c r="J3147" s="35">
        <v>-1.0929556674429634E-5</v>
      </c>
      <c r="K3147" s="35">
        <v>-0.19381883163839436</v>
      </c>
      <c r="L3147" s="35">
        <v>-18.431317679795569</v>
      </c>
      <c r="M3147" s="58" t="s">
        <v>24</v>
      </c>
      <c r="N3147" s="7">
        <v>9.5</v>
      </c>
      <c r="O3147" s="7" t="s">
        <v>179</v>
      </c>
      <c r="P3147" s="7" t="s">
        <v>179</v>
      </c>
    </row>
    <row r="3148" spans="1:16" x14ac:dyDescent="0.25">
      <c r="A3148" s="2" t="s">
        <v>181</v>
      </c>
      <c r="B3148" s="2" t="s">
        <v>205</v>
      </c>
      <c r="C3148" s="6" t="s">
        <v>152</v>
      </c>
      <c r="D3148" s="2" t="s">
        <v>111</v>
      </c>
      <c r="E3148" s="2"/>
      <c r="F3148" s="35">
        <v>8.9965005885644906</v>
      </c>
      <c r="G3148" s="35">
        <v>-39.335804207029788</v>
      </c>
      <c r="H3148" s="35">
        <v>22.321928911776496</v>
      </c>
      <c r="I3148" s="35">
        <v>-3.9931271072058169E-2</v>
      </c>
      <c r="J3148" s="35">
        <v>-1.0929556674429634E-5</v>
      </c>
      <c r="K3148" s="35">
        <v>-1.4197979787441287E-2</v>
      </c>
      <c r="L3148" s="35">
        <v>-64.451261627633841</v>
      </c>
      <c r="M3148" s="58" t="s">
        <v>23</v>
      </c>
      <c r="N3148" s="7">
        <v>9.5</v>
      </c>
      <c r="O3148" s="7" t="s">
        <v>179</v>
      </c>
      <c r="P3148" s="7" t="s">
        <v>179</v>
      </c>
    </row>
    <row r="3149" spans="1:16" x14ac:dyDescent="0.25">
      <c r="A3149" s="2" t="s">
        <v>181</v>
      </c>
      <c r="B3149" s="2" t="s">
        <v>205</v>
      </c>
      <c r="C3149" s="6" t="s">
        <v>152</v>
      </c>
      <c r="D3149" s="2" t="s">
        <v>112</v>
      </c>
      <c r="E3149" s="2"/>
      <c r="F3149" s="35">
        <v>0</v>
      </c>
      <c r="G3149" s="35">
        <v>18.86022771245408</v>
      </c>
      <c r="H3149" s="35">
        <v>8.3507740244867108</v>
      </c>
      <c r="I3149" s="35">
        <v>-3.8747381981313422</v>
      </c>
      <c r="J3149" s="35">
        <v>1.5869340381959677E-4</v>
      </c>
      <c r="K3149" s="35">
        <v>-6.194016218251579</v>
      </c>
      <c r="L3149" s="35">
        <v>-1.234822731849454</v>
      </c>
      <c r="M3149" s="58" t="s">
        <v>22</v>
      </c>
      <c r="N3149" s="7">
        <v>9.5</v>
      </c>
      <c r="O3149" s="7" t="s">
        <v>179</v>
      </c>
      <c r="P3149" s="7" t="s">
        <v>179</v>
      </c>
    </row>
    <row r="3150" spans="1:16" x14ac:dyDescent="0.25">
      <c r="A3150" s="2" t="s">
        <v>181</v>
      </c>
      <c r="B3150" s="2" t="s">
        <v>205</v>
      </c>
      <c r="C3150" s="6" t="s">
        <v>152</v>
      </c>
      <c r="D3150" s="2" t="s">
        <v>112</v>
      </c>
      <c r="E3150" s="2"/>
      <c r="F3150" s="35">
        <v>2</v>
      </c>
      <c r="G3150" s="35">
        <v>19.674025312454088</v>
      </c>
      <c r="H3150" s="35">
        <v>0.79077402448670897</v>
      </c>
      <c r="I3150" s="35">
        <v>-3.8747381981313427</v>
      </c>
      <c r="J3150" s="35">
        <v>1.5869340381959677E-4</v>
      </c>
      <c r="K3150" s="35">
        <v>1.555460178011105</v>
      </c>
      <c r="L3150" s="35">
        <v>-10.376370780822885</v>
      </c>
      <c r="M3150" s="58" t="s">
        <v>22</v>
      </c>
      <c r="N3150" s="7">
        <v>9.5</v>
      </c>
      <c r="O3150" s="7" t="s">
        <v>179</v>
      </c>
      <c r="P3150" s="7" t="s">
        <v>179</v>
      </c>
    </row>
    <row r="3151" spans="1:16" x14ac:dyDescent="0.25">
      <c r="A3151" s="2" t="s">
        <v>181</v>
      </c>
      <c r="B3151" s="2" t="s">
        <v>205</v>
      </c>
      <c r="C3151" s="6" t="s">
        <v>152</v>
      </c>
      <c r="D3151" s="2" t="s">
        <v>112</v>
      </c>
      <c r="E3151" s="2"/>
      <c r="F3151" s="35">
        <v>2</v>
      </c>
      <c r="G3151" s="35">
        <v>23.520021662695459</v>
      </c>
      <c r="H3151" s="35">
        <v>0.79077955332850602</v>
      </c>
      <c r="I3151" s="35">
        <v>0.20664922031590588</v>
      </c>
      <c r="J3151" s="35">
        <v>1.4193848230429146E-4</v>
      </c>
      <c r="K3151" s="35">
        <v>1.5554601780111079</v>
      </c>
      <c r="L3151" s="35">
        <v>-10.376388652739188</v>
      </c>
      <c r="M3151" s="58" t="s">
        <v>22</v>
      </c>
      <c r="N3151" s="7">
        <v>9.5</v>
      </c>
      <c r="O3151" s="7" t="s">
        <v>179</v>
      </c>
      <c r="P3151" s="7" t="s">
        <v>179</v>
      </c>
    </row>
    <row r="3152" spans="1:16" x14ac:dyDescent="0.25">
      <c r="A3152" s="2" t="s">
        <v>181</v>
      </c>
      <c r="B3152" s="2" t="s">
        <v>205</v>
      </c>
      <c r="C3152" s="6" t="s">
        <v>152</v>
      </c>
      <c r="D3152" s="2" t="s">
        <v>112</v>
      </c>
      <c r="E3152" s="2"/>
      <c r="F3152" s="35">
        <v>4.4982502942822453</v>
      </c>
      <c r="G3152" s="35">
        <v>24.536556709538559</v>
      </c>
      <c r="H3152" s="35">
        <v>-8.6526065590583805</v>
      </c>
      <c r="I3152" s="35">
        <v>0.20664922031590532</v>
      </c>
      <c r="J3152" s="35">
        <v>1.4193848230429146E-4</v>
      </c>
      <c r="K3152" s="35">
        <v>1.0391987025437004</v>
      </c>
      <c r="L3152" s="35">
        <v>-0.55598283740881072</v>
      </c>
      <c r="M3152" s="58" t="s">
        <v>24</v>
      </c>
      <c r="N3152" s="7">
        <v>9.5</v>
      </c>
      <c r="O3152" s="7" t="s">
        <v>179</v>
      </c>
      <c r="P3152" s="7" t="s">
        <v>179</v>
      </c>
    </row>
    <row r="3153" spans="1:16" x14ac:dyDescent="0.25">
      <c r="A3153" s="2" t="s">
        <v>181</v>
      </c>
      <c r="B3153" s="2" t="s">
        <v>205</v>
      </c>
      <c r="C3153" s="6" t="s">
        <v>152</v>
      </c>
      <c r="D3153" s="2" t="s">
        <v>112</v>
      </c>
      <c r="E3153" s="2"/>
      <c r="F3153" s="35">
        <v>8.9965005885644906</v>
      </c>
      <c r="G3153" s="35">
        <v>26.366889356381648</v>
      </c>
      <c r="H3153" s="35">
        <v>-25.655992671445265</v>
      </c>
      <c r="I3153" s="35">
        <v>0.20664922031590427</v>
      </c>
      <c r="J3153" s="35">
        <v>1.4193848230429146E-4</v>
      </c>
      <c r="K3153" s="35">
        <v>0.10963878644448527</v>
      </c>
      <c r="L3153" s="35">
        <v>76.608350455103505</v>
      </c>
      <c r="M3153" s="58" t="s">
        <v>23</v>
      </c>
      <c r="N3153" s="7">
        <v>9.5</v>
      </c>
      <c r="O3153" s="7" t="s">
        <v>179</v>
      </c>
      <c r="P3153" s="7" t="s">
        <v>179</v>
      </c>
    </row>
    <row r="3154" spans="1:16" x14ac:dyDescent="0.25">
      <c r="A3154" s="2" t="s">
        <v>181</v>
      </c>
      <c r="B3154" s="2" t="s">
        <v>205</v>
      </c>
      <c r="C3154" s="6" t="s">
        <v>152</v>
      </c>
      <c r="D3154" s="2" t="s">
        <v>113</v>
      </c>
      <c r="E3154" s="2"/>
      <c r="F3154" s="35">
        <v>0</v>
      </c>
      <c r="G3154" s="35">
        <v>-19.437598851182543</v>
      </c>
      <c r="H3154" s="35">
        <v>12.403106690295314</v>
      </c>
      <c r="I3154" s="35">
        <v>-4.2815252141049758</v>
      </c>
      <c r="J3154" s="35">
        <v>1.6080547315481562E-4</v>
      </c>
      <c r="K3154" s="35">
        <v>-6.8189392274061413</v>
      </c>
      <c r="L3154" s="35">
        <v>27.628202658776146</v>
      </c>
      <c r="M3154" s="58" t="s">
        <v>22</v>
      </c>
      <c r="N3154" s="7">
        <v>9.5</v>
      </c>
      <c r="O3154" s="7" t="s">
        <v>179</v>
      </c>
      <c r="P3154" s="7" t="s">
        <v>179</v>
      </c>
    </row>
    <row r="3155" spans="1:16" x14ac:dyDescent="0.25">
      <c r="A3155" s="2" t="s">
        <v>181</v>
      </c>
      <c r="B3155" s="2" t="s">
        <v>205</v>
      </c>
      <c r="C3155" s="6" t="s">
        <v>152</v>
      </c>
      <c r="D3155" s="2" t="s">
        <v>113</v>
      </c>
      <c r="E3155" s="2"/>
      <c r="F3155" s="35">
        <v>2</v>
      </c>
      <c r="G3155" s="35">
        <v>-18.623801251182535</v>
      </c>
      <c r="H3155" s="35">
        <v>9.076706690295314</v>
      </c>
      <c r="I3155" s="35">
        <v>-4.2815252141049758</v>
      </c>
      <c r="J3155" s="35">
        <v>1.6080547315481562E-4</v>
      </c>
      <c r="K3155" s="35">
        <v>1.7441112008038095</v>
      </c>
      <c r="L3155" s="35">
        <v>6.1483892781855172</v>
      </c>
      <c r="M3155" s="58" t="s">
        <v>22</v>
      </c>
      <c r="N3155" s="7">
        <v>9.5</v>
      </c>
      <c r="O3155" s="7" t="s">
        <v>179</v>
      </c>
      <c r="P3155" s="7" t="s">
        <v>179</v>
      </c>
    </row>
    <row r="3156" spans="1:16" x14ac:dyDescent="0.25">
      <c r="A3156" s="2" t="s">
        <v>181</v>
      </c>
      <c r="B3156" s="2" t="s">
        <v>205</v>
      </c>
      <c r="C3156" s="6" t="s">
        <v>152</v>
      </c>
      <c r="D3156" s="2" t="s">
        <v>113</v>
      </c>
      <c r="E3156" s="2"/>
      <c r="F3156" s="35">
        <v>2</v>
      </c>
      <c r="G3156" s="35">
        <v>-14.372867768811211</v>
      </c>
      <c r="H3156" s="35">
        <v>9.0767025894869899</v>
      </c>
      <c r="I3156" s="35">
        <v>0.23179317836709079</v>
      </c>
      <c r="J3156" s="35">
        <v>1.8084789827917233E-4</v>
      </c>
      <c r="K3156" s="35">
        <v>1.7441112008038098</v>
      </c>
      <c r="L3156" s="35">
        <v>6.148410656772338</v>
      </c>
      <c r="M3156" s="58" t="s">
        <v>22</v>
      </c>
      <c r="N3156" s="7">
        <v>9.5</v>
      </c>
      <c r="O3156" s="7" t="s">
        <v>179</v>
      </c>
      <c r="P3156" s="7" t="s">
        <v>179</v>
      </c>
    </row>
    <row r="3157" spans="1:16" x14ac:dyDescent="0.25">
      <c r="A3157" s="2" t="s">
        <v>181</v>
      </c>
      <c r="B3157" s="2" t="s">
        <v>205</v>
      </c>
      <c r="C3157" s="6" t="s">
        <v>152</v>
      </c>
      <c r="D3157" s="2" t="s">
        <v>113</v>
      </c>
      <c r="E3157" s="2"/>
      <c r="F3157" s="35">
        <v>4.4982502942822453</v>
      </c>
      <c r="G3157" s="35">
        <v>-13.356332721968114</v>
      </c>
      <c r="H3157" s="35">
        <v>4.9216127000367589</v>
      </c>
      <c r="I3157" s="35">
        <v>0.23179317836709057</v>
      </c>
      <c r="J3157" s="35">
        <v>1.8084789827917233E-4</v>
      </c>
      <c r="K3157" s="35">
        <v>1.1650338247356089</v>
      </c>
      <c r="L3157" s="35">
        <v>-11.337236988981838</v>
      </c>
      <c r="M3157" s="58" t="s">
        <v>24</v>
      </c>
      <c r="N3157" s="7">
        <v>9.5</v>
      </c>
      <c r="O3157" s="7" t="s">
        <v>179</v>
      </c>
      <c r="P3157" s="7" t="s">
        <v>179</v>
      </c>
    </row>
    <row r="3158" spans="1:16" x14ac:dyDescent="0.25">
      <c r="A3158" s="2" t="s">
        <v>181</v>
      </c>
      <c r="B3158" s="2" t="s">
        <v>205</v>
      </c>
      <c r="C3158" s="6" t="s">
        <v>152</v>
      </c>
      <c r="D3158" s="2" t="s">
        <v>113</v>
      </c>
      <c r="E3158" s="2"/>
      <c r="F3158" s="35">
        <v>8.9965005885644906</v>
      </c>
      <c r="G3158" s="35">
        <v>-11.526000075125024</v>
      </c>
      <c r="H3158" s="35">
        <v>-2.5598771894134731</v>
      </c>
      <c r="I3158" s="35">
        <v>0.2317931783670901</v>
      </c>
      <c r="J3158" s="35">
        <v>1.8084789827917233E-4</v>
      </c>
      <c r="K3158" s="35">
        <v>0.12237009193322802</v>
      </c>
      <c r="L3158" s="35">
        <v>-16.64907571682086</v>
      </c>
      <c r="M3158" s="58" t="s">
        <v>23</v>
      </c>
      <c r="N3158" s="7">
        <v>9.5</v>
      </c>
      <c r="O3158" s="7" t="s">
        <v>179</v>
      </c>
      <c r="P3158" s="7" t="s">
        <v>179</v>
      </c>
    </row>
    <row r="3159" spans="1:16" x14ac:dyDescent="0.25">
      <c r="A3159" s="2" t="s">
        <v>181</v>
      </c>
      <c r="B3159" s="2" t="s">
        <v>205</v>
      </c>
      <c r="C3159" s="6" t="s">
        <v>152</v>
      </c>
      <c r="D3159" s="2" t="s">
        <v>114</v>
      </c>
      <c r="E3159" s="2"/>
      <c r="F3159" s="35">
        <v>0</v>
      </c>
      <c r="G3159" s="35">
        <v>34.090320611466169</v>
      </c>
      <c r="H3159" s="35">
        <v>8.3659828345519038</v>
      </c>
      <c r="I3159" s="35">
        <v>3.9482574205874847</v>
      </c>
      <c r="J3159" s="35">
        <v>-1.4137102026458255E-4</v>
      </c>
      <c r="K3159" s="35">
        <v>6.2979877780880997</v>
      </c>
      <c r="L3159" s="35">
        <v>-1.652087281546041</v>
      </c>
      <c r="M3159" s="58" t="s">
        <v>22</v>
      </c>
      <c r="N3159" s="7">
        <v>9.5</v>
      </c>
      <c r="O3159" s="7" t="s">
        <v>179</v>
      </c>
      <c r="P3159" s="7" t="s">
        <v>179</v>
      </c>
    </row>
    <row r="3160" spans="1:16" x14ac:dyDescent="0.25">
      <c r="A3160" s="2" t="s">
        <v>181</v>
      </c>
      <c r="B3160" s="2" t="s">
        <v>205</v>
      </c>
      <c r="C3160" s="6" t="s">
        <v>152</v>
      </c>
      <c r="D3160" s="2" t="s">
        <v>114</v>
      </c>
      <c r="E3160" s="2"/>
      <c r="F3160" s="35">
        <v>2</v>
      </c>
      <c r="G3160" s="35">
        <v>34.904118211466169</v>
      </c>
      <c r="H3160" s="35">
        <v>0.80598283455190156</v>
      </c>
      <c r="I3160" s="35">
        <v>3.9482574205874839</v>
      </c>
      <c r="J3160" s="35">
        <v>-1.4137102026458255E-4</v>
      </c>
      <c r="K3160" s="35">
        <v>-1.5985270630868704</v>
      </c>
      <c r="L3160" s="35">
        <v>-10.824052950649854</v>
      </c>
      <c r="M3160" s="58" t="s">
        <v>22</v>
      </c>
      <c r="N3160" s="7">
        <v>9.5</v>
      </c>
      <c r="O3160" s="7" t="s">
        <v>179</v>
      </c>
      <c r="P3160" s="7" t="s">
        <v>179</v>
      </c>
    </row>
    <row r="3161" spans="1:16" x14ac:dyDescent="0.25">
      <c r="A3161" s="2" t="s">
        <v>181</v>
      </c>
      <c r="B3161" s="2" t="s">
        <v>205</v>
      </c>
      <c r="C3161" s="6" t="s">
        <v>152</v>
      </c>
      <c r="D3161" s="2" t="s">
        <v>114</v>
      </c>
      <c r="E3161" s="2"/>
      <c r="F3161" s="35">
        <v>2</v>
      </c>
      <c r="G3161" s="35">
        <v>31.021799326658154</v>
      </c>
      <c r="H3161" s="35">
        <v>0.80599306120918468</v>
      </c>
      <c r="I3161" s="35">
        <v>-0.2138907814734699</v>
      </c>
      <c r="J3161" s="35">
        <v>-1.5856871986991326E-4</v>
      </c>
      <c r="K3161" s="35">
        <v>-1.598527063086872</v>
      </c>
      <c r="L3161" s="35">
        <v>-10.824071294862767</v>
      </c>
      <c r="M3161" s="58" t="s">
        <v>22</v>
      </c>
      <c r="N3161" s="7">
        <v>9.5</v>
      </c>
      <c r="O3161" s="7" t="s">
        <v>179</v>
      </c>
      <c r="P3161" s="7" t="s">
        <v>179</v>
      </c>
    </row>
    <row r="3162" spans="1:16" x14ac:dyDescent="0.25">
      <c r="A3162" s="2" t="s">
        <v>181</v>
      </c>
      <c r="B3162" s="2" t="s">
        <v>205</v>
      </c>
      <c r="C3162" s="6" t="s">
        <v>152</v>
      </c>
      <c r="D3162" s="2" t="s">
        <v>114</v>
      </c>
      <c r="E3162" s="2"/>
      <c r="F3162" s="35">
        <v>4.4982502942822453</v>
      </c>
      <c r="G3162" s="35">
        <v>32.038334373501257</v>
      </c>
      <c r="H3162" s="35">
        <v>-8.6373930511777015</v>
      </c>
      <c r="I3162" s="35">
        <v>-0.21389078147347051</v>
      </c>
      <c r="J3162" s="35">
        <v>-1.5856871986991326E-4</v>
      </c>
      <c r="K3162" s="35">
        <v>-1.0641743553265157</v>
      </c>
      <c r="L3162" s="35">
        <v>-1.04167263007237</v>
      </c>
      <c r="M3162" s="58" t="s">
        <v>24</v>
      </c>
      <c r="N3162" s="7">
        <v>9.5</v>
      </c>
      <c r="O3162" s="7" t="s">
        <v>179</v>
      </c>
      <c r="P3162" s="7" t="s">
        <v>179</v>
      </c>
    </row>
    <row r="3163" spans="1:16" x14ac:dyDescent="0.25">
      <c r="A3163" s="2" t="s">
        <v>181</v>
      </c>
      <c r="B3163" s="2" t="s">
        <v>205</v>
      </c>
      <c r="C3163" s="6" t="s">
        <v>152</v>
      </c>
      <c r="D3163" s="2" t="s">
        <v>114</v>
      </c>
      <c r="E3163" s="2"/>
      <c r="F3163" s="35">
        <v>8.9965005885644906</v>
      </c>
      <c r="G3163" s="35">
        <v>33.86866702034434</v>
      </c>
      <c r="H3163" s="35">
        <v>-25.640779163564591</v>
      </c>
      <c r="I3163" s="35">
        <v>-0.21389078147347154</v>
      </c>
      <c r="J3163" s="35">
        <v>-1.5856871986991326E-4</v>
      </c>
      <c r="K3163" s="35">
        <v>-0.10204008461921554</v>
      </c>
      <c r="L3163" s="35">
        <v>76.054226496138625</v>
      </c>
      <c r="M3163" s="58" t="s">
        <v>23</v>
      </c>
      <c r="N3163" s="7">
        <v>9.5</v>
      </c>
      <c r="O3163" s="7" t="s">
        <v>179</v>
      </c>
      <c r="P3163" s="7" t="s">
        <v>179</v>
      </c>
    </row>
    <row r="3164" spans="1:16" x14ac:dyDescent="0.25">
      <c r="A3164" s="2" t="s">
        <v>181</v>
      </c>
      <c r="B3164" s="2" t="s">
        <v>205</v>
      </c>
      <c r="C3164" s="6" t="s">
        <v>152</v>
      </c>
      <c r="D3164" s="2" t="s">
        <v>115</v>
      </c>
      <c r="E3164" s="2"/>
      <c r="F3164" s="35">
        <v>0</v>
      </c>
      <c r="G3164" s="35">
        <v>-4.2014301181907134</v>
      </c>
      <c r="H3164" s="35">
        <v>12.418366654764569</v>
      </c>
      <c r="I3164" s="35">
        <v>3.5445097977750359</v>
      </c>
      <c r="J3164" s="35">
        <v>-1.3877943081455079E-4</v>
      </c>
      <c r="K3164" s="35">
        <v>5.6779159797439673</v>
      </c>
      <c r="L3164" s="35">
        <v>27.211967782222036</v>
      </c>
      <c r="M3164" s="58" t="s">
        <v>22</v>
      </c>
      <c r="N3164" s="7">
        <v>9.5</v>
      </c>
      <c r="O3164" s="7" t="s">
        <v>179</v>
      </c>
      <c r="P3164" s="7" t="s">
        <v>179</v>
      </c>
    </row>
    <row r="3165" spans="1:16" x14ac:dyDescent="0.25">
      <c r="A3165" s="2" t="s">
        <v>181</v>
      </c>
      <c r="B3165" s="2" t="s">
        <v>205</v>
      </c>
      <c r="C3165" s="6" t="s">
        <v>152</v>
      </c>
      <c r="D3165" s="2" t="s">
        <v>115</v>
      </c>
      <c r="E3165" s="2"/>
      <c r="F3165" s="35">
        <v>2</v>
      </c>
      <c r="G3165" s="35">
        <v>-3.3876325181907081</v>
      </c>
      <c r="H3165" s="35">
        <v>9.091966654764569</v>
      </c>
      <c r="I3165" s="35">
        <v>3.5445097977750359</v>
      </c>
      <c r="J3165" s="35">
        <v>-1.3877943081455079E-4</v>
      </c>
      <c r="K3165" s="35">
        <v>-1.4111036158061043</v>
      </c>
      <c r="L3165" s="35">
        <v>5.701634472692894</v>
      </c>
      <c r="M3165" s="58" t="s">
        <v>22</v>
      </c>
      <c r="N3165" s="7">
        <v>9.5</v>
      </c>
      <c r="O3165" s="7" t="s">
        <v>179</v>
      </c>
      <c r="P3165" s="7" t="s">
        <v>179</v>
      </c>
    </row>
    <row r="3166" spans="1:16" x14ac:dyDescent="0.25">
      <c r="A3166" s="2" t="s">
        <v>181</v>
      </c>
      <c r="B3166" s="2" t="s">
        <v>205</v>
      </c>
      <c r="C3166" s="6" t="s">
        <v>152</v>
      </c>
      <c r="D3166" s="2" t="s">
        <v>115</v>
      </c>
      <c r="E3166" s="2"/>
      <c r="F3166" s="35">
        <v>2</v>
      </c>
      <c r="G3166" s="35">
        <v>-6.8680171702690922</v>
      </c>
      <c r="H3166" s="35">
        <v>9.0919672500860873</v>
      </c>
      <c r="I3166" s="35">
        <v>-0.18891052250612236</v>
      </c>
      <c r="J3166" s="35">
        <v>-1.1917978097081005E-4</v>
      </c>
      <c r="K3166" s="35">
        <v>-1.4111036158061045</v>
      </c>
      <c r="L3166" s="35">
        <v>5.7016553789860334</v>
      </c>
      <c r="M3166" s="58" t="s">
        <v>22</v>
      </c>
      <c r="N3166" s="7">
        <v>9.5</v>
      </c>
      <c r="O3166" s="7" t="s">
        <v>179</v>
      </c>
      <c r="P3166" s="7" t="s">
        <v>179</v>
      </c>
    </row>
    <row r="3167" spans="1:16" x14ac:dyDescent="0.25">
      <c r="A3167" s="2" t="s">
        <v>181</v>
      </c>
      <c r="B3167" s="2" t="s">
        <v>205</v>
      </c>
      <c r="C3167" s="6" t="s">
        <v>152</v>
      </c>
      <c r="D3167" s="2" t="s">
        <v>115</v>
      </c>
      <c r="E3167" s="2"/>
      <c r="F3167" s="35">
        <v>4.4982502942822453</v>
      </c>
      <c r="G3167" s="35">
        <v>-5.8514821234259928</v>
      </c>
      <c r="H3167" s="35">
        <v>4.9368773606358562</v>
      </c>
      <c r="I3167" s="35">
        <v>-0.18891052250612259</v>
      </c>
      <c r="J3167" s="35">
        <v>-1.1917978097081005E-4</v>
      </c>
      <c r="K3167" s="35">
        <v>-0.93915784736217134</v>
      </c>
      <c r="L3167" s="35">
        <v>-11.822127209601955</v>
      </c>
      <c r="M3167" s="58" t="s">
        <v>24</v>
      </c>
      <c r="N3167" s="7">
        <v>9.5</v>
      </c>
      <c r="O3167" s="7" t="s">
        <v>179</v>
      </c>
      <c r="P3167" s="7" t="s">
        <v>179</v>
      </c>
    </row>
    <row r="3168" spans="1:16" x14ac:dyDescent="0.25">
      <c r="A3168" s="2" t="s">
        <v>181</v>
      </c>
      <c r="B3168" s="2" t="s">
        <v>205</v>
      </c>
      <c r="C3168" s="6" t="s">
        <v>152</v>
      </c>
      <c r="D3168" s="2" t="s">
        <v>115</v>
      </c>
      <c r="E3168" s="2"/>
      <c r="F3168" s="35">
        <v>8.9965005885644906</v>
      </c>
      <c r="G3168" s="35">
        <v>-4.0211494765829041</v>
      </c>
      <c r="H3168" s="35">
        <v>-2.5446125288143735</v>
      </c>
      <c r="I3168" s="35">
        <v>-0.18891052250612306</v>
      </c>
      <c r="J3168" s="35">
        <v>-1.1917978097081005E-4</v>
      </c>
      <c r="K3168" s="35">
        <v>-8.9391033905991873E-2</v>
      </c>
      <c r="L3168" s="35">
        <v>-17.202630201472992</v>
      </c>
      <c r="M3168" s="58" t="s">
        <v>23</v>
      </c>
      <c r="N3168" s="7">
        <v>9.5</v>
      </c>
      <c r="O3168" s="7" t="s">
        <v>179</v>
      </c>
      <c r="P3168" s="7" t="s">
        <v>179</v>
      </c>
    </row>
    <row r="3169" spans="1:16" x14ac:dyDescent="0.25">
      <c r="A3169" s="2" t="s">
        <v>181</v>
      </c>
      <c r="B3169" s="2" t="s">
        <v>205</v>
      </c>
      <c r="C3169" s="6" t="s">
        <v>152</v>
      </c>
      <c r="D3169" s="2" t="s">
        <v>116</v>
      </c>
      <c r="E3169" s="2"/>
      <c r="F3169" s="35">
        <v>0</v>
      </c>
      <c r="G3169" s="35">
        <v>23.235553059187247</v>
      </c>
      <c r="H3169" s="35">
        <v>9.5074276307831873</v>
      </c>
      <c r="I3169" s="35">
        <v>0.87074807278579158</v>
      </c>
      <c r="J3169" s="35">
        <v>-3.0716062334973767E-5</v>
      </c>
      <c r="K3169" s="35">
        <v>1.3482355663537324</v>
      </c>
      <c r="L3169" s="35">
        <v>24.462890149230848</v>
      </c>
      <c r="M3169" s="58" t="s">
        <v>22</v>
      </c>
      <c r="N3169" s="7">
        <v>9.5</v>
      </c>
      <c r="O3169" s="7" t="s">
        <v>179</v>
      </c>
      <c r="P3169" s="7" t="s">
        <v>179</v>
      </c>
    </row>
    <row r="3170" spans="1:16" x14ac:dyDescent="0.25">
      <c r="A3170" s="2" t="s">
        <v>181</v>
      </c>
      <c r="B3170" s="2" t="s">
        <v>205</v>
      </c>
      <c r="C3170" s="6" t="s">
        <v>152</v>
      </c>
      <c r="D3170" s="2" t="s">
        <v>116</v>
      </c>
      <c r="E3170" s="2"/>
      <c r="F3170" s="35">
        <v>2</v>
      </c>
      <c r="G3170" s="35">
        <v>24.049350659187251</v>
      </c>
      <c r="H3170" s="35">
        <v>3.7618276307831868</v>
      </c>
      <c r="I3170" s="35">
        <v>0.87074807278579125</v>
      </c>
      <c r="J3170" s="35">
        <v>-3.0716062334973767E-5</v>
      </c>
      <c r="K3170" s="35">
        <v>-0.39326057921785051</v>
      </c>
      <c r="L3170" s="35">
        <v>11.193634887664466</v>
      </c>
      <c r="M3170" s="58" t="s">
        <v>22</v>
      </c>
      <c r="N3170" s="7">
        <v>9.5</v>
      </c>
      <c r="O3170" s="7" t="s">
        <v>179</v>
      </c>
      <c r="P3170" s="7" t="s">
        <v>179</v>
      </c>
    </row>
    <row r="3171" spans="1:16" x14ac:dyDescent="0.25">
      <c r="A3171" s="2" t="s">
        <v>181</v>
      </c>
      <c r="B3171" s="2" t="s">
        <v>205</v>
      </c>
      <c r="C3171" s="6" t="s">
        <v>152</v>
      </c>
      <c r="D3171" s="2" t="s">
        <v>116</v>
      </c>
      <c r="E3171" s="2"/>
      <c r="F3171" s="35">
        <v>2</v>
      </c>
      <c r="G3171" s="35">
        <v>23.202856158215884</v>
      </c>
      <c r="H3171" s="35">
        <v>3.7618320470452939</v>
      </c>
      <c r="I3171" s="35">
        <v>-5.318611720487669E-2</v>
      </c>
      <c r="J3171" s="35">
        <v>-6.5461736559303338E-5</v>
      </c>
      <c r="K3171" s="35">
        <v>-0.3932605792178514</v>
      </c>
      <c r="L3171" s="35">
        <v>11.193597825611965</v>
      </c>
      <c r="M3171" s="58" t="s">
        <v>22</v>
      </c>
      <c r="N3171" s="7">
        <v>9.5</v>
      </c>
      <c r="O3171" s="7" t="s">
        <v>179</v>
      </c>
      <c r="P3171" s="7" t="s">
        <v>179</v>
      </c>
    </row>
    <row r="3172" spans="1:16" x14ac:dyDescent="0.25">
      <c r="A3172" s="2" t="s">
        <v>181</v>
      </c>
      <c r="B3172" s="2" t="s">
        <v>205</v>
      </c>
      <c r="C3172" s="6" t="s">
        <v>152</v>
      </c>
      <c r="D3172" s="2" t="s">
        <v>116</v>
      </c>
      <c r="E3172" s="2"/>
      <c r="F3172" s="35">
        <v>4.4982502942822453</v>
      </c>
      <c r="G3172" s="35">
        <v>24.219391205058983</v>
      </c>
      <c r="H3172" s="35">
        <v>-3.4151413983687409</v>
      </c>
      <c r="I3172" s="35">
        <v>-5.3186117204877134E-2</v>
      </c>
      <c r="J3172" s="35">
        <v>-6.5461736559303338E-5</v>
      </c>
      <c r="K3172" s="35">
        <v>-0.26038834625903773</v>
      </c>
      <c r="L3172" s="35">
        <v>10.760537818071414</v>
      </c>
      <c r="M3172" s="58" t="s">
        <v>24</v>
      </c>
      <c r="N3172" s="7">
        <v>9.5</v>
      </c>
      <c r="O3172" s="7" t="s">
        <v>179</v>
      </c>
      <c r="P3172" s="7" t="s">
        <v>179</v>
      </c>
    </row>
    <row r="3173" spans="1:16" x14ac:dyDescent="0.25">
      <c r="A3173" s="2" t="s">
        <v>181</v>
      </c>
      <c r="B3173" s="2" t="s">
        <v>205</v>
      </c>
      <c r="C3173" s="6" t="s">
        <v>152</v>
      </c>
      <c r="D3173" s="2" t="s">
        <v>116</v>
      </c>
      <c r="E3173" s="2"/>
      <c r="F3173" s="35">
        <v>8.9965005885644906</v>
      </c>
      <c r="G3173" s="35">
        <v>26.049723851902069</v>
      </c>
      <c r="H3173" s="35">
        <v>-16.337714843782777</v>
      </c>
      <c r="I3173" s="35">
        <v>-5.3186117204877918E-2</v>
      </c>
      <c r="J3173" s="35">
        <v>-6.5461736559303338E-5</v>
      </c>
      <c r="K3173" s="35">
        <v>-2.1143878890467444E-2</v>
      </c>
      <c r="L3173" s="35">
        <v>55.187183520157873</v>
      </c>
      <c r="M3173" s="58" t="s">
        <v>23</v>
      </c>
      <c r="N3173" s="7">
        <v>9.5</v>
      </c>
      <c r="O3173" s="7" t="s">
        <v>179</v>
      </c>
      <c r="P3173" s="7" t="s">
        <v>179</v>
      </c>
    </row>
    <row r="3174" spans="1:16" x14ac:dyDescent="0.25">
      <c r="A3174" s="2" t="s">
        <v>181</v>
      </c>
      <c r="B3174" s="2" t="s">
        <v>205</v>
      </c>
      <c r="C3174" s="6" t="s">
        <v>152</v>
      </c>
      <c r="D3174" s="2" t="s">
        <v>117</v>
      </c>
      <c r="E3174" s="2"/>
      <c r="F3174" s="35">
        <v>0</v>
      </c>
      <c r="G3174" s="35">
        <v>-25.006155658085003</v>
      </c>
      <c r="H3174" s="35">
        <v>24.136328506168983</v>
      </c>
      <c r="I3174" s="35">
        <v>0.62103765009728418</v>
      </c>
      <c r="J3174" s="35">
        <v>-2.6269390324806805E-6</v>
      </c>
      <c r="K3174" s="35">
        <v>0.9698952766303357</v>
      </c>
      <c r="L3174" s="35">
        <v>111.65232753963605</v>
      </c>
      <c r="M3174" s="58" t="s">
        <v>22</v>
      </c>
      <c r="N3174" s="7">
        <v>9.5</v>
      </c>
      <c r="O3174" s="7" t="s">
        <v>179</v>
      </c>
      <c r="P3174" s="7" t="s">
        <v>179</v>
      </c>
    </row>
    <row r="3175" spans="1:16" x14ac:dyDescent="0.25">
      <c r="A3175" s="2" t="s">
        <v>181</v>
      </c>
      <c r="B3175" s="2" t="s">
        <v>205</v>
      </c>
      <c r="C3175" s="6" t="s">
        <v>152</v>
      </c>
      <c r="D3175" s="2" t="s">
        <v>117</v>
      </c>
      <c r="E3175" s="2"/>
      <c r="F3175" s="35">
        <v>2</v>
      </c>
      <c r="G3175" s="35">
        <v>-24.192358058084999</v>
      </c>
      <c r="H3175" s="35">
        <v>22.624328506168986</v>
      </c>
      <c r="I3175" s="35">
        <v>0.62103765009728407</v>
      </c>
      <c r="J3175" s="35">
        <v>-2.6269390324806805E-6</v>
      </c>
      <c r="K3175" s="35">
        <v>-0.27218002356423243</v>
      </c>
      <c r="L3175" s="35">
        <v>64.891670527298075</v>
      </c>
      <c r="M3175" s="58" t="s">
        <v>22</v>
      </c>
      <c r="N3175" s="7">
        <v>9.5</v>
      </c>
      <c r="O3175" s="7" t="s">
        <v>179</v>
      </c>
      <c r="P3175" s="7" t="s">
        <v>179</v>
      </c>
    </row>
    <row r="3176" spans="1:16" x14ac:dyDescent="0.25">
      <c r="A3176" s="2" t="s">
        <v>181</v>
      </c>
      <c r="B3176" s="2" t="s">
        <v>205</v>
      </c>
      <c r="C3176" s="6" t="s">
        <v>152</v>
      </c>
      <c r="D3176" s="2" t="s">
        <v>117</v>
      </c>
      <c r="E3176" s="2"/>
      <c r="F3176" s="35">
        <v>2</v>
      </c>
      <c r="G3176" s="35">
        <v>-24.789617112904725</v>
      </c>
      <c r="H3176" s="35">
        <v>22.624316977158216</v>
      </c>
      <c r="I3176" s="35">
        <v>-3.7047333499890325E-2</v>
      </c>
      <c r="J3176" s="35">
        <v>-1.7175827649650584E-5</v>
      </c>
      <c r="K3176" s="35">
        <v>-0.27218002356423243</v>
      </c>
      <c r="L3176" s="35">
        <v>64.891655008483482</v>
      </c>
      <c r="M3176" s="58" t="s">
        <v>22</v>
      </c>
      <c r="N3176" s="7">
        <v>9.5</v>
      </c>
      <c r="O3176" s="7" t="s">
        <v>179</v>
      </c>
      <c r="P3176" s="7" t="s">
        <v>179</v>
      </c>
    </row>
    <row r="3177" spans="1:16" x14ac:dyDescent="0.25">
      <c r="A3177" s="2" t="s">
        <v>181</v>
      </c>
      <c r="B3177" s="2" t="s">
        <v>205</v>
      </c>
      <c r="C3177" s="6" t="s">
        <v>152</v>
      </c>
      <c r="D3177" s="2" t="s">
        <v>117</v>
      </c>
      <c r="E3177" s="2"/>
      <c r="F3177" s="35">
        <v>4.4982502942822453</v>
      </c>
      <c r="G3177" s="35">
        <v>-23.773082066061626</v>
      </c>
      <c r="H3177" s="35">
        <v>20.73563975468084</v>
      </c>
      <c r="I3177" s="35">
        <v>-3.7047333499890443E-2</v>
      </c>
      <c r="J3177" s="35">
        <v>-1.7175827649650584E-5</v>
      </c>
      <c r="K3177" s="35">
        <v>-0.1796265117457588</v>
      </c>
      <c r="L3177" s="35">
        <v>10.729642675792318</v>
      </c>
      <c r="M3177" s="58" t="s">
        <v>24</v>
      </c>
      <c r="N3177" s="7">
        <v>9.5</v>
      </c>
      <c r="O3177" s="7" t="s">
        <v>179</v>
      </c>
      <c r="P3177" s="7" t="s">
        <v>179</v>
      </c>
    </row>
    <row r="3178" spans="1:16" x14ac:dyDescent="0.25">
      <c r="A3178" s="2" t="s">
        <v>181</v>
      </c>
      <c r="B3178" s="2" t="s">
        <v>205</v>
      </c>
      <c r="C3178" s="6" t="s">
        <v>152</v>
      </c>
      <c r="D3178" s="2" t="s">
        <v>117</v>
      </c>
      <c r="E3178" s="2"/>
      <c r="F3178" s="35">
        <v>8.9965005885644906</v>
      </c>
      <c r="G3178" s="35">
        <v>-21.942749419218536</v>
      </c>
      <c r="H3178" s="35">
        <v>17.334962532203463</v>
      </c>
      <c r="I3178" s="35">
        <v>-3.7047333499890658E-2</v>
      </c>
      <c r="J3178" s="35">
        <v>-1.7175827649650584E-5</v>
      </c>
      <c r="K3178" s="35">
        <v>-1.2978332927503704E-2</v>
      </c>
      <c r="L3178" s="35">
        <v>-74.895906294447471</v>
      </c>
      <c r="M3178" s="58" t="s">
        <v>23</v>
      </c>
      <c r="N3178" s="7">
        <v>9.5</v>
      </c>
      <c r="O3178" s="7" t="s">
        <v>179</v>
      </c>
      <c r="P3178" s="7" t="s">
        <v>179</v>
      </c>
    </row>
    <row r="3179" spans="1:16" x14ac:dyDescent="0.25">
      <c r="A3179" s="2" t="s">
        <v>181</v>
      </c>
      <c r="B3179" s="2" t="s">
        <v>205</v>
      </c>
      <c r="C3179" s="6" t="s">
        <v>152</v>
      </c>
      <c r="D3179" s="2" t="s">
        <v>118</v>
      </c>
      <c r="E3179" s="2"/>
      <c r="F3179" s="35">
        <v>0</v>
      </c>
      <c r="G3179" s="35">
        <v>38.745773251089958</v>
      </c>
      <c r="H3179" s="35">
        <v>-33.824328933894776</v>
      </c>
      <c r="I3179" s="35">
        <v>1.0612758665877471</v>
      </c>
      <c r="J3179" s="35">
        <v>-2.3503776339896698E-5</v>
      </c>
      <c r="K3179" s="35">
        <v>1.6408527839065976</v>
      </c>
      <c r="L3179" s="35">
        <v>-101.09344276744267</v>
      </c>
      <c r="M3179" s="58" t="s">
        <v>22</v>
      </c>
      <c r="N3179" s="7">
        <v>9.5</v>
      </c>
      <c r="O3179" s="7" t="s">
        <v>179</v>
      </c>
      <c r="P3179" s="7" t="s">
        <v>179</v>
      </c>
    </row>
    <row r="3180" spans="1:16" x14ac:dyDescent="0.25">
      <c r="A3180" s="2" t="s">
        <v>181</v>
      </c>
      <c r="B3180" s="2" t="s">
        <v>205</v>
      </c>
      <c r="C3180" s="6" t="s">
        <v>152</v>
      </c>
      <c r="D3180" s="2" t="s">
        <v>118</v>
      </c>
      <c r="E3180" s="2"/>
      <c r="F3180" s="35">
        <v>2</v>
      </c>
      <c r="G3180" s="35">
        <v>39.559570851089966</v>
      </c>
      <c r="H3180" s="35">
        <v>-28.381128933894768</v>
      </c>
      <c r="I3180" s="35">
        <v>1.0612758665877475</v>
      </c>
      <c r="J3180" s="35">
        <v>-2.3503776339896698E-5</v>
      </c>
      <c r="K3180" s="35">
        <v>-0.48169894926889634</v>
      </c>
      <c r="L3180" s="35">
        <v>-38.887984899653112</v>
      </c>
      <c r="M3180" s="58" t="s">
        <v>22</v>
      </c>
      <c r="N3180" s="7">
        <v>9.5</v>
      </c>
      <c r="O3180" s="7" t="s">
        <v>179</v>
      </c>
      <c r="P3180" s="7" t="s">
        <v>179</v>
      </c>
    </row>
    <row r="3181" spans="1:16" x14ac:dyDescent="0.25">
      <c r="A3181" s="2" t="s">
        <v>181</v>
      </c>
      <c r="B3181" s="2" t="s">
        <v>205</v>
      </c>
      <c r="C3181" s="6" t="s">
        <v>152</v>
      </c>
      <c r="D3181" s="2" t="s">
        <v>118</v>
      </c>
      <c r="E3181" s="2"/>
      <c r="F3181" s="35">
        <v>2</v>
      </c>
      <c r="G3181" s="35">
        <v>38.52339527499764</v>
      </c>
      <c r="H3181" s="35">
        <v>-28.381118005287707</v>
      </c>
      <c r="I3181" s="35">
        <v>-6.4983953394762303E-2</v>
      </c>
      <c r="J3181" s="35">
        <v>-7.1999028978155067E-5</v>
      </c>
      <c r="K3181" s="35">
        <v>-0.48169894926889717</v>
      </c>
      <c r="L3181" s="35">
        <v>-38.888036627922652</v>
      </c>
      <c r="M3181" s="58" t="s">
        <v>22</v>
      </c>
      <c r="N3181" s="7">
        <v>9.5</v>
      </c>
      <c r="O3181" s="7" t="s">
        <v>179</v>
      </c>
      <c r="P3181" s="7" t="s">
        <v>179</v>
      </c>
    </row>
    <row r="3182" spans="1:16" x14ac:dyDescent="0.25">
      <c r="A3182" s="2" t="s">
        <v>181</v>
      </c>
      <c r="B3182" s="2" t="s">
        <v>205</v>
      </c>
      <c r="C3182" s="6" t="s">
        <v>152</v>
      </c>
      <c r="D3182" s="2" t="s">
        <v>118</v>
      </c>
      <c r="E3182" s="2"/>
      <c r="F3182" s="35">
        <v>4.4982502942822453</v>
      </c>
      <c r="G3182" s="35">
        <v>39.539930321840735</v>
      </c>
      <c r="H3182" s="35">
        <v>-21.581880004369157</v>
      </c>
      <c r="I3182" s="35">
        <v>-6.4983953394761887E-2</v>
      </c>
      <c r="J3182" s="35">
        <v>-7.1999028978155067E-5</v>
      </c>
      <c r="K3182" s="35">
        <v>-0.31935276857680911</v>
      </c>
      <c r="L3182" s="35">
        <v>23.522000612501586</v>
      </c>
      <c r="M3182" s="58" t="s">
        <v>24</v>
      </c>
      <c r="N3182" s="7">
        <v>9.5</v>
      </c>
      <c r="O3182" s="7" t="s">
        <v>179</v>
      </c>
      <c r="P3182" s="7" t="s">
        <v>179</v>
      </c>
    </row>
    <row r="3183" spans="1:16" x14ac:dyDescent="0.25">
      <c r="A3183" s="2" t="s">
        <v>181</v>
      </c>
      <c r="B3183" s="2" t="s">
        <v>205</v>
      </c>
      <c r="C3183" s="6" t="s">
        <v>152</v>
      </c>
      <c r="D3183" s="2" t="s">
        <v>118</v>
      </c>
      <c r="E3183" s="2"/>
      <c r="F3183" s="35">
        <v>8.9965005885644906</v>
      </c>
      <c r="G3183" s="35">
        <v>41.370262968683825</v>
      </c>
      <c r="H3183" s="35">
        <v>-9.3394420034505981</v>
      </c>
      <c r="I3183" s="35">
        <v>-6.4983953394761138E-2</v>
      </c>
      <c r="J3183" s="35">
        <v>-7.1999028978155067E-5</v>
      </c>
      <c r="K3183" s="35">
        <v>-2.7038681095199465E-2</v>
      </c>
      <c r="L3183" s="35">
        <v>93.067923523137168</v>
      </c>
      <c r="M3183" s="58" t="s">
        <v>23</v>
      </c>
      <c r="N3183" s="7">
        <v>9.5</v>
      </c>
      <c r="O3183" s="7" t="s">
        <v>179</v>
      </c>
      <c r="P3183" s="7" t="s">
        <v>179</v>
      </c>
    </row>
    <row r="3184" spans="1:16" x14ac:dyDescent="0.25">
      <c r="A3184" s="2" t="s">
        <v>181</v>
      </c>
      <c r="B3184" s="2" t="s">
        <v>205</v>
      </c>
      <c r="C3184" s="6" t="s">
        <v>152</v>
      </c>
      <c r="D3184" s="2" t="s">
        <v>119</v>
      </c>
      <c r="E3184" s="2"/>
      <c r="F3184" s="35">
        <v>0</v>
      </c>
      <c r="G3184" s="35">
        <v>-67.876003541997676</v>
      </c>
      <c r="H3184" s="35">
        <v>-10.741269120700629</v>
      </c>
      <c r="I3184" s="35">
        <v>0.575302146636823</v>
      </c>
      <c r="J3184" s="35">
        <v>-8.39352639778584E-5</v>
      </c>
      <c r="K3184" s="35">
        <v>0.90602787968755472</v>
      </c>
      <c r="L3184" s="35">
        <v>-32.616505960990601</v>
      </c>
      <c r="M3184" s="58" t="s">
        <v>22</v>
      </c>
      <c r="N3184" s="7">
        <v>9.5</v>
      </c>
      <c r="O3184" s="7" t="s">
        <v>179</v>
      </c>
      <c r="P3184" s="7" t="s">
        <v>179</v>
      </c>
    </row>
    <row r="3185" spans="1:16" x14ac:dyDescent="0.25">
      <c r="A3185" s="2" t="s">
        <v>181</v>
      </c>
      <c r="B3185" s="2" t="s">
        <v>205</v>
      </c>
      <c r="C3185" s="6" t="s">
        <v>152</v>
      </c>
      <c r="D3185" s="2" t="s">
        <v>119</v>
      </c>
      <c r="E3185" s="2"/>
      <c r="F3185" s="35">
        <v>2</v>
      </c>
      <c r="G3185" s="35">
        <v>-67.062205941997661</v>
      </c>
      <c r="H3185" s="35">
        <v>-1.0644691207006252</v>
      </c>
      <c r="I3185" s="35">
        <v>0.57530214663682366</v>
      </c>
      <c r="J3185" s="35">
        <v>-8.39352639778584E-5</v>
      </c>
      <c r="K3185" s="35">
        <v>-0.24457641358609189</v>
      </c>
      <c r="L3185" s="35">
        <v>-20.810767719589347</v>
      </c>
      <c r="M3185" s="58" t="s">
        <v>22</v>
      </c>
      <c r="N3185" s="7">
        <v>9.5</v>
      </c>
      <c r="O3185" s="7" t="s">
        <v>179</v>
      </c>
      <c r="P3185" s="7" t="s">
        <v>179</v>
      </c>
    </row>
    <row r="3186" spans="1:16" x14ac:dyDescent="0.25">
      <c r="A3186" s="2" t="s">
        <v>181</v>
      </c>
      <c r="B3186" s="2" t="s">
        <v>205</v>
      </c>
      <c r="C3186" s="6" t="s">
        <v>152</v>
      </c>
      <c r="D3186" s="2" t="s">
        <v>119</v>
      </c>
      <c r="E3186" s="2"/>
      <c r="F3186" s="35">
        <v>2</v>
      </c>
      <c r="G3186" s="35">
        <v>-67.613172814296419</v>
      </c>
      <c r="H3186" s="35">
        <v>-1.064478967043651</v>
      </c>
      <c r="I3186" s="35">
        <v>-3.3405866305168286E-2</v>
      </c>
      <c r="J3186" s="35">
        <v>7.3026573121352404E-6</v>
      </c>
      <c r="K3186" s="35">
        <v>-0.24457641358609206</v>
      </c>
      <c r="L3186" s="35">
        <v>-20.810670399139951</v>
      </c>
      <c r="M3186" s="58" t="s">
        <v>22</v>
      </c>
      <c r="N3186" s="7">
        <v>9.5</v>
      </c>
      <c r="O3186" s="7" t="s">
        <v>179</v>
      </c>
      <c r="P3186" s="7" t="s">
        <v>179</v>
      </c>
    </row>
    <row r="3187" spans="1:16" x14ac:dyDescent="0.25">
      <c r="A3187" s="2" t="s">
        <v>181</v>
      </c>
      <c r="B3187" s="2" t="s">
        <v>205</v>
      </c>
      <c r="C3187" s="6" t="s">
        <v>152</v>
      </c>
      <c r="D3187" s="2" t="s">
        <v>119</v>
      </c>
      <c r="E3187" s="2"/>
      <c r="F3187" s="35">
        <v>4.4982502942822453</v>
      </c>
      <c r="G3187" s="35">
        <v>-66.596637767453316</v>
      </c>
      <c r="H3187" s="35">
        <v>11.023055256811565</v>
      </c>
      <c r="I3187" s="35">
        <v>-3.340586630516755E-2</v>
      </c>
      <c r="J3187" s="35">
        <v>7.3026573121352404E-6</v>
      </c>
      <c r="K3187" s="35">
        <v>-0.161120198258453</v>
      </c>
      <c r="L3187" s="35">
        <v>-33.250178472412394</v>
      </c>
      <c r="M3187" s="58" t="s">
        <v>24</v>
      </c>
      <c r="N3187" s="7">
        <v>9.5</v>
      </c>
      <c r="O3187" s="7" t="s">
        <v>179</v>
      </c>
      <c r="P3187" s="7" t="s">
        <v>179</v>
      </c>
    </row>
    <row r="3188" spans="1:16" x14ac:dyDescent="0.25">
      <c r="A3188" s="2" t="s">
        <v>181</v>
      </c>
      <c r="B3188" s="2" t="s">
        <v>205</v>
      </c>
      <c r="C3188" s="6" t="s">
        <v>152</v>
      </c>
      <c r="D3188" s="2" t="s">
        <v>119</v>
      </c>
      <c r="E3188" s="2"/>
      <c r="F3188" s="35">
        <v>8.9965005885644906</v>
      </c>
      <c r="G3188" s="35">
        <v>-64.766305120610227</v>
      </c>
      <c r="H3188" s="35">
        <v>32.787389480666775</v>
      </c>
      <c r="I3188" s="35">
        <v>-3.3405866305166218E-2</v>
      </c>
      <c r="J3188" s="35">
        <v>7.3026573121352404E-6</v>
      </c>
      <c r="K3188" s="35">
        <v>-1.0852250320482757E-2</v>
      </c>
      <c r="L3188" s="35">
        <v>-131.78535143891136</v>
      </c>
      <c r="M3188" s="58" t="s">
        <v>23</v>
      </c>
      <c r="N3188" s="7">
        <v>9.5</v>
      </c>
      <c r="O3188" s="7" t="s">
        <v>179</v>
      </c>
      <c r="P3188" s="7" t="s">
        <v>179</v>
      </c>
    </row>
    <row r="3189" spans="1:16" x14ac:dyDescent="0.25">
      <c r="A3189" s="2" t="s">
        <v>181</v>
      </c>
      <c r="B3189" s="2" t="s">
        <v>205</v>
      </c>
      <c r="C3189" s="6" t="s">
        <v>152</v>
      </c>
      <c r="D3189" s="2" t="s">
        <v>120</v>
      </c>
      <c r="E3189" s="2"/>
      <c r="F3189" s="35">
        <v>0</v>
      </c>
      <c r="G3189" s="35">
        <v>29.138881311768106</v>
      </c>
      <c r="H3189" s="35">
        <v>5.9703233932621336</v>
      </c>
      <c r="I3189" s="35">
        <v>-4.295915464126276</v>
      </c>
      <c r="J3189" s="35">
        <v>1.8194631436952187E-4</v>
      </c>
      <c r="K3189" s="35">
        <v>-6.869244299251144</v>
      </c>
      <c r="L3189" s="35">
        <v>-11.943038663361845</v>
      </c>
      <c r="M3189" s="58" t="s">
        <v>22</v>
      </c>
      <c r="N3189" s="7">
        <v>9.5</v>
      </c>
      <c r="O3189" s="7" t="s">
        <v>179</v>
      </c>
      <c r="P3189" s="7" t="s">
        <v>179</v>
      </c>
    </row>
    <row r="3190" spans="1:16" x14ac:dyDescent="0.25">
      <c r="A3190" s="2" t="s">
        <v>181</v>
      </c>
      <c r="B3190" s="2" t="s">
        <v>205</v>
      </c>
      <c r="C3190" s="6" t="s">
        <v>152</v>
      </c>
      <c r="D3190" s="2" t="s">
        <v>120</v>
      </c>
      <c r="E3190" s="2"/>
      <c r="F3190" s="35">
        <v>2</v>
      </c>
      <c r="G3190" s="35">
        <v>29.952678911768096</v>
      </c>
      <c r="H3190" s="35">
        <v>-2.4296766067378663</v>
      </c>
      <c r="I3190" s="35">
        <v>-4.2959154641262769</v>
      </c>
      <c r="J3190" s="35">
        <v>1.8194631436952187E-4</v>
      </c>
      <c r="K3190" s="35">
        <v>1.7225866290014091</v>
      </c>
      <c r="L3190" s="35">
        <v>-15.483685449886121</v>
      </c>
      <c r="M3190" s="58" t="s">
        <v>22</v>
      </c>
      <c r="N3190" s="7">
        <v>9.5</v>
      </c>
      <c r="O3190" s="7" t="s">
        <v>179</v>
      </c>
      <c r="P3190" s="7" t="s">
        <v>179</v>
      </c>
    </row>
    <row r="3191" spans="1:16" x14ac:dyDescent="0.25">
      <c r="A3191" s="2" t="s">
        <v>181</v>
      </c>
      <c r="B3191" s="2" t="s">
        <v>205</v>
      </c>
      <c r="C3191" s="6" t="s">
        <v>152</v>
      </c>
      <c r="D3191" s="2" t="s">
        <v>120</v>
      </c>
      <c r="E3191" s="2"/>
      <c r="F3191" s="35">
        <v>2</v>
      </c>
      <c r="G3191" s="35">
        <v>34.214423456938533</v>
      </c>
      <c r="H3191" s="35">
        <v>-2.4296685195710594</v>
      </c>
      <c r="I3191" s="35">
        <v>0.22893701430249536</v>
      </c>
      <c r="J3191" s="35">
        <v>1.5292352300034861E-4</v>
      </c>
      <c r="K3191" s="35">
        <v>1.7225866290014129</v>
      </c>
      <c r="L3191" s="35">
        <v>-15.48371640753026</v>
      </c>
      <c r="M3191" s="58" t="s">
        <v>22</v>
      </c>
      <c r="N3191" s="7">
        <v>9.5</v>
      </c>
      <c r="O3191" s="7" t="s">
        <v>179</v>
      </c>
      <c r="P3191" s="7" t="s">
        <v>179</v>
      </c>
    </row>
    <row r="3192" spans="1:16" x14ac:dyDescent="0.25">
      <c r="A3192" s="2" t="s">
        <v>181</v>
      </c>
      <c r="B3192" s="2" t="s">
        <v>205</v>
      </c>
      <c r="C3192" s="6" t="s">
        <v>152</v>
      </c>
      <c r="D3192" s="2" t="s">
        <v>120</v>
      </c>
      <c r="E3192" s="2"/>
      <c r="F3192" s="35">
        <v>4.4982502942822453</v>
      </c>
      <c r="G3192" s="35">
        <v>35.230958503781622</v>
      </c>
      <c r="H3192" s="35">
        <v>-12.922319755556488</v>
      </c>
      <c r="I3192" s="35">
        <v>0.22893701430249472</v>
      </c>
      <c r="J3192" s="35">
        <v>1.5292352300034861E-4</v>
      </c>
      <c r="K3192" s="35">
        <v>1.150644665648106</v>
      </c>
      <c r="L3192" s="35">
        <v>3.6928382055472202</v>
      </c>
      <c r="M3192" s="58" t="s">
        <v>24</v>
      </c>
      <c r="N3192" s="7">
        <v>9.5</v>
      </c>
      <c r="O3192" s="7" t="s">
        <v>179</v>
      </c>
      <c r="P3192" s="7" t="s">
        <v>179</v>
      </c>
    </row>
    <row r="3193" spans="1:16" x14ac:dyDescent="0.25">
      <c r="A3193" s="2" t="s">
        <v>181</v>
      </c>
      <c r="B3193" s="2" t="s">
        <v>205</v>
      </c>
      <c r="C3193" s="6" t="s">
        <v>152</v>
      </c>
      <c r="D3193" s="2" t="s">
        <v>120</v>
      </c>
      <c r="E3193" s="2"/>
      <c r="F3193" s="35">
        <v>8.9965005885644906</v>
      </c>
      <c r="G3193" s="35">
        <v>37.061291150624712</v>
      </c>
      <c r="H3193" s="35">
        <v>-31.814970991541919</v>
      </c>
      <c r="I3193" s="35">
        <v>0.22893701430249355</v>
      </c>
      <c r="J3193" s="35">
        <v>1.5292352300034861E-4</v>
      </c>
      <c r="K3193" s="35">
        <v>0.12082867368981325</v>
      </c>
      <c r="L3193" s="35">
        <v>104.31260383981011</v>
      </c>
      <c r="M3193" s="58" t="s">
        <v>23</v>
      </c>
      <c r="N3193" s="7">
        <v>9.5</v>
      </c>
      <c r="O3193" s="7" t="s">
        <v>179</v>
      </c>
      <c r="P3193" s="7" t="s">
        <v>179</v>
      </c>
    </row>
    <row r="3194" spans="1:16" x14ac:dyDescent="0.25">
      <c r="A3194" s="2" t="s">
        <v>181</v>
      </c>
      <c r="B3194" s="2" t="s">
        <v>205</v>
      </c>
      <c r="C3194" s="6" t="s">
        <v>152</v>
      </c>
      <c r="D3194" s="2" t="s">
        <v>121</v>
      </c>
      <c r="E3194" s="2"/>
      <c r="F3194" s="35">
        <v>0</v>
      </c>
      <c r="G3194" s="35">
        <v>-13.414259314494805</v>
      </c>
      <c r="H3194" s="35">
        <v>10.47291524416058</v>
      </c>
      <c r="I3194" s="35">
        <v>-4.7479010374303137</v>
      </c>
      <c r="J3194" s="35">
        <v>1.8429305807532057E-4</v>
      </c>
      <c r="K3194" s="35">
        <v>-7.5636031983117684</v>
      </c>
      <c r="L3194" s="35">
        <v>20.126989548444378</v>
      </c>
      <c r="M3194" s="58" t="s">
        <v>22</v>
      </c>
      <c r="N3194" s="7">
        <v>9.5</v>
      </c>
      <c r="O3194" s="7" t="s">
        <v>179</v>
      </c>
      <c r="P3194" s="7" t="s">
        <v>179</v>
      </c>
    </row>
    <row r="3195" spans="1:16" x14ac:dyDescent="0.25">
      <c r="A3195" s="2" t="s">
        <v>181</v>
      </c>
      <c r="B3195" s="2" t="s">
        <v>205</v>
      </c>
      <c r="C3195" s="6" t="s">
        <v>152</v>
      </c>
      <c r="D3195" s="2" t="s">
        <v>121</v>
      </c>
      <c r="E3195" s="2"/>
      <c r="F3195" s="35">
        <v>2</v>
      </c>
      <c r="G3195" s="35">
        <v>-12.600461714494815</v>
      </c>
      <c r="H3195" s="35">
        <v>6.7769152441605804</v>
      </c>
      <c r="I3195" s="35">
        <v>-4.7479010374303137</v>
      </c>
      <c r="J3195" s="35">
        <v>1.8429305807532057E-4</v>
      </c>
      <c r="K3195" s="35">
        <v>1.9321988765488585</v>
      </c>
      <c r="L3195" s="35">
        <v>2.8771590601232155</v>
      </c>
      <c r="M3195" s="58" t="s">
        <v>22</v>
      </c>
      <c r="N3195" s="7">
        <v>9.5</v>
      </c>
      <c r="O3195" s="7" t="s">
        <v>179</v>
      </c>
      <c r="P3195" s="7" t="s">
        <v>179</v>
      </c>
    </row>
    <row r="3196" spans="1:16" x14ac:dyDescent="0.25">
      <c r="A3196" s="2" t="s">
        <v>181</v>
      </c>
      <c r="B3196" s="2" t="s">
        <v>205</v>
      </c>
      <c r="C3196" s="6" t="s">
        <v>152</v>
      </c>
      <c r="D3196" s="2" t="s">
        <v>121</v>
      </c>
      <c r="E3196" s="2"/>
      <c r="F3196" s="35">
        <v>2</v>
      </c>
      <c r="G3196" s="35">
        <v>-7.8887870225133359</v>
      </c>
      <c r="H3196" s="35">
        <v>6.7769126317161446</v>
      </c>
      <c r="I3196" s="35">
        <v>0.25687474547047862</v>
      </c>
      <c r="J3196" s="35">
        <v>1.9615620741688291E-4</v>
      </c>
      <c r="K3196" s="35">
        <v>1.9321988765488594</v>
      </c>
      <c r="L3196" s="35">
        <v>2.8771717141492097</v>
      </c>
      <c r="M3196" s="58" t="s">
        <v>22</v>
      </c>
      <c r="N3196" s="7">
        <v>9.5</v>
      </c>
      <c r="O3196" s="7" t="s">
        <v>179</v>
      </c>
      <c r="P3196" s="7" t="s">
        <v>179</v>
      </c>
    </row>
    <row r="3197" spans="1:16" x14ac:dyDescent="0.25">
      <c r="A3197" s="2" t="s">
        <v>181</v>
      </c>
      <c r="B3197" s="2" t="s">
        <v>205</v>
      </c>
      <c r="C3197" s="6" t="s">
        <v>152</v>
      </c>
      <c r="D3197" s="2" t="s">
        <v>121</v>
      </c>
      <c r="E3197" s="2"/>
      <c r="F3197" s="35">
        <v>4.4982502942822453</v>
      </c>
      <c r="G3197" s="35">
        <v>-6.8722519756702445</v>
      </c>
      <c r="H3197" s="35">
        <v>2.160146087882556</v>
      </c>
      <c r="I3197" s="35">
        <v>0.25687474547047834</v>
      </c>
      <c r="J3197" s="35">
        <v>1.9615620741688291E-4</v>
      </c>
      <c r="K3197" s="35">
        <v>1.29046146808356</v>
      </c>
      <c r="L3197" s="35">
        <v>-8.2863330739783656</v>
      </c>
      <c r="M3197" s="58" t="s">
        <v>24</v>
      </c>
      <c r="N3197" s="7">
        <v>9.5</v>
      </c>
      <c r="O3197" s="7" t="s">
        <v>179</v>
      </c>
      <c r="P3197" s="7" t="s">
        <v>179</v>
      </c>
    </row>
    <row r="3198" spans="1:16" x14ac:dyDescent="0.25">
      <c r="A3198" s="2" t="s">
        <v>181</v>
      </c>
      <c r="B3198" s="2" t="s">
        <v>205</v>
      </c>
      <c r="C3198" s="6" t="s">
        <v>152</v>
      </c>
      <c r="D3198" s="2" t="s">
        <v>121</v>
      </c>
      <c r="E3198" s="2"/>
      <c r="F3198" s="35">
        <v>8.9965005885644906</v>
      </c>
      <c r="G3198" s="35">
        <v>-5.0419193288271549</v>
      </c>
      <c r="H3198" s="35">
        <v>-6.1526204559510358</v>
      </c>
      <c r="I3198" s="35">
        <v>0.25687474547047784</v>
      </c>
      <c r="J3198" s="35">
        <v>1.9615620741688291E-4</v>
      </c>
      <c r="K3198" s="35">
        <v>0.1349745686773052</v>
      </c>
      <c r="L3198" s="35">
        <v>0.69324142656080412</v>
      </c>
      <c r="M3198" s="58" t="s">
        <v>23</v>
      </c>
      <c r="N3198" s="7">
        <v>9.5</v>
      </c>
      <c r="O3198" s="7" t="s">
        <v>179</v>
      </c>
      <c r="P3198" s="7" t="s">
        <v>179</v>
      </c>
    </row>
    <row r="3199" spans="1:16" x14ac:dyDescent="0.25">
      <c r="A3199" s="2" t="s">
        <v>181</v>
      </c>
      <c r="B3199" s="2" t="s">
        <v>205</v>
      </c>
      <c r="C3199" s="6" t="s">
        <v>152</v>
      </c>
      <c r="D3199" s="2" t="s">
        <v>122</v>
      </c>
      <c r="E3199" s="2"/>
      <c r="F3199" s="35">
        <v>0</v>
      </c>
      <c r="G3199" s="35">
        <v>46.061206755114867</v>
      </c>
      <c r="H3199" s="35">
        <v>5.9872220711123489</v>
      </c>
      <c r="I3199" s="35">
        <v>4.3963018900057538</v>
      </c>
      <c r="J3199" s="35">
        <v>-1.5145860127956627E-4</v>
      </c>
      <c r="K3199" s="35">
        <v>7.0107601411262763</v>
      </c>
      <c r="L3199" s="35">
        <v>-12.406665940802496</v>
      </c>
      <c r="M3199" s="58" t="s">
        <v>22</v>
      </c>
      <c r="N3199" s="7">
        <v>9.5</v>
      </c>
      <c r="O3199" s="7" t="s">
        <v>179</v>
      </c>
      <c r="P3199" s="7" t="s">
        <v>179</v>
      </c>
    </row>
    <row r="3200" spans="1:16" x14ac:dyDescent="0.25">
      <c r="A3200" s="2" t="s">
        <v>181</v>
      </c>
      <c r="B3200" s="2" t="s">
        <v>205</v>
      </c>
      <c r="C3200" s="6" t="s">
        <v>152</v>
      </c>
      <c r="D3200" s="2" t="s">
        <v>122</v>
      </c>
      <c r="E3200" s="2"/>
      <c r="F3200" s="35">
        <v>2</v>
      </c>
      <c r="G3200" s="35">
        <v>46.875004355114861</v>
      </c>
      <c r="H3200" s="35">
        <v>-2.4127779288876514</v>
      </c>
      <c r="I3200" s="35">
        <v>4.3963018900057529</v>
      </c>
      <c r="J3200" s="35">
        <v>-1.5145860127956627E-4</v>
      </c>
      <c r="K3200" s="35">
        <v>-1.7818436388852301</v>
      </c>
      <c r="L3200" s="35">
        <v>-15.981110083027199</v>
      </c>
      <c r="M3200" s="58" t="s">
        <v>22</v>
      </c>
      <c r="N3200" s="7">
        <v>9.5</v>
      </c>
      <c r="O3200" s="7" t="s">
        <v>179</v>
      </c>
      <c r="P3200" s="7" t="s">
        <v>179</v>
      </c>
    </row>
    <row r="3201" spans="1:16" x14ac:dyDescent="0.25">
      <c r="A3201" s="2" t="s">
        <v>181</v>
      </c>
      <c r="B3201" s="2" t="s">
        <v>205</v>
      </c>
      <c r="C3201" s="6" t="s">
        <v>152</v>
      </c>
      <c r="D3201" s="2" t="s">
        <v>122</v>
      </c>
      <c r="E3201" s="2"/>
      <c r="F3201" s="35">
        <v>2</v>
      </c>
      <c r="G3201" s="35">
        <v>42.549731972452633</v>
      </c>
      <c r="H3201" s="35">
        <v>-2.4127646219258563</v>
      </c>
      <c r="I3201" s="35">
        <v>-0.23832965435236664</v>
      </c>
      <c r="J3201" s="35">
        <v>-1.8097336830432334E-4</v>
      </c>
      <c r="K3201" s="35">
        <v>-1.7818436388852315</v>
      </c>
      <c r="L3201" s="35">
        <v>-15.981141565445352</v>
      </c>
      <c r="M3201" s="58" t="s">
        <v>22</v>
      </c>
      <c r="N3201" s="7">
        <v>9.5</v>
      </c>
      <c r="O3201" s="7" t="s">
        <v>179</v>
      </c>
      <c r="P3201" s="7" t="s">
        <v>179</v>
      </c>
    </row>
    <row r="3202" spans="1:16" x14ac:dyDescent="0.25">
      <c r="A3202" s="2" t="s">
        <v>181</v>
      </c>
      <c r="B3202" s="2" t="s">
        <v>205</v>
      </c>
      <c r="C3202" s="6" t="s">
        <v>152</v>
      </c>
      <c r="D3202" s="2" t="s">
        <v>122</v>
      </c>
      <c r="E3202" s="2"/>
      <c r="F3202" s="35">
        <v>4.4982502942822453</v>
      </c>
      <c r="G3202" s="35">
        <v>43.566267019295722</v>
      </c>
      <c r="H3202" s="35">
        <v>-12.90541585791129</v>
      </c>
      <c r="I3202" s="35">
        <v>-0.23832965435236728</v>
      </c>
      <c r="J3202" s="35">
        <v>-1.8097336830432334E-4</v>
      </c>
      <c r="K3202" s="35">
        <v>-1.1864365097632454</v>
      </c>
      <c r="L3202" s="35">
        <v>3.1531828803654864</v>
      </c>
      <c r="M3202" s="58" t="s">
        <v>24</v>
      </c>
      <c r="N3202" s="7">
        <v>9.5</v>
      </c>
      <c r="O3202" s="7" t="s">
        <v>179</v>
      </c>
      <c r="P3202" s="7" t="s">
        <v>179</v>
      </c>
    </row>
    <row r="3203" spans="1:16" x14ac:dyDescent="0.25">
      <c r="A3203" s="2" t="s">
        <v>181</v>
      </c>
      <c r="B3203" s="2" t="s">
        <v>205</v>
      </c>
      <c r="C3203" s="6" t="s">
        <v>152</v>
      </c>
      <c r="D3203" s="2" t="s">
        <v>122</v>
      </c>
      <c r="E3203" s="2"/>
      <c r="F3203" s="35">
        <v>8.9965005885644906</v>
      </c>
      <c r="G3203" s="35">
        <v>45.396599666138812</v>
      </c>
      <c r="H3203" s="35">
        <v>-31.798067093896712</v>
      </c>
      <c r="I3203" s="35">
        <v>-0.23832965435236844</v>
      </c>
      <c r="J3203" s="35">
        <v>-1.8097336830432334E-4</v>
      </c>
      <c r="K3203" s="35">
        <v>-0.11437007193652098</v>
      </c>
      <c r="L3203" s="35">
        <v>103.69691055207133</v>
      </c>
      <c r="M3203" s="58" t="s">
        <v>23</v>
      </c>
      <c r="N3203" s="7">
        <v>9.5</v>
      </c>
      <c r="O3203" s="7" t="s">
        <v>179</v>
      </c>
      <c r="P3203" s="7" t="s">
        <v>179</v>
      </c>
    </row>
    <row r="3204" spans="1:16" x14ac:dyDescent="0.25">
      <c r="A3204" s="2" t="s">
        <v>181</v>
      </c>
      <c r="B3204" s="2" t="s">
        <v>205</v>
      </c>
      <c r="C3204" s="6" t="s">
        <v>152</v>
      </c>
      <c r="D3204" s="2" t="s">
        <v>123</v>
      </c>
      <c r="E3204" s="2"/>
      <c r="F3204" s="35">
        <v>0</v>
      </c>
      <c r="G3204" s="35">
        <v>3.5148170554961173</v>
      </c>
      <c r="H3204" s="35">
        <v>10.48987076023753</v>
      </c>
      <c r="I3204" s="35">
        <v>3.9476934202141432</v>
      </c>
      <c r="J3204" s="35">
        <v>-1.4857905744619768E-4</v>
      </c>
      <c r="K3204" s="35">
        <v>6.3217914762994631</v>
      </c>
      <c r="L3204" s="35">
        <v>19.664506352273147</v>
      </c>
      <c r="M3204" s="58" t="s">
        <v>22</v>
      </c>
      <c r="N3204" s="7">
        <v>9.5</v>
      </c>
      <c r="O3204" s="7" t="s">
        <v>179</v>
      </c>
      <c r="P3204" s="7" t="s">
        <v>179</v>
      </c>
    </row>
    <row r="3205" spans="1:16" x14ac:dyDescent="0.25">
      <c r="A3205" s="2" t="s">
        <v>181</v>
      </c>
      <c r="B3205" s="2" t="s">
        <v>205</v>
      </c>
      <c r="C3205" s="6" t="s">
        <v>152</v>
      </c>
      <c r="D3205" s="2" t="s">
        <v>123</v>
      </c>
      <c r="E3205" s="2"/>
      <c r="F3205" s="35">
        <v>2</v>
      </c>
      <c r="G3205" s="35">
        <v>4.328614655496108</v>
      </c>
      <c r="H3205" s="35">
        <v>6.7938707602375308</v>
      </c>
      <c r="I3205" s="35">
        <v>3.9476934202141432</v>
      </c>
      <c r="J3205" s="35">
        <v>-1.4857905744619768E-4</v>
      </c>
      <c r="K3205" s="35">
        <v>-1.5735953641288232</v>
      </c>
      <c r="L3205" s="35">
        <v>2.3807648317980799</v>
      </c>
      <c r="M3205" s="58" t="s">
        <v>22</v>
      </c>
      <c r="N3205" s="7">
        <v>9.5</v>
      </c>
      <c r="O3205" s="7" t="s">
        <v>179</v>
      </c>
      <c r="P3205" s="7" t="s">
        <v>179</v>
      </c>
    </row>
    <row r="3206" spans="1:16" x14ac:dyDescent="0.25">
      <c r="A3206" s="2" t="s">
        <v>181</v>
      </c>
      <c r="B3206" s="2" t="s">
        <v>205</v>
      </c>
      <c r="C3206" s="6" t="s">
        <v>152</v>
      </c>
      <c r="D3206" s="2" t="s">
        <v>123</v>
      </c>
      <c r="E3206" s="2"/>
      <c r="F3206" s="35">
        <v>2</v>
      </c>
      <c r="G3206" s="35">
        <v>0.44993586475567998</v>
      </c>
      <c r="H3206" s="35">
        <v>6.7938733657151431</v>
      </c>
      <c r="I3206" s="35">
        <v>-0.21057381105531378</v>
      </c>
      <c r="J3206" s="35">
        <v>-1.3720788063865307E-4</v>
      </c>
      <c r="K3206" s="35">
        <v>-1.5735953641288232</v>
      </c>
      <c r="L3206" s="35">
        <v>2.3807769610533187</v>
      </c>
      <c r="M3206" s="58" t="s">
        <v>22</v>
      </c>
      <c r="N3206" s="7">
        <v>9.5</v>
      </c>
      <c r="O3206" s="7" t="s">
        <v>179</v>
      </c>
      <c r="P3206" s="7" t="s">
        <v>179</v>
      </c>
    </row>
    <row r="3207" spans="1:16" x14ac:dyDescent="0.25">
      <c r="A3207" s="2" t="s">
        <v>181</v>
      </c>
      <c r="B3207" s="2" t="s">
        <v>205</v>
      </c>
      <c r="C3207" s="6" t="s">
        <v>152</v>
      </c>
      <c r="D3207" s="2" t="s">
        <v>123</v>
      </c>
      <c r="E3207" s="2"/>
      <c r="F3207" s="35">
        <v>4.4982502942822453</v>
      </c>
      <c r="G3207" s="35">
        <v>1.4664709115987713</v>
      </c>
      <c r="H3207" s="35">
        <v>2.1771068218815541</v>
      </c>
      <c r="I3207" s="35">
        <v>-0.21057381105531406</v>
      </c>
      <c r="J3207" s="35">
        <v>-1.3720788063865307E-4</v>
      </c>
      <c r="K3207" s="35">
        <v>-1.0475292786917516</v>
      </c>
      <c r="L3207" s="35">
        <v>-8.8250999857784969</v>
      </c>
      <c r="M3207" s="58" t="s">
        <v>24</v>
      </c>
      <c r="N3207" s="7">
        <v>9.5</v>
      </c>
      <c r="O3207" s="7" t="s">
        <v>179</v>
      </c>
      <c r="P3207" s="7" t="s">
        <v>179</v>
      </c>
    </row>
    <row r="3208" spans="1:16" x14ac:dyDescent="0.25">
      <c r="A3208" s="2" t="s">
        <v>181</v>
      </c>
      <c r="B3208" s="2" t="s">
        <v>205</v>
      </c>
      <c r="C3208" s="6" t="s">
        <v>152</v>
      </c>
      <c r="D3208" s="2" t="s">
        <v>123</v>
      </c>
      <c r="E3208" s="2"/>
      <c r="F3208" s="35">
        <v>8.9965005885644906</v>
      </c>
      <c r="G3208" s="35">
        <v>3.2968035584418605</v>
      </c>
      <c r="H3208" s="35">
        <v>-6.1356597219520363</v>
      </c>
      <c r="I3208" s="35">
        <v>-0.21057381105531456</v>
      </c>
      <c r="J3208" s="35">
        <v>-1.3720788063865307E-4</v>
      </c>
      <c r="K3208" s="35">
        <v>-0.10031557114405024</v>
      </c>
      <c r="L3208" s="35">
        <v>7.8180888058438883E-2</v>
      </c>
      <c r="M3208" s="58" t="s">
        <v>23</v>
      </c>
      <c r="N3208" s="7">
        <v>9.5</v>
      </c>
      <c r="O3208" s="7" t="s">
        <v>179</v>
      </c>
      <c r="P3208" s="7" t="s">
        <v>179</v>
      </c>
    </row>
    <row r="3209" spans="1:16" x14ac:dyDescent="0.25">
      <c r="A3209" s="2" t="s">
        <v>181</v>
      </c>
      <c r="B3209" s="2" t="s">
        <v>205</v>
      </c>
      <c r="C3209" s="6" t="s">
        <v>152</v>
      </c>
      <c r="D3209" s="2" t="s">
        <v>124</v>
      </c>
      <c r="E3209" s="2"/>
      <c r="F3209" s="35">
        <v>0</v>
      </c>
      <c r="G3209" s="35">
        <v>34.000353919249399</v>
      </c>
      <c r="H3209" s="35">
        <v>7.2554940669248849</v>
      </c>
      <c r="I3209" s="35">
        <v>0.97684705911498304</v>
      </c>
      <c r="J3209" s="35">
        <v>-2.8508648024445406E-5</v>
      </c>
      <c r="K3209" s="35">
        <v>1.5110354614214243</v>
      </c>
      <c r="L3209" s="35">
        <v>16.609975648949597</v>
      </c>
      <c r="M3209" s="58" t="s">
        <v>22</v>
      </c>
      <c r="N3209" s="7">
        <v>9.5</v>
      </c>
      <c r="O3209" s="7" t="s">
        <v>179</v>
      </c>
      <c r="P3209" s="7" t="s">
        <v>179</v>
      </c>
    </row>
    <row r="3210" spans="1:16" x14ac:dyDescent="0.25">
      <c r="A3210" s="2" t="s">
        <v>181</v>
      </c>
      <c r="B3210" s="2" t="s">
        <v>205</v>
      </c>
      <c r="C3210" s="6" t="s">
        <v>152</v>
      </c>
      <c r="D3210" s="2" t="s">
        <v>124</v>
      </c>
      <c r="E3210" s="2"/>
      <c r="F3210" s="35">
        <v>2</v>
      </c>
      <c r="G3210" s="35">
        <v>34.814151519249393</v>
      </c>
      <c r="H3210" s="35">
        <v>0.87149406692488252</v>
      </c>
      <c r="I3210" s="35">
        <v>0.97684705911498282</v>
      </c>
      <c r="J3210" s="35">
        <v>-2.8508648024445406E-5</v>
      </c>
      <c r="K3210" s="35">
        <v>-0.44265865680854122</v>
      </c>
      <c r="L3210" s="35">
        <v>8.4829875150998273</v>
      </c>
      <c r="M3210" s="58" t="s">
        <v>22</v>
      </c>
      <c r="N3210" s="7">
        <v>9.5</v>
      </c>
      <c r="O3210" s="7" t="s">
        <v>179</v>
      </c>
      <c r="P3210" s="7" t="s">
        <v>179</v>
      </c>
    </row>
    <row r="3211" spans="1:16" x14ac:dyDescent="0.25">
      <c r="A3211" s="2" t="s">
        <v>181</v>
      </c>
      <c r="B3211" s="2" t="s">
        <v>205</v>
      </c>
      <c r="C3211" s="6" t="s">
        <v>152</v>
      </c>
      <c r="D3211" s="2" t="s">
        <v>124</v>
      </c>
      <c r="E3211" s="2"/>
      <c r="F3211" s="35">
        <v>2</v>
      </c>
      <c r="G3211" s="35">
        <v>33.862017340850102</v>
      </c>
      <c r="H3211" s="35">
        <v>0.87150091789204076</v>
      </c>
      <c r="I3211" s="35">
        <v>-5.9768916276151954E-2</v>
      </c>
      <c r="J3211" s="35">
        <v>-7.7521164625867848E-5</v>
      </c>
      <c r="K3211" s="35">
        <v>-0.44265865680854222</v>
      </c>
      <c r="L3211" s="35">
        <v>8.4829352350821292</v>
      </c>
      <c r="M3211" s="58" t="s">
        <v>22</v>
      </c>
      <c r="N3211" s="7">
        <v>9.5</v>
      </c>
      <c r="O3211" s="7" t="s">
        <v>179</v>
      </c>
      <c r="P3211" s="7" t="s">
        <v>179</v>
      </c>
    </row>
    <row r="3212" spans="1:16" x14ac:dyDescent="0.25">
      <c r="A3212" s="2" t="s">
        <v>181</v>
      </c>
      <c r="B3212" s="2" t="s">
        <v>205</v>
      </c>
      <c r="C3212" s="6" t="s">
        <v>152</v>
      </c>
      <c r="D3212" s="2" t="s">
        <v>124</v>
      </c>
      <c r="E3212" s="2"/>
      <c r="F3212" s="35">
        <v>4.4982502942822453</v>
      </c>
      <c r="G3212" s="35">
        <v>34.87855238769319</v>
      </c>
      <c r="H3212" s="35">
        <v>-7.1029140214568889</v>
      </c>
      <c r="I3212" s="35">
        <v>-5.9768916276152433E-2</v>
      </c>
      <c r="J3212" s="35">
        <v>-7.7521164625867848E-5</v>
      </c>
      <c r="K3212" s="35">
        <v>-0.29334094413271417</v>
      </c>
      <c r="L3212" s="35">
        <v>16.26675004496969</v>
      </c>
      <c r="M3212" s="58" t="s">
        <v>24</v>
      </c>
      <c r="N3212" s="7">
        <v>9.5</v>
      </c>
      <c r="O3212" s="7" t="s">
        <v>179</v>
      </c>
      <c r="P3212" s="7" t="s">
        <v>179</v>
      </c>
    </row>
    <row r="3213" spans="1:16" x14ac:dyDescent="0.25">
      <c r="A3213" s="2" t="s">
        <v>181</v>
      </c>
      <c r="B3213" s="2" t="s">
        <v>205</v>
      </c>
      <c r="C3213" s="6" t="s">
        <v>152</v>
      </c>
      <c r="D3213" s="2" t="s">
        <v>124</v>
      </c>
      <c r="E3213" s="2"/>
      <c r="F3213" s="35">
        <v>8.9965005885644906</v>
      </c>
      <c r="G3213" s="35">
        <v>36.70888503453628</v>
      </c>
      <c r="H3213" s="35">
        <v>-21.461328960805819</v>
      </c>
      <c r="I3213" s="35">
        <v>-5.9768916276153314E-2</v>
      </c>
      <c r="J3213" s="35">
        <v>-7.7521164625867848E-5</v>
      </c>
      <c r="K3213" s="35">
        <v>-2.4485398904578643E-2</v>
      </c>
      <c r="L3213" s="35">
        <v>80.511307245426067</v>
      </c>
      <c r="M3213" s="58" t="s">
        <v>23</v>
      </c>
      <c r="N3213" s="7">
        <v>9.5</v>
      </c>
      <c r="O3213" s="7" t="s">
        <v>179</v>
      </c>
      <c r="P3213" s="7" t="s">
        <v>179</v>
      </c>
    </row>
    <row r="3214" spans="1:16" x14ac:dyDescent="0.25">
      <c r="A3214" s="2" t="s">
        <v>181</v>
      </c>
      <c r="B3214" s="2" t="s">
        <v>205</v>
      </c>
      <c r="C3214" s="6" t="s">
        <v>152</v>
      </c>
      <c r="D3214" s="2" t="s">
        <v>125</v>
      </c>
      <c r="E3214" s="2"/>
      <c r="F3214" s="35">
        <v>0</v>
      </c>
      <c r="G3214" s="35">
        <v>-19.601544655497541</v>
      </c>
      <c r="H3214" s="35">
        <v>23.509828372909105</v>
      </c>
      <c r="I3214" s="35">
        <v>0.69939103390553037</v>
      </c>
      <c r="J3214" s="35">
        <v>2.7014889783246893E-6</v>
      </c>
      <c r="K3214" s="35">
        <v>1.0906573617287616</v>
      </c>
      <c r="L3214" s="35">
        <v>113.48712830495536</v>
      </c>
      <c r="M3214" s="58" t="s">
        <v>22</v>
      </c>
      <c r="N3214" s="7">
        <v>9.5</v>
      </c>
      <c r="O3214" s="7" t="s">
        <v>179</v>
      </c>
      <c r="P3214" s="7" t="s">
        <v>179</v>
      </c>
    </row>
    <row r="3215" spans="1:16" x14ac:dyDescent="0.25">
      <c r="A3215" s="2" t="s">
        <v>181</v>
      </c>
      <c r="B3215" s="2" t="s">
        <v>205</v>
      </c>
      <c r="C3215" s="6" t="s">
        <v>152</v>
      </c>
      <c r="D3215" s="2" t="s">
        <v>125</v>
      </c>
      <c r="E3215" s="2"/>
      <c r="F3215" s="35">
        <v>2</v>
      </c>
      <c r="G3215" s="35">
        <v>-18.787747055497551</v>
      </c>
      <c r="H3215" s="35">
        <v>21.829828372909105</v>
      </c>
      <c r="I3215" s="35">
        <v>0.69939103390553026</v>
      </c>
      <c r="J3215" s="35">
        <v>2.7014889783246893E-6</v>
      </c>
      <c r="K3215" s="35">
        <v>-0.30812470608229892</v>
      </c>
      <c r="L3215" s="35">
        <v>68.147471559137159</v>
      </c>
      <c r="M3215" s="58" t="s">
        <v>22</v>
      </c>
      <c r="N3215" s="7">
        <v>9.5</v>
      </c>
      <c r="O3215" s="7" t="s">
        <v>179</v>
      </c>
      <c r="P3215" s="7" t="s">
        <v>179</v>
      </c>
    </row>
    <row r="3216" spans="1:16" x14ac:dyDescent="0.25">
      <c r="A3216" s="2" t="s">
        <v>181</v>
      </c>
      <c r="B3216" s="2" t="s">
        <v>205</v>
      </c>
      <c r="C3216" s="6" t="s">
        <v>152</v>
      </c>
      <c r="D3216" s="2" t="s">
        <v>125</v>
      </c>
      <c r="E3216" s="2"/>
      <c r="F3216" s="35">
        <v>2</v>
      </c>
      <c r="G3216" s="35">
        <v>-19.462952960395015</v>
      </c>
      <c r="H3216" s="35">
        <v>21.829817506906398</v>
      </c>
      <c r="I3216" s="35">
        <v>-4.1836934381722653E-2</v>
      </c>
      <c r="J3216" s="35">
        <v>-2.3870154726253674E-5</v>
      </c>
      <c r="K3216" s="35">
        <v>-0.30812470608229892</v>
      </c>
      <c r="L3216" s="35">
        <v>68.14744321605049</v>
      </c>
      <c r="M3216" s="58" t="s">
        <v>22</v>
      </c>
      <c r="N3216" s="7">
        <v>9.5</v>
      </c>
      <c r="O3216" s="7" t="s">
        <v>179</v>
      </c>
      <c r="P3216" s="7" t="s">
        <v>179</v>
      </c>
    </row>
    <row r="3217" spans="1:16" x14ac:dyDescent="0.25">
      <c r="A3217" s="2" t="s">
        <v>181</v>
      </c>
      <c r="B3217" s="2" t="s">
        <v>205</v>
      </c>
      <c r="C3217" s="6" t="s">
        <v>152</v>
      </c>
      <c r="D3217" s="2" t="s">
        <v>125</v>
      </c>
      <c r="E3217" s="2"/>
      <c r="F3217" s="35">
        <v>4.4982502942822453</v>
      </c>
      <c r="G3217" s="35">
        <v>-18.446417913551922</v>
      </c>
      <c r="H3217" s="35">
        <v>19.731287259709312</v>
      </c>
      <c r="I3217" s="35">
        <v>-4.1836934381722785E-2</v>
      </c>
      <c r="J3217" s="35">
        <v>-2.3870154726253674E-5</v>
      </c>
      <c r="K3217" s="35">
        <v>-0.20360557245129313</v>
      </c>
      <c r="L3217" s="35">
        <v>16.232422109104032</v>
      </c>
      <c r="M3217" s="58" t="s">
        <v>24</v>
      </c>
      <c r="N3217" s="7">
        <v>9.5</v>
      </c>
      <c r="O3217" s="7" t="s">
        <v>179</v>
      </c>
      <c r="P3217" s="7" t="s">
        <v>179</v>
      </c>
    </row>
    <row r="3218" spans="1:16" x14ac:dyDescent="0.25">
      <c r="A3218" s="2" t="s">
        <v>181</v>
      </c>
      <c r="B3218" s="2" t="s">
        <v>205</v>
      </c>
      <c r="C3218" s="6" t="s">
        <v>152</v>
      </c>
      <c r="D3218" s="2" t="s">
        <v>125</v>
      </c>
      <c r="E3218" s="2"/>
      <c r="F3218" s="35">
        <v>8.9965005885644906</v>
      </c>
      <c r="G3218" s="35">
        <v>-16.616085266708833</v>
      </c>
      <c r="H3218" s="35">
        <v>15.952757012512226</v>
      </c>
      <c r="I3218" s="35">
        <v>-4.1836934381723014E-2</v>
      </c>
      <c r="J3218" s="35">
        <v>-2.3870154726253674E-5</v>
      </c>
      <c r="K3218" s="35">
        <v>-1.5412570056841155E-2</v>
      </c>
      <c r="L3218" s="35">
        <v>-64.025459215246556</v>
      </c>
      <c r="M3218" s="58" t="s">
        <v>23</v>
      </c>
      <c r="N3218" s="7">
        <v>9.5</v>
      </c>
      <c r="O3218" s="7" t="s">
        <v>179</v>
      </c>
      <c r="P3218" s="7" t="s">
        <v>179</v>
      </c>
    </row>
    <row r="3219" spans="1:16" x14ac:dyDescent="0.25">
      <c r="A3219" s="2" t="s">
        <v>181</v>
      </c>
      <c r="B3219" s="2" t="s">
        <v>205</v>
      </c>
      <c r="C3219" s="6" t="s">
        <v>152</v>
      </c>
      <c r="D3219" s="2" t="s">
        <v>126</v>
      </c>
      <c r="E3219" s="2"/>
      <c r="F3219" s="35">
        <v>0</v>
      </c>
      <c r="G3219" s="35">
        <v>51.233931910252423</v>
      </c>
      <c r="H3219" s="35">
        <v>-40.890902116050626</v>
      </c>
      <c r="I3219" s="35">
        <v>1.1885446077838224</v>
      </c>
      <c r="J3219" s="35">
        <v>-2.0494996918804216E-5</v>
      </c>
      <c r="K3219" s="35">
        <v>1.8361657031468304</v>
      </c>
      <c r="L3219" s="35">
        <v>-122.89706092513207</v>
      </c>
      <c r="M3219" s="58" t="s">
        <v>22</v>
      </c>
      <c r="N3219" s="7">
        <v>9.5</v>
      </c>
      <c r="O3219" s="7" t="s">
        <v>179</v>
      </c>
      <c r="P3219" s="7" t="s">
        <v>179</v>
      </c>
    </row>
    <row r="3220" spans="1:16" x14ac:dyDescent="0.25">
      <c r="A3220" s="2" t="s">
        <v>181</v>
      </c>
      <c r="B3220" s="2" t="s">
        <v>205</v>
      </c>
      <c r="C3220" s="6" t="s">
        <v>152</v>
      </c>
      <c r="D3220" s="2" t="s">
        <v>126</v>
      </c>
      <c r="E3220" s="2"/>
      <c r="F3220" s="35">
        <v>2</v>
      </c>
      <c r="G3220" s="35">
        <v>52.04772951025241</v>
      </c>
      <c r="H3220" s="35">
        <v>-34.842902116050624</v>
      </c>
      <c r="I3220" s="35">
        <v>1.1885446077838229</v>
      </c>
      <c r="J3220" s="35">
        <v>-2.0494996918804216E-5</v>
      </c>
      <c r="K3220" s="35">
        <v>-0.54092351242081449</v>
      </c>
      <c r="L3220" s="35">
        <v>-47.16325669303081</v>
      </c>
      <c r="M3220" s="58" t="s">
        <v>22</v>
      </c>
      <c r="N3220" s="7">
        <v>9.5</v>
      </c>
      <c r="O3220" s="7" t="s">
        <v>179</v>
      </c>
      <c r="P3220" s="7" t="s">
        <v>179</v>
      </c>
    </row>
    <row r="3221" spans="1:16" x14ac:dyDescent="0.25">
      <c r="A3221" s="2" t="s">
        <v>181</v>
      </c>
      <c r="B3221" s="2" t="s">
        <v>205</v>
      </c>
      <c r="C3221" s="6" t="s">
        <v>152</v>
      </c>
      <c r="D3221" s="2" t="s">
        <v>126</v>
      </c>
      <c r="E3221" s="2"/>
      <c r="F3221" s="35">
        <v>2</v>
      </c>
      <c r="G3221" s="35">
        <v>50.884838581718704</v>
      </c>
      <c r="H3221" s="35">
        <v>-34.842888029144632</v>
      </c>
      <c r="I3221" s="35">
        <v>-7.2877623153802626E-2</v>
      </c>
      <c r="J3221" s="35">
        <v>-8.4784822869036426E-5</v>
      </c>
      <c r="K3221" s="35">
        <v>-0.54092351242081527</v>
      </c>
      <c r="L3221" s="35">
        <v>-47.163325268845227</v>
      </c>
      <c r="M3221" s="58" t="s">
        <v>22</v>
      </c>
      <c r="N3221" s="7">
        <v>9.5</v>
      </c>
      <c r="O3221" s="7" t="s">
        <v>179</v>
      </c>
      <c r="P3221" s="7" t="s">
        <v>179</v>
      </c>
    </row>
    <row r="3222" spans="1:16" x14ac:dyDescent="0.25">
      <c r="A3222" s="2" t="s">
        <v>181</v>
      </c>
      <c r="B3222" s="2" t="s">
        <v>205</v>
      </c>
      <c r="C3222" s="6" t="s">
        <v>152</v>
      </c>
      <c r="D3222" s="2" t="s">
        <v>126</v>
      </c>
      <c r="E3222" s="2"/>
      <c r="F3222" s="35">
        <v>4.4982502942822453</v>
      </c>
      <c r="G3222" s="35">
        <v>51.901373628561799</v>
      </c>
      <c r="H3222" s="35">
        <v>-27.28817913923513</v>
      </c>
      <c r="I3222" s="35">
        <v>-7.2877623153802182E-2</v>
      </c>
      <c r="J3222" s="35">
        <v>-8.4784822869036426E-5</v>
      </c>
      <c r="K3222" s="35">
        <v>-0.35885696893023789</v>
      </c>
      <c r="L3222" s="35">
        <v>30.446153149892098</v>
      </c>
      <c r="M3222" s="58" t="s">
        <v>24</v>
      </c>
      <c r="N3222" s="7">
        <v>9.5</v>
      </c>
      <c r="O3222" s="7" t="s">
        <v>179</v>
      </c>
      <c r="P3222" s="7" t="s">
        <v>179</v>
      </c>
    </row>
    <row r="3223" spans="1:16" x14ac:dyDescent="0.25">
      <c r="A3223" s="2" t="s">
        <v>181</v>
      </c>
      <c r="B3223" s="2" t="s">
        <v>205</v>
      </c>
      <c r="C3223" s="6" t="s">
        <v>152</v>
      </c>
      <c r="D3223" s="2" t="s">
        <v>126</v>
      </c>
      <c r="E3223" s="2"/>
      <c r="F3223" s="35">
        <v>8.9965005885644906</v>
      </c>
      <c r="G3223" s="35">
        <v>53.731706275404889</v>
      </c>
      <c r="H3223" s="35">
        <v>-13.685470249325617</v>
      </c>
      <c r="I3223" s="35">
        <v>-7.2877623153801335E-2</v>
      </c>
      <c r="J3223" s="35">
        <v>-8.4784822869036426E-5</v>
      </c>
      <c r="K3223" s="35">
        <v>-3.1035179132058669E-2</v>
      </c>
      <c r="L3223" s="35">
        <v>122.60101835984752</v>
      </c>
      <c r="M3223" s="58" t="s">
        <v>23</v>
      </c>
      <c r="N3223" s="7">
        <v>9.5</v>
      </c>
      <c r="O3223" s="7" t="s">
        <v>179</v>
      </c>
      <c r="P3223" s="7" t="s">
        <v>179</v>
      </c>
    </row>
    <row r="3224" spans="1:16" x14ac:dyDescent="0.25">
      <c r="A3224" s="2" t="s">
        <v>181</v>
      </c>
      <c r="B3224" s="2" t="s">
        <v>205</v>
      </c>
      <c r="C3224" s="6" t="s">
        <v>152</v>
      </c>
      <c r="D3224" s="2" t="s">
        <v>127</v>
      </c>
      <c r="E3224" s="2"/>
      <c r="F3224" s="35">
        <v>0</v>
      </c>
      <c r="G3224" s="35">
        <v>-67.234708970956049</v>
      </c>
      <c r="H3224" s="35">
        <v>-15.243057879168246</v>
      </c>
      <c r="I3224" s="35">
        <v>0.64857380783835128</v>
      </c>
      <c r="J3224" s="35">
        <v>-8.7641094294317224E-5</v>
      </c>
      <c r="K3224" s="35">
        <v>1.0196935873478938</v>
      </c>
      <c r="L3224" s="35">
        <v>-46.811575584629779</v>
      </c>
      <c r="M3224" s="58" t="s">
        <v>22</v>
      </c>
      <c r="N3224" s="7">
        <v>9.5</v>
      </c>
      <c r="O3224" s="7" t="s">
        <v>179</v>
      </c>
      <c r="P3224" s="7" t="s">
        <v>179</v>
      </c>
    </row>
    <row r="3225" spans="1:16" x14ac:dyDescent="0.25">
      <c r="A3225" s="2" t="s">
        <v>181</v>
      </c>
      <c r="B3225" s="2" t="s">
        <v>205</v>
      </c>
      <c r="C3225" s="6" t="s">
        <v>152</v>
      </c>
      <c r="D3225" s="2" t="s">
        <v>127</v>
      </c>
      <c r="E3225" s="2"/>
      <c r="F3225" s="35">
        <v>2</v>
      </c>
      <c r="G3225" s="35">
        <v>-66.420911370956063</v>
      </c>
      <c r="H3225" s="35">
        <v>-4.491057879168241</v>
      </c>
      <c r="I3225" s="35">
        <v>0.64857380783835195</v>
      </c>
      <c r="J3225" s="35">
        <v>-8.7641094294317224E-5</v>
      </c>
      <c r="K3225" s="35">
        <v>-0.27745402832880939</v>
      </c>
      <c r="L3225" s="35">
        <v>-27.0774598262933</v>
      </c>
      <c r="M3225" s="58" t="s">
        <v>22</v>
      </c>
      <c r="N3225" s="7">
        <v>9.5</v>
      </c>
      <c r="O3225" s="7" t="s">
        <v>179</v>
      </c>
      <c r="P3225" s="7" t="s">
        <v>179</v>
      </c>
    </row>
    <row r="3226" spans="1:16" x14ac:dyDescent="0.25">
      <c r="A3226" s="2" t="s">
        <v>181</v>
      </c>
      <c r="B3226" s="2" t="s">
        <v>205</v>
      </c>
      <c r="C3226" s="6" t="s">
        <v>152</v>
      </c>
      <c r="D3226" s="2" t="s">
        <v>127</v>
      </c>
      <c r="E3226" s="2"/>
      <c r="F3226" s="35">
        <v>2</v>
      </c>
      <c r="G3226" s="35">
        <v>-67.044681517496898</v>
      </c>
      <c r="H3226" s="35">
        <v>-4.4910668755401195</v>
      </c>
      <c r="I3226" s="35">
        <v>-3.7790859720920396E-2</v>
      </c>
      <c r="J3226" s="35">
        <v>3.3281618979527989E-6</v>
      </c>
      <c r="K3226" s="35">
        <v>-0.27745402832880961</v>
      </c>
      <c r="L3226" s="35">
        <v>-27.077362792420001</v>
      </c>
      <c r="M3226" s="58" t="s">
        <v>22</v>
      </c>
      <c r="N3226" s="7">
        <v>9.5</v>
      </c>
      <c r="O3226" s="7" t="s">
        <v>179</v>
      </c>
      <c r="P3226" s="7" t="s">
        <v>179</v>
      </c>
    </row>
    <row r="3227" spans="1:16" x14ac:dyDescent="0.25">
      <c r="A3227" s="2" t="s">
        <v>181</v>
      </c>
      <c r="B3227" s="2" t="s">
        <v>205</v>
      </c>
      <c r="C3227" s="6" t="s">
        <v>152</v>
      </c>
      <c r="D3227" s="2" t="s">
        <v>127</v>
      </c>
      <c r="E3227" s="2"/>
      <c r="F3227" s="35">
        <v>4.4982502942822453</v>
      </c>
      <c r="G3227" s="35">
        <v>-66.028146470653795</v>
      </c>
      <c r="H3227" s="35">
        <v>8.939526706521228</v>
      </c>
      <c r="I3227" s="35">
        <v>-3.779085972091957E-2</v>
      </c>
      <c r="J3227" s="35">
        <v>3.3281618979527989E-6</v>
      </c>
      <c r="K3227" s="35">
        <v>-0.18304300190984227</v>
      </c>
      <c r="L3227" s="35">
        <v>-32.634045833345645</v>
      </c>
      <c r="M3227" s="58" t="s">
        <v>24</v>
      </c>
      <c r="N3227" s="7">
        <v>9.5</v>
      </c>
      <c r="O3227" s="7" t="s">
        <v>179</v>
      </c>
      <c r="P3227" s="7" t="s">
        <v>179</v>
      </c>
    </row>
    <row r="3228" spans="1:16" x14ac:dyDescent="0.25">
      <c r="A3228" s="2" t="s">
        <v>181</v>
      </c>
      <c r="B3228" s="2" t="s">
        <v>205</v>
      </c>
      <c r="C3228" s="6" t="s">
        <v>152</v>
      </c>
      <c r="D3228" s="2" t="s">
        <v>127</v>
      </c>
      <c r="E3228" s="2"/>
      <c r="F3228" s="35">
        <v>8.9965005885644906</v>
      </c>
      <c r="G3228" s="35">
        <v>-64.197813823810705</v>
      </c>
      <c r="H3228" s="35">
        <v>33.122120288582579</v>
      </c>
      <c r="I3228" s="35">
        <v>-3.7790859720918092E-2</v>
      </c>
      <c r="J3228" s="35">
        <v>3.3281618979527989E-6</v>
      </c>
      <c r="K3228" s="35">
        <v>-1.3050256049040105E-2</v>
      </c>
      <c r="L3228" s="35">
        <v>-127.23595382020643</v>
      </c>
      <c r="M3228" s="58" t="s">
        <v>23</v>
      </c>
      <c r="N3228" s="7">
        <v>9.5</v>
      </c>
      <c r="O3228" s="7" t="s">
        <v>179</v>
      </c>
      <c r="P3228" s="7" t="s">
        <v>179</v>
      </c>
    </row>
    <row r="3229" spans="1:16" x14ac:dyDescent="0.25">
      <c r="A3229" s="2" t="s">
        <v>181</v>
      </c>
      <c r="B3229" s="2" t="s">
        <v>206</v>
      </c>
      <c r="C3229" s="6" t="s">
        <v>153</v>
      </c>
      <c r="D3229" s="2" t="s">
        <v>105</v>
      </c>
      <c r="E3229" s="2"/>
      <c r="F3229" s="35">
        <v>0</v>
      </c>
      <c r="G3229" s="35">
        <v>-48.447210364016549</v>
      </c>
      <c r="H3229" s="35">
        <v>-18.738411501325171</v>
      </c>
      <c r="I3229" s="35">
        <v>1.9166095011327074E-4</v>
      </c>
      <c r="J3229" s="35">
        <v>-6.7557347393791159E-7</v>
      </c>
      <c r="K3229" s="35">
        <v>1.8187601614732187E-3</v>
      </c>
      <c r="L3229" s="35">
        <v>-60.01769136137856</v>
      </c>
      <c r="M3229" s="58" t="s">
        <v>22</v>
      </c>
      <c r="N3229" s="7">
        <v>9.5</v>
      </c>
      <c r="O3229" s="7" t="s">
        <v>179</v>
      </c>
      <c r="P3229" s="7" t="s">
        <v>179</v>
      </c>
    </row>
    <row r="3230" spans="1:16" x14ac:dyDescent="0.25">
      <c r="A3230" s="2" t="s">
        <v>181</v>
      </c>
      <c r="B3230" s="2" t="s">
        <v>206</v>
      </c>
      <c r="C3230" s="6" t="s">
        <v>153</v>
      </c>
      <c r="D3230" s="2" t="s">
        <v>105</v>
      </c>
      <c r="E3230" s="2"/>
      <c r="F3230" s="35">
        <v>4.4982502942822435</v>
      </c>
      <c r="G3230" s="35">
        <v>-46.616877717173459</v>
      </c>
      <c r="H3230" s="35">
        <v>-18.738411501325171</v>
      </c>
      <c r="I3230" s="35">
        <v>1.9166095011327074E-4</v>
      </c>
      <c r="J3230" s="35">
        <v>-6.7557347393791159E-7</v>
      </c>
      <c r="K3230" s="35">
        <v>9.5662123622378397E-4</v>
      </c>
      <c r="L3230" s="35">
        <v>24.272373688839167</v>
      </c>
      <c r="M3230" s="58" t="s">
        <v>24</v>
      </c>
      <c r="N3230" s="7">
        <v>9.5</v>
      </c>
      <c r="O3230" s="7" t="s">
        <v>179</v>
      </c>
      <c r="P3230" s="7" t="s">
        <v>179</v>
      </c>
    </row>
    <row r="3231" spans="1:16" x14ac:dyDescent="0.25">
      <c r="A3231" s="2" t="s">
        <v>181</v>
      </c>
      <c r="B3231" s="2" t="s">
        <v>206</v>
      </c>
      <c r="C3231" s="6" t="s">
        <v>153</v>
      </c>
      <c r="D3231" s="2" t="s">
        <v>105</v>
      </c>
      <c r="E3231" s="2"/>
      <c r="F3231" s="35">
        <v>8.9965005885644871</v>
      </c>
      <c r="G3231" s="35">
        <v>-44.786545070330362</v>
      </c>
      <c r="H3231" s="35">
        <v>-18.738411501325171</v>
      </c>
      <c r="I3231" s="35">
        <v>1.9166095011327074E-4</v>
      </c>
      <c r="J3231" s="35">
        <v>-6.7557347393791159E-7</v>
      </c>
      <c r="K3231" s="35">
        <v>9.4482310974349334E-5</v>
      </c>
      <c r="L3231" s="35">
        <v>108.5624387390569</v>
      </c>
      <c r="M3231" s="58" t="s">
        <v>23</v>
      </c>
      <c r="N3231" s="7">
        <v>9.5</v>
      </c>
      <c r="O3231" s="7" t="s">
        <v>179</v>
      </c>
      <c r="P3231" s="7" t="s">
        <v>179</v>
      </c>
    </row>
    <row r="3232" spans="1:16" x14ac:dyDescent="0.25">
      <c r="A3232" s="2" t="s">
        <v>181</v>
      </c>
      <c r="B3232" s="2" t="s">
        <v>206</v>
      </c>
      <c r="C3232" s="6" t="s">
        <v>153</v>
      </c>
      <c r="D3232" s="2" t="s">
        <v>15</v>
      </c>
      <c r="E3232" s="2"/>
      <c r="F3232" s="35">
        <v>0</v>
      </c>
      <c r="G3232" s="35">
        <v>63.220968285406578</v>
      </c>
      <c r="H3232" s="35">
        <v>5.0612801698410967</v>
      </c>
      <c r="I3232" s="35">
        <v>-5.0233622437646126E-2</v>
      </c>
      <c r="J3232" s="35">
        <v>5.4717467667771602E-4</v>
      </c>
      <c r="K3232" s="35">
        <v>-0.47700867138237729</v>
      </c>
      <c r="L3232" s="35">
        <v>47.247308844347131</v>
      </c>
      <c r="M3232" s="58" t="s">
        <v>22</v>
      </c>
      <c r="N3232" s="7">
        <v>9.5</v>
      </c>
      <c r="O3232" s="7" t="s">
        <v>179</v>
      </c>
      <c r="P3232" s="7" t="s">
        <v>179</v>
      </c>
    </row>
    <row r="3233" spans="1:16" x14ac:dyDescent="0.25">
      <c r="A3233" s="2" t="s">
        <v>181</v>
      </c>
      <c r="B3233" s="2" t="s">
        <v>206</v>
      </c>
      <c r="C3233" s="6" t="s">
        <v>153</v>
      </c>
      <c r="D3233" s="2" t="s">
        <v>15</v>
      </c>
      <c r="E3233" s="2"/>
      <c r="F3233" s="35">
        <v>4.4982502942822435</v>
      </c>
      <c r="G3233" s="35">
        <v>65.051300932249674</v>
      </c>
      <c r="H3233" s="35">
        <v>23.953931405826523</v>
      </c>
      <c r="I3233" s="35">
        <v>-5.0233622437644967E-2</v>
      </c>
      <c r="J3233" s="35">
        <v>5.4717467667771602E-4</v>
      </c>
      <c r="K3233" s="35">
        <v>-0.25104526446937508</v>
      </c>
      <c r="L3233" s="35">
        <v>-18.011533160107088</v>
      </c>
      <c r="M3233" s="58" t="s">
        <v>24</v>
      </c>
      <c r="N3233" s="7">
        <v>9.5</v>
      </c>
      <c r="O3233" s="7" t="s">
        <v>179</v>
      </c>
      <c r="P3233" s="7" t="s">
        <v>179</v>
      </c>
    </row>
    <row r="3234" spans="1:16" x14ac:dyDescent="0.25">
      <c r="A3234" s="2" t="s">
        <v>181</v>
      </c>
      <c r="B3234" s="2" t="s">
        <v>206</v>
      </c>
      <c r="C3234" s="6" t="s">
        <v>153</v>
      </c>
      <c r="D3234" s="2" t="s">
        <v>15</v>
      </c>
      <c r="E3234" s="2"/>
      <c r="F3234" s="35">
        <v>8.9965005885644871</v>
      </c>
      <c r="G3234" s="35">
        <v>66.88163357909275</v>
      </c>
      <c r="H3234" s="35">
        <v>42.846582641811949</v>
      </c>
      <c r="I3234" s="35">
        <v>-5.0233622437643809E-2</v>
      </c>
      <c r="J3234" s="35">
        <v>5.4717467667771602E-4</v>
      </c>
      <c r="K3234" s="35">
        <v>-2.508185755637813E-2</v>
      </c>
      <c r="L3234" s="35">
        <v>-168.25424914660456</v>
      </c>
      <c r="M3234" s="58" t="s">
        <v>23</v>
      </c>
      <c r="N3234" s="7">
        <v>9.5</v>
      </c>
      <c r="O3234" s="7" t="s">
        <v>179</v>
      </c>
      <c r="P3234" s="7" t="s">
        <v>179</v>
      </c>
    </row>
    <row r="3235" spans="1:16" x14ac:dyDescent="0.25">
      <c r="A3235" s="2" t="s">
        <v>181</v>
      </c>
      <c r="B3235" s="2" t="s">
        <v>206</v>
      </c>
      <c r="C3235" s="6" t="s">
        <v>153</v>
      </c>
      <c r="D3235" s="2" t="s">
        <v>16</v>
      </c>
      <c r="E3235" s="2"/>
      <c r="F3235" s="35">
        <v>0</v>
      </c>
      <c r="G3235" s="35">
        <v>21.113171875481903</v>
      </c>
      <c r="H3235" s="35">
        <v>0.55615220571556068</v>
      </c>
      <c r="I3235" s="35">
        <v>-4.9929362606166872E-2</v>
      </c>
      <c r="J3235" s="35">
        <v>5.4388658273449612E-4</v>
      </c>
      <c r="K3235" s="35">
        <v>-0.47412075402448961</v>
      </c>
      <c r="L3235" s="35">
        <v>15.200168751201469</v>
      </c>
      <c r="M3235" s="58" t="s">
        <v>22</v>
      </c>
      <c r="N3235" s="7">
        <v>9.5</v>
      </c>
      <c r="O3235" s="7" t="s">
        <v>179</v>
      </c>
      <c r="P3235" s="7" t="s">
        <v>179</v>
      </c>
    </row>
    <row r="3236" spans="1:16" x14ac:dyDescent="0.25">
      <c r="A3236" s="2" t="s">
        <v>181</v>
      </c>
      <c r="B3236" s="2" t="s">
        <v>206</v>
      </c>
      <c r="C3236" s="6" t="s">
        <v>153</v>
      </c>
      <c r="D3236" s="2" t="s">
        <v>16</v>
      </c>
      <c r="E3236" s="2"/>
      <c r="F3236" s="35">
        <v>4.4982502942822435</v>
      </c>
      <c r="G3236" s="35">
        <v>22.943504522324993</v>
      </c>
      <c r="H3236" s="35">
        <v>8.8689187495491471</v>
      </c>
      <c r="I3236" s="35">
        <v>-4.9929362606166365E-2</v>
      </c>
      <c r="J3236" s="35">
        <v>5.4388658273449612E-4</v>
      </c>
      <c r="K3236" s="35">
        <v>-0.24952598398797576</v>
      </c>
      <c r="L3236" s="35">
        <v>-5.9979953478737889</v>
      </c>
      <c r="M3236" s="58" t="s">
        <v>24</v>
      </c>
      <c r="N3236" s="7">
        <v>9.5</v>
      </c>
      <c r="O3236" s="7" t="s">
        <v>179</v>
      </c>
      <c r="P3236" s="7" t="s">
        <v>179</v>
      </c>
    </row>
    <row r="3237" spans="1:16" x14ac:dyDescent="0.25">
      <c r="A3237" s="2" t="s">
        <v>181</v>
      </c>
      <c r="B3237" s="2" t="s">
        <v>206</v>
      </c>
      <c r="C3237" s="6" t="s">
        <v>153</v>
      </c>
      <c r="D3237" s="2" t="s">
        <v>16</v>
      </c>
      <c r="E3237" s="2"/>
      <c r="F3237" s="35">
        <v>8.9965005885644871</v>
      </c>
      <c r="G3237" s="35">
        <v>24.773837169168086</v>
      </c>
      <c r="H3237" s="35">
        <v>17.181685293382738</v>
      </c>
      <c r="I3237" s="35">
        <v>-4.9929362606165859E-2</v>
      </c>
      <c r="J3237" s="35">
        <v>5.4388658273449612E-4</v>
      </c>
      <c r="K3237" s="35">
        <v>-2.4931213951464241E-2</v>
      </c>
      <c r="L3237" s="35">
        <v>-64.589063999048065</v>
      </c>
      <c r="M3237" s="58" t="s">
        <v>23</v>
      </c>
      <c r="N3237" s="7">
        <v>9.5</v>
      </c>
      <c r="O3237" s="7" t="s">
        <v>179</v>
      </c>
      <c r="P3237" s="7" t="s">
        <v>179</v>
      </c>
    </row>
    <row r="3238" spans="1:16" x14ac:dyDescent="0.25">
      <c r="A3238" s="2" t="s">
        <v>181</v>
      </c>
      <c r="B3238" s="2" t="s">
        <v>206</v>
      </c>
      <c r="C3238" s="6" t="s">
        <v>153</v>
      </c>
      <c r="D3238" s="2" t="s">
        <v>106</v>
      </c>
      <c r="E3238" s="2"/>
      <c r="F3238" s="35">
        <v>0</v>
      </c>
      <c r="G3238" s="35">
        <v>63.221233650707305</v>
      </c>
      <c r="H3238" s="35">
        <v>5.0593687081452368</v>
      </c>
      <c r="I3238" s="35">
        <v>5.0050044032683191E-2</v>
      </c>
      <c r="J3238" s="35">
        <v>-5.4828037549364535E-4</v>
      </c>
      <c r="K3238" s="35">
        <v>0.47526802212334462</v>
      </c>
      <c r="L3238" s="35">
        <v>47.241614281227584</v>
      </c>
      <c r="M3238" s="58" t="s">
        <v>22</v>
      </c>
      <c r="N3238" s="7">
        <v>9.5</v>
      </c>
      <c r="O3238" s="7" t="s">
        <v>179</v>
      </c>
      <c r="P3238" s="7" t="s">
        <v>179</v>
      </c>
    </row>
    <row r="3239" spans="1:16" x14ac:dyDescent="0.25">
      <c r="A3239" s="2" t="s">
        <v>181</v>
      </c>
      <c r="B3239" s="2" t="s">
        <v>206</v>
      </c>
      <c r="C3239" s="6" t="s">
        <v>153</v>
      </c>
      <c r="D3239" s="2" t="s">
        <v>106</v>
      </c>
      <c r="E3239" s="2"/>
      <c r="F3239" s="35">
        <v>4.4982502942822435</v>
      </c>
      <c r="G3239" s="35">
        <v>65.051566297550394</v>
      </c>
      <c r="H3239" s="35">
        <v>23.952019944130665</v>
      </c>
      <c r="I3239" s="35">
        <v>5.0050044032684343E-2</v>
      </c>
      <c r="J3239" s="35">
        <v>-5.4828037549364535E-4</v>
      </c>
      <c r="K3239" s="35">
        <v>0.25013039682448562</v>
      </c>
      <c r="L3239" s="35">
        <v>-18.008629490090716</v>
      </c>
      <c r="M3239" s="58" t="s">
        <v>24</v>
      </c>
      <c r="N3239" s="7">
        <v>9.5</v>
      </c>
      <c r="O3239" s="7" t="s">
        <v>179</v>
      </c>
      <c r="P3239" s="7" t="s">
        <v>179</v>
      </c>
    </row>
    <row r="3240" spans="1:16" x14ac:dyDescent="0.25">
      <c r="A3240" s="2" t="s">
        <v>181</v>
      </c>
      <c r="B3240" s="2" t="s">
        <v>206</v>
      </c>
      <c r="C3240" s="6" t="s">
        <v>153</v>
      </c>
      <c r="D3240" s="2" t="s">
        <v>106</v>
      </c>
      <c r="E3240" s="2"/>
      <c r="F3240" s="35">
        <v>8.9965005885644871</v>
      </c>
      <c r="G3240" s="35">
        <v>66.881898944393484</v>
      </c>
      <c r="H3240" s="35">
        <v>42.844671180116094</v>
      </c>
      <c r="I3240" s="35">
        <v>5.0050044032685502E-2</v>
      </c>
      <c r="J3240" s="35">
        <v>-5.4828037549364535E-4</v>
      </c>
      <c r="K3240" s="35">
        <v>2.4992771525621394E-2</v>
      </c>
      <c r="L3240" s="35">
        <v>-168.24274724345227</v>
      </c>
      <c r="M3240" s="58" t="s">
        <v>23</v>
      </c>
      <c r="N3240" s="7">
        <v>9.5</v>
      </c>
      <c r="O3240" s="7" t="s">
        <v>179</v>
      </c>
      <c r="P3240" s="7" t="s">
        <v>179</v>
      </c>
    </row>
    <row r="3241" spans="1:16" x14ac:dyDescent="0.25">
      <c r="A3241" s="2" t="s">
        <v>181</v>
      </c>
      <c r="B3241" s="2" t="s">
        <v>206</v>
      </c>
      <c r="C3241" s="6" t="s">
        <v>153</v>
      </c>
      <c r="D3241" s="2" t="s">
        <v>107</v>
      </c>
      <c r="E3241" s="2"/>
      <c r="F3241" s="35">
        <v>0</v>
      </c>
      <c r="G3241" s="35">
        <v>21.113436844358979</v>
      </c>
      <c r="H3241" s="35">
        <v>0.55424373704874497</v>
      </c>
      <c r="I3241" s="35">
        <v>5.039521600372867E-2</v>
      </c>
      <c r="J3241" s="35">
        <v>-5.5180329216620596E-4</v>
      </c>
      <c r="K3241" s="35">
        <v>0.47854426161063646</v>
      </c>
      <c r="L3241" s="35">
        <v>15.194483221621725</v>
      </c>
      <c r="M3241" s="58" t="s">
        <v>22</v>
      </c>
      <c r="N3241" s="7">
        <v>9.5</v>
      </c>
      <c r="O3241" s="7" t="s">
        <v>179</v>
      </c>
      <c r="P3241" s="7" t="s">
        <v>179</v>
      </c>
    </row>
    <row r="3242" spans="1:16" x14ac:dyDescent="0.25">
      <c r="A3242" s="2" t="s">
        <v>181</v>
      </c>
      <c r="B3242" s="2" t="s">
        <v>206</v>
      </c>
      <c r="C3242" s="6" t="s">
        <v>153</v>
      </c>
      <c r="D3242" s="2" t="s">
        <v>107</v>
      </c>
      <c r="E3242" s="2"/>
      <c r="F3242" s="35">
        <v>4.4982502942822435</v>
      </c>
      <c r="G3242" s="35">
        <v>22.943769491202069</v>
      </c>
      <c r="H3242" s="35">
        <v>8.8670102808823312</v>
      </c>
      <c r="I3242" s="35">
        <v>5.0395216003729176E-2</v>
      </c>
      <c r="J3242" s="35">
        <v>-5.5180329216620596E-4</v>
      </c>
      <c r="K3242" s="35">
        <v>0.25185396639144564</v>
      </c>
      <c r="L3242" s="35">
        <v>-5.9950961077113938</v>
      </c>
      <c r="M3242" s="58" t="s">
        <v>24</v>
      </c>
      <c r="N3242" s="7">
        <v>9.5</v>
      </c>
      <c r="O3242" s="7" t="s">
        <v>179</v>
      </c>
      <c r="P3242" s="7" t="s">
        <v>179</v>
      </c>
    </row>
    <row r="3243" spans="1:16" x14ac:dyDescent="0.25">
      <c r="A3243" s="2" t="s">
        <v>181</v>
      </c>
      <c r="B3243" s="2" t="s">
        <v>206</v>
      </c>
      <c r="C3243" s="6" t="s">
        <v>153</v>
      </c>
      <c r="D3243" s="2" t="s">
        <v>107</v>
      </c>
      <c r="E3243" s="2"/>
      <c r="F3243" s="35">
        <v>8.9965005885644871</v>
      </c>
      <c r="G3243" s="35">
        <v>24.774102138045162</v>
      </c>
      <c r="H3243" s="35">
        <v>17.179776824715919</v>
      </c>
      <c r="I3243" s="35">
        <v>5.0395216003729683E-2</v>
      </c>
      <c r="J3243" s="35">
        <v>-5.5180329216620596E-4</v>
      </c>
      <c r="K3243" s="35">
        <v>2.5163671172252464E-2</v>
      </c>
      <c r="L3243" s="35">
        <v>-64.57757998914353</v>
      </c>
      <c r="M3243" s="58" t="s">
        <v>23</v>
      </c>
      <c r="N3243" s="7">
        <v>9.5</v>
      </c>
      <c r="O3243" s="7" t="s">
        <v>179</v>
      </c>
      <c r="P3243" s="7" t="s">
        <v>179</v>
      </c>
    </row>
    <row r="3244" spans="1:16" x14ac:dyDescent="0.25">
      <c r="A3244" s="2" t="s">
        <v>181</v>
      </c>
      <c r="B3244" s="2" t="s">
        <v>206</v>
      </c>
      <c r="C3244" s="6" t="s">
        <v>153</v>
      </c>
      <c r="D3244" s="2" t="s">
        <v>108</v>
      </c>
      <c r="E3244" s="2"/>
      <c r="F3244" s="35">
        <v>0</v>
      </c>
      <c r="G3244" s="35">
        <v>75.217114484365851</v>
      </c>
      <c r="H3244" s="35">
        <v>51.93964551348936</v>
      </c>
      <c r="I3244" s="35">
        <v>-4.7539039929094136E-4</v>
      </c>
      <c r="J3244" s="35">
        <v>5.8936422412281949E-6</v>
      </c>
      <c r="K3244" s="35">
        <v>-4.5121521951142088E-3</v>
      </c>
      <c r="L3244" s="35">
        <v>157.9876823310849</v>
      </c>
      <c r="M3244" s="58" t="s">
        <v>22</v>
      </c>
      <c r="N3244" s="7">
        <v>9.5</v>
      </c>
      <c r="O3244" s="7" t="s">
        <v>179</v>
      </c>
      <c r="P3244" s="7" t="s">
        <v>179</v>
      </c>
    </row>
    <row r="3245" spans="1:16" x14ac:dyDescent="0.25">
      <c r="A3245" s="2" t="s">
        <v>181</v>
      </c>
      <c r="B3245" s="2" t="s">
        <v>206</v>
      </c>
      <c r="C3245" s="6" t="s">
        <v>153</v>
      </c>
      <c r="D3245" s="2" t="s">
        <v>108</v>
      </c>
      <c r="E3245" s="2"/>
      <c r="F3245" s="35">
        <v>4.4982502942822435</v>
      </c>
      <c r="G3245" s="35">
        <v>77.047447131208941</v>
      </c>
      <c r="H3245" s="35">
        <v>38.336936623579859</v>
      </c>
      <c r="I3245" s="35">
        <v>-4.7539039929177425E-4</v>
      </c>
      <c r="J3245" s="35">
        <v>5.8936422412281949E-6</v>
      </c>
      <c r="K3245" s="35">
        <v>-2.3737271916029062E-3</v>
      </c>
      <c r="L3245" s="35">
        <v>-45.0556487513485</v>
      </c>
      <c r="M3245" s="58" t="s">
        <v>24</v>
      </c>
      <c r="N3245" s="7">
        <v>9.5</v>
      </c>
      <c r="O3245" s="7" t="s">
        <v>179</v>
      </c>
      <c r="P3245" s="7" t="s">
        <v>179</v>
      </c>
    </row>
    <row r="3246" spans="1:16" x14ac:dyDescent="0.25">
      <c r="A3246" s="2" t="s">
        <v>181</v>
      </c>
      <c r="B3246" s="2" t="s">
        <v>206</v>
      </c>
      <c r="C3246" s="6" t="s">
        <v>153</v>
      </c>
      <c r="D3246" s="2" t="s">
        <v>108</v>
      </c>
      <c r="E3246" s="2"/>
      <c r="F3246" s="35">
        <v>8.9965005885644871</v>
      </c>
      <c r="G3246" s="35">
        <v>78.87777977805203</v>
      </c>
      <c r="H3246" s="35">
        <v>24.734227733670352</v>
      </c>
      <c r="I3246" s="35">
        <v>-4.7539039929260713E-4</v>
      </c>
      <c r="J3246" s="35">
        <v>5.8936422412281949E-6</v>
      </c>
      <c r="K3246" s="35">
        <v>-2.3530218808785592E-4</v>
      </c>
      <c r="L3246" s="35">
        <v>-186.91059056671071</v>
      </c>
      <c r="M3246" s="58" t="s">
        <v>23</v>
      </c>
      <c r="N3246" s="7">
        <v>9.5</v>
      </c>
      <c r="O3246" s="7" t="s">
        <v>179</v>
      </c>
      <c r="P3246" s="7" t="s">
        <v>179</v>
      </c>
    </row>
    <row r="3247" spans="1:16" x14ac:dyDescent="0.25">
      <c r="A3247" s="2" t="s">
        <v>181</v>
      </c>
      <c r="B3247" s="2" t="s">
        <v>206</v>
      </c>
      <c r="C3247" s="6" t="s">
        <v>153</v>
      </c>
      <c r="D3247" s="2" t="s">
        <v>109</v>
      </c>
      <c r="E3247" s="2"/>
      <c r="F3247" s="35">
        <v>0</v>
      </c>
      <c r="G3247" s="35">
        <v>-43.101529086892306</v>
      </c>
      <c r="H3247" s="35">
        <v>26.287981232090623</v>
      </c>
      <c r="I3247" s="35">
        <v>1.0765787134915124E-4</v>
      </c>
      <c r="J3247" s="35">
        <v>1.7503775543168105E-6</v>
      </c>
      <c r="K3247" s="35">
        <v>1.0212177340112138E-3</v>
      </c>
      <c r="L3247" s="35">
        <v>81.963953939711544</v>
      </c>
      <c r="M3247" s="58" t="s">
        <v>22</v>
      </c>
      <c r="N3247" s="7">
        <v>9.5</v>
      </c>
      <c r="O3247" s="7" t="s">
        <v>179</v>
      </c>
      <c r="P3247" s="7" t="s">
        <v>179</v>
      </c>
    </row>
    <row r="3248" spans="1:16" x14ac:dyDescent="0.25">
      <c r="A3248" s="2" t="s">
        <v>181</v>
      </c>
      <c r="B3248" s="2" t="s">
        <v>206</v>
      </c>
      <c r="C3248" s="6" t="s">
        <v>153</v>
      </c>
      <c r="D3248" s="2" t="s">
        <v>109</v>
      </c>
      <c r="E3248" s="2"/>
      <c r="F3248" s="35">
        <v>4.4982502942822435</v>
      </c>
      <c r="G3248" s="35">
        <v>-41.271196440049216</v>
      </c>
      <c r="H3248" s="35">
        <v>2.1053876500292796</v>
      </c>
      <c r="I3248" s="35">
        <v>1.0765787134767048E-4</v>
      </c>
      <c r="J3248" s="35">
        <v>1.7503775543168105E-6</v>
      </c>
      <c r="K3248" s="35">
        <v>5.3694568253642467E-4</v>
      </c>
      <c r="L3248" s="35">
        <v>18.103713974881487</v>
      </c>
      <c r="M3248" s="58" t="s">
        <v>24</v>
      </c>
      <c r="N3248" s="7">
        <v>9.5</v>
      </c>
      <c r="O3248" s="7" t="s">
        <v>179</v>
      </c>
      <c r="P3248" s="7" t="s">
        <v>179</v>
      </c>
    </row>
    <row r="3249" spans="1:16" x14ac:dyDescent="0.25">
      <c r="A3249" s="2" t="s">
        <v>181</v>
      </c>
      <c r="B3249" s="2" t="s">
        <v>206</v>
      </c>
      <c r="C3249" s="6" t="s">
        <v>153</v>
      </c>
      <c r="D3249" s="2" t="s">
        <v>109</v>
      </c>
      <c r="E3249" s="2"/>
      <c r="F3249" s="35">
        <v>8.9965005885644871</v>
      </c>
      <c r="G3249" s="35">
        <v>-39.44086379320612</v>
      </c>
      <c r="H3249" s="35">
        <v>-22.077205932032065</v>
      </c>
      <c r="I3249" s="35">
        <v>1.0765787134618973E-4</v>
      </c>
      <c r="J3249" s="35">
        <v>1.7503775543168105E-6</v>
      </c>
      <c r="K3249" s="35">
        <v>5.2673631068296417E-5</v>
      </c>
      <c r="L3249" s="35">
        <v>63.022832707066748</v>
      </c>
      <c r="M3249" s="58" t="s">
        <v>23</v>
      </c>
      <c r="N3249" s="7">
        <v>9.5</v>
      </c>
      <c r="O3249" s="7" t="s">
        <v>179</v>
      </c>
      <c r="P3249" s="7" t="s">
        <v>179</v>
      </c>
    </row>
    <row r="3250" spans="1:16" x14ac:dyDescent="0.25">
      <c r="A3250" s="2" t="s">
        <v>181</v>
      </c>
      <c r="B3250" s="2" t="s">
        <v>206</v>
      </c>
      <c r="C3250" s="6" t="s">
        <v>153</v>
      </c>
      <c r="D3250" s="2" t="s">
        <v>110</v>
      </c>
      <c r="E3250" s="2"/>
      <c r="F3250" s="35">
        <v>0</v>
      </c>
      <c r="G3250" s="35">
        <v>58.204906554696706</v>
      </c>
      <c r="H3250" s="35">
        <v>3.7858170123939074</v>
      </c>
      <c r="I3250" s="35">
        <v>-7.7643876039062076E-4</v>
      </c>
      <c r="J3250" s="35">
        <v>8.8057338494790934E-6</v>
      </c>
      <c r="K3250" s="35">
        <v>-7.3701098038223981E-3</v>
      </c>
      <c r="L3250" s="35">
        <v>18.436267366459976</v>
      </c>
      <c r="M3250" s="58" t="s">
        <v>22</v>
      </c>
      <c r="N3250" s="7">
        <v>9.5</v>
      </c>
      <c r="O3250" s="7" t="s">
        <v>179</v>
      </c>
      <c r="P3250" s="7" t="s">
        <v>179</v>
      </c>
    </row>
    <row r="3251" spans="1:16" x14ac:dyDescent="0.25">
      <c r="A3251" s="2" t="s">
        <v>181</v>
      </c>
      <c r="B3251" s="2" t="s">
        <v>206</v>
      </c>
      <c r="C3251" s="6" t="s">
        <v>153</v>
      </c>
      <c r="D3251" s="2" t="s">
        <v>110</v>
      </c>
      <c r="E3251" s="2"/>
      <c r="F3251" s="35">
        <v>4.4982502942822435</v>
      </c>
      <c r="G3251" s="35">
        <v>60.035239201539795</v>
      </c>
      <c r="H3251" s="35">
        <v>18.144231951742832</v>
      </c>
      <c r="I3251" s="35">
        <v>-7.7643876038974147E-4</v>
      </c>
      <c r="J3251" s="35">
        <v>8.8057338494790934E-6</v>
      </c>
      <c r="K3251" s="35">
        <v>-3.8774939214051259E-3</v>
      </c>
      <c r="L3251" s="35">
        <v>-30.887157236816073</v>
      </c>
      <c r="M3251" s="58" t="s">
        <v>24</v>
      </c>
      <c r="N3251" s="7">
        <v>9.5</v>
      </c>
      <c r="O3251" s="7" t="s">
        <v>179</v>
      </c>
      <c r="P3251" s="7" t="s">
        <v>179</v>
      </c>
    </row>
    <row r="3252" spans="1:16" x14ac:dyDescent="0.25">
      <c r="A3252" s="2" t="s">
        <v>181</v>
      </c>
      <c r="B3252" s="2" t="s">
        <v>206</v>
      </c>
      <c r="C3252" s="6" t="s">
        <v>153</v>
      </c>
      <c r="D3252" s="2" t="s">
        <v>110</v>
      </c>
      <c r="E3252" s="2"/>
      <c r="F3252" s="35">
        <v>8.9965005885644871</v>
      </c>
      <c r="G3252" s="35">
        <v>61.865571848382885</v>
      </c>
      <c r="H3252" s="35">
        <v>32.502646891091757</v>
      </c>
      <c r="I3252" s="35">
        <v>-7.764387603888624E-4</v>
      </c>
      <c r="J3252" s="35">
        <v>8.8057338494790934E-6</v>
      </c>
      <c r="K3252" s="35">
        <v>-3.8487803899180871E-4</v>
      </c>
      <c r="L3252" s="35">
        <v>-144.79832606644501</v>
      </c>
      <c r="M3252" s="58" t="s">
        <v>23</v>
      </c>
      <c r="N3252" s="7">
        <v>9.5</v>
      </c>
      <c r="O3252" s="7" t="s">
        <v>179</v>
      </c>
      <c r="P3252" s="7" t="s">
        <v>179</v>
      </c>
    </row>
    <row r="3253" spans="1:16" x14ac:dyDescent="0.25">
      <c r="A3253" s="2" t="s">
        <v>181</v>
      </c>
      <c r="B3253" s="2" t="s">
        <v>206</v>
      </c>
      <c r="C3253" s="6" t="s">
        <v>153</v>
      </c>
      <c r="D3253" s="2" t="s">
        <v>111</v>
      </c>
      <c r="E3253" s="2"/>
      <c r="F3253" s="35">
        <v>0</v>
      </c>
      <c r="G3253" s="35">
        <v>4.7101726660536398</v>
      </c>
      <c r="H3253" s="35">
        <v>-12.469869228578453</v>
      </c>
      <c r="I3253" s="35">
        <v>9.7464331724852872E-6</v>
      </c>
      <c r="J3253" s="35">
        <v>2.6193061160704954E-6</v>
      </c>
      <c r="K3253" s="35">
        <v>9.2120225152798849E-5</v>
      </c>
      <c r="L3253" s="35">
        <v>-78.373943551858616</v>
      </c>
      <c r="M3253" s="58" t="s">
        <v>22</v>
      </c>
      <c r="N3253" s="7">
        <v>9.5</v>
      </c>
      <c r="O3253" s="7" t="s">
        <v>179</v>
      </c>
      <c r="P3253" s="7" t="s">
        <v>179</v>
      </c>
    </row>
    <row r="3254" spans="1:16" x14ac:dyDescent="0.25">
      <c r="A3254" s="2" t="s">
        <v>181</v>
      </c>
      <c r="B3254" s="2" t="s">
        <v>206</v>
      </c>
      <c r="C3254" s="6" t="s">
        <v>153</v>
      </c>
      <c r="D3254" s="2" t="s">
        <v>111</v>
      </c>
      <c r="E3254" s="2"/>
      <c r="F3254" s="35">
        <v>4.4982502942822435</v>
      </c>
      <c r="G3254" s="35">
        <v>6.5405053128967285</v>
      </c>
      <c r="H3254" s="35">
        <v>-8.6913389813813691</v>
      </c>
      <c r="I3254" s="35">
        <v>9.7464331727166577E-6</v>
      </c>
      <c r="J3254" s="35">
        <v>2.6193061160704954E-6</v>
      </c>
      <c r="K3254" s="35">
        <v>4.8278329265944182E-5</v>
      </c>
      <c r="L3254" s="35">
        <v>-30.779738022948827</v>
      </c>
      <c r="M3254" s="58" t="s">
        <v>24</v>
      </c>
      <c r="N3254" s="7">
        <v>9.5</v>
      </c>
      <c r="O3254" s="7" t="s">
        <v>179</v>
      </c>
      <c r="P3254" s="7" t="s">
        <v>179</v>
      </c>
    </row>
    <row r="3255" spans="1:16" x14ac:dyDescent="0.25">
      <c r="A3255" s="2" t="s">
        <v>181</v>
      </c>
      <c r="B3255" s="2" t="s">
        <v>206</v>
      </c>
      <c r="C3255" s="6" t="s">
        <v>153</v>
      </c>
      <c r="D3255" s="2" t="s">
        <v>111</v>
      </c>
      <c r="E3255" s="2"/>
      <c r="F3255" s="35">
        <v>8.9965005885644871</v>
      </c>
      <c r="G3255" s="35">
        <v>8.3708379597398217</v>
      </c>
      <c r="H3255" s="35">
        <v>-4.9128087341842832</v>
      </c>
      <c r="I3255" s="35">
        <v>9.7464331729480281E-6</v>
      </c>
      <c r="J3255" s="35">
        <v>2.6193061160704954E-6</v>
      </c>
      <c r="K3255" s="35">
        <v>4.4364333780489019E-6</v>
      </c>
      <c r="L3255" s="35">
        <v>-0.18230729044767466</v>
      </c>
      <c r="M3255" s="58" t="s">
        <v>23</v>
      </c>
      <c r="N3255" s="7">
        <v>9.5</v>
      </c>
      <c r="O3255" s="7" t="s">
        <v>179</v>
      </c>
      <c r="P3255" s="7" t="s">
        <v>179</v>
      </c>
    </row>
    <row r="3256" spans="1:16" x14ac:dyDescent="0.25">
      <c r="A3256" s="2" t="s">
        <v>181</v>
      </c>
      <c r="B3256" s="2" t="s">
        <v>206</v>
      </c>
      <c r="C3256" s="6" t="s">
        <v>153</v>
      </c>
      <c r="D3256" s="2" t="s">
        <v>112</v>
      </c>
      <c r="E3256" s="2"/>
      <c r="F3256" s="35">
        <v>0</v>
      </c>
      <c r="G3256" s="35">
        <v>27.064269404299377</v>
      </c>
      <c r="H3256" s="35">
        <v>-8.1200953044783919</v>
      </c>
      <c r="I3256" s="35">
        <v>-4.510747117456624E-2</v>
      </c>
      <c r="J3256" s="35">
        <v>4.9217960805887054E-4</v>
      </c>
      <c r="K3256" s="35">
        <v>-0.42833245928304853</v>
      </c>
      <c r="L3256" s="35">
        <v>2.1503063044706057</v>
      </c>
      <c r="M3256" s="58" t="s">
        <v>22</v>
      </c>
      <c r="N3256" s="7">
        <v>9.5</v>
      </c>
      <c r="O3256" s="7" t="s">
        <v>179</v>
      </c>
      <c r="P3256" s="7" t="s">
        <v>179</v>
      </c>
    </row>
    <row r="3257" spans="1:16" x14ac:dyDescent="0.25">
      <c r="A3257" s="2" t="s">
        <v>181</v>
      </c>
      <c r="B3257" s="2" t="s">
        <v>206</v>
      </c>
      <c r="C3257" s="6" t="s">
        <v>153</v>
      </c>
      <c r="D3257" s="2" t="s">
        <v>112</v>
      </c>
      <c r="E3257" s="2"/>
      <c r="F3257" s="35">
        <v>4.4982502942822435</v>
      </c>
      <c r="G3257" s="35">
        <v>28.894602051142467</v>
      </c>
      <c r="H3257" s="35">
        <v>8.8832908079084909</v>
      </c>
      <c r="I3257" s="35">
        <v>-4.5107471174565199E-2</v>
      </c>
      <c r="J3257" s="35">
        <v>4.9217960805887054E-4</v>
      </c>
      <c r="K3257" s="35">
        <v>-0.22542776379773044</v>
      </c>
      <c r="L3257" s="35">
        <v>0.43378410552092628</v>
      </c>
      <c r="M3257" s="58" t="s">
        <v>24</v>
      </c>
      <c r="N3257" s="7">
        <v>9.5</v>
      </c>
      <c r="O3257" s="7" t="s">
        <v>179</v>
      </c>
      <c r="P3257" s="7" t="s">
        <v>179</v>
      </c>
    </row>
    <row r="3258" spans="1:16" x14ac:dyDescent="0.25">
      <c r="A3258" s="2" t="s">
        <v>181</v>
      </c>
      <c r="B3258" s="2" t="s">
        <v>206</v>
      </c>
      <c r="C3258" s="6" t="s">
        <v>153</v>
      </c>
      <c r="D3258" s="2" t="s">
        <v>112</v>
      </c>
      <c r="E3258" s="2"/>
      <c r="F3258" s="35">
        <v>8.9965005885644871</v>
      </c>
      <c r="G3258" s="35">
        <v>30.724934697985564</v>
      </c>
      <c r="H3258" s="35">
        <v>25.886676920295372</v>
      </c>
      <c r="I3258" s="35">
        <v>-4.5107471174564158E-2</v>
      </c>
      <c r="J3258" s="35">
        <v>4.9217960805887054E-4</v>
      </c>
      <c r="K3258" s="35">
        <v>-2.2523068312417037E-2</v>
      </c>
      <c r="L3258" s="35">
        <v>-77.768224677267668</v>
      </c>
      <c r="M3258" s="58" t="s">
        <v>23</v>
      </c>
      <c r="N3258" s="7">
        <v>9.5</v>
      </c>
      <c r="O3258" s="7" t="s">
        <v>179</v>
      </c>
      <c r="P3258" s="7" t="s">
        <v>179</v>
      </c>
    </row>
    <row r="3259" spans="1:16" x14ac:dyDescent="0.25">
      <c r="A3259" s="2" t="s">
        <v>181</v>
      </c>
      <c r="B3259" s="2" t="s">
        <v>206</v>
      </c>
      <c r="C3259" s="6" t="s">
        <v>153</v>
      </c>
      <c r="D3259" s="2" t="s">
        <v>113</v>
      </c>
      <c r="E3259" s="2"/>
      <c r="F3259" s="35">
        <v>0</v>
      </c>
      <c r="G3259" s="35">
        <v>-10.832747364632819</v>
      </c>
      <c r="H3259" s="35">
        <v>-12.174710472191375</v>
      </c>
      <c r="I3259" s="35">
        <v>-4.483363732623491E-2</v>
      </c>
      <c r="J3259" s="35">
        <v>4.8922032350997267E-4</v>
      </c>
      <c r="K3259" s="35">
        <v>-0.42573333366094962</v>
      </c>
      <c r="L3259" s="35">
        <v>-26.692119779360493</v>
      </c>
      <c r="M3259" s="58" t="s">
        <v>22</v>
      </c>
      <c r="N3259" s="7">
        <v>9.5</v>
      </c>
      <c r="O3259" s="7" t="s">
        <v>179</v>
      </c>
      <c r="P3259" s="7" t="s">
        <v>179</v>
      </c>
    </row>
    <row r="3260" spans="1:16" x14ac:dyDescent="0.25">
      <c r="A3260" s="2" t="s">
        <v>181</v>
      </c>
      <c r="B3260" s="2" t="s">
        <v>206</v>
      </c>
      <c r="C3260" s="6" t="s">
        <v>153</v>
      </c>
      <c r="D3260" s="2" t="s">
        <v>113</v>
      </c>
      <c r="E3260" s="2"/>
      <c r="F3260" s="35">
        <v>4.4982502942822435</v>
      </c>
      <c r="G3260" s="35">
        <v>-9.0024147177897298</v>
      </c>
      <c r="H3260" s="35">
        <v>-4.6932205827411444</v>
      </c>
      <c r="I3260" s="35">
        <v>-4.4833637326234459E-2</v>
      </c>
      <c r="J3260" s="35">
        <v>4.8922032350997267E-4</v>
      </c>
      <c r="K3260" s="35">
        <v>-0.22406041136447105</v>
      </c>
      <c r="L3260" s="35">
        <v>11.245968136530898</v>
      </c>
      <c r="M3260" s="58" t="s">
        <v>24</v>
      </c>
      <c r="N3260" s="7">
        <v>9.5</v>
      </c>
      <c r="O3260" s="7" t="s">
        <v>179</v>
      </c>
      <c r="P3260" s="7" t="s">
        <v>179</v>
      </c>
    </row>
    <row r="3261" spans="1:16" x14ac:dyDescent="0.25">
      <c r="A3261" s="2" t="s">
        <v>181</v>
      </c>
      <c r="B3261" s="2" t="s">
        <v>206</v>
      </c>
      <c r="C3261" s="6" t="s">
        <v>153</v>
      </c>
      <c r="D3261" s="2" t="s">
        <v>113</v>
      </c>
      <c r="E3261" s="2"/>
      <c r="F3261" s="35">
        <v>8.9965005885644871</v>
      </c>
      <c r="G3261" s="35">
        <v>-7.172082070946634</v>
      </c>
      <c r="H3261" s="35">
        <v>2.7882693067090836</v>
      </c>
      <c r="I3261" s="35">
        <v>-4.4833637326234001E-2</v>
      </c>
      <c r="J3261" s="35">
        <v>4.8922032350997267E-4</v>
      </c>
      <c r="K3261" s="35">
        <v>-2.2387489067994541E-2</v>
      </c>
      <c r="L3261" s="35">
        <v>15.530441955533172</v>
      </c>
      <c r="M3261" s="58" t="s">
        <v>23</v>
      </c>
      <c r="N3261" s="7">
        <v>9.5</v>
      </c>
      <c r="O3261" s="7" t="s">
        <v>179</v>
      </c>
      <c r="P3261" s="7" t="s">
        <v>179</v>
      </c>
    </row>
    <row r="3262" spans="1:16" x14ac:dyDescent="0.25">
      <c r="A3262" s="2" t="s">
        <v>181</v>
      </c>
      <c r="B3262" s="2" t="s">
        <v>206</v>
      </c>
      <c r="C3262" s="6" t="s">
        <v>153</v>
      </c>
      <c r="D3262" s="2" t="s">
        <v>114</v>
      </c>
      <c r="E3262" s="2"/>
      <c r="F3262" s="35">
        <v>0</v>
      </c>
      <c r="G3262" s="35">
        <v>27.064508233070047</v>
      </c>
      <c r="H3262" s="35">
        <v>-8.1218156200046661</v>
      </c>
      <c r="I3262" s="35">
        <v>4.5147828648730147E-2</v>
      </c>
      <c r="J3262" s="35">
        <v>-4.9372993889535473E-4</v>
      </c>
      <c r="K3262" s="35">
        <v>0.42871656487210125</v>
      </c>
      <c r="L3262" s="35">
        <v>2.1451811976630162</v>
      </c>
      <c r="M3262" s="58" t="s">
        <v>22</v>
      </c>
      <c r="N3262" s="7">
        <v>9.5</v>
      </c>
      <c r="O3262" s="7" t="s">
        <v>179</v>
      </c>
      <c r="P3262" s="7" t="s">
        <v>179</v>
      </c>
    </row>
    <row r="3263" spans="1:16" x14ac:dyDescent="0.25">
      <c r="A3263" s="2" t="s">
        <v>181</v>
      </c>
      <c r="B3263" s="2" t="s">
        <v>206</v>
      </c>
      <c r="C3263" s="6" t="s">
        <v>153</v>
      </c>
      <c r="D3263" s="2" t="s">
        <v>114</v>
      </c>
      <c r="E3263" s="2"/>
      <c r="F3263" s="35">
        <v>4.4982502942822435</v>
      </c>
      <c r="G3263" s="35">
        <v>28.894840879913136</v>
      </c>
      <c r="H3263" s="35">
        <v>8.8815704923822185</v>
      </c>
      <c r="I3263" s="35">
        <v>4.5147828648731181E-2</v>
      </c>
      <c r="J3263" s="35">
        <v>-4.9372993889535473E-4</v>
      </c>
      <c r="K3263" s="35">
        <v>0.22563033136674421</v>
      </c>
      <c r="L3263" s="35">
        <v>0.43639740853566295</v>
      </c>
      <c r="M3263" s="58" t="s">
        <v>24</v>
      </c>
      <c r="N3263" s="7">
        <v>9.5</v>
      </c>
      <c r="O3263" s="7" t="s">
        <v>179</v>
      </c>
      <c r="P3263" s="7" t="s">
        <v>179</v>
      </c>
    </row>
    <row r="3264" spans="1:16" x14ac:dyDescent="0.25">
      <c r="A3264" s="2" t="s">
        <v>181</v>
      </c>
      <c r="B3264" s="2" t="s">
        <v>206</v>
      </c>
      <c r="C3264" s="6" t="s">
        <v>153</v>
      </c>
      <c r="D3264" s="2" t="s">
        <v>114</v>
      </c>
      <c r="E3264" s="2"/>
      <c r="F3264" s="35">
        <v>8.9965005885644871</v>
      </c>
      <c r="G3264" s="35">
        <v>30.725173526756233</v>
      </c>
      <c r="H3264" s="35">
        <v>25.884956604769101</v>
      </c>
      <c r="I3264" s="35">
        <v>4.5147828648732229E-2</v>
      </c>
      <c r="J3264" s="35">
        <v>-4.9372993889535473E-4</v>
      </c>
      <c r="K3264" s="35">
        <v>2.2544097861382534E-2</v>
      </c>
      <c r="L3264" s="35">
        <v>-77.757872964430589</v>
      </c>
      <c r="M3264" s="58" t="s">
        <v>23</v>
      </c>
      <c r="N3264" s="7">
        <v>9.5</v>
      </c>
      <c r="O3264" s="7" t="s">
        <v>179</v>
      </c>
      <c r="P3264" s="7" t="s">
        <v>179</v>
      </c>
    </row>
    <row r="3265" spans="1:16" x14ac:dyDescent="0.25">
      <c r="A3265" s="2" t="s">
        <v>181</v>
      </c>
      <c r="B3265" s="2" t="s">
        <v>206</v>
      </c>
      <c r="C3265" s="6" t="s">
        <v>153</v>
      </c>
      <c r="D3265" s="2" t="s">
        <v>115</v>
      </c>
      <c r="E3265" s="2"/>
      <c r="F3265" s="35">
        <v>0</v>
      </c>
      <c r="G3265" s="35">
        <v>-10.832508892643453</v>
      </c>
      <c r="H3265" s="35">
        <v>-12.176428093991509</v>
      </c>
      <c r="I3265" s="35">
        <v>4.545848342267108E-2</v>
      </c>
      <c r="J3265" s="35">
        <v>-4.9690056390065934E-4</v>
      </c>
      <c r="K3265" s="35">
        <v>0.43166518041066387</v>
      </c>
      <c r="L3265" s="35">
        <v>-26.69723675598226</v>
      </c>
      <c r="M3265" s="58" t="s">
        <v>22</v>
      </c>
      <c r="N3265" s="7">
        <v>9.5</v>
      </c>
      <c r="O3265" s="7" t="s">
        <v>179</v>
      </c>
      <c r="P3265" s="7" t="s">
        <v>179</v>
      </c>
    </row>
    <row r="3266" spans="1:16" x14ac:dyDescent="0.25">
      <c r="A3266" s="2" t="s">
        <v>181</v>
      </c>
      <c r="B3266" s="2" t="s">
        <v>206</v>
      </c>
      <c r="C3266" s="6" t="s">
        <v>153</v>
      </c>
      <c r="D3266" s="2" t="s">
        <v>115</v>
      </c>
      <c r="E3266" s="2"/>
      <c r="F3266" s="35">
        <v>4.4982502942822435</v>
      </c>
      <c r="G3266" s="35">
        <v>-9.0021762458003636</v>
      </c>
      <c r="H3266" s="35">
        <v>-4.6949382045412795</v>
      </c>
      <c r="I3266" s="35">
        <v>4.5458483422671531E-2</v>
      </c>
      <c r="J3266" s="35">
        <v>-4.9690056390065934E-4</v>
      </c>
      <c r="K3266" s="35">
        <v>0.22718154397700824</v>
      </c>
      <c r="L3266" s="35">
        <v>11.248577452677056</v>
      </c>
      <c r="M3266" s="58" t="s">
        <v>24</v>
      </c>
      <c r="N3266" s="7">
        <v>9.5</v>
      </c>
      <c r="O3266" s="7" t="s">
        <v>179</v>
      </c>
      <c r="P3266" s="7" t="s">
        <v>179</v>
      </c>
    </row>
    <row r="3267" spans="1:16" x14ac:dyDescent="0.25">
      <c r="A3267" s="2" t="s">
        <v>181</v>
      </c>
      <c r="B3267" s="2" t="s">
        <v>206</v>
      </c>
      <c r="C3267" s="6" t="s">
        <v>153</v>
      </c>
      <c r="D3267" s="2" t="s">
        <v>115</v>
      </c>
      <c r="E3267" s="2"/>
      <c r="F3267" s="35">
        <v>8.9965005885644871</v>
      </c>
      <c r="G3267" s="35">
        <v>-7.1718435989572669</v>
      </c>
      <c r="H3267" s="35">
        <v>2.7865516849089502</v>
      </c>
      <c r="I3267" s="35">
        <v>4.5458483422671989E-2</v>
      </c>
      <c r="J3267" s="35">
        <v>-4.9690056390065934E-4</v>
      </c>
      <c r="K3267" s="35">
        <v>2.26979075433505E-2</v>
      </c>
      <c r="L3267" s="35">
        <v>15.54077756444725</v>
      </c>
      <c r="M3267" s="58" t="s">
        <v>23</v>
      </c>
      <c r="N3267" s="7">
        <v>9.5</v>
      </c>
      <c r="O3267" s="7" t="s">
        <v>179</v>
      </c>
      <c r="P3267" s="7" t="s">
        <v>179</v>
      </c>
    </row>
    <row r="3268" spans="1:16" x14ac:dyDescent="0.25">
      <c r="A3268" s="2" t="s">
        <v>181</v>
      </c>
      <c r="B3268" s="2" t="s">
        <v>206</v>
      </c>
      <c r="C3268" s="6" t="s">
        <v>153</v>
      </c>
      <c r="D3268" s="2" t="s">
        <v>116</v>
      </c>
      <c r="E3268" s="2"/>
      <c r="F3268" s="35">
        <v>0</v>
      </c>
      <c r="G3268" s="35">
        <v>37.860800983362736</v>
      </c>
      <c r="H3268" s="35">
        <v>34.070433504805052</v>
      </c>
      <c r="I3268" s="35">
        <v>-3.2506234004658192E-4</v>
      </c>
      <c r="J3268" s="35">
        <v>5.0266770660314411E-6</v>
      </c>
      <c r="K3268" s="35">
        <v>-3.0855920145117562E-3</v>
      </c>
      <c r="L3268" s="35">
        <v>101.81664244253457</v>
      </c>
      <c r="M3268" s="58" t="s">
        <v>22</v>
      </c>
      <c r="N3268" s="7">
        <v>9.5</v>
      </c>
      <c r="O3268" s="7" t="s">
        <v>179</v>
      </c>
      <c r="P3268" s="7" t="s">
        <v>179</v>
      </c>
    </row>
    <row r="3269" spans="1:16" x14ac:dyDescent="0.25">
      <c r="A3269" s="2" t="s">
        <v>181</v>
      </c>
      <c r="B3269" s="2" t="s">
        <v>206</v>
      </c>
      <c r="C3269" s="6" t="s">
        <v>153</v>
      </c>
      <c r="D3269" s="2" t="s">
        <v>116</v>
      </c>
      <c r="E3269" s="2"/>
      <c r="F3269" s="35">
        <v>4.4982502942822435</v>
      </c>
      <c r="G3269" s="35">
        <v>39.691133630205826</v>
      </c>
      <c r="H3269" s="35">
        <v>21.827995503886495</v>
      </c>
      <c r="I3269" s="35">
        <v>-3.2506234004733153E-4</v>
      </c>
      <c r="J3269" s="35">
        <v>5.0266770660314411E-6</v>
      </c>
      <c r="K3269" s="35">
        <v>-1.6233802477354589E-3</v>
      </c>
      <c r="L3269" s="35">
        <v>-23.905919926596344</v>
      </c>
      <c r="M3269" s="58" t="s">
        <v>24</v>
      </c>
      <c r="N3269" s="7">
        <v>9.5</v>
      </c>
      <c r="O3269" s="7" t="s">
        <v>179</v>
      </c>
      <c r="P3269" s="7" t="s">
        <v>179</v>
      </c>
    </row>
    <row r="3270" spans="1:16" x14ac:dyDescent="0.25">
      <c r="A3270" s="2" t="s">
        <v>181</v>
      </c>
      <c r="B3270" s="2" t="s">
        <v>206</v>
      </c>
      <c r="C3270" s="6" t="s">
        <v>153</v>
      </c>
      <c r="D3270" s="2" t="s">
        <v>116</v>
      </c>
      <c r="E3270" s="2"/>
      <c r="F3270" s="35">
        <v>8.9965005885644871</v>
      </c>
      <c r="G3270" s="35">
        <v>41.521466277048923</v>
      </c>
      <c r="H3270" s="35">
        <v>9.5855575029679372</v>
      </c>
      <c r="I3270" s="35">
        <v>-3.2506234004808115E-4</v>
      </c>
      <c r="J3270" s="35">
        <v>5.0266770660314411E-6</v>
      </c>
      <c r="K3270" s="35">
        <v>-1.6116848095578887E-4</v>
      </c>
      <c r="L3270" s="35">
        <v>-94.558931955363235</v>
      </c>
      <c r="M3270" s="58" t="s">
        <v>23</v>
      </c>
      <c r="N3270" s="7">
        <v>9.5</v>
      </c>
      <c r="O3270" s="7" t="s">
        <v>179</v>
      </c>
      <c r="P3270" s="7" t="s">
        <v>179</v>
      </c>
    </row>
    <row r="3271" spans="1:16" x14ac:dyDescent="0.25">
      <c r="A3271" s="2" t="s">
        <v>181</v>
      </c>
      <c r="B3271" s="2" t="s">
        <v>206</v>
      </c>
      <c r="C3271" s="6" t="s">
        <v>153</v>
      </c>
      <c r="D3271" s="2" t="s">
        <v>117</v>
      </c>
      <c r="E3271" s="2"/>
      <c r="F3271" s="35">
        <v>0</v>
      </c>
      <c r="G3271" s="35">
        <v>-68.625978230769618</v>
      </c>
      <c r="H3271" s="35">
        <v>10.983935651546181</v>
      </c>
      <c r="I3271" s="35">
        <v>1.9968110352950138E-4</v>
      </c>
      <c r="J3271" s="35">
        <v>1.2977388478111957E-6</v>
      </c>
      <c r="K3271" s="35">
        <v>1.8944409217011246E-3</v>
      </c>
      <c r="L3271" s="35">
        <v>33.395286890298586</v>
      </c>
      <c r="M3271" s="58" t="s">
        <v>22</v>
      </c>
      <c r="N3271" s="7">
        <v>9.5</v>
      </c>
      <c r="O3271" s="7" t="s">
        <v>179</v>
      </c>
      <c r="P3271" s="7" t="s">
        <v>179</v>
      </c>
    </row>
    <row r="3272" spans="1:16" x14ac:dyDescent="0.25">
      <c r="A3272" s="2" t="s">
        <v>181</v>
      </c>
      <c r="B3272" s="2" t="s">
        <v>206</v>
      </c>
      <c r="C3272" s="6" t="s">
        <v>153</v>
      </c>
      <c r="D3272" s="2" t="s">
        <v>117</v>
      </c>
      <c r="E3272" s="2"/>
      <c r="F3272" s="35">
        <v>4.4982502942822435</v>
      </c>
      <c r="G3272" s="35">
        <v>-66.795645583926515</v>
      </c>
      <c r="H3272" s="35">
        <v>-10.780398572309029</v>
      </c>
      <c r="I3272" s="35">
        <v>1.9968110352816868E-4</v>
      </c>
      <c r="J3272" s="35">
        <v>1.2977388478111957E-6</v>
      </c>
      <c r="K3272" s="35">
        <v>9.9622533898993909E-4</v>
      </c>
      <c r="L3272" s="35">
        <v>32.937506527010648</v>
      </c>
      <c r="M3272" s="58" t="s">
        <v>24</v>
      </c>
      <c r="N3272" s="7">
        <v>9.5</v>
      </c>
      <c r="O3272" s="7" t="s">
        <v>179</v>
      </c>
      <c r="P3272" s="7" t="s">
        <v>179</v>
      </c>
    </row>
    <row r="3273" spans="1:16" x14ac:dyDescent="0.25">
      <c r="A3273" s="2" t="s">
        <v>181</v>
      </c>
      <c r="B3273" s="2" t="s">
        <v>206</v>
      </c>
      <c r="C3273" s="6" t="s">
        <v>153</v>
      </c>
      <c r="D3273" s="2" t="s">
        <v>117</v>
      </c>
      <c r="E3273" s="2"/>
      <c r="F3273" s="35">
        <v>8.9965005885644871</v>
      </c>
      <c r="G3273" s="35">
        <v>-64.965312937083425</v>
      </c>
      <c r="H3273" s="35">
        <v>-32.54473279616424</v>
      </c>
      <c r="I3273" s="35">
        <v>1.99681103526836E-4</v>
      </c>
      <c r="J3273" s="35">
        <v>1.2977388478111957E-6</v>
      </c>
      <c r="K3273" s="35">
        <v>9.8009756284748249E-5</v>
      </c>
      <c r="L3273" s="35">
        <v>130.38114899103653</v>
      </c>
      <c r="M3273" s="58" t="s">
        <v>23</v>
      </c>
      <c r="N3273" s="7">
        <v>9.5</v>
      </c>
      <c r="O3273" s="7" t="s">
        <v>179</v>
      </c>
      <c r="P3273" s="7" t="s">
        <v>179</v>
      </c>
    </row>
    <row r="3274" spans="1:16" x14ac:dyDescent="0.25">
      <c r="A3274" s="2" t="s">
        <v>181</v>
      </c>
      <c r="B3274" s="2" t="s">
        <v>206</v>
      </c>
      <c r="C3274" s="6" t="s">
        <v>153</v>
      </c>
      <c r="D3274" s="2" t="s">
        <v>118</v>
      </c>
      <c r="E3274" s="2"/>
      <c r="F3274" s="35">
        <v>0</v>
      </c>
      <c r="G3274" s="35">
        <v>22.549813846660498</v>
      </c>
      <c r="H3274" s="35">
        <v>-9.2680121461808636</v>
      </c>
      <c r="I3274" s="35">
        <v>-5.9600586503629339E-4</v>
      </c>
      <c r="J3274" s="35">
        <v>7.6475595134572498E-6</v>
      </c>
      <c r="K3274" s="35">
        <v>-5.6577538623491267E-3</v>
      </c>
      <c r="L3274" s="35">
        <v>-23.77963102562784</v>
      </c>
      <c r="M3274" s="58" t="s">
        <v>22</v>
      </c>
      <c r="N3274" s="7">
        <v>9.5</v>
      </c>
      <c r="O3274" s="7" t="s">
        <v>179</v>
      </c>
      <c r="P3274" s="7" t="s">
        <v>179</v>
      </c>
    </row>
    <row r="3275" spans="1:16" x14ac:dyDescent="0.25">
      <c r="A3275" s="2" t="s">
        <v>181</v>
      </c>
      <c r="B3275" s="2" t="s">
        <v>206</v>
      </c>
      <c r="C3275" s="6" t="s">
        <v>153</v>
      </c>
      <c r="D3275" s="2" t="s">
        <v>118</v>
      </c>
      <c r="E3275" s="2"/>
      <c r="F3275" s="35">
        <v>4.4982502942822435</v>
      </c>
      <c r="G3275" s="35">
        <v>24.380146493503585</v>
      </c>
      <c r="H3275" s="35">
        <v>3.6545612992331691</v>
      </c>
      <c r="I3275" s="35">
        <v>-5.9600586503550214E-4</v>
      </c>
      <c r="J3275" s="35">
        <v>7.6475595134572498E-6</v>
      </c>
      <c r="K3275" s="35">
        <v>-2.9767703045574571E-3</v>
      </c>
      <c r="L3275" s="35">
        <v>-11.154277563517159</v>
      </c>
      <c r="M3275" s="58" t="s">
        <v>24</v>
      </c>
      <c r="N3275" s="7">
        <v>9.5</v>
      </c>
      <c r="O3275" s="7" t="s">
        <v>179</v>
      </c>
      <c r="P3275" s="7" t="s">
        <v>179</v>
      </c>
    </row>
    <row r="3276" spans="1:16" x14ac:dyDescent="0.25">
      <c r="A3276" s="2" t="s">
        <v>181</v>
      </c>
      <c r="B3276" s="2" t="s">
        <v>206</v>
      </c>
      <c r="C3276" s="6" t="s">
        <v>153</v>
      </c>
      <c r="D3276" s="2" t="s">
        <v>118</v>
      </c>
      <c r="E3276" s="2"/>
      <c r="F3276" s="35">
        <v>8.9965005885644871</v>
      </c>
      <c r="G3276" s="35">
        <v>26.210479140346681</v>
      </c>
      <c r="H3276" s="35">
        <v>16.5771347446472</v>
      </c>
      <c r="I3276" s="35">
        <v>-5.9600586503471089E-4</v>
      </c>
      <c r="J3276" s="35">
        <v>7.6475595134572498E-6</v>
      </c>
      <c r="K3276" s="35">
        <v>-2.9578674676934637E-4</v>
      </c>
      <c r="L3276" s="35">
        <v>-56.65789390512407</v>
      </c>
      <c r="M3276" s="58" t="s">
        <v>23</v>
      </c>
      <c r="N3276" s="7">
        <v>9.5</v>
      </c>
      <c r="O3276" s="7" t="s">
        <v>179</v>
      </c>
      <c r="P3276" s="7" t="s">
        <v>179</v>
      </c>
    </row>
    <row r="3277" spans="1:16" x14ac:dyDescent="0.25">
      <c r="A3277" s="2" t="s">
        <v>181</v>
      </c>
      <c r="B3277" s="2" t="s">
        <v>206</v>
      </c>
      <c r="C3277" s="6" t="s">
        <v>153</v>
      </c>
      <c r="D3277" s="2" t="s">
        <v>119</v>
      </c>
      <c r="E3277" s="2"/>
      <c r="F3277" s="35">
        <v>0</v>
      </c>
      <c r="G3277" s="35">
        <v>-25.595446653118259</v>
      </c>
      <c r="H3277" s="35">
        <v>-23.898129763055987</v>
      </c>
      <c r="I3277" s="35">
        <v>1.1156080917050202E-4</v>
      </c>
      <c r="J3277" s="35">
        <v>2.0797745533895118E-6</v>
      </c>
      <c r="K3277" s="35">
        <v>1.0582531637285508E-3</v>
      </c>
      <c r="L3277" s="35">
        <v>-110.90882085211457</v>
      </c>
      <c r="M3277" s="58" t="s">
        <v>22</v>
      </c>
      <c r="N3277" s="7">
        <v>9.5</v>
      </c>
      <c r="O3277" s="7" t="s">
        <v>179</v>
      </c>
      <c r="P3277" s="7" t="s">
        <v>179</v>
      </c>
    </row>
    <row r="3278" spans="1:16" x14ac:dyDescent="0.25">
      <c r="A3278" s="2" t="s">
        <v>181</v>
      </c>
      <c r="B3278" s="2" t="s">
        <v>206</v>
      </c>
      <c r="C3278" s="6" t="s">
        <v>153</v>
      </c>
      <c r="D3278" s="2" t="s">
        <v>119</v>
      </c>
      <c r="E3278" s="2"/>
      <c r="F3278" s="35">
        <v>4.4982502942822435</v>
      </c>
      <c r="G3278" s="35">
        <v>-23.765114006275169</v>
      </c>
      <c r="H3278" s="35">
        <v>-20.49745254057861</v>
      </c>
      <c r="I3278" s="35">
        <v>1.1156080917071024E-4</v>
      </c>
      <c r="J3278" s="35">
        <v>2.0797745533895118E-6</v>
      </c>
      <c r="K3278" s="35">
        <v>5.5642472104650649E-4</v>
      </c>
      <c r="L3278" s="35">
        <v>-11.057600271036637</v>
      </c>
      <c r="M3278" s="58" t="s">
        <v>24</v>
      </c>
      <c r="N3278" s="7">
        <v>9.5</v>
      </c>
      <c r="O3278" s="7" t="s">
        <v>179</v>
      </c>
      <c r="P3278" s="7" t="s">
        <v>179</v>
      </c>
    </row>
    <row r="3279" spans="1:16" x14ac:dyDescent="0.25">
      <c r="A3279" s="2" t="s">
        <v>181</v>
      </c>
      <c r="B3279" s="2" t="s">
        <v>206</v>
      </c>
      <c r="C3279" s="6" t="s">
        <v>153</v>
      </c>
      <c r="D3279" s="2" t="s">
        <v>119</v>
      </c>
      <c r="E3279" s="2"/>
      <c r="F3279" s="35">
        <v>8.9965005885644871</v>
      </c>
      <c r="G3279" s="35">
        <v>-21.934781359432073</v>
      </c>
      <c r="H3279" s="35">
        <v>-17.096775318101233</v>
      </c>
      <c r="I3279" s="35">
        <v>1.1156080917091847E-4</v>
      </c>
      <c r="J3279" s="35">
        <v>2.0797745533895118E-6</v>
      </c>
      <c r="K3279" s="35">
        <v>5.4596278363525491E-5</v>
      </c>
      <c r="L3279" s="35">
        <v>73.496522993273544</v>
      </c>
      <c r="M3279" s="58" t="s">
        <v>23</v>
      </c>
      <c r="N3279" s="7">
        <v>9.5</v>
      </c>
      <c r="O3279" s="7" t="s">
        <v>179</v>
      </c>
      <c r="P3279" s="7" t="s">
        <v>179</v>
      </c>
    </row>
    <row r="3280" spans="1:16" x14ac:dyDescent="0.25">
      <c r="A3280" s="2" t="s">
        <v>181</v>
      </c>
      <c r="B3280" s="2" t="s">
        <v>206</v>
      </c>
      <c r="C3280" s="6" t="s">
        <v>153</v>
      </c>
      <c r="D3280" s="2" t="s">
        <v>120</v>
      </c>
      <c r="E3280" s="2"/>
      <c r="F3280" s="35">
        <v>0</v>
      </c>
      <c r="G3280" s="35">
        <v>38.231087269241698</v>
      </c>
      <c r="H3280" s="35">
        <v>-5.7401261373617665</v>
      </c>
      <c r="I3280" s="35">
        <v>-5.0149999513342182E-2</v>
      </c>
      <c r="J3280" s="35">
        <v>5.4696463307403595E-4</v>
      </c>
      <c r="K3280" s="35">
        <v>-0.47621520243743359</v>
      </c>
      <c r="L3280" s="35">
        <v>12.876806325043168</v>
      </c>
      <c r="M3280" s="58" t="s">
        <v>22</v>
      </c>
      <c r="N3280" s="7">
        <v>9.5</v>
      </c>
      <c r="O3280" s="7" t="s">
        <v>179</v>
      </c>
      <c r="P3280" s="7" t="s">
        <v>179</v>
      </c>
    </row>
    <row r="3281" spans="1:16" x14ac:dyDescent="0.25">
      <c r="A3281" s="2" t="s">
        <v>181</v>
      </c>
      <c r="B3281" s="2" t="s">
        <v>206</v>
      </c>
      <c r="C3281" s="6" t="s">
        <v>153</v>
      </c>
      <c r="D3281" s="2" t="s">
        <v>120</v>
      </c>
      <c r="E3281" s="2"/>
      <c r="F3281" s="35">
        <v>4.4982502942822435</v>
      </c>
      <c r="G3281" s="35">
        <v>40.061419916084787</v>
      </c>
      <c r="H3281" s="35">
        <v>13.152525098623657</v>
      </c>
      <c r="I3281" s="35">
        <v>-5.014999951334103E-2</v>
      </c>
      <c r="J3281" s="35">
        <v>5.4696463307403595E-4</v>
      </c>
      <c r="K3281" s="35">
        <v>-0.25062795236829033</v>
      </c>
      <c r="L3281" s="35">
        <v>-3.7946065793736938</v>
      </c>
      <c r="M3281" s="58" t="s">
        <v>24</v>
      </c>
      <c r="N3281" s="7">
        <v>9.5</v>
      </c>
      <c r="O3281" s="7" t="s">
        <v>179</v>
      </c>
      <c r="P3281" s="7" t="s">
        <v>179</v>
      </c>
    </row>
    <row r="3282" spans="1:16" x14ac:dyDescent="0.25">
      <c r="A3282" s="2" t="s">
        <v>181</v>
      </c>
      <c r="B3282" s="2" t="s">
        <v>206</v>
      </c>
      <c r="C3282" s="6" t="s">
        <v>153</v>
      </c>
      <c r="D3282" s="2" t="s">
        <v>120</v>
      </c>
      <c r="E3282" s="2"/>
      <c r="F3282" s="35">
        <v>8.9965005885644871</v>
      </c>
      <c r="G3282" s="35">
        <v>41.891752562927884</v>
      </c>
      <c r="H3282" s="35">
        <v>32.045176334609081</v>
      </c>
      <c r="I3282" s="35">
        <v>-5.0149999513339871E-2</v>
      </c>
      <c r="J3282" s="35">
        <v>5.4696463307403595E-4</v>
      </c>
      <c r="K3282" s="35">
        <v>-2.5040702299152284E-2</v>
      </c>
      <c r="L3282" s="35">
        <v>-105.44989346583381</v>
      </c>
      <c r="M3282" s="58" t="s">
        <v>23</v>
      </c>
      <c r="N3282" s="7">
        <v>9.5</v>
      </c>
      <c r="O3282" s="7" t="s">
        <v>179</v>
      </c>
      <c r="P3282" s="7" t="s">
        <v>179</v>
      </c>
    </row>
    <row r="3283" spans="1:16" x14ac:dyDescent="0.25">
      <c r="A3283" s="2" t="s">
        <v>181</v>
      </c>
      <c r="B3283" s="2" t="s">
        <v>206</v>
      </c>
      <c r="C3283" s="6" t="s">
        <v>153</v>
      </c>
      <c r="D3283" s="2" t="s">
        <v>121</v>
      </c>
      <c r="E3283" s="2"/>
      <c r="F3283" s="35">
        <v>0</v>
      </c>
      <c r="G3283" s="35">
        <v>-3.8767091406829777</v>
      </c>
      <c r="H3283" s="35">
        <v>-10.245254101487301</v>
      </c>
      <c r="I3283" s="35">
        <v>-4.9845739681862934E-2</v>
      </c>
      <c r="J3283" s="35">
        <v>5.4367653913081604E-4</v>
      </c>
      <c r="K3283" s="35">
        <v>-0.47332728507954591</v>
      </c>
      <c r="L3283" s="35">
        <v>-19.170333768102491</v>
      </c>
      <c r="M3283" s="58" t="s">
        <v>22</v>
      </c>
      <c r="N3283" s="7">
        <v>9.5</v>
      </c>
      <c r="O3283" s="7" t="s">
        <v>179</v>
      </c>
      <c r="P3283" s="7" t="s">
        <v>179</v>
      </c>
    </row>
    <row r="3284" spans="1:16" x14ac:dyDescent="0.25">
      <c r="A3284" s="2" t="s">
        <v>181</v>
      </c>
      <c r="B3284" s="2" t="s">
        <v>206</v>
      </c>
      <c r="C3284" s="6" t="s">
        <v>153</v>
      </c>
      <c r="D3284" s="2" t="s">
        <v>121</v>
      </c>
      <c r="E3284" s="2"/>
      <c r="F3284" s="35">
        <v>4.4982502942822435</v>
      </c>
      <c r="G3284" s="35">
        <v>-2.0463764938398885</v>
      </c>
      <c r="H3284" s="35">
        <v>-1.9324875576537139</v>
      </c>
      <c r="I3284" s="35">
        <v>-4.9845739681862421E-2</v>
      </c>
      <c r="J3284" s="35">
        <v>5.4367653913081604E-4</v>
      </c>
      <c r="K3284" s="35">
        <v>-0.24910867188689101</v>
      </c>
      <c r="L3284" s="35">
        <v>8.2189312328596067</v>
      </c>
      <c r="M3284" s="58" t="s">
        <v>24</v>
      </c>
      <c r="N3284" s="7">
        <v>9.5</v>
      </c>
      <c r="O3284" s="7" t="s">
        <v>179</v>
      </c>
      <c r="P3284" s="7" t="s">
        <v>179</v>
      </c>
    </row>
    <row r="3285" spans="1:16" x14ac:dyDescent="0.25">
      <c r="A3285" s="2" t="s">
        <v>181</v>
      </c>
      <c r="B3285" s="2" t="s">
        <v>206</v>
      </c>
      <c r="C3285" s="6" t="s">
        <v>153</v>
      </c>
      <c r="D3285" s="2" t="s">
        <v>121</v>
      </c>
      <c r="E3285" s="2"/>
      <c r="F3285" s="35">
        <v>8.9965005885644871</v>
      </c>
      <c r="G3285" s="35">
        <v>-0.21604384699679208</v>
      </c>
      <c r="H3285" s="35">
        <v>6.3802789861798761</v>
      </c>
      <c r="I3285" s="35">
        <v>-4.9845739681861921E-2</v>
      </c>
      <c r="J3285" s="35">
        <v>5.4367653913081604E-4</v>
      </c>
      <c r="K3285" s="35">
        <v>-2.4890058694238392E-2</v>
      </c>
      <c r="L3285" s="35">
        <v>-1.7847083182773138</v>
      </c>
      <c r="M3285" s="58" t="s">
        <v>23</v>
      </c>
      <c r="N3285" s="7">
        <v>9.5</v>
      </c>
      <c r="O3285" s="7" t="s">
        <v>179</v>
      </c>
      <c r="P3285" s="7" t="s">
        <v>179</v>
      </c>
    </row>
    <row r="3286" spans="1:16" x14ac:dyDescent="0.25">
      <c r="A3286" s="2" t="s">
        <v>181</v>
      </c>
      <c r="B3286" s="2" t="s">
        <v>206</v>
      </c>
      <c r="C3286" s="6" t="s">
        <v>153</v>
      </c>
      <c r="D3286" s="2" t="s">
        <v>122</v>
      </c>
      <c r="E3286" s="2"/>
      <c r="F3286" s="35">
        <v>0</v>
      </c>
      <c r="G3286" s="35">
        <v>38.231352634542425</v>
      </c>
      <c r="H3286" s="35">
        <v>-5.7420375990576256</v>
      </c>
      <c r="I3286" s="35">
        <v>5.0133666956987129E-2</v>
      </c>
      <c r="J3286" s="35">
        <v>-5.4849041909732542E-4</v>
      </c>
      <c r="K3286" s="35">
        <v>0.47606149106828832</v>
      </c>
      <c r="L3286" s="35">
        <v>12.871111761923622</v>
      </c>
      <c r="M3286" s="58" t="s">
        <v>22</v>
      </c>
      <c r="N3286" s="7">
        <v>9.5</v>
      </c>
      <c r="O3286" s="7" t="s">
        <v>179</v>
      </c>
      <c r="P3286" s="7" t="s">
        <v>179</v>
      </c>
    </row>
    <row r="3287" spans="1:16" x14ac:dyDescent="0.25">
      <c r="A3287" s="2" t="s">
        <v>181</v>
      </c>
      <c r="B3287" s="2" t="s">
        <v>206</v>
      </c>
      <c r="C3287" s="6" t="s">
        <v>153</v>
      </c>
      <c r="D3287" s="2" t="s">
        <v>122</v>
      </c>
      <c r="E3287" s="2"/>
      <c r="F3287" s="35">
        <v>4.4982502942822435</v>
      </c>
      <c r="G3287" s="35">
        <v>40.061685281385515</v>
      </c>
      <c r="H3287" s="35">
        <v>13.150613636927801</v>
      </c>
      <c r="I3287" s="35">
        <v>5.0133666956988281E-2</v>
      </c>
      <c r="J3287" s="35">
        <v>-5.4849041909732542E-4</v>
      </c>
      <c r="K3287" s="35">
        <v>0.25054770892557038</v>
      </c>
      <c r="L3287" s="35">
        <v>-3.7917029093573196</v>
      </c>
      <c r="M3287" s="58" t="s">
        <v>24</v>
      </c>
      <c r="N3287" s="7">
        <v>9.5</v>
      </c>
      <c r="O3287" s="7" t="s">
        <v>179</v>
      </c>
      <c r="P3287" s="7" t="s">
        <v>179</v>
      </c>
    </row>
    <row r="3288" spans="1:16" x14ac:dyDescent="0.25">
      <c r="A3288" s="2" t="s">
        <v>181</v>
      </c>
      <c r="B3288" s="2" t="s">
        <v>206</v>
      </c>
      <c r="C3288" s="6" t="s">
        <v>153</v>
      </c>
      <c r="D3288" s="2" t="s">
        <v>122</v>
      </c>
      <c r="E3288" s="2"/>
      <c r="F3288" s="35">
        <v>8.9965005885644871</v>
      </c>
      <c r="G3288" s="35">
        <v>41.892017928228611</v>
      </c>
      <c r="H3288" s="35">
        <v>32.043264872913227</v>
      </c>
      <c r="I3288" s="35">
        <v>5.0133666956989439E-2</v>
      </c>
      <c r="J3288" s="35">
        <v>-5.4849041909732542E-4</v>
      </c>
      <c r="K3288" s="35">
        <v>2.503392678284724E-2</v>
      </c>
      <c r="L3288" s="35">
        <v>-105.4383915626815</v>
      </c>
      <c r="M3288" s="58" t="s">
        <v>23</v>
      </c>
      <c r="N3288" s="7">
        <v>9.5</v>
      </c>
      <c r="O3288" s="7" t="s">
        <v>179</v>
      </c>
      <c r="P3288" s="7" t="s">
        <v>179</v>
      </c>
    </row>
    <row r="3289" spans="1:16" x14ac:dyDescent="0.25">
      <c r="A3289" s="2" t="s">
        <v>181</v>
      </c>
      <c r="B3289" s="2" t="s">
        <v>206</v>
      </c>
      <c r="C3289" s="6" t="s">
        <v>153</v>
      </c>
      <c r="D3289" s="2" t="s">
        <v>123</v>
      </c>
      <c r="E3289" s="2"/>
      <c r="F3289" s="35">
        <v>0</v>
      </c>
      <c r="G3289" s="35">
        <v>-3.8764441718059017</v>
      </c>
      <c r="H3289" s="35">
        <v>-10.247162570154117</v>
      </c>
      <c r="I3289" s="35">
        <v>5.0478838928032607E-2</v>
      </c>
      <c r="J3289" s="35">
        <v>-5.5201333576988603E-4</v>
      </c>
      <c r="K3289" s="35">
        <v>0.47933773055558015</v>
      </c>
      <c r="L3289" s="35">
        <v>-19.176019297682235</v>
      </c>
      <c r="M3289" s="58" t="s">
        <v>22</v>
      </c>
      <c r="N3289" s="7">
        <v>9.5</v>
      </c>
      <c r="O3289" s="7" t="s">
        <v>179</v>
      </c>
      <c r="P3289" s="7" t="s">
        <v>179</v>
      </c>
    </row>
    <row r="3290" spans="1:16" x14ac:dyDescent="0.25">
      <c r="A3290" s="2" t="s">
        <v>181</v>
      </c>
      <c r="B3290" s="2" t="s">
        <v>206</v>
      </c>
      <c r="C3290" s="6" t="s">
        <v>153</v>
      </c>
      <c r="D3290" s="2" t="s">
        <v>123</v>
      </c>
      <c r="E3290" s="2"/>
      <c r="F3290" s="35">
        <v>4.4982502942822435</v>
      </c>
      <c r="G3290" s="35">
        <v>-2.0461115249628126</v>
      </c>
      <c r="H3290" s="35">
        <v>-1.9343960263205313</v>
      </c>
      <c r="I3290" s="35">
        <v>5.0478838928033121E-2</v>
      </c>
      <c r="J3290" s="35">
        <v>-5.5201333576988603E-4</v>
      </c>
      <c r="K3290" s="35">
        <v>0.25227127849253039</v>
      </c>
      <c r="L3290" s="35">
        <v>8.2218304730220026</v>
      </c>
      <c r="M3290" s="58" t="s">
        <v>24</v>
      </c>
      <c r="N3290" s="7">
        <v>9.5</v>
      </c>
      <c r="O3290" s="7" t="s">
        <v>179</v>
      </c>
      <c r="P3290" s="7" t="s">
        <v>179</v>
      </c>
    </row>
    <row r="3291" spans="1:16" x14ac:dyDescent="0.25">
      <c r="A3291" s="2" t="s">
        <v>181</v>
      </c>
      <c r="B3291" s="2" t="s">
        <v>206</v>
      </c>
      <c r="C3291" s="6" t="s">
        <v>153</v>
      </c>
      <c r="D3291" s="2" t="s">
        <v>123</v>
      </c>
      <c r="E3291" s="2"/>
      <c r="F3291" s="35">
        <v>8.9965005885644871</v>
      </c>
      <c r="G3291" s="35">
        <v>-0.21577887811971591</v>
      </c>
      <c r="H3291" s="35">
        <v>6.3783705175130549</v>
      </c>
      <c r="I3291" s="35">
        <v>5.047883892803362E-2</v>
      </c>
      <c r="J3291" s="35">
        <v>-5.5201333576988603E-4</v>
      </c>
      <c r="K3291" s="35">
        <v>2.5204826429478314E-2</v>
      </c>
      <c r="L3291" s="35">
        <v>-1.7732243083727803</v>
      </c>
      <c r="M3291" s="58" t="s">
        <v>23</v>
      </c>
      <c r="N3291" s="7">
        <v>9.5</v>
      </c>
      <c r="O3291" s="7" t="s">
        <v>179</v>
      </c>
      <c r="P3291" s="7" t="s">
        <v>179</v>
      </c>
    </row>
    <row r="3292" spans="1:16" x14ac:dyDescent="0.25">
      <c r="A3292" s="2" t="s">
        <v>181</v>
      </c>
      <c r="B3292" s="2" t="s">
        <v>206</v>
      </c>
      <c r="C3292" s="6" t="s">
        <v>153</v>
      </c>
      <c r="D3292" s="2" t="s">
        <v>124</v>
      </c>
      <c r="E3292" s="2"/>
      <c r="F3292" s="35">
        <v>0</v>
      </c>
      <c r="G3292" s="35">
        <v>50.227233468200971</v>
      </c>
      <c r="H3292" s="35">
        <v>41.138239206286492</v>
      </c>
      <c r="I3292" s="35">
        <v>-3.9176747498700319E-4</v>
      </c>
      <c r="J3292" s="35">
        <v>5.6835986375480525E-6</v>
      </c>
      <c r="K3292" s="35">
        <v>-3.7186832501704989E-3</v>
      </c>
      <c r="L3292" s="35">
        <v>123.61717981178093</v>
      </c>
      <c r="M3292" s="58" t="s">
        <v>22</v>
      </c>
      <c r="N3292" s="7">
        <v>9.5</v>
      </c>
      <c r="O3292" s="7" t="s">
        <v>179</v>
      </c>
      <c r="P3292" s="7" t="s">
        <v>179</v>
      </c>
    </row>
    <row r="3293" spans="1:16" x14ac:dyDescent="0.25">
      <c r="A3293" s="2" t="s">
        <v>181</v>
      </c>
      <c r="B3293" s="2" t="s">
        <v>206</v>
      </c>
      <c r="C3293" s="6" t="s">
        <v>153</v>
      </c>
      <c r="D3293" s="2" t="s">
        <v>124</v>
      </c>
      <c r="E3293" s="2"/>
      <c r="F3293" s="35">
        <v>4.4982502942822435</v>
      </c>
      <c r="G3293" s="35">
        <v>52.057566115044061</v>
      </c>
      <c r="H3293" s="35">
        <v>27.535530316376995</v>
      </c>
      <c r="I3293" s="35">
        <v>-3.9176747498783607E-4</v>
      </c>
      <c r="J3293" s="35">
        <v>5.6835986375480525E-6</v>
      </c>
      <c r="K3293" s="35">
        <v>-1.9564150905181277E-3</v>
      </c>
      <c r="L3293" s="35">
        <v>-30.838722170615107</v>
      </c>
      <c r="M3293" s="58" t="s">
        <v>24</v>
      </c>
      <c r="N3293" s="7">
        <v>9.5</v>
      </c>
      <c r="O3293" s="7" t="s">
        <v>179</v>
      </c>
      <c r="P3293" s="7" t="s">
        <v>179</v>
      </c>
    </row>
    <row r="3294" spans="1:16" x14ac:dyDescent="0.25">
      <c r="A3294" s="2" t="s">
        <v>181</v>
      </c>
      <c r="B3294" s="2" t="s">
        <v>206</v>
      </c>
      <c r="C3294" s="6" t="s">
        <v>153</v>
      </c>
      <c r="D3294" s="2" t="s">
        <v>124</v>
      </c>
      <c r="E3294" s="2"/>
      <c r="F3294" s="35">
        <v>8.9965005885644871</v>
      </c>
      <c r="G3294" s="35">
        <v>53.887898761887158</v>
      </c>
      <c r="H3294" s="35">
        <v>13.932821426467488</v>
      </c>
      <c r="I3294" s="35">
        <v>-3.9176747498866895E-4</v>
      </c>
      <c r="J3294" s="35">
        <v>5.6835986375480525E-6</v>
      </c>
      <c r="K3294" s="35">
        <v>-1.941469308620094E-4</v>
      </c>
      <c r="L3294" s="35">
        <v>-124.10623488593998</v>
      </c>
      <c r="M3294" s="58" t="s">
        <v>23</v>
      </c>
      <c r="N3294" s="7">
        <v>9.5</v>
      </c>
      <c r="O3294" s="7" t="s">
        <v>179</v>
      </c>
      <c r="P3294" s="7" t="s">
        <v>179</v>
      </c>
    </row>
    <row r="3295" spans="1:16" x14ac:dyDescent="0.25">
      <c r="A3295" s="2" t="s">
        <v>181</v>
      </c>
      <c r="B3295" s="2" t="s">
        <v>206</v>
      </c>
      <c r="C3295" s="6" t="s">
        <v>153</v>
      </c>
      <c r="D3295" s="2" t="s">
        <v>125</v>
      </c>
      <c r="E3295" s="2"/>
      <c r="F3295" s="35">
        <v>0</v>
      </c>
      <c r="G3295" s="35">
        <v>-68.091410103057171</v>
      </c>
      <c r="H3295" s="35">
        <v>15.486574924887758</v>
      </c>
      <c r="I3295" s="35">
        <v>1.9128079565308945E-4</v>
      </c>
      <c r="J3295" s="35">
        <v>1.5403339506366677E-6</v>
      </c>
      <c r="K3295" s="35">
        <v>1.814686678954924E-3</v>
      </c>
      <c r="L3295" s="35">
        <v>47.593451420407597</v>
      </c>
      <c r="M3295" s="58" t="s">
        <v>22</v>
      </c>
      <c r="N3295" s="7">
        <v>9.5</v>
      </c>
      <c r="O3295" s="7" t="s">
        <v>179</v>
      </c>
      <c r="P3295" s="7" t="s">
        <v>179</v>
      </c>
    </row>
    <row r="3296" spans="1:16" x14ac:dyDescent="0.25">
      <c r="A3296" s="2" t="s">
        <v>181</v>
      </c>
      <c r="B3296" s="2" t="s">
        <v>206</v>
      </c>
      <c r="C3296" s="6" t="s">
        <v>153</v>
      </c>
      <c r="D3296" s="2" t="s">
        <v>125</v>
      </c>
      <c r="E3296" s="2"/>
      <c r="F3296" s="35">
        <v>4.4982502942822435</v>
      </c>
      <c r="G3296" s="35">
        <v>-66.261077456214096</v>
      </c>
      <c r="H3296" s="35">
        <v>-8.6960186571735836</v>
      </c>
      <c r="I3296" s="35">
        <v>1.9128079565160867E-4</v>
      </c>
      <c r="J3296" s="35">
        <v>1.5403339506366677E-6</v>
      </c>
      <c r="K3296" s="35">
        <v>9.54257783621203E-4</v>
      </c>
      <c r="L3296" s="35">
        <v>32.320640555614879</v>
      </c>
      <c r="M3296" s="58" t="s">
        <v>24</v>
      </c>
      <c r="N3296" s="7">
        <v>9.5</v>
      </c>
      <c r="O3296" s="7" t="s">
        <v>179</v>
      </c>
      <c r="P3296" s="7" t="s">
        <v>179</v>
      </c>
    </row>
    <row r="3297" spans="1:16" x14ac:dyDescent="0.25">
      <c r="A3297" s="2" t="s">
        <v>181</v>
      </c>
      <c r="B3297" s="2" t="s">
        <v>206</v>
      </c>
      <c r="C3297" s="6" t="s">
        <v>153</v>
      </c>
      <c r="D3297" s="2" t="s">
        <v>125</v>
      </c>
      <c r="E3297" s="2"/>
      <c r="F3297" s="35">
        <v>8.9965005885644871</v>
      </c>
      <c r="G3297" s="35">
        <v>-64.430744809370992</v>
      </c>
      <c r="H3297" s="35">
        <v>-32.878612239234926</v>
      </c>
      <c r="I3297" s="35">
        <v>1.9128079565012792E-4</v>
      </c>
      <c r="J3297" s="35">
        <v>1.5403339506366677E-6</v>
      </c>
      <c r="K3297" s="35">
        <v>9.3828888294142978E-5</v>
      </c>
      <c r="L3297" s="35">
        <v>125.8271883878375</v>
      </c>
      <c r="M3297" s="58" t="s">
        <v>23</v>
      </c>
      <c r="N3297" s="7">
        <v>9.5</v>
      </c>
      <c r="O3297" s="7" t="s">
        <v>179</v>
      </c>
      <c r="P3297" s="7" t="s">
        <v>179</v>
      </c>
    </row>
    <row r="3298" spans="1:16" x14ac:dyDescent="0.25">
      <c r="A3298" s="2" t="s">
        <v>181</v>
      </c>
      <c r="B3298" s="2" t="s">
        <v>206</v>
      </c>
      <c r="C3298" s="6" t="s">
        <v>153</v>
      </c>
      <c r="D3298" s="2" t="s">
        <v>126</v>
      </c>
      <c r="E3298" s="2"/>
      <c r="F3298" s="35">
        <v>0</v>
      </c>
      <c r="G3298" s="35">
        <v>33.215025538531826</v>
      </c>
      <c r="H3298" s="35">
        <v>-7.0155892948089553</v>
      </c>
      <c r="I3298" s="35">
        <v>-6.9281583608668247E-4</v>
      </c>
      <c r="J3298" s="35">
        <v>8.5956902457989501E-6</v>
      </c>
      <c r="K3298" s="35">
        <v>-6.5766408588786868E-3</v>
      </c>
      <c r="L3298" s="35">
        <v>-15.934235152843986</v>
      </c>
      <c r="M3298" s="58" t="s">
        <v>22</v>
      </c>
      <c r="N3298" s="7">
        <v>9.5</v>
      </c>
      <c r="O3298" s="7" t="s">
        <v>179</v>
      </c>
      <c r="P3298" s="7" t="s">
        <v>179</v>
      </c>
    </row>
    <row r="3299" spans="1:16" x14ac:dyDescent="0.25">
      <c r="A3299" s="2" t="s">
        <v>181</v>
      </c>
      <c r="B3299" s="2" t="s">
        <v>206</v>
      </c>
      <c r="C3299" s="6" t="s">
        <v>153</v>
      </c>
      <c r="D3299" s="2" t="s">
        <v>126</v>
      </c>
      <c r="E3299" s="2"/>
      <c r="F3299" s="35">
        <v>4.4982502942822435</v>
      </c>
      <c r="G3299" s="35">
        <v>35.045358185374916</v>
      </c>
      <c r="H3299" s="35">
        <v>7.3428256445399693</v>
      </c>
      <c r="I3299" s="35">
        <v>-6.9281583608580329E-4</v>
      </c>
      <c r="J3299" s="35">
        <v>8.5956902457989501E-6</v>
      </c>
      <c r="K3299" s="35">
        <v>-3.4601818203203473E-3</v>
      </c>
      <c r="L3299" s="35">
        <v>-16.670230656082676</v>
      </c>
      <c r="M3299" s="58" t="s">
        <v>24</v>
      </c>
      <c r="N3299" s="7">
        <v>9.5</v>
      </c>
      <c r="O3299" s="7" t="s">
        <v>179</v>
      </c>
      <c r="P3299" s="7" t="s">
        <v>179</v>
      </c>
    </row>
    <row r="3300" spans="1:16" x14ac:dyDescent="0.25">
      <c r="A3300" s="2" t="s">
        <v>181</v>
      </c>
      <c r="B3300" s="2" t="s">
        <v>206</v>
      </c>
      <c r="C3300" s="6" t="s">
        <v>153</v>
      </c>
      <c r="D3300" s="2" t="s">
        <v>126</v>
      </c>
      <c r="E3300" s="2"/>
      <c r="F3300" s="35">
        <v>8.9965005885644871</v>
      </c>
      <c r="G3300" s="35">
        <v>36.875690832218012</v>
      </c>
      <c r="H3300" s="35">
        <v>21.70124058388889</v>
      </c>
      <c r="I3300" s="35">
        <v>-6.9281583608492411E-4</v>
      </c>
      <c r="J3300" s="35">
        <v>8.5956902457989501E-6</v>
      </c>
      <c r="K3300" s="35">
        <v>-3.4372278176596221E-4</v>
      </c>
      <c r="L3300" s="35">
        <v>-81.993970385674245</v>
      </c>
      <c r="M3300" s="58" t="s">
        <v>23</v>
      </c>
      <c r="N3300" s="7">
        <v>9.5</v>
      </c>
      <c r="O3300" s="7" t="s">
        <v>179</v>
      </c>
      <c r="P3300" s="7" t="s">
        <v>179</v>
      </c>
    </row>
    <row r="3301" spans="1:16" x14ac:dyDescent="0.25">
      <c r="A3301" s="2" t="s">
        <v>181</v>
      </c>
      <c r="B3301" s="2" t="s">
        <v>206</v>
      </c>
      <c r="C3301" s="6" t="s">
        <v>153</v>
      </c>
      <c r="D3301" s="2" t="s">
        <v>127</v>
      </c>
      <c r="E3301" s="2"/>
      <c r="F3301" s="35">
        <v>0</v>
      </c>
      <c r="G3301" s="35">
        <v>-20.279708350111243</v>
      </c>
      <c r="H3301" s="35">
        <v>-23.271275535781317</v>
      </c>
      <c r="I3301" s="35">
        <v>9.3369357476423497E-5</v>
      </c>
      <c r="J3301" s="35">
        <v>2.4092625123903525E-6</v>
      </c>
      <c r="K3301" s="35">
        <v>8.8558917009650892E-4</v>
      </c>
      <c r="L3301" s="35">
        <v>-112.74444607116259</v>
      </c>
      <c r="M3301" s="58" t="s">
        <v>22</v>
      </c>
      <c r="N3301" s="7">
        <v>9.5</v>
      </c>
      <c r="O3301" s="7" t="s">
        <v>179</v>
      </c>
      <c r="P3301" s="7" t="s">
        <v>179</v>
      </c>
    </row>
    <row r="3302" spans="1:16" x14ac:dyDescent="0.25">
      <c r="A3302" s="2" t="s">
        <v>181</v>
      </c>
      <c r="B3302" s="2" t="s">
        <v>206</v>
      </c>
      <c r="C3302" s="6" t="s">
        <v>153</v>
      </c>
      <c r="D3302" s="2" t="s">
        <v>127</v>
      </c>
      <c r="E3302" s="2"/>
      <c r="F3302" s="35">
        <v>4.4982502942822435</v>
      </c>
      <c r="G3302" s="35">
        <v>-18.449375703268153</v>
      </c>
      <c r="H3302" s="35">
        <v>-19.492745288584231</v>
      </c>
      <c r="I3302" s="35">
        <v>9.3369357476654865E-5</v>
      </c>
      <c r="J3302" s="35">
        <v>2.4092625123903525E-6</v>
      </c>
      <c r="K3302" s="35">
        <v>4.655904303507225E-4</v>
      </c>
      <c r="L3302" s="35">
        <v>-16.56281144221543</v>
      </c>
      <c r="M3302" s="58" t="s">
        <v>24</v>
      </c>
      <c r="N3302" s="7">
        <v>9.5</v>
      </c>
      <c r="O3302" s="7" t="s">
        <v>179</v>
      </c>
      <c r="P3302" s="7" t="s">
        <v>179</v>
      </c>
    </row>
    <row r="3303" spans="1:16" x14ac:dyDescent="0.25">
      <c r="A3303" s="2" t="s">
        <v>181</v>
      </c>
      <c r="B3303" s="2" t="s">
        <v>206</v>
      </c>
      <c r="C3303" s="6" t="s">
        <v>153</v>
      </c>
      <c r="D3303" s="2" t="s">
        <v>127</v>
      </c>
      <c r="E3303" s="2"/>
      <c r="F3303" s="35">
        <v>8.9965005885644871</v>
      </c>
      <c r="G3303" s="35">
        <v>-16.619043056425056</v>
      </c>
      <c r="H3303" s="35">
        <v>-15.714215041387147</v>
      </c>
      <c r="I3303" s="35">
        <v>9.3369357476886234E-5</v>
      </c>
      <c r="J3303" s="35">
        <v>2.4092625123903525E-6</v>
      </c>
      <c r="K3303" s="35">
        <v>4.5591690603895459E-5</v>
      </c>
      <c r="L3303" s="35">
        <v>62.62204839032308</v>
      </c>
      <c r="M3303" s="58" t="s">
        <v>23</v>
      </c>
      <c r="N3303" s="7">
        <v>9.5</v>
      </c>
      <c r="O3303" s="7" t="s">
        <v>179</v>
      </c>
      <c r="P3303" s="7" t="s">
        <v>179</v>
      </c>
    </row>
    <row r="3304" spans="1:16" x14ac:dyDescent="0.25">
      <c r="A3304" s="2" t="s">
        <v>183</v>
      </c>
      <c r="B3304" s="2" t="s">
        <v>207</v>
      </c>
      <c r="C3304" s="6" t="s">
        <v>154</v>
      </c>
      <c r="D3304" s="2" t="s">
        <v>105</v>
      </c>
      <c r="E3304" s="2"/>
      <c r="F3304" s="35">
        <v>0</v>
      </c>
      <c r="G3304" s="35">
        <v>-96.048087924553329</v>
      </c>
      <c r="H3304" s="35">
        <v>1.7165010199190998</v>
      </c>
      <c r="I3304" s="35">
        <v>-2.0834736472028875E-4</v>
      </c>
      <c r="J3304" s="35">
        <v>-7.2735330060353835E-6</v>
      </c>
      <c r="K3304" s="35">
        <v>-2.405189859259855E-3</v>
      </c>
      <c r="L3304" s="35">
        <v>3.9854071775717603</v>
      </c>
      <c r="M3304" s="58" t="s">
        <v>22</v>
      </c>
      <c r="N3304" s="7">
        <v>11.333333333333334</v>
      </c>
      <c r="O3304" s="7" t="s">
        <v>180</v>
      </c>
      <c r="P3304" s="7" t="s">
        <v>180</v>
      </c>
    </row>
    <row r="3305" spans="1:16" x14ac:dyDescent="0.25">
      <c r="A3305" s="2" t="s">
        <v>183</v>
      </c>
      <c r="B3305" s="2" t="s">
        <v>207</v>
      </c>
      <c r="C3305" s="6" t="s">
        <v>154</v>
      </c>
      <c r="D3305" s="2" t="s">
        <v>105</v>
      </c>
      <c r="E3305" s="2"/>
      <c r="F3305" s="35">
        <v>5.4149169609489114</v>
      </c>
      <c r="G3305" s="35">
        <v>-93.468677068437827</v>
      </c>
      <c r="H3305" s="35">
        <v>1.7165010199190998</v>
      </c>
      <c r="I3305" s="35">
        <v>-2.0834736472028875E-4</v>
      </c>
      <c r="J3305" s="35">
        <v>-7.2735330060353835E-6</v>
      </c>
      <c r="K3305" s="35">
        <v>-1.2770061802669544E-3</v>
      </c>
      <c r="L3305" s="35">
        <v>-5.309303308674278</v>
      </c>
      <c r="M3305" s="58" t="s">
        <v>24</v>
      </c>
      <c r="N3305" s="7">
        <v>11.333333333333334</v>
      </c>
      <c r="O3305" s="7" t="s">
        <v>180</v>
      </c>
      <c r="P3305" s="7" t="s">
        <v>180</v>
      </c>
    </row>
    <row r="3306" spans="1:16" x14ac:dyDescent="0.25">
      <c r="A3306" s="2" t="s">
        <v>183</v>
      </c>
      <c r="B3306" s="2" t="s">
        <v>207</v>
      </c>
      <c r="C3306" s="6" t="s">
        <v>154</v>
      </c>
      <c r="D3306" s="2" t="s">
        <v>105</v>
      </c>
      <c r="E3306" s="2"/>
      <c r="F3306" s="35">
        <v>10.829833921897823</v>
      </c>
      <c r="G3306" s="35">
        <v>-90.889266212322326</v>
      </c>
      <c r="H3306" s="35">
        <v>1.7165010199190998</v>
      </c>
      <c r="I3306" s="35">
        <v>-2.0834736472028875E-4</v>
      </c>
      <c r="J3306" s="35">
        <v>-7.2735330060353835E-6</v>
      </c>
      <c r="K3306" s="35">
        <v>-1.4882250127405428E-4</v>
      </c>
      <c r="L3306" s="35">
        <v>-14.604013794920318</v>
      </c>
      <c r="M3306" s="58" t="s">
        <v>23</v>
      </c>
      <c r="N3306" s="7">
        <v>11.333333333333334</v>
      </c>
      <c r="O3306" s="7" t="s">
        <v>180</v>
      </c>
      <c r="P3306" s="7" t="s">
        <v>180</v>
      </c>
    </row>
    <row r="3307" spans="1:16" x14ac:dyDescent="0.25">
      <c r="A3307" s="2" t="s">
        <v>183</v>
      </c>
      <c r="B3307" s="2" t="s">
        <v>207</v>
      </c>
      <c r="C3307" s="6" t="s">
        <v>154</v>
      </c>
      <c r="D3307" s="2" t="s">
        <v>15</v>
      </c>
      <c r="E3307" s="2"/>
      <c r="F3307" s="35">
        <v>0</v>
      </c>
      <c r="G3307" s="35">
        <v>121.90355313778991</v>
      </c>
      <c r="H3307" s="35">
        <v>-6.2068172364834648</v>
      </c>
      <c r="I3307" s="35">
        <v>-2.852878763165944E-2</v>
      </c>
      <c r="J3307" s="35">
        <v>-5.4525780134241934E-4</v>
      </c>
      <c r="K3307" s="35">
        <v>-0.32796663717697966</v>
      </c>
      <c r="L3307" s="35">
        <v>-21.078377418209428</v>
      </c>
      <c r="M3307" s="58" t="s">
        <v>22</v>
      </c>
      <c r="N3307" s="7">
        <v>11.333333333333334</v>
      </c>
      <c r="O3307" s="7" t="s">
        <v>180</v>
      </c>
      <c r="P3307" s="7" t="s">
        <v>180</v>
      </c>
    </row>
    <row r="3308" spans="1:16" x14ac:dyDescent="0.25">
      <c r="A3308" s="2" t="s">
        <v>183</v>
      </c>
      <c r="B3308" s="2" t="s">
        <v>207</v>
      </c>
      <c r="C3308" s="6" t="s">
        <v>154</v>
      </c>
      <c r="D3308" s="2" t="s">
        <v>15</v>
      </c>
      <c r="E3308" s="2"/>
      <c r="F3308" s="35">
        <v>5.4149169609489114</v>
      </c>
      <c r="G3308" s="35">
        <v>124.48296399390541</v>
      </c>
      <c r="H3308" s="35">
        <v>-6.2068172364834648</v>
      </c>
      <c r="I3308" s="35">
        <v>-2.852878763165944E-2</v>
      </c>
      <c r="J3308" s="35">
        <v>-5.4525780134241934E-4</v>
      </c>
      <c r="K3308" s="35">
        <v>-0.17348562115499741</v>
      </c>
      <c r="L3308" s="35">
        <v>12.53102250913493</v>
      </c>
      <c r="M3308" s="58" t="s">
        <v>24</v>
      </c>
      <c r="N3308" s="7">
        <v>11.333333333333334</v>
      </c>
      <c r="O3308" s="7" t="s">
        <v>180</v>
      </c>
      <c r="P3308" s="7" t="s">
        <v>180</v>
      </c>
    </row>
    <row r="3309" spans="1:16" x14ac:dyDescent="0.25">
      <c r="A3309" s="2" t="s">
        <v>183</v>
      </c>
      <c r="B3309" s="2" t="s">
        <v>207</v>
      </c>
      <c r="C3309" s="6" t="s">
        <v>154</v>
      </c>
      <c r="D3309" s="2" t="s">
        <v>15</v>
      </c>
      <c r="E3309" s="2"/>
      <c r="F3309" s="35">
        <v>10.829833921897823</v>
      </c>
      <c r="G3309" s="35">
        <v>127.06237485002092</v>
      </c>
      <c r="H3309" s="35">
        <v>-6.2068172364834648</v>
      </c>
      <c r="I3309" s="35">
        <v>-2.852878763165944E-2</v>
      </c>
      <c r="J3309" s="35">
        <v>-5.4525780134241934E-4</v>
      </c>
      <c r="K3309" s="35">
        <v>-1.9004605133015228E-2</v>
      </c>
      <c r="L3309" s="35">
        <v>46.140422436479291</v>
      </c>
      <c r="M3309" s="58" t="s">
        <v>23</v>
      </c>
      <c r="N3309" s="7">
        <v>11.333333333333334</v>
      </c>
      <c r="O3309" s="7" t="s">
        <v>180</v>
      </c>
      <c r="P3309" s="7" t="s">
        <v>180</v>
      </c>
    </row>
    <row r="3310" spans="1:16" x14ac:dyDescent="0.25">
      <c r="A3310" s="2" t="s">
        <v>183</v>
      </c>
      <c r="B3310" s="2" t="s">
        <v>207</v>
      </c>
      <c r="C3310" s="6" t="s">
        <v>154</v>
      </c>
      <c r="D3310" s="2" t="s">
        <v>16</v>
      </c>
      <c r="E3310" s="2"/>
      <c r="F3310" s="35">
        <v>0</v>
      </c>
      <c r="G3310" s="35">
        <v>41.539353605292234</v>
      </c>
      <c r="H3310" s="35">
        <v>-3.0314303564770286</v>
      </c>
      <c r="I3310" s="35">
        <v>-2.8562206916124905E-2</v>
      </c>
      <c r="J3310" s="35">
        <v>-5.4876812464869993E-4</v>
      </c>
      <c r="K3310" s="35">
        <v>-0.32835976028578528</v>
      </c>
      <c r="L3310" s="35">
        <v>-10.771909534375888</v>
      </c>
      <c r="M3310" s="58" t="s">
        <v>22</v>
      </c>
      <c r="N3310" s="7">
        <v>11.333333333333334</v>
      </c>
      <c r="O3310" s="7" t="s">
        <v>180</v>
      </c>
      <c r="P3310" s="7" t="s">
        <v>180</v>
      </c>
    </row>
    <row r="3311" spans="1:16" x14ac:dyDescent="0.25">
      <c r="A3311" s="2" t="s">
        <v>183</v>
      </c>
      <c r="B3311" s="2" t="s">
        <v>207</v>
      </c>
      <c r="C3311" s="6" t="s">
        <v>154</v>
      </c>
      <c r="D3311" s="2" t="s">
        <v>16</v>
      </c>
      <c r="E3311" s="2"/>
      <c r="F3311" s="35">
        <v>5.4149169609489114</v>
      </c>
      <c r="G3311" s="35">
        <v>44.118764461407743</v>
      </c>
      <c r="H3311" s="35">
        <v>-3.0314303564770286</v>
      </c>
      <c r="I3311" s="35">
        <v>-2.8562206916124905E-2</v>
      </c>
      <c r="J3311" s="35">
        <v>-5.4876812464869993E-4</v>
      </c>
      <c r="K3311" s="35">
        <v>-0.17369778161352822</v>
      </c>
      <c r="L3311" s="35">
        <v>5.6430341188469777</v>
      </c>
      <c r="M3311" s="58" t="s">
        <v>24</v>
      </c>
      <c r="N3311" s="7">
        <v>11.333333333333334</v>
      </c>
      <c r="O3311" s="7" t="s">
        <v>180</v>
      </c>
      <c r="P3311" s="7" t="s">
        <v>180</v>
      </c>
    </row>
    <row r="3312" spans="1:16" x14ac:dyDescent="0.25">
      <c r="A3312" s="2" t="s">
        <v>183</v>
      </c>
      <c r="B3312" s="2" t="s">
        <v>207</v>
      </c>
      <c r="C3312" s="6" t="s">
        <v>154</v>
      </c>
      <c r="D3312" s="2" t="s">
        <v>16</v>
      </c>
      <c r="E3312" s="2"/>
      <c r="F3312" s="35">
        <v>10.829833921897823</v>
      </c>
      <c r="G3312" s="35">
        <v>46.698175317523251</v>
      </c>
      <c r="H3312" s="35">
        <v>-3.0314303564770286</v>
      </c>
      <c r="I3312" s="35">
        <v>-2.8562206916124905E-2</v>
      </c>
      <c r="J3312" s="35">
        <v>-5.4876812464869993E-4</v>
      </c>
      <c r="K3312" s="35">
        <v>-1.9035802941271183E-2</v>
      </c>
      <c r="L3312" s="35">
        <v>22.05797777206984</v>
      </c>
      <c r="M3312" s="58" t="s">
        <v>23</v>
      </c>
      <c r="N3312" s="7">
        <v>11.333333333333334</v>
      </c>
      <c r="O3312" s="7" t="s">
        <v>180</v>
      </c>
      <c r="P3312" s="7" t="s">
        <v>180</v>
      </c>
    </row>
    <row r="3313" spans="1:16" x14ac:dyDescent="0.25">
      <c r="A3313" s="2" t="s">
        <v>183</v>
      </c>
      <c r="B3313" s="2" t="s">
        <v>207</v>
      </c>
      <c r="C3313" s="6" t="s">
        <v>154</v>
      </c>
      <c r="D3313" s="2" t="s">
        <v>106</v>
      </c>
      <c r="E3313" s="2"/>
      <c r="F3313" s="35">
        <v>0</v>
      </c>
      <c r="G3313" s="35">
        <v>121.90327609644629</v>
      </c>
      <c r="H3313" s="35">
        <v>-6.2064698657956194</v>
      </c>
      <c r="I3313" s="35">
        <v>2.9101442330463526E-2</v>
      </c>
      <c r="J3313" s="35">
        <v>5.6324381263023811E-4</v>
      </c>
      <c r="K3313" s="35">
        <v>0.33457127008048576</v>
      </c>
      <c r="L3313" s="35">
        <v>-21.077344306794355</v>
      </c>
      <c r="M3313" s="58" t="s">
        <v>22</v>
      </c>
      <c r="N3313" s="7">
        <v>11.333333333333334</v>
      </c>
      <c r="O3313" s="7" t="s">
        <v>180</v>
      </c>
      <c r="P3313" s="7" t="s">
        <v>180</v>
      </c>
    </row>
    <row r="3314" spans="1:16" x14ac:dyDescent="0.25">
      <c r="A3314" s="2" t="s">
        <v>183</v>
      </c>
      <c r="B3314" s="2" t="s">
        <v>207</v>
      </c>
      <c r="C3314" s="6" t="s">
        <v>154</v>
      </c>
      <c r="D3314" s="2" t="s">
        <v>106</v>
      </c>
      <c r="E3314" s="2"/>
      <c r="F3314" s="35">
        <v>5.4149169609489114</v>
      </c>
      <c r="G3314" s="35">
        <v>124.48268695256178</v>
      </c>
      <c r="H3314" s="35">
        <v>-6.2064698657956194</v>
      </c>
      <c r="I3314" s="35">
        <v>2.9101442330463526E-2</v>
      </c>
      <c r="J3314" s="35">
        <v>5.6324381263023811E-4</v>
      </c>
      <c r="K3314" s="35">
        <v>0.17698937641718224</v>
      </c>
      <c r="L3314" s="35">
        <v>12.53017463712065</v>
      </c>
      <c r="M3314" s="58" t="s">
        <v>24</v>
      </c>
      <c r="N3314" s="7">
        <v>11.333333333333334</v>
      </c>
      <c r="O3314" s="7" t="s">
        <v>180</v>
      </c>
      <c r="P3314" s="7" t="s">
        <v>180</v>
      </c>
    </row>
    <row r="3315" spans="1:16" x14ac:dyDescent="0.25">
      <c r="A3315" s="2" t="s">
        <v>183</v>
      </c>
      <c r="B3315" s="2" t="s">
        <v>207</v>
      </c>
      <c r="C3315" s="6" t="s">
        <v>154</v>
      </c>
      <c r="D3315" s="2" t="s">
        <v>106</v>
      </c>
      <c r="E3315" s="2"/>
      <c r="F3315" s="35">
        <v>10.829833921897823</v>
      </c>
      <c r="G3315" s="35">
        <v>127.06209780867729</v>
      </c>
      <c r="H3315" s="35">
        <v>-6.2064698657956194</v>
      </c>
      <c r="I3315" s="35">
        <v>2.9101442330463526E-2</v>
      </c>
      <c r="J3315" s="35">
        <v>5.6324381263023811E-4</v>
      </c>
      <c r="K3315" s="35">
        <v>1.940748275387871E-2</v>
      </c>
      <c r="L3315" s="35">
        <v>46.137693581035656</v>
      </c>
      <c r="M3315" s="58" t="s">
        <v>23</v>
      </c>
      <c r="N3315" s="7">
        <v>11.333333333333334</v>
      </c>
      <c r="O3315" s="7" t="s">
        <v>180</v>
      </c>
      <c r="P3315" s="7" t="s">
        <v>180</v>
      </c>
    </row>
    <row r="3316" spans="1:16" x14ac:dyDescent="0.25">
      <c r="A3316" s="2" t="s">
        <v>183</v>
      </c>
      <c r="B3316" s="2" t="s">
        <v>207</v>
      </c>
      <c r="C3316" s="6" t="s">
        <v>154</v>
      </c>
      <c r="D3316" s="2" t="s">
        <v>107</v>
      </c>
      <c r="E3316" s="2"/>
      <c r="F3316" s="35">
        <v>0</v>
      </c>
      <c r="G3316" s="35">
        <v>41.539076962563172</v>
      </c>
      <c r="H3316" s="35">
        <v>-3.0310835094127055</v>
      </c>
      <c r="I3316" s="35">
        <v>2.9045721254568627E-2</v>
      </c>
      <c r="J3316" s="35">
        <v>5.588377744918583E-4</v>
      </c>
      <c r="K3316" s="35">
        <v>0.33392034299653783</v>
      </c>
      <c r="L3316" s="35">
        <v>-10.770877904637064</v>
      </c>
      <c r="M3316" s="58" t="s">
        <v>22</v>
      </c>
      <c r="N3316" s="7">
        <v>11.333333333333334</v>
      </c>
      <c r="O3316" s="7" t="s">
        <v>180</v>
      </c>
      <c r="P3316" s="7" t="s">
        <v>180</v>
      </c>
    </row>
    <row r="3317" spans="1:16" x14ac:dyDescent="0.25">
      <c r="A3317" s="2" t="s">
        <v>183</v>
      </c>
      <c r="B3317" s="2" t="s">
        <v>207</v>
      </c>
      <c r="C3317" s="6" t="s">
        <v>154</v>
      </c>
      <c r="D3317" s="2" t="s">
        <v>107</v>
      </c>
      <c r="E3317" s="2"/>
      <c r="F3317" s="35">
        <v>5.4149169609489114</v>
      </c>
      <c r="G3317" s="35">
        <v>44.11848781867868</v>
      </c>
      <c r="H3317" s="35">
        <v>-3.0310835094127055</v>
      </c>
      <c r="I3317" s="35">
        <v>2.9045721254568627E-2</v>
      </c>
      <c r="J3317" s="35">
        <v>5.588377744918583E-4</v>
      </c>
      <c r="K3317" s="35">
        <v>0.17664017433217993</v>
      </c>
      <c r="L3317" s="35">
        <v>5.6421876005343439</v>
      </c>
      <c r="M3317" s="58" t="s">
        <v>24</v>
      </c>
      <c r="N3317" s="7">
        <v>11.333333333333334</v>
      </c>
      <c r="O3317" s="7" t="s">
        <v>180</v>
      </c>
      <c r="P3317" s="7" t="s">
        <v>180</v>
      </c>
    </row>
    <row r="3318" spans="1:16" x14ac:dyDescent="0.25">
      <c r="A3318" s="2" t="s">
        <v>183</v>
      </c>
      <c r="B3318" s="2" t="s">
        <v>207</v>
      </c>
      <c r="C3318" s="6" t="s">
        <v>154</v>
      </c>
      <c r="D3318" s="2" t="s">
        <v>107</v>
      </c>
      <c r="E3318" s="2"/>
      <c r="F3318" s="35">
        <v>10.829833921897823</v>
      </c>
      <c r="G3318" s="35">
        <v>46.697898674794189</v>
      </c>
      <c r="H3318" s="35">
        <v>-3.0310835094127055</v>
      </c>
      <c r="I3318" s="35">
        <v>2.9045721254568627E-2</v>
      </c>
      <c r="J3318" s="35">
        <v>5.588377744918583E-4</v>
      </c>
      <c r="K3318" s="35">
        <v>1.9360005667821999E-2</v>
      </c>
      <c r="L3318" s="35">
        <v>22.055253105705752</v>
      </c>
      <c r="M3318" s="58" t="s">
        <v>23</v>
      </c>
      <c r="N3318" s="7">
        <v>11.333333333333334</v>
      </c>
      <c r="O3318" s="7" t="s">
        <v>180</v>
      </c>
      <c r="P3318" s="7" t="s">
        <v>180</v>
      </c>
    </row>
    <row r="3319" spans="1:16" x14ac:dyDescent="0.25">
      <c r="A3319" s="2" t="s">
        <v>183</v>
      </c>
      <c r="B3319" s="2" t="s">
        <v>207</v>
      </c>
      <c r="C3319" s="6" t="s">
        <v>154</v>
      </c>
      <c r="D3319" s="2" t="s">
        <v>108</v>
      </c>
      <c r="E3319" s="2"/>
      <c r="F3319" s="35">
        <v>0</v>
      </c>
      <c r="G3319" s="35">
        <v>120.92746343833853</v>
      </c>
      <c r="H3319" s="35">
        <v>-0.24780995333038169</v>
      </c>
      <c r="I3319" s="35">
        <v>-2.8615678490588874E-6</v>
      </c>
      <c r="J3319" s="35">
        <v>4.2750081901091605E-6</v>
      </c>
      <c r="K3319" s="35">
        <v>-1.895301120660235E-5</v>
      </c>
      <c r="L3319" s="35">
        <v>16.33434981137993</v>
      </c>
      <c r="M3319" s="58" t="s">
        <v>22</v>
      </c>
      <c r="N3319" s="7">
        <v>11.333333333333334</v>
      </c>
      <c r="O3319" s="7" t="s">
        <v>180</v>
      </c>
      <c r="P3319" s="7" t="s">
        <v>180</v>
      </c>
    </row>
    <row r="3320" spans="1:16" x14ac:dyDescent="0.25">
      <c r="A3320" s="2" t="s">
        <v>183</v>
      </c>
      <c r="B3320" s="2" t="s">
        <v>207</v>
      </c>
      <c r="C3320" s="6" t="s">
        <v>154</v>
      </c>
      <c r="D3320" s="2" t="s">
        <v>108</v>
      </c>
      <c r="E3320" s="2"/>
      <c r="F3320" s="35">
        <v>5.4149169609489114</v>
      </c>
      <c r="G3320" s="35">
        <v>123.50687429445404</v>
      </c>
      <c r="H3320" s="35">
        <v>-0.24780995333038169</v>
      </c>
      <c r="I3320" s="35">
        <v>-2.8615678490588874E-6</v>
      </c>
      <c r="J3320" s="35">
        <v>4.2750081901091605E-6</v>
      </c>
      <c r="K3320" s="35">
        <v>-3.457858925827167E-6</v>
      </c>
      <c r="L3320" s="35">
        <v>17.676220130760569</v>
      </c>
      <c r="M3320" s="58" t="s">
        <v>24</v>
      </c>
      <c r="N3320" s="7">
        <v>11.333333333333334</v>
      </c>
      <c r="O3320" s="7" t="s">
        <v>180</v>
      </c>
      <c r="P3320" s="7" t="s">
        <v>180</v>
      </c>
    </row>
    <row r="3321" spans="1:16" x14ac:dyDescent="0.25">
      <c r="A3321" s="2" t="s">
        <v>183</v>
      </c>
      <c r="B3321" s="2" t="s">
        <v>207</v>
      </c>
      <c r="C3321" s="6" t="s">
        <v>154</v>
      </c>
      <c r="D3321" s="2" t="s">
        <v>108</v>
      </c>
      <c r="E3321" s="2"/>
      <c r="F3321" s="35">
        <v>10.829833921897823</v>
      </c>
      <c r="G3321" s="35">
        <v>126.08628515056955</v>
      </c>
      <c r="H3321" s="35">
        <v>-0.24780995333038169</v>
      </c>
      <c r="I3321" s="35">
        <v>-2.8615678490588874E-6</v>
      </c>
      <c r="J3321" s="35">
        <v>4.2750081901091605E-6</v>
      </c>
      <c r="K3321" s="35">
        <v>1.2037293354947888E-5</v>
      </c>
      <c r="L3321" s="35">
        <v>19.018090450141209</v>
      </c>
      <c r="M3321" s="58" t="s">
        <v>23</v>
      </c>
      <c r="N3321" s="7">
        <v>11.333333333333334</v>
      </c>
      <c r="O3321" s="7" t="s">
        <v>180</v>
      </c>
      <c r="P3321" s="7" t="s">
        <v>180</v>
      </c>
    </row>
    <row r="3322" spans="1:16" x14ac:dyDescent="0.25">
      <c r="A3322" s="2" t="s">
        <v>183</v>
      </c>
      <c r="B3322" s="2" t="s">
        <v>207</v>
      </c>
      <c r="C3322" s="6" t="s">
        <v>154</v>
      </c>
      <c r="D3322" s="2" t="s">
        <v>109</v>
      </c>
      <c r="E3322" s="2"/>
      <c r="F3322" s="35">
        <v>0</v>
      </c>
      <c r="G3322" s="35">
        <v>-91.702301426448443</v>
      </c>
      <c r="H3322" s="35">
        <v>13.271508972688041</v>
      </c>
      <c r="I3322" s="35">
        <v>-3.647038082412443E-4</v>
      </c>
      <c r="J3322" s="35">
        <v>-1.0577321317863246E-5</v>
      </c>
      <c r="K3322" s="35">
        <v>-4.2031939357239107E-3</v>
      </c>
      <c r="L3322" s="35">
        <v>81.305296063775657</v>
      </c>
      <c r="M3322" s="58" t="s">
        <v>22</v>
      </c>
      <c r="N3322" s="7">
        <v>11.333333333333334</v>
      </c>
      <c r="O3322" s="7" t="s">
        <v>180</v>
      </c>
      <c r="P3322" s="7" t="s">
        <v>180</v>
      </c>
    </row>
    <row r="3323" spans="1:16" x14ac:dyDescent="0.25">
      <c r="A3323" s="2" t="s">
        <v>183</v>
      </c>
      <c r="B3323" s="2" t="s">
        <v>207</v>
      </c>
      <c r="C3323" s="6" t="s">
        <v>154</v>
      </c>
      <c r="D3323" s="2" t="s">
        <v>109</v>
      </c>
      <c r="E3323" s="2"/>
      <c r="F3323" s="35">
        <v>5.4149169609489114</v>
      </c>
      <c r="G3323" s="35">
        <v>-89.122890570332942</v>
      </c>
      <c r="H3323" s="35">
        <v>13.271508972688041</v>
      </c>
      <c r="I3323" s="35">
        <v>-3.647038082412443E-4</v>
      </c>
      <c r="J3323" s="35">
        <v>-1.0577321317863246E-5</v>
      </c>
      <c r="K3323" s="35">
        <v>-2.2283530987557373E-3</v>
      </c>
      <c r="L3323" s="35">
        <v>9.4411770301815263</v>
      </c>
      <c r="M3323" s="58" t="s">
        <v>24</v>
      </c>
      <c r="N3323" s="7">
        <v>11.333333333333334</v>
      </c>
      <c r="O3323" s="7" t="s">
        <v>180</v>
      </c>
      <c r="P3323" s="7" t="s">
        <v>180</v>
      </c>
    </row>
    <row r="3324" spans="1:16" x14ac:dyDescent="0.25">
      <c r="A3324" s="2" t="s">
        <v>183</v>
      </c>
      <c r="B3324" s="2" t="s">
        <v>207</v>
      </c>
      <c r="C3324" s="6" t="s">
        <v>154</v>
      </c>
      <c r="D3324" s="2" t="s">
        <v>109</v>
      </c>
      <c r="E3324" s="2"/>
      <c r="F3324" s="35">
        <v>10.829833921897823</v>
      </c>
      <c r="G3324" s="35">
        <v>-86.54347971421744</v>
      </c>
      <c r="H3324" s="35">
        <v>13.271508972688041</v>
      </c>
      <c r="I3324" s="35">
        <v>-3.647038082412443E-4</v>
      </c>
      <c r="J3324" s="35">
        <v>-1.0577321317863246E-5</v>
      </c>
      <c r="K3324" s="35">
        <v>-2.5351226178756456E-4</v>
      </c>
      <c r="L3324" s="35">
        <v>-62.422942003412587</v>
      </c>
      <c r="M3324" s="58" t="s">
        <v>23</v>
      </c>
      <c r="N3324" s="7">
        <v>11.333333333333334</v>
      </c>
      <c r="O3324" s="7" t="s">
        <v>180</v>
      </c>
      <c r="P3324" s="7" t="s">
        <v>180</v>
      </c>
    </row>
    <row r="3325" spans="1:16" x14ac:dyDescent="0.25">
      <c r="A3325" s="2" t="s">
        <v>183</v>
      </c>
      <c r="B3325" s="2" t="s">
        <v>207</v>
      </c>
      <c r="C3325" s="6" t="s">
        <v>154</v>
      </c>
      <c r="D3325" s="2" t="s">
        <v>110</v>
      </c>
      <c r="E3325" s="2"/>
      <c r="F3325" s="35">
        <v>0</v>
      </c>
      <c r="G3325" s="35">
        <v>122.85473194801061</v>
      </c>
      <c r="H3325" s="35">
        <v>-10.211715788240516</v>
      </c>
      <c r="I3325" s="35">
        <v>-2.4449478429466345E-5</v>
      </c>
      <c r="J3325" s="35">
        <v>5.703783842735737E-6</v>
      </c>
      <c r="K3325" s="35">
        <v>-2.6222053846851876E-4</v>
      </c>
      <c r="L3325" s="35">
        <v>-50.292376294863701</v>
      </c>
      <c r="M3325" s="58" t="s">
        <v>22</v>
      </c>
      <c r="N3325" s="7">
        <v>11.333333333333334</v>
      </c>
      <c r="O3325" s="7" t="s">
        <v>180</v>
      </c>
      <c r="P3325" s="7" t="s">
        <v>180</v>
      </c>
    </row>
    <row r="3326" spans="1:16" x14ac:dyDescent="0.25">
      <c r="A3326" s="2" t="s">
        <v>183</v>
      </c>
      <c r="B3326" s="2" t="s">
        <v>207</v>
      </c>
      <c r="C3326" s="6" t="s">
        <v>154</v>
      </c>
      <c r="D3326" s="2" t="s">
        <v>110</v>
      </c>
      <c r="E3326" s="2"/>
      <c r="F3326" s="35">
        <v>5.4149169609489114</v>
      </c>
      <c r="G3326" s="35">
        <v>125.43414280412611</v>
      </c>
      <c r="H3326" s="35">
        <v>-10.211715788240516</v>
      </c>
      <c r="I3326" s="35">
        <v>-2.4449478429466345E-5</v>
      </c>
      <c r="J3326" s="35">
        <v>5.703783842735737E-6</v>
      </c>
      <c r="K3326" s="35">
        <v>-1.2982864303444697E-4</v>
      </c>
      <c r="L3326" s="35">
        <v>5.0032167272696517</v>
      </c>
      <c r="M3326" s="58" t="s">
        <v>24</v>
      </c>
      <c r="N3326" s="7">
        <v>11.333333333333334</v>
      </c>
      <c r="O3326" s="7" t="s">
        <v>180</v>
      </c>
      <c r="P3326" s="7" t="s">
        <v>180</v>
      </c>
    </row>
    <row r="3327" spans="1:16" x14ac:dyDescent="0.25">
      <c r="A3327" s="2" t="s">
        <v>183</v>
      </c>
      <c r="B3327" s="2" t="s">
        <v>207</v>
      </c>
      <c r="C3327" s="6" t="s">
        <v>154</v>
      </c>
      <c r="D3327" s="2" t="s">
        <v>110</v>
      </c>
      <c r="E3327" s="2"/>
      <c r="F3327" s="35">
        <v>10.829833921897823</v>
      </c>
      <c r="G3327" s="35">
        <v>128.01355366024163</v>
      </c>
      <c r="H3327" s="35">
        <v>-10.211715788240516</v>
      </c>
      <c r="I3327" s="35">
        <v>-2.4449478429466345E-5</v>
      </c>
      <c r="J3327" s="35">
        <v>5.703783842735737E-6</v>
      </c>
      <c r="K3327" s="35">
        <v>2.5632523996249425E-6</v>
      </c>
      <c r="L3327" s="35">
        <v>60.298809749402999</v>
      </c>
      <c r="M3327" s="58" t="s">
        <v>23</v>
      </c>
      <c r="N3327" s="7">
        <v>11.333333333333334</v>
      </c>
      <c r="O3327" s="7" t="s">
        <v>180</v>
      </c>
      <c r="P3327" s="7" t="s">
        <v>180</v>
      </c>
    </row>
    <row r="3328" spans="1:16" x14ac:dyDescent="0.25">
      <c r="A3328" s="2" t="s">
        <v>183</v>
      </c>
      <c r="B3328" s="2" t="s">
        <v>207</v>
      </c>
      <c r="C3328" s="6" t="s">
        <v>154</v>
      </c>
      <c r="D3328" s="2" t="s">
        <v>111</v>
      </c>
      <c r="E3328" s="2"/>
      <c r="F3328" s="35">
        <v>0</v>
      </c>
      <c r="G3328" s="35">
        <v>4.7846848777669209</v>
      </c>
      <c r="H3328" s="35">
        <v>-22.153146008558611</v>
      </c>
      <c r="I3328" s="35">
        <v>-2.9937070623665252E-4</v>
      </c>
      <c r="J3328" s="35">
        <v>-7.7728226463808384E-6</v>
      </c>
      <c r="K3328" s="35">
        <v>-3.4477121254954954E-3</v>
      </c>
      <c r="L3328" s="35">
        <v>-119.09950088198279</v>
      </c>
      <c r="M3328" s="58" t="s">
        <v>22</v>
      </c>
      <c r="N3328" s="7">
        <v>11.333333333333334</v>
      </c>
      <c r="O3328" s="7" t="s">
        <v>180</v>
      </c>
      <c r="P3328" s="7" t="s">
        <v>180</v>
      </c>
    </row>
    <row r="3329" spans="1:16" x14ac:dyDescent="0.25">
      <c r="A3329" s="2" t="s">
        <v>183</v>
      </c>
      <c r="B3329" s="2" t="s">
        <v>207</v>
      </c>
      <c r="C3329" s="6" t="s">
        <v>154</v>
      </c>
      <c r="D3329" s="2" t="s">
        <v>111</v>
      </c>
      <c r="E3329" s="2"/>
      <c r="F3329" s="35">
        <v>5.4149169609489114</v>
      </c>
      <c r="G3329" s="35">
        <v>7.3640957338824284</v>
      </c>
      <c r="H3329" s="35">
        <v>-22.153146008558611</v>
      </c>
      <c r="I3329" s="35">
        <v>-2.9937070623665252E-4</v>
      </c>
      <c r="J3329" s="35">
        <v>-7.7728226463808384E-6</v>
      </c>
      <c r="K3329" s="35">
        <v>-1.8266446106833922E-3</v>
      </c>
      <c r="L3329" s="35">
        <v>0.85794517813890248</v>
      </c>
      <c r="M3329" s="58" t="s">
        <v>24</v>
      </c>
      <c r="N3329" s="7">
        <v>11.333333333333334</v>
      </c>
      <c r="O3329" s="7" t="s">
        <v>180</v>
      </c>
      <c r="P3329" s="7" t="s">
        <v>180</v>
      </c>
    </row>
    <row r="3330" spans="1:16" x14ac:dyDescent="0.25">
      <c r="A3330" s="2" t="s">
        <v>183</v>
      </c>
      <c r="B3330" s="2" t="s">
        <v>207</v>
      </c>
      <c r="C3330" s="6" t="s">
        <v>154</v>
      </c>
      <c r="D3330" s="2" t="s">
        <v>111</v>
      </c>
      <c r="E3330" s="2"/>
      <c r="F3330" s="35">
        <v>10.829833921897823</v>
      </c>
      <c r="G3330" s="35">
        <v>9.943506589997936</v>
      </c>
      <c r="H3330" s="35">
        <v>-22.153146008558611</v>
      </c>
      <c r="I3330" s="35">
        <v>-2.9937070623665252E-4</v>
      </c>
      <c r="J3330" s="35">
        <v>-7.7728226463808384E-6</v>
      </c>
      <c r="K3330" s="35">
        <v>-2.0557709587128856E-4</v>
      </c>
      <c r="L3330" s="35">
        <v>120.8153912382606</v>
      </c>
      <c r="M3330" s="58" t="s">
        <v>23</v>
      </c>
      <c r="N3330" s="7">
        <v>11.333333333333334</v>
      </c>
      <c r="O3330" s="7" t="s">
        <v>180</v>
      </c>
      <c r="P3330" s="7" t="s">
        <v>180</v>
      </c>
    </row>
    <row r="3331" spans="1:16" x14ac:dyDescent="0.25">
      <c r="A3331" s="2" t="s">
        <v>183</v>
      </c>
      <c r="B3331" s="2" t="s">
        <v>207</v>
      </c>
      <c r="C3331" s="6" t="s">
        <v>154</v>
      </c>
      <c r="D3331" s="2" t="s">
        <v>112</v>
      </c>
      <c r="E3331" s="2"/>
      <c r="F3331" s="35">
        <v>0</v>
      </c>
      <c r="G3331" s="35">
        <v>48.890035446213929</v>
      </c>
      <c r="H3331" s="35">
        <v>-3.9638881560049577</v>
      </c>
      <c r="I3331" s="35">
        <v>-2.5805277904091286E-2</v>
      </c>
      <c r="J3331" s="35">
        <v>-4.9515881131620789E-4</v>
      </c>
      <c r="K3331" s="35">
        <v>-0.29666314621107182</v>
      </c>
      <c r="L3331" s="35">
        <v>-14.397497097309101</v>
      </c>
      <c r="M3331" s="58" t="s">
        <v>22</v>
      </c>
      <c r="N3331" s="7">
        <v>11.333333333333334</v>
      </c>
      <c r="O3331" s="7" t="s">
        <v>180</v>
      </c>
      <c r="P3331" s="7" t="s">
        <v>180</v>
      </c>
    </row>
    <row r="3332" spans="1:16" x14ac:dyDescent="0.25">
      <c r="A3332" s="2" t="s">
        <v>183</v>
      </c>
      <c r="B3332" s="2" t="s">
        <v>207</v>
      </c>
      <c r="C3332" s="6" t="s">
        <v>154</v>
      </c>
      <c r="D3332" s="2" t="s">
        <v>112</v>
      </c>
      <c r="E3332" s="2"/>
      <c r="F3332" s="35">
        <v>5.4149169609489114</v>
      </c>
      <c r="G3332" s="35">
        <v>51.46944630232943</v>
      </c>
      <c r="H3332" s="35">
        <v>-3.9638881560049577</v>
      </c>
      <c r="I3332" s="35">
        <v>-2.5805277904091286E-2</v>
      </c>
      <c r="J3332" s="35">
        <v>-4.9515881131620789E-4</v>
      </c>
      <c r="K3332" s="35">
        <v>-0.15692970920620777</v>
      </c>
      <c r="L3332" s="35">
        <v>7.0666281099466399</v>
      </c>
      <c r="M3332" s="58" t="s">
        <v>24</v>
      </c>
      <c r="N3332" s="7">
        <v>11.333333333333334</v>
      </c>
      <c r="O3332" s="7" t="s">
        <v>180</v>
      </c>
      <c r="P3332" s="7" t="s">
        <v>180</v>
      </c>
    </row>
    <row r="3333" spans="1:16" x14ac:dyDescent="0.25">
      <c r="A3333" s="2" t="s">
        <v>183</v>
      </c>
      <c r="B3333" s="2" t="s">
        <v>207</v>
      </c>
      <c r="C3333" s="6" t="s">
        <v>154</v>
      </c>
      <c r="D3333" s="2" t="s">
        <v>112</v>
      </c>
      <c r="E3333" s="2"/>
      <c r="F3333" s="35">
        <v>10.829833921897823</v>
      </c>
      <c r="G3333" s="35">
        <v>54.048857158444925</v>
      </c>
      <c r="H3333" s="35">
        <v>-3.9638881560049577</v>
      </c>
      <c r="I3333" s="35">
        <v>-2.5805277904091286E-2</v>
      </c>
      <c r="J3333" s="35">
        <v>-4.9515881131620789E-4</v>
      </c>
      <c r="K3333" s="35">
        <v>-1.7196272201343697E-2</v>
      </c>
      <c r="L3333" s="35">
        <v>28.530753317202386</v>
      </c>
      <c r="M3333" s="58" t="s">
        <v>23</v>
      </c>
      <c r="N3333" s="7">
        <v>11.333333333333334</v>
      </c>
      <c r="O3333" s="7" t="s">
        <v>180</v>
      </c>
      <c r="P3333" s="7" t="s">
        <v>180</v>
      </c>
    </row>
    <row r="3334" spans="1:16" x14ac:dyDescent="0.25">
      <c r="A3334" s="2" t="s">
        <v>183</v>
      </c>
      <c r="B3334" s="2" t="s">
        <v>207</v>
      </c>
      <c r="C3334" s="6" t="s">
        <v>154</v>
      </c>
      <c r="D3334" s="2" t="s">
        <v>113</v>
      </c>
      <c r="E3334" s="2"/>
      <c r="F3334" s="35">
        <v>0</v>
      </c>
      <c r="G3334" s="35">
        <v>-23.437744133033988</v>
      </c>
      <c r="H3334" s="35">
        <v>-1.1060399639991649</v>
      </c>
      <c r="I3334" s="35">
        <v>-2.5835355260110205E-2</v>
      </c>
      <c r="J3334" s="35">
        <v>-4.9831810229186051E-4</v>
      </c>
      <c r="K3334" s="35">
        <v>-0.29701695700899688</v>
      </c>
      <c r="L3334" s="35">
        <v>-5.1216760018589174</v>
      </c>
      <c r="M3334" s="58" t="s">
        <v>22</v>
      </c>
      <c r="N3334" s="7">
        <v>11.333333333333334</v>
      </c>
      <c r="O3334" s="7" t="s">
        <v>180</v>
      </c>
      <c r="P3334" s="7" t="s">
        <v>180</v>
      </c>
    </row>
    <row r="3335" spans="1:16" x14ac:dyDescent="0.25">
      <c r="A3335" s="2" t="s">
        <v>183</v>
      </c>
      <c r="B3335" s="2" t="s">
        <v>207</v>
      </c>
      <c r="C3335" s="6" t="s">
        <v>154</v>
      </c>
      <c r="D3335" s="2" t="s">
        <v>113</v>
      </c>
      <c r="E3335" s="2"/>
      <c r="F3335" s="35">
        <v>5.4149169609489114</v>
      </c>
      <c r="G3335" s="35">
        <v>-20.85833327691849</v>
      </c>
      <c r="H3335" s="35">
        <v>-1.1060399639991649</v>
      </c>
      <c r="I3335" s="35">
        <v>-2.5835355260110205E-2</v>
      </c>
      <c r="J3335" s="35">
        <v>-4.9831810229186051E-4</v>
      </c>
      <c r="K3335" s="35">
        <v>-0.15712065361888544</v>
      </c>
      <c r="L3335" s="35">
        <v>0.86743855868748365</v>
      </c>
      <c r="M3335" s="58" t="s">
        <v>24</v>
      </c>
      <c r="N3335" s="7">
        <v>11.333333333333334</v>
      </c>
      <c r="O3335" s="7" t="s">
        <v>180</v>
      </c>
      <c r="P3335" s="7" t="s">
        <v>180</v>
      </c>
    </row>
    <row r="3336" spans="1:16" x14ac:dyDescent="0.25">
      <c r="A3336" s="2" t="s">
        <v>183</v>
      </c>
      <c r="B3336" s="2" t="s">
        <v>207</v>
      </c>
      <c r="C3336" s="6" t="s">
        <v>154</v>
      </c>
      <c r="D3336" s="2" t="s">
        <v>113</v>
      </c>
      <c r="E3336" s="2"/>
      <c r="F3336" s="35">
        <v>10.829833921897823</v>
      </c>
      <c r="G3336" s="35">
        <v>-18.278922420802989</v>
      </c>
      <c r="H3336" s="35">
        <v>-1.1060399639991649</v>
      </c>
      <c r="I3336" s="35">
        <v>-2.5835355260110205E-2</v>
      </c>
      <c r="J3336" s="35">
        <v>-4.9831810229186051E-4</v>
      </c>
      <c r="K3336" s="35">
        <v>-1.7224350228774058E-2</v>
      </c>
      <c r="L3336" s="35">
        <v>6.8565531192338822</v>
      </c>
      <c r="M3336" s="58" t="s">
        <v>23</v>
      </c>
      <c r="N3336" s="7">
        <v>11.333333333333334</v>
      </c>
      <c r="O3336" s="7" t="s">
        <v>180</v>
      </c>
      <c r="P3336" s="7" t="s">
        <v>180</v>
      </c>
    </row>
    <row r="3337" spans="1:16" x14ac:dyDescent="0.25">
      <c r="A3337" s="2" t="s">
        <v>183</v>
      </c>
      <c r="B3337" s="2" t="s">
        <v>207</v>
      </c>
      <c r="C3337" s="6" t="s">
        <v>154</v>
      </c>
      <c r="D3337" s="2" t="s">
        <v>114</v>
      </c>
      <c r="E3337" s="2"/>
      <c r="F3337" s="35">
        <v>0</v>
      </c>
      <c r="G3337" s="35">
        <v>48.889786109004653</v>
      </c>
      <c r="H3337" s="35">
        <v>-3.9635755223858959</v>
      </c>
      <c r="I3337" s="35">
        <v>2.6061929061819384E-2</v>
      </c>
      <c r="J3337" s="35">
        <v>5.0249264125918388E-4</v>
      </c>
      <c r="K3337" s="35">
        <v>0.29962097032064705</v>
      </c>
      <c r="L3337" s="35">
        <v>-14.396567297035539</v>
      </c>
      <c r="M3337" s="58" t="s">
        <v>22</v>
      </c>
      <c r="N3337" s="7">
        <v>11.333333333333334</v>
      </c>
      <c r="O3337" s="7" t="s">
        <v>180</v>
      </c>
      <c r="P3337" s="7" t="s">
        <v>180</v>
      </c>
    </row>
    <row r="3338" spans="1:16" x14ac:dyDescent="0.25">
      <c r="A3338" s="2" t="s">
        <v>183</v>
      </c>
      <c r="B3338" s="2" t="s">
        <v>207</v>
      </c>
      <c r="C3338" s="6" t="s">
        <v>154</v>
      </c>
      <c r="D3338" s="2" t="s">
        <v>114</v>
      </c>
      <c r="E3338" s="2"/>
      <c r="F3338" s="35">
        <v>5.4149169609489114</v>
      </c>
      <c r="G3338" s="35">
        <v>51.469196965120155</v>
      </c>
      <c r="H3338" s="35">
        <v>-3.9635755223858959</v>
      </c>
      <c r="I3338" s="35">
        <v>2.6061929061819384E-2</v>
      </c>
      <c r="J3338" s="35">
        <v>5.0249264125918388E-4</v>
      </c>
      <c r="K3338" s="35">
        <v>0.15849778860875396</v>
      </c>
      <c r="L3338" s="35">
        <v>7.0658650251337889</v>
      </c>
      <c r="M3338" s="58" t="s">
        <v>24</v>
      </c>
      <c r="N3338" s="7">
        <v>11.333333333333334</v>
      </c>
      <c r="O3338" s="7" t="s">
        <v>180</v>
      </c>
      <c r="P3338" s="7" t="s">
        <v>180</v>
      </c>
    </row>
    <row r="3339" spans="1:16" x14ac:dyDescent="0.25">
      <c r="A3339" s="2" t="s">
        <v>183</v>
      </c>
      <c r="B3339" s="2" t="s">
        <v>207</v>
      </c>
      <c r="C3339" s="6" t="s">
        <v>154</v>
      </c>
      <c r="D3339" s="2" t="s">
        <v>114</v>
      </c>
      <c r="E3339" s="2"/>
      <c r="F3339" s="35">
        <v>10.829833921897823</v>
      </c>
      <c r="G3339" s="35">
        <v>54.048607821235656</v>
      </c>
      <c r="H3339" s="35">
        <v>-3.9635755223858959</v>
      </c>
      <c r="I3339" s="35">
        <v>2.6061929061819384E-2</v>
      </c>
      <c r="J3339" s="35">
        <v>5.0249264125918388E-4</v>
      </c>
      <c r="K3339" s="35">
        <v>1.7374606896860843E-2</v>
      </c>
      <c r="L3339" s="35">
        <v>28.52829734730312</v>
      </c>
      <c r="M3339" s="58" t="s">
        <v>23</v>
      </c>
      <c r="N3339" s="7">
        <v>11.333333333333334</v>
      </c>
      <c r="O3339" s="7" t="s">
        <v>180</v>
      </c>
      <c r="P3339" s="7" t="s">
        <v>180</v>
      </c>
    </row>
    <row r="3340" spans="1:16" x14ac:dyDescent="0.25">
      <c r="A3340" s="2" t="s">
        <v>183</v>
      </c>
      <c r="B3340" s="2" t="s">
        <v>207</v>
      </c>
      <c r="C3340" s="6" t="s">
        <v>154</v>
      </c>
      <c r="D3340" s="2" t="s">
        <v>115</v>
      </c>
      <c r="E3340" s="2"/>
      <c r="F3340" s="35">
        <v>0</v>
      </c>
      <c r="G3340" s="35">
        <v>-23.437993111490137</v>
      </c>
      <c r="H3340" s="35">
        <v>-1.1057278016412739</v>
      </c>
      <c r="I3340" s="35">
        <v>2.601178009351398E-2</v>
      </c>
      <c r="J3340" s="35">
        <v>4.9852720693464197E-4</v>
      </c>
      <c r="K3340" s="35">
        <v>0.29903513594509396</v>
      </c>
      <c r="L3340" s="35">
        <v>-5.1207475350939742</v>
      </c>
      <c r="M3340" s="58" t="s">
        <v>22</v>
      </c>
      <c r="N3340" s="7">
        <v>11.333333333333334</v>
      </c>
      <c r="O3340" s="7" t="s">
        <v>180</v>
      </c>
      <c r="P3340" s="7" t="s">
        <v>180</v>
      </c>
    </row>
    <row r="3341" spans="1:16" x14ac:dyDescent="0.25">
      <c r="A3341" s="2" t="s">
        <v>183</v>
      </c>
      <c r="B3341" s="2" t="s">
        <v>207</v>
      </c>
      <c r="C3341" s="6" t="s">
        <v>154</v>
      </c>
      <c r="D3341" s="2" t="s">
        <v>115</v>
      </c>
      <c r="E3341" s="2"/>
      <c r="F3341" s="35">
        <v>5.4149169609489114</v>
      </c>
      <c r="G3341" s="35">
        <v>-20.858582255374635</v>
      </c>
      <c r="H3341" s="35">
        <v>-1.1057278016412739</v>
      </c>
      <c r="I3341" s="35">
        <v>2.601178009351398E-2</v>
      </c>
      <c r="J3341" s="35">
        <v>4.9852720693464197E-4</v>
      </c>
      <c r="K3341" s="35">
        <v>0.15818350673225187</v>
      </c>
      <c r="L3341" s="35">
        <v>0.86667669220611343</v>
      </c>
      <c r="M3341" s="58" t="s">
        <v>24</v>
      </c>
      <c r="N3341" s="7">
        <v>11.333333333333334</v>
      </c>
      <c r="O3341" s="7" t="s">
        <v>180</v>
      </c>
      <c r="P3341" s="7" t="s">
        <v>180</v>
      </c>
    </row>
    <row r="3342" spans="1:16" x14ac:dyDescent="0.25">
      <c r="A3342" s="2" t="s">
        <v>183</v>
      </c>
      <c r="B3342" s="2" t="s">
        <v>207</v>
      </c>
      <c r="C3342" s="6" t="s">
        <v>154</v>
      </c>
      <c r="D3342" s="2" t="s">
        <v>115</v>
      </c>
      <c r="E3342" s="2"/>
      <c r="F3342" s="35">
        <v>10.829833921897823</v>
      </c>
      <c r="G3342" s="35">
        <v>-18.279171399259138</v>
      </c>
      <c r="H3342" s="35">
        <v>-1.1057278016412739</v>
      </c>
      <c r="I3342" s="35">
        <v>2.601178009351398E-2</v>
      </c>
      <c r="J3342" s="35">
        <v>4.9852720693464197E-4</v>
      </c>
      <c r="K3342" s="35">
        <v>1.7331877519409806E-2</v>
      </c>
      <c r="L3342" s="35">
        <v>6.8541009195062017</v>
      </c>
      <c r="M3342" s="58" t="s">
        <v>23</v>
      </c>
      <c r="N3342" s="7">
        <v>11.333333333333334</v>
      </c>
      <c r="O3342" s="7" t="s">
        <v>180</v>
      </c>
      <c r="P3342" s="7" t="s">
        <v>180</v>
      </c>
    </row>
    <row r="3343" spans="1:16" x14ac:dyDescent="0.25">
      <c r="A3343" s="2" t="s">
        <v>183</v>
      </c>
      <c r="B3343" s="2" t="s">
        <v>207</v>
      </c>
      <c r="C3343" s="6" t="s">
        <v>154</v>
      </c>
      <c r="D3343" s="2" t="s">
        <v>116</v>
      </c>
      <c r="E3343" s="2"/>
      <c r="F3343" s="35">
        <v>0</v>
      </c>
      <c r="G3343" s="35">
        <v>48.011554716707693</v>
      </c>
      <c r="H3343" s="35">
        <v>1.3992183988328175</v>
      </c>
      <c r="I3343" s="35">
        <v>-1.3194444666194126E-4</v>
      </c>
      <c r="J3343" s="35">
        <v>-5.7928273693220492E-7</v>
      </c>
      <c r="K3343" s="35">
        <v>-1.5102304618760695E-3</v>
      </c>
      <c r="L3343" s="35">
        <v>19.273957409321323</v>
      </c>
      <c r="M3343" s="58" t="s">
        <v>22</v>
      </c>
      <c r="N3343" s="7">
        <v>11.333333333333334</v>
      </c>
      <c r="O3343" s="7" t="s">
        <v>180</v>
      </c>
      <c r="P3343" s="7" t="s">
        <v>180</v>
      </c>
    </row>
    <row r="3344" spans="1:16" x14ac:dyDescent="0.25">
      <c r="A3344" s="2" t="s">
        <v>183</v>
      </c>
      <c r="B3344" s="2" t="s">
        <v>207</v>
      </c>
      <c r="C3344" s="6" t="s">
        <v>154</v>
      </c>
      <c r="D3344" s="2" t="s">
        <v>116</v>
      </c>
      <c r="E3344" s="2"/>
      <c r="F3344" s="35">
        <v>5.4149169609489114</v>
      </c>
      <c r="G3344" s="35">
        <v>50.590965572823194</v>
      </c>
      <c r="H3344" s="35">
        <v>1.3992183988328175</v>
      </c>
      <c r="I3344" s="35">
        <v>-1.3194444666194126E-4</v>
      </c>
      <c r="J3344" s="35">
        <v>-5.7928273693220492E-7</v>
      </c>
      <c r="K3344" s="35">
        <v>-7.9576223974330452E-4</v>
      </c>
      <c r="L3344" s="35">
        <v>11.697305969409715</v>
      </c>
      <c r="M3344" s="58" t="s">
        <v>24</v>
      </c>
      <c r="N3344" s="7">
        <v>11.333333333333334</v>
      </c>
      <c r="O3344" s="7" t="s">
        <v>180</v>
      </c>
      <c r="P3344" s="7" t="s">
        <v>180</v>
      </c>
    </row>
    <row r="3345" spans="1:16" x14ac:dyDescent="0.25">
      <c r="A3345" s="2" t="s">
        <v>183</v>
      </c>
      <c r="B3345" s="2" t="s">
        <v>207</v>
      </c>
      <c r="C3345" s="6" t="s">
        <v>154</v>
      </c>
      <c r="D3345" s="2" t="s">
        <v>116</v>
      </c>
      <c r="E3345" s="2"/>
      <c r="F3345" s="35">
        <v>10.829833921897823</v>
      </c>
      <c r="G3345" s="35">
        <v>53.170376428938695</v>
      </c>
      <c r="H3345" s="35">
        <v>1.3992183988328175</v>
      </c>
      <c r="I3345" s="35">
        <v>-1.3194444666194126E-4</v>
      </c>
      <c r="J3345" s="35">
        <v>-5.7928273693220492E-7</v>
      </c>
      <c r="K3345" s="35">
        <v>-8.1294017610539815E-5</v>
      </c>
      <c r="L3345" s="35">
        <v>4.1206545294981103</v>
      </c>
      <c r="M3345" s="58" t="s">
        <v>23</v>
      </c>
      <c r="N3345" s="7">
        <v>11.333333333333334</v>
      </c>
      <c r="O3345" s="7" t="s">
        <v>180</v>
      </c>
      <c r="P3345" s="7" t="s">
        <v>180</v>
      </c>
    </row>
    <row r="3346" spans="1:16" x14ac:dyDescent="0.25">
      <c r="A3346" s="2" t="s">
        <v>183</v>
      </c>
      <c r="B3346" s="2" t="s">
        <v>207</v>
      </c>
      <c r="C3346" s="6" t="s">
        <v>154</v>
      </c>
      <c r="D3346" s="2" t="s">
        <v>117</v>
      </c>
      <c r="E3346" s="2"/>
      <c r="F3346" s="35">
        <v>0</v>
      </c>
      <c r="G3346" s="35">
        <v>-143.35523366160061</v>
      </c>
      <c r="H3346" s="35">
        <v>13.566605432249398</v>
      </c>
      <c r="I3346" s="35">
        <v>-4.5760246301490814E-4</v>
      </c>
      <c r="J3346" s="35">
        <v>-1.394637929410737E-5</v>
      </c>
      <c r="K3346" s="35">
        <v>-5.2760472939416469E-3</v>
      </c>
      <c r="L3346" s="35">
        <v>77.747809036477463</v>
      </c>
      <c r="M3346" s="58" t="s">
        <v>22</v>
      </c>
      <c r="N3346" s="7">
        <v>11.333333333333334</v>
      </c>
      <c r="O3346" s="7" t="s">
        <v>180</v>
      </c>
      <c r="P3346" s="7" t="s">
        <v>180</v>
      </c>
    </row>
    <row r="3347" spans="1:16" x14ac:dyDescent="0.25">
      <c r="A3347" s="2" t="s">
        <v>183</v>
      </c>
      <c r="B3347" s="2" t="s">
        <v>207</v>
      </c>
      <c r="C3347" s="6" t="s">
        <v>154</v>
      </c>
      <c r="D3347" s="2" t="s">
        <v>117</v>
      </c>
      <c r="E3347" s="2"/>
      <c r="F3347" s="35">
        <v>5.4149169609489114</v>
      </c>
      <c r="G3347" s="35">
        <v>-140.77582280548512</v>
      </c>
      <c r="H3347" s="35">
        <v>13.566605432249398</v>
      </c>
      <c r="I3347" s="35">
        <v>-4.5760246301490814E-4</v>
      </c>
      <c r="J3347" s="35">
        <v>-1.394637929410737E-5</v>
      </c>
      <c r="K3347" s="35">
        <v>-2.798167955590224E-3</v>
      </c>
      <c r="L3347" s="35">
        <v>4.2857671788885767</v>
      </c>
      <c r="M3347" s="58" t="s">
        <v>24</v>
      </c>
      <c r="N3347" s="7">
        <v>11.333333333333334</v>
      </c>
      <c r="O3347" s="7" t="s">
        <v>180</v>
      </c>
      <c r="P3347" s="7" t="s">
        <v>180</v>
      </c>
    </row>
    <row r="3348" spans="1:16" x14ac:dyDescent="0.25">
      <c r="A3348" s="2" t="s">
        <v>183</v>
      </c>
      <c r="B3348" s="2" t="s">
        <v>207</v>
      </c>
      <c r="C3348" s="6" t="s">
        <v>154</v>
      </c>
      <c r="D3348" s="2" t="s">
        <v>117</v>
      </c>
      <c r="E3348" s="2"/>
      <c r="F3348" s="35">
        <v>10.829833921897823</v>
      </c>
      <c r="G3348" s="35">
        <v>-138.1964119493696</v>
      </c>
      <c r="H3348" s="35">
        <v>13.566605432249398</v>
      </c>
      <c r="I3348" s="35">
        <v>-4.5760246301490814E-4</v>
      </c>
      <c r="J3348" s="35">
        <v>-1.394637929410737E-5</v>
      </c>
      <c r="K3348" s="35">
        <v>-3.2028861723880104E-4</v>
      </c>
      <c r="L3348" s="35">
        <v>-69.17627467870031</v>
      </c>
      <c r="M3348" s="58" t="s">
        <v>23</v>
      </c>
      <c r="N3348" s="7">
        <v>11.333333333333334</v>
      </c>
      <c r="O3348" s="7" t="s">
        <v>180</v>
      </c>
      <c r="P3348" s="7" t="s">
        <v>180</v>
      </c>
    </row>
    <row r="3349" spans="1:16" x14ac:dyDescent="0.25">
      <c r="A3349" s="2" t="s">
        <v>183</v>
      </c>
      <c r="B3349" s="2" t="s">
        <v>207</v>
      </c>
      <c r="C3349" s="6" t="s">
        <v>154</v>
      </c>
      <c r="D3349" s="2" t="s">
        <v>118</v>
      </c>
      <c r="E3349" s="2"/>
      <c r="F3349" s="35">
        <v>0</v>
      </c>
      <c r="G3349" s="35">
        <v>49.746096375412563</v>
      </c>
      <c r="H3349" s="35">
        <v>-7.5682968525863057</v>
      </c>
      <c r="I3349" s="35">
        <v>-1.5137356618430799E-4</v>
      </c>
      <c r="J3349" s="35">
        <v>7.0661535043171388E-7</v>
      </c>
      <c r="K3349" s="35">
        <v>-1.7291712364117943E-3</v>
      </c>
      <c r="L3349" s="35">
        <v>-40.690096086297949</v>
      </c>
      <c r="M3349" s="58" t="s">
        <v>22</v>
      </c>
      <c r="N3349" s="7">
        <v>11.333333333333334</v>
      </c>
      <c r="O3349" s="7" t="s">
        <v>180</v>
      </c>
      <c r="P3349" s="7" t="s">
        <v>180</v>
      </c>
    </row>
    <row r="3350" spans="1:16" x14ac:dyDescent="0.25">
      <c r="A3350" s="2" t="s">
        <v>183</v>
      </c>
      <c r="B3350" s="2" t="s">
        <v>207</v>
      </c>
      <c r="C3350" s="6" t="s">
        <v>154</v>
      </c>
      <c r="D3350" s="2" t="s">
        <v>118</v>
      </c>
      <c r="E3350" s="2"/>
      <c r="F3350" s="35">
        <v>5.4149169609489114</v>
      </c>
      <c r="G3350" s="35">
        <v>52.325507231528057</v>
      </c>
      <c r="H3350" s="35">
        <v>-7.5682968525863057</v>
      </c>
      <c r="I3350" s="35">
        <v>-1.5137356618430799E-4</v>
      </c>
      <c r="J3350" s="35">
        <v>7.0661535043171388E-7</v>
      </c>
      <c r="K3350" s="35">
        <v>-9.0949594544106232E-4</v>
      </c>
      <c r="L3350" s="35">
        <v>0.29160290626788971</v>
      </c>
      <c r="M3350" s="58" t="s">
        <v>24</v>
      </c>
      <c r="N3350" s="7">
        <v>11.333333333333334</v>
      </c>
      <c r="O3350" s="7" t="s">
        <v>180</v>
      </c>
      <c r="P3350" s="7" t="s">
        <v>180</v>
      </c>
    </row>
    <row r="3351" spans="1:16" x14ac:dyDescent="0.25">
      <c r="A3351" s="2" t="s">
        <v>183</v>
      </c>
      <c r="B3351" s="2" t="s">
        <v>207</v>
      </c>
      <c r="C3351" s="6" t="s">
        <v>154</v>
      </c>
      <c r="D3351" s="2" t="s">
        <v>118</v>
      </c>
      <c r="E3351" s="2"/>
      <c r="F3351" s="35">
        <v>10.829833921897823</v>
      </c>
      <c r="G3351" s="35">
        <v>54.904918087643559</v>
      </c>
      <c r="H3351" s="35">
        <v>-7.5682968525863057</v>
      </c>
      <c r="I3351" s="35">
        <v>-1.5137356618430799E-4</v>
      </c>
      <c r="J3351" s="35">
        <v>7.0661535043171388E-7</v>
      </c>
      <c r="K3351" s="35">
        <v>-8.9820654470330473E-5</v>
      </c>
      <c r="L3351" s="35">
        <v>41.273301898833729</v>
      </c>
      <c r="M3351" s="58" t="s">
        <v>23</v>
      </c>
      <c r="N3351" s="7">
        <v>11.333333333333334</v>
      </c>
      <c r="O3351" s="7" t="s">
        <v>180</v>
      </c>
      <c r="P3351" s="7" t="s">
        <v>180</v>
      </c>
    </row>
    <row r="3352" spans="1:16" x14ac:dyDescent="0.25">
      <c r="A3352" s="2" t="s">
        <v>183</v>
      </c>
      <c r="B3352" s="2" t="s">
        <v>207</v>
      </c>
      <c r="C3352" s="6" t="s">
        <v>154</v>
      </c>
      <c r="D3352" s="2" t="s">
        <v>119</v>
      </c>
      <c r="E3352" s="2"/>
      <c r="F3352" s="35">
        <v>0</v>
      </c>
      <c r="G3352" s="35">
        <v>-56.516945987806771</v>
      </c>
      <c r="H3352" s="35">
        <v>-18.315584050872591</v>
      </c>
      <c r="I3352" s="35">
        <v>-3.9880267121077551E-4</v>
      </c>
      <c r="J3352" s="35">
        <v>-1.1422330489773203E-5</v>
      </c>
      <c r="K3352" s="35">
        <v>-4.5961136647360732E-3</v>
      </c>
      <c r="L3352" s="35">
        <v>-102.61650821470512</v>
      </c>
      <c r="M3352" s="58" t="s">
        <v>22</v>
      </c>
      <c r="N3352" s="7">
        <v>11.333333333333334</v>
      </c>
      <c r="O3352" s="7" t="s">
        <v>180</v>
      </c>
      <c r="P3352" s="7" t="s">
        <v>180</v>
      </c>
    </row>
    <row r="3353" spans="1:16" x14ac:dyDescent="0.25">
      <c r="A3353" s="2" t="s">
        <v>183</v>
      </c>
      <c r="B3353" s="2" t="s">
        <v>207</v>
      </c>
      <c r="C3353" s="6" t="s">
        <v>154</v>
      </c>
      <c r="D3353" s="2" t="s">
        <v>119</v>
      </c>
      <c r="E3353" s="2"/>
      <c r="F3353" s="35">
        <v>5.4149169609489114</v>
      </c>
      <c r="G3353" s="35">
        <v>-53.93753513169127</v>
      </c>
      <c r="H3353" s="35">
        <v>-18.315584050872591</v>
      </c>
      <c r="I3353" s="35">
        <v>-3.9880267121077551E-4</v>
      </c>
      <c r="J3353" s="35">
        <v>-1.1422330489773203E-5</v>
      </c>
      <c r="K3353" s="35">
        <v>-2.4366303163251128E-3</v>
      </c>
      <c r="L3353" s="35">
        <v>-3.4391414879497839</v>
      </c>
      <c r="M3353" s="58" t="s">
        <v>24</v>
      </c>
      <c r="N3353" s="7">
        <v>11.333333333333334</v>
      </c>
      <c r="O3353" s="7" t="s">
        <v>180</v>
      </c>
      <c r="P3353" s="7" t="s">
        <v>180</v>
      </c>
    </row>
    <row r="3354" spans="1:16" x14ac:dyDescent="0.25">
      <c r="A3354" s="2" t="s">
        <v>183</v>
      </c>
      <c r="B3354" s="2" t="s">
        <v>207</v>
      </c>
      <c r="C3354" s="6" t="s">
        <v>154</v>
      </c>
      <c r="D3354" s="2" t="s">
        <v>119</v>
      </c>
      <c r="E3354" s="2"/>
      <c r="F3354" s="35">
        <v>10.829833921897823</v>
      </c>
      <c r="G3354" s="35">
        <v>-51.358124275575769</v>
      </c>
      <c r="H3354" s="35">
        <v>-18.315584050872591</v>
      </c>
      <c r="I3354" s="35">
        <v>-3.9880267121077551E-4</v>
      </c>
      <c r="J3354" s="35">
        <v>-1.1422330489773203E-5</v>
      </c>
      <c r="K3354" s="35">
        <v>-2.7714696791415261E-4</v>
      </c>
      <c r="L3354" s="35">
        <v>95.738225238805569</v>
      </c>
      <c r="M3354" s="58" t="s">
        <v>23</v>
      </c>
      <c r="N3354" s="7">
        <v>11.333333333333334</v>
      </c>
      <c r="O3354" s="7" t="s">
        <v>180</v>
      </c>
      <c r="P3354" s="7" t="s">
        <v>180</v>
      </c>
    </row>
    <row r="3355" spans="1:16" x14ac:dyDescent="0.25">
      <c r="A3355" s="2" t="s">
        <v>183</v>
      </c>
      <c r="B3355" s="2" t="s">
        <v>207</v>
      </c>
      <c r="C3355" s="6" t="s">
        <v>154</v>
      </c>
      <c r="D3355" s="2" t="s">
        <v>120</v>
      </c>
      <c r="E3355" s="2"/>
      <c r="F3355" s="35">
        <v>0</v>
      </c>
      <c r="G3355" s="35">
        <v>70.685199552448225</v>
      </c>
      <c r="H3355" s="35">
        <v>-4.7562199816452129</v>
      </c>
      <c r="I3355" s="35">
        <v>-2.8637321930785196E-2</v>
      </c>
      <c r="J3355" s="35">
        <v>-5.489572381498464E-4</v>
      </c>
      <c r="K3355" s="35">
        <v>-0.32921929094284375</v>
      </c>
      <c r="L3355" s="35">
        <v>-16.903875556887225</v>
      </c>
      <c r="M3355" s="58" t="s">
        <v>22</v>
      </c>
      <c r="N3355" s="7">
        <v>11.333333333333334</v>
      </c>
      <c r="O3355" s="7" t="s">
        <v>180</v>
      </c>
      <c r="P3355" s="7" t="s">
        <v>180</v>
      </c>
    </row>
    <row r="3356" spans="1:16" x14ac:dyDescent="0.25">
      <c r="A3356" s="2" t="s">
        <v>183</v>
      </c>
      <c r="B3356" s="2" t="s">
        <v>207</v>
      </c>
      <c r="C3356" s="6" t="s">
        <v>154</v>
      </c>
      <c r="D3356" s="2" t="s">
        <v>120</v>
      </c>
      <c r="E3356" s="2"/>
      <c r="F3356" s="35">
        <v>5.4149169609489114</v>
      </c>
      <c r="G3356" s="35">
        <v>73.26461040856374</v>
      </c>
      <c r="H3356" s="35">
        <v>-4.7562199816452129</v>
      </c>
      <c r="I3356" s="35">
        <v>-2.8637321930785196E-2</v>
      </c>
      <c r="J3356" s="35">
        <v>-5.489572381498464E-4</v>
      </c>
      <c r="K3356" s="35">
        <v>-0.17415057070368078</v>
      </c>
      <c r="L3356" s="35">
        <v>8.8506606917275619</v>
      </c>
      <c r="M3356" s="58" t="s">
        <v>24</v>
      </c>
      <c r="N3356" s="7">
        <v>11.333333333333334</v>
      </c>
      <c r="O3356" s="7" t="s">
        <v>180</v>
      </c>
      <c r="P3356" s="7" t="s">
        <v>180</v>
      </c>
    </row>
    <row r="3357" spans="1:16" x14ac:dyDescent="0.25">
      <c r="A3357" s="2" t="s">
        <v>183</v>
      </c>
      <c r="B3357" s="2" t="s">
        <v>207</v>
      </c>
      <c r="C3357" s="6" t="s">
        <v>154</v>
      </c>
      <c r="D3357" s="2" t="s">
        <v>120</v>
      </c>
      <c r="E3357" s="2"/>
      <c r="F3357" s="35">
        <v>10.829833921897823</v>
      </c>
      <c r="G3357" s="35">
        <v>75.844021264679256</v>
      </c>
      <c r="H3357" s="35">
        <v>-4.7562199816452129</v>
      </c>
      <c r="I3357" s="35">
        <v>-2.8637321930785196E-2</v>
      </c>
      <c r="J3357" s="35">
        <v>-5.489572381498464E-4</v>
      </c>
      <c r="K3357" s="35">
        <v>-1.9081850464517814E-2</v>
      </c>
      <c r="L3357" s="35">
        <v>34.605196940342346</v>
      </c>
      <c r="M3357" s="58" t="s">
        <v>23</v>
      </c>
      <c r="N3357" s="7">
        <v>11.333333333333334</v>
      </c>
      <c r="O3357" s="7" t="s">
        <v>180</v>
      </c>
      <c r="P3357" s="7" t="s">
        <v>180</v>
      </c>
    </row>
    <row r="3358" spans="1:16" x14ac:dyDescent="0.25">
      <c r="A3358" s="2" t="s">
        <v>183</v>
      </c>
      <c r="B3358" s="2" t="s">
        <v>207</v>
      </c>
      <c r="C3358" s="6" t="s">
        <v>154</v>
      </c>
      <c r="D3358" s="2" t="s">
        <v>121</v>
      </c>
      <c r="E3358" s="2"/>
      <c r="F3358" s="35">
        <v>0</v>
      </c>
      <c r="G3358" s="35">
        <v>-9.6789999800494542</v>
      </c>
      <c r="H3358" s="35">
        <v>-1.5808331016387775</v>
      </c>
      <c r="I3358" s="35">
        <v>-2.8670741215250664E-2</v>
      </c>
      <c r="J3358" s="35">
        <v>-5.5246756145612699E-4</v>
      </c>
      <c r="K3358" s="35">
        <v>-0.32961241405164937</v>
      </c>
      <c r="L3358" s="35">
        <v>-6.5974076730536817</v>
      </c>
      <c r="M3358" s="58" t="s">
        <v>22</v>
      </c>
      <c r="N3358" s="7">
        <v>11.333333333333334</v>
      </c>
      <c r="O3358" s="7" t="s">
        <v>180</v>
      </c>
      <c r="P3358" s="7" t="s">
        <v>180</v>
      </c>
    </row>
    <row r="3359" spans="1:16" x14ac:dyDescent="0.25">
      <c r="A3359" s="2" t="s">
        <v>183</v>
      </c>
      <c r="B3359" s="2" t="s">
        <v>207</v>
      </c>
      <c r="C3359" s="6" t="s">
        <v>154</v>
      </c>
      <c r="D3359" s="2" t="s">
        <v>121</v>
      </c>
      <c r="E3359" s="2"/>
      <c r="F3359" s="35">
        <v>5.4149169609489114</v>
      </c>
      <c r="G3359" s="35">
        <v>-7.0995891239339386</v>
      </c>
      <c r="H3359" s="35">
        <v>-1.5808331016387775</v>
      </c>
      <c r="I3359" s="35">
        <v>-2.8670741215250664E-2</v>
      </c>
      <c r="J3359" s="35">
        <v>-5.5246756145612699E-4</v>
      </c>
      <c r="K3359" s="35">
        <v>-0.17436273116221157</v>
      </c>
      <c r="L3359" s="35">
        <v>1.9626723014396079</v>
      </c>
      <c r="M3359" s="58" t="s">
        <v>24</v>
      </c>
      <c r="N3359" s="7">
        <v>11.333333333333334</v>
      </c>
      <c r="O3359" s="7" t="s">
        <v>180</v>
      </c>
      <c r="P3359" s="7" t="s">
        <v>180</v>
      </c>
    </row>
    <row r="3360" spans="1:16" x14ac:dyDescent="0.25">
      <c r="A3360" s="2" t="s">
        <v>183</v>
      </c>
      <c r="B3360" s="2" t="s">
        <v>207</v>
      </c>
      <c r="C3360" s="6" t="s">
        <v>154</v>
      </c>
      <c r="D3360" s="2" t="s">
        <v>121</v>
      </c>
      <c r="E3360" s="2"/>
      <c r="F3360" s="35">
        <v>10.829833921897823</v>
      </c>
      <c r="G3360" s="35">
        <v>-4.5201782678184239</v>
      </c>
      <c r="H3360" s="35">
        <v>-1.5808331016387775</v>
      </c>
      <c r="I3360" s="35">
        <v>-2.8670741215250664E-2</v>
      </c>
      <c r="J3360" s="35">
        <v>-5.5246756145612699E-4</v>
      </c>
      <c r="K3360" s="35">
        <v>-1.9113048272773769E-2</v>
      </c>
      <c r="L3360" s="35">
        <v>10.522752275932895</v>
      </c>
      <c r="M3360" s="58" t="s">
        <v>23</v>
      </c>
      <c r="N3360" s="7">
        <v>11.333333333333334</v>
      </c>
      <c r="O3360" s="7" t="s">
        <v>180</v>
      </c>
      <c r="P3360" s="7" t="s">
        <v>180</v>
      </c>
    </row>
    <row r="3361" spans="1:16" x14ac:dyDescent="0.25">
      <c r="A3361" s="2" t="s">
        <v>183</v>
      </c>
      <c r="B3361" s="2" t="s">
        <v>207</v>
      </c>
      <c r="C3361" s="6" t="s">
        <v>154</v>
      </c>
      <c r="D3361" s="2" t="s">
        <v>122</v>
      </c>
      <c r="E3361" s="2"/>
      <c r="F3361" s="35">
        <v>0</v>
      </c>
      <c r="G3361" s="35">
        <v>70.684922511104602</v>
      </c>
      <c r="H3361" s="35">
        <v>-4.7558726109573684</v>
      </c>
      <c r="I3361" s="35">
        <v>2.8992908031337767E-2</v>
      </c>
      <c r="J3361" s="35">
        <v>5.5954437582281117E-4</v>
      </c>
      <c r="K3361" s="35">
        <v>0.33331861631462167</v>
      </c>
      <c r="L3361" s="35">
        <v>-16.90284244547215</v>
      </c>
      <c r="M3361" s="58" t="s">
        <v>22</v>
      </c>
      <c r="N3361" s="7">
        <v>11.333333333333334</v>
      </c>
      <c r="O3361" s="7" t="s">
        <v>180</v>
      </c>
      <c r="P3361" s="7" t="s">
        <v>180</v>
      </c>
    </row>
    <row r="3362" spans="1:16" x14ac:dyDescent="0.25">
      <c r="A3362" s="2" t="s">
        <v>183</v>
      </c>
      <c r="B3362" s="2" t="s">
        <v>207</v>
      </c>
      <c r="C3362" s="6" t="s">
        <v>154</v>
      </c>
      <c r="D3362" s="2" t="s">
        <v>122</v>
      </c>
      <c r="E3362" s="2"/>
      <c r="F3362" s="35">
        <v>5.4149169609489114</v>
      </c>
      <c r="G3362" s="35">
        <v>73.264333367220118</v>
      </c>
      <c r="H3362" s="35">
        <v>-4.7558726109573684</v>
      </c>
      <c r="I3362" s="35">
        <v>2.8992908031337767E-2</v>
      </c>
      <c r="J3362" s="35">
        <v>5.5954437582281117E-4</v>
      </c>
      <c r="K3362" s="35">
        <v>0.17632442686849886</v>
      </c>
      <c r="L3362" s="35">
        <v>8.8498128197132804</v>
      </c>
      <c r="M3362" s="58" t="s">
        <v>24</v>
      </c>
      <c r="N3362" s="7">
        <v>11.333333333333334</v>
      </c>
      <c r="O3362" s="7" t="s">
        <v>180</v>
      </c>
      <c r="P3362" s="7" t="s">
        <v>180</v>
      </c>
    </row>
    <row r="3363" spans="1:16" x14ac:dyDescent="0.25">
      <c r="A3363" s="2" t="s">
        <v>183</v>
      </c>
      <c r="B3363" s="2" t="s">
        <v>207</v>
      </c>
      <c r="C3363" s="6" t="s">
        <v>154</v>
      </c>
      <c r="D3363" s="2" t="s">
        <v>122</v>
      </c>
      <c r="E3363" s="2"/>
      <c r="F3363" s="35">
        <v>10.829833921897823</v>
      </c>
      <c r="G3363" s="35">
        <v>75.843744223335634</v>
      </c>
      <c r="H3363" s="35">
        <v>-4.7558726109573684</v>
      </c>
      <c r="I3363" s="35">
        <v>2.8992908031337767E-2</v>
      </c>
      <c r="J3363" s="35">
        <v>5.5954437582281117E-4</v>
      </c>
      <c r="K3363" s="35">
        <v>1.9330237422376124E-2</v>
      </c>
      <c r="L3363" s="35">
        <v>34.60246808489871</v>
      </c>
      <c r="M3363" s="58" t="s">
        <v>23</v>
      </c>
      <c r="N3363" s="7">
        <v>11.333333333333334</v>
      </c>
      <c r="O3363" s="7" t="s">
        <v>180</v>
      </c>
      <c r="P3363" s="7" t="s">
        <v>180</v>
      </c>
    </row>
    <row r="3364" spans="1:16" x14ac:dyDescent="0.25">
      <c r="A3364" s="2" t="s">
        <v>183</v>
      </c>
      <c r="B3364" s="2" t="s">
        <v>207</v>
      </c>
      <c r="C3364" s="6" t="s">
        <v>154</v>
      </c>
      <c r="D3364" s="2" t="s">
        <v>123</v>
      </c>
      <c r="E3364" s="2"/>
      <c r="F3364" s="35">
        <v>0</v>
      </c>
      <c r="G3364" s="35">
        <v>-9.6792766227785165</v>
      </c>
      <c r="H3364" s="35">
        <v>-1.5804862545744542</v>
      </c>
      <c r="I3364" s="35">
        <v>2.8937186955442871E-2</v>
      </c>
      <c r="J3364" s="35">
        <v>5.5513833768443136E-4</v>
      </c>
      <c r="K3364" s="35">
        <v>0.33266768923067375</v>
      </c>
      <c r="L3364" s="35">
        <v>-6.5963760433148577</v>
      </c>
      <c r="M3364" s="58" t="s">
        <v>22</v>
      </c>
      <c r="N3364" s="7">
        <v>11.333333333333334</v>
      </c>
      <c r="O3364" s="7" t="s">
        <v>180</v>
      </c>
      <c r="P3364" s="7" t="s">
        <v>180</v>
      </c>
    </row>
    <row r="3365" spans="1:16" x14ac:dyDescent="0.25">
      <c r="A3365" s="2" t="s">
        <v>183</v>
      </c>
      <c r="B3365" s="2" t="s">
        <v>207</v>
      </c>
      <c r="C3365" s="6" t="s">
        <v>154</v>
      </c>
      <c r="D3365" s="2" t="s">
        <v>123</v>
      </c>
      <c r="E3365" s="2"/>
      <c r="F3365" s="35">
        <v>5.4149169609489114</v>
      </c>
      <c r="G3365" s="35">
        <v>-7.099865766663001</v>
      </c>
      <c r="H3365" s="35">
        <v>-1.5804862545744542</v>
      </c>
      <c r="I3365" s="35">
        <v>2.8937186955442871E-2</v>
      </c>
      <c r="J3365" s="35">
        <v>5.5513833768443136E-4</v>
      </c>
      <c r="K3365" s="35">
        <v>0.17597522478349656</v>
      </c>
      <c r="L3365" s="35">
        <v>1.9618257831269739</v>
      </c>
      <c r="M3365" s="58" t="s">
        <v>24</v>
      </c>
      <c r="N3365" s="7">
        <v>11.333333333333334</v>
      </c>
      <c r="O3365" s="7" t="s">
        <v>180</v>
      </c>
      <c r="P3365" s="7" t="s">
        <v>180</v>
      </c>
    </row>
    <row r="3366" spans="1:16" x14ac:dyDescent="0.25">
      <c r="A3366" s="2" t="s">
        <v>183</v>
      </c>
      <c r="B3366" s="2" t="s">
        <v>207</v>
      </c>
      <c r="C3366" s="6" t="s">
        <v>154</v>
      </c>
      <c r="D3366" s="2" t="s">
        <v>123</v>
      </c>
      <c r="E3366" s="2"/>
      <c r="F3366" s="35">
        <v>10.829833921897823</v>
      </c>
      <c r="G3366" s="35">
        <v>-4.5204549105474863</v>
      </c>
      <c r="H3366" s="35">
        <v>-1.5804862545744542</v>
      </c>
      <c r="I3366" s="35">
        <v>2.8937186955442871E-2</v>
      </c>
      <c r="J3366" s="35">
        <v>5.5513833768443136E-4</v>
      </c>
      <c r="K3366" s="35">
        <v>1.9282760336319413E-2</v>
      </c>
      <c r="L3366" s="35">
        <v>10.520027609568805</v>
      </c>
      <c r="M3366" s="58" t="s">
        <v>23</v>
      </c>
      <c r="N3366" s="7">
        <v>11.333333333333334</v>
      </c>
      <c r="O3366" s="7" t="s">
        <v>180</v>
      </c>
      <c r="P3366" s="7" t="s">
        <v>180</v>
      </c>
    </row>
    <row r="3367" spans="1:16" x14ac:dyDescent="0.25">
      <c r="A3367" s="2" t="s">
        <v>183</v>
      </c>
      <c r="B3367" s="2" t="s">
        <v>207</v>
      </c>
      <c r="C3367" s="6" t="s">
        <v>154</v>
      </c>
      <c r="D3367" s="2" t="s">
        <v>124</v>
      </c>
      <c r="E3367" s="2"/>
      <c r="F3367" s="35">
        <v>0</v>
      </c>
      <c r="G3367" s="35">
        <v>69.709109852996846</v>
      </c>
      <c r="H3367" s="35">
        <v>1.2027873015078696</v>
      </c>
      <c r="I3367" s="35">
        <v>-1.1139586697481833E-4</v>
      </c>
      <c r="J3367" s="35">
        <v>5.7557138268224851E-7</v>
      </c>
      <c r="K3367" s="35">
        <v>-1.2716067770707439E-3</v>
      </c>
      <c r="L3367" s="35">
        <v>20.508851672702136</v>
      </c>
      <c r="M3367" s="58" t="s">
        <v>22</v>
      </c>
      <c r="N3367" s="7">
        <v>11.333333333333334</v>
      </c>
      <c r="O3367" s="7" t="s">
        <v>180</v>
      </c>
      <c r="P3367" s="7" t="s">
        <v>180</v>
      </c>
    </row>
    <row r="3368" spans="1:16" x14ac:dyDescent="0.25">
      <c r="A3368" s="2" t="s">
        <v>183</v>
      </c>
      <c r="B3368" s="2" t="s">
        <v>207</v>
      </c>
      <c r="C3368" s="6" t="s">
        <v>154</v>
      </c>
      <c r="D3368" s="2" t="s">
        <v>124</v>
      </c>
      <c r="E3368" s="2"/>
      <c r="F3368" s="35">
        <v>5.4149169609489114</v>
      </c>
      <c r="G3368" s="35">
        <v>72.288520709112362</v>
      </c>
      <c r="H3368" s="35">
        <v>1.2027873015078696</v>
      </c>
      <c r="I3368" s="35">
        <v>-1.1139586697481833E-4</v>
      </c>
      <c r="J3368" s="35">
        <v>5.7557138268224851E-7</v>
      </c>
      <c r="K3368" s="35">
        <v>-6.6840740760919183E-4</v>
      </c>
      <c r="L3368" s="35">
        <v>13.9958583133532</v>
      </c>
      <c r="M3368" s="58" t="s">
        <v>24</v>
      </c>
      <c r="N3368" s="7">
        <v>11.333333333333334</v>
      </c>
      <c r="O3368" s="7" t="s">
        <v>180</v>
      </c>
      <c r="P3368" s="7" t="s">
        <v>180</v>
      </c>
    </row>
    <row r="3369" spans="1:16" x14ac:dyDescent="0.25">
      <c r="A3369" s="2" t="s">
        <v>183</v>
      </c>
      <c r="B3369" s="2" t="s">
        <v>207</v>
      </c>
      <c r="C3369" s="6" t="s">
        <v>154</v>
      </c>
      <c r="D3369" s="2" t="s">
        <v>124</v>
      </c>
      <c r="E3369" s="2"/>
      <c r="F3369" s="35">
        <v>10.829833921897823</v>
      </c>
      <c r="G3369" s="35">
        <v>74.867931565227877</v>
      </c>
      <c r="H3369" s="35">
        <v>1.2027873015078696</v>
      </c>
      <c r="I3369" s="35">
        <v>-1.1139586697481833E-4</v>
      </c>
      <c r="J3369" s="35">
        <v>5.7557138268224851E-7</v>
      </c>
      <c r="K3369" s="35">
        <v>-6.5208038147639618E-5</v>
      </c>
      <c r="L3369" s="35">
        <v>7.4828649540042633</v>
      </c>
      <c r="M3369" s="58" t="s">
        <v>23</v>
      </c>
      <c r="N3369" s="7">
        <v>11.333333333333334</v>
      </c>
      <c r="O3369" s="7" t="s">
        <v>180</v>
      </c>
      <c r="P3369" s="7" t="s">
        <v>180</v>
      </c>
    </row>
    <row r="3370" spans="1:16" x14ac:dyDescent="0.25">
      <c r="A3370" s="2" t="s">
        <v>183</v>
      </c>
      <c r="B3370" s="2" t="s">
        <v>207</v>
      </c>
      <c r="C3370" s="6" t="s">
        <v>154</v>
      </c>
      <c r="D3370" s="2" t="s">
        <v>125</v>
      </c>
      <c r="E3370" s="2"/>
      <c r="F3370" s="35">
        <v>0</v>
      </c>
      <c r="G3370" s="35">
        <v>-142.92065501179013</v>
      </c>
      <c r="H3370" s="35">
        <v>14.722106227526291</v>
      </c>
      <c r="I3370" s="35">
        <v>-4.7323810736700375E-4</v>
      </c>
      <c r="J3370" s="35">
        <v>-1.4276758125290158E-5</v>
      </c>
      <c r="K3370" s="35">
        <v>-5.4558477015880522E-3</v>
      </c>
      <c r="L3370" s="35">
        <v>85.479797925097856</v>
      </c>
      <c r="M3370" s="58" t="s">
        <v>22</v>
      </c>
      <c r="N3370" s="7">
        <v>11.333333333333334</v>
      </c>
      <c r="O3370" s="7" t="s">
        <v>180</v>
      </c>
      <c r="P3370" s="7" t="s">
        <v>180</v>
      </c>
    </row>
    <row r="3371" spans="1:16" x14ac:dyDescent="0.25">
      <c r="A3371" s="2" t="s">
        <v>183</v>
      </c>
      <c r="B3371" s="2" t="s">
        <v>207</v>
      </c>
      <c r="C3371" s="6" t="s">
        <v>154</v>
      </c>
      <c r="D3371" s="2" t="s">
        <v>125</v>
      </c>
      <c r="E3371" s="2"/>
      <c r="F3371" s="35">
        <v>5.4149169609489114</v>
      </c>
      <c r="G3371" s="35">
        <v>-140.34124415567462</v>
      </c>
      <c r="H3371" s="35">
        <v>14.722106227526291</v>
      </c>
      <c r="I3371" s="35">
        <v>-4.7323810736700375E-4</v>
      </c>
      <c r="J3371" s="35">
        <v>-1.4276758125290158E-5</v>
      </c>
      <c r="K3371" s="35">
        <v>-2.8933026474391018E-3</v>
      </c>
      <c r="L3371" s="35">
        <v>5.7608152127741565</v>
      </c>
      <c r="M3371" s="58" t="s">
        <v>24</v>
      </c>
      <c r="N3371" s="7">
        <v>11.333333333333334</v>
      </c>
      <c r="O3371" s="7" t="s">
        <v>180</v>
      </c>
      <c r="P3371" s="7" t="s">
        <v>180</v>
      </c>
    </row>
    <row r="3372" spans="1:16" x14ac:dyDescent="0.25">
      <c r="A3372" s="2" t="s">
        <v>183</v>
      </c>
      <c r="B3372" s="2" t="s">
        <v>207</v>
      </c>
      <c r="C3372" s="6" t="s">
        <v>154</v>
      </c>
      <c r="D3372" s="2" t="s">
        <v>125</v>
      </c>
      <c r="E3372" s="2"/>
      <c r="F3372" s="35">
        <v>10.829833921897823</v>
      </c>
      <c r="G3372" s="35">
        <v>-137.7618332995591</v>
      </c>
      <c r="H3372" s="35">
        <v>14.722106227526291</v>
      </c>
      <c r="I3372" s="35">
        <v>-4.7323810736700375E-4</v>
      </c>
      <c r="J3372" s="35">
        <v>-1.4276758125290158E-5</v>
      </c>
      <c r="K3372" s="35">
        <v>-3.3075759329015208E-4</v>
      </c>
      <c r="L3372" s="35">
        <v>-73.958167499549532</v>
      </c>
      <c r="M3372" s="58" t="s">
        <v>23</v>
      </c>
      <c r="N3372" s="7">
        <v>11.333333333333334</v>
      </c>
      <c r="O3372" s="7" t="s">
        <v>180</v>
      </c>
      <c r="P3372" s="7" t="s">
        <v>180</v>
      </c>
    </row>
    <row r="3373" spans="1:16" x14ac:dyDescent="0.25">
      <c r="A3373" s="2" t="s">
        <v>183</v>
      </c>
      <c r="B3373" s="2" t="s">
        <v>207</v>
      </c>
      <c r="C3373" s="6" t="s">
        <v>154</v>
      </c>
      <c r="D3373" s="2" t="s">
        <v>126</v>
      </c>
      <c r="E3373" s="2"/>
      <c r="F3373" s="35">
        <v>0</v>
      </c>
      <c r="G3373" s="35">
        <v>71.636378362668921</v>
      </c>
      <c r="H3373" s="35">
        <v>-8.7611185334022661</v>
      </c>
      <c r="I3373" s="35">
        <v>-1.3298377755522578E-4</v>
      </c>
      <c r="J3373" s="35">
        <v>2.0043470353088249E-6</v>
      </c>
      <c r="K3373" s="35">
        <v>-1.5148743043326605E-3</v>
      </c>
      <c r="L3373" s="35">
        <v>-46.117874433541495</v>
      </c>
      <c r="M3373" s="58" t="s">
        <v>22</v>
      </c>
      <c r="N3373" s="7">
        <v>11.333333333333334</v>
      </c>
      <c r="O3373" s="7" t="s">
        <v>180</v>
      </c>
      <c r="P3373" s="7" t="s">
        <v>180</v>
      </c>
    </row>
    <row r="3374" spans="1:16" x14ac:dyDescent="0.25">
      <c r="A3374" s="2" t="s">
        <v>183</v>
      </c>
      <c r="B3374" s="2" t="s">
        <v>207</v>
      </c>
      <c r="C3374" s="6" t="s">
        <v>154</v>
      </c>
      <c r="D3374" s="2" t="s">
        <v>126</v>
      </c>
      <c r="E3374" s="2"/>
      <c r="F3374" s="35">
        <v>5.4149169609489114</v>
      </c>
      <c r="G3374" s="35">
        <v>74.215789218784437</v>
      </c>
      <c r="H3374" s="35">
        <v>-8.7611185334022661</v>
      </c>
      <c r="I3374" s="35">
        <v>-1.3298377755522578E-4</v>
      </c>
      <c r="J3374" s="35">
        <v>2.0043470353088249E-6</v>
      </c>
      <c r="K3374" s="35">
        <v>-7.9477819171781155E-4</v>
      </c>
      <c r="L3374" s="35">
        <v>1.3228549098622824</v>
      </c>
      <c r="M3374" s="58" t="s">
        <v>24</v>
      </c>
      <c r="N3374" s="7">
        <v>11.333333333333334</v>
      </c>
      <c r="O3374" s="7" t="s">
        <v>180</v>
      </c>
      <c r="P3374" s="7" t="s">
        <v>180</v>
      </c>
    </row>
    <row r="3375" spans="1:16" x14ac:dyDescent="0.25">
      <c r="A3375" s="2" t="s">
        <v>183</v>
      </c>
      <c r="B3375" s="2" t="s">
        <v>207</v>
      </c>
      <c r="C3375" s="6" t="s">
        <v>154</v>
      </c>
      <c r="D3375" s="2" t="s">
        <v>126</v>
      </c>
      <c r="E3375" s="2"/>
      <c r="F3375" s="35">
        <v>10.829833921897823</v>
      </c>
      <c r="G3375" s="35">
        <v>76.795200074899952</v>
      </c>
      <c r="H3375" s="35">
        <v>-8.7611185334022661</v>
      </c>
      <c r="I3375" s="35">
        <v>-1.3298377755522578E-4</v>
      </c>
      <c r="J3375" s="35">
        <v>2.0043470353088249E-6</v>
      </c>
      <c r="K3375" s="35">
        <v>-7.4682079102962571E-5</v>
      </c>
      <c r="L3375" s="35">
        <v>48.763584253266053</v>
      </c>
      <c r="M3375" s="58" t="s">
        <v>23</v>
      </c>
      <c r="N3375" s="7">
        <v>11.333333333333334</v>
      </c>
      <c r="O3375" s="7" t="s">
        <v>180</v>
      </c>
      <c r="P3375" s="7" t="s">
        <v>180</v>
      </c>
    </row>
    <row r="3376" spans="1:16" x14ac:dyDescent="0.25">
      <c r="A3376" s="2" t="s">
        <v>183</v>
      </c>
      <c r="B3376" s="2" t="s">
        <v>207</v>
      </c>
      <c r="C3376" s="6" t="s">
        <v>154</v>
      </c>
      <c r="D3376" s="2" t="s">
        <v>127</v>
      </c>
      <c r="E3376" s="2"/>
      <c r="F3376" s="35">
        <v>0</v>
      </c>
      <c r="G3376" s="35">
        <v>-46.433668707574768</v>
      </c>
      <c r="H3376" s="35">
        <v>-20.702548753720357</v>
      </c>
      <c r="I3376" s="35">
        <v>-4.0790500536241198E-4</v>
      </c>
      <c r="J3376" s="35">
        <v>-1.1472259453807751E-5</v>
      </c>
      <c r="K3376" s="35">
        <v>-4.7003658913596369E-3</v>
      </c>
      <c r="L3376" s="35">
        <v>-114.92499902066058</v>
      </c>
      <c r="M3376" s="58" t="s">
        <v>22</v>
      </c>
      <c r="N3376" s="7">
        <v>11.333333333333334</v>
      </c>
      <c r="O3376" s="7" t="s">
        <v>180</v>
      </c>
      <c r="P3376" s="7" t="s">
        <v>180</v>
      </c>
    </row>
    <row r="3377" spans="1:16" x14ac:dyDescent="0.25">
      <c r="A3377" s="2" t="s">
        <v>183</v>
      </c>
      <c r="B3377" s="2" t="s">
        <v>207</v>
      </c>
      <c r="C3377" s="6" t="s">
        <v>154</v>
      </c>
      <c r="D3377" s="2" t="s">
        <v>127</v>
      </c>
      <c r="E3377" s="2"/>
      <c r="F3377" s="35">
        <v>5.4149169609489114</v>
      </c>
      <c r="G3377" s="35">
        <v>-43.854257851459252</v>
      </c>
      <c r="H3377" s="35">
        <v>-20.702548753720357</v>
      </c>
      <c r="I3377" s="35">
        <v>-4.0790500536241198E-4</v>
      </c>
      <c r="J3377" s="35">
        <v>-1.1472259453807751E-5</v>
      </c>
      <c r="K3377" s="35">
        <v>-2.491594159366757E-3</v>
      </c>
      <c r="L3377" s="35">
        <v>-2.8224166392684671</v>
      </c>
      <c r="M3377" s="58" t="s">
        <v>24</v>
      </c>
      <c r="N3377" s="7">
        <v>11.333333333333334</v>
      </c>
      <c r="O3377" s="7" t="s">
        <v>180</v>
      </c>
      <c r="P3377" s="7" t="s">
        <v>180</v>
      </c>
    </row>
    <row r="3378" spans="1:16" x14ac:dyDescent="0.25">
      <c r="A3378" s="2" t="s">
        <v>183</v>
      </c>
      <c r="B3378" s="2" t="s">
        <v>207</v>
      </c>
      <c r="C3378" s="6" t="s">
        <v>154</v>
      </c>
      <c r="D3378" s="2" t="s">
        <v>127</v>
      </c>
      <c r="E3378" s="2"/>
      <c r="F3378" s="35">
        <v>10.829833921897823</v>
      </c>
      <c r="G3378" s="35">
        <v>-41.274846995343736</v>
      </c>
      <c r="H3378" s="35">
        <v>-20.702548753720357</v>
      </c>
      <c r="I3378" s="35">
        <v>-4.0790500536241198E-4</v>
      </c>
      <c r="J3378" s="35">
        <v>-1.1472259453807751E-5</v>
      </c>
      <c r="K3378" s="35">
        <v>-2.828224273738761E-4</v>
      </c>
      <c r="L3378" s="35">
        <v>109.28016574212366</v>
      </c>
      <c r="M3378" s="58" t="s">
        <v>23</v>
      </c>
      <c r="N3378" s="7">
        <v>11.333333333333334</v>
      </c>
      <c r="O3378" s="7" t="s">
        <v>180</v>
      </c>
      <c r="P3378" s="7" t="s">
        <v>180</v>
      </c>
    </row>
    <row r="3379" spans="1:16" x14ac:dyDescent="0.25">
      <c r="A3379" s="2" t="s">
        <v>183</v>
      </c>
      <c r="B3379" s="2" t="s">
        <v>208</v>
      </c>
      <c r="C3379" s="6" t="s">
        <v>155</v>
      </c>
      <c r="D3379" s="2" t="s">
        <v>105</v>
      </c>
      <c r="E3379" s="2"/>
      <c r="F3379" s="35">
        <v>0</v>
      </c>
      <c r="G3379" s="35">
        <v>-96.048093087565263</v>
      </c>
      <c r="H3379" s="35">
        <v>-1.7165046044545058</v>
      </c>
      <c r="I3379" s="35">
        <v>-1.9672818274212568E-4</v>
      </c>
      <c r="J3379" s="35">
        <v>7.5574541074332723E-6</v>
      </c>
      <c r="K3379" s="35">
        <v>-2.2731211370601509E-3</v>
      </c>
      <c r="L3379" s="35">
        <v>-3.985429352648298</v>
      </c>
      <c r="M3379" s="58" t="s">
        <v>22</v>
      </c>
      <c r="N3379" s="7">
        <v>11.333333333333334</v>
      </c>
      <c r="O3379" s="7" t="s">
        <v>180</v>
      </c>
      <c r="P3379" s="7" t="s">
        <v>180</v>
      </c>
    </row>
    <row r="3380" spans="1:16" x14ac:dyDescent="0.25">
      <c r="A3380" s="2" t="s">
        <v>183</v>
      </c>
      <c r="B3380" s="2" t="s">
        <v>208</v>
      </c>
      <c r="C3380" s="6" t="s">
        <v>155</v>
      </c>
      <c r="D3380" s="2" t="s">
        <v>105</v>
      </c>
      <c r="E3380" s="2"/>
      <c r="F3380" s="35">
        <v>5.4149169609489114</v>
      </c>
      <c r="G3380" s="35">
        <v>-93.468682231449762</v>
      </c>
      <c r="H3380" s="35">
        <v>-1.7165046044545058</v>
      </c>
      <c r="I3380" s="35">
        <v>-1.9672818274212568E-4</v>
      </c>
      <c r="J3380" s="35">
        <v>7.5574541074332723E-6</v>
      </c>
      <c r="K3380" s="35">
        <v>-1.2078543636331578E-3</v>
      </c>
      <c r="L3380" s="35">
        <v>5.3093005435593055</v>
      </c>
      <c r="M3380" s="58" t="s">
        <v>24</v>
      </c>
      <c r="N3380" s="7">
        <v>11.333333333333334</v>
      </c>
      <c r="O3380" s="7" t="s">
        <v>180</v>
      </c>
      <c r="P3380" s="7" t="s">
        <v>180</v>
      </c>
    </row>
    <row r="3381" spans="1:16" x14ac:dyDescent="0.25">
      <c r="A3381" s="2" t="s">
        <v>183</v>
      </c>
      <c r="B3381" s="2" t="s">
        <v>208</v>
      </c>
      <c r="C3381" s="6" t="s">
        <v>155</v>
      </c>
      <c r="D3381" s="2" t="s">
        <v>105</v>
      </c>
      <c r="E3381" s="2"/>
      <c r="F3381" s="35">
        <v>10.829833921897823</v>
      </c>
      <c r="G3381" s="35">
        <v>-90.88927137533426</v>
      </c>
      <c r="H3381" s="35">
        <v>-1.7165046044545058</v>
      </c>
      <c r="I3381" s="35">
        <v>-1.9672818274212568E-4</v>
      </c>
      <c r="J3381" s="35">
        <v>7.5574541074332723E-6</v>
      </c>
      <c r="K3381" s="35">
        <v>-1.4258759020616449E-4</v>
      </c>
      <c r="L3381" s="35">
        <v>14.604030439766911</v>
      </c>
      <c r="M3381" s="58" t="s">
        <v>23</v>
      </c>
      <c r="N3381" s="7">
        <v>11.333333333333334</v>
      </c>
      <c r="O3381" s="7" t="s">
        <v>180</v>
      </c>
      <c r="P3381" s="7" t="s">
        <v>180</v>
      </c>
    </row>
    <row r="3382" spans="1:16" x14ac:dyDescent="0.25">
      <c r="A3382" s="2" t="s">
        <v>183</v>
      </c>
      <c r="B3382" s="2" t="s">
        <v>208</v>
      </c>
      <c r="C3382" s="6" t="s">
        <v>155</v>
      </c>
      <c r="D3382" s="2" t="s">
        <v>15</v>
      </c>
      <c r="E3382" s="2"/>
      <c r="F3382" s="35">
        <v>0</v>
      </c>
      <c r="G3382" s="35">
        <v>121.90353451900644</v>
      </c>
      <c r="H3382" s="35">
        <v>6.2068038295338024</v>
      </c>
      <c r="I3382" s="35">
        <v>-2.8779914115815E-2</v>
      </c>
      <c r="J3382" s="35">
        <v>5.3927321473737832E-4</v>
      </c>
      <c r="K3382" s="35">
        <v>-0.33082097620559181</v>
      </c>
      <c r="L3382" s="35">
        <v>21.07829511852028</v>
      </c>
      <c r="M3382" s="58" t="s">
        <v>22</v>
      </c>
      <c r="N3382" s="7">
        <v>11.333333333333334</v>
      </c>
      <c r="O3382" s="7" t="s">
        <v>180</v>
      </c>
      <c r="P3382" s="7" t="s">
        <v>180</v>
      </c>
    </row>
    <row r="3383" spans="1:16" x14ac:dyDescent="0.25">
      <c r="A3383" s="2" t="s">
        <v>183</v>
      </c>
      <c r="B3383" s="2" t="s">
        <v>208</v>
      </c>
      <c r="C3383" s="6" t="s">
        <v>155</v>
      </c>
      <c r="D3383" s="2" t="s">
        <v>15</v>
      </c>
      <c r="E3383" s="2"/>
      <c r="F3383" s="35">
        <v>5.4149169609489114</v>
      </c>
      <c r="G3383" s="35">
        <v>124.48294537512194</v>
      </c>
      <c r="H3383" s="35">
        <v>6.2068038295338024</v>
      </c>
      <c r="I3383" s="35">
        <v>-2.8779914115815E-2</v>
      </c>
      <c r="J3383" s="35">
        <v>5.3927321473737832E-4</v>
      </c>
      <c r="K3383" s="35">
        <v>-0.17498013112521213</v>
      </c>
      <c r="L3383" s="35">
        <v>-12.531032211304961</v>
      </c>
      <c r="M3383" s="58" t="s">
        <v>24</v>
      </c>
      <c r="N3383" s="7">
        <v>11.333333333333334</v>
      </c>
      <c r="O3383" s="7" t="s">
        <v>180</v>
      </c>
      <c r="P3383" s="7" t="s">
        <v>180</v>
      </c>
    </row>
    <row r="3384" spans="1:16" x14ac:dyDescent="0.25">
      <c r="A3384" s="2" t="s">
        <v>183</v>
      </c>
      <c r="B3384" s="2" t="s">
        <v>208</v>
      </c>
      <c r="C3384" s="6" t="s">
        <v>155</v>
      </c>
      <c r="D3384" s="2" t="s">
        <v>15</v>
      </c>
      <c r="E3384" s="2"/>
      <c r="F3384" s="35">
        <v>10.829833921897823</v>
      </c>
      <c r="G3384" s="35">
        <v>127.06235623123744</v>
      </c>
      <c r="H3384" s="35">
        <v>6.2068038295338024</v>
      </c>
      <c r="I3384" s="35">
        <v>-2.8779914115815E-2</v>
      </c>
      <c r="J3384" s="35">
        <v>5.3927321473737832E-4</v>
      </c>
      <c r="K3384" s="35">
        <v>-1.9139286044832532E-2</v>
      </c>
      <c r="L3384" s="35">
        <v>-46.140359541130209</v>
      </c>
      <c r="M3384" s="58" t="s">
        <v>23</v>
      </c>
      <c r="N3384" s="7">
        <v>11.333333333333334</v>
      </c>
      <c r="O3384" s="7" t="s">
        <v>180</v>
      </c>
      <c r="P3384" s="7" t="s">
        <v>180</v>
      </c>
    </row>
    <row r="3385" spans="1:16" x14ac:dyDescent="0.25">
      <c r="A3385" s="2" t="s">
        <v>183</v>
      </c>
      <c r="B3385" s="2" t="s">
        <v>208</v>
      </c>
      <c r="C3385" s="6" t="s">
        <v>155</v>
      </c>
      <c r="D3385" s="2" t="s">
        <v>16</v>
      </c>
      <c r="E3385" s="2"/>
      <c r="F3385" s="35">
        <v>0</v>
      </c>
      <c r="G3385" s="35">
        <v>41.539314670053713</v>
      </c>
      <c r="H3385" s="35">
        <v>3.0314023134277317</v>
      </c>
      <c r="I3385" s="35">
        <v>-2.8916568698200008E-2</v>
      </c>
      <c r="J3385" s="35">
        <v>5.4034270091286168E-4</v>
      </c>
      <c r="K3385" s="35">
        <v>-0.33238747686095721</v>
      </c>
      <c r="L3385" s="35">
        <v>10.771737266601948</v>
      </c>
      <c r="M3385" s="58" t="s">
        <v>22</v>
      </c>
      <c r="N3385" s="7">
        <v>11.333333333333334</v>
      </c>
      <c r="O3385" s="7" t="s">
        <v>180</v>
      </c>
      <c r="P3385" s="7" t="s">
        <v>180</v>
      </c>
    </row>
    <row r="3386" spans="1:16" x14ac:dyDescent="0.25">
      <c r="A3386" s="2" t="s">
        <v>183</v>
      </c>
      <c r="B3386" s="2" t="s">
        <v>208</v>
      </c>
      <c r="C3386" s="6" t="s">
        <v>155</v>
      </c>
      <c r="D3386" s="2" t="s">
        <v>16</v>
      </c>
      <c r="E3386" s="2"/>
      <c r="F3386" s="35">
        <v>5.4149169609489114</v>
      </c>
      <c r="G3386" s="35">
        <v>44.118725526169207</v>
      </c>
      <c r="H3386" s="35">
        <v>3.0314023134277317</v>
      </c>
      <c r="I3386" s="35">
        <v>-2.8916568698200008E-2</v>
      </c>
      <c r="J3386" s="35">
        <v>5.4034270091286168E-4</v>
      </c>
      <c r="K3386" s="35">
        <v>-0.17580665856462954</v>
      </c>
      <c r="L3386" s="35">
        <v>-5.6430545358376394</v>
      </c>
      <c r="M3386" s="58" t="s">
        <v>24</v>
      </c>
      <c r="N3386" s="7">
        <v>11.333333333333334</v>
      </c>
      <c r="O3386" s="7" t="s">
        <v>180</v>
      </c>
      <c r="P3386" s="7" t="s">
        <v>180</v>
      </c>
    </row>
    <row r="3387" spans="1:16" x14ac:dyDescent="0.25">
      <c r="A3387" s="2" t="s">
        <v>183</v>
      </c>
      <c r="B3387" s="2" t="s">
        <v>208</v>
      </c>
      <c r="C3387" s="6" t="s">
        <v>155</v>
      </c>
      <c r="D3387" s="2" t="s">
        <v>16</v>
      </c>
      <c r="E3387" s="2"/>
      <c r="F3387" s="35">
        <v>10.829833921897823</v>
      </c>
      <c r="G3387" s="35">
        <v>46.698136382284709</v>
      </c>
      <c r="H3387" s="35">
        <v>3.0314023134277317</v>
      </c>
      <c r="I3387" s="35">
        <v>-2.8916568698200008E-2</v>
      </c>
      <c r="J3387" s="35">
        <v>5.4034270091286168E-4</v>
      </c>
      <c r="K3387" s="35">
        <v>-1.9225840268301961E-2</v>
      </c>
      <c r="L3387" s="35">
        <v>-22.057846338277226</v>
      </c>
      <c r="M3387" s="58" t="s">
        <v>23</v>
      </c>
      <c r="N3387" s="7">
        <v>11.333333333333334</v>
      </c>
      <c r="O3387" s="7" t="s">
        <v>180</v>
      </c>
      <c r="P3387" s="7" t="s">
        <v>180</v>
      </c>
    </row>
    <row r="3388" spans="1:16" x14ac:dyDescent="0.25">
      <c r="A3388" s="2" t="s">
        <v>183</v>
      </c>
      <c r="B3388" s="2" t="s">
        <v>208</v>
      </c>
      <c r="C3388" s="6" t="s">
        <v>155</v>
      </c>
      <c r="D3388" s="2" t="s">
        <v>106</v>
      </c>
      <c r="E3388" s="2"/>
      <c r="F3388" s="35">
        <v>0</v>
      </c>
      <c r="G3388" s="35">
        <v>121.90331619710936</v>
      </c>
      <c r="H3388" s="35">
        <v>6.2064988481625551</v>
      </c>
      <c r="I3388" s="35">
        <v>2.9315494367665597E-2</v>
      </c>
      <c r="J3388" s="35">
        <v>-5.5820227988605112E-4</v>
      </c>
      <c r="K3388" s="35">
        <v>0.33700418725411052</v>
      </c>
      <c r="L3388" s="35">
        <v>21.077522374083262</v>
      </c>
      <c r="M3388" s="58" t="s">
        <v>22</v>
      </c>
      <c r="N3388" s="7">
        <v>11.333333333333334</v>
      </c>
      <c r="O3388" s="7" t="s">
        <v>180</v>
      </c>
      <c r="P3388" s="7" t="s">
        <v>180</v>
      </c>
    </row>
    <row r="3389" spans="1:16" x14ac:dyDescent="0.25">
      <c r="A3389" s="2" t="s">
        <v>183</v>
      </c>
      <c r="B3389" s="2" t="s">
        <v>208</v>
      </c>
      <c r="C3389" s="6" t="s">
        <v>155</v>
      </c>
      <c r="D3389" s="2" t="s">
        <v>106</v>
      </c>
      <c r="E3389" s="2"/>
      <c r="F3389" s="35">
        <v>5.4149169609489114</v>
      </c>
      <c r="G3389" s="35">
        <v>124.48272705322485</v>
      </c>
      <c r="H3389" s="35">
        <v>6.2064988481625551</v>
      </c>
      <c r="I3389" s="35">
        <v>2.9315494367665597E-2</v>
      </c>
      <c r="J3389" s="35">
        <v>-5.5820227988605112E-4</v>
      </c>
      <c r="K3389" s="35">
        <v>0.17826321958403582</v>
      </c>
      <c r="L3389" s="35">
        <v>-12.530153506942034</v>
      </c>
      <c r="M3389" s="58" t="s">
        <v>24</v>
      </c>
      <c r="N3389" s="7">
        <v>11.333333333333334</v>
      </c>
      <c r="O3389" s="7" t="s">
        <v>180</v>
      </c>
      <c r="P3389" s="7" t="s">
        <v>180</v>
      </c>
    </row>
    <row r="3390" spans="1:16" x14ac:dyDescent="0.25">
      <c r="A3390" s="2" t="s">
        <v>183</v>
      </c>
      <c r="B3390" s="2" t="s">
        <v>208</v>
      </c>
      <c r="C3390" s="6" t="s">
        <v>155</v>
      </c>
      <c r="D3390" s="2" t="s">
        <v>106</v>
      </c>
      <c r="E3390" s="2"/>
      <c r="F3390" s="35">
        <v>10.829833921897823</v>
      </c>
      <c r="G3390" s="35">
        <v>127.06213790934035</v>
      </c>
      <c r="H3390" s="35">
        <v>6.2064988481625551</v>
      </c>
      <c r="I3390" s="35">
        <v>2.9315494367665597E-2</v>
      </c>
      <c r="J3390" s="35">
        <v>-5.5820227988605112E-4</v>
      </c>
      <c r="K3390" s="35">
        <v>1.9522251913961088E-2</v>
      </c>
      <c r="L3390" s="35">
        <v>-46.137829387967329</v>
      </c>
      <c r="M3390" s="58" t="s">
        <v>23</v>
      </c>
      <c r="N3390" s="7">
        <v>11.333333333333334</v>
      </c>
      <c r="O3390" s="7" t="s">
        <v>180</v>
      </c>
      <c r="P3390" s="7" t="s">
        <v>180</v>
      </c>
    </row>
    <row r="3391" spans="1:16" x14ac:dyDescent="0.25">
      <c r="A3391" s="2" t="s">
        <v>183</v>
      </c>
      <c r="B3391" s="2" t="s">
        <v>208</v>
      </c>
      <c r="C3391" s="6" t="s">
        <v>155</v>
      </c>
      <c r="D3391" s="2" t="s">
        <v>107</v>
      </c>
      <c r="E3391" s="2"/>
      <c r="F3391" s="35">
        <v>0</v>
      </c>
      <c r="G3391" s="35">
        <v>41.539096735749922</v>
      </c>
      <c r="H3391" s="35">
        <v>3.0310978477223438</v>
      </c>
      <c r="I3391" s="35">
        <v>2.9156450318523555E-2</v>
      </c>
      <c r="J3391" s="35">
        <v>-5.5623914181759221E-4</v>
      </c>
      <c r="K3391" s="35">
        <v>0.33517888610592295</v>
      </c>
      <c r="L3391" s="35">
        <v>10.77096595496595</v>
      </c>
      <c r="M3391" s="58" t="s">
        <v>22</v>
      </c>
      <c r="N3391" s="7">
        <v>11.333333333333334</v>
      </c>
      <c r="O3391" s="7" t="s">
        <v>180</v>
      </c>
      <c r="P3391" s="7" t="s">
        <v>180</v>
      </c>
    </row>
    <row r="3392" spans="1:16" x14ac:dyDescent="0.25">
      <c r="A3392" s="2" t="s">
        <v>183</v>
      </c>
      <c r="B3392" s="2" t="s">
        <v>208</v>
      </c>
      <c r="C3392" s="6" t="s">
        <v>155</v>
      </c>
      <c r="D3392" s="2" t="s">
        <v>107</v>
      </c>
      <c r="E3392" s="2"/>
      <c r="F3392" s="35">
        <v>5.4149169609489114</v>
      </c>
      <c r="G3392" s="35">
        <v>44.118507591865423</v>
      </c>
      <c r="H3392" s="35">
        <v>3.0310978477223438</v>
      </c>
      <c r="I3392" s="35">
        <v>2.9156450318523555E-2</v>
      </c>
      <c r="J3392" s="35">
        <v>-5.5623914181759221E-4</v>
      </c>
      <c r="K3392" s="35">
        <v>0.17729912875508549</v>
      </c>
      <c r="L3392" s="35">
        <v>-5.6421771909615064</v>
      </c>
      <c r="M3392" s="58" t="s">
        <v>24</v>
      </c>
      <c r="N3392" s="7">
        <v>11.333333333333334</v>
      </c>
      <c r="O3392" s="7" t="s">
        <v>180</v>
      </c>
      <c r="P3392" s="7" t="s">
        <v>180</v>
      </c>
    </row>
    <row r="3393" spans="1:16" x14ac:dyDescent="0.25">
      <c r="A3393" s="2" t="s">
        <v>183</v>
      </c>
      <c r="B3393" s="2" t="s">
        <v>208</v>
      </c>
      <c r="C3393" s="6" t="s">
        <v>155</v>
      </c>
      <c r="D3393" s="2" t="s">
        <v>107</v>
      </c>
      <c r="E3393" s="2"/>
      <c r="F3393" s="35">
        <v>10.829833921897823</v>
      </c>
      <c r="G3393" s="35">
        <v>46.697918447980925</v>
      </c>
      <c r="H3393" s="35">
        <v>3.0310978477223438</v>
      </c>
      <c r="I3393" s="35">
        <v>2.9156450318523555E-2</v>
      </c>
      <c r="J3393" s="35">
        <v>-5.5623914181759221E-4</v>
      </c>
      <c r="K3393" s="35">
        <v>1.9419371404248025E-2</v>
      </c>
      <c r="L3393" s="35">
        <v>-22.055320336888965</v>
      </c>
      <c r="M3393" s="58" t="s">
        <v>23</v>
      </c>
      <c r="N3393" s="7">
        <v>11.333333333333334</v>
      </c>
      <c r="O3393" s="7" t="s">
        <v>180</v>
      </c>
      <c r="P3393" s="7" t="s">
        <v>180</v>
      </c>
    </row>
    <row r="3394" spans="1:16" x14ac:dyDescent="0.25">
      <c r="A3394" s="2" t="s">
        <v>183</v>
      </c>
      <c r="B3394" s="2" t="s">
        <v>208</v>
      </c>
      <c r="C3394" s="6" t="s">
        <v>155</v>
      </c>
      <c r="D3394" s="2" t="s">
        <v>108</v>
      </c>
      <c r="E3394" s="2"/>
      <c r="F3394" s="35">
        <v>0</v>
      </c>
      <c r="G3394" s="35">
        <v>122.85477986324247</v>
      </c>
      <c r="H3394" s="35">
        <v>10.211750469163908</v>
      </c>
      <c r="I3394" s="35">
        <v>2.3216994141339405E-4</v>
      </c>
      <c r="J3394" s="35">
        <v>1.062109347491672E-6</v>
      </c>
      <c r="K3394" s="35">
        <v>2.6524282146347051E-3</v>
      </c>
      <c r="L3394" s="35">
        <v>50.29258870164464</v>
      </c>
      <c r="M3394" s="58" t="s">
        <v>22</v>
      </c>
      <c r="N3394" s="7">
        <v>11.333333333333334</v>
      </c>
      <c r="O3394" s="7" t="s">
        <v>180</v>
      </c>
      <c r="P3394" s="7" t="s">
        <v>180</v>
      </c>
    </row>
    <row r="3395" spans="1:16" x14ac:dyDescent="0.25">
      <c r="A3395" s="2" t="s">
        <v>183</v>
      </c>
      <c r="B3395" s="2" t="s">
        <v>208</v>
      </c>
      <c r="C3395" s="6" t="s">
        <v>155</v>
      </c>
      <c r="D3395" s="2" t="s">
        <v>108</v>
      </c>
      <c r="E3395" s="2"/>
      <c r="F3395" s="35">
        <v>5.4149169609489114</v>
      </c>
      <c r="G3395" s="35">
        <v>125.43419071935797</v>
      </c>
      <c r="H3395" s="35">
        <v>10.211750469163908</v>
      </c>
      <c r="I3395" s="35">
        <v>2.3216994141339405E-4</v>
      </c>
      <c r="J3395" s="35">
        <v>1.062109347491672E-6</v>
      </c>
      <c r="K3395" s="35">
        <v>1.3952472610528029E-3</v>
      </c>
      <c r="L3395" s="35">
        <v>-5.0031921148090035</v>
      </c>
      <c r="M3395" s="58" t="s">
        <v>24</v>
      </c>
      <c r="N3395" s="7">
        <v>11.333333333333334</v>
      </c>
      <c r="O3395" s="7" t="s">
        <v>180</v>
      </c>
      <c r="P3395" s="7" t="s">
        <v>180</v>
      </c>
    </row>
    <row r="3396" spans="1:16" x14ac:dyDescent="0.25">
      <c r="A3396" s="2" t="s">
        <v>183</v>
      </c>
      <c r="B3396" s="2" t="s">
        <v>208</v>
      </c>
      <c r="C3396" s="6" t="s">
        <v>155</v>
      </c>
      <c r="D3396" s="2" t="s">
        <v>108</v>
      </c>
      <c r="E3396" s="2"/>
      <c r="F3396" s="35">
        <v>10.829833921897823</v>
      </c>
      <c r="G3396" s="35">
        <v>128.01360157547347</v>
      </c>
      <c r="H3396" s="35">
        <v>10.211750469163908</v>
      </c>
      <c r="I3396" s="35">
        <v>2.3216994141339405E-4</v>
      </c>
      <c r="J3396" s="35">
        <v>1.062109347491672E-6</v>
      </c>
      <c r="K3396" s="35">
        <v>1.3806630747090074E-4</v>
      </c>
      <c r="L3396" s="35">
        <v>-60.298972931262647</v>
      </c>
      <c r="M3396" s="58" t="s">
        <v>23</v>
      </c>
      <c r="N3396" s="7">
        <v>11.333333333333334</v>
      </c>
      <c r="O3396" s="7" t="s">
        <v>180</v>
      </c>
      <c r="P3396" s="7" t="s">
        <v>180</v>
      </c>
    </row>
    <row r="3397" spans="1:16" x14ac:dyDescent="0.25">
      <c r="A3397" s="2" t="s">
        <v>183</v>
      </c>
      <c r="B3397" s="2" t="s">
        <v>208</v>
      </c>
      <c r="C3397" s="6" t="s">
        <v>155</v>
      </c>
      <c r="D3397" s="2" t="s">
        <v>109</v>
      </c>
      <c r="E3397" s="2"/>
      <c r="F3397" s="35">
        <v>0</v>
      </c>
      <c r="G3397" s="35">
        <v>4.7847071527022118</v>
      </c>
      <c r="H3397" s="35">
        <v>22.153162767918889</v>
      </c>
      <c r="I3397" s="35">
        <v>-2.0995473352274321E-4</v>
      </c>
      <c r="J3397" s="35">
        <v>1.4136974489916927E-5</v>
      </c>
      <c r="K3397" s="35">
        <v>-2.4442344740684767E-3</v>
      </c>
      <c r="L3397" s="35">
        <v>119.09959987869577</v>
      </c>
      <c r="M3397" s="58" t="s">
        <v>22</v>
      </c>
      <c r="N3397" s="7">
        <v>11.333333333333334</v>
      </c>
      <c r="O3397" s="7" t="s">
        <v>180</v>
      </c>
      <c r="P3397" s="7" t="s">
        <v>180</v>
      </c>
    </row>
    <row r="3398" spans="1:16" x14ac:dyDescent="0.25">
      <c r="A3398" s="2" t="s">
        <v>183</v>
      </c>
      <c r="B3398" s="2" t="s">
        <v>208</v>
      </c>
      <c r="C3398" s="6" t="s">
        <v>155</v>
      </c>
      <c r="D3398" s="2" t="s">
        <v>109</v>
      </c>
      <c r="E3398" s="2"/>
      <c r="F3398" s="35">
        <v>5.4149169609489114</v>
      </c>
      <c r="G3398" s="35">
        <v>7.3641180088177123</v>
      </c>
      <c r="H3398" s="35">
        <v>22.153162767918889</v>
      </c>
      <c r="I3398" s="35">
        <v>-2.0995473352274321E-4</v>
      </c>
      <c r="J3398" s="35">
        <v>1.4136974489916927E-5</v>
      </c>
      <c r="K3398" s="35">
        <v>-1.3073470264846657E-3</v>
      </c>
      <c r="L3398" s="35">
        <v>-0.85793693197013388</v>
      </c>
      <c r="M3398" s="58" t="s">
        <v>24</v>
      </c>
      <c r="N3398" s="7">
        <v>11.333333333333334</v>
      </c>
      <c r="O3398" s="7" t="s">
        <v>180</v>
      </c>
      <c r="P3398" s="7" t="s">
        <v>180</v>
      </c>
    </row>
    <row r="3399" spans="1:16" x14ac:dyDescent="0.25">
      <c r="A3399" s="2" t="s">
        <v>183</v>
      </c>
      <c r="B3399" s="2" t="s">
        <v>208</v>
      </c>
      <c r="C3399" s="6" t="s">
        <v>155</v>
      </c>
      <c r="D3399" s="2" t="s">
        <v>109</v>
      </c>
      <c r="E3399" s="2"/>
      <c r="F3399" s="35">
        <v>10.829833921897823</v>
      </c>
      <c r="G3399" s="35">
        <v>9.9435288649332119</v>
      </c>
      <c r="H3399" s="35">
        <v>22.153162767918889</v>
      </c>
      <c r="I3399" s="35">
        <v>-2.0995473352274321E-4</v>
      </c>
      <c r="J3399" s="35">
        <v>1.4136974489916927E-5</v>
      </c>
      <c r="K3399" s="35">
        <v>-1.7045957890085472E-4</v>
      </c>
      <c r="L3399" s="35">
        <v>-120.81547374263603</v>
      </c>
      <c r="M3399" s="58" t="s">
        <v>23</v>
      </c>
      <c r="N3399" s="7">
        <v>11.333333333333334</v>
      </c>
      <c r="O3399" s="7" t="s">
        <v>180</v>
      </c>
      <c r="P3399" s="7" t="s">
        <v>180</v>
      </c>
    </row>
    <row r="3400" spans="1:16" x14ac:dyDescent="0.25">
      <c r="A3400" s="2" t="s">
        <v>183</v>
      </c>
      <c r="B3400" s="2" t="s">
        <v>208</v>
      </c>
      <c r="C3400" s="6" t="s">
        <v>155</v>
      </c>
      <c r="D3400" s="2" t="s">
        <v>110</v>
      </c>
      <c r="E3400" s="2"/>
      <c r="F3400" s="35">
        <v>0</v>
      </c>
      <c r="G3400" s="35">
        <v>120.92751103348597</v>
      </c>
      <c r="H3400" s="35">
        <v>0.24784420917363906</v>
      </c>
      <c r="I3400" s="35">
        <v>2.79774946436557E-4</v>
      </c>
      <c r="J3400" s="35">
        <v>1.7206586570216171E-6</v>
      </c>
      <c r="K3400" s="35">
        <v>3.1956138847557378E-3</v>
      </c>
      <c r="L3400" s="35">
        <v>-16.334138614729095</v>
      </c>
      <c r="M3400" s="58" t="s">
        <v>22</v>
      </c>
      <c r="N3400" s="7">
        <v>11.333333333333334</v>
      </c>
      <c r="O3400" s="7" t="s">
        <v>180</v>
      </c>
      <c r="P3400" s="7" t="s">
        <v>180</v>
      </c>
    </row>
    <row r="3401" spans="1:16" x14ac:dyDescent="0.25">
      <c r="A3401" s="2" t="s">
        <v>183</v>
      </c>
      <c r="B3401" s="2" t="s">
        <v>208</v>
      </c>
      <c r="C3401" s="6" t="s">
        <v>155</v>
      </c>
      <c r="D3401" s="2" t="s">
        <v>110</v>
      </c>
      <c r="E3401" s="2"/>
      <c r="F3401" s="35">
        <v>5.4149169609489114</v>
      </c>
      <c r="G3401" s="35">
        <v>123.50692188960147</v>
      </c>
      <c r="H3401" s="35">
        <v>0.24784420917363906</v>
      </c>
      <c r="I3401" s="35">
        <v>2.79774946436557E-4</v>
      </c>
      <c r="J3401" s="35">
        <v>1.7206586570216171E-6</v>
      </c>
      <c r="K3401" s="35">
        <v>1.680655782047853E-3</v>
      </c>
      <c r="L3401" s="35">
        <v>-17.676194426656405</v>
      </c>
      <c r="M3401" s="58" t="s">
        <v>24</v>
      </c>
      <c r="N3401" s="7">
        <v>11.333333333333334</v>
      </c>
      <c r="O3401" s="7" t="s">
        <v>180</v>
      </c>
      <c r="P3401" s="7" t="s">
        <v>180</v>
      </c>
    </row>
    <row r="3402" spans="1:16" x14ac:dyDescent="0.25">
      <c r="A3402" s="2" t="s">
        <v>183</v>
      </c>
      <c r="B3402" s="2" t="s">
        <v>208</v>
      </c>
      <c r="C3402" s="6" t="s">
        <v>155</v>
      </c>
      <c r="D3402" s="2" t="s">
        <v>110</v>
      </c>
      <c r="E3402" s="2"/>
      <c r="F3402" s="35">
        <v>10.829833921897823</v>
      </c>
      <c r="G3402" s="35">
        <v>126.08633274571697</v>
      </c>
      <c r="H3402" s="35">
        <v>0.24784420917363906</v>
      </c>
      <c r="I3402" s="35">
        <v>2.79774946436557E-4</v>
      </c>
      <c r="J3402" s="35">
        <v>1.7206586570216171E-6</v>
      </c>
      <c r="K3402" s="35">
        <v>1.6569767933996736E-4</v>
      </c>
      <c r="L3402" s="35">
        <v>-19.018250238583711</v>
      </c>
      <c r="M3402" s="58" t="s">
        <v>23</v>
      </c>
      <c r="N3402" s="7">
        <v>11.333333333333334</v>
      </c>
      <c r="O3402" s="7" t="s">
        <v>180</v>
      </c>
      <c r="P3402" s="7" t="s">
        <v>180</v>
      </c>
    </row>
    <row r="3403" spans="1:16" x14ac:dyDescent="0.25">
      <c r="A3403" s="2" t="s">
        <v>183</v>
      </c>
      <c r="B3403" s="2" t="s">
        <v>208</v>
      </c>
      <c r="C3403" s="6" t="s">
        <v>155</v>
      </c>
      <c r="D3403" s="2" t="s">
        <v>111</v>
      </c>
      <c r="E3403" s="2"/>
      <c r="F3403" s="35">
        <v>0</v>
      </c>
      <c r="G3403" s="35">
        <v>-91.702280894209224</v>
      </c>
      <c r="H3403" s="35">
        <v>-13.271494519417544</v>
      </c>
      <c r="I3403" s="35">
        <v>-1.0316284028035025E-4</v>
      </c>
      <c r="J3403" s="35">
        <v>1.2554715948378904E-5</v>
      </c>
      <c r="K3403" s="35">
        <v>-1.2176563231955896E-3</v>
      </c>
      <c r="L3403" s="35">
        <v>-81.305203609195416</v>
      </c>
      <c r="M3403" s="58" t="s">
        <v>22</v>
      </c>
      <c r="N3403" s="7">
        <v>11.333333333333334</v>
      </c>
      <c r="O3403" s="7" t="s">
        <v>180</v>
      </c>
      <c r="P3403" s="7" t="s">
        <v>180</v>
      </c>
    </row>
    <row r="3404" spans="1:16" x14ac:dyDescent="0.25">
      <c r="A3404" s="2" t="s">
        <v>183</v>
      </c>
      <c r="B3404" s="2" t="s">
        <v>208</v>
      </c>
      <c r="C3404" s="6" t="s">
        <v>155</v>
      </c>
      <c r="D3404" s="2" t="s">
        <v>111</v>
      </c>
      <c r="E3404" s="2"/>
      <c r="F3404" s="35">
        <v>5.4149169609489114</v>
      </c>
      <c r="G3404" s="35">
        <v>-89.122870038093723</v>
      </c>
      <c r="H3404" s="35">
        <v>-13.271494519417544</v>
      </c>
      <c r="I3404" s="35">
        <v>-1.0316284028035025E-4</v>
      </c>
      <c r="J3404" s="35">
        <v>1.2554715948378904E-5</v>
      </c>
      <c r="K3404" s="35">
        <v>-6.5903810962185763E-4</v>
      </c>
      <c r="L3404" s="35">
        <v>-9.4411628388608317</v>
      </c>
      <c r="M3404" s="58" t="s">
        <v>24</v>
      </c>
      <c r="N3404" s="7">
        <v>11.333333333333334</v>
      </c>
      <c r="O3404" s="7" t="s">
        <v>180</v>
      </c>
      <c r="P3404" s="7" t="s">
        <v>180</v>
      </c>
    </row>
    <row r="3405" spans="1:16" x14ac:dyDescent="0.25">
      <c r="A3405" s="2" t="s">
        <v>183</v>
      </c>
      <c r="B3405" s="2" t="s">
        <v>208</v>
      </c>
      <c r="C3405" s="6" t="s">
        <v>155</v>
      </c>
      <c r="D3405" s="2" t="s">
        <v>111</v>
      </c>
      <c r="E3405" s="2"/>
      <c r="F3405" s="35">
        <v>10.829833921897823</v>
      </c>
      <c r="G3405" s="35">
        <v>-86.543459181978221</v>
      </c>
      <c r="H3405" s="35">
        <v>-13.271494519417544</v>
      </c>
      <c r="I3405" s="35">
        <v>-1.0316284028035025E-4</v>
      </c>
      <c r="J3405" s="35">
        <v>1.2554715948378904E-5</v>
      </c>
      <c r="K3405" s="35">
        <v>-1.0041989604812548E-4</v>
      </c>
      <c r="L3405" s="35">
        <v>62.422877931473742</v>
      </c>
      <c r="M3405" s="58" t="s">
        <v>23</v>
      </c>
      <c r="N3405" s="7">
        <v>11.333333333333334</v>
      </c>
      <c r="O3405" s="7" t="s">
        <v>180</v>
      </c>
      <c r="P3405" s="7" t="s">
        <v>180</v>
      </c>
    </row>
    <row r="3406" spans="1:16" x14ac:dyDescent="0.25">
      <c r="A3406" s="2" t="s">
        <v>183</v>
      </c>
      <c r="B3406" s="2" t="s">
        <v>208</v>
      </c>
      <c r="C3406" s="6" t="s">
        <v>155</v>
      </c>
      <c r="D3406" s="2" t="s">
        <v>112</v>
      </c>
      <c r="E3406" s="2"/>
      <c r="F3406" s="35">
        <v>0</v>
      </c>
      <c r="G3406" s="35">
        <v>48.890014328570487</v>
      </c>
      <c r="H3406" s="35">
        <v>3.963872992423195</v>
      </c>
      <c r="I3406" s="35">
        <v>-2.6024181575566022E-2</v>
      </c>
      <c r="J3406" s="35">
        <v>4.8995055476812007E-4</v>
      </c>
      <c r="K3406" s="35">
        <v>-0.29915123213233641</v>
      </c>
      <c r="L3406" s="35">
        <v>14.39740392975941</v>
      </c>
      <c r="M3406" s="58" t="s">
        <v>22</v>
      </c>
      <c r="N3406" s="7">
        <v>11.333333333333334</v>
      </c>
      <c r="O3406" s="7" t="s">
        <v>180</v>
      </c>
      <c r="P3406" s="7" t="s">
        <v>180</v>
      </c>
    </row>
    <row r="3407" spans="1:16" x14ac:dyDescent="0.25">
      <c r="A3407" s="2" t="s">
        <v>183</v>
      </c>
      <c r="B3407" s="2" t="s">
        <v>208</v>
      </c>
      <c r="C3407" s="6" t="s">
        <v>155</v>
      </c>
      <c r="D3407" s="2" t="s">
        <v>112</v>
      </c>
      <c r="E3407" s="2"/>
      <c r="F3407" s="35">
        <v>5.4149169609489114</v>
      </c>
      <c r="G3407" s="35">
        <v>51.469425184685988</v>
      </c>
      <c r="H3407" s="35">
        <v>3.963872992423195</v>
      </c>
      <c r="I3407" s="35">
        <v>-2.6024181575566022E-2</v>
      </c>
      <c r="J3407" s="35">
        <v>4.8995055476812007E-4</v>
      </c>
      <c r="K3407" s="35">
        <v>-0.15823244992398977</v>
      </c>
      <c r="L3407" s="35">
        <v>-7.0666391679602585</v>
      </c>
      <c r="M3407" s="58" t="s">
        <v>24</v>
      </c>
      <c r="N3407" s="7">
        <v>11.333333333333334</v>
      </c>
      <c r="O3407" s="7" t="s">
        <v>180</v>
      </c>
      <c r="P3407" s="7" t="s">
        <v>180</v>
      </c>
    </row>
    <row r="3408" spans="1:16" x14ac:dyDescent="0.25">
      <c r="A3408" s="2" t="s">
        <v>183</v>
      </c>
      <c r="B3408" s="2" t="s">
        <v>208</v>
      </c>
      <c r="C3408" s="6" t="s">
        <v>155</v>
      </c>
      <c r="D3408" s="2" t="s">
        <v>112</v>
      </c>
      <c r="E3408" s="2"/>
      <c r="F3408" s="35">
        <v>10.829833921897823</v>
      </c>
      <c r="G3408" s="35">
        <v>54.04883604080149</v>
      </c>
      <c r="H3408" s="35">
        <v>3.963872992423195</v>
      </c>
      <c r="I3408" s="35">
        <v>-2.6024181575566022E-2</v>
      </c>
      <c r="J3408" s="35">
        <v>4.8995055476812007E-4</v>
      </c>
      <c r="K3408" s="35">
        <v>-1.7313667715643175E-2</v>
      </c>
      <c r="L3408" s="35">
        <v>-28.530682265679932</v>
      </c>
      <c r="M3408" s="58" t="s">
        <v>23</v>
      </c>
      <c r="N3408" s="7">
        <v>11.333333333333334</v>
      </c>
      <c r="O3408" s="7" t="s">
        <v>180</v>
      </c>
      <c r="P3408" s="7" t="s">
        <v>180</v>
      </c>
    </row>
    <row r="3409" spans="1:16" x14ac:dyDescent="0.25">
      <c r="A3409" s="2" t="s">
        <v>183</v>
      </c>
      <c r="B3409" s="2" t="s">
        <v>208</v>
      </c>
      <c r="C3409" s="6" t="s">
        <v>155</v>
      </c>
      <c r="D3409" s="2" t="s">
        <v>113</v>
      </c>
      <c r="E3409" s="2"/>
      <c r="F3409" s="35">
        <v>0</v>
      </c>
      <c r="G3409" s="35">
        <v>-23.437783535486957</v>
      </c>
      <c r="H3409" s="35">
        <v>1.1060116279277297</v>
      </c>
      <c r="I3409" s="35">
        <v>-2.6147170699712532E-2</v>
      </c>
      <c r="J3409" s="35">
        <v>4.9091309232605505E-4</v>
      </c>
      <c r="K3409" s="35">
        <v>-0.30056108272216525</v>
      </c>
      <c r="L3409" s="35">
        <v>5.1215018630329112</v>
      </c>
      <c r="M3409" s="58" t="s">
        <v>22</v>
      </c>
      <c r="N3409" s="7">
        <v>11.333333333333334</v>
      </c>
      <c r="O3409" s="7" t="s">
        <v>180</v>
      </c>
      <c r="P3409" s="7" t="s">
        <v>180</v>
      </c>
    </row>
    <row r="3410" spans="1:16" x14ac:dyDescent="0.25">
      <c r="A3410" s="2" t="s">
        <v>183</v>
      </c>
      <c r="B3410" s="2" t="s">
        <v>208</v>
      </c>
      <c r="C3410" s="6" t="s">
        <v>155</v>
      </c>
      <c r="D3410" s="2" t="s">
        <v>113</v>
      </c>
      <c r="E3410" s="2"/>
      <c r="F3410" s="35">
        <v>5.4149169609489114</v>
      </c>
      <c r="G3410" s="35">
        <v>-20.858372679371456</v>
      </c>
      <c r="H3410" s="35">
        <v>1.1060116279277297</v>
      </c>
      <c r="I3410" s="35">
        <v>-2.6147170699712532E-2</v>
      </c>
      <c r="J3410" s="35">
        <v>4.9091309232605505E-4</v>
      </c>
      <c r="K3410" s="35">
        <v>-0.1589763246194654</v>
      </c>
      <c r="L3410" s="35">
        <v>-0.86745926003966833</v>
      </c>
      <c r="M3410" s="58" t="s">
        <v>24</v>
      </c>
      <c r="N3410" s="7">
        <v>11.333333333333334</v>
      </c>
      <c r="O3410" s="7" t="s">
        <v>180</v>
      </c>
      <c r="P3410" s="7" t="s">
        <v>180</v>
      </c>
    </row>
    <row r="3411" spans="1:16" x14ac:dyDescent="0.25">
      <c r="A3411" s="2" t="s">
        <v>183</v>
      </c>
      <c r="B3411" s="2" t="s">
        <v>208</v>
      </c>
      <c r="C3411" s="6" t="s">
        <v>155</v>
      </c>
      <c r="D3411" s="2" t="s">
        <v>113</v>
      </c>
      <c r="E3411" s="2"/>
      <c r="F3411" s="35">
        <v>10.829833921897823</v>
      </c>
      <c r="G3411" s="35">
        <v>-18.278961823255955</v>
      </c>
      <c r="H3411" s="35">
        <v>1.1060116279277297</v>
      </c>
      <c r="I3411" s="35">
        <v>-2.6147170699712532E-2</v>
      </c>
      <c r="J3411" s="35">
        <v>4.9091309232605505E-4</v>
      </c>
      <c r="K3411" s="35">
        <v>-1.7391566516765666E-2</v>
      </c>
      <c r="L3411" s="35">
        <v>-6.8564203831122459</v>
      </c>
      <c r="M3411" s="58" t="s">
        <v>23</v>
      </c>
      <c r="N3411" s="7">
        <v>11.333333333333334</v>
      </c>
      <c r="O3411" s="7" t="s">
        <v>180</v>
      </c>
      <c r="P3411" s="7" t="s">
        <v>180</v>
      </c>
    </row>
    <row r="3412" spans="1:16" x14ac:dyDescent="0.25">
      <c r="A3412" s="2" t="s">
        <v>183</v>
      </c>
      <c r="B3412" s="2" t="s">
        <v>208</v>
      </c>
      <c r="C3412" s="6" t="s">
        <v>155</v>
      </c>
      <c r="D3412" s="2" t="s">
        <v>114</v>
      </c>
      <c r="E3412" s="2"/>
      <c r="F3412" s="35">
        <v>0</v>
      </c>
      <c r="G3412" s="35">
        <v>48.889817838863124</v>
      </c>
      <c r="H3412" s="35">
        <v>3.9635985091890706</v>
      </c>
      <c r="I3412" s="35">
        <v>2.6261686059566518E-2</v>
      </c>
      <c r="J3412" s="35">
        <v>-4.9777739039296657E-4</v>
      </c>
      <c r="K3412" s="35">
        <v>0.30189141498139571</v>
      </c>
      <c r="L3412" s="35">
        <v>14.396708459766094</v>
      </c>
      <c r="M3412" s="58" t="s">
        <v>22</v>
      </c>
      <c r="N3412" s="7">
        <v>11.333333333333334</v>
      </c>
      <c r="O3412" s="7" t="s">
        <v>180</v>
      </c>
      <c r="P3412" s="7" t="s">
        <v>180</v>
      </c>
    </row>
    <row r="3413" spans="1:16" x14ac:dyDescent="0.25">
      <c r="A3413" s="2" t="s">
        <v>183</v>
      </c>
      <c r="B3413" s="2" t="s">
        <v>208</v>
      </c>
      <c r="C3413" s="6" t="s">
        <v>155</v>
      </c>
      <c r="D3413" s="2" t="s">
        <v>114</v>
      </c>
      <c r="E3413" s="2"/>
      <c r="F3413" s="35">
        <v>5.4149169609489114</v>
      </c>
      <c r="G3413" s="35">
        <v>51.469228694978625</v>
      </c>
      <c r="H3413" s="35">
        <v>3.9635985091890706</v>
      </c>
      <c r="I3413" s="35">
        <v>2.6261686059566518E-2</v>
      </c>
      <c r="J3413" s="35">
        <v>-4.9777739039296657E-4</v>
      </c>
      <c r="K3413" s="35">
        <v>0.1596865657143334</v>
      </c>
      <c r="L3413" s="35">
        <v>-7.0658483340336238</v>
      </c>
      <c r="M3413" s="58" t="s">
        <v>24</v>
      </c>
      <c r="N3413" s="7">
        <v>11.333333333333334</v>
      </c>
      <c r="O3413" s="7" t="s">
        <v>180</v>
      </c>
      <c r="P3413" s="7" t="s">
        <v>180</v>
      </c>
    </row>
    <row r="3414" spans="1:16" x14ac:dyDescent="0.25">
      <c r="A3414" s="2" t="s">
        <v>183</v>
      </c>
      <c r="B3414" s="2" t="s">
        <v>208</v>
      </c>
      <c r="C3414" s="6" t="s">
        <v>155</v>
      </c>
      <c r="D3414" s="2" t="s">
        <v>114</v>
      </c>
      <c r="E3414" s="2"/>
      <c r="F3414" s="35">
        <v>10.829833921897823</v>
      </c>
      <c r="G3414" s="35">
        <v>54.048639551094126</v>
      </c>
      <c r="H3414" s="35">
        <v>3.9635985091890706</v>
      </c>
      <c r="I3414" s="35">
        <v>2.6261686059566518E-2</v>
      </c>
      <c r="J3414" s="35">
        <v>-4.9777739039296657E-4</v>
      </c>
      <c r="K3414" s="35">
        <v>1.7481716447271083E-2</v>
      </c>
      <c r="L3414" s="35">
        <v>-28.528405127833338</v>
      </c>
      <c r="M3414" s="58" t="s">
        <v>23</v>
      </c>
      <c r="N3414" s="7">
        <v>11.333333333333334</v>
      </c>
      <c r="O3414" s="7" t="s">
        <v>180</v>
      </c>
      <c r="P3414" s="7" t="s">
        <v>180</v>
      </c>
    </row>
    <row r="3415" spans="1:16" x14ac:dyDescent="0.25">
      <c r="A3415" s="2" t="s">
        <v>183</v>
      </c>
      <c r="B3415" s="2" t="s">
        <v>208</v>
      </c>
      <c r="C3415" s="6" t="s">
        <v>155</v>
      </c>
      <c r="D3415" s="2" t="s">
        <v>115</v>
      </c>
      <c r="E3415" s="2"/>
      <c r="F3415" s="35">
        <v>0</v>
      </c>
      <c r="G3415" s="35">
        <v>-23.437979676360378</v>
      </c>
      <c r="H3415" s="35">
        <v>1.1057376087928807</v>
      </c>
      <c r="I3415" s="35">
        <v>2.611854641533868E-2</v>
      </c>
      <c r="J3415" s="35">
        <v>-4.9601056613135346E-4</v>
      </c>
      <c r="K3415" s="35">
        <v>0.30024864394802692</v>
      </c>
      <c r="L3415" s="35">
        <v>5.1208076825605113</v>
      </c>
      <c r="M3415" s="58" t="s">
        <v>22</v>
      </c>
      <c r="N3415" s="7">
        <v>11.333333333333334</v>
      </c>
      <c r="O3415" s="7" t="s">
        <v>180</v>
      </c>
      <c r="P3415" s="7" t="s">
        <v>180</v>
      </c>
    </row>
    <row r="3416" spans="1:16" x14ac:dyDescent="0.25">
      <c r="A3416" s="2" t="s">
        <v>183</v>
      </c>
      <c r="B3416" s="2" t="s">
        <v>208</v>
      </c>
      <c r="C3416" s="6" t="s">
        <v>155</v>
      </c>
      <c r="D3416" s="2" t="s">
        <v>115</v>
      </c>
      <c r="E3416" s="2"/>
      <c r="F3416" s="35">
        <v>5.4149169609489114</v>
      </c>
      <c r="G3416" s="35">
        <v>-20.858568820244876</v>
      </c>
      <c r="H3416" s="35">
        <v>1.1057376087928807</v>
      </c>
      <c r="I3416" s="35">
        <v>2.611854641533868E-2</v>
      </c>
      <c r="J3416" s="35">
        <v>-4.9601056613135346E-4</v>
      </c>
      <c r="K3416" s="35">
        <v>0.15881888396827812</v>
      </c>
      <c r="L3416" s="35">
        <v>-0.86666964965114901</v>
      </c>
      <c r="M3416" s="58" t="s">
        <v>24</v>
      </c>
      <c r="N3416" s="7">
        <v>11.333333333333334</v>
      </c>
      <c r="O3416" s="7" t="s">
        <v>180</v>
      </c>
      <c r="P3416" s="7" t="s">
        <v>180</v>
      </c>
    </row>
    <row r="3417" spans="1:16" x14ac:dyDescent="0.25">
      <c r="A3417" s="2" t="s">
        <v>183</v>
      </c>
      <c r="B3417" s="2" t="s">
        <v>208</v>
      </c>
      <c r="C3417" s="6" t="s">
        <v>155</v>
      </c>
      <c r="D3417" s="2" t="s">
        <v>115</v>
      </c>
      <c r="E3417" s="2"/>
      <c r="F3417" s="35">
        <v>10.829833921897823</v>
      </c>
      <c r="G3417" s="35">
        <v>-18.279157964129375</v>
      </c>
      <c r="H3417" s="35">
        <v>1.1057376087928807</v>
      </c>
      <c r="I3417" s="35">
        <v>2.611854641533868E-2</v>
      </c>
      <c r="J3417" s="35">
        <v>-4.9601056613135346E-4</v>
      </c>
      <c r="K3417" s="35">
        <v>1.7389123988529327E-2</v>
      </c>
      <c r="L3417" s="35">
        <v>-6.854146981862808</v>
      </c>
      <c r="M3417" s="58" t="s">
        <v>23</v>
      </c>
      <c r="N3417" s="7">
        <v>11.333333333333334</v>
      </c>
      <c r="O3417" s="7" t="s">
        <v>180</v>
      </c>
      <c r="P3417" s="7" t="s">
        <v>180</v>
      </c>
    </row>
    <row r="3418" spans="1:16" x14ac:dyDescent="0.25">
      <c r="A3418" s="2" t="s">
        <v>183</v>
      </c>
      <c r="B3418" s="2" t="s">
        <v>208</v>
      </c>
      <c r="C3418" s="6" t="s">
        <v>155</v>
      </c>
      <c r="D3418" s="2" t="s">
        <v>116</v>
      </c>
      <c r="E3418" s="2"/>
      <c r="F3418" s="35">
        <v>0</v>
      </c>
      <c r="G3418" s="35">
        <v>49.746135138382904</v>
      </c>
      <c r="H3418" s="35">
        <v>7.5683249680902893</v>
      </c>
      <c r="I3418" s="35">
        <v>8.6694075939535686E-5</v>
      </c>
      <c r="J3418" s="35">
        <v>5.5605599172220547E-6</v>
      </c>
      <c r="K3418" s="35">
        <v>9.7483184586748142E-4</v>
      </c>
      <c r="L3418" s="35">
        <v>40.690268154571328</v>
      </c>
      <c r="M3418" s="58" t="s">
        <v>22</v>
      </c>
      <c r="N3418" s="7">
        <v>11.333333333333334</v>
      </c>
      <c r="O3418" s="7" t="s">
        <v>180</v>
      </c>
      <c r="P3418" s="7" t="s">
        <v>180</v>
      </c>
    </row>
    <row r="3419" spans="1:16" x14ac:dyDescent="0.25">
      <c r="A3419" s="2" t="s">
        <v>183</v>
      </c>
      <c r="B3419" s="2" t="s">
        <v>208</v>
      </c>
      <c r="C3419" s="6" t="s">
        <v>155</v>
      </c>
      <c r="D3419" s="2" t="s">
        <v>116</v>
      </c>
      <c r="E3419" s="2"/>
      <c r="F3419" s="35">
        <v>5.4149169609489114</v>
      </c>
      <c r="G3419" s="35">
        <v>52.325545994498405</v>
      </c>
      <c r="H3419" s="35">
        <v>7.5683249680902893</v>
      </c>
      <c r="I3419" s="35">
        <v>8.6694075939535686E-5</v>
      </c>
      <c r="J3419" s="35">
        <v>5.5605599172220547E-6</v>
      </c>
      <c r="K3419" s="35">
        <v>5.053906236486968E-4</v>
      </c>
      <c r="L3419" s="35">
        <v>-0.2915830811138953</v>
      </c>
      <c r="M3419" s="58" t="s">
        <v>24</v>
      </c>
      <c r="N3419" s="7">
        <v>11.333333333333334</v>
      </c>
      <c r="O3419" s="7" t="s">
        <v>180</v>
      </c>
      <c r="P3419" s="7" t="s">
        <v>180</v>
      </c>
    </row>
    <row r="3420" spans="1:16" x14ac:dyDescent="0.25">
      <c r="A3420" s="2" t="s">
        <v>183</v>
      </c>
      <c r="B3420" s="2" t="s">
        <v>208</v>
      </c>
      <c r="C3420" s="6" t="s">
        <v>155</v>
      </c>
      <c r="D3420" s="2" t="s">
        <v>116</v>
      </c>
      <c r="E3420" s="2"/>
      <c r="F3420" s="35">
        <v>10.829833921897823</v>
      </c>
      <c r="G3420" s="35">
        <v>54.904956850613907</v>
      </c>
      <c r="H3420" s="35">
        <v>7.5683249680902893</v>
      </c>
      <c r="I3420" s="35">
        <v>8.6694075939535686E-5</v>
      </c>
      <c r="J3420" s="35">
        <v>5.5605599172220547E-6</v>
      </c>
      <c r="K3420" s="35">
        <v>3.594940142991219E-5</v>
      </c>
      <c r="L3420" s="35">
        <v>-41.273434316799126</v>
      </c>
      <c r="M3420" s="58" t="s">
        <v>23</v>
      </c>
      <c r="N3420" s="7">
        <v>11.333333333333334</v>
      </c>
      <c r="O3420" s="7" t="s">
        <v>180</v>
      </c>
      <c r="P3420" s="7" t="s">
        <v>180</v>
      </c>
    </row>
    <row r="3421" spans="1:16" x14ac:dyDescent="0.25">
      <c r="A3421" s="2" t="s">
        <v>183</v>
      </c>
      <c r="B3421" s="2" t="s">
        <v>208</v>
      </c>
      <c r="C3421" s="6" t="s">
        <v>155</v>
      </c>
      <c r="D3421" s="2" t="s">
        <v>117</v>
      </c>
      <c r="E3421" s="2"/>
      <c r="F3421" s="35">
        <v>0</v>
      </c>
      <c r="G3421" s="35">
        <v>-56.516930301103315</v>
      </c>
      <c r="H3421" s="35">
        <v>18.315596036969772</v>
      </c>
      <c r="I3421" s="35">
        <v>-3.112181315029879E-4</v>
      </c>
      <c r="J3421" s="35">
        <v>1.7327938545404784E-5</v>
      </c>
      <c r="K3421" s="35">
        <v>-3.6121645739653823E-3</v>
      </c>
      <c r="L3421" s="35">
        <v>102.61657821391735</v>
      </c>
      <c r="M3421" s="58" t="s">
        <v>22</v>
      </c>
      <c r="N3421" s="7">
        <v>11.333333333333334</v>
      </c>
      <c r="O3421" s="7" t="s">
        <v>180</v>
      </c>
      <c r="P3421" s="7" t="s">
        <v>180</v>
      </c>
    </row>
    <row r="3422" spans="1:16" x14ac:dyDescent="0.25">
      <c r="A3422" s="2" t="s">
        <v>183</v>
      </c>
      <c r="B3422" s="2" t="s">
        <v>208</v>
      </c>
      <c r="C3422" s="6" t="s">
        <v>155</v>
      </c>
      <c r="D3422" s="2" t="s">
        <v>117</v>
      </c>
      <c r="E3422" s="2"/>
      <c r="F3422" s="35">
        <v>5.4149169609489114</v>
      </c>
      <c r="G3422" s="35">
        <v>-53.937519444987814</v>
      </c>
      <c r="H3422" s="35">
        <v>18.315596036969772</v>
      </c>
      <c r="I3422" s="35">
        <v>-3.112181315029879E-4</v>
      </c>
      <c r="J3422" s="35">
        <v>1.7327938545404784E-5</v>
      </c>
      <c r="K3422" s="35">
        <v>-1.9269442351350253E-3</v>
      </c>
      <c r="L3422" s="35">
        <v>3.439146583441087</v>
      </c>
      <c r="M3422" s="58" t="s">
        <v>24</v>
      </c>
      <c r="N3422" s="7">
        <v>11.333333333333334</v>
      </c>
      <c r="O3422" s="7" t="s">
        <v>180</v>
      </c>
      <c r="P3422" s="7" t="s">
        <v>180</v>
      </c>
    </row>
    <row r="3423" spans="1:16" x14ac:dyDescent="0.25">
      <c r="A3423" s="2" t="s">
        <v>183</v>
      </c>
      <c r="B3423" s="2" t="s">
        <v>208</v>
      </c>
      <c r="C3423" s="6" t="s">
        <v>155</v>
      </c>
      <c r="D3423" s="2" t="s">
        <v>117</v>
      </c>
      <c r="E3423" s="2"/>
      <c r="F3423" s="35">
        <v>10.829833921897823</v>
      </c>
      <c r="G3423" s="35">
        <v>-51.358108588872312</v>
      </c>
      <c r="H3423" s="35">
        <v>18.315596036969772</v>
      </c>
      <c r="I3423" s="35">
        <v>-3.112181315029879E-4</v>
      </c>
      <c r="J3423" s="35">
        <v>1.7327938545404784E-5</v>
      </c>
      <c r="K3423" s="35">
        <v>-2.4172389630466772E-4</v>
      </c>
      <c r="L3423" s="35">
        <v>-95.738285047035177</v>
      </c>
      <c r="M3423" s="58" t="s">
        <v>23</v>
      </c>
      <c r="N3423" s="7">
        <v>11.333333333333334</v>
      </c>
      <c r="O3423" s="7" t="s">
        <v>180</v>
      </c>
      <c r="P3423" s="7" t="s">
        <v>180</v>
      </c>
    </row>
    <row r="3424" spans="1:16" x14ac:dyDescent="0.25">
      <c r="A3424" s="2" t="s">
        <v>183</v>
      </c>
      <c r="B3424" s="2" t="s">
        <v>208</v>
      </c>
      <c r="C3424" s="6" t="s">
        <v>155</v>
      </c>
      <c r="D3424" s="2" t="s">
        <v>118</v>
      </c>
      <c r="E3424" s="2"/>
      <c r="F3424" s="35">
        <v>0</v>
      </c>
      <c r="G3424" s="35">
        <v>48.011593191602067</v>
      </c>
      <c r="H3424" s="35">
        <v>-1.3991906659009534</v>
      </c>
      <c r="I3424" s="35">
        <v>1.2953858046038232E-4</v>
      </c>
      <c r="J3424" s="35">
        <v>6.1532542957990053E-6</v>
      </c>
      <c r="K3424" s="35">
        <v>1.4636989489764109E-3</v>
      </c>
      <c r="L3424" s="35">
        <v>-19.273786430165032</v>
      </c>
      <c r="M3424" s="58" t="s">
        <v>22</v>
      </c>
      <c r="N3424" s="7">
        <v>11.333333333333334</v>
      </c>
      <c r="O3424" s="7" t="s">
        <v>180</v>
      </c>
      <c r="P3424" s="7" t="s">
        <v>180</v>
      </c>
    </row>
    <row r="3425" spans="1:16" x14ac:dyDescent="0.25">
      <c r="A3425" s="2" t="s">
        <v>183</v>
      </c>
      <c r="B3425" s="2" t="s">
        <v>208</v>
      </c>
      <c r="C3425" s="6" t="s">
        <v>155</v>
      </c>
      <c r="D3425" s="2" t="s">
        <v>118</v>
      </c>
      <c r="E3425" s="2"/>
      <c r="F3425" s="35">
        <v>5.4149169609489114</v>
      </c>
      <c r="G3425" s="35">
        <v>50.591004047717568</v>
      </c>
      <c r="H3425" s="35">
        <v>-1.3991906659009534</v>
      </c>
      <c r="I3425" s="35">
        <v>1.2953858046038232E-4</v>
      </c>
      <c r="J3425" s="35">
        <v>6.1532542957990053E-6</v>
      </c>
      <c r="K3425" s="35">
        <v>7.6225829254424147E-4</v>
      </c>
      <c r="L3425" s="35">
        <v>-11.697285161776556</v>
      </c>
      <c r="M3425" s="58" t="s">
        <v>24</v>
      </c>
      <c r="N3425" s="7">
        <v>11.333333333333334</v>
      </c>
      <c r="O3425" s="7" t="s">
        <v>180</v>
      </c>
      <c r="P3425" s="7" t="s">
        <v>180</v>
      </c>
    </row>
    <row r="3426" spans="1:16" x14ac:dyDescent="0.25">
      <c r="A3426" s="2" t="s">
        <v>183</v>
      </c>
      <c r="B3426" s="2" t="s">
        <v>208</v>
      </c>
      <c r="C3426" s="6" t="s">
        <v>155</v>
      </c>
      <c r="D3426" s="2" t="s">
        <v>118</v>
      </c>
      <c r="E3426" s="2"/>
      <c r="F3426" s="35">
        <v>10.829833921897823</v>
      </c>
      <c r="G3426" s="35">
        <v>53.17041490383307</v>
      </c>
      <c r="H3426" s="35">
        <v>-1.3991906659009534</v>
      </c>
      <c r="I3426" s="35">
        <v>1.2953858046038232E-4</v>
      </c>
      <c r="J3426" s="35">
        <v>6.1532542957990053E-6</v>
      </c>
      <c r="K3426" s="35">
        <v>6.081763611207218E-5</v>
      </c>
      <c r="L3426" s="35">
        <v>-4.1207838933880838</v>
      </c>
      <c r="M3426" s="58" t="s">
        <v>23</v>
      </c>
      <c r="N3426" s="7">
        <v>11.333333333333334</v>
      </c>
      <c r="O3426" s="7" t="s">
        <v>180</v>
      </c>
      <c r="P3426" s="7" t="s">
        <v>180</v>
      </c>
    </row>
    <row r="3427" spans="1:16" x14ac:dyDescent="0.25">
      <c r="A3427" s="2" t="s">
        <v>183</v>
      </c>
      <c r="B3427" s="2" t="s">
        <v>208</v>
      </c>
      <c r="C3427" s="6" t="s">
        <v>155</v>
      </c>
      <c r="D3427" s="2" t="s">
        <v>119</v>
      </c>
      <c r="E3427" s="2"/>
      <c r="F3427" s="35">
        <v>0</v>
      </c>
      <c r="G3427" s="35">
        <v>-143.35521954332359</v>
      </c>
      <c r="H3427" s="35">
        <v>-13.566595521633019</v>
      </c>
      <c r="I3427" s="35">
        <v>-2.1510542758483418E-4</v>
      </c>
      <c r="J3427" s="35">
        <v>1.5903905858020563E-5</v>
      </c>
      <c r="K3427" s="35">
        <v>-2.5082442381797838E-3</v>
      </c>
      <c r="L3427" s="35">
        <v>-77.747744925184719</v>
      </c>
      <c r="M3427" s="58" t="s">
        <v>22</v>
      </c>
      <c r="N3427" s="7">
        <v>11.333333333333334</v>
      </c>
      <c r="O3427" s="7" t="s">
        <v>180</v>
      </c>
      <c r="P3427" s="7" t="s">
        <v>180</v>
      </c>
    </row>
    <row r="3428" spans="1:16" x14ac:dyDescent="0.25">
      <c r="A3428" s="2" t="s">
        <v>183</v>
      </c>
      <c r="B3428" s="2" t="s">
        <v>208</v>
      </c>
      <c r="C3428" s="6" t="s">
        <v>155</v>
      </c>
      <c r="D3428" s="2" t="s">
        <v>119</v>
      </c>
      <c r="E3428" s="2"/>
      <c r="F3428" s="35">
        <v>5.4149169609489114</v>
      </c>
      <c r="G3428" s="35">
        <v>-140.7758086872081</v>
      </c>
      <c r="H3428" s="35">
        <v>-13.566595521633019</v>
      </c>
      <c r="I3428" s="35">
        <v>-2.1510542758483418E-4</v>
      </c>
      <c r="J3428" s="35">
        <v>1.5903905858020563E-5</v>
      </c>
      <c r="K3428" s="35">
        <v>-1.3434662099584978E-3</v>
      </c>
      <c r="L3428" s="35">
        <v>-4.2857567327605421</v>
      </c>
      <c r="M3428" s="58" t="s">
        <v>24</v>
      </c>
      <c r="N3428" s="7">
        <v>11.333333333333334</v>
      </c>
      <c r="O3428" s="7" t="s">
        <v>180</v>
      </c>
      <c r="P3428" s="7" t="s">
        <v>180</v>
      </c>
    </row>
    <row r="3429" spans="1:16" x14ac:dyDescent="0.25">
      <c r="A3429" s="2" t="s">
        <v>183</v>
      </c>
      <c r="B3429" s="2" t="s">
        <v>208</v>
      </c>
      <c r="C3429" s="6" t="s">
        <v>155</v>
      </c>
      <c r="D3429" s="2" t="s">
        <v>119</v>
      </c>
      <c r="E3429" s="2"/>
      <c r="F3429" s="35">
        <v>10.829833921897823</v>
      </c>
      <c r="G3429" s="35">
        <v>-138.19639783109261</v>
      </c>
      <c r="H3429" s="35">
        <v>-13.566595521633019</v>
      </c>
      <c r="I3429" s="35">
        <v>-2.1510542758483418E-4</v>
      </c>
      <c r="J3429" s="35">
        <v>1.5903905858020563E-5</v>
      </c>
      <c r="K3429" s="35">
        <v>-1.7868818173721139E-4</v>
      </c>
      <c r="L3429" s="35">
        <v>69.176231459663626</v>
      </c>
      <c r="M3429" s="58" t="s">
        <v>23</v>
      </c>
      <c r="N3429" s="7">
        <v>11.333333333333334</v>
      </c>
      <c r="O3429" s="7" t="s">
        <v>180</v>
      </c>
      <c r="P3429" s="7" t="s">
        <v>180</v>
      </c>
    </row>
    <row r="3430" spans="1:16" x14ac:dyDescent="0.25">
      <c r="A3430" s="2" t="s">
        <v>183</v>
      </c>
      <c r="B3430" s="2" t="s">
        <v>208</v>
      </c>
      <c r="C3430" s="6" t="s">
        <v>155</v>
      </c>
      <c r="D3430" s="2" t="s">
        <v>120</v>
      </c>
      <c r="E3430" s="2"/>
      <c r="F3430" s="35">
        <v>0</v>
      </c>
      <c r="G3430" s="35">
        <v>70.685177089227665</v>
      </c>
      <c r="H3430" s="35">
        <v>4.7562038358220242</v>
      </c>
      <c r="I3430" s="35">
        <v>-2.888250016887331E-2</v>
      </c>
      <c r="J3430" s="35">
        <v>5.4312213083111455E-4</v>
      </c>
      <c r="K3430" s="35">
        <v>-0.33200601763918952</v>
      </c>
      <c r="L3430" s="35">
        <v>16.903776376876269</v>
      </c>
      <c r="M3430" s="58" t="s">
        <v>22</v>
      </c>
      <c r="N3430" s="7">
        <v>11.333333333333334</v>
      </c>
      <c r="O3430" s="7" t="s">
        <v>180</v>
      </c>
      <c r="P3430" s="7" t="s">
        <v>180</v>
      </c>
    </row>
    <row r="3431" spans="1:16" x14ac:dyDescent="0.25">
      <c r="A3431" s="2" t="s">
        <v>183</v>
      </c>
      <c r="B3431" s="2" t="s">
        <v>208</v>
      </c>
      <c r="C3431" s="6" t="s">
        <v>155</v>
      </c>
      <c r="D3431" s="2" t="s">
        <v>120</v>
      </c>
      <c r="E3431" s="2"/>
      <c r="F3431" s="35">
        <v>5.4149169609489114</v>
      </c>
      <c r="G3431" s="35">
        <v>73.264587945343152</v>
      </c>
      <c r="H3431" s="35">
        <v>4.7562038358220242</v>
      </c>
      <c r="I3431" s="35">
        <v>-2.888250016887331E-2</v>
      </c>
      <c r="J3431" s="35">
        <v>5.4312213083111455E-4</v>
      </c>
      <c r="K3431" s="35">
        <v>-0.17560967760014765</v>
      </c>
      <c r="L3431" s="35">
        <v>-8.850672443446685</v>
      </c>
      <c r="M3431" s="58" t="s">
        <v>24</v>
      </c>
      <c r="N3431" s="7">
        <v>11.333333333333334</v>
      </c>
      <c r="O3431" s="7" t="s">
        <v>180</v>
      </c>
      <c r="P3431" s="7" t="s">
        <v>180</v>
      </c>
    </row>
    <row r="3432" spans="1:16" x14ac:dyDescent="0.25">
      <c r="A3432" s="2" t="s">
        <v>183</v>
      </c>
      <c r="B3432" s="2" t="s">
        <v>208</v>
      </c>
      <c r="C3432" s="6" t="s">
        <v>155</v>
      </c>
      <c r="D3432" s="2" t="s">
        <v>120</v>
      </c>
      <c r="E3432" s="2"/>
      <c r="F3432" s="35">
        <v>10.829833921897823</v>
      </c>
      <c r="G3432" s="35">
        <v>75.843998801458667</v>
      </c>
      <c r="H3432" s="35">
        <v>4.7562038358220242</v>
      </c>
      <c r="I3432" s="35">
        <v>-2.888250016887331E-2</v>
      </c>
      <c r="J3432" s="35">
        <v>5.4312213083111455E-4</v>
      </c>
      <c r="K3432" s="35">
        <v>-1.9213337561105812E-2</v>
      </c>
      <c r="L3432" s="35">
        <v>-34.605121263769639</v>
      </c>
      <c r="M3432" s="58" t="s">
        <v>23</v>
      </c>
      <c r="N3432" s="7">
        <v>11.333333333333334</v>
      </c>
      <c r="O3432" s="7" t="s">
        <v>180</v>
      </c>
      <c r="P3432" s="7" t="s">
        <v>180</v>
      </c>
    </row>
    <row r="3433" spans="1:16" x14ac:dyDescent="0.25">
      <c r="A3433" s="2" t="s">
        <v>183</v>
      </c>
      <c r="B3433" s="2" t="s">
        <v>208</v>
      </c>
      <c r="C3433" s="6" t="s">
        <v>155</v>
      </c>
      <c r="D3433" s="2" t="s">
        <v>121</v>
      </c>
      <c r="E3433" s="2"/>
      <c r="F3433" s="35">
        <v>0</v>
      </c>
      <c r="G3433" s="35">
        <v>-9.6790427597250659</v>
      </c>
      <c r="H3433" s="35">
        <v>1.5808023197159533</v>
      </c>
      <c r="I3433" s="35">
        <v>-2.9019154751258314E-2</v>
      </c>
      <c r="J3433" s="35">
        <v>5.4419161700659791E-4</v>
      </c>
      <c r="K3433" s="35">
        <v>-0.33357251829455492</v>
      </c>
      <c r="L3433" s="35">
        <v>6.5972185249579347</v>
      </c>
      <c r="M3433" s="58" t="s">
        <v>22</v>
      </c>
      <c r="N3433" s="7">
        <v>11.333333333333334</v>
      </c>
      <c r="O3433" s="7" t="s">
        <v>180</v>
      </c>
      <c r="P3433" s="7" t="s">
        <v>180</v>
      </c>
    </row>
    <row r="3434" spans="1:16" x14ac:dyDescent="0.25">
      <c r="A3434" s="2" t="s">
        <v>183</v>
      </c>
      <c r="B3434" s="2" t="s">
        <v>208</v>
      </c>
      <c r="C3434" s="6" t="s">
        <v>155</v>
      </c>
      <c r="D3434" s="2" t="s">
        <v>121</v>
      </c>
      <c r="E3434" s="2"/>
      <c r="F3434" s="35">
        <v>5.4149169609489114</v>
      </c>
      <c r="G3434" s="35">
        <v>-7.0996319036095796</v>
      </c>
      <c r="H3434" s="35">
        <v>1.5808023197159533</v>
      </c>
      <c r="I3434" s="35">
        <v>-2.9019154751258314E-2</v>
      </c>
      <c r="J3434" s="35">
        <v>5.4419161700659791E-4</v>
      </c>
      <c r="K3434" s="35">
        <v>-0.17643620503956506</v>
      </c>
      <c r="L3434" s="35">
        <v>-1.9626947679793625</v>
      </c>
      <c r="M3434" s="58" t="s">
        <v>24</v>
      </c>
      <c r="N3434" s="7">
        <v>11.333333333333334</v>
      </c>
      <c r="O3434" s="7" t="s">
        <v>180</v>
      </c>
      <c r="P3434" s="7" t="s">
        <v>180</v>
      </c>
    </row>
    <row r="3435" spans="1:16" x14ac:dyDescent="0.25">
      <c r="A3435" s="2" t="s">
        <v>183</v>
      </c>
      <c r="B3435" s="2" t="s">
        <v>208</v>
      </c>
      <c r="C3435" s="6" t="s">
        <v>155</v>
      </c>
      <c r="D3435" s="2" t="s">
        <v>121</v>
      </c>
      <c r="E3435" s="2"/>
      <c r="F3435" s="35">
        <v>10.829833921897823</v>
      </c>
      <c r="G3435" s="35">
        <v>-4.5202210474940649</v>
      </c>
      <c r="H3435" s="35">
        <v>1.5808023197159533</v>
      </c>
      <c r="I3435" s="35">
        <v>-2.9019154751258314E-2</v>
      </c>
      <c r="J3435" s="35">
        <v>5.4419161700659791E-4</v>
      </c>
      <c r="K3435" s="35">
        <v>-1.9299891784575241E-2</v>
      </c>
      <c r="L3435" s="35">
        <v>-10.522608060916658</v>
      </c>
      <c r="M3435" s="58" t="s">
        <v>23</v>
      </c>
      <c r="N3435" s="7">
        <v>11.333333333333334</v>
      </c>
      <c r="O3435" s="7" t="s">
        <v>180</v>
      </c>
      <c r="P3435" s="7" t="s">
        <v>180</v>
      </c>
    </row>
    <row r="3436" spans="1:16" x14ac:dyDescent="0.25">
      <c r="A3436" s="2" t="s">
        <v>183</v>
      </c>
      <c r="B3436" s="2" t="s">
        <v>208</v>
      </c>
      <c r="C3436" s="6" t="s">
        <v>155</v>
      </c>
      <c r="D3436" s="2" t="s">
        <v>122</v>
      </c>
      <c r="E3436" s="2"/>
      <c r="F3436" s="35">
        <v>0</v>
      </c>
      <c r="G3436" s="35">
        <v>70.684958767330585</v>
      </c>
      <c r="H3436" s="35">
        <v>4.7558988544507761</v>
      </c>
      <c r="I3436" s="35">
        <v>2.9212908314607291E-2</v>
      </c>
      <c r="J3436" s="35">
        <v>-5.5435336379231501E-4</v>
      </c>
      <c r="K3436" s="35">
        <v>0.33581914582051275</v>
      </c>
      <c r="L3436" s="35">
        <v>16.903003632439251</v>
      </c>
      <c r="M3436" s="58" t="s">
        <v>22</v>
      </c>
      <c r="N3436" s="7">
        <v>11.333333333333334</v>
      </c>
      <c r="O3436" s="7" t="s">
        <v>180</v>
      </c>
      <c r="P3436" s="7" t="s">
        <v>180</v>
      </c>
    </row>
    <row r="3437" spans="1:16" x14ac:dyDescent="0.25">
      <c r="A3437" s="2" t="s">
        <v>183</v>
      </c>
      <c r="B3437" s="2" t="s">
        <v>208</v>
      </c>
      <c r="C3437" s="6" t="s">
        <v>155</v>
      </c>
      <c r="D3437" s="2" t="s">
        <v>122</v>
      </c>
      <c r="E3437" s="2"/>
      <c r="F3437" s="35">
        <v>5.4149169609489114</v>
      </c>
      <c r="G3437" s="35">
        <v>73.264369623446072</v>
      </c>
      <c r="H3437" s="35">
        <v>4.7558988544507761</v>
      </c>
      <c r="I3437" s="35">
        <v>2.9212908314607291E-2</v>
      </c>
      <c r="J3437" s="35">
        <v>-5.5435336379231501E-4</v>
      </c>
      <c r="K3437" s="35">
        <v>0.1776336731091003</v>
      </c>
      <c r="L3437" s="35">
        <v>-8.8497937390837578</v>
      </c>
      <c r="M3437" s="58" t="s">
        <v>24</v>
      </c>
      <c r="N3437" s="7">
        <v>11.333333333333334</v>
      </c>
      <c r="O3437" s="7" t="s">
        <v>180</v>
      </c>
      <c r="P3437" s="7" t="s">
        <v>180</v>
      </c>
    </row>
    <row r="3438" spans="1:16" x14ac:dyDescent="0.25">
      <c r="A3438" s="2" t="s">
        <v>183</v>
      </c>
      <c r="B3438" s="2" t="s">
        <v>208</v>
      </c>
      <c r="C3438" s="6" t="s">
        <v>155</v>
      </c>
      <c r="D3438" s="2" t="s">
        <v>122</v>
      </c>
      <c r="E3438" s="2"/>
      <c r="F3438" s="35">
        <v>10.829833921897823</v>
      </c>
      <c r="G3438" s="35">
        <v>75.843780479561588</v>
      </c>
      <c r="H3438" s="35">
        <v>4.7558988544507761</v>
      </c>
      <c r="I3438" s="35">
        <v>2.9212908314607291E-2</v>
      </c>
      <c r="J3438" s="35">
        <v>-5.5435336379231501E-4</v>
      </c>
      <c r="K3438" s="35">
        <v>1.9448200397687805E-2</v>
      </c>
      <c r="L3438" s="35">
        <v>-34.60259111060676</v>
      </c>
      <c r="M3438" s="58" t="s">
        <v>23</v>
      </c>
      <c r="N3438" s="7">
        <v>11.333333333333334</v>
      </c>
      <c r="O3438" s="7" t="s">
        <v>180</v>
      </c>
      <c r="P3438" s="7" t="s">
        <v>180</v>
      </c>
    </row>
    <row r="3439" spans="1:16" x14ac:dyDescent="0.25">
      <c r="A3439" s="2" t="s">
        <v>183</v>
      </c>
      <c r="B3439" s="2" t="s">
        <v>208</v>
      </c>
      <c r="C3439" s="6" t="s">
        <v>155</v>
      </c>
      <c r="D3439" s="2" t="s">
        <v>123</v>
      </c>
      <c r="E3439" s="2"/>
      <c r="F3439" s="35">
        <v>0</v>
      </c>
      <c r="G3439" s="35">
        <v>-9.6792606940288515</v>
      </c>
      <c r="H3439" s="35">
        <v>1.5804978540105654</v>
      </c>
      <c r="I3439" s="35">
        <v>2.9053864265465249E-2</v>
      </c>
      <c r="J3439" s="35">
        <v>-5.5239022572385599E-4</v>
      </c>
      <c r="K3439" s="35">
        <v>0.33399384467232524</v>
      </c>
      <c r="L3439" s="35">
        <v>6.5964472133219356</v>
      </c>
      <c r="M3439" s="58" t="s">
        <v>22</v>
      </c>
      <c r="N3439" s="7">
        <v>11.333333333333334</v>
      </c>
      <c r="O3439" s="7" t="s">
        <v>180</v>
      </c>
      <c r="P3439" s="7" t="s">
        <v>180</v>
      </c>
    </row>
    <row r="3440" spans="1:16" x14ac:dyDescent="0.25">
      <c r="A3440" s="2" t="s">
        <v>183</v>
      </c>
      <c r="B3440" s="2" t="s">
        <v>208</v>
      </c>
      <c r="C3440" s="6" t="s">
        <v>155</v>
      </c>
      <c r="D3440" s="2" t="s">
        <v>123</v>
      </c>
      <c r="E3440" s="2"/>
      <c r="F3440" s="35">
        <v>5.4149169609489114</v>
      </c>
      <c r="G3440" s="35">
        <v>-7.0998498379133661</v>
      </c>
      <c r="H3440" s="35">
        <v>1.5804978540105654</v>
      </c>
      <c r="I3440" s="35">
        <v>2.9053864265465249E-2</v>
      </c>
      <c r="J3440" s="35">
        <v>-5.5239022572385599E-4</v>
      </c>
      <c r="K3440" s="35">
        <v>0.17666958228014998</v>
      </c>
      <c r="L3440" s="35">
        <v>-1.9618174231032295</v>
      </c>
      <c r="M3440" s="58" t="s">
        <v>24</v>
      </c>
      <c r="N3440" s="7">
        <v>11.333333333333334</v>
      </c>
      <c r="O3440" s="7" t="s">
        <v>180</v>
      </c>
      <c r="P3440" s="7" t="s">
        <v>180</v>
      </c>
    </row>
    <row r="3441" spans="1:16" x14ac:dyDescent="0.25">
      <c r="A3441" s="2" t="s">
        <v>183</v>
      </c>
      <c r="B3441" s="2" t="s">
        <v>208</v>
      </c>
      <c r="C3441" s="6" t="s">
        <v>155</v>
      </c>
      <c r="D3441" s="2" t="s">
        <v>123</v>
      </c>
      <c r="E3441" s="2"/>
      <c r="F3441" s="35">
        <v>10.829833921897823</v>
      </c>
      <c r="G3441" s="35">
        <v>-4.5204389817978505</v>
      </c>
      <c r="H3441" s="35">
        <v>1.5804978540105654</v>
      </c>
      <c r="I3441" s="35">
        <v>2.9053864265465249E-2</v>
      </c>
      <c r="J3441" s="35">
        <v>-5.5239022572385599E-4</v>
      </c>
      <c r="K3441" s="35">
        <v>1.9345319887974746E-2</v>
      </c>
      <c r="L3441" s="35">
        <v>-10.520082059528395</v>
      </c>
      <c r="M3441" s="58" t="s">
        <v>23</v>
      </c>
      <c r="N3441" s="7">
        <v>11.333333333333334</v>
      </c>
      <c r="O3441" s="7" t="s">
        <v>180</v>
      </c>
      <c r="P3441" s="7" t="s">
        <v>180</v>
      </c>
    </row>
    <row r="3442" spans="1:16" x14ac:dyDescent="0.25">
      <c r="A3442" s="2" t="s">
        <v>183</v>
      </c>
      <c r="B3442" s="2" t="s">
        <v>208</v>
      </c>
      <c r="C3442" s="6" t="s">
        <v>155</v>
      </c>
      <c r="D3442" s="2" t="s">
        <v>124</v>
      </c>
      <c r="E3442" s="2"/>
      <c r="F3442" s="35">
        <v>0</v>
      </c>
      <c r="G3442" s="35">
        <v>71.636422433463693</v>
      </c>
      <c r="H3442" s="35">
        <v>8.7611504754521281</v>
      </c>
      <c r="I3442" s="35">
        <v>1.2958388835508763E-4</v>
      </c>
      <c r="J3442" s="35">
        <v>4.9110254412278963E-6</v>
      </c>
      <c r="K3442" s="35">
        <v>1.4673867810369666E-3</v>
      </c>
      <c r="L3442" s="35">
        <v>46.118069960000625</v>
      </c>
      <c r="M3442" s="58" t="s">
        <v>22</v>
      </c>
      <c r="N3442" s="7">
        <v>11.333333333333334</v>
      </c>
      <c r="O3442" s="7" t="s">
        <v>180</v>
      </c>
      <c r="P3442" s="7" t="s">
        <v>180</v>
      </c>
    </row>
    <row r="3443" spans="1:16" x14ac:dyDescent="0.25">
      <c r="A3443" s="2" t="s">
        <v>183</v>
      </c>
      <c r="B3443" s="2" t="s">
        <v>208</v>
      </c>
      <c r="C3443" s="6" t="s">
        <v>155</v>
      </c>
      <c r="D3443" s="2" t="s">
        <v>124</v>
      </c>
      <c r="E3443" s="2"/>
      <c r="F3443" s="35">
        <v>5.4149169609489114</v>
      </c>
      <c r="G3443" s="35">
        <v>74.21583328957918</v>
      </c>
      <c r="H3443" s="35">
        <v>8.7611504754521281</v>
      </c>
      <c r="I3443" s="35">
        <v>1.2958388835508763E-4</v>
      </c>
      <c r="J3443" s="35">
        <v>4.9110254412278963E-6</v>
      </c>
      <c r="K3443" s="35">
        <v>7.657007861172927E-4</v>
      </c>
      <c r="L3443" s="35">
        <v>-1.3228323469507253</v>
      </c>
      <c r="M3443" s="58" t="s">
        <v>24</v>
      </c>
      <c r="N3443" s="7">
        <v>11.333333333333334</v>
      </c>
      <c r="O3443" s="7" t="s">
        <v>180</v>
      </c>
      <c r="P3443" s="7" t="s">
        <v>180</v>
      </c>
    </row>
    <row r="3444" spans="1:16" x14ac:dyDescent="0.25">
      <c r="A3444" s="2" t="s">
        <v>183</v>
      </c>
      <c r="B3444" s="2" t="s">
        <v>208</v>
      </c>
      <c r="C3444" s="6" t="s">
        <v>155</v>
      </c>
      <c r="D3444" s="2" t="s">
        <v>124</v>
      </c>
      <c r="E3444" s="2"/>
      <c r="F3444" s="35">
        <v>10.829833921897823</v>
      </c>
      <c r="G3444" s="35">
        <v>76.795244145694696</v>
      </c>
      <c r="H3444" s="35">
        <v>8.7611504754521281</v>
      </c>
      <c r="I3444" s="35">
        <v>1.2958388835508763E-4</v>
      </c>
      <c r="J3444" s="35">
        <v>4.9110254412278963E-6</v>
      </c>
      <c r="K3444" s="35">
        <v>6.4014791197618693E-5</v>
      </c>
      <c r="L3444" s="35">
        <v>-48.763734653902077</v>
      </c>
      <c r="M3444" s="58" t="s">
        <v>23</v>
      </c>
      <c r="N3444" s="7">
        <v>11.333333333333334</v>
      </c>
      <c r="O3444" s="7" t="s">
        <v>180</v>
      </c>
      <c r="P3444" s="7" t="s">
        <v>180</v>
      </c>
    </row>
    <row r="3445" spans="1:16" x14ac:dyDescent="0.25">
      <c r="A3445" s="2" t="s">
        <v>183</v>
      </c>
      <c r="B3445" s="2" t="s">
        <v>208</v>
      </c>
      <c r="C3445" s="6" t="s">
        <v>155</v>
      </c>
      <c r="D3445" s="2" t="s">
        <v>125</v>
      </c>
      <c r="E3445" s="2"/>
      <c r="F3445" s="35">
        <v>0</v>
      </c>
      <c r="G3445" s="35">
        <v>-46.433650277076566</v>
      </c>
      <c r="H3445" s="35">
        <v>20.702562774207113</v>
      </c>
      <c r="I3445" s="35">
        <v>-3.1254078658104963E-4</v>
      </c>
      <c r="J3445" s="35">
        <v>1.7985890583653151E-5</v>
      </c>
      <c r="K3445" s="35">
        <v>-3.629275907666216E-3</v>
      </c>
      <c r="L3445" s="35">
        <v>114.92508113705176</v>
      </c>
      <c r="M3445" s="58" t="s">
        <v>22</v>
      </c>
      <c r="N3445" s="7">
        <v>11.333333333333334</v>
      </c>
      <c r="O3445" s="7" t="s">
        <v>180</v>
      </c>
      <c r="P3445" s="7" t="s">
        <v>180</v>
      </c>
    </row>
    <row r="3446" spans="1:16" x14ac:dyDescent="0.25">
      <c r="A3446" s="2" t="s">
        <v>183</v>
      </c>
      <c r="B3446" s="2" t="s">
        <v>208</v>
      </c>
      <c r="C3446" s="6" t="s">
        <v>155</v>
      </c>
      <c r="D3446" s="2" t="s">
        <v>125</v>
      </c>
      <c r="E3446" s="2"/>
      <c r="F3446" s="35">
        <v>5.4149169609489114</v>
      </c>
      <c r="G3446" s="35">
        <v>-43.854239420961079</v>
      </c>
      <c r="H3446" s="35">
        <v>20.702562774207113</v>
      </c>
      <c r="I3446" s="35">
        <v>-3.1254078658104963E-4</v>
      </c>
      <c r="J3446" s="35">
        <v>1.7985890583653151E-5</v>
      </c>
      <c r="K3446" s="35">
        <v>-1.9368935014201761E-3</v>
      </c>
      <c r="L3446" s="35">
        <v>2.822422835888144</v>
      </c>
      <c r="M3446" s="58" t="s">
        <v>24</v>
      </c>
      <c r="N3446" s="7">
        <v>11.333333333333334</v>
      </c>
      <c r="O3446" s="7" t="s">
        <v>180</v>
      </c>
      <c r="P3446" s="7" t="s">
        <v>180</v>
      </c>
    </row>
    <row r="3447" spans="1:16" x14ac:dyDescent="0.25">
      <c r="A3447" s="2" t="s">
        <v>183</v>
      </c>
      <c r="B3447" s="2" t="s">
        <v>208</v>
      </c>
      <c r="C3447" s="6" t="s">
        <v>155</v>
      </c>
      <c r="D3447" s="2" t="s">
        <v>125</v>
      </c>
      <c r="E3447" s="2"/>
      <c r="F3447" s="35">
        <v>10.829833921897823</v>
      </c>
      <c r="G3447" s="35">
        <v>-41.274828564845564</v>
      </c>
      <c r="H3447" s="35">
        <v>20.702562774207113</v>
      </c>
      <c r="I3447" s="35">
        <v>-3.1254078658104963E-4</v>
      </c>
      <c r="J3447" s="35">
        <v>1.7985890583653151E-5</v>
      </c>
      <c r="K3447" s="35">
        <v>-2.4451109517413674E-4</v>
      </c>
      <c r="L3447" s="35">
        <v>-109.28023546527547</v>
      </c>
      <c r="M3447" s="58" t="s">
        <v>23</v>
      </c>
      <c r="N3447" s="7">
        <v>11.333333333333334</v>
      </c>
      <c r="O3447" s="7" t="s">
        <v>180</v>
      </c>
      <c r="P3447" s="7" t="s">
        <v>180</v>
      </c>
    </row>
    <row r="3448" spans="1:16" x14ac:dyDescent="0.25">
      <c r="A3448" s="2" t="s">
        <v>183</v>
      </c>
      <c r="B3448" s="2" t="s">
        <v>208</v>
      </c>
      <c r="C3448" s="6" t="s">
        <v>155</v>
      </c>
      <c r="D3448" s="2" t="s">
        <v>126</v>
      </c>
      <c r="E3448" s="2"/>
      <c r="F3448" s="35">
        <v>0</v>
      </c>
      <c r="G3448" s="35">
        <v>69.709153603707193</v>
      </c>
      <c r="H3448" s="35">
        <v>-1.2027557845381391</v>
      </c>
      <c r="I3448" s="35">
        <v>1.7718889337825058E-4</v>
      </c>
      <c r="J3448" s="35">
        <v>5.5695747507578413E-6</v>
      </c>
      <c r="K3448" s="35">
        <v>2.0105724511579985E-3</v>
      </c>
      <c r="L3448" s="35">
        <v>-20.50865735637311</v>
      </c>
      <c r="M3448" s="58" t="s">
        <v>22</v>
      </c>
      <c r="N3448" s="7">
        <v>11.333333333333334</v>
      </c>
      <c r="O3448" s="7" t="s">
        <v>180</v>
      </c>
      <c r="P3448" s="7" t="s">
        <v>180</v>
      </c>
    </row>
    <row r="3449" spans="1:16" x14ac:dyDescent="0.25">
      <c r="A3449" s="2" t="s">
        <v>183</v>
      </c>
      <c r="B3449" s="2" t="s">
        <v>208</v>
      </c>
      <c r="C3449" s="6" t="s">
        <v>155</v>
      </c>
      <c r="D3449" s="2" t="s">
        <v>126</v>
      </c>
      <c r="E3449" s="2"/>
      <c r="F3449" s="35">
        <v>5.4149169609489114</v>
      </c>
      <c r="G3449" s="35">
        <v>72.28856445982268</v>
      </c>
      <c r="H3449" s="35">
        <v>-1.2027557845381391</v>
      </c>
      <c r="I3449" s="35">
        <v>1.7718889337825058E-4</v>
      </c>
      <c r="J3449" s="35">
        <v>5.5695747507578413E-6</v>
      </c>
      <c r="K3449" s="35">
        <v>1.0511093071123427E-3</v>
      </c>
      <c r="L3449" s="35">
        <v>-13.995834658798129</v>
      </c>
      <c r="M3449" s="58" t="s">
        <v>24</v>
      </c>
      <c r="N3449" s="7">
        <v>11.333333333333334</v>
      </c>
      <c r="O3449" s="7" t="s">
        <v>180</v>
      </c>
      <c r="P3449" s="7" t="s">
        <v>180</v>
      </c>
    </row>
    <row r="3450" spans="1:16" x14ac:dyDescent="0.25">
      <c r="A3450" s="2" t="s">
        <v>183</v>
      </c>
      <c r="B3450" s="2" t="s">
        <v>208</v>
      </c>
      <c r="C3450" s="6" t="s">
        <v>155</v>
      </c>
      <c r="D3450" s="2" t="s">
        <v>126</v>
      </c>
      <c r="E3450" s="2"/>
      <c r="F3450" s="35">
        <v>10.829833921897823</v>
      </c>
      <c r="G3450" s="35">
        <v>74.867975315938196</v>
      </c>
      <c r="H3450" s="35">
        <v>-1.2027557845381391</v>
      </c>
      <c r="I3450" s="35">
        <v>1.7718889337825058E-4</v>
      </c>
      <c r="J3450" s="35">
        <v>5.5695747507578413E-6</v>
      </c>
      <c r="K3450" s="35">
        <v>9.1646163066685355E-5</v>
      </c>
      <c r="L3450" s="35">
        <v>-7.483011961223144</v>
      </c>
      <c r="M3450" s="58" t="s">
        <v>23</v>
      </c>
      <c r="N3450" s="7">
        <v>11.333333333333334</v>
      </c>
      <c r="O3450" s="7" t="s">
        <v>180</v>
      </c>
      <c r="P3450" s="7" t="s">
        <v>180</v>
      </c>
    </row>
    <row r="3451" spans="1:16" x14ac:dyDescent="0.25">
      <c r="A3451" s="2" t="s">
        <v>183</v>
      </c>
      <c r="B3451" s="2" t="s">
        <v>208</v>
      </c>
      <c r="C3451" s="6" t="s">
        <v>155</v>
      </c>
      <c r="D3451" s="2" t="s">
        <v>127</v>
      </c>
      <c r="E3451" s="2"/>
      <c r="F3451" s="35">
        <v>0</v>
      </c>
      <c r="G3451" s="35">
        <v>-142.92063832398799</v>
      </c>
      <c r="H3451" s="35">
        <v>-14.722094513129324</v>
      </c>
      <c r="I3451" s="35">
        <v>-2.0574889333865667E-4</v>
      </c>
      <c r="J3451" s="35">
        <v>1.6403632042115129E-5</v>
      </c>
      <c r="K3451" s="35">
        <v>-2.4026977567933286E-3</v>
      </c>
      <c r="L3451" s="35">
        <v>-85.479722350839424</v>
      </c>
      <c r="M3451" s="58" t="s">
        <v>22</v>
      </c>
      <c r="N3451" s="7">
        <v>11.333333333333334</v>
      </c>
      <c r="O3451" s="7" t="s">
        <v>180</v>
      </c>
      <c r="P3451" s="7" t="s">
        <v>180</v>
      </c>
    </row>
    <row r="3452" spans="1:16" x14ac:dyDescent="0.25">
      <c r="A3452" s="2" t="s">
        <v>183</v>
      </c>
      <c r="B3452" s="2" t="s">
        <v>208</v>
      </c>
      <c r="C3452" s="6" t="s">
        <v>155</v>
      </c>
      <c r="D3452" s="2" t="s">
        <v>127</v>
      </c>
      <c r="E3452" s="2"/>
      <c r="F3452" s="35">
        <v>5.4149169609489114</v>
      </c>
      <c r="G3452" s="35">
        <v>-140.34122746787253</v>
      </c>
      <c r="H3452" s="35">
        <v>-14.722094513129324</v>
      </c>
      <c r="I3452" s="35">
        <v>-2.0574889333865667E-4</v>
      </c>
      <c r="J3452" s="35">
        <v>1.6403632042115129E-5</v>
      </c>
      <c r="K3452" s="35">
        <v>-1.2885845845573677E-3</v>
      </c>
      <c r="L3452" s="35">
        <v>-5.7608030710025542</v>
      </c>
      <c r="M3452" s="58" t="s">
        <v>24</v>
      </c>
      <c r="N3452" s="7">
        <v>11.333333333333334</v>
      </c>
      <c r="O3452" s="7" t="s">
        <v>180</v>
      </c>
      <c r="P3452" s="7" t="s">
        <v>180</v>
      </c>
    </row>
    <row r="3453" spans="1:16" x14ac:dyDescent="0.25">
      <c r="A3453" s="2" t="s">
        <v>183</v>
      </c>
      <c r="B3453" s="2" t="s">
        <v>208</v>
      </c>
      <c r="C3453" s="6" t="s">
        <v>155</v>
      </c>
      <c r="D3453" s="2" t="s">
        <v>127</v>
      </c>
      <c r="E3453" s="2"/>
      <c r="F3453" s="35">
        <v>10.829833921897823</v>
      </c>
      <c r="G3453" s="35">
        <v>-137.76181661175701</v>
      </c>
      <c r="H3453" s="35">
        <v>-14.722094513129324</v>
      </c>
      <c r="I3453" s="35">
        <v>-2.0574889333865667E-4</v>
      </c>
      <c r="J3453" s="35">
        <v>1.6403632042115129E-5</v>
      </c>
      <c r="K3453" s="35">
        <v>-1.744714123214075E-4</v>
      </c>
      <c r="L3453" s="35">
        <v>73.958116208834312</v>
      </c>
      <c r="M3453" s="58" t="s">
        <v>23</v>
      </c>
      <c r="N3453" s="7">
        <v>11.333333333333334</v>
      </c>
      <c r="O3453" s="7" t="s">
        <v>180</v>
      </c>
      <c r="P3453" s="7" t="s">
        <v>180</v>
      </c>
    </row>
    <row r="3454" spans="1:16" x14ac:dyDescent="0.25">
      <c r="A3454" s="2" t="s">
        <v>181</v>
      </c>
      <c r="B3454" s="2" t="s">
        <v>209</v>
      </c>
      <c r="C3454" s="6" t="s">
        <v>100</v>
      </c>
      <c r="D3454" s="2" t="s">
        <v>105</v>
      </c>
      <c r="E3454" s="2"/>
      <c r="F3454" s="35">
        <v>0</v>
      </c>
      <c r="G3454" s="35">
        <v>-48.447207349532754</v>
      </c>
      <c r="H3454" s="35">
        <v>18.738415085860765</v>
      </c>
      <c r="I3454" s="35">
        <v>2.9369938912719457E-4</v>
      </c>
      <c r="J3454" s="35">
        <v>1.6013462611187301E-6</v>
      </c>
      <c r="K3454" s="35">
        <v>2.7875065329353186E-3</v>
      </c>
      <c r="L3454" s="35">
        <v>60.017691074635934</v>
      </c>
      <c r="M3454" s="58" t="s">
        <v>22</v>
      </c>
      <c r="N3454" s="7">
        <v>9.5</v>
      </c>
      <c r="O3454" s="7" t="s">
        <v>179</v>
      </c>
      <c r="P3454" s="7" t="s">
        <v>179</v>
      </c>
    </row>
    <row r="3455" spans="1:16" x14ac:dyDescent="0.25">
      <c r="A3455" s="2" t="s">
        <v>181</v>
      </c>
      <c r="B3455" s="2" t="s">
        <v>209</v>
      </c>
      <c r="C3455" s="6" t="s">
        <v>100</v>
      </c>
      <c r="D3455" s="2" t="s">
        <v>105</v>
      </c>
      <c r="E3455" s="2"/>
      <c r="F3455" s="35">
        <v>4.4982502942822453</v>
      </c>
      <c r="G3455" s="35">
        <v>-46.616874702689657</v>
      </c>
      <c r="H3455" s="35">
        <v>18.738415085860765</v>
      </c>
      <c r="I3455" s="35">
        <v>2.9369938912719457E-4</v>
      </c>
      <c r="J3455" s="35">
        <v>1.6013462611187301E-6</v>
      </c>
      <c r="K3455" s="35">
        <v>1.4663731693634002E-3</v>
      </c>
      <c r="L3455" s="35">
        <v>-24.272390099720102</v>
      </c>
      <c r="M3455" s="58" t="s">
        <v>24</v>
      </c>
      <c r="N3455" s="7">
        <v>9.5</v>
      </c>
      <c r="O3455" s="7" t="s">
        <v>179</v>
      </c>
      <c r="P3455" s="7" t="s">
        <v>179</v>
      </c>
    </row>
    <row r="3456" spans="1:16" x14ac:dyDescent="0.25">
      <c r="A3456" s="2" t="s">
        <v>181</v>
      </c>
      <c r="B3456" s="2" t="s">
        <v>209</v>
      </c>
      <c r="C3456" s="6" t="s">
        <v>100</v>
      </c>
      <c r="D3456" s="2" t="s">
        <v>105</v>
      </c>
      <c r="E3456" s="2"/>
      <c r="F3456" s="35">
        <v>8.9965005885644906</v>
      </c>
      <c r="G3456" s="35">
        <v>-44.786542055846567</v>
      </c>
      <c r="H3456" s="35">
        <v>18.738415085860765</v>
      </c>
      <c r="I3456" s="35">
        <v>2.9369938912719457E-4</v>
      </c>
      <c r="J3456" s="35">
        <v>1.6013462611187301E-6</v>
      </c>
      <c r="K3456" s="35">
        <v>1.4523980579148169E-4</v>
      </c>
      <c r="L3456" s="35">
        <v>-108.56247127407613</v>
      </c>
      <c r="M3456" s="58" t="s">
        <v>23</v>
      </c>
      <c r="N3456" s="7">
        <v>9.5</v>
      </c>
      <c r="O3456" s="7" t="s">
        <v>179</v>
      </c>
      <c r="P3456" s="7" t="s">
        <v>179</v>
      </c>
    </row>
    <row r="3457" spans="1:16" x14ac:dyDescent="0.25">
      <c r="A3457" s="2" t="s">
        <v>181</v>
      </c>
      <c r="B3457" s="2" t="s">
        <v>209</v>
      </c>
      <c r="C3457" s="6" t="s">
        <v>100</v>
      </c>
      <c r="D3457" s="2" t="s">
        <v>15</v>
      </c>
      <c r="E3457" s="2"/>
      <c r="F3457" s="35">
        <v>0</v>
      </c>
      <c r="G3457" s="35">
        <v>63.220979513810001</v>
      </c>
      <c r="H3457" s="35">
        <v>-5.061266762891897</v>
      </c>
      <c r="I3457" s="35">
        <v>-5.2405297784904839E-2</v>
      </c>
      <c r="J3457" s="35">
        <v>-5.6699181682858121E-4</v>
      </c>
      <c r="K3457" s="35">
        <v>-0.49762638502719148</v>
      </c>
      <c r="L3457" s="35">
        <v>-47.247308628536722</v>
      </c>
      <c r="M3457" s="58" t="s">
        <v>22</v>
      </c>
      <c r="N3457" s="7">
        <v>9.5</v>
      </c>
      <c r="O3457" s="7" t="s">
        <v>179</v>
      </c>
      <c r="P3457" s="7" t="s">
        <v>179</v>
      </c>
    </row>
    <row r="3458" spans="1:16" x14ac:dyDescent="0.25">
      <c r="A3458" s="2" t="s">
        <v>181</v>
      </c>
      <c r="B3458" s="2" t="s">
        <v>209</v>
      </c>
      <c r="C3458" s="6" t="s">
        <v>100</v>
      </c>
      <c r="D3458" s="2" t="s">
        <v>15</v>
      </c>
      <c r="E3458" s="2"/>
      <c r="F3458" s="35">
        <v>4.4982502942822453</v>
      </c>
      <c r="G3458" s="35">
        <v>65.051312160653097</v>
      </c>
      <c r="H3458" s="35">
        <v>-23.953917998877326</v>
      </c>
      <c r="I3458" s="35">
        <v>-5.2405297784905984E-2</v>
      </c>
      <c r="J3458" s="35">
        <v>-5.6699181682858121E-4</v>
      </c>
      <c r="K3458" s="35">
        <v>-0.26189423884429203</v>
      </c>
      <c r="L3458" s="35">
        <v>18.01147306810433</v>
      </c>
      <c r="M3458" s="58" t="s">
        <v>24</v>
      </c>
      <c r="N3458" s="7">
        <v>9.5</v>
      </c>
      <c r="O3458" s="7" t="s">
        <v>179</v>
      </c>
      <c r="P3458" s="7" t="s">
        <v>179</v>
      </c>
    </row>
    <row r="3459" spans="1:16" x14ac:dyDescent="0.25">
      <c r="A3459" s="2" t="s">
        <v>181</v>
      </c>
      <c r="B3459" s="2" t="s">
        <v>209</v>
      </c>
      <c r="C3459" s="6" t="s">
        <v>100</v>
      </c>
      <c r="D3459" s="2" t="s">
        <v>15</v>
      </c>
      <c r="E3459" s="2"/>
      <c r="F3459" s="35">
        <v>8.9965005885644906</v>
      </c>
      <c r="G3459" s="35">
        <v>66.881644807496187</v>
      </c>
      <c r="H3459" s="35">
        <v>-42.846569234862756</v>
      </c>
      <c r="I3459" s="35">
        <v>-5.2405297784907143E-2</v>
      </c>
      <c r="J3459" s="35">
        <v>-5.6699181682858121E-4</v>
      </c>
      <c r="K3459" s="35">
        <v>-2.6162092661387429E-2</v>
      </c>
      <c r="L3459" s="35">
        <v>168.25412874678864</v>
      </c>
      <c r="M3459" s="58" t="s">
        <v>23</v>
      </c>
      <c r="N3459" s="7">
        <v>9.5</v>
      </c>
      <c r="O3459" s="7" t="s">
        <v>179</v>
      </c>
      <c r="P3459" s="7" t="s">
        <v>179</v>
      </c>
    </row>
    <row r="3460" spans="1:16" x14ac:dyDescent="0.25">
      <c r="A3460" s="2" t="s">
        <v>181</v>
      </c>
      <c r="B3460" s="2" t="s">
        <v>209</v>
      </c>
      <c r="C3460" s="6" t="s">
        <v>100</v>
      </c>
      <c r="D3460" s="2" t="s">
        <v>16</v>
      </c>
      <c r="E3460" s="2"/>
      <c r="F3460" s="35">
        <v>0</v>
      </c>
      <c r="G3460" s="35">
        <v>21.113195305178479</v>
      </c>
      <c r="H3460" s="35">
        <v>-0.5561241626665322</v>
      </c>
      <c r="I3460" s="35">
        <v>-5.298954542115477E-2</v>
      </c>
      <c r="J3460" s="35">
        <v>-5.7182589613874002E-4</v>
      </c>
      <c r="K3460" s="35">
        <v>-0.50317388310037892</v>
      </c>
      <c r="L3460" s="35">
        <v>-15.200168798009068</v>
      </c>
      <c r="M3460" s="58" t="s">
        <v>22</v>
      </c>
      <c r="N3460" s="7">
        <v>9.5</v>
      </c>
      <c r="O3460" s="7" t="s">
        <v>179</v>
      </c>
      <c r="P3460" s="7" t="s">
        <v>179</v>
      </c>
    </row>
    <row r="3461" spans="1:16" x14ac:dyDescent="0.25">
      <c r="A3461" s="2" t="s">
        <v>181</v>
      </c>
      <c r="B3461" s="2" t="s">
        <v>209</v>
      </c>
      <c r="C3461" s="6" t="s">
        <v>100</v>
      </c>
      <c r="D3461" s="2" t="s">
        <v>16</v>
      </c>
      <c r="E3461" s="2"/>
      <c r="F3461" s="35">
        <v>4.4982502942822453</v>
      </c>
      <c r="G3461" s="35">
        <v>22.943527952021572</v>
      </c>
      <c r="H3461" s="35">
        <v>-8.868890706500121</v>
      </c>
      <c r="I3461" s="35">
        <v>-5.2989545421155276E-2</v>
      </c>
      <c r="J3461" s="35">
        <v>-5.7182589613874002E-4</v>
      </c>
      <c r="K3461" s="35">
        <v>-0.26481364481578601</v>
      </c>
      <c r="L3461" s="35">
        <v>5.9978691564126407</v>
      </c>
      <c r="M3461" s="58" t="s">
        <v>24</v>
      </c>
      <c r="N3461" s="7">
        <v>9.5</v>
      </c>
      <c r="O3461" s="7" t="s">
        <v>179</v>
      </c>
      <c r="P3461" s="7" t="s">
        <v>179</v>
      </c>
    </row>
    <row r="3462" spans="1:16" x14ac:dyDescent="0.25">
      <c r="A3462" s="2" t="s">
        <v>181</v>
      </c>
      <c r="B3462" s="2" t="s">
        <v>209</v>
      </c>
      <c r="C3462" s="6" t="s">
        <v>100</v>
      </c>
      <c r="D3462" s="2" t="s">
        <v>16</v>
      </c>
      <c r="E3462" s="2"/>
      <c r="F3462" s="35">
        <v>8.9965005885644906</v>
      </c>
      <c r="G3462" s="35">
        <v>24.773860598864662</v>
      </c>
      <c r="H3462" s="35">
        <v>-17.181657250333707</v>
      </c>
      <c r="I3462" s="35">
        <v>-5.2989545421155776E-2</v>
      </c>
      <c r="J3462" s="35">
        <v>-5.7182589613874002E-4</v>
      </c>
      <c r="K3462" s="35">
        <v>-2.6453406531190788E-2</v>
      </c>
      <c r="L3462" s="35">
        <v>64.588811662933395</v>
      </c>
      <c r="M3462" s="58" t="s">
        <v>23</v>
      </c>
      <c r="N3462" s="7">
        <v>9.5</v>
      </c>
      <c r="O3462" s="7" t="s">
        <v>179</v>
      </c>
      <c r="P3462" s="7" t="s">
        <v>179</v>
      </c>
    </row>
    <row r="3463" spans="1:16" x14ac:dyDescent="0.25">
      <c r="A3463" s="2" t="s">
        <v>181</v>
      </c>
      <c r="B3463" s="2" t="s">
        <v>209</v>
      </c>
      <c r="C3463" s="6" t="s">
        <v>100</v>
      </c>
      <c r="D3463" s="2" t="s">
        <v>106</v>
      </c>
      <c r="E3463" s="2"/>
      <c r="F3463" s="35">
        <v>0</v>
      </c>
      <c r="G3463" s="35">
        <v>63.221209511749244</v>
      </c>
      <c r="H3463" s="35">
        <v>-5.0593976905126912</v>
      </c>
      <c r="I3463" s="35">
        <v>5.1888232641155232E-2</v>
      </c>
      <c r="J3463" s="35">
        <v>5.6509719948175314E-4</v>
      </c>
      <c r="K3463" s="35">
        <v>0.49271962687503063</v>
      </c>
      <c r="L3463" s="35">
        <v>-47.241613865960687</v>
      </c>
      <c r="M3463" s="58" t="s">
        <v>22</v>
      </c>
      <c r="N3463" s="7">
        <v>9.5</v>
      </c>
      <c r="O3463" s="7" t="s">
        <v>179</v>
      </c>
      <c r="P3463" s="7" t="s">
        <v>179</v>
      </c>
    </row>
    <row r="3464" spans="1:16" x14ac:dyDescent="0.25">
      <c r="A3464" s="2" t="s">
        <v>181</v>
      </c>
      <c r="B3464" s="2" t="s">
        <v>209</v>
      </c>
      <c r="C3464" s="6" t="s">
        <v>100</v>
      </c>
      <c r="D3464" s="2" t="s">
        <v>106</v>
      </c>
      <c r="E3464" s="2"/>
      <c r="F3464" s="35">
        <v>4.4982502942822453</v>
      </c>
      <c r="G3464" s="35">
        <v>65.051542158592341</v>
      </c>
      <c r="H3464" s="35">
        <v>-23.952048926498119</v>
      </c>
      <c r="I3464" s="35">
        <v>5.1888232641154074E-2</v>
      </c>
      <c r="J3464" s="35">
        <v>5.6509719948175314E-4</v>
      </c>
      <c r="K3464" s="35">
        <v>0.25931336912717118</v>
      </c>
      <c r="L3464" s="35">
        <v>18.008760275300556</v>
      </c>
      <c r="M3464" s="58" t="s">
        <v>24</v>
      </c>
      <c r="N3464" s="7">
        <v>9.5</v>
      </c>
      <c r="O3464" s="7" t="s">
        <v>179</v>
      </c>
      <c r="P3464" s="7" t="s">
        <v>179</v>
      </c>
    </row>
    <row r="3465" spans="1:16" x14ac:dyDescent="0.25">
      <c r="A3465" s="2" t="s">
        <v>181</v>
      </c>
      <c r="B3465" s="2" t="s">
        <v>209</v>
      </c>
      <c r="C3465" s="6" t="s">
        <v>100</v>
      </c>
      <c r="D3465" s="2" t="s">
        <v>106</v>
      </c>
      <c r="E3465" s="2"/>
      <c r="F3465" s="35">
        <v>8.9965005885644906</v>
      </c>
      <c r="G3465" s="35">
        <v>66.881874805435444</v>
      </c>
      <c r="H3465" s="35">
        <v>-42.844700162483555</v>
      </c>
      <c r="I3465" s="35">
        <v>5.1888232641152922E-2</v>
      </c>
      <c r="J3465" s="35">
        <v>5.6509719948175314E-4</v>
      </c>
      <c r="K3465" s="35">
        <v>2.5907111379316866E-2</v>
      </c>
      <c r="L3465" s="35">
        <v>168.2430083986051</v>
      </c>
      <c r="M3465" s="58" t="s">
        <v>23</v>
      </c>
      <c r="N3465" s="7">
        <v>9.5</v>
      </c>
      <c r="O3465" s="7" t="s">
        <v>179</v>
      </c>
      <c r="P3465" s="7" t="s">
        <v>179</v>
      </c>
    </row>
    <row r="3466" spans="1:16" x14ac:dyDescent="0.25">
      <c r="A3466" s="2" t="s">
        <v>181</v>
      </c>
      <c r="B3466" s="2" t="s">
        <v>209</v>
      </c>
      <c r="C3466" s="6" t="s">
        <v>100</v>
      </c>
      <c r="D3466" s="2" t="s">
        <v>107</v>
      </c>
      <c r="E3466" s="2"/>
      <c r="F3466" s="35">
        <v>0</v>
      </c>
      <c r="G3466" s="35">
        <v>21.11342491333404</v>
      </c>
      <c r="H3466" s="35">
        <v>-0.55425807535859606</v>
      </c>
      <c r="I3466" s="35">
        <v>5.1344144603029732E-2</v>
      </c>
      <c r="J3466" s="35">
        <v>5.6049105713053434E-4</v>
      </c>
      <c r="K3466" s="35">
        <v>0.48755330636779115</v>
      </c>
      <c r="L3466" s="35">
        <v>-15.194483069009408</v>
      </c>
      <c r="M3466" s="58" t="s">
        <v>22</v>
      </c>
      <c r="N3466" s="7">
        <v>9.5</v>
      </c>
      <c r="O3466" s="7" t="s">
        <v>179</v>
      </c>
      <c r="P3466" s="7" t="s">
        <v>179</v>
      </c>
    </row>
    <row r="3467" spans="1:16" x14ac:dyDescent="0.25">
      <c r="A3467" s="2" t="s">
        <v>181</v>
      </c>
      <c r="B3467" s="2" t="s">
        <v>209</v>
      </c>
      <c r="C3467" s="6" t="s">
        <v>100</v>
      </c>
      <c r="D3467" s="2" t="s">
        <v>107</v>
      </c>
      <c r="E3467" s="2"/>
      <c r="F3467" s="35">
        <v>4.4982502942822453</v>
      </c>
      <c r="G3467" s="35">
        <v>22.943757560177133</v>
      </c>
      <c r="H3467" s="35">
        <v>-8.8670246191921844</v>
      </c>
      <c r="I3467" s="35">
        <v>5.1344144603029225E-2</v>
      </c>
      <c r="J3467" s="35">
        <v>5.6049105713053434E-4</v>
      </c>
      <c r="K3467" s="35">
        <v>0.25659449279754371</v>
      </c>
      <c r="L3467" s="35">
        <v>5.9951607576302219</v>
      </c>
      <c r="M3467" s="58" t="s">
        <v>24</v>
      </c>
      <c r="N3467" s="7">
        <v>9.5</v>
      </c>
      <c r="O3467" s="7" t="s">
        <v>179</v>
      </c>
      <c r="P3467" s="7" t="s">
        <v>179</v>
      </c>
    </row>
    <row r="3468" spans="1:16" x14ac:dyDescent="0.25">
      <c r="A3468" s="2" t="s">
        <v>181</v>
      </c>
      <c r="B3468" s="2" t="s">
        <v>209</v>
      </c>
      <c r="C3468" s="6" t="s">
        <v>100</v>
      </c>
      <c r="D3468" s="2" t="s">
        <v>107</v>
      </c>
      <c r="E3468" s="2"/>
      <c r="F3468" s="35">
        <v>8.9965005885644906</v>
      </c>
      <c r="G3468" s="35">
        <v>24.774090207020222</v>
      </c>
      <c r="H3468" s="35">
        <v>-17.179791163025772</v>
      </c>
      <c r="I3468" s="35">
        <v>5.1344144603028712E-2</v>
      </c>
      <c r="J3468" s="35">
        <v>5.6049105713053434E-4</v>
      </c>
      <c r="K3468" s="35">
        <v>2.5635679227298497E-2</v>
      </c>
      <c r="L3468" s="35">
        <v>64.577709136368881</v>
      </c>
      <c r="M3468" s="58" t="s">
        <v>23</v>
      </c>
      <c r="N3468" s="7">
        <v>9.5</v>
      </c>
      <c r="O3468" s="7" t="s">
        <v>179</v>
      </c>
      <c r="P3468" s="7" t="s">
        <v>179</v>
      </c>
    </row>
    <row r="3469" spans="1:16" x14ac:dyDescent="0.25">
      <c r="A3469" s="2" t="s">
        <v>181</v>
      </c>
      <c r="B3469" s="2" t="s">
        <v>209</v>
      </c>
      <c r="C3469" s="6" t="s">
        <v>100</v>
      </c>
      <c r="D3469" s="2" t="s">
        <v>108</v>
      </c>
      <c r="E3469" s="2"/>
      <c r="F3469" s="35">
        <v>0</v>
      </c>
      <c r="G3469" s="35">
        <v>58.204877670065706</v>
      </c>
      <c r="H3469" s="35">
        <v>-3.785852695989246</v>
      </c>
      <c r="I3469" s="35">
        <v>1.5461985051927949E-3</v>
      </c>
      <c r="J3469" s="35">
        <v>1.2358398734336524E-5</v>
      </c>
      <c r="K3469" s="35">
        <v>1.4680767176659879E-2</v>
      </c>
      <c r="L3469" s="35">
        <v>-18.436270546350777</v>
      </c>
      <c r="M3469" s="58" t="s">
        <v>22</v>
      </c>
      <c r="N3469" s="7">
        <v>9.5</v>
      </c>
      <c r="O3469" s="7" t="s">
        <v>179</v>
      </c>
      <c r="P3469" s="7" t="s">
        <v>179</v>
      </c>
    </row>
    <row r="3470" spans="1:16" x14ac:dyDescent="0.25">
      <c r="A3470" s="2" t="s">
        <v>181</v>
      </c>
      <c r="B3470" s="2" t="s">
        <v>209</v>
      </c>
      <c r="C3470" s="6" t="s">
        <v>100</v>
      </c>
      <c r="D3470" s="2" t="s">
        <v>108</v>
      </c>
      <c r="E3470" s="2"/>
      <c r="F3470" s="35">
        <v>4.4982502942822453</v>
      </c>
      <c r="G3470" s="35">
        <v>60.035210316908802</v>
      </c>
      <c r="H3470" s="35">
        <v>-18.144267635338174</v>
      </c>
      <c r="I3470" s="35">
        <v>1.5461985051919156E-3</v>
      </c>
      <c r="J3470" s="35">
        <v>1.2358398734336524E-5</v>
      </c>
      <c r="K3470" s="35">
        <v>7.725579295659599E-3</v>
      </c>
      <c r="L3470" s="35">
        <v>30.887314570668511</v>
      </c>
      <c r="M3470" s="58" t="s">
        <v>24</v>
      </c>
      <c r="N3470" s="7">
        <v>9.5</v>
      </c>
      <c r="O3470" s="7" t="s">
        <v>179</v>
      </c>
      <c r="P3470" s="7" t="s">
        <v>179</v>
      </c>
    </row>
    <row r="3471" spans="1:16" x14ac:dyDescent="0.25">
      <c r="A3471" s="2" t="s">
        <v>181</v>
      </c>
      <c r="B3471" s="2" t="s">
        <v>209</v>
      </c>
      <c r="C3471" s="6" t="s">
        <v>100</v>
      </c>
      <c r="D3471" s="2" t="s">
        <v>108</v>
      </c>
      <c r="E3471" s="2"/>
      <c r="F3471" s="35">
        <v>8.9965005885644906</v>
      </c>
      <c r="G3471" s="35">
        <v>61.865542963751892</v>
      </c>
      <c r="H3471" s="35">
        <v>-32.502682574687107</v>
      </c>
      <c r="I3471" s="35">
        <v>1.5461985051910365E-3</v>
      </c>
      <c r="J3471" s="35">
        <v>1.2358398734336524E-5</v>
      </c>
      <c r="K3471" s="35">
        <v>7.7039141466327457E-4</v>
      </c>
      <c r="L3471" s="35">
        <v>144.79864391404072</v>
      </c>
      <c r="M3471" s="58" t="s">
        <v>23</v>
      </c>
      <c r="N3471" s="7">
        <v>9.5</v>
      </c>
      <c r="O3471" s="7" t="s">
        <v>179</v>
      </c>
      <c r="P3471" s="7" t="s">
        <v>179</v>
      </c>
    </row>
    <row r="3472" spans="1:16" x14ac:dyDescent="0.25">
      <c r="A3472" s="2" t="s">
        <v>181</v>
      </c>
      <c r="B3472" s="2" t="s">
        <v>209</v>
      </c>
      <c r="C3472" s="6" t="s">
        <v>100</v>
      </c>
      <c r="D3472" s="2" t="s">
        <v>109</v>
      </c>
      <c r="E3472" s="2"/>
      <c r="F3472" s="35">
        <v>0</v>
      </c>
      <c r="G3472" s="35">
        <v>4.7101588166370414</v>
      </c>
      <c r="H3472" s="35">
        <v>12.469847027300331</v>
      </c>
      <c r="I3472" s="35">
        <v>1.4696126611683511E-3</v>
      </c>
      <c r="J3472" s="35">
        <v>1.0339451641618185E-5</v>
      </c>
      <c r="K3472" s="35">
        <v>1.3951672819822097E-2</v>
      </c>
      <c r="L3472" s="35">
        <v>78.373923649551259</v>
      </c>
      <c r="M3472" s="58" t="s">
        <v>22</v>
      </c>
      <c r="N3472" s="7">
        <v>9.5</v>
      </c>
      <c r="O3472" s="7" t="s">
        <v>179</v>
      </c>
      <c r="P3472" s="7" t="s">
        <v>179</v>
      </c>
    </row>
    <row r="3473" spans="1:16" x14ac:dyDescent="0.25">
      <c r="A3473" s="2" t="s">
        <v>181</v>
      </c>
      <c r="B3473" s="2" t="s">
        <v>209</v>
      </c>
      <c r="C3473" s="6" t="s">
        <v>100</v>
      </c>
      <c r="D3473" s="2" t="s">
        <v>109</v>
      </c>
      <c r="E3473" s="2"/>
      <c r="F3473" s="35">
        <v>4.4982502942822453</v>
      </c>
      <c r="G3473" s="35">
        <v>6.5404914634801337</v>
      </c>
      <c r="H3473" s="35">
        <v>8.6913167801032429</v>
      </c>
      <c r="I3473" s="35">
        <v>1.4696126611681197E-3</v>
      </c>
      <c r="J3473" s="35">
        <v>1.0339451641618185E-5</v>
      </c>
      <c r="K3473" s="35">
        <v>7.3409872342411709E-3</v>
      </c>
      <c r="L3473" s="35">
        <v>30.7798179875473</v>
      </c>
      <c r="M3473" s="58" t="s">
        <v>24</v>
      </c>
      <c r="N3473" s="7">
        <v>9.5</v>
      </c>
      <c r="O3473" s="7" t="s">
        <v>179</v>
      </c>
      <c r="P3473" s="7" t="s">
        <v>179</v>
      </c>
    </row>
    <row r="3474" spans="1:16" x14ac:dyDescent="0.25">
      <c r="A3474" s="2" t="s">
        <v>181</v>
      </c>
      <c r="B3474" s="2" t="s">
        <v>209</v>
      </c>
      <c r="C3474" s="6" t="s">
        <v>100</v>
      </c>
      <c r="D3474" s="2" t="s">
        <v>109</v>
      </c>
      <c r="E3474" s="2"/>
      <c r="F3474" s="35">
        <v>8.9965005885644906</v>
      </c>
      <c r="G3474" s="35">
        <v>8.3708241103232233</v>
      </c>
      <c r="H3474" s="35">
        <v>4.9127865329061571</v>
      </c>
      <c r="I3474" s="35">
        <v>1.4696126611678886E-3</v>
      </c>
      <c r="J3474" s="35">
        <v>1.0339451641618185E-5</v>
      </c>
      <c r="K3474" s="35">
        <v>7.3030164866128326E-4</v>
      </c>
      <c r="L3474" s="35">
        <v>0.18248712195201214</v>
      </c>
      <c r="M3474" s="58" t="s">
        <v>23</v>
      </c>
      <c r="N3474" s="7">
        <v>9.5</v>
      </c>
      <c r="O3474" s="7" t="s">
        <v>179</v>
      </c>
      <c r="P3474" s="7" t="s">
        <v>179</v>
      </c>
    </row>
    <row r="3475" spans="1:16" x14ac:dyDescent="0.25">
      <c r="A3475" s="2" t="s">
        <v>181</v>
      </c>
      <c r="B3475" s="2" t="s">
        <v>209</v>
      </c>
      <c r="C3475" s="6" t="s">
        <v>100</v>
      </c>
      <c r="D3475" s="2" t="s">
        <v>110</v>
      </c>
      <c r="E3475" s="2"/>
      <c r="F3475" s="35">
        <v>0</v>
      </c>
      <c r="G3475" s="35">
        <v>75.217085919820363</v>
      </c>
      <c r="H3475" s="35">
        <v>-51.939678766661615</v>
      </c>
      <c r="I3475" s="35">
        <v>1.8457546702029071E-3</v>
      </c>
      <c r="J3475" s="35">
        <v>1.5383713652595015E-5</v>
      </c>
      <c r="K3475" s="35">
        <v>1.7524653672460651E-2</v>
      </c>
      <c r="L3475" s="35">
        <v>-157.98767817789673</v>
      </c>
      <c r="M3475" s="58" t="s">
        <v>22</v>
      </c>
      <c r="N3475" s="7">
        <v>9.5</v>
      </c>
      <c r="O3475" s="7" t="s">
        <v>179</v>
      </c>
      <c r="P3475" s="7" t="s">
        <v>179</v>
      </c>
    </row>
    <row r="3476" spans="1:16" x14ac:dyDescent="0.25">
      <c r="A3476" s="2" t="s">
        <v>181</v>
      </c>
      <c r="B3476" s="2" t="s">
        <v>209</v>
      </c>
      <c r="C3476" s="6" t="s">
        <v>100</v>
      </c>
      <c r="D3476" s="2" t="s">
        <v>110</v>
      </c>
      <c r="E3476" s="2"/>
      <c r="F3476" s="35">
        <v>4.4982502942822453</v>
      </c>
      <c r="G3476" s="35">
        <v>77.047418566663467</v>
      </c>
      <c r="H3476" s="35">
        <v>-38.336969876752107</v>
      </c>
      <c r="I3476" s="35">
        <v>1.8457546702037402E-3</v>
      </c>
      <c r="J3476" s="35">
        <v>1.5383713652595015E-5</v>
      </c>
      <c r="K3476" s="35">
        <v>9.2219871840457206E-3</v>
      </c>
      <c r="L3476" s="35">
        <v>45.055802485628554</v>
      </c>
      <c r="M3476" s="58" t="s">
        <v>24</v>
      </c>
      <c r="N3476" s="7">
        <v>9.5</v>
      </c>
      <c r="O3476" s="7" t="s">
        <v>179</v>
      </c>
      <c r="P3476" s="7" t="s">
        <v>179</v>
      </c>
    </row>
    <row r="3477" spans="1:16" x14ac:dyDescent="0.25">
      <c r="A3477" s="2" t="s">
        <v>181</v>
      </c>
      <c r="B3477" s="2" t="s">
        <v>209</v>
      </c>
      <c r="C3477" s="6" t="s">
        <v>100</v>
      </c>
      <c r="D3477" s="2" t="s">
        <v>110</v>
      </c>
      <c r="E3477" s="2"/>
      <c r="F3477" s="35">
        <v>8.9965005885644906</v>
      </c>
      <c r="G3477" s="35">
        <v>78.877751213506542</v>
      </c>
      <c r="H3477" s="35">
        <v>-24.7342609868426</v>
      </c>
      <c r="I3477" s="35">
        <v>1.8457546702045733E-3</v>
      </c>
      <c r="J3477" s="35">
        <v>1.5383713652595015E-5</v>
      </c>
      <c r="K3477" s="35">
        <v>9.1932069562704756E-4</v>
      </c>
      <c r="L3477" s="35">
        <v>186.91089388208272</v>
      </c>
      <c r="M3477" s="58" t="s">
        <v>23</v>
      </c>
      <c r="N3477" s="7">
        <v>9.5</v>
      </c>
      <c r="O3477" s="7" t="s">
        <v>179</v>
      </c>
      <c r="P3477" s="7" t="s">
        <v>179</v>
      </c>
    </row>
    <row r="3478" spans="1:16" x14ac:dyDescent="0.25">
      <c r="A3478" s="2" t="s">
        <v>181</v>
      </c>
      <c r="B3478" s="2" t="s">
        <v>209</v>
      </c>
      <c r="C3478" s="6" t="s">
        <v>100</v>
      </c>
      <c r="D3478" s="2" t="s">
        <v>111</v>
      </c>
      <c r="E3478" s="2"/>
      <c r="F3478" s="35">
        <v>0</v>
      </c>
      <c r="G3478" s="35">
        <v>-43.101541193608433</v>
      </c>
      <c r="H3478" s="35">
        <v>-26.287990243443517</v>
      </c>
      <c r="I3478" s="35">
        <v>1.6779043035873758E-3</v>
      </c>
      <c r="J3478" s="35">
        <v>1.2957820403493084E-5</v>
      </c>
      <c r="K3478" s="35">
        <v>1.5929309994607958E-2</v>
      </c>
      <c r="L3478" s="35">
        <v>-81.963934176925832</v>
      </c>
      <c r="M3478" s="58" t="s">
        <v>22</v>
      </c>
      <c r="N3478" s="7">
        <v>9.5</v>
      </c>
      <c r="O3478" s="7" t="s">
        <v>179</v>
      </c>
      <c r="P3478" s="7" t="s">
        <v>179</v>
      </c>
    </row>
    <row r="3479" spans="1:16" x14ac:dyDescent="0.25">
      <c r="A3479" s="2" t="s">
        <v>181</v>
      </c>
      <c r="B3479" s="2" t="s">
        <v>209</v>
      </c>
      <c r="C3479" s="6" t="s">
        <v>100</v>
      </c>
      <c r="D3479" s="2" t="s">
        <v>111</v>
      </c>
      <c r="E3479" s="2"/>
      <c r="F3479" s="35">
        <v>4.4982502942822453</v>
      </c>
      <c r="G3479" s="35">
        <v>-41.271208546765337</v>
      </c>
      <c r="H3479" s="35">
        <v>-2.1053966613821671</v>
      </c>
      <c r="I3479" s="35">
        <v>1.6779043035888568E-3</v>
      </c>
      <c r="J3479" s="35">
        <v>1.2957820403493084E-5</v>
      </c>
      <c r="K3479" s="35">
        <v>8.3816764672152693E-3</v>
      </c>
      <c r="L3479" s="35">
        <v>-18.103653676774968</v>
      </c>
      <c r="M3479" s="58" t="s">
        <v>24</v>
      </c>
      <c r="N3479" s="7">
        <v>9.5</v>
      </c>
      <c r="O3479" s="7" t="s">
        <v>179</v>
      </c>
      <c r="P3479" s="7" t="s">
        <v>179</v>
      </c>
    </row>
    <row r="3480" spans="1:16" x14ac:dyDescent="0.25">
      <c r="A3480" s="2" t="s">
        <v>181</v>
      </c>
      <c r="B3480" s="2" t="s">
        <v>209</v>
      </c>
      <c r="C3480" s="6" t="s">
        <v>100</v>
      </c>
      <c r="D3480" s="2" t="s">
        <v>111</v>
      </c>
      <c r="E3480" s="2"/>
      <c r="F3480" s="35">
        <v>8.9965005885644906</v>
      </c>
      <c r="G3480" s="35">
        <v>-39.440875899922247</v>
      </c>
      <c r="H3480" s="35">
        <v>22.077196920679182</v>
      </c>
      <c r="I3480" s="35">
        <v>1.6779043035903374E-3</v>
      </c>
      <c r="J3480" s="35">
        <v>1.2957820403493084E-5</v>
      </c>
      <c r="K3480" s="35">
        <v>8.34042939815919E-4</v>
      </c>
      <c r="L3480" s="35">
        <v>-63.022731873639465</v>
      </c>
      <c r="M3480" s="58" t="s">
        <v>23</v>
      </c>
      <c r="N3480" s="7">
        <v>9.5</v>
      </c>
      <c r="O3480" s="7" t="s">
        <v>179</v>
      </c>
      <c r="P3480" s="7" t="s">
        <v>179</v>
      </c>
    </row>
    <row r="3481" spans="1:16" x14ac:dyDescent="0.25">
      <c r="A3481" s="2" t="s">
        <v>181</v>
      </c>
      <c r="B3481" s="2" t="s">
        <v>209</v>
      </c>
      <c r="C3481" s="6" t="s">
        <v>100</v>
      </c>
      <c r="D3481" s="2" t="s">
        <v>112</v>
      </c>
      <c r="E3481" s="2"/>
      <c r="F3481" s="35">
        <v>0</v>
      </c>
      <c r="G3481" s="35">
        <v>27.06428209525988</v>
      </c>
      <c r="H3481" s="35">
        <v>8.1201104680598828</v>
      </c>
      <c r="I3481" s="35">
        <v>-4.6998651823440235E-2</v>
      </c>
      <c r="J3481" s="35">
        <v>-5.0944334820511583E-4</v>
      </c>
      <c r="K3481" s="35">
        <v>-0.446287176729871</v>
      </c>
      <c r="L3481" s="35">
        <v>-2.1503062888899289</v>
      </c>
      <c r="M3481" s="58" t="s">
        <v>22</v>
      </c>
      <c r="N3481" s="7">
        <v>9.5</v>
      </c>
      <c r="O3481" s="7" t="s">
        <v>179</v>
      </c>
      <c r="P3481" s="7" t="s">
        <v>179</v>
      </c>
    </row>
    <row r="3482" spans="1:16" x14ac:dyDescent="0.25">
      <c r="A3482" s="2" t="s">
        <v>181</v>
      </c>
      <c r="B3482" s="2" t="s">
        <v>209</v>
      </c>
      <c r="C3482" s="6" t="s">
        <v>100</v>
      </c>
      <c r="D3482" s="2" t="s">
        <v>112</v>
      </c>
      <c r="E3482" s="2"/>
      <c r="F3482" s="35">
        <v>4.4982502942822453</v>
      </c>
      <c r="G3482" s="35">
        <v>28.894614742102977</v>
      </c>
      <c r="H3482" s="35">
        <v>-8.8832756443270071</v>
      </c>
      <c r="I3482" s="35">
        <v>-4.6998651823441269E-2</v>
      </c>
      <c r="J3482" s="35">
        <v>-5.0944334820511583E-4</v>
      </c>
      <c r="K3482" s="35">
        <v>-0.23487547733420988</v>
      </c>
      <c r="L3482" s="35">
        <v>-0.43385229952516396</v>
      </c>
      <c r="M3482" s="58" t="s">
        <v>24</v>
      </c>
      <c r="N3482" s="7">
        <v>9.5</v>
      </c>
      <c r="O3482" s="7" t="s">
        <v>179</v>
      </c>
      <c r="P3482" s="7" t="s">
        <v>179</v>
      </c>
    </row>
    <row r="3483" spans="1:16" x14ac:dyDescent="0.25">
      <c r="A3483" s="2" t="s">
        <v>181</v>
      </c>
      <c r="B3483" s="2" t="s">
        <v>209</v>
      </c>
      <c r="C3483" s="6" t="s">
        <v>100</v>
      </c>
      <c r="D3483" s="2" t="s">
        <v>112</v>
      </c>
      <c r="E3483" s="2"/>
      <c r="F3483" s="35">
        <v>8.9965005885644906</v>
      </c>
      <c r="G3483" s="35">
        <v>30.724947388946067</v>
      </c>
      <c r="H3483" s="35">
        <v>-25.886661756713892</v>
      </c>
      <c r="I3483" s="35">
        <v>-4.699865182344231E-2</v>
      </c>
      <c r="J3483" s="35">
        <v>-5.0944334820511583E-4</v>
      </c>
      <c r="K3483" s="35">
        <v>-2.3463777938544116E-2</v>
      </c>
      <c r="L3483" s="35">
        <v>77.768088273678558</v>
      </c>
      <c r="M3483" s="58" t="s">
        <v>23</v>
      </c>
      <c r="N3483" s="7">
        <v>9.5</v>
      </c>
      <c r="O3483" s="7" t="s">
        <v>179</v>
      </c>
      <c r="P3483" s="7" t="s">
        <v>179</v>
      </c>
    </row>
    <row r="3484" spans="1:16" x14ac:dyDescent="0.25">
      <c r="A3484" s="2" t="s">
        <v>181</v>
      </c>
      <c r="B3484" s="2" t="s">
        <v>209</v>
      </c>
      <c r="C3484" s="6" t="s">
        <v>100</v>
      </c>
      <c r="D3484" s="2" t="s">
        <v>113</v>
      </c>
      <c r="E3484" s="2"/>
      <c r="F3484" s="35">
        <v>0</v>
      </c>
      <c r="G3484" s="35">
        <v>-10.8327236925085</v>
      </c>
      <c r="H3484" s="35">
        <v>12.174738808262711</v>
      </c>
      <c r="I3484" s="35">
        <v>-4.7524474696065161E-2</v>
      </c>
      <c r="J3484" s="35">
        <v>-5.1379401958425873E-4</v>
      </c>
      <c r="K3484" s="35">
        <v>-0.45127992499573971</v>
      </c>
      <c r="L3484" s="35">
        <v>26.692119558584963</v>
      </c>
      <c r="M3484" s="58" t="s">
        <v>22</v>
      </c>
      <c r="N3484" s="7">
        <v>9.5</v>
      </c>
      <c r="O3484" s="7" t="s">
        <v>179</v>
      </c>
      <c r="P3484" s="7" t="s">
        <v>179</v>
      </c>
    </row>
    <row r="3485" spans="1:16" x14ac:dyDescent="0.25">
      <c r="A3485" s="2" t="s">
        <v>181</v>
      </c>
      <c r="B3485" s="2" t="s">
        <v>209</v>
      </c>
      <c r="C3485" s="6" t="s">
        <v>100</v>
      </c>
      <c r="D3485" s="2" t="s">
        <v>113</v>
      </c>
      <c r="E3485" s="2"/>
      <c r="F3485" s="35">
        <v>4.4982502942822453</v>
      </c>
      <c r="G3485" s="35">
        <v>-9.0023910456654033</v>
      </c>
      <c r="H3485" s="35">
        <v>4.6932489188124809</v>
      </c>
      <c r="I3485" s="35">
        <v>-4.7524474696065626E-2</v>
      </c>
      <c r="J3485" s="35">
        <v>-5.1379401958425873E-4</v>
      </c>
      <c r="K3485" s="35">
        <v>-0.23750294270855446</v>
      </c>
      <c r="L3485" s="35">
        <v>-11.24609582004768</v>
      </c>
      <c r="M3485" s="58" t="s">
        <v>24</v>
      </c>
      <c r="N3485" s="7">
        <v>9.5</v>
      </c>
      <c r="O3485" s="7" t="s">
        <v>179</v>
      </c>
      <c r="P3485" s="7" t="s">
        <v>179</v>
      </c>
    </row>
    <row r="3486" spans="1:16" x14ac:dyDescent="0.25">
      <c r="A3486" s="2" t="s">
        <v>181</v>
      </c>
      <c r="B3486" s="2" t="s">
        <v>209</v>
      </c>
      <c r="C3486" s="6" t="s">
        <v>100</v>
      </c>
      <c r="D3486" s="2" t="s">
        <v>113</v>
      </c>
      <c r="E3486" s="2"/>
      <c r="F3486" s="35">
        <v>8.9965005885644906</v>
      </c>
      <c r="G3486" s="35">
        <v>-7.1720583988223137</v>
      </c>
      <c r="H3486" s="35">
        <v>-2.7882409706377507</v>
      </c>
      <c r="I3486" s="35">
        <v>-4.7524474696066084E-2</v>
      </c>
      <c r="J3486" s="35">
        <v>-5.1379401958425873E-4</v>
      </c>
      <c r="K3486" s="35">
        <v>-2.372596042136714E-2</v>
      </c>
      <c r="L3486" s="35">
        <v>-15.530697101791183</v>
      </c>
      <c r="M3486" s="58" t="s">
        <v>23</v>
      </c>
      <c r="N3486" s="7">
        <v>9.5</v>
      </c>
      <c r="O3486" s="7" t="s">
        <v>179</v>
      </c>
      <c r="P3486" s="7" t="s">
        <v>179</v>
      </c>
    </row>
    <row r="3487" spans="1:16" x14ac:dyDescent="0.25">
      <c r="A3487" s="2" t="s">
        <v>181</v>
      </c>
      <c r="B3487" s="2" t="s">
        <v>209</v>
      </c>
      <c r="C3487" s="6" t="s">
        <v>100</v>
      </c>
      <c r="D3487" s="2" t="s">
        <v>114</v>
      </c>
      <c r="E3487" s="2"/>
      <c r="F3487" s="35">
        <v>0</v>
      </c>
      <c r="G3487" s="35">
        <v>27.064489093405189</v>
      </c>
      <c r="H3487" s="35">
        <v>8.1217926332011672</v>
      </c>
      <c r="I3487" s="35">
        <v>4.6865525560013825E-2</v>
      </c>
      <c r="J3487" s="35">
        <v>5.0943676647418517E-4</v>
      </c>
      <c r="K3487" s="35">
        <v>0.44502423398212893</v>
      </c>
      <c r="L3487" s="35">
        <v>-2.1451810025715004</v>
      </c>
      <c r="M3487" s="58" t="s">
        <v>22</v>
      </c>
      <c r="N3487" s="7">
        <v>9.5</v>
      </c>
      <c r="O3487" s="7" t="s">
        <v>179</v>
      </c>
      <c r="P3487" s="7" t="s">
        <v>179</v>
      </c>
    </row>
    <row r="3488" spans="1:16" x14ac:dyDescent="0.25">
      <c r="A3488" s="2" t="s">
        <v>181</v>
      </c>
      <c r="B3488" s="2" t="s">
        <v>209</v>
      </c>
      <c r="C3488" s="6" t="s">
        <v>100</v>
      </c>
      <c r="D3488" s="2" t="s">
        <v>114</v>
      </c>
      <c r="E3488" s="2"/>
      <c r="F3488" s="35">
        <v>4.4982502942822453</v>
      </c>
      <c r="G3488" s="35">
        <v>28.894821740248286</v>
      </c>
      <c r="H3488" s="35">
        <v>-8.8815934791857192</v>
      </c>
      <c r="I3488" s="35">
        <v>4.6865525560012791E-2</v>
      </c>
      <c r="J3488" s="35">
        <v>5.0943676647418517E-4</v>
      </c>
      <c r="K3488" s="35">
        <v>0.23421136984010699</v>
      </c>
      <c r="L3488" s="35">
        <v>-0.43629381304855264</v>
      </c>
      <c r="M3488" s="58" t="s">
        <v>24</v>
      </c>
      <c r="N3488" s="7">
        <v>9.5</v>
      </c>
      <c r="O3488" s="7" t="s">
        <v>179</v>
      </c>
      <c r="P3488" s="7" t="s">
        <v>179</v>
      </c>
    </row>
    <row r="3489" spans="1:16" x14ac:dyDescent="0.25">
      <c r="A3489" s="2" t="s">
        <v>181</v>
      </c>
      <c r="B3489" s="2" t="s">
        <v>209</v>
      </c>
      <c r="C3489" s="6" t="s">
        <v>100</v>
      </c>
      <c r="D3489" s="2" t="s">
        <v>114</v>
      </c>
      <c r="E3489" s="2"/>
      <c r="F3489" s="35">
        <v>8.9965005885644906</v>
      </c>
      <c r="G3489" s="35">
        <v>30.725154387091376</v>
      </c>
      <c r="H3489" s="35">
        <v>-25.884979591572609</v>
      </c>
      <c r="I3489" s="35">
        <v>4.686552556001175E-2</v>
      </c>
      <c r="J3489" s="35">
        <v>5.0943676647418517E-4</v>
      </c>
      <c r="K3489" s="35">
        <v>2.3398505698089753E-2</v>
      </c>
      <c r="L3489" s="35">
        <v>77.758079960313353</v>
      </c>
      <c r="M3489" s="58" t="s">
        <v>23</v>
      </c>
      <c r="N3489" s="7">
        <v>9.5</v>
      </c>
      <c r="O3489" s="7" t="s">
        <v>179</v>
      </c>
      <c r="P3489" s="7" t="s">
        <v>179</v>
      </c>
    </row>
    <row r="3490" spans="1:16" x14ac:dyDescent="0.25">
      <c r="A3490" s="2" t="s">
        <v>181</v>
      </c>
      <c r="B3490" s="2" t="s">
        <v>209</v>
      </c>
      <c r="C3490" s="6" t="s">
        <v>100</v>
      </c>
      <c r="D3490" s="2" t="s">
        <v>115</v>
      </c>
      <c r="E3490" s="2"/>
      <c r="F3490" s="35">
        <v>0</v>
      </c>
      <c r="G3490" s="35">
        <v>-10.832517045168496</v>
      </c>
      <c r="H3490" s="35">
        <v>12.176418286839855</v>
      </c>
      <c r="I3490" s="35">
        <v>4.6375846325700881E-2</v>
      </c>
      <c r="J3490" s="35">
        <v>5.052912383580882E-4</v>
      </c>
      <c r="K3490" s="35">
        <v>0.44037454552561339</v>
      </c>
      <c r="L3490" s="35">
        <v>26.697236714684653</v>
      </c>
      <c r="M3490" s="58" t="s">
        <v>22</v>
      </c>
      <c r="N3490" s="7">
        <v>9.5</v>
      </c>
      <c r="O3490" s="7" t="s">
        <v>179</v>
      </c>
      <c r="P3490" s="7" t="s">
        <v>179</v>
      </c>
    </row>
    <row r="3491" spans="1:16" x14ac:dyDescent="0.25">
      <c r="A3491" s="2" t="s">
        <v>181</v>
      </c>
      <c r="B3491" s="2" t="s">
        <v>209</v>
      </c>
      <c r="C3491" s="6" t="s">
        <v>100</v>
      </c>
      <c r="D3491" s="2" t="s">
        <v>115</v>
      </c>
      <c r="E3491" s="2"/>
      <c r="F3491" s="35">
        <v>4.4982502942822453</v>
      </c>
      <c r="G3491" s="35">
        <v>-9.0021843983253991</v>
      </c>
      <c r="H3491" s="35">
        <v>4.6949283973896225</v>
      </c>
      <c r="I3491" s="35">
        <v>4.637584632570043E-2</v>
      </c>
      <c r="J3491" s="35">
        <v>5.052912383580882E-4</v>
      </c>
      <c r="K3491" s="35">
        <v>0.23176438114344228</v>
      </c>
      <c r="L3491" s="35">
        <v>-11.248533378951857</v>
      </c>
      <c r="M3491" s="58" t="s">
        <v>24</v>
      </c>
      <c r="N3491" s="7">
        <v>9.5</v>
      </c>
      <c r="O3491" s="7" t="s">
        <v>179</v>
      </c>
      <c r="P3491" s="7" t="s">
        <v>179</v>
      </c>
    </row>
    <row r="3492" spans="1:16" x14ac:dyDescent="0.25">
      <c r="A3492" s="2" t="s">
        <v>181</v>
      </c>
      <c r="B3492" s="2" t="s">
        <v>209</v>
      </c>
      <c r="C3492" s="6" t="s">
        <v>100</v>
      </c>
      <c r="D3492" s="2" t="s">
        <v>115</v>
      </c>
      <c r="E3492" s="2"/>
      <c r="F3492" s="35">
        <v>8.9965005885644906</v>
      </c>
      <c r="G3492" s="35">
        <v>-7.1718517514823095</v>
      </c>
      <c r="H3492" s="35">
        <v>-2.786561492060609</v>
      </c>
      <c r="I3492" s="35">
        <v>4.6375846325699972E-2</v>
      </c>
      <c r="J3492" s="35">
        <v>5.052912383580882E-4</v>
      </c>
      <c r="K3492" s="35">
        <v>2.315421676127322E-2</v>
      </c>
      <c r="L3492" s="35">
        <v>-15.540689375699232</v>
      </c>
      <c r="M3492" s="58" t="s">
        <v>23</v>
      </c>
      <c r="N3492" s="7">
        <v>9.5</v>
      </c>
      <c r="O3492" s="7" t="s">
        <v>179</v>
      </c>
      <c r="P3492" s="7" t="s">
        <v>179</v>
      </c>
    </row>
    <row r="3493" spans="1:16" x14ac:dyDescent="0.25">
      <c r="A3493" s="2" t="s">
        <v>181</v>
      </c>
      <c r="B3493" s="2" t="s">
        <v>209</v>
      </c>
      <c r="C3493" s="6" t="s">
        <v>100</v>
      </c>
      <c r="D3493" s="2" t="s">
        <v>116</v>
      </c>
      <c r="E3493" s="2"/>
      <c r="F3493" s="35">
        <v>0</v>
      </c>
      <c r="G3493" s="35">
        <v>22.549790435890007</v>
      </c>
      <c r="H3493" s="35">
        <v>9.2679831282722684</v>
      </c>
      <c r="I3493" s="35">
        <v>1.5576948376476393E-3</v>
      </c>
      <c r="J3493" s="35">
        <v>1.1971845801510235E-5</v>
      </c>
      <c r="K3493" s="35">
        <v>1.4789260253595249E-2</v>
      </c>
      <c r="L3493" s="35">
        <v>23.779627985077425</v>
      </c>
      <c r="M3493" s="58" t="s">
        <v>22</v>
      </c>
      <c r="N3493" s="7">
        <v>9.5</v>
      </c>
      <c r="O3493" s="7" t="s">
        <v>179</v>
      </c>
      <c r="P3493" s="7" t="s">
        <v>179</v>
      </c>
    </row>
    <row r="3494" spans="1:16" x14ac:dyDescent="0.25">
      <c r="A3494" s="2" t="s">
        <v>181</v>
      </c>
      <c r="B3494" s="2" t="s">
        <v>209</v>
      </c>
      <c r="C3494" s="6" t="s">
        <v>100</v>
      </c>
      <c r="D3494" s="2" t="s">
        <v>116</v>
      </c>
      <c r="E3494" s="2"/>
      <c r="F3494" s="35">
        <v>4.4982502942822453</v>
      </c>
      <c r="G3494" s="35">
        <v>24.380123082733103</v>
      </c>
      <c r="H3494" s="35">
        <v>-3.6545903171417695</v>
      </c>
      <c r="I3494" s="35">
        <v>1.5576948376468482E-3</v>
      </c>
      <c r="J3494" s="35">
        <v>1.1971845801510235E-5</v>
      </c>
      <c r="K3494" s="35">
        <v>7.7823589917466037E-3</v>
      </c>
      <c r="L3494" s="35">
        <v>11.154405052782611</v>
      </c>
      <c r="M3494" s="58" t="s">
        <v>24</v>
      </c>
      <c r="N3494" s="7">
        <v>9.5</v>
      </c>
      <c r="O3494" s="7" t="s">
        <v>179</v>
      </c>
      <c r="P3494" s="7" t="s">
        <v>179</v>
      </c>
    </row>
    <row r="3495" spans="1:16" x14ac:dyDescent="0.25">
      <c r="A3495" s="2" t="s">
        <v>181</v>
      </c>
      <c r="B3495" s="2" t="s">
        <v>209</v>
      </c>
      <c r="C3495" s="6" t="s">
        <v>100</v>
      </c>
      <c r="D3495" s="2" t="s">
        <v>116</v>
      </c>
      <c r="E3495" s="2"/>
      <c r="F3495" s="35">
        <v>8.9965005885644906</v>
      </c>
      <c r="G3495" s="35">
        <v>26.210455729576193</v>
      </c>
      <c r="H3495" s="35">
        <v>-16.577163762555802</v>
      </c>
      <c r="I3495" s="35">
        <v>1.5576948376460568E-3</v>
      </c>
      <c r="J3495" s="35">
        <v>1.1971845801510235E-5</v>
      </c>
      <c r="K3495" s="35">
        <v>7.7545772990151543E-4</v>
      </c>
      <c r="L3495" s="35">
        <v>56.658151924205406</v>
      </c>
      <c r="M3495" s="58" t="s">
        <v>23</v>
      </c>
      <c r="N3495" s="7">
        <v>9.5</v>
      </c>
      <c r="O3495" s="7" t="s">
        <v>179</v>
      </c>
      <c r="P3495" s="7" t="s">
        <v>179</v>
      </c>
    </row>
    <row r="3496" spans="1:16" x14ac:dyDescent="0.25">
      <c r="A3496" s="2" t="s">
        <v>181</v>
      </c>
      <c r="B3496" s="2" t="s">
        <v>209</v>
      </c>
      <c r="C3496" s="6" t="s">
        <v>100</v>
      </c>
      <c r="D3496" s="2" t="s">
        <v>117</v>
      </c>
      <c r="E3496" s="2"/>
      <c r="F3496" s="35">
        <v>0</v>
      </c>
      <c r="G3496" s="35">
        <v>-25.595456532195794</v>
      </c>
      <c r="H3496" s="35">
        <v>23.898112879232883</v>
      </c>
      <c r="I3496" s="35">
        <v>1.4887675780256402E-3</v>
      </c>
      <c r="J3496" s="35">
        <v>1.015479341806373E-5</v>
      </c>
      <c r="K3496" s="35">
        <v>1.413307533244125E-2</v>
      </c>
      <c r="L3496" s="35">
        <v>110.90880276138925</v>
      </c>
      <c r="M3496" s="58" t="s">
        <v>22</v>
      </c>
      <c r="N3496" s="7">
        <v>9.5</v>
      </c>
      <c r="O3496" s="7" t="s">
        <v>179</v>
      </c>
      <c r="P3496" s="7" t="s">
        <v>179</v>
      </c>
    </row>
    <row r="3497" spans="1:16" x14ac:dyDescent="0.25">
      <c r="A3497" s="2" t="s">
        <v>181</v>
      </c>
      <c r="B3497" s="2" t="s">
        <v>209</v>
      </c>
      <c r="C3497" s="6" t="s">
        <v>100</v>
      </c>
      <c r="D3497" s="2" t="s">
        <v>117</v>
      </c>
      <c r="E3497" s="2"/>
      <c r="F3497" s="35">
        <v>4.4982502942822453</v>
      </c>
      <c r="G3497" s="35">
        <v>-23.765123885352697</v>
      </c>
      <c r="H3497" s="35">
        <v>20.497435656755506</v>
      </c>
      <c r="I3497" s="35">
        <v>1.4887675780254318E-3</v>
      </c>
      <c r="J3497" s="35">
        <v>1.015479341806373E-5</v>
      </c>
      <c r="K3497" s="35">
        <v>7.4362261364700191E-3</v>
      </c>
      <c r="L3497" s="35">
        <v>11.05765812797352</v>
      </c>
      <c r="M3497" s="58" t="s">
        <v>24</v>
      </c>
      <c r="N3497" s="7">
        <v>9.5</v>
      </c>
      <c r="O3497" s="7" t="s">
        <v>179</v>
      </c>
      <c r="P3497" s="7" t="s">
        <v>179</v>
      </c>
    </row>
    <row r="3498" spans="1:16" x14ac:dyDescent="0.25">
      <c r="A3498" s="2" t="s">
        <v>181</v>
      </c>
      <c r="B3498" s="2" t="s">
        <v>209</v>
      </c>
      <c r="C3498" s="6" t="s">
        <v>100</v>
      </c>
      <c r="D3498" s="2" t="s">
        <v>117</v>
      </c>
      <c r="E3498" s="2"/>
      <c r="F3498" s="35">
        <v>8.9965005885644906</v>
      </c>
      <c r="G3498" s="35">
        <v>-21.934791238509607</v>
      </c>
      <c r="H3498" s="35">
        <v>17.096758434278129</v>
      </c>
      <c r="I3498" s="35">
        <v>1.4887675780252238E-3</v>
      </c>
      <c r="J3498" s="35">
        <v>1.015479341806373E-5</v>
      </c>
      <c r="K3498" s="35">
        <v>7.3937694049972338E-4</v>
      </c>
      <c r="L3498" s="35">
        <v>-73.496389188674428</v>
      </c>
      <c r="M3498" s="58" t="s">
        <v>23</v>
      </c>
      <c r="N3498" s="7">
        <v>9.5</v>
      </c>
      <c r="O3498" s="7" t="s">
        <v>179</v>
      </c>
      <c r="P3498" s="7" t="s">
        <v>179</v>
      </c>
    </row>
    <row r="3499" spans="1:16" x14ac:dyDescent="0.25">
      <c r="A3499" s="2" t="s">
        <v>181</v>
      </c>
      <c r="B3499" s="2" t="s">
        <v>209</v>
      </c>
      <c r="C3499" s="6" t="s">
        <v>100</v>
      </c>
      <c r="D3499" s="2" t="s">
        <v>118</v>
      </c>
      <c r="E3499" s="2"/>
      <c r="F3499" s="35">
        <v>0</v>
      </c>
      <c r="G3499" s="35">
        <v>37.860777860669209</v>
      </c>
      <c r="H3499" s="35">
        <v>-34.070460335332868</v>
      </c>
      <c r="I3499" s="35">
        <v>1.8272953861567405E-3</v>
      </c>
      <c r="J3499" s="35">
        <v>1.4694629227942876E-5</v>
      </c>
      <c r="K3499" s="35">
        <v>1.7348758099815949E-2</v>
      </c>
      <c r="L3499" s="35">
        <v>-101.81663888331393</v>
      </c>
      <c r="M3499" s="58" t="s">
        <v>22</v>
      </c>
      <c r="N3499" s="7">
        <v>9.5</v>
      </c>
      <c r="O3499" s="7" t="s">
        <v>179</v>
      </c>
      <c r="P3499" s="7" t="s">
        <v>179</v>
      </c>
    </row>
    <row r="3500" spans="1:16" x14ac:dyDescent="0.25">
      <c r="A3500" s="2" t="s">
        <v>181</v>
      </c>
      <c r="B3500" s="2" t="s">
        <v>209</v>
      </c>
      <c r="C3500" s="6" t="s">
        <v>100</v>
      </c>
      <c r="D3500" s="2" t="s">
        <v>118</v>
      </c>
      <c r="E3500" s="2"/>
      <c r="F3500" s="35">
        <v>4.4982502942822453</v>
      </c>
      <c r="G3500" s="35">
        <v>39.691110507512306</v>
      </c>
      <c r="H3500" s="35">
        <v>-21.82802233441431</v>
      </c>
      <c r="I3500" s="35">
        <v>1.8272953861574904E-3</v>
      </c>
      <c r="J3500" s="35">
        <v>1.4694629227942876E-5</v>
      </c>
      <c r="K3500" s="35">
        <v>9.1291260912941159E-3</v>
      </c>
      <c r="L3500" s="35">
        <v>23.906044176246649</v>
      </c>
      <c r="M3500" s="58" t="s">
        <v>24</v>
      </c>
      <c r="N3500" s="7">
        <v>9.5</v>
      </c>
      <c r="O3500" s="7" t="s">
        <v>179</v>
      </c>
      <c r="P3500" s="7" t="s">
        <v>179</v>
      </c>
    </row>
    <row r="3501" spans="1:16" x14ac:dyDescent="0.25">
      <c r="A3501" s="2" t="s">
        <v>181</v>
      </c>
      <c r="B3501" s="2" t="s">
        <v>209</v>
      </c>
      <c r="C3501" s="6" t="s">
        <v>100</v>
      </c>
      <c r="D3501" s="2" t="s">
        <v>118</v>
      </c>
      <c r="E3501" s="2"/>
      <c r="F3501" s="35">
        <v>8.9965005885644906</v>
      </c>
      <c r="G3501" s="35">
        <v>41.521443154355396</v>
      </c>
      <c r="H3501" s="35">
        <v>-9.5855843334957473</v>
      </c>
      <c r="I3501" s="35">
        <v>1.82729538615824E-3</v>
      </c>
      <c r="J3501" s="35">
        <v>1.4694629227942876E-5</v>
      </c>
      <c r="K3501" s="35">
        <v>9.0949408276891103E-4</v>
      </c>
      <c r="L3501" s="35">
        <v>94.559176895443201</v>
      </c>
      <c r="M3501" s="58" t="s">
        <v>23</v>
      </c>
      <c r="N3501" s="7">
        <v>9.5</v>
      </c>
      <c r="O3501" s="7" t="s">
        <v>179</v>
      </c>
      <c r="P3501" s="7" t="s">
        <v>179</v>
      </c>
    </row>
    <row r="3502" spans="1:16" x14ac:dyDescent="0.25">
      <c r="A3502" s="2" t="s">
        <v>181</v>
      </c>
      <c r="B3502" s="2" t="s">
        <v>209</v>
      </c>
      <c r="C3502" s="6" t="s">
        <v>100</v>
      </c>
      <c r="D3502" s="2" t="s">
        <v>119</v>
      </c>
      <c r="E3502" s="2"/>
      <c r="F3502" s="35">
        <v>0</v>
      </c>
      <c r="G3502" s="35">
        <v>-68.625986541416722</v>
      </c>
      <c r="H3502" s="35">
        <v>-10.983940664436576</v>
      </c>
      <c r="I3502" s="35">
        <v>1.6762300562027624E-3</v>
      </c>
      <c r="J3502" s="35">
        <v>1.2511325303751139E-5</v>
      </c>
      <c r="K3502" s="35">
        <v>1.5912948789748523E-2</v>
      </c>
      <c r="L3502" s="35">
        <v>-33.395269282440132</v>
      </c>
      <c r="M3502" s="58" t="s">
        <v>22</v>
      </c>
      <c r="N3502" s="7">
        <v>9.5</v>
      </c>
      <c r="O3502" s="7" t="s">
        <v>179</v>
      </c>
      <c r="P3502" s="7" t="s">
        <v>179</v>
      </c>
    </row>
    <row r="3503" spans="1:16" x14ac:dyDescent="0.25">
      <c r="A3503" s="2" t="s">
        <v>181</v>
      </c>
      <c r="B3503" s="2" t="s">
        <v>209</v>
      </c>
      <c r="C3503" s="6" t="s">
        <v>100</v>
      </c>
      <c r="D3503" s="2" t="s">
        <v>119</v>
      </c>
      <c r="E3503" s="2"/>
      <c r="F3503" s="35">
        <v>4.4982502942822453</v>
      </c>
      <c r="G3503" s="35">
        <v>-66.795653894573633</v>
      </c>
      <c r="H3503" s="35">
        <v>10.780393559418638</v>
      </c>
      <c r="I3503" s="35">
        <v>1.6762300562040951E-3</v>
      </c>
      <c r="J3503" s="35">
        <v>1.2511325303751139E-5</v>
      </c>
      <c r="K3503" s="35">
        <v>8.3728464461467061E-3</v>
      </c>
      <c r="L3503" s="35">
        <v>-32.937466369916528</v>
      </c>
      <c r="M3503" s="58" t="s">
        <v>24</v>
      </c>
      <c r="N3503" s="7">
        <v>9.5</v>
      </c>
      <c r="O3503" s="7" t="s">
        <v>179</v>
      </c>
      <c r="P3503" s="7" t="s">
        <v>179</v>
      </c>
    </row>
    <row r="3504" spans="1:16" x14ac:dyDescent="0.25">
      <c r="A3504" s="2" t="s">
        <v>181</v>
      </c>
      <c r="B3504" s="2" t="s">
        <v>209</v>
      </c>
      <c r="C3504" s="6" t="s">
        <v>100</v>
      </c>
      <c r="D3504" s="2" t="s">
        <v>119</v>
      </c>
      <c r="E3504" s="2"/>
      <c r="F3504" s="35">
        <v>8.9965005885644906</v>
      </c>
      <c r="G3504" s="35">
        <v>-64.965321247730543</v>
      </c>
      <c r="H3504" s="35">
        <v>32.544727783273856</v>
      </c>
      <c r="I3504" s="35">
        <v>1.6762300562054276E-3</v>
      </c>
      <c r="J3504" s="35">
        <v>1.2511325303751139E-5</v>
      </c>
      <c r="K3504" s="35">
        <v>8.3274410253889551E-4</v>
      </c>
      <c r="L3504" s="35">
        <v>-130.38108628470675</v>
      </c>
      <c r="M3504" s="58" t="s">
        <v>23</v>
      </c>
      <c r="N3504" s="7">
        <v>9.5</v>
      </c>
      <c r="O3504" s="7" t="s">
        <v>179</v>
      </c>
      <c r="P3504" s="7" t="s">
        <v>179</v>
      </c>
    </row>
    <row r="3505" spans="1:16" x14ac:dyDescent="0.25">
      <c r="A3505" s="2" t="s">
        <v>181</v>
      </c>
      <c r="B3505" s="2" t="s">
        <v>209</v>
      </c>
      <c r="C3505" s="6" t="s">
        <v>100</v>
      </c>
      <c r="D3505" s="2" t="s">
        <v>120</v>
      </c>
      <c r="E3505" s="2"/>
      <c r="F3505" s="35">
        <v>0</v>
      </c>
      <c r="G3505" s="35">
        <v>38.231100781594151</v>
      </c>
      <c r="H3505" s="35">
        <v>5.7401422831846167</v>
      </c>
      <c r="I3505" s="35">
        <v>-5.2268551540843429E-2</v>
      </c>
      <c r="J3505" s="35">
        <v>-5.6630266451408577E-4</v>
      </c>
      <c r="K3505" s="35">
        <v>-0.49632856588588364</v>
      </c>
      <c r="L3505" s="35">
        <v>-12.876806259207186</v>
      </c>
      <c r="M3505" s="58" t="s">
        <v>22</v>
      </c>
      <c r="N3505" s="7">
        <v>9.5</v>
      </c>
      <c r="O3505" s="7" t="s">
        <v>179</v>
      </c>
      <c r="P3505" s="7" t="s">
        <v>179</v>
      </c>
    </row>
    <row r="3506" spans="1:16" x14ac:dyDescent="0.25">
      <c r="A3506" s="2" t="s">
        <v>181</v>
      </c>
      <c r="B3506" s="2" t="s">
        <v>209</v>
      </c>
      <c r="C3506" s="6" t="s">
        <v>100</v>
      </c>
      <c r="D3506" s="2" t="s">
        <v>120</v>
      </c>
      <c r="E3506" s="2"/>
      <c r="F3506" s="35">
        <v>4.4982502942822453</v>
      </c>
      <c r="G3506" s="35">
        <v>40.061433428437248</v>
      </c>
      <c r="H3506" s="35">
        <v>-13.152508952800815</v>
      </c>
      <c r="I3506" s="35">
        <v>-5.2268551540844581E-2</v>
      </c>
      <c r="J3506" s="35">
        <v>-5.6630266451408577E-4</v>
      </c>
      <c r="K3506" s="35">
        <v>-0.26121153853557538</v>
      </c>
      <c r="L3506" s="35">
        <v>3.7945340172572797</v>
      </c>
      <c r="M3506" s="58" t="s">
        <v>24</v>
      </c>
      <c r="N3506" s="7">
        <v>9.5</v>
      </c>
      <c r="O3506" s="7" t="s">
        <v>179</v>
      </c>
      <c r="P3506" s="7" t="s">
        <v>179</v>
      </c>
    </row>
    <row r="3507" spans="1:16" x14ac:dyDescent="0.25">
      <c r="A3507" s="2" t="s">
        <v>181</v>
      </c>
      <c r="B3507" s="2" t="s">
        <v>209</v>
      </c>
      <c r="C3507" s="6" t="s">
        <v>100</v>
      </c>
      <c r="D3507" s="2" t="s">
        <v>120</v>
      </c>
      <c r="E3507" s="2"/>
      <c r="F3507" s="35">
        <v>8.9965005885644906</v>
      </c>
      <c r="G3507" s="35">
        <v>41.891766075280337</v>
      </c>
      <c r="H3507" s="35">
        <v>-32.045160188786241</v>
      </c>
      <c r="I3507" s="35">
        <v>-5.226855154084574E-2</v>
      </c>
      <c r="J3507" s="35">
        <v>-5.6630266451408577E-4</v>
      </c>
      <c r="K3507" s="35">
        <v>-2.6094511185262011E-2</v>
      </c>
      <c r="L3507" s="35">
        <v>105.449748275765</v>
      </c>
      <c r="M3507" s="58" t="s">
        <v>23</v>
      </c>
      <c r="N3507" s="7">
        <v>9.5</v>
      </c>
      <c r="O3507" s="7" t="s">
        <v>179</v>
      </c>
      <c r="P3507" s="7" t="s">
        <v>179</v>
      </c>
    </row>
    <row r="3508" spans="1:16" x14ac:dyDescent="0.25">
      <c r="A3508" s="2" t="s">
        <v>181</v>
      </c>
      <c r="B3508" s="2" t="s">
        <v>209</v>
      </c>
      <c r="C3508" s="6" t="s">
        <v>100</v>
      </c>
      <c r="D3508" s="2" t="s">
        <v>121</v>
      </c>
      <c r="E3508" s="2"/>
      <c r="F3508" s="35">
        <v>0</v>
      </c>
      <c r="G3508" s="35">
        <v>-3.8766834270373796</v>
      </c>
      <c r="H3508" s="35">
        <v>10.24528488340998</v>
      </c>
      <c r="I3508" s="35">
        <v>-5.2852799177093367E-2</v>
      </c>
      <c r="J3508" s="35">
        <v>-5.7113674382424458E-4</v>
      </c>
      <c r="K3508" s="35">
        <v>-0.50187606395907114</v>
      </c>
      <c r="L3508" s="35">
        <v>19.170333571320469</v>
      </c>
      <c r="M3508" s="58" t="s">
        <v>22</v>
      </c>
      <c r="N3508" s="7">
        <v>9.5</v>
      </c>
      <c r="O3508" s="7" t="s">
        <v>179</v>
      </c>
      <c r="P3508" s="7" t="s">
        <v>179</v>
      </c>
    </row>
    <row r="3509" spans="1:16" x14ac:dyDescent="0.25">
      <c r="A3509" s="2" t="s">
        <v>181</v>
      </c>
      <c r="B3509" s="2" t="s">
        <v>209</v>
      </c>
      <c r="C3509" s="6" t="s">
        <v>100</v>
      </c>
      <c r="D3509" s="2" t="s">
        <v>121</v>
      </c>
      <c r="E3509" s="2"/>
      <c r="F3509" s="35">
        <v>4.4982502942822453</v>
      </c>
      <c r="G3509" s="35">
        <v>-2.0463507801942828</v>
      </c>
      <c r="H3509" s="35">
        <v>1.9325183395763921</v>
      </c>
      <c r="I3509" s="35">
        <v>-5.2852799177093866E-2</v>
      </c>
      <c r="J3509" s="35">
        <v>-5.7113674382424458E-4</v>
      </c>
      <c r="K3509" s="35">
        <v>-0.26413094450706942</v>
      </c>
      <c r="L3509" s="35">
        <v>-8.2190698944344067</v>
      </c>
      <c r="M3509" s="58" t="s">
        <v>24</v>
      </c>
      <c r="N3509" s="7">
        <v>9.5</v>
      </c>
      <c r="O3509" s="7" t="s">
        <v>179</v>
      </c>
      <c r="P3509" s="7" t="s">
        <v>179</v>
      </c>
    </row>
    <row r="3510" spans="1:16" x14ac:dyDescent="0.25">
      <c r="A3510" s="2" t="s">
        <v>181</v>
      </c>
      <c r="B3510" s="2" t="s">
        <v>209</v>
      </c>
      <c r="C3510" s="6" t="s">
        <v>100</v>
      </c>
      <c r="D3510" s="2" t="s">
        <v>121</v>
      </c>
      <c r="E3510" s="2"/>
      <c r="F3510" s="35">
        <v>8.9965005885644906</v>
      </c>
      <c r="G3510" s="35">
        <v>-0.21601813335119363</v>
      </c>
      <c r="H3510" s="35">
        <v>-6.380248204257196</v>
      </c>
      <c r="I3510" s="35">
        <v>-5.2852799177094373E-2</v>
      </c>
      <c r="J3510" s="35">
        <v>-5.7113674382424458E-4</v>
      </c>
      <c r="K3510" s="35">
        <v>-2.6385825055065371E-2</v>
      </c>
      <c r="L3510" s="35">
        <v>1.7844311919097597</v>
      </c>
      <c r="M3510" s="58" t="s">
        <v>23</v>
      </c>
      <c r="N3510" s="7">
        <v>9.5</v>
      </c>
      <c r="O3510" s="7" t="s">
        <v>179</v>
      </c>
      <c r="P3510" s="7" t="s">
        <v>179</v>
      </c>
    </row>
    <row r="3511" spans="1:16" x14ac:dyDescent="0.25">
      <c r="A3511" s="2" t="s">
        <v>181</v>
      </c>
      <c r="B3511" s="2" t="s">
        <v>209</v>
      </c>
      <c r="C3511" s="6" t="s">
        <v>100</v>
      </c>
      <c r="D3511" s="2" t="s">
        <v>122</v>
      </c>
      <c r="E3511" s="2"/>
      <c r="F3511" s="35">
        <v>0</v>
      </c>
      <c r="G3511" s="35">
        <v>38.231330779533387</v>
      </c>
      <c r="H3511" s="35">
        <v>5.7420113555638226</v>
      </c>
      <c r="I3511" s="35">
        <v>5.2024978885216636E-2</v>
      </c>
      <c r="J3511" s="35">
        <v>5.6578635179624858E-4</v>
      </c>
      <c r="K3511" s="35">
        <v>0.49401744601633846</v>
      </c>
      <c r="L3511" s="35">
        <v>-12.871111496631157</v>
      </c>
      <c r="M3511" s="58" t="s">
        <v>22</v>
      </c>
      <c r="N3511" s="7">
        <v>9.5</v>
      </c>
      <c r="O3511" s="7" t="s">
        <v>179</v>
      </c>
      <c r="P3511" s="7" t="s">
        <v>179</v>
      </c>
    </row>
    <row r="3512" spans="1:16" x14ac:dyDescent="0.25">
      <c r="A3512" s="2" t="s">
        <v>181</v>
      </c>
      <c r="B3512" s="2" t="s">
        <v>209</v>
      </c>
      <c r="C3512" s="6" t="s">
        <v>100</v>
      </c>
      <c r="D3512" s="2" t="s">
        <v>122</v>
      </c>
      <c r="E3512" s="2"/>
      <c r="F3512" s="35">
        <v>4.4982502942822453</v>
      </c>
      <c r="G3512" s="35">
        <v>40.061663426376484</v>
      </c>
      <c r="H3512" s="35">
        <v>-13.150639880421606</v>
      </c>
      <c r="I3512" s="35">
        <v>5.2024978885215477E-2</v>
      </c>
      <c r="J3512" s="35">
        <v>5.6578635179624858E-4</v>
      </c>
      <c r="K3512" s="35">
        <v>0.25999606943588777</v>
      </c>
      <c r="L3512" s="35">
        <v>3.7918212244535079</v>
      </c>
      <c r="M3512" s="58" t="s">
        <v>24</v>
      </c>
      <c r="N3512" s="7">
        <v>9.5</v>
      </c>
      <c r="O3512" s="7" t="s">
        <v>179</v>
      </c>
      <c r="P3512" s="7" t="s">
        <v>179</v>
      </c>
    </row>
    <row r="3513" spans="1:16" x14ac:dyDescent="0.25">
      <c r="A3513" s="2" t="s">
        <v>181</v>
      </c>
      <c r="B3513" s="2" t="s">
        <v>209</v>
      </c>
      <c r="C3513" s="6" t="s">
        <v>100</v>
      </c>
      <c r="D3513" s="2" t="s">
        <v>122</v>
      </c>
      <c r="E3513" s="2"/>
      <c r="F3513" s="35">
        <v>8.9965005885644906</v>
      </c>
      <c r="G3513" s="35">
        <v>41.891996073219573</v>
      </c>
      <c r="H3513" s="35">
        <v>-32.04329111640704</v>
      </c>
      <c r="I3513" s="35">
        <v>5.2024978885214325E-2</v>
      </c>
      <c r="J3513" s="35">
        <v>5.6578635179624858E-4</v>
      </c>
      <c r="K3513" s="35">
        <v>2.5974692855442287E-2</v>
      </c>
      <c r="L3513" s="35">
        <v>105.43862792758146</v>
      </c>
      <c r="M3513" s="58" t="s">
        <v>23</v>
      </c>
      <c r="N3513" s="7">
        <v>9.5</v>
      </c>
      <c r="O3513" s="7" t="s">
        <v>179</v>
      </c>
      <c r="P3513" s="7" t="s">
        <v>179</v>
      </c>
    </row>
    <row r="3514" spans="1:16" x14ac:dyDescent="0.25">
      <c r="A3514" s="2" t="s">
        <v>181</v>
      </c>
      <c r="B3514" s="2" t="s">
        <v>209</v>
      </c>
      <c r="C3514" s="6" t="s">
        <v>100</v>
      </c>
      <c r="D3514" s="2" t="s">
        <v>123</v>
      </c>
      <c r="E3514" s="2"/>
      <c r="F3514" s="35">
        <v>0</v>
      </c>
      <c r="G3514" s="35">
        <v>-3.8764538188818181</v>
      </c>
      <c r="H3514" s="35">
        <v>10.247150970717918</v>
      </c>
      <c r="I3514" s="35">
        <v>5.1480890847091135E-2</v>
      </c>
      <c r="J3514" s="35">
        <v>5.6118020944502978E-4</v>
      </c>
      <c r="K3514" s="35">
        <v>0.48885112550909898</v>
      </c>
      <c r="L3514" s="35">
        <v>19.176019300320128</v>
      </c>
      <c r="M3514" s="58" t="s">
        <v>22</v>
      </c>
      <c r="N3514" s="7">
        <v>9.5</v>
      </c>
      <c r="O3514" s="7" t="s">
        <v>179</v>
      </c>
      <c r="P3514" s="7" t="s">
        <v>179</v>
      </c>
    </row>
    <row r="3515" spans="1:16" x14ac:dyDescent="0.25">
      <c r="A3515" s="2" t="s">
        <v>181</v>
      </c>
      <c r="B3515" s="2" t="s">
        <v>209</v>
      </c>
      <c r="C3515" s="6" t="s">
        <v>100</v>
      </c>
      <c r="D3515" s="2" t="s">
        <v>123</v>
      </c>
      <c r="E3515" s="2"/>
      <c r="F3515" s="35">
        <v>4.4982502942822453</v>
      </c>
      <c r="G3515" s="35">
        <v>-2.0461211720387213</v>
      </c>
      <c r="H3515" s="35">
        <v>1.9343844268843291</v>
      </c>
      <c r="I3515" s="35">
        <v>5.1480890847090628E-2</v>
      </c>
      <c r="J3515" s="35">
        <v>5.6118020944502978E-4</v>
      </c>
      <c r="K3515" s="35">
        <v>0.25727719310626029</v>
      </c>
      <c r="L3515" s="35">
        <v>-8.2217782932168255</v>
      </c>
      <c r="M3515" s="58" t="s">
        <v>24</v>
      </c>
      <c r="N3515" s="7">
        <v>9.5</v>
      </c>
      <c r="O3515" s="7" t="s">
        <v>179</v>
      </c>
      <c r="P3515" s="7" t="s">
        <v>179</v>
      </c>
    </row>
    <row r="3516" spans="1:16" x14ac:dyDescent="0.25">
      <c r="A3516" s="2" t="s">
        <v>181</v>
      </c>
      <c r="B3516" s="2" t="s">
        <v>209</v>
      </c>
      <c r="C3516" s="6" t="s">
        <v>100</v>
      </c>
      <c r="D3516" s="2" t="s">
        <v>123</v>
      </c>
      <c r="E3516" s="2"/>
      <c r="F3516" s="35">
        <v>8.9965005885644906</v>
      </c>
      <c r="G3516" s="35">
        <v>-0.21578852519563221</v>
      </c>
      <c r="H3516" s="35">
        <v>-6.3783821169492612</v>
      </c>
      <c r="I3516" s="35">
        <v>5.1480890847090122E-2</v>
      </c>
      <c r="J3516" s="35">
        <v>5.6118020944502978E-4</v>
      </c>
      <c r="K3516" s="35">
        <v>2.5703260703423915E-2</v>
      </c>
      <c r="L3516" s="35">
        <v>1.7733286653452511</v>
      </c>
      <c r="M3516" s="58" t="s">
        <v>23</v>
      </c>
      <c r="N3516" s="7">
        <v>9.5</v>
      </c>
      <c r="O3516" s="7" t="s">
        <v>179</v>
      </c>
      <c r="P3516" s="7" t="s">
        <v>179</v>
      </c>
    </row>
    <row r="3517" spans="1:16" x14ac:dyDescent="0.25">
      <c r="A3517" s="2" t="s">
        <v>181</v>
      </c>
      <c r="B3517" s="2" t="s">
        <v>209</v>
      </c>
      <c r="C3517" s="6" t="s">
        <v>100</v>
      </c>
      <c r="D3517" s="2" t="s">
        <v>124</v>
      </c>
      <c r="E3517" s="2"/>
      <c r="F3517" s="35">
        <v>0</v>
      </c>
      <c r="G3517" s="35">
        <v>33.214998937849849</v>
      </c>
      <c r="H3517" s="35">
        <v>7.0155563500872669</v>
      </c>
      <c r="I3517" s="35">
        <v>1.6829447492541995E-3</v>
      </c>
      <c r="J3517" s="35">
        <v>1.3047551048832015E-5</v>
      </c>
      <c r="K3517" s="35">
        <v>1.5978586317967707E-2</v>
      </c>
      <c r="L3517" s="35">
        <v>15.934231822978761</v>
      </c>
      <c r="M3517" s="58" t="s">
        <v>22</v>
      </c>
      <c r="N3517" s="7">
        <v>9.5</v>
      </c>
      <c r="O3517" s="7" t="s">
        <v>179</v>
      </c>
      <c r="P3517" s="7" t="s">
        <v>179</v>
      </c>
    </row>
    <row r="3518" spans="1:16" x14ac:dyDescent="0.25">
      <c r="A3518" s="2" t="s">
        <v>181</v>
      </c>
      <c r="B3518" s="2" t="s">
        <v>209</v>
      </c>
      <c r="C3518" s="6" t="s">
        <v>100</v>
      </c>
      <c r="D3518" s="2" t="s">
        <v>124</v>
      </c>
      <c r="E3518" s="2"/>
      <c r="F3518" s="35">
        <v>4.4982502942822453</v>
      </c>
      <c r="G3518" s="35">
        <v>35.045331584692946</v>
      </c>
      <c r="H3518" s="35">
        <v>-7.3428585892616631</v>
      </c>
      <c r="I3518" s="35">
        <v>1.6829447492533202E-3</v>
      </c>
      <c r="J3518" s="35">
        <v>1.3047551048832015E-5</v>
      </c>
      <c r="K3518" s="35">
        <v>8.4082796043762238E-3</v>
      </c>
      <c r="L3518" s="35">
        <v>16.670375519821466</v>
      </c>
      <c r="M3518" s="58" t="s">
        <v>24</v>
      </c>
      <c r="N3518" s="7">
        <v>9.5</v>
      </c>
      <c r="O3518" s="7" t="s">
        <v>179</v>
      </c>
      <c r="P3518" s="7" t="s">
        <v>179</v>
      </c>
    </row>
    <row r="3519" spans="1:16" x14ac:dyDescent="0.25">
      <c r="A3519" s="2" t="s">
        <v>181</v>
      </c>
      <c r="B3519" s="2" t="s">
        <v>209</v>
      </c>
      <c r="C3519" s="6" t="s">
        <v>100</v>
      </c>
      <c r="D3519" s="2" t="s">
        <v>124</v>
      </c>
      <c r="E3519" s="2"/>
      <c r="F3519" s="35">
        <v>8.9965005885644906</v>
      </c>
      <c r="G3519" s="35">
        <v>36.875664231536035</v>
      </c>
      <c r="H3519" s="35">
        <v>-21.701273528610592</v>
      </c>
      <c r="I3519" s="35">
        <v>1.6829447492524411E-3</v>
      </c>
      <c r="J3519" s="35">
        <v>1.3047551048832015E-5</v>
      </c>
      <c r="K3519" s="35">
        <v>8.3797289078869474E-4</v>
      </c>
      <c r="L3519" s="35">
        <v>81.994263443017104</v>
      </c>
      <c r="M3519" s="58" t="s">
        <v>23</v>
      </c>
      <c r="N3519" s="7">
        <v>9.5</v>
      </c>
      <c r="O3519" s="7" t="s">
        <v>179</v>
      </c>
      <c r="P3519" s="7" t="s">
        <v>179</v>
      </c>
    </row>
    <row r="3520" spans="1:16" x14ac:dyDescent="0.25">
      <c r="A3520" s="2" t="s">
        <v>181</v>
      </c>
      <c r="B3520" s="2" t="s">
        <v>209</v>
      </c>
      <c r="C3520" s="6" t="s">
        <v>100</v>
      </c>
      <c r="D3520" s="2" t="s">
        <v>125</v>
      </c>
      <c r="E3520" s="2"/>
      <c r="F3520" s="35">
        <v>0</v>
      </c>
      <c r="G3520" s="35">
        <v>-20.279719915578816</v>
      </c>
      <c r="H3520" s="35">
        <v>23.271256073376843</v>
      </c>
      <c r="I3520" s="35">
        <v>1.6063589052297557E-3</v>
      </c>
      <c r="J3520" s="35">
        <v>1.1028603956113677E-5</v>
      </c>
      <c r="K3520" s="35">
        <v>1.5249491961129926E-2</v>
      </c>
      <c r="L3520" s="35">
        <v>112.74442601888079</v>
      </c>
      <c r="M3520" s="58" t="s">
        <v>22</v>
      </c>
      <c r="N3520" s="7">
        <v>9.5</v>
      </c>
      <c r="O3520" s="7" t="s">
        <v>179</v>
      </c>
      <c r="P3520" s="7" t="s">
        <v>179</v>
      </c>
    </row>
    <row r="3521" spans="1:16" x14ac:dyDescent="0.25">
      <c r="A3521" s="2" t="s">
        <v>181</v>
      </c>
      <c r="B3521" s="2" t="s">
        <v>209</v>
      </c>
      <c r="C3521" s="6" t="s">
        <v>100</v>
      </c>
      <c r="D3521" s="2" t="s">
        <v>125</v>
      </c>
      <c r="E3521" s="2"/>
      <c r="F3521" s="35">
        <v>4.4982502942822453</v>
      </c>
      <c r="G3521" s="35">
        <v>-18.449387268735723</v>
      </c>
      <c r="H3521" s="35">
        <v>19.492725826179758</v>
      </c>
      <c r="I3521" s="35">
        <v>1.6063589052295244E-3</v>
      </c>
      <c r="J3521" s="35">
        <v>1.1028603956113677E-5</v>
      </c>
      <c r="K3521" s="35">
        <v>8.0236875429577949E-3</v>
      </c>
      <c r="L3521" s="35">
        <v>16.562878936700255</v>
      </c>
      <c r="M3521" s="58" t="s">
        <v>24</v>
      </c>
      <c r="N3521" s="7">
        <v>9.5</v>
      </c>
      <c r="O3521" s="7" t="s">
        <v>179</v>
      </c>
      <c r="P3521" s="7" t="s">
        <v>179</v>
      </c>
    </row>
    <row r="3522" spans="1:16" x14ac:dyDescent="0.25">
      <c r="A3522" s="2" t="s">
        <v>181</v>
      </c>
      <c r="B3522" s="2" t="s">
        <v>209</v>
      </c>
      <c r="C3522" s="6" t="s">
        <v>100</v>
      </c>
      <c r="D3522" s="2" t="s">
        <v>125</v>
      </c>
      <c r="E3522" s="2"/>
      <c r="F3522" s="35">
        <v>8.9965005885644906</v>
      </c>
      <c r="G3522" s="35">
        <v>-16.619054621892634</v>
      </c>
      <c r="H3522" s="35">
        <v>15.71419557898267</v>
      </c>
      <c r="I3522" s="35">
        <v>1.6063589052292932E-3</v>
      </c>
      <c r="J3522" s="35">
        <v>1.1028603956113677E-5</v>
      </c>
      <c r="K3522" s="35">
        <v>7.9788312478670331E-4</v>
      </c>
      <c r="L3522" s="35">
        <v>-62.62189334907162</v>
      </c>
      <c r="M3522" s="58" t="s">
        <v>23</v>
      </c>
      <c r="N3522" s="7">
        <v>9.5</v>
      </c>
      <c r="O3522" s="7" t="s">
        <v>179</v>
      </c>
      <c r="P3522" s="7" t="s">
        <v>179</v>
      </c>
    </row>
    <row r="3523" spans="1:16" x14ac:dyDescent="0.25">
      <c r="A3523" s="2" t="s">
        <v>181</v>
      </c>
      <c r="B3523" s="2" t="s">
        <v>209</v>
      </c>
      <c r="C3523" s="6" t="s">
        <v>100</v>
      </c>
      <c r="D3523" s="2" t="s">
        <v>126</v>
      </c>
      <c r="E3523" s="2"/>
      <c r="F3523" s="35">
        <v>0</v>
      </c>
      <c r="G3523" s="35">
        <v>50.227207187604513</v>
      </c>
      <c r="H3523" s="35">
        <v>-41.1382697205851</v>
      </c>
      <c r="I3523" s="35">
        <v>1.9825009142643117E-3</v>
      </c>
      <c r="J3523" s="35">
        <v>1.6072865967090507E-5</v>
      </c>
      <c r="K3523" s="35">
        <v>1.8822472813768483E-2</v>
      </c>
      <c r="L3523" s="35">
        <v>-123.61717580856718</v>
      </c>
      <c r="M3523" s="58" t="s">
        <v>22</v>
      </c>
      <c r="N3523" s="7">
        <v>9.5</v>
      </c>
      <c r="O3523" s="7" t="s">
        <v>179</v>
      </c>
      <c r="P3523" s="7" t="s">
        <v>179</v>
      </c>
    </row>
    <row r="3524" spans="1:16" x14ac:dyDescent="0.25">
      <c r="A3524" s="2" t="s">
        <v>181</v>
      </c>
      <c r="B3524" s="2" t="s">
        <v>209</v>
      </c>
      <c r="C3524" s="6" t="s">
        <v>100</v>
      </c>
      <c r="D3524" s="2" t="s">
        <v>126</v>
      </c>
      <c r="E3524" s="2"/>
      <c r="F3524" s="35">
        <v>4.4982502942822453</v>
      </c>
      <c r="G3524" s="35">
        <v>52.05753983444761</v>
      </c>
      <c r="H3524" s="35">
        <v>-27.535560830675593</v>
      </c>
      <c r="I3524" s="35">
        <v>1.9825009142651448E-3</v>
      </c>
      <c r="J3524" s="35">
        <v>1.6072865967090507E-5</v>
      </c>
      <c r="K3524" s="35">
        <v>9.9046874927623471E-3</v>
      </c>
      <c r="L3524" s="35">
        <v>30.838863434781508</v>
      </c>
      <c r="M3524" s="58" t="s">
        <v>24</v>
      </c>
      <c r="N3524" s="7">
        <v>9.5</v>
      </c>
      <c r="O3524" s="7" t="s">
        <v>179</v>
      </c>
      <c r="P3524" s="7" t="s">
        <v>179</v>
      </c>
    </row>
    <row r="3525" spans="1:16" x14ac:dyDescent="0.25">
      <c r="A3525" s="2" t="s">
        <v>181</v>
      </c>
      <c r="B3525" s="2" t="s">
        <v>209</v>
      </c>
      <c r="C3525" s="6" t="s">
        <v>100</v>
      </c>
      <c r="D3525" s="2" t="s">
        <v>126</v>
      </c>
      <c r="E3525" s="2"/>
      <c r="F3525" s="35">
        <v>8.9965005885644906</v>
      </c>
      <c r="G3525" s="35">
        <v>53.8878724812907</v>
      </c>
      <c r="H3525" s="35">
        <v>-13.932851940766087</v>
      </c>
      <c r="I3525" s="35">
        <v>1.9825009142659779E-3</v>
      </c>
      <c r="J3525" s="35">
        <v>1.6072865967090507E-5</v>
      </c>
      <c r="K3525" s="35">
        <v>9.8690217175246772E-4</v>
      </c>
      <c r="L3525" s="35">
        <v>124.10651341105908</v>
      </c>
      <c r="M3525" s="58" t="s">
        <v>23</v>
      </c>
      <c r="N3525" s="7">
        <v>9.5</v>
      </c>
      <c r="O3525" s="7" t="s">
        <v>179</v>
      </c>
      <c r="P3525" s="7" t="s">
        <v>179</v>
      </c>
    </row>
    <row r="3526" spans="1:16" x14ac:dyDescent="0.25">
      <c r="A3526" s="2" t="s">
        <v>181</v>
      </c>
      <c r="B3526" s="2" t="s">
        <v>209</v>
      </c>
      <c r="C3526" s="6" t="s">
        <v>100</v>
      </c>
      <c r="D3526" s="2" t="s">
        <v>127</v>
      </c>
      <c r="E3526" s="2"/>
      <c r="F3526" s="35">
        <v>0</v>
      </c>
      <c r="G3526" s="35">
        <v>-68.091419925824283</v>
      </c>
      <c r="H3526" s="35">
        <v>-15.486581197367004</v>
      </c>
      <c r="I3526" s="35">
        <v>1.8146505476487806E-3</v>
      </c>
      <c r="J3526" s="35">
        <v>1.3646972717988576E-5</v>
      </c>
      <c r="K3526" s="35">
        <v>1.7227129135915786E-2</v>
      </c>
      <c r="L3526" s="35">
        <v>-47.593431807596296</v>
      </c>
      <c r="M3526" s="58" t="s">
        <v>22</v>
      </c>
      <c r="N3526" s="7">
        <v>9.5</v>
      </c>
      <c r="O3526" s="7" t="s">
        <v>179</v>
      </c>
      <c r="P3526" s="7" t="s">
        <v>179</v>
      </c>
    </row>
    <row r="3527" spans="1:16" x14ac:dyDescent="0.25">
      <c r="A3527" s="2" t="s">
        <v>181</v>
      </c>
      <c r="B3527" s="2" t="s">
        <v>209</v>
      </c>
      <c r="C3527" s="6" t="s">
        <v>100</v>
      </c>
      <c r="D3527" s="2" t="s">
        <v>127</v>
      </c>
      <c r="E3527" s="2"/>
      <c r="F3527" s="35">
        <v>4.4982502942822453</v>
      </c>
      <c r="G3527" s="35">
        <v>-66.261087278981179</v>
      </c>
      <c r="H3527" s="35">
        <v>8.6960123846943453</v>
      </c>
      <c r="I3527" s="35">
        <v>1.8146505476502614E-3</v>
      </c>
      <c r="J3527" s="35">
        <v>1.3646972717988576E-5</v>
      </c>
      <c r="K3527" s="35">
        <v>9.0643767759318941E-3</v>
      </c>
      <c r="L3527" s="35">
        <v>-32.320592727622014</v>
      </c>
      <c r="M3527" s="58" t="s">
        <v>24</v>
      </c>
      <c r="N3527" s="7">
        <v>9.5</v>
      </c>
      <c r="O3527" s="7" t="s">
        <v>179</v>
      </c>
      <c r="P3527" s="7" t="s">
        <v>179</v>
      </c>
    </row>
    <row r="3528" spans="1:16" x14ac:dyDescent="0.25">
      <c r="A3528" s="2" t="s">
        <v>181</v>
      </c>
      <c r="B3528" s="2" t="s">
        <v>209</v>
      </c>
      <c r="C3528" s="6" t="s">
        <v>100</v>
      </c>
      <c r="D3528" s="2" t="s">
        <v>127</v>
      </c>
      <c r="E3528" s="2"/>
      <c r="F3528" s="35">
        <v>8.9965005885644906</v>
      </c>
      <c r="G3528" s="35">
        <v>-64.430754632138104</v>
      </c>
      <c r="H3528" s="35">
        <v>32.878605966755693</v>
      </c>
      <c r="I3528" s="35">
        <v>1.814650547651742E-3</v>
      </c>
      <c r="J3528" s="35">
        <v>1.3646972717988576E-5</v>
      </c>
      <c r="K3528" s="35">
        <v>9.0162441594133906E-4</v>
      </c>
      <c r="L3528" s="35">
        <v>-125.82711234466309</v>
      </c>
      <c r="M3528" s="58" t="s">
        <v>23</v>
      </c>
      <c r="N3528" s="7">
        <v>9.5</v>
      </c>
      <c r="O3528" s="7" t="s">
        <v>179</v>
      </c>
      <c r="P3528" s="7" t="s">
        <v>179</v>
      </c>
    </row>
    <row r="3529" spans="1:16" x14ac:dyDescent="0.25">
      <c r="A3529" s="2" t="s">
        <v>181</v>
      </c>
      <c r="B3529" s="2" t="s">
        <v>210</v>
      </c>
      <c r="C3529" s="6" t="s">
        <v>156</v>
      </c>
      <c r="D3529" s="2" t="s">
        <v>105</v>
      </c>
      <c r="E3529" s="2"/>
      <c r="F3529" s="35">
        <v>0</v>
      </c>
      <c r="G3529" s="35">
        <v>-48.447208399828369</v>
      </c>
      <c r="H3529" s="35">
        <v>-18.738419207598323</v>
      </c>
      <c r="I3529" s="35">
        <v>-4.2537141192976939E-4</v>
      </c>
      <c r="J3529" s="35">
        <v>3.2702722774471453E-6</v>
      </c>
      <c r="K3529" s="35">
        <v>-4.0379981174765841E-3</v>
      </c>
      <c r="L3529" s="35">
        <v>-60.017710423317226</v>
      </c>
      <c r="M3529" s="58" t="s">
        <v>22</v>
      </c>
      <c r="N3529" s="7">
        <v>9.5</v>
      </c>
      <c r="O3529" s="7" t="s">
        <v>179</v>
      </c>
      <c r="P3529" s="7" t="s">
        <v>179</v>
      </c>
    </row>
    <row r="3530" spans="1:16" x14ac:dyDescent="0.25">
      <c r="A3530" s="2" t="s">
        <v>181</v>
      </c>
      <c r="B3530" s="2" t="s">
        <v>210</v>
      </c>
      <c r="C3530" s="6" t="s">
        <v>156</v>
      </c>
      <c r="D3530" s="2" t="s">
        <v>105</v>
      </c>
      <c r="E3530" s="2"/>
      <c r="F3530" s="35">
        <v>4.4982502942822435</v>
      </c>
      <c r="G3530" s="35">
        <v>-46.61687575298528</v>
      </c>
      <c r="H3530" s="35">
        <v>-18.738419207598323</v>
      </c>
      <c r="I3530" s="35">
        <v>-4.2537141192976939E-4</v>
      </c>
      <c r="J3530" s="35">
        <v>3.2702722774471453E-6</v>
      </c>
      <c r="K3530" s="35">
        <v>-2.1245710385842452E-3</v>
      </c>
      <c r="L3530" s="35">
        <v>24.272389291645982</v>
      </c>
      <c r="M3530" s="58" t="s">
        <v>24</v>
      </c>
      <c r="N3530" s="7">
        <v>9.5</v>
      </c>
      <c r="O3530" s="7" t="s">
        <v>179</v>
      </c>
      <c r="P3530" s="7" t="s">
        <v>179</v>
      </c>
    </row>
    <row r="3531" spans="1:16" x14ac:dyDescent="0.25">
      <c r="A3531" s="2" t="s">
        <v>181</v>
      </c>
      <c r="B3531" s="2" t="s">
        <v>210</v>
      </c>
      <c r="C3531" s="6" t="s">
        <v>156</v>
      </c>
      <c r="D3531" s="2" t="s">
        <v>105</v>
      </c>
      <c r="E3531" s="2"/>
      <c r="F3531" s="35">
        <v>8.9965005885644871</v>
      </c>
      <c r="G3531" s="35">
        <v>-44.786543106142183</v>
      </c>
      <c r="H3531" s="35">
        <v>-18.738419207598323</v>
      </c>
      <c r="I3531" s="35">
        <v>-4.2537141192976939E-4</v>
      </c>
      <c r="J3531" s="35">
        <v>3.2702722774471453E-6</v>
      </c>
      <c r="K3531" s="35">
        <v>-2.1114395969190676E-4</v>
      </c>
      <c r="L3531" s="35">
        <v>108.5624890066092</v>
      </c>
      <c r="M3531" s="58" t="s">
        <v>23</v>
      </c>
      <c r="N3531" s="7">
        <v>9.5</v>
      </c>
      <c r="O3531" s="7" t="s">
        <v>179</v>
      </c>
      <c r="P3531" s="7" t="s">
        <v>179</v>
      </c>
    </row>
    <row r="3532" spans="1:16" x14ac:dyDescent="0.25">
      <c r="A3532" s="2" t="s">
        <v>181</v>
      </c>
      <c r="B3532" s="2" t="s">
        <v>210</v>
      </c>
      <c r="C3532" s="6" t="s">
        <v>156</v>
      </c>
      <c r="D3532" s="2" t="s">
        <v>15</v>
      </c>
      <c r="E3532" s="2"/>
      <c r="F3532" s="35">
        <v>0</v>
      </c>
      <c r="G3532" s="35">
        <v>63.221229709458783</v>
      </c>
      <c r="H3532" s="35">
        <v>5.0593708257697116</v>
      </c>
      <c r="I3532" s="35">
        <v>-4.9768992854979349E-2</v>
      </c>
      <c r="J3532" s="35">
        <v>5.4557248118625352E-4</v>
      </c>
      <c r="K3532" s="35">
        <v>-0.47259915578319567</v>
      </c>
      <c r="L3532" s="35">
        <v>47.241605110438023</v>
      </c>
      <c r="M3532" s="58" t="s">
        <v>22</v>
      </c>
      <c r="N3532" s="7">
        <v>9.5</v>
      </c>
      <c r="O3532" s="7" t="s">
        <v>179</v>
      </c>
      <c r="P3532" s="7" t="s">
        <v>179</v>
      </c>
    </row>
    <row r="3533" spans="1:16" x14ac:dyDescent="0.25">
      <c r="A3533" s="2" t="s">
        <v>181</v>
      </c>
      <c r="B3533" s="2" t="s">
        <v>210</v>
      </c>
      <c r="C3533" s="6" t="s">
        <v>156</v>
      </c>
      <c r="D3533" s="2" t="s">
        <v>15</v>
      </c>
      <c r="E3533" s="2"/>
      <c r="F3533" s="35">
        <v>4.4982502942822435</v>
      </c>
      <c r="G3533" s="35">
        <v>65.051562356301872</v>
      </c>
      <c r="H3533" s="35">
        <v>23.952022061755134</v>
      </c>
      <c r="I3533" s="35">
        <v>-4.9768992854978197E-2</v>
      </c>
      <c r="J3533" s="35">
        <v>5.4557248118625352E-4</v>
      </c>
      <c r="K3533" s="35">
        <v>-0.24872576902715654</v>
      </c>
      <c r="L3533" s="35">
        <v>-18.008648186485189</v>
      </c>
      <c r="M3533" s="58" t="s">
        <v>24</v>
      </c>
      <c r="N3533" s="7">
        <v>9.5</v>
      </c>
      <c r="O3533" s="7" t="s">
        <v>179</v>
      </c>
      <c r="P3533" s="7" t="s">
        <v>179</v>
      </c>
    </row>
    <row r="3534" spans="1:16" x14ac:dyDescent="0.25">
      <c r="A3534" s="2" t="s">
        <v>181</v>
      </c>
      <c r="B3534" s="2" t="s">
        <v>210</v>
      </c>
      <c r="C3534" s="6" t="s">
        <v>156</v>
      </c>
      <c r="D3534" s="2" t="s">
        <v>15</v>
      </c>
      <c r="E3534" s="2"/>
      <c r="F3534" s="35">
        <v>8.9965005885644871</v>
      </c>
      <c r="G3534" s="35">
        <v>66.881895003144962</v>
      </c>
      <c r="H3534" s="35">
        <v>42.844673297740563</v>
      </c>
      <c r="I3534" s="35">
        <v>-4.9768992854977039E-2</v>
      </c>
      <c r="J3534" s="35">
        <v>5.4557248118625352E-4</v>
      </c>
      <c r="K3534" s="35">
        <v>-2.4852382271122572E-2</v>
      </c>
      <c r="L3534" s="35">
        <v>-168.24277546545164</v>
      </c>
      <c r="M3534" s="58" t="s">
        <v>23</v>
      </c>
      <c r="N3534" s="7">
        <v>9.5</v>
      </c>
      <c r="O3534" s="7" t="s">
        <v>179</v>
      </c>
      <c r="P3534" s="7" t="s">
        <v>179</v>
      </c>
    </row>
    <row r="3535" spans="1:16" x14ac:dyDescent="0.25">
      <c r="A3535" s="2" t="s">
        <v>181</v>
      </c>
      <c r="B3535" s="2" t="s">
        <v>210</v>
      </c>
      <c r="C3535" s="6" t="s">
        <v>156</v>
      </c>
      <c r="D3535" s="2" t="s">
        <v>16</v>
      </c>
      <c r="E3535" s="2"/>
      <c r="F3535" s="35">
        <v>0</v>
      </c>
      <c r="G3535" s="35">
        <v>21.113435303039481</v>
      </c>
      <c r="H3535" s="35">
        <v>0.55428717362525992</v>
      </c>
      <c r="I3535" s="35">
        <v>-4.8088137333876957E-2</v>
      </c>
      <c r="J3535" s="35">
        <v>5.2651495139135779E-4</v>
      </c>
      <c r="K3535" s="35">
        <v>-0.45663693015165774</v>
      </c>
      <c r="L3535" s="35">
        <v>15.194632573713262</v>
      </c>
      <c r="M3535" s="58" t="s">
        <v>22</v>
      </c>
      <c r="N3535" s="7">
        <v>9.5</v>
      </c>
      <c r="O3535" s="7" t="s">
        <v>179</v>
      </c>
      <c r="P3535" s="7" t="s">
        <v>179</v>
      </c>
    </row>
    <row r="3536" spans="1:16" x14ac:dyDescent="0.25">
      <c r="A3536" s="2" t="s">
        <v>181</v>
      </c>
      <c r="B3536" s="2" t="s">
        <v>210</v>
      </c>
      <c r="C3536" s="6" t="s">
        <v>156</v>
      </c>
      <c r="D3536" s="2" t="s">
        <v>16</v>
      </c>
      <c r="E3536" s="2"/>
      <c r="F3536" s="35">
        <v>4.4982502942822435</v>
      </c>
      <c r="G3536" s="35">
        <v>22.943767949882574</v>
      </c>
      <c r="H3536" s="35">
        <v>8.8670537174588464</v>
      </c>
      <c r="I3536" s="35">
        <v>-4.808813733387645E-2</v>
      </c>
      <c r="J3536" s="35">
        <v>5.2651495139135779E-4</v>
      </c>
      <c r="K3536" s="35">
        <v>-0.2403244522380619</v>
      </c>
      <c r="L3536" s="35">
        <v>-5.9951421442129407</v>
      </c>
      <c r="M3536" s="58" t="s">
        <v>24</v>
      </c>
      <c r="N3536" s="7">
        <v>9.5</v>
      </c>
      <c r="O3536" s="7" t="s">
        <v>179</v>
      </c>
      <c r="P3536" s="7" t="s">
        <v>179</v>
      </c>
    </row>
    <row r="3537" spans="1:16" x14ac:dyDescent="0.25">
      <c r="A3537" s="2" t="s">
        <v>181</v>
      </c>
      <c r="B3537" s="2" t="s">
        <v>210</v>
      </c>
      <c r="C3537" s="6" t="s">
        <v>156</v>
      </c>
      <c r="D3537" s="2" t="s">
        <v>16</v>
      </c>
      <c r="E3537" s="2"/>
      <c r="F3537" s="35">
        <v>8.9965005885644871</v>
      </c>
      <c r="G3537" s="35">
        <v>24.774100596725667</v>
      </c>
      <c r="H3537" s="35">
        <v>17.179820261292434</v>
      </c>
      <c r="I3537" s="35">
        <v>-4.8088137333875937E-2</v>
      </c>
      <c r="J3537" s="35">
        <v>5.2651495139135779E-4</v>
      </c>
      <c r="K3537" s="35">
        <v>-2.401197432446835E-2</v>
      </c>
      <c r="L3537" s="35">
        <v>-64.577821414238159</v>
      </c>
      <c r="M3537" s="58" t="s">
        <v>23</v>
      </c>
      <c r="N3537" s="7">
        <v>9.5</v>
      </c>
      <c r="O3537" s="7" t="s">
        <v>179</v>
      </c>
      <c r="P3537" s="7" t="s">
        <v>179</v>
      </c>
    </row>
    <row r="3538" spans="1:16" x14ac:dyDescent="0.25">
      <c r="A3538" s="2" t="s">
        <v>181</v>
      </c>
      <c r="B3538" s="2" t="s">
        <v>210</v>
      </c>
      <c r="C3538" s="6" t="s">
        <v>156</v>
      </c>
      <c r="D3538" s="2" t="s">
        <v>106</v>
      </c>
      <c r="E3538" s="2"/>
      <c r="F3538" s="35">
        <v>0</v>
      </c>
      <c r="G3538" s="35">
        <v>63.220964182450984</v>
      </c>
      <c r="H3538" s="35">
        <v>5.0613059499661297</v>
      </c>
      <c r="I3538" s="35">
        <v>5.0718647244213058E-2</v>
      </c>
      <c r="J3538" s="35">
        <v>-5.5295312249138478E-4</v>
      </c>
      <c r="K3538" s="35">
        <v>0.48161423648442353</v>
      </c>
      <c r="L3538" s="35">
        <v>47.247382823594052</v>
      </c>
      <c r="M3538" s="58" t="s">
        <v>22</v>
      </c>
      <c r="N3538" s="7">
        <v>9.5</v>
      </c>
      <c r="O3538" s="7" t="s">
        <v>179</v>
      </c>
      <c r="P3538" s="7" t="s">
        <v>179</v>
      </c>
    </row>
    <row r="3539" spans="1:16" x14ac:dyDescent="0.25">
      <c r="A3539" s="2" t="s">
        <v>181</v>
      </c>
      <c r="B3539" s="2" t="s">
        <v>210</v>
      </c>
      <c r="C3539" s="6" t="s">
        <v>156</v>
      </c>
      <c r="D3539" s="2" t="s">
        <v>106</v>
      </c>
      <c r="E3539" s="2"/>
      <c r="F3539" s="35">
        <v>4.4982502942822435</v>
      </c>
      <c r="G3539" s="35">
        <v>65.051296829294074</v>
      </c>
      <c r="H3539" s="35">
        <v>23.953957185951552</v>
      </c>
      <c r="I3539" s="35">
        <v>5.0718647244214217E-2</v>
      </c>
      <c r="J3539" s="35">
        <v>-5.5295312249138478E-4</v>
      </c>
      <c r="K3539" s="35">
        <v>0.25346906659254226</v>
      </c>
      <c r="L3539" s="35">
        <v>-18.011575146315167</v>
      </c>
      <c r="M3539" s="58" t="s">
        <v>24</v>
      </c>
      <c r="N3539" s="7">
        <v>9.5</v>
      </c>
      <c r="O3539" s="7" t="s">
        <v>179</v>
      </c>
      <c r="P3539" s="7" t="s">
        <v>179</v>
      </c>
    </row>
    <row r="3540" spans="1:16" x14ac:dyDescent="0.25">
      <c r="A3540" s="2" t="s">
        <v>181</v>
      </c>
      <c r="B3540" s="2" t="s">
        <v>210</v>
      </c>
      <c r="C3540" s="6" t="s">
        <v>156</v>
      </c>
      <c r="D3540" s="2" t="s">
        <v>106</v>
      </c>
      <c r="E3540" s="2"/>
      <c r="F3540" s="35">
        <v>8.9965005885644871</v>
      </c>
      <c r="G3540" s="35">
        <v>66.881629476137164</v>
      </c>
      <c r="H3540" s="35">
        <v>42.846608421936978</v>
      </c>
      <c r="I3540" s="35">
        <v>5.0718647244215369E-2</v>
      </c>
      <c r="J3540" s="35">
        <v>-5.5295312249138478E-4</v>
      </c>
      <c r="K3540" s="35">
        <v>2.5323896700655758E-2</v>
      </c>
      <c r="L3540" s="35">
        <v>-168.25440709826759</v>
      </c>
      <c r="M3540" s="58" t="s">
        <v>23</v>
      </c>
      <c r="N3540" s="7">
        <v>9.5</v>
      </c>
      <c r="O3540" s="7" t="s">
        <v>179</v>
      </c>
      <c r="P3540" s="7" t="s">
        <v>179</v>
      </c>
    </row>
    <row r="3541" spans="1:16" x14ac:dyDescent="0.25">
      <c r="A3541" s="2" t="s">
        <v>181</v>
      </c>
      <c r="B3541" s="2" t="s">
        <v>210</v>
      </c>
      <c r="C3541" s="6" t="s">
        <v>156</v>
      </c>
      <c r="D3541" s="2" t="s">
        <v>107</v>
      </c>
      <c r="E3541" s="2"/>
      <c r="F3541" s="35">
        <v>0</v>
      </c>
      <c r="G3541" s="35">
        <v>21.113170172570911</v>
      </c>
      <c r="H3541" s="35">
        <v>0.55621929969239303</v>
      </c>
      <c r="I3541" s="35">
        <v>5.2440376873440019E-2</v>
      </c>
      <c r="J3541" s="35">
        <v>-5.7224488734641007E-4</v>
      </c>
      <c r="K3541" s="35">
        <v>0.49796442313660527</v>
      </c>
      <c r="L3541" s="35">
        <v>15.200401235727947</v>
      </c>
      <c r="M3541" s="58" t="s">
        <v>22</v>
      </c>
      <c r="N3541" s="7">
        <v>9.5</v>
      </c>
      <c r="O3541" s="7" t="s">
        <v>179</v>
      </c>
      <c r="P3541" s="7" t="s">
        <v>179</v>
      </c>
    </row>
    <row r="3542" spans="1:16" x14ac:dyDescent="0.25">
      <c r="A3542" s="2" t="s">
        <v>181</v>
      </c>
      <c r="B3542" s="2" t="s">
        <v>210</v>
      </c>
      <c r="C3542" s="6" t="s">
        <v>156</v>
      </c>
      <c r="D3542" s="2" t="s">
        <v>107</v>
      </c>
      <c r="E3542" s="2"/>
      <c r="F3542" s="35">
        <v>4.4982502942822435</v>
      </c>
      <c r="G3542" s="35">
        <v>22.943502819414004</v>
      </c>
      <c r="H3542" s="35">
        <v>8.8689858435259801</v>
      </c>
      <c r="I3542" s="35">
        <v>5.2440376873440532E-2</v>
      </c>
      <c r="J3542" s="35">
        <v>-5.7224488734641007E-4</v>
      </c>
      <c r="K3542" s="35">
        <v>0.26207448243338077</v>
      </c>
      <c r="L3542" s="35">
        <v>-5.9980646688483326</v>
      </c>
      <c r="M3542" s="58" t="s">
        <v>24</v>
      </c>
      <c r="N3542" s="7">
        <v>9.5</v>
      </c>
      <c r="O3542" s="7" t="s">
        <v>179</v>
      </c>
      <c r="P3542" s="7" t="s">
        <v>179</v>
      </c>
    </row>
    <row r="3543" spans="1:16" x14ac:dyDescent="0.25">
      <c r="A3543" s="2" t="s">
        <v>181</v>
      </c>
      <c r="B3543" s="2" t="s">
        <v>210</v>
      </c>
      <c r="C3543" s="6" t="s">
        <v>156</v>
      </c>
      <c r="D3543" s="2" t="s">
        <v>107</v>
      </c>
      <c r="E3543" s="2"/>
      <c r="F3543" s="35">
        <v>8.9965005885644871</v>
      </c>
      <c r="G3543" s="35">
        <v>24.773835466257093</v>
      </c>
      <c r="H3543" s="35">
        <v>17.181752387359566</v>
      </c>
      <c r="I3543" s="35">
        <v>5.2440376873441039E-2</v>
      </c>
      <c r="J3543" s="35">
        <v>-5.7224488734641007E-4</v>
      </c>
      <c r="K3543" s="35">
        <v>2.6184541730154016E-2</v>
      </c>
      <c r="L3543" s="35">
        <v>-64.589435125523622</v>
      </c>
      <c r="M3543" s="58" t="s">
        <v>23</v>
      </c>
      <c r="N3543" s="7">
        <v>9.5</v>
      </c>
      <c r="O3543" s="7" t="s">
        <v>179</v>
      </c>
      <c r="P3543" s="7" t="s">
        <v>179</v>
      </c>
    </row>
    <row r="3544" spans="1:16" x14ac:dyDescent="0.25">
      <c r="A3544" s="2" t="s">
        <v>181</v>
      </c>
      <c r="B3544" s="2" t="s">
        <v>210</v>
      </c>
      <c r="C3544" s="6" t="s">
        <v>156</v>
      </c>
      <c r="D3544" s="2" t="s">
        <v>108</v>
      </c>
      <c r="E3544" s="2"/>
      <c r="F3544" s="35">
        <v>0</v>
      </c>
      <c r="G3544" s="35">
        <v>75.217110011131552</v>
      </c>
      <c r="H3544" s="35">
        <v>51.939534272231434</v>
      </c>
      <c r="I3544" s="35">
        <v>-4.8377914811750019E-3</v>
      </c>
      <c r="J3544" s="35">
        <v>5.3333205136617226E-5</v>
      </c>
      <c r="K3544" s="35">
        <v>-4.5940026763388958E-2</v>
      </c>
      <c r="L3544" s="35">
        <v>157.98726419334062</v>
      </c>
      <c r="M3544" s="58" t="s">
        <v>22</v>
      </c>
      <c r="N3544" s="7">
        <v>9.5</v>
      </c>
      <c r="O3544" s="7" t="s">
        <v>179</v>
      </c>
      <c r="P3544" s="7" t="s">
        <v>179</v>
      </c>
    </row>
    <row r="3545" spans="1:16" x14ac:dyDescent="0.25">
      <c r="A3545" s="2" t="s">
        <v>181</v>
      </c>
      <c r="B3545" s="2" t="s">
        <v>210</v>
      </c>
      <c r="C3545" s="6" t="s">
        <v>156</v>
      </c>
      <c r="D3545" s="2" t="s">
        <v>108</v>
      </c>
      <c r="E3545" s="2"/>
      <c r="F3545" s="35">
        <v>4.4982502942822435</v>
      </c>
      <c r="G3545" s="35">
        <v>77.047442657974656</v>
      </c>
      <c r="H3545" s="35">
        <v>38.336825382321926</v>
      </c>
      <c r="I3545" s="35">
        <v>-4.8377914811758354E-3</v>
      </c>
      <c r="J3545" s="35">
        <v>5.3333205136617226E-5</v>
      </c>
      <c r="K3545" s="35">
        <v>-2.4178429809515498E-2</v>
      </c>
      <c r="L3545" s="35">
        <v>-45.055566498071549</v>
      </c>
      <c r="M3545" s="58" t="s">
        <v>24</v>
      </c>
      <c r="N3545" s="7">
        <v>9.5</v>
      </c>
      <c r="O3545" s="7" t="s">
        <v>179</v>
      </c>
      <c r="P3545" s="7" t="s">
        <v>179</v>
      </c>
    </row>
    <row r="3546" spans="1:16" x14ac:dyDescent="0.25">
      <c r="A3546" s="2" t="s">
        <v>181</v>
      </c>
      <c r="B3546" s="2" t="s">
        <v>210</v>
      </c>
      <c r="C3546" s="6" t="s">
        <v>156</v>
      </c>
      <c r="D3546" s="2" t="s">
        <v>108</v>
      </c>
      <c r="E3546" s="2"/>
      <c r="F3546" s="35">
        <v>8.9965005885644871</v>
      </c>
      <c r="G3546" s="35">
        <v>78.877775304817746</v>
      </c>
      <c r="H3546" s="35">
        <v>24.734116492412426</v>
      </c>
      <c r="I3546" s="35">
        <v>-4.8377914811766681E-3</v>
      </c>
      <c r="J3546" s="35">
        <v>5.3333205136617226E-5</v>
      </c>
      <c r="K3546" s="35">
        <v>-2.4168328556382897E-3</v>
      </c>
      <c r="L3546" s="35">
        <v>-186.91000792241257</v>
      </c>
      <c r="M3546" s="58" t="s">
        <v>23</v>
      </c>
      <c r="N3546" s="7">
        <v>9.5</v>
      </c>
      <c r="O3546" s="7" t="s">
        <v>179</v>
      </c>
      <c r="P3546" s="7" t="s">
        <v>179</v>
      </c>
    </row>
    <row r="3547" spans="1:16" x14ac:dyDescent="0.25">
      <c r="A3547" s="2" t="s">
        <v>181</v>
      </c>
      <c r="B3547" s="2" t="s">
        <v>210</v>
      </c>
      <c r="C3547" s="6" t="s">
        <v>156</v>
      </c>
      <c r="D3547" s="2" t="s">
        <v>109</v>
      </c>
      <c r="E3547" s="2"/>
      <c r="F3547" s="35">
        <v>0</v>
      </c>
      <c r="G3547" s="35">
        <v>-43.101527012351617</v>
      </c>
      <c r="H3547" s="35">
        <v>26.287898394387391</v>
      </c>
      <c r="I3547" s="35">
        <v>-3.7079869666651749E-3</v>
      </c>
      <c r="J3547" s="35">
        <v>3.8380479511910818E-5</v>
      </c>
      <c r="K3547" s="35">
        <v>-3.5208756981931898E-2</v>
      </c>
      <c r="L3547" s="35">
        <v>81.963666110824434</v>
      </c>
      <c r="M3547" s="58" t="s">
        <v>22</v>
      </c>
      <c r="N3547" s="7">
        <v>9.5</v>
      </c>
      <c r="O3547" s="7" t="s">
        <v>179</v>
      </c>
      <c r="P3547" s="7" t="s">
        <v>179</v>
      </c>
    </row>
    <row r="3548" spans="1:16" x14ac:dyDescent="0.25">
      <c r="A3548" s="2" t="s">
        <v>181</v>
      </c>
      <c r="B3548" s="2" t="s">
        <v>210</v>
      </c>
      <c r="C3548" s="6" t="s">
        <v>156</v>
      </c>
      <c r="D3548" s="2" t="s">
        <v>109</v>
      </c>
      <c r="E3548" s="2"/>
      <c r="F3548" s="35">
        <v>4.4982502942822435</v>
      </c>
      <c r="G3548" s="35">
        <v>-41.271194365508528</v>
      </c>
      <c r="H3548" s="35">
        <v>2.1053048123260503</v>
      </c>
      <c r="I3548" s="35">
        <v>-3.7079869666666559E-3</v>
      </c>
      <c r="J3548" s="35">
        <v>3.8380479511910818E-5</v>
      </c>
      <c r="K3548" s="35">
        <v>-1.8529303517932218E-2</v>
      </c>
      <c r="L3548" s="35">
        <v>18.103798770717304</v>
      </c>
      <c r="M3548" s="58" t="s">
        <v>24</v>
      </c>
      <c r="N3548" s="7">
        <v>9.5</v>
      </c>
      <c r="O3548" s="7" t="s">
        <v>179</v>
      </c>
      <c r="P3548" s="7" t="s">
        <v>179</v>
      </c>
    </row>
    <row r="3549" spans="1:16" x14ac:dyDescent="0.25">
      <c r="A3549" s="2" t="s">
        <v>181</v>
      </c>
      <c r="B3549" s="2" t="s">
        <v>210</v>
      </c>
      <c r="C3549" s="6" t="s">
        <v>156</v>
      </c>
      <c r="D3549" s="2" t="s">
        <v>109</v>
      </c>
      <c r="E3549" s="2"/>
      <c r="F3549" s="35">
        <v>8.9965005885644871</v>
      </c>
      <c r="G3549" s="35">
        <v>-39.440861718665431</v>
      </c>
      <c r="H3549" s="35">
        <v>-22.077288769735297</v>
      </c>
      <c r="I3549" s="35">
        <v>-3.7079869666681365E-3</v>
      </c>
      <c r="J3549" s="35">
        <v>3.8380479511910818E-5</v>
      </c>
      <c r="K3549" s="35">
        <v>-1.849850053925878E-3</v>
      </c>
      <c r="L3549" s="35">
        <v>63.023290127625508</v>
      </c>
      <c r="M3549" s="58" t="s">
        <v>23</v>
      </c>
      <c r="N3549" s="7">
        <v>9.5</v>
      </c>
      <c r="O3549" s="7" t="s">
        <v>179</v>
      </c>
      <c r="P3549" s="7" t="s">
        <v>179</v>
      </c>
    </row>
    <row r="3550" spans="1:16" x14ac:dyDescent="0.25">
      <c r="A3550" s="2" t="s">
        <v>181</v>
      </c>
      <c r="B3550" s="2" t="s">
        <v>210</v>
      </c>
      <c r="C3550" s="6" t="s">
        <v>156</v>
      </c>
      <c r="D3550" s="2" t="s">
        <v>110</v>
      </c>
      <c r="E3550" s="2"/>
      <c r="F3550" s="35">
        <v>0</v>
      </c>
      <c r="G3550" s="35">
        <v>58.204901713812781</v>
      </c>
      <c r="H3550" s="35">
        <v>3.7857079848730475</v>
      </c>
      <c r="I3550" s="35">
        <v>-4.4947953521974797E-3</v>
      </c>
      <c r="J3550" s="35">
        <v>4.9929905338464369E-5</v>
      </c>
      <c r="K3550" s="35">
        <v>-4.2683722907666082E-2</v>
      </c>
      <c r="L3550" s="35">
        <v>18.435855593196393</v>
      </c>
      <c r="M3550" s="58" t="s">
        <v>22</v>
      </c>
      <c r="N3550" s="7">
        <v>9.5</v>
      </c>
      <c r="O3550" s="7" t="s">
        <v>179</v>
      </c>
      <c r="P3550" s="7" t="s">
        <v>179</v>
      </c>
    </row>
    <row r="3551" spans="1:16" x14ac:dyDescent="0.25">
      <c r="A3551" s="2" t="s">
        <v>181</v>
      </c>
      <c r="B3551" s="2" t="s">
        <v>210</v>
      </c>
      <c r="C3551" s="6" t="s">
        <v>156</v>
      </c>
      <c r="D3551" s="2" t="s">
        <v>110</v>
      </c>
      <c r="E3551" s="2"/>
      <c r="F3551" s="35">
        <v>4.4982502942822435</v>
      </c>
      <c r="G3551" s="35">
        <v>60.035234360655878</v>
      </c>
      <c r="H3551" s="35">
        <v>18.144122924221975</v>
      </c>
      <c r="I3551" s="35">
        <v>-4.4947953521966002E-3</v>
      </c>
      <c r="J3551" s="35">
        <v>4.9929905338464369E-5</v>
      </c>
      <c r="K3551" s="35">
        <v>-2.2465008391907286E-2</v>
      </c>
      <c r="L3551" s="35">
        <v>-30.887078577001862</v>
      </c>
      <c r="M3551" s="58" t="s">
        <v>24</v>
      </c>
      <c r="N3551" s="7">
        <v>9.5</v>
      </c>
      <c r="O3551" s="7" t="s">
        <v>179</v>
      </c>
      <c r="P3551" s="7" t="s">
        <v>179</v>
      </c>
    </row>
    <row r="3552" spans="1:16" x14ac:dyDescent="0.25">
      <c r="A3552" s="2" t="s">
        <v>181</v>
      </c>
      <c r="B3552" s="2" t="s">
        <v>210</v>
      </c>
      <c r="C3552" s="6" t="s">
        <v>156</v>
      </c>
      <c r="D3552" s="2" t="s">
        <v>110</v>
      </c>
      <c r="E3552" s="2"/>
      <c r="F3552" s="35">
        <v>8.9965005885644871</v>
      </c>
      <c r="G3552" s="35">
        <v>61.86556700749896</v>
      </c>
      <c r="H3552" s="35">
        <v>32.502537863570893</v>
      </c>
      <c r="I3552" s="35">
        <v>-4.4947953521957207E-3</v>
      </c>
      <c r="J3552" s="35">
        <v>4.9929905338464369E-5</v>
      </c>
      <c r="K3552" s="35">
        <v>-2.2462938761524482E-3</v>
      </c>
      <c r="L3552" s="35">
        <v>-144.79775697355299</v>
      </c>
      <c r="M3552" s="58" t="s">
        <v>23</v>
      </c>
      <c r="N3552" s="7">
        <v>9.5</v>
      </c>
      <c r="O3552" s="7" t="s">
        <v>179</v>
      </c>
      <c r="P3552" s="7" t="s">
        <v>179</v>
      </c>
    </row>
    <row r="3553" spans="1:16" x14ac:dyDescent="0.25">
      <c r="A3553" s="2" t="s">
        <v>181</v>
      </c>
      <c r="B3553" s="2" t="s">
        <v>210</v>
      </c>
      <c r="C3553" s="6" t="s">
        <v>156</v>
      </c>
      <c r="D3553" s="2" t="s">
        <v>111</v>
      </c>
      <c r="E3553" s="2"/>
      <c r="F3553" s="35">
        <v>0</v>
      </c>
      <c r="G3553" s="35">
        <v>4.7101702866943223</v>
      </c>
      <c r="H3553" s="35">
        <v>-12.4699372909784</v>
      </c>
      <c r="I3553" s="35">
        <v>-3.320950691415258E-3</v>
      </c>
      <c r="J3553" s="35">
        <v>3.4203451015349462E-5</v>
      </c>
      <c r="K3553" s="35">
        <v>-3.153413228889556E-2</v>
      </c>
      <c r="L3553" s="35">
        <v>-78.374197792733838</v>
      </c>
      <c r="M3553" s="58" t="s">
        <v>22</v>
      </c>
      <c r="N3553" s="7">
        <v>9.5</v>
      </c>
      <c r="O3553" s="7" t="s">
        <v>179</v>
      </c>
      <c r="P3553" s="7" t="s">
        <v>179</v>
      </c>
    </row>
    <row r="3554" spans="1:16" x14ac:dyDescent="0.25">
      <c r="A3554" s="2" t="s">
        <v>181</v>
      </c>
      <c r="B3554" s="2" t="s">
        <v>210</v>
      </c>
      <c r="C3554" s="6" t="s">
        <v>156</v>
      </c>
      <c r="D3554" s="2" t="s">
        <v>111</v>
      </c>
      <c r="E3554" s="2"/>
      <c r="F3554" s="35">
        <v>4.4982502942822435</v>
      </c>
      <c r="G3554" s="35">
        <v>6.5405029335374154</v>
      </c>
      <c r="H3554" s="35">
        <v>-8.6914070437813145</v>
      </c>
      <c r="I3554" s="35">
        <v>-3.3209506914150273E-3</v>
      </c>
      <c r="J3554" s="35">
        <v>3.4203451015349462E-5</v>
      </c>
      <c r="K3554" s="35">
        <v>-1.6595664863940575E-2</v>
      </c>
      <c r="L3554" s="35">
        <v>-30.779686102113455</v>
      </c>
      <c r="M3554" s="58" t="s">
        <v>24</v>
      </c>
      <c r="N3554" s="7">
        <v>9.5</v>
      </c>
      <c r="O3554" s="7" t="s">
        <v>179</v>
      </c>
      <c r="P3554" s="7" t="s">
        <v>179</v>
      </c>
    </row>
    <row r="3555" spans="1:16" x14ac:dyDescent="0.25">
      <c r="A3555" s="2" t="s">
        <v>181</v>
      </c>
      <c r="B3555" s="2" t="s">
        <v>210</v>
      </c>
      <c r="C3555" s="6" t="s">
        <v>156</v>
      </c>
      <c r="D3555" s="2" t="s">
        <v>111</v>
      </c>
      <c r="E3555" s="2"/>
      <c r="F3555" s="35">
        <v>8.9965005885644871</v>
      </c>
      <c r="G3555" s="35">
        <v>8.3708355803805077</v>
      </c>
      <c r="H3555" s="35">
        <v>-4.9128767965842286</v>
      </c>
      <c r="I3555" s="35">
        <v>-3.3209506914147957E-3</v>
      </c>
      <c r="J3555" s="35">
        <v>3.4203451015349462E-5</v>
      </c>
      <c r="K3555" s="35">
        <v>-1.6571974389866307E-3</v>
      </c>
      <c r="L3555" s="35">
        <v>-0.18194920790170127</v>
      </c>
      <c r="M3555" s="58" t="s">
        <v>23</v>
      </c>
      <c r="N3555" s="7">
        <v>9.5</v>
      </c>
      <c r="O3555" s="7" t="s">
        <v>179</v>
      </c>
      <c r="P3555" s="7" t="s">
        <v>179</v>
      </c>
    </row>
    <row r="3556" spans="1:16" x14ac:dyDescent="0.25">
      <c r="A3556" s="2" t="s">
        <v>181</v>
      </c>
      <c r="B3556" s="2" t="s">
        <v>210</v>
      </c>
      <c r="C3556" s="6" t="s">
        <v>156</v>
      </c>
      <c r="D3556" s="2" t="s">
        <v>112</v>
      </c>
      <c r="E3556" s="2"/>
      <c r="F3556" s="35">
        <v>0</v>
      </c>
      <c r="G3556" s="35">
        <v>27.06450626953222</v>
      </c>
      <c r="H3556" s="35">
        <v>-8.1218190022385084</v>
      </c>
      <c r="I3556" s="35">
        <v>-4.5040188495612893E-2</v>
      </c>
      <c r="J3556" s="35">
        <v>4.9290160471473598E-4</v>
      </c>
      <c r="K3556" s="35">
        <v>-0.42769436340399197</v>
      </c>
      <c r="L3556" s="35">
        <v>2.1451609036675836</v>
      </c>
      <c r="M3556" s="58" t="s">
        <v>22</v>
      </c>
      <c r="N3556" s="7">
        <v>9.5</v>
      </c>
      <c r="O3556" s="7" t="s">
        <v>179</v>
      </c>
      <c r="P3556" s="7" t="s">
        <v>179</v>
      </c>
    </row>
    <row r="3557" spans="1:16" x14ac:dyDescent="0.25">
      <c r="A3557" s="2" t="s">
        <v>181</v>
      </c>
      <c r="B3557" s="2" t="s">
        <v>210</v>
      </c>
      <c r="C3557" s="6" t="s">
        <v>156</v>
      </c>
      <c r="D3557" s="2" t="s">
        <v>112</v>
      </c>
      <c r="E3557" s="2"/>
      <c r="F3557" s="35">
        <v>4.4982502942822435</v>
      </c>
      <c r="G3557" s="35">
        <v>28.89483891637531</v>
      </c>
      <c r="H3557" s="35">
        <v>8.8815671101483762</v>
      </c>
      <c r="I3557" s="35">
        <v>-4.5040188495611852E-2</v>
      </c>
      <c r="J3557" s="35">
        <v>4.9290160471473598E-4</v>
      </c>
      <c r="K3557" s="35">
        <v>-0.22509232224907585</v>
      </c>
      <c r="L3557" s="35">
        <v>0.43639232867461802</v>
      </c>
      <c r="M3557" s="58" t="s">
        <v>24</v>
      </c>
      <c r="N3557" s="7">
        <v>9.5</v>
      </c>
      <c r="O3557" s="7" t="s">
        <v>179</v>
      </c>
      <c r="P3557" s="7" t="s">
        <v>179</v>
      </c>
    </row>
    <row r="3558" spans="1:16" x14ac:dyDescent="0.25">
      <c r="A3558" s="2" t="s">
        <v>181</v>
      </c>
      <c r="B3558" s="2" t="s">
        <v>210</v>
      </c>
      <c r="C3558" s="6" t="s">
        <v>156</v>
      </c>
      <c r="D3558" s="2" t="s">
        <v>112</v>
      </c>
      <c r="E3558" s="2"/>
      <c r="F3558" s="35">
        <v>8.9965005885644871</v>
      </c>
      <c r="G3558" s="35">
        <v>30.725171563218407</v>
      </c>
      <c r="H3558" s="35">
        <v>25.884953222535266</v>
      </c>
      <c r="I3558" s="35">
        <v>-4.5040188495610811E-2</v>
      </c>
      <c r="J3558" s="35">
        <v>4.9290160471473598E-4</v>
      </c>
      <c r="K3558" s="35">
        <v>-2.2490281094164469E-2</v>
      </c>
      <c r="L3558" s="35">
        <v>-77.757862830157265</v>
      </c>
      <c r="M3558" s="58" t="s">
        <v>23</v>
      </c>
      <c r="N3558" s="7">
        <v>9.5</v>
      </c>
      <c r="O3558" s="7" t="s">
        <v>179</v>
      </c>
      <c r="P3558" s="7" t="s">
        <v>179</v>
      </c>
    </row>
    <row r="3559" spans="1:16" x14ac:dyDescent="0.25">
      <c r="A3559" s="2" t="s">
        <v>181</v>
      </c>
      <c r="B3559" s="2" t="s">
        <v>210</v>
      </c>
      <c r="C3559" s="6" t="s">
        <v>156</v>
      </c>
      <c r="D3559" s="2" t="s">
        <v>113</v>
      </c>
      <c r="E3559" s="2"/>
      <c r="F3559" s="35">
        <v>0</v>
      </c>
      <c r="G3559" s="35">
        <v>-10.832508696245158</v>
      </c>
      <c r="H3559" s="35">
        <v>-12.176394289168513</v>
      </c>
      <c r="I3559" s="35">
        <v>-4.3527418526620731E-2</v>
      </c>
      <c r="J3559" s="35">
        <v>4.7574982789932996E-4</v>
      </c>
      <c r="K3559" s="35">
        <v>-0.41332836033560777</v>
      </c>
      <c r="L3559" s="35">
        <v>-26.697114379384701</v>
      </c>
      <c r="M3559" s="58" t="s">
        <v>22</v>
      </c>
      <c r="N3559" s="7">
        <v>9.5</v>
      </c>
      <c r="O3559" s="7" t="s">
        <v>179</v>
      </c>
      <c r="P3559" s="7" t="s">
        <v>179</v>
      </c>
    </row>
    <row r="3560" spans="1:16" x14ac:dyDescent="0.25">
      <c r="A3560" s="2" t="s">
        <v>181</v>
      </c>
      <c r="B3560" s="2" t="s">
        <v>210</v>
      </c>
      <c r="C3560" s="6" t="s">
        <v>156</v>
      </c>
      <c r="D3560" s="2" t="s">
        <v>113</v>
      </c>
      <c r="E3560" s="2"/>
      <c r="F3560" s="35">
        <v>4.4982502942822435</v>
      </c>
      <c r="G3560" s="35">
        <v>-9.0021760494020686</v>
      </c>
      <c r="H3560" s="35">
        <v>-4.6949043997182862</v>
      </c>
      <c r="I3560" s="35">
        <v>-4.352741852662028E-2</v>
      </c>
      <c r="J3560" s="35">
        <v>4.7574982789932996E-4</v>
      </c>
      <c r="K3560" s="35">
        <v>-0.21753113713889072</v>
      </c>
      <c r="L3560" s="35">
        <v>11.248547766719643</v>
      </c>
      <c r="M3560" s="58" t="s">
        <v>24</v>
      </c>
      <c r="N3560" s="7">
        <v>9.5</v>
      </c>
      <c r="O3560" s="7" t="s">
        <v>179</v>
      </c>
      <c r="P3560" s="7" t="s">
        <v>179</v>
      </c>
    </row>
    <row r="3561" spans="1:16" x14ac:dyDescent="0.25">
      <c r="A3561" s="2" t="s">
        <v>181</v>
      </c>
      <c r="B3561" s="2" t="s">
        <v>210</v>
      </c>
      <c r="C3561" s="6" t="s">
        <v>156</v>
      </c>
      <c r="D3561" s="2" t="s">
        <v>113</v>
      </c>
      <c r="E3561" s="2"/>
      <c r="F3561" s="35">
        <v>8.9965005885644871</v>
      </c>
      <c r="G3561" s="35">
        <v>-7.1718434025589728</v>
      </c>
      <c r="H3561" s="35">
        <v>2.7865854897319435</v>
      </c>
      <c r="I3561" s="35">
        <v>-4.3527418526619822E-2</v>
      </c>
      <c r="J3561" s="35">
        <v>4.7574982789932996E-4</v>
      </c>
      <c r="K3561" s="35">
        <v>-2.1733913942175671E-2</v>
      </c>
      <c r="L3561" s="35">
        <v>15.540595815934877</v>
      </c>
      <c r="M3561" s="58" t="s">
        <v>23</v>
      </c>
      <c r="N3561" s="7">
        <v>9.5</v>
      </c>
      <c r="O3561" s="7" t="s">
        <v>179</v>
      </c>
      <c r="P3561" s="7" t="s">
        <v>179</v>
      </c>
    </row>
    <row r="3562" spans="1:16" x14ac:dyDescent="0.25">
      <c r="A3562" s="2" t="s">
        <v>181</v>
      </c>
      <c r="B3562" s="2" t="s">
        <v>210</v>
      </c>
      <c r="C3562" s="6" t="s">
        <v>156</v>
      </c>
      <c r="D3562" s="2" t="s">
        <v>114</v>
      </c>
      <c r="E3562" s="2"/>
      <c r="F3562" s="35">
        <v>0</v>
      </c>
      <c r="G3562" s="35">
        <v>27.064267295225196</v>
      </c>
      <c r="H3562" s="35">
        <v>-8.1200773904617307</v>
      </c>
      <c r="I3562" s="35">
        <v>4.5398687593660274E-2</v>
      </c>
      <c r="J3562" s="35">
        <v>-4.9577143859513828E-4</v>
      </c>
      <c r="K3562" s="35">
        <v>0.43109768963686534</v>
      </c>
      <c r="L3562" s="35">
        <v>2.1503608455080085</v>
      </c>
      <c r="M3562" s="58" t="s">
        <v>22</v>
      </c>
      <c r="N3562" s="7">
        <v>9.5</v>
      </c>
      <c r="O3562" s="7" t="s">
        <v>179</v>
      </c>
      <c r="P3562" s="7" t="s">
        <v>179</v>
      </c>
    </row>
    <row r="3563" spans="1:16" x14ac:dyDescent="0.25">
      <c r="A3563" s="2" t="s">
        <v>181</v>
      </c>
      <c r="B3563" s="2" t="s">
        <v>210</v>
      </c>
      <c r="C3563" s="6" t="s">
        <v>156</v>
      </c>
      <c r="D3563" s="2" t="s">
        <v>114</v>
      </c>
      <c r="E3563" s="2"/>
      <c r="F3563" s="35">
        <v>4.4982502942822435</v>
      </c>
      <c r="G3563" s="35">
        <v>28.894599942068286</v>
      </c>
      <c r="H3563" s="35">
        <v>8.8833087219251521</v>
      </c>
      <c r="I3563" s="35">
        <v>4.5398687593661322E-2</v>
      </c>
      <c r="J3563" s="35">
        <v>-4.9577143859513828E-4</v>
      </c>
      <c r="K3563" s="35">
        <v>0.22688302980865302</v>
      </c>
      <c r="L3563" s="35">
        <v>0.43375806482763579</v>
      </c>
      <c r="M3563" s="58" t="s">
        <v>24</v>
      </c>
      <c r="N3563" s="7">
        <v>9.5</v>
      </c>
      <c r="O3563" s="7" t="s">
        <v>179</v>
      </c>
      <c r="P3563" s="7" t="s">
        <v>179</v>
      </c>
    </row>
    <row r="3564" spans="1:16" x14ac:dyDescent="0.25">
      <c r="A3564" s="2" t="s">
        <v>181</v>
      </c>
      <c r="B3564" s="2" t="s">
        <v>210</v>
      </c>
      <c r="C3564" s="6" t="s">
        <v>156</v>
      </c>
      <c r="D3564" s="2" t="s">
        <v>114</v>
      </c>
      <c r="E3564" s="2"/>
      <c r="F3564" s="35">
        <v>8.9965005885644871</v>
      </c>
      <c r="G3564" s="35">
        <v>30.724932588911383</v>
      </c>
      <c r="H3564" s="35">
        <v>25.886694834312038</v>
      </c>
      <c r="I3564" s="35">
        <v>4.5398687593662355E-2</v>
      </c>
      <c r="J3564" s="35">
        <v>-4.9577143859513828E-4</v>
      </c>
      <c r="K3564" s="35">
        <v>2.2668369980436028E-2</v>
      </c>
      <c r="L3564" s="35">
        <v>-77.768331299691624</v>
      </c>
      <c r="M3564" s="58" t="s">
        <v>23</v>
      </c>
      <c r="N3564" s="7">
        <v>9.5</v>
      </c>
      <c r="O3564" s="7" t="s">
        <v>179</v>
      </c>
      <c r="P3564" s="7" t="s">
        <v>179</v>
      </c>
    </row>
    <row r="3565" spans="1:16" x14ac:dyDescent="0.25">
      <c r="A3565" s="2" t="s">
        <v>181</v>
      </c>
      <c r="B3565" s="2" t="s">
        <v>210</v>
      </c>
      <c r="C3565" s="6" t="s">
        <v>156</v>
      </c>
      <c r="D3565" s="2" t="s">
        <v>115</v>
      </c>
      <c r="E3565" s="2"/>
      <c r="F3565" s="35">
        <v>0</v>
      </c>
      <c r="G3565" s="35">
        <v>-10.832747313666868</v>
      </c>
      <c r="H3565" s="35">
        <v>-12.174655375708094</v>
      </c>
      <c r="I3565" s="35">
        <v>4.694824425996455E-2</v>
      </c>
      <c r="J3565" s="35">
        <v>-5.1313402696466113E-4</v>
      </c>
      <c r="K3565" s="35">
        <v>0.44581285762382894</v>
      </c>
      <c r="L3565" s="35">
        <v>-26.69192258357149</v>
      </c>
      <c r="M3565" s="58" t="s">
        <v>22</v>
      </c>
      <c r="N3565" s="7">
        <v>9.5</v>
      </c>
      <c r="O3565" s="7" t="s">
        <v>179</v>
      </c>
      <c r="P3565" s="7" t="s">
        <v>179</v>
      </c>
    </row>
    <row r="3566" spans="1:16" x14ac:dyDescent="0.25">
      <c r="A3566" s="2" t="s">
        <v>181</v>
      </c>
      <c r="B3566" s="2" t="s">
        <v>210</v>
      </c>
      <c r="C3566" s="6" t="s">
        <v>156</v>
      </c>
      <c r="D3566" s="2" t="s">
        <v>115</v>
      </c>
      <c r="E3566" s="2"/>
      <c r="F3566" s="35">
        <v>4.4982502942822435</v>
      </c>
      <c r="G3566" s="35">
        <v>-9.0024146668237783</v>
      </c>
      <c r="H3566" s="35">
        <v>-4.6931654862578664</v>
      </c>
      <c r="I3566" s="35">
        <v>4.6948244259965008E-2</v>
      </c>
      <c r="J3566" s="35">
        <v>-5.1313402696466113E-4</v>
      </c>
      <c r="K3566" s="35">
        <v>0.23462790406540773</v>
      </c>
      <c r="L3566" s="35">
        <v>11.24591749454779</v>
      </c>
      <c r="M3566" s="58" t="s">
        <v>24</v>
      </c>
      <c r="N3566" s="7">
        <v>9.5</v>
      </c>
      <c r="O3566" s="7" t="s">
        <v>179</v>
      </c>
      <c r="P3566" s="7" t="s">
        <v>179</v>
      </c>
    </row>
    <row r="3567" spans="1:16" x14ac:dyDescent="0.25">
      <c r="A3567" s="2" t="s">
        <v>181</v>
      </c>
      <c r="B3567" s="2" t="s">
        <v>210</v>
      </c>
      <c r="C3567" s="6" t="s">
        <v>156</v>
      </c>
      <c r="D3567" s="2" t="s">
        <v>115</v>
      </c>
      <c r="E3567" s="2"/>
      <c r="F3567" s="35">
        <v>8.9965005885644871</v>
      </c>
      <c r="G3567" s="35">
        <v>-7.1720820199806825</v>
      </c>
      <c r="H3567" s="35">
        <v>2.7883244031923637</v>
      </c>
      <c r="I3567" s="35">
        <v>4.6948244259965459E-2</v>
      </c>
      <c r="J3567" s="35">
        <v>-5.1313402696466113E-4</v>
      </c>
      <c r="K3567" s="35">
        <v>2.3442950506984458E-2</v>
      </c>
      <c r="L3567" s="35">
        <v>15.530143475777965</v>
      </c>
      <c r="M3567" s="58" t="s">
        <v>23</v>
      </c>
      <c r="N3567" s="7">
        <v>9.5</v>
      </c>
      <c r="O3567" s="7" t="s">
        <v>179</v>
      </c>
      <c r="P3567" s="7" t="s">
        <v>179</v>
      </c>
    </row>
    <row r="3568" spans="1:16" x14ac:dyDescent="0.25">
      <c r="A3568" s="2" t="s">
        <v>181</v>
      </c>
      <c r="B3568" s="2" t="s">
        <v>210</v>
      </c>
      <c r="C3568" s="6" t="s">
        <v>156</v>
      </c>
      <c r="D3568" s="2" t="s">
        <v>116</v>
      </c>
      <c r="E3568" s="2"/>
      <c r="F3568" s="35">
        <v>0</v>
      </c>
      <c r="G3568" s="35">
        <v>37.86079854103771</v>
      </c>
      <c r="H3568" s="35">
        <v>34.07032809957704</v>
      </c>
      <c r="I3568" s="35">
        <v>-4.6021072591889778E-3</v>
      </c>
      <c r="J3568" s="35">
        <v>4.9886256270063462E-5</v>
      </c>
      <c r="K3568" s="35">
        <v>-4.3701147286165892E-2</v>
      </c>
      <c r="L3568" s="35">
        <v>101.81625407827993</v>
      </c>
      <c r="M3568" s="58" t="s">
        <v>22</v>
      </c>
      <c r="N3568" s="7">
        <v>9.5</v>
      </c>
      <c r="O3568" s="7" t="s">
        <v>179</v>
      </c>
      <c r="P3568" s="7" t="s">
        <v>179</v>
      </c>
    </row>
    <row r="3569" spans="1:16" x14ac:dyDescent="0.25">
      <c r="A3569" s="2" t="s">
        <v>181</v>
      </c>
      <c r="B3569" s="2" t="s">
        <v>210</v>
      </c>
      <c r="C3569" s="6" t="s">
        <v>156</v>
      </c>
      <c r="D3569" s="2" t="s">
        <v>116</v>
      </c>
      <c r="E3569" s="2"/>
      <c r="F3569" s="35">
        <v>4.4982502942822435</v>
      </c>
      <c r="G3569" s="35">
        <v>39.691131187880799</v>
      </c>
      <c r="H3569" s="35">
        <v>21.827890098658493</v>
      </c>
      <c r="I3569" s="35">
        <v>-4.6021072591897264E-3</v>
      </c>
      <c r="J3569" s="35">
        <v>4.9886256270063462E-5</v>
      </c>
      <c r="K3569" s="35">
        <v>-2.2999716953198943E-2</v>
      </c>
      <c r="L3569" s="35">
        <v>-23.905834151753105</v>
      </c>
      <c r="M3569" s="58" t="s">
        <v>24</v>
      </c>
      <c r="N3569" s="7">
        <v>9.5</v>
      </c>
      <c r="O3569" s="7" t="s">
        <v>179</v>
      </c>
      <c r="P3569" s="7" t="s">
        <v>179</v>
      </c>
    </row>
    <row r="3570" spans="1:16" x14ac:dyDescent="0.25">
      <c r="A3570" s="2" t="s">
        <v>181</v>
      </c>
      <c r="B3570" s="2" t="s">
        <v>210</v>
      </c>
      <c r="C3570" s="6" t="s">
        <v>156</v>
      </c>
      <c r="D3570" s="2" t="s">
        <v>116</v>
      </c>
      <c r="E3570" s="2"/>
      <c r="F3570" s="35">
        <v>8.9965005885644871</v>
      </c>
      <c r="G3570" s="35">
        <v>41.521463834723896</v>
      </c>
      <c r="H3570" s="35">
        <v>9.5854520977399353</v>
      </c>
      <c r="I3570" s="35">
        <v>-4.6021072591904766E-3</v>
      </c>
      <c r="J3570" s="35">
        <v>4.9886256270063462E-5</v>
      </c>
      <c r="K3570" s="35">
        <v>-2.2982866202286164E-3</v>
      </c>
      <c r="L3570" s="35">
        <v>-94.558372041422103</v>
      </c>
      <c r="M3570" s="58" t="s">
        <v>23</v>
      </c>
      <c r="N3570" s="7">
        <v>9.5</v>
      </c>
      <c r="O3570" s="7" t="s">
        <v>179</v>
      </c>
      <c r="P3570" s="7" t="s">
        <v>179</v>
      </c>
    </row>
    <row r="3571" spans="1:16" x14ac:dyDescent="0.25">
      <c r="A3571" s="2" t="s">
        <v>181</v>
      </c>
      <c r="B3571" s="2" t="s">
        <v>210</v>
      </c>
      <c r="C3571" s="6" t="s">
        <v>156</v>
      </c>
      <c r="D3571" s="2" t="s">
        <v>117</v>
      </c>
      <c r="E3571" s="2"/>
      <c r="F3571" s="35">
        <v>0</v>
      </c>
      <c r="G3571" s="35">
        <v>-68.625974780097138</v>
      </c>
      <c r="H3571" s="35">
        <v>10.983855809517406</v>
      </c>
      <c r="I3571" s="35">
        <v>-3.5852831961301324E-3</v>
      </c>
      <c r="J3571" s="35">
        <v>3.6428803207827693E-5</v>
      </c>
      <c r="K3571" s="35">
        <v>-3.4043004482854536E-2</v>
      </c>
      <c r="L3571" s="35">
        <v>33.395015804015358</v>
      </c>
      <c r="M3571" s="58" t="s">
        <v>22</v>
      </c>
      <c r="N3571" s="7">
        <v>9.5</v>
      </c>
      <c r="O3571" s="7" t="s">
        <v>179</v>
      </c>
      <c r="P3571" s="7" t="s">
        <v>179</v>
      </c>
    </row>
    <row r="3572" spans="1:16" x14ac:dyDescent="0.25">
      <c r="A3572" s="2" t="s">
        <v>181</v>
      </c>
      <c r="B3572" s="2" t="s">
        <v>210</v>
      </c>
      <c r="C3572" s="6" t="s">
        <v>156</v>
      </c>
      <c r="D3572" s="2" t="s">
        <v>117</v>
      </c>
      <c r="E3572" s="2"/>
      <c r="F3572" s="35">
        <v>4.4982502942822435</v>
      </c>
      <c r="G3572" s="35">
        <v>-66.795642133254049</v>
      </c>
      <c r="H3572" s="35">
        <v>-10.780478414337804</v>
      </c>
      <c r="I3572" s="35">
        <v>-3.5852831961314655E-3</v>
      </c>
      <c r="J3572" s="35">
        <v>3.6428803207827693E-5</v>
      </c>
      <c r="K3572" s="35">
        <v>-1.7915503290773991E-2</v>
      </c>
      <c r="L3572" s="35">
        <v>32.937594590156863</v>
      </c>
      <c r="M3572" s="58" t="s">
        <v>24</v>
      </c>
      <c r="N3572" s="7">
        <v>9.5</v>
      </c>
      <c r="O3572" s="7" t="s">
        <v>179</v>
      </c>
      <c r="P3572" s="7" t="s">
        <v>179</v>
      </c>
    </row>
    <row r="3573" spans="1:16" x14ac:dyDescent="0.25">
      <c r="A3573" s="2" t="s">
        <v>181</v>
      </c>
      <c r="B3573" s="2" t="s">
        <v>210</v>
      </c>
      <c r="C3573" s="6" t="s">
        <v>156</v>
      </c>
      <c r="D3573" s="2" t="s">
        <v>117</v>
      </c>
      <c r="E3573" s="2"/>
      <c r="F3573" s="35">
        <v>8.9965005885644871</v>
      </c>
      <c r="G3573" s="35">
        <v>-64.965309486410959</v>
      </c>
      <c r="H3573" s="35">
        <v>-32.544812638193015</v>
      </c>
      <c r="I3573" s="35">
        <v>-3.5852831961327982E-3</v>
      </c>
      <c r="J3573" s="35">
        <v>3.6428803207827693E-5</v>
      </c>
      <c r="K3573" s="35">
        <v>-1.7880020986874453E-3</v>
      </c>
      <c r="L3573" s="35">
        <v>130.38159620361219</v>
      </c>
      <c r="M3573" s="58" t="s">
        <v>23</v>
      </c>
      <c r="N3573" s="7">
        <v>9.5</v>
      </c>
      <c r="O3573" s="7" t="s">
        <v>179</v>
      </c>
      <c r="P3573" s="7" t="s">
        <v>179</v>
      </c>
    </row>
    <row r="3574" spans="1:16" x14ac:dyDescent="0.25">
      <c r="A3574" s="2" t="s">
        <v>181</v>
      </c>
      <c r="B3574" s="2" t="s">
        <v>210</v>
      </c>
      <c r="C3574" s="6" t="s">
        <v>156</v>
      </c>
      <c r="D3574" s="2" t="s">
        <v>118</v>
      </c>
      <c r="E3574" s="2"/>
      <c r="F3574" s="35">
        <v>0</v>
      </c>
      <c r="G3574" s="35">
        <v>22.549811073450805</v>
      </c>
      <c r="H3574" s="35">
        <v>-9.2681155590455049</v>
      </c>
      <c r="I3574" s="35">
        <v>-4.2934107431092071E-3</v>
      </c>
      <c r="J3574" s="35">
        <v>4.6823286451725894E-5</v>
      </c>
      <c r="K3574" s="35">
        <v>-4.0770473816015312E-2</v>
      </c>
      <c r="L3574" s="35">
        <v>-23.780013661849889</v>
      </c>
      <c r="M3574" s="58" t="s">
        <v>22</v>
      </c>
      <c r="N3574" s="7">
        <v>9.5</v>
      </c>
      <c r="O3574" s="7" t="s">
        <v>179</v>
      </c>
      <c r="P3574" s="7" t="s">
        <v>179</v>
      </c>
    </row>
    <row r="3575" spans="1:16" x14ac:dyDescent="0.25">
      <c r="A3575" s="2" t="s">
        <v>181</v>
      </c>
      <c r="B3575" s="2" t="s">
        <v>210</v>
      </c>
      <c r="C3575" s="6" t="s">
        <v>156</v>
      </c>
      <c r="D3575" s="2" t="s">
        <v>118</v>
      </c>
      <c r="E3575" s="2"/>
      <c r="F3575" s="35">
        <v>4.4982502942822435</v>
      </c>
      <c r="G3575" s="35">
        <v>24.380143720293894</v>
      </c>
      <c r="H3575" s="35">
        <v>3.6544578863685304</v>
      </c>
      <c r="I3575" s="35">
        <v>-4.2934107431084152E-3</v>
      </c>
      <c r="J3575" s="35">
        <v>4.6823286451725894E-5</v>
      </c>
      <c r="K3575" s="35">
        <v>-2.1457637677351555E-2</v>
      </c>
      <c r="L3575" s="35">
        <v>-11.154195022790384</v>
      </c>
      <c r="M3575" s="58" t="s">
        <v>24</v>
      </c>
      <c r="N3575" s="7">
        <v>9.5</v>
      </c>
      <c r="O3575" s="7" t="s">
        <v>179</v>
      </c>
      <c r="P3575" s="7" t="s">
        <v>179</v>
      </c>
    </row>
    <row r="3576" spans="1:16" x14ac:dyDescent="0.25">
      <c r="A3576" s="2" t="s">
        <v>181</v>
      </c>
      <c r="B3576" s="2" t="s">
        <v>210</v>
      </c>
      <c r="C3576" s="6" t="s">
        <v>156</v>
      </c>
      <c r="D3576" s="2" t="s">
        <v>118</v>
      </c>
      <c r="E3576" s="2"/>
      <c r="F3576" s="35">
        <v>8.9965005885644871</v>
      </c>
      <c r="G3576" s="35">
        <v>26.210476367136991</v>
      </c>
      <c r="H3576" s="35">
        <v>16.577031331782557</v>
      </c>
      <c r="I3576" s="35">
        <v>-4.2934107431076242E-3</v>
      </c>
      <c r="J3576" s="35">
        <v>4.6823286451725894E-5</v>
      </c>
      <c r="K3576" s="35">
        <v>-2.1448015386913589E-3</v>
      </c>
      <c r="L3576" s="35">
        <v>-56.657346187448489</v>
      </c>
      <c r="M3576" s="58" t="s">
        <v>23</v>
      </c>
      <c r="N3576" s="7">
        <v>9.5</v>
      </c>
      <c r="O3576" s="7" t="s">
        <v>179</v>
      </c>
      <c r="P3576" s="7" t="s">
        <v>179</v>
      </c>
    </row>
    <row r="3577" spans="1:16" x14ac:dyDescent="0.25">
      <c r="A3577" s="2" t="s">
        <v>181</v>
      </c>
      <c r="B3577" s="2" t="s">
        <v>210</v>
      </c>
      <c r="C3577" s="6" t="s">
        <v>156</v>
      </c>
      <c r="D3577" s="2" t="s">
        <v>119</v>
      </c>
      <c r="E3577" s="2"/>
      <c r="F3577" s="35">
        <v>0</v>
      </c>
      <c r="G3577" s="35">
        <v>-25.5954472109558</v>
      </c>
      <c r="H3577" s="35">
        <v>-23.89819630731181</v>
      </c>
      <c r="I3577" s="35">
        <v>-3.2369505484052077E-3</v>
      </c>
      <c r="J3577" s="35">
        <v>3.2669477560922477E-5</v>
      </c>
      <c r="K3577" s="35">
        <v>-3.0735842259121841E-2</v>
      </c>
      <c r="L3577" s="35">
        <v>-110.90906170918709</v>
      </c>
      <c r="M3577" s="58" t="s">
        <v>22</v>
      </c>
      <c r="N3577" s="7">
        <v>9.5</v>
      </c>
      <c r="O3577" s="7" t="s">
        <v>179</v>
      </c>
      <c r="P3577" s="7" t="s">
        <v>179</v>
      </c>
    </row>
    <row r="3578" spans="1:16" x14ac:dyDescent="0.25">
      <c r="A3578" s="2" t="s">
        <v>181</v>
      </c>
      <c r="B3578" s="2" t="s">
        <v>210</v>
      </c>
      <c r="C3578" s="6" t="s">
        <v>156</v>
      </c>
      <c r="D3578" s="2" t="s">
        <v>119</v>
      </c>
      <c r="E3578" s="2"/>
      <c r="F3578" s="35">
        <v>4.4982502942822435</v>
      </c>
      <c r="G3578" s="35">
        <v>-23.765114564112711</v>
      </c>
      <c r="H3578" s="35">
        <v>-20.49751908483443</v>
      </c>
      <c r="I3578" s="35">
        <v>-3.2369505484049995E-3</v>
      </c>
      <c r="J3578" s="35">
        <v>3.2669477560922477E-5</v>
      </c>
      <c r="K3578" s="35">
        <v>-1.6175228502181515E-2</v>
      </c>
      <c r="L3578" s="35">
        <v>-11.057541795390819</v>
      </c>
      <c r="M3578" s="58" t="s">
        <v>24</v>
      </c>
      <c r="N3578" s="7">
        <v>9.5</v>
      </c>
      <c r="O3578" s="7" t="s">
        <v>179</v>
      </c>
      <c r="P3578" s="7" t="s">
        <v>179</v>
      </c>
    </row>
    <row r="3579" spans="1:16" x14ac:dyDescent="0.25">
      <c r="A3579" s="2" t="s">
        <v>181</v>
      </c>
      <c r="B3579" s="2" t="s">
        <v>210</v>
      </c>
      <c r="C3579" s="6" t="s">
        <v>156</v>
      </c>
      <c r="D3579" s="2" t="s">
        <v>119</v>
      </c>
      <c r="E3579" s="2"/>
      <c r="F3579" s="35">
        <v>8.9965005885644871</v>
      </c>
      <c r="G3579" s="35">
        <v>-21.934781917269614</v>
      </c>
      <c r="H3579" s="35">
        <v>-17.096841862357053</v>
      </c>
      <c r="I3579" s="35">
        <v>-3.2369505484047914E-3</v>
      </c>
      <c r="J3579" s="35">
        <v>3.2669477560922477E-5</v>
      </c>
      <c r="K3579" s="35">
        <v>-1.6146147452421231E-3</v>
      </c>
      <c r="L3579" s="35">
        <v>73.496880801637687</v>
      </c>
      <c r="M3579" s="58" t="s">
        <v>23</v>
      </c>
      <c r="N3579" s="7">
        <v>9.5</v>
      </c>
      <c r="O3579" s="7" t="s">
        <v>179</v>
      </c>
      <c r="P3579" s="7" t="s">
        <v>179</v>
      </c>
    </row>
    <row r="3580" spans="1:16" x14ac:dyDescent="0.25">
      <c r="A3580" s="2" t="s">
        <v>181</v>
      </c>
      <c r="B3580" s="2" t="s">
        <v>210</v>
      </c>
      <c r="C3580" s="6" t="s">
        <v>156</v>
      </c>
      <c r="D3580" s="2" t="s">
        <v>120</v>
      </c>
      <c r="E3580" s="2"/>
      <c r="F3580" s="35">
        <v>0</v>
      </c>
      <c r="G3580" s="35">
        <v>38.231350080460928</v>
      </c>
      <c r="H3580" s="35">
        <v>-5.7420399989017046</v>
      </c>
      <c r="I3580" s="35">
        <v>-4.9974550639917847E-2</v>
      </c>
      <c r="J3580" s="35">
        <v>5.4713182560561671E-4</v>
      </c>
      <c r="K3580" s="35">
        <v>-0.47455047917056387</v>
      </c>
      <c r="L3580" s="35">
        <v>12.871092457043101</v>
      </c>
      <c r="M3580" s="58" t="s">
        <v>22</v>
      </c>
      <c r="N3580" s="7">
        <v>9.5</v>
      </c>
      <c r="O3580" s="7" t="s">
        <v>179</v>
      </c>
      <c r="P3580" s="7" t="s">
        <v>179</v>
      </c>
    </row>
    <row r="3581" spans="1:16" x14ac:dyDescent="0.25">
      <c r="A3581" s="2" t="s">
        <v>181</v>
      </c>
      <c r="B3581" s="2" t="s">
        <v>210</v>
      </c>
      <c r="C3581" s="6" t="s">
        <v>156</v>
      </c>
      <c r="D3581" s="2" t="s">
        <v>120</v>
      </c>
      <c r="E3581" s="2"/>
      <c r="F3581" s="35">
        <v>4.4982502942822435</v>
      </c>
      <c r="G3581" s="35">
        <v>40.061682727304017</v>
      </c>
      <c r="H3581" s="35">
        <v>13.150611237083719</v>
      </c>
      <c r="I3581" s="35">
        <v>-4.9974550639916696E-2</v>
      </c>
      <c r="J3581" s="35">
        <v>5.4713182560561671E-4</v>
      </c>
      <c r="K3581" s="35">
        <v>-0.24975244204793312</v>
      </c>
      <c r="L3581" s="35">
        <v>-3.791711419138494</v>
      </c>
      <c r="M3581" s="58" t="s">
        <v>24</v>
      </c>
      <c r="N3581" s="7">
        <v>9.5</v>
      </c>
      <c r="O3581" s="7" t="s">
        <v>179</v>
      </c>
      <c r="P3581" s="7" t="s">
        <v>179</v>
      </c>
    </row>
    <row r="3582" spans="1:16" x14ac:dyDescent="0.25">
      <c r="A3582" s="2" t="s">
        <v>181</v>
      </c>
      <c r="B3582" s="2" t="s">
        <v>210</v>
      </c>
      <c r="C3582" s="6" t="s">
        <v>156</v>
      </c>
      <c r="D3582" s="2" t="s">
        <v>120</v>
      </c>
      <c r="E3582" s="2"/>
      <c r="F3582" s="35">
        <v>8.9965005885644871</v>
      </c>
      <c r="G3582" s="35">
        <v>41.892015374147107</v>
      </c>
      <c r="H3582" s="35">
        <v>32.043262473069149</v>
      </c>
      <c r="I3582" s="35">
        <v>-4.9974550639915537E-2</v>
      </c>
      <c r="J3582" s="35">
        <v>5.4713182560561671E-4</v>
      </c>
      <c r="K3582" s="35">
        <v>-2.4954404925307531E-2</v>
      </c>
      <c r="L3582" s="35">
        <v>-105.43838927736333</v>
      </c>
      <c r="M3582" s="58" t="s">
        <v>23</v>
      </c>
      <c r="N3582" s="7">
        <v>9.5</v>
      </c>
      <c r="O3582" s="7" t="s">
        <v>179</v>
      </c>
      <c r="P3582" s="7" t="s">
        <v>179</v>
      </c>
    </row>
    <row r="3583" spans="1:16" x14ac:dyDescent="0.25">
      <c r="A3583" s="2" t="s">
        <v>181</v>
      </c>
      <c r="B3583" s="2" t="s">
        <v>210</v>
      </c>
      <c r="C3583" s="6" t="s">
        <v>156</v>
      </c>
      <c r="D3583" s="2" t="s">
        <v>121</v>
      </c>
      <c r="E3583" s="2"/>
      <c r="F3583" s="35">
        <v>0</v>
      </c>
      <c r="G3583" s="35">
        <v>-3.8764443259583707</v>
      </c>
      <c r="H3583" s="35">
        <v>-10.247123651046156</v>
      </c>
      <c r="I3583" s="35">
        <v>-4.8293695118815455E-2</v>
      </c>
      <c r="J3583" s="35">
        <v>5.2807429581072109E-4</v>
      </c>
      <c r="K3583" s="35">
        <v>-0.45858825353902588</v>
      </c>
      <c r="L3583" s="35">
        <v>-19.175880079681662</v>
      </c>
      <c r="M3583" s="58" t="s">
        <v>22</v>
      </c>
      <c r="N3583" s="7">
        <v>9.5</v>
      </c>
      <c r="O3583" s="7" t="s">
        <v>179</v>
      </c>
      <c r="P3583" s="7" t="s">
        <v>179</v>
      </c>
    </row>
    <row r="3584" spans="1:16" x14ac:dyDescent="0.25">
      <c r="A3584" s="2" t="s">
        <v>181</v>
      </c>
      <c r="B3584" s="2" t="s">
        <v>210</v>
      </c>
      <c r="C3584" s="6" t="s">
        <v>156</v>
      </c>
      <c r="D3584" s="2" t="s">
        <v>121</v>
      </c>
      <c r="E3584" s="2"/>
      <c r="F3584" s="35">
        <v>4.4982502942822435</v>
      </c>
      <c r="G3584" s="35">
        <v>-2.0461116791152811</v>
      </c>
      <c r="H3584" s="35">
        <v>-1.9343571072125703</v>
      </c>
      <c r="I3584" s="35">
        <v>-4.8293695118814949E-2</v>
      </c>
      <c r="J3584" s="35">
        <v>5.2807429581072109E-4</v>
      </c>
      <c r="K3584" s="35">
        <v>-0.24135112525883845</v>
      </c>
      <c r="L3584" s="35">
        <v>8.2217946231337518</v>
      </c>
      <c r="M3584" s="58" t="s">
        <v>24</v>
      </c>
      <c r="N3584" s="7">
        <v>9.5</v>
      </c>
      <c r="O3584" s="7" t="s">
        <v>179</v>
      </c>
      <c r="P3584" s="7" t="s">
        <v>179</v>
      </c>
    </row>
    <row r="3585" spans="1:16" x14ac:dyDescent="0.25">
      <c r="A3585" s="2" t="s">
        <v>181</v>
      </c>
      <c r="B3585" s="2" t="s">
        <v>210</v>
      </c>
      <c r="C3585" s="6" t="s">
        <v>156</v>
      </c>
      <c r="D3585" s="2" t="s">
        <v>121</v>
      </c>
      <c r="E3585" s="2"/>
      <c r="F3585" s="35">
        <v>8.9965005885644871</v>
      </c>
      <c r="G3585" s="35">
        <v>-0.21577903227219208</v>
      </c>
      <c r="H3585" s="35">
        <v>6.378409436621018</v>
      </c>
      <c r="I3585" s="35">
        <v>-4.8293695118814435E-2</v>
      </c>
      <c r="J3585" s="35">
        <v>5.2807429581072109E-4</v>
      </c>
      <c r="K3585" s="35">
        <v>-2.4113996978653313E-2</v>
      </c>
      <c r="L3585" s="35">
        <v>-1.7734352261498416</v>
      </c>
      <c r="M3585" s="58" t="s">
        <v>23</v>
      </c>
      <c r="N3585" s="7">
        <v>9.5</v>
      </c>
      <c r="O3585" s="7" t="s">
        <v>179</v>
      </c>
      <c r="P3585" s="7" t="s">
        <v>179</v>
      </c>
    </row>
    <row r="3586" spans="1:16" x14ac:dyDescent="0.25">
      <c r="A3586" s="2" t="s">
        <v>181</v>
      </c>
      <c r="B3586" s="2" t="s">
        <v>210</v>
      </c>
      <c r="C3586" s="6" t="s">
        <v>156</v>
      </c>
      <c r="D3586" s="2" t="s">
        <v>122</v>
      </c>
      <c r="E3586" s="2"/>
      <c r="F3586" s="35">
        <v>0</v>
      </c>
      <c r="G3586" s="35">
        <v>38.23108455345313</v>
      </c>
      <c r="H3586" s="35">
        <v>-5.7401048747052874</v>
      </c>
      <c r="I3586" s="35">
        <v>5.051308945927456E-2</v>
      </c>
      <c r="J3586" s="35">
        <v>-5.5139377807202148E-4</v>
      </c>
      <c r="K3586" s="35">
        <v>0.47966291309705533</v>
      </c>
      <c r="L3586" s="35">
        <v>12.87687017019913</v>
      </c>
      <c r="M3586" s="58" t="s">
        <v>22</v>
      </c>
      <c r="N3586" s="7">
        <v>9.5</v>
      </c>
      <c r="O3586" s="7" t="s">
        <v>179</v>
      </c>
      <c r="P3586" s="7" t="s">
        <v>179</v>
      </c>
    </row>
    <row r="3587" spans="1:16" x14ac:dyDescent="0.25">
      <c r="A3587" s="2" t="s">
        <v>181</v>
      </c>
      <c r="B3587" s="2" t="s">
        <v>210</v>
      </c>
      <c r="C3587" s="6" t="s">
        <v>156</v>
      </c>
      <c r="D3587" s="2" t="s">
        <v>122</v>
      </c>
      <c r="E3587" s="2"/>
      <c r="F3587" s="35">
        <v>4.4982502942822435</v>
      </c>
      <c r="G3587" s="35">
        <v>40.061417200296219</v>
      </c>
      <c r="H3587" s="35">
        <v>13.152546361280137</v>
      </c>
      <c r="I3587" s="35">
        <v>5.0513089459275719E-2</v>
      </c>
      <c r="J3587" s="35">
        <v>-5.5139377807202148E-4</v>
      </c>
      <c r="K3587" s="35">
        <v>0.25244239357176568</v>
      </c>
      <c r="L3587" s="35">
        <v>-3.7946383789684761</v>
      </c>
      <c r="M3587" s="58" t="s">
        <v>24</v>
      </c>
      <c r="N3587" s="7">
        <v>9.5</v>
      </c>
      <c r="O3587" s="7" t="s">
        <v>179</v>
      </c>
      <c r="P3587" s="7" t="s">
        <v>179</v>
      </c>
    </row>
    <row r="3588" spans="1:16" x14ac:dyDescent="0.25">
      <c r="A3588" s="2" t="s">
        <v>181</v>
      </c>
      <c r="B3588" s="2" t="s">
        <v>210</v>
      </c>
      <c r="C3588" s="6" t="s">
        <v>156</v>
      </c>
      <c r="D3588" s="2" t="s">
        <v>122</v>
      </c>
      <c r="E3588" s="2"/>
      <c r="F3588" s="35">
        <v>8.9965005885644871</v>
      </c>
      <c r="G3588" s="35">
        <v>41.891749847139309</v>
      </c>
      <c r="H3588" s="35">
        <v>32.045197597265563</v>
      </c>
      <c r="I3588" s="35">
        <v>5.0513089459276864E-2</v>
      </c>
      <c r="J3588" s="35">
        <v>-5.5139377807202148E-4</v>
      </c>
      <c r="K3588" s="35">
        <v>2.5221874046470798E-2</v>
      </c>
      <c r="L3588" s="35">
        <v>-105.45002091017929</v>
      </c>
      <c r="M3588" s="58" t="s">
        <v>23</v>
      </c>
      <c r="N3588" s="7">
        <v>9.5</v>
      </c>
      <c r="O3588" s="7" t="s">
        <v>179</v>
      </c>
      <c r="P3588" s="7" t="s">
        <v>179</v>
      </c>
    </row>
    <row r="3589" spans="1:16" x14ac:dyDescent="0.25">
      <c r="A3589" s="2" t="s">
        <v>181</v>
      </c>
      <c r="B3589" s="2" t="s">
        <v>210</v>
      </c>
      <c r="C3589" s="6" t="s">
        <v>156</v>
      </c>
      <c r="D3589" s="2" t="s">
        <v>123</v>
      </c>
      <c r="E3589" s="2"/>
      <c r="F3589" s="35">
        <v>0</v>
      </c>
      <c r="G3589" s="35">
        <v>-3.876709456426942</v>
      </c>
      <c r="H3589" s="35">
        <v>-10.245191524979024</v>
      </c>
      <c r="I3589" s="35">
        <v>5.223481908850152E-2</v>
      </c>
      <c r="J3589" s="35">
        <v>-5.7068554292704688E-4</v>
      </c>
      <c r="K3589" s="35">
        <v>0.49601309974923713</v>
      </c>
      <c r="L3589" s="35">
        <v>-19.170111417666973</v>
      </c>
      <c r="M3589" s="58" t="s">
        <v>22</v>
      </c>
      <c r="N3589" s="7">
        <v>9.5</v>
      </c>
      <c r="O3589" s="7" t="s">
        <v>179</v>
      </c>
      <c r="P3589" s="7" t="s">
        <v>179</v>
      </c>
    </row>
    <row r="3590" spans="1:16" x14ac:dyDescent="0.25">
      <c r="A3590" s="2" t="s">
        <v>181</v>
      </c>
      <c r="B3590" s="2" t="s">
        <v>210</v>
      </c>
      <c r="C3590" s="6" t="s">
        <v>156</v>
      </c>
      <c r="D3590" s="2" t="s">
        <v>123</v>
      </c>
      <c r="E3590" s="2"/>
      <c r="F3590" s="35">
        <v>4.4982502942822435</v>
      </c>
      <c r="G3590" s="35">
        <v>-2.0463768095838528</v>
      </c>
      <c r="H3590" s="35">
        <v>-1.932424981145437</v>
      </c>
      <c r="I3590" s="35">
        <v>5.2234819088502034E-2</v>
      </c>
      <c r="J3590" s="35">
        <v>-5.7068554292704688E-4</v>
      </c>
      <c r="K3590" s="35">
        <v>0.26104780941260419</v>
      </c>
      <c r="L3590" s="35">
        <v>8.2188720984983608</v>
      </c>
      <c r="M3590" s="58" t="s">
        <v>24</v>
      </c>
      <c r="N3590" s="7">
        <v>9.5</v>
      </c>
      <c r="O3590" s="7" t="s">
        <v>179</v>
      </c>
      <c r="P3590" s="7" t="s">
        <v>179</v>
      </c>
    </row>
    <row r="3591" spans="1:16" x14ac:dyDescent="0.25">
      <c r="A3591" s="2" t="s">
        <v>181</v>
      </c>
      <c r="B3591" s="2" t="s">
        <v>210</v>
      </c>
      <c r="C3591" s="6" t="s">
        <v>156</v>
      </c>
      <c r="D3591" s="2" t="s">
        <v>123</v>
      </c>
      <c r="E3591" s="2"/>
      <c r="F3591" s="35">
        <v>8.9965005885644871</v>
      </c>
      <c r="G3591" s="35">
        <v>-0.21604416274076352</v>
      </c>
      <c r="H3591" s="35">
        <v>6.380341562688149</v>
      </c>
      <c r="I3591" s="35">
        <v>5.223481908850254E-2</v>
      </c>
      <c r="J3591" s="35">
        <v>-5.7068554292704688E-4</v>
      </c>
      <c r="K3591" s="35">
        <v>2.6082519075969052E-2</v>
      </c>
      <c r="L3591" s="35">
        <v>-1.7850489374352987</v>
      </c>
      <c r="M3591" s="58" t="s">
        <v>23</v>
      </c>
      <c r="N3591" s="7">
        <v>9.5</v>
      </c>
      <c r="O3591" s="7" t="s">
        <v>179</v>
      </c>
      <c r="P3591" s="7" t="s">
        <v>179</v>
      </c>
    </row>
    <row r="3592" spans="1:16" x14ac:dyDescent="0.25">
      <c r="A3592" s="2" t="s">
        <v>181</v>
      </c>
      <c r="B3592" s="2" t="s">
        <v>210</v>
      </c>
      <c r="C3592" s="6" t="s">
        <v>156</v>
      </c>
      <c r="D3592" s="2" t="s">
        <v>124</v>
      </c>
      <c r="E3592" s="2"/>
      <c r="F3592" s="35">
        <v>0</v>
      </c>
      <c r="G3592" s="35">
        <v>50.227230382133705</v>
      </c>
      <c r="H3592" s="35">
        <v>41.138123447560019</v>
      </c>
      <c r="I3592" s="35">
        <v>-5.0433492661135001E-3</v>
      </c>
      <c r="J3592" s="35">
        <v>5.4892549555980471E-5</v>
      </c>
      <c r="K3592" s="35">
        <v>-4.7891350150757128E-2</v>
      </c>
      <c r="L3592" s="35">
        <v>123.61675153994572</v>
      </c>
      <c r="M3592" s="58" t="s">
        <v>22</v>
      </c>
      <c r="N3592" s="7">
        <v>9.5</v>
      </c>
      <c r="O3592" s="7" t="s">
        <v>179</v>
      </c>
      <c r="P3592" s="7" t="s">
        <v>179</v>
      </c>
    </row>
    <row r="3593" spans="1:16" x14ac:dyDescent="0.25">
      <c r="A3593" s="2" t="s">
        <v>181</v>
      </c>
      <c r="B3593" s="2" t="s">
        <v>210</v>
      </c>
      <c r="C3593" s="6" t="s">
        <v>156</v>
      </c>
      <c r="D3593" s="2" t="s">
        <v>124</v>
      </c>
      <c r="E3593" s="2"/>
      <c r="F3593" s="35">
        <v>4.4982502942822435</v>
      </c>
      <c r="G3593" s="35">
        <v>52.057563028976794</v>
      </c>
      <c r="H3593" s="35">
        <v>27.535414557650512</v>
      </c>
      <c r="I3593" s="35">
        <v>-5.0433492661143336E-3</v>
      </c>
      <c r="J3593" s="35">
        <v>5.4892549555980471E-5</v>
      </c>
      <c r="K3593" s="35">
        <v>-2.5205102830292068E-2</v>
      </c>
      <c r="L3593" s="35">
        <v>-30.83862973072485</v>
      </c>
      <c r="M3593" s="58" t="s">
        <v>24</v>
      </c>
      <c r="N3593" s="7">
        <v>9.5</v>
      </c>
      <c r="O3593" s="7" t="s">
        <v>179</v>
      </c>
      <c r="P3593" s="7" t="s">
        <v>179</v>
      </c>
    </row>
    <row r="3594" spans="1:16" x14ac:dyDescent="0.25">
      <c r="A3594" s="2" t="s">
        <v>181</v>
      </c>
      <c r="B3594" s="2" t="s">
        <v>210</v>
      </c>
      <c r="C3594" s="6" t="s">
        <v>156</v>
      </c>
      <c r="D3594" s="2" t="s">
        <v>124</v>
      </c>
      <c r="E3594" s="2"/>
      <c r="F3594" s="35">
        <v>8.9965005885644871</v>
      </c>
      <c r="G3594" s="35">
        <v>53.887895675819884</v>
      </c>
      <c r="H3594" s="35">
        <v>13.932705667741008</v>
      </c>
      <c r="I3594" s="35">
        <v>-5.0433492661151663E-3</v>
      </c>
      <c r="J3594" s="35">
        <v>5.4892549555980471E-5</v>
      </c>
      <c r="K3594" s="35">
        <v>-2.5188555098232543E-3</v>
      </c>
      <c r="L3594" s="35">
        <v>-124.10562173432427</v>
      </c>
      <c r="M3594" s="58" t="s">
        <v>23</v>
      </c>
      <c r="N3594" s="7">
        <v>9.5</v>
      </c>
      <c r="O3594" s="7" t="s">
        <v>179</v>
      </c>
      <c r="P3594" s="7" t="s">
        <v>179</v>
      </c>
    </row>
    <row r="3595" spans="1:16" x14ac:dyDescent="0.25">
      <c r="A3595" s="2" t="s">
        <v>181</v>
      </c>
      <c r="B3595" s="2" t="s">
        <v>210</v>
      </c>
      <c r="C3595" s="6" t="s">
        <v>156</v>
      </c>
      <c r="D3595" s="2" t="s">
        <v>125</v>
      </c>
      <c r="E3595" s="2"/>
      <c r="F3595" s="35">
        <v>0</v>
      </c>
      <c r="G3595" s="35">
        <v>-68.091406641349479</v>
      </c>
      <c r="H3595" s="35">
        <v>15.486487569715978</v>
      </c>
      <c r="I3595" s="35">
        <v>-3.9135447516036731E-3</v>
      </c>
      <c r="J3595" s="35">
        <v>3.993982393127407E-5</v>
      </c>
      <c r="K3595" s="35">
        <v>-3.7160080369300068E-2</v>
      </c>
      <c r="L3595" s="35">
        <v>47.593153457429509</v>
      </c>
      <c r="M3595" s="58" t="s">
        <v>22</v>
      </c>
      <c r="N3595" s="7">
        <v>9.5</v>
      </c>
      <c r="O3595" s="7" t="s">
        <v>179</v>
      </c>
      <c r="P3595" s="7" t="s">
        <v>179</v>
      </c>
    </row>
    <row r="3596" spans="1:16" x14ac:dyDescent="0.25">
      <c r="A3596" s="2" t="s">
        <v>181</v>
      </c>
      <c r="B3596" s="2" t="s">
        <v>210</v>
      </c>
      <c r="C3596" s="6" t="s">
        <v>156</v>
      </c>
      <c r="D3596" s="2" t="s">
        <v>125</v>
      </c>
      <c r="E3596" s="2"/>
      <c r="F3596" s="35">
        <v>4.4982502942822435</v>
      </c>
      <c r="G3596" s="35">
        <v>-66.261073994506376</v>
      </c>
      <c r="H3596" s="35">
        <v>-8.696106012345366</v>
      </c>
      <c r="I3596" s="35">
        <v>-3.9135447516051546E-3</v>
      </c>
      <c r="J3596" s="35">
        <v>3.993982393127407E-5</v>
      </c>
      <c r="K3596" s="35">
        <v>-1.9555976538708789E-2</v>
      </c>
      <c r="L3596" s="35">
        <v>32.320735538063992</v>
      </c>
      <c r="M3596" s="58" t="s">
        <v>24</v>
      </c>
      <c r="N3596" s="7">
        <v>9.5</v>
      </c>
      <c r="O3596" s="7" t="s">
        <v>179</v>
      </c>
      <c r="P3596" s="7" t="s">
        <v>179</v>
      </c>
    </row>
    <row r="3597" spans="1:16" x14ac:dyDescent="0.25">
      <c r="A3597" s="2" t="s">
        <v>181</v>
      </c>
      <c r="B3597" s="2" t="s">
        <v>210</v>
      </c>
      <c r="C3597" s="6" t="s">
        <v>156</v>
      </c>
      <c r="D3597" s="2" t="s">
        <v>125</v>
      </c>
      <c r="E3597" s="2"/>
      <c r="F3597" s="35">
        <v>8.9965005885644871</v>
      </c>
      <c r="G3597" s="35">
        <v>-64.430741347663286</v>
      </c>
      <c r="H3597" s="35">
        <v>-32.878699594406712</v>
      </c>
      <c r="I3597" s="35">
        <v>-3.9135447516066351E-3</v>
      </c>
      <c r="J3597" s="35">
        <v>3.993982393127407E-5</v>
      </c>
      <c r="K3597" s="35">
        <v>-1.9518727081108426E-3</v>
      </c>
      <c r="L3597" s="35">
        <v>125.82767631571382</v>
      </c>
      <c r="M3597" s="58" t="s">
        <v>23</v>
      </c>
      <c r="N3597" s="7">
        <v>9.5</v>
      </c>
      <c r="O3597" s="7" t="s">
        <v>179</v>
      </c>
      <c r="P3597" s="7" t="s">
        <v>179</v>
      </c>
    </row>
    <row r="3598" spans="1:16" x14ac:dyDescent="0.25">
      <c r="A3598" s="2" t="s">
        <v>181</v>
      </c>
      <c r="B3598" s="2" t="s">
        <v>210</v>
      </c>
      <c r="C3598" s="6" t="s">
        <v>156</v>
      </c>
      <c r="D3598" s="2" t="s">
        <v>126</v>
      </c>
      <c r="E3598" s="2"/>
      <c r="F3598" s="35">
        <v>0</v>
      </c>
      <c r="G3598" s="35">
        <v>33.215022084814926</v>
      </c>
      <c r="H3598" s="35">
        <v>-7.0157028397983687</v>
      </c>
      <c r="I3598" s="35">
        <v>-4.7003531371359779E-3</v>
      </c>
      <c r="J3598" s="35">
        <v>5.1489249757827614E-5</v>
      </c>
      <c r="K3598" s="35">
        <v>-4.4635046295034259E-2</v>
      </c>
      <c r="L3598" s="35">
        <v>-15.934657060198527</v>
      </c>
      <c r="M3598" s="58" t="s">
        <v>22</v>
      </c>
      <c r="N3598" s="7">
        <v>9.5</v>
      </c>
      <c r="O3598" s="7" t="s">
        <v>179</v>
      </c>
      <c r="P3598" s="7" t="s">
        <v>179</v>
      </c>
    </row>
    <row r="3599" spans="1:16" x14ac:dyDescent="0.25">
      <c r="A3599" s="2" t="s">
        <v>181</v>
      </c>
      <c r="B3599" s="2" t="s">
        <v>210</v>
      </c>
      <c r="C3599" s="6" t="s">
        <v>156</v>
      </c>
      <c r="D3599" s="2" t="s">
        <v>126</v>
      </c>
      <c r="E3599" s="2"/>
      <c r="F3599" s="35">
        <v>4.4982502942822435</v>
      </c>
      <c r="G3599" s="35">
        <v>35.045354731658016</v>
      </c>
      <c r="H3599" s="35">
        <v>7.3427120995505559</v>
      </c>
      <c r="I3599" s="35">
        <v>-4.7003531371350984E-3</v>
      </c>
      <c r="J3599" s="35">
        <v>5.1489249757827614E-5</v>
      </c>
      <c r="K3599" s="35">
        <v>-2.349168141268386E-2</v>
      </c>
      <c r="L3599" s="35">
        <v>-16.670141809655167</v>
      </c>
      <c r="M3599" s="58" t="s">
        <v>24</v>
      </c>
      <c r="N3599" s="7">
        <v>9.5</v>
      </c>
      <c r="O3599" s="7" t="s">
        <v>179</v>
      </c>
      <c r="P3599" s="7" t="s">
        <v>179</v>
      </c>
    </row>
    <row r="3600" spans="1:16" x14ac:dyDescent="0.25">
      <c r="A3600" s="2" t="s">
        <v>181</v>
      </c>
      <c r="B3600" s="2" t="s">
        <v>210</v>
      </c>
      <c r="C3600" s="6" t="s">
        <v>156</v>
      </c>
      <c r="D3600" s="2" t="s">
        <v>126</v>
      </c>
      <c r="E3600" s="2"/>
      <c r="F3600" s="35">
        <v>8.9965005885644871</v>
      </c>
      <c r="G3600" s="35">
        <v>36.875687378501105</v>
      </c>
      <c r="H3600" s="35">
        <v>21.701127038899479</v>
      </c>
      <c r="I3600" s="35">
        <v>-4.700353137134218E-3</v>
      </c>
      <c r="J3600" s="35">
        <v>5.1489249757827614E-5</v>
      </c>
      <c r="K3600" s="35">
        <v>-2.3483165303374129E-3</v>
      </c>
      <c r="L3600" s="35">
        <v>-81.993370785464677</v>
      </c>
      <c r="M3600" s="58" t="s">
        <v>23</v>
      </c>
      <c r="N3600" s="7">
        <v>9.5</v>
      </c>
      <c r="O3600" s="7" t="s">
        <v>179</v>
      </c>
      <c r="P3600" s="7" t="s">
        <v>179</v>
      </c>
    </row>
    <row r="3601" spans="1:16" x14ac:dyDescent="0.25">
      <c r="A3601" s="2" t="s">
        <v>181</v>
      </c>
      <c r="B3601" s="2" t="s">
        <v>210</v>
      </c>
      <c r="C3601" s="6" t="s">
        <v>156</v>
      </c>
      <c r="D3601" s="2" t="s">
        <v>127</v>
      </c>
      <c r="E3601" s="2"/>
      <c r="F3601" s="35">
        <v>0</v>
      </c>
      <c r="G3601" s="35">
        <v>-20.27970934230353</v>
      </c>
      <c r="H3601" s="35">
        <v>-23.271348115649815</v>
      </c>
      <c r="I3601" s="35">
        <v>-3.5265084763537566E-3</v>
      </c>
      <c r="J3601" s="35">
        <v>3.5762795434712713E-5</v>
      </c>
      <c r="K3601" s="35">
        <v>-3.3485455676263737E-2</v>
      </c>
      <c r="L3601" s="35">
        <v>-112.74471044612876</v>
      </c>
      <c r="M3601" s="58" t="s">
        <v>22</v>
      </c>
      <c r="N3601" s="7">
        <v>9.5</v>
      </c>
      <c r="O3601" s="7" t="s">
        <v>179</v>
      </c>
      <c r="P3601" s="7" t="s">
        <v>179</v>
      </c>
    </row>
    <row r="3602" spans="1:16" x14ac:dyDescent="0.25">
      <c r="A3602" s="2" t="s">
        <v>181</v>
      </c>
      <c r="B3602" s="2" t="s">
        <v>210</v>
      </c>
      <c r="C3602" s="6" t="s">
        <v>156</v>
      </c>
      <c r="D3602" s="2" t="s">
        <v>127</v>
      </c>
      <c r="E3602" s="2"/>
      <c r="F3602" s="35">
        <v>4.4982502942822435</v>
      </c>
      <c r="G3602" s="35">
        <v>-18.44937669546044</v>
      </c>
      <c r="H3602" s="35">
        <v>-19.492817868452729</v>
      </c>
      <c r="I3602" s="35">
        <v>-3.5265084763535254E-3</v>
      </c>
      <c r="J3602" s="35">
        <v>3.5762795434712713E-5</v>
      </c>
      <c r="K3602" s="35">
        <v>-1.7622337884717149E-2</v>
      </c>
      <c r="L3602" s="35">
        <v>-16.56274933476676</v>
      </c>
      <c r="M3602" s="58" t="s">
        <v>24</v>
      </c>
      <c r="N3602" s="7">
        <v>9.5</v>
      </c>
      <c r="O3602" s="7" t="s">
        <v>179</v>
      </c>
      <c r="P3602" s="7" t="s">
        <v>179</v>
      </c>
    </row>
    <row r="3603" spans="1:16" x14ac:dyDescent="0.25">
      <c r="A3603" s="2" t="s">
        <v>181</v>
      </c>
      <c r="B3603" s="2" t="s">
        <v>210</v>
      </c>
      <c r="C3603" s="6" t="s">
        <v>156</v>
      </c>
      <c r="D3603" s="2" t="s">
        <v>127</v>
      </c>
      <c r="E3603" s="2"/>
      <c r="F3603" s="35">
        <v>8.9965005885644871</v>
      </c>
      <c r="G3603" s="35">
        <v>-16.619044048617351</v>
      </c>
      <c r="H3603" s="35">
        <v>-15.714287621255647</v>
      </c>
      <c r="I3603" s="35">
        <v>-3.5265084763532943E-3</v>
      </c>
      <c r="J3603" s="35">
        <v>3.5762795434712713E-5</v>
      </c>
      <c r="K3603" s="35">
        <v>-1.7592200931715954E-3</v>
      </c>
      <c r="L3603" s="35">
        <v>62.62243698018662</v>
      </c>
      <c r="M3603" s="58" t="s">
        <v>23</v>
      </c>
      <c r="N3603" s="7">
        <v>9.5</v>
      </c>
      <c r="O3603" s="7" t="s">
        <v>179</v>
      </c>
      <c r="P3603" s="7" t="s">
        <v>179</v>
      </c>
    </row>
    <row r="3604" spans="1:16" x14ac:dyDescent="0.25">
      <c r="A3604" s="2" t="s">
        <v>183</v>
      </c>
      <c r="B3604" s="2" t="s">
        <v>211</v>
      </c>
      <c r="C3604" s="6" t="s">
        <v>157</v>
      </c>
      <c r="D3604" s="2" t="s">
        <v>105</v>
      </c>
      <c r="E3604" s="2"/>
      <c r="F3604" s="35">
        <v>0</v>
      </c>
      <c r="G3604" s="35">
        <v>-96.048090710897114</v>
      </c>
      <c r="H3604" s="35">
        <v>1.7165034570965809</v>
      </c>
      <c r="I3604" s="35">
        <v>7.6245683654417094E-5</v>
      </c>
      <c r="J3604" s="35">
        <v>4.803123363048889E-6</v>
      </c>
      <c r="K3604" s="35">
        <v>8.8665518111345906E-4</v>
      </c>
      <c r="L3604" s="35">
        <v>3.985418526928711</v>
      </c>
      <c r="M3604" s="58" t="s">
        <v>22</v>
      </c>
      <c r="N3604" s="7">
        <v>11.333333333333334</v>
      </c>
      <c r="O3604" s="7" t="s">
        <v>180</v>
      </c>
      <c r="P3604" s="7" t="s">
        <v>180</v>
      </c>
    </row>
    <row r="3605" spans="1:16" x14ac:dyDescent="0.25">
      <c r="A3605" s="2" t="s">
        <v>183</v>
      </c>
      <c r="B3605" s="2" t="s">
        <v>211</v>
      </c>
      <c r="C3605" s="6" t="s">
        <v>157</v>
      </c>
      <c r="D3605" s="2" t="s">
        <v>105</v>
      </c>
      <c r="E3605" s="2"/>
      <c r="F3605" s="35">
        <v>5.4149169609489114</v>
      </c>
      <c r="G3605" s="35">
        <v>-93.468679854781612</v>
      </c>
      <c r="H3605" s="35">
        <v>1.7165034570965809</v>
      </c>
      <c r="I3605" s="35">
        <v>7.6245683654417094E-5</v>
      </c>
      <c r="J3605" s="35">
        <v>4.803123363048889E-6</v>
      </c>
      <c r="K3605" s="35">
        <v>4.7379113549401075E-4</v>
      </c>
      <c r="L3605" s="35">
        <v>-5.309305156431007</v>
      </c>
      <c r="M3605" s="58" t="s">
        <v>24</v>
      </c>
      <c r="N3605" s="7">
        <v>11.333333333333334</v>
      </c>
      <c r="O3605" s="7" t="s">
        <v>180</v>
      </c>
      <c r="P3605" s="7" t="s">
        <v>180</v>
      </c>
    </row>
    <row r="3606" spans="1:16" x14ac:dyDescent="0.25">
      <c r="A3606" s="2" t="s">
        <v>183</v>
      </c>
      <c r="B3606" s="2" t="s">
        <v>211</v>
      </c>
      <c r="C3606" s="6" t="s">
        <v>157</v>
      </c>
      <c r="D3606" s="2" t="s">
        <v>105</v>
      </c>
      <c r="E3606" s="2"/>
      <c r="F3606" s="35">
        <v>10.829833921897823</v>
      </c>
      <c r="G3606" s="35">
        <v>-90.889268998666097</v>
      </c>
      <c r="H3606" s="35">
        <v>1.7165034570965809</v>
      </c>
      <c r="I3606" s="35">
        <v>7.6245683654417094E-5</v>
      </c>
      <c r="J3606" s="35">
        <v>4.803123363048889E-6</v>
      </c>
      <c r="K3606" s="35">
        <v>6.0927089874562472E-5</v>
      </c>
      <c r="L3606" s="35">
        <v>-14.604028839790724</v>
      </c>
      <c r="M3606" s="58" t="s">
        <v>23</v>
      </c>
      <c r="N3606" s="7">
        <v>11.333333333333334</v>
      </c>
      <c r="O3606" s="7" t="s">
        <v>180</v>
      </c>
      <c r="P3606" s="7" t="s">
        <v>180</v>
      </c>
    </row>
    <row r="3607" spans="1:16" x14ac:dyDescent="0.25">
      <c r="A3607" s="2" t="s">
        <v>183</v>
      </c>
      <c r="B3607" s="2" t="s">
        <v>211</v>
      </c>
      <c r="C3607" s="6" t="s">
        <v>157</v>
      </c>
      <c r="D3607" s="2" t="s">
        <v>15</v>
      </c>
      <c r="E3607" s="2"/>
      <c r="F3607" s="35">
        <v>0</v>
      </c>
      <c r="G3607" s="35">
        <v>121.90328293424287</v>
      </c>
      <c r="H3607" s="35">
        <v>-6.206474391650838</v>
      </c>
      <c r="I3607" s="35">
        <v>-2.8961591672133209E-2</v>
      </c>
      <c r="J3607" s="35">
        <v>-5.6062264397082923E-4</v>
      </c>
      <c r="K3607" s="35">
        <v>-0.33296257469630608</v>
      </c>
      <c r="L3607" s="35">
        <v>-21.077373696498054</v>
      </c>
      <c r="M3607" s="58" t="s">
        <v>22</v>
      </c>
      <c r="N3607" s="7">
        <v>11.333333333333334</v>
      </c>
      <c r="O3607" s="7" t="s">
        <v>180</v>
      </c>
      <c r="P3607" s="7" t="s">
        <v>180</v>
      </c>
    </row>
    <row r="3608" spans="1:16" x14ac:dyDescent="0.25">
      <c r="A3608" s="2" t="s">
        <v>183</v>
      </c>
      <c r="B3608" s="2" t="s">
        <v>211</v>
      </c>
      <c r="C3608" s="6" t="s">
        <v>157</v>
      </c>
      <c r="D3608" s="2" t="s">
        <v>15</v>
      </c>
      <c r="E3608" s="2"/>
      <c r="F3608" s="35">
        <v>5.4149169609489114</v>
      </c>
      <c r="G3608" s="35">
        <v>124.48269379035837</v>
      </c>
      <c r="H3608" s="35">
        <v>-6.206474391650838</v>
      </c>
      <c r="I3608" s="35">
        <v>-2.8961591672133209E-2</v>
      </c>
      <c r="J3608" s="35">
        <v>-5.6062264397082923E-4</v>
      </c>
      <c r="K3608" s="35">
        <v>-0.17613796073479521</v>
      </c>
      <c r="L3608" s="35">
        <v>12.53016975454714</v>
      </c>
      <c r="M3608" s="58" t="s">
        <v>24</v>
      </c>
      <c r="N3608" s="7">
        <v>11.333333333333334</v>
      </c>
      <c r="O3608" s="7" t="s">
        <v>180</v>
      </c>
      <c r="P3608" s="7" t="s">
        <v>180</v>
      </c>
    </row>
    <row r="3609" spans="1:16" x14ac:dyDescent="0.25">
      <c r="A3609" s="2" t="s">
        <v>183</v>
      </c>
      <c r="B3609" s="2" t="s">
        <v>211</v>
      </c>
      <c r="C3609" s="6" t="s">
        <v>157</v>
      </c>
      <c r="D3609" s="2" t="s">
        <v>15</v>
      </c>
      <c r="E3609" s="2"/>
      <c r="F3609" s="35">
        <v>10.829833921897823</v>
      </c>
      <c r="G3609" s="35">
        <v>127.06210464647387</v>
      </c>
      <c r="H3609" s="35">
        <v>-6.206474391650838</v>
      </c>
      <c r="I3609" s="35">
        <v>-2.8961591672133209E-2</v>
      </c>
      <c r="J3609" s="35">
        <v>-5.6062264397082923E-4</v>
      </c>
      <c r="K3609" s="35">
        <v>-1.9313346773284421E-2</v>
      </c>
      <c r="L3609" s="35">
        <v>46.137713205592334</v>
      </c>
      <c r="M3609" s="58" t="s">
        <v>23</v>
      </c>
      <c r="N3609" s="7">
        <v>11.333333333333334</v>
      </c>
      <c r="O3609" s="7" t="s">
        <v>180</v>
      </c>
      <c r="P3609" s="7" t="s">
        <v>180</v>
      </c>
    </row>
    <row r="3610" spans="1:16" x14ac:dyDescent="0.25">
      <c r="A3610" s="2" t="s">
        <v>183</v>
      </c>
      <c r="B3610" s="2" t="s">
        <v>211</v>
      </c>
      <c r="C3610" s="6" t="s">
        <v>157</v>
      </c>
      <c r="D3610" s="2" t="s">
        <v>16</v>
      </c>
      <c r="E3610" s="2"/>
      <c r="F3610" s="35">
        <v>0</v>
      </c>
      <c r="G3610" s="35">
        <v>41.539075287768206</v>
      </c>
      <c r="H3610" s="35">
        <v>-3.0310859299782758</v>
      </c>
      <c r="I3610" s="35">
        <v>-2.775794048524929E-2</v>
      </c>
      <c r="J3610" s="35">
        <v>-5.3477001399179845E-4</v>
      </c>
      <c r="K3610" s="35">
        <v>-0.31911625384015696</v>
      </c>
      <c r="L3610" s="35">
        <v>-10.770863871515269</v>
      </c>
      <c r="M3610" s="58" t="s">
        <v>22</v>
      </c>
      <c r="N3610" s="7">
        <v>11.333333333333334</v>
      </c>
      <c r="O3610" s="7" t="s">
        <v>180</v>
      </c>
      <c r="P3610" s="7" t="s">
        <v>180</v>
      </c>
    </row>
    <row r="3611" spans="1:16" x14ac:dyDescent="0.25">
      <c r="A3611" s="2" t="s">
        <v>183</v>
      </c>
      <c r="B3611" s="2" t="s">
        <v>211</v>
      </c>
      <c r="C3611" s="6" t="s">
        <v>157</v>
      </c>
      <c r="D3611" s="2" t="s">
        <v>16</v>
      </c>
      <c r="E3611" s="2"/>
      <c r="F3611" s="35">
        <v>5.4149169609489114</v>
      </c>
      <c r="G3611" s="35">
        <v>44.118486143883715</v>
      </c>
      <c r="H3611" s="35">
        <v>-3.0310859299782758</v>
      </c>
      <c r="I3611" s="35">
        <v>-2.775794048524929E-2</v>
      </c>
      <c r="J3611" s="35">
        <v>-5.3477001399179845E-4</v>
      </c>
      <c r="K3611" s="35">
        <v>-0.16880931110557015</v>
      </c>
      <c r="L3611" s="35">
        <v>5.6422147408176988</v>
      </c>
      <c r="M3611" s="58" t="s">
        <v>24</v>
      </c>
      <c r="N3611" s="7">
        <v>11.333333333333334</v>
      </c>
      <c r="O3611" s="7" t="s">
        <v>180</v>
      </c>
      <c r="P3611" s="7" t="s">
        <v>180</v>
      </c>
    </row>
    <row r="3612" spans="1:16" x14ac:dyDescent="0.25">
      <c r="A3612" s="2" t="s">
        <v>183</v>
      </c>
      <c r="B3612" s="2" t="s">
        <v>211</v>
      </c>
      <c r="C3612" s="6" t="s">
        <v>157</v>
      </c>
      <c r="D3612" s="2" t="s">
        <v>16</v>
      </c>
      <c r="E3612" s="2"/>
      <c r="F3612" s="35">
        <v>10.829833921897823</v>
      </c>
      <c r="G3612" s="35">
        <v>46.697896999999216</v>
      </c>
      <c r="H3612" s="35">
        <v>-3.0310859299782758</v>
      </c>
      <c r="I3612" s="35">
        <v>-2.775794048524929E-2</v>
      </c>
      <c r="J3612" s="35">
        <v>-5.3477001399179845E-4</v>
      </c>
      <c r="K3612" s="35">
        <v>-1.8502368370983364E-2</v>
      </c>
      <c r="L3612" s="35">
        <v>22.055293353150667</v>
      </c>
      <c r="M3612" s="58" t="s">
        <v>23</v>
      </c>
      <c r="N3612" s="7">
        <v>11.333333333333334</v>
      </c>
      <c r="O3612" s="7" t="s">
        <v>180</v>
      </c>
      <c r="P3612" s="7" t="s">
        <v>180</v>
      </c>
    </row>
    <row r="3613" spans="1:16" x14ac:dyDescent="0.25">
      <c r="A3613" s="2" t="s">
        <v>183</v>
      </c>
      <c r="B3613" s="2" t="s">
        <v>211</v>
      </c>
      <c r="C3613" s="6" t="s">
        <v>157</v>
      </c>
      <c r="D3613" s="2" t="s">
        <v>106</v>
      </c>
      <c r="E3613" s="2"/>
      <c r="F3613" s="35">
        <v>0</v>
      </c>
      <c r="G3613" s="35">
        <v>121.90355779640458</v>
      </c>
      <c r="H3613" s="35">
        <v>-6.2068227299673495</v>
      </c>
      <c r="I3613" s="35">
        <v>2.8824416854022452E-2</v>
      </c>
      <c r="J3613" s="35">
        <v>5.5082664471039144E-4</v>
      </c>
      <c r="K3613" s="35">
        <v>0.33136410693522322</v>
      </c>
      <c r="L3613" s="35">
        <v>-21.078397049298758</v>
      </c>
      <c r="M3613" s="58" t="s">
        <v>22</v>
      </c>
      <c r="N3613" s="7">
        <v>11.333333333333334</v>
      </c>
      <c r="O3613" s="7" t="s">
        <v>180</v>
      </c>
      <c r="P3613" s="7" t="s">
        <v>180</v>
      </c>
    </row>
    <row r="3614" spans="1:16" x14ac:dyDescent="0.25">
      <c r="A3614" s="2" t="s">
        <v>183</v>
      </c>
      <c r="B3614" s="2" t="s">
        <v>211</v>
      </c>
      <c r="C3614" s="6" t="s">
        <v>157</v>
      </c>
      <c r="D3614" s="2" t="s">
        <v>106</v>
      </c>
      <c r="E3614" s="2"/>
      <c r="F3614" s="35">
        <v>5.4149169609489114</v>
      </c>
      <c r="G3614" s="35">
        <v>124.48296865252009</v>
      </c>
      <c r="H3614" s="35">
        <v>-6.2068227299673495</v>
      </c>
      <c r="I3614" s="35">
        <v>2.8824416854022452E-2</v>
      </c>
      <c r="J3614" s="35">
        <v>5.5082664471039144E-4</v>
      </c>
      <c r="K3614" s="35">
        <v>0.17528228322291545</v>
      </c>
      <c r="L3614" s="35">
        <v>12.531032624804663</v>
      </c>
      <c r="M3614" s="58" t="s">
        <v>24</v>
      </c>
      <c r="N3614" s="7">
        <v>11.333333333333334</v>
      </c>
      <c r="O3614" s="7" t="s">
        <v>180</v>
      </c>
      <c r="P3614" s="7" t="s">
        <v>180</v>
      </c>
    </row>
    <row r="3615" spans="1:16" x14ac:dyDescent="0.25">
      <c r="A3615" s="2" t="s">
        <v>183</v>
      </c>
      <c r="B3615" s="2" t="s">
        <v>211</v>
      </c>
      <c r="C3615" s="6" t="s">
        <v>157</v>
      </c>
      <c r="D3615" s="2" t="s">
        <v>106</v>
      </c>
      <c r="E3615" s="2"/>
      <c r="F3615" s="35">
        <v>10.829833921897823</v>
      </c>
      <c r="G3615" s="35">
        <v>127.06237950863559</v>
      </c>
      <c r="H3615" s="35">
        <v>-6.2068227299673495</v>
      </c>
      <c r="I3615" s="35">
        <v>2.8824416854022452E-2</v>
      </c>
      <c r="J3615" s="35">
        <v>5.5082664471039144E-4</v>
      </c>
      <c r="K3615" s="35">
        <v>1.9200459510607601E-2</v>
      </c>
      <c r="L3615" s="35">
        <v>46.140462298908083</v>
      </c>
      <c r="M3615" s="58" t="s">
        <v>23</v>
      </c>
      <c r="N3615" s="7">
        <v>11.333333333333334</v>
      </c>
      <c r="O3615" s="7" t="s">
        <v>180</v>
      </c>
      <c r="P3615" s="7" t="s">
        <v>180</v>
      </c>
    </row>
    <row r="3616" spans="1:16" x14ac:dyDescent="0.25">
      <c r="A3616" s="2" t="s">
        <v>183</v>
      </c>
      <c r="B3616" s="2" t="s">
        <v>211</v>
      </c>
      <c r="C3616" s="6" t="s">
        <v>157</v>
      </c>
      <c r="D3616" s="2" t="s">
        <v>107</v>
      </c>
      <c r="E3616" s="2"/>
      <c r="F3616" s="35">
        <v>0</v>
      </c>
      <c r="G3616" s="35">
        <v>41.539349751639321</v>
      </c>
      <c r="H3616" s="35">
        <v>-3.0314337443759793</v>
      </c>
      <c r="I3616" s="35">
        <v>3.0005734960373995E-2</v>
      </c>
      <c r="J3616" s="35">
        <v>5.7578294728518361E-4</v>
      </c>
      <c r="K3616" s="35">
        <v>0.34495226445525073</v>
      </c>
      <c r="L3616" s="35">
        <v>-10.771885744152549</v>
      </c>
      <c r="M3616" s="58" t="s">
        <v>22</v>
      </c>
      <c r="N3616" s="7">
        <v>11.333333333333334</v>
      </c>
      <c r="O3616" s="7" t="s">
        <v>180</v>
      </c>
      <c r="P3616" s="7" t="s">
        <v>180</v>
      </c>
    </row>
    <row r="3617" spans="1:16" x14ac:dyDescent="0.25">
      <c r="A3617" s="2" t="s">
        <v>183</v>
      </c>
      <c r="B3617" s="2" t="s">
        <v>211</v>
      </c>
      <c r="C3617" s="6" t="s">
        <v>157</v>
      </c>
      <c r="D3617" s="2" t="s">
        <v>107</v>
      </c>
      <c r="E3617" s="2"/>
      <c r="F3617" s="35">
        <v>5.4149169609489114</v>
      </c>
      <c r="G3617" s="35">
        <v>44.11876060775483</v>
      </c>
      <c r="H3617" s="35">
        <v>-3.0314337443759793</v>
      </c>
      <c r="I3617" s="35">
        <v>3.0005734960373995E-2</v>
      </c>
      <c r="J3617" s="35">
        <v>5.7578294728518361E-4</v>
      </c>
      <c r="K3617" s="35">
        <v>0.18247370129258395</v>
      </c>
      <c r="L3617" s="35">
        <v>5.6430762542618069</v>
      </c>
      <c r="M3617" s="58" t="s">
        <v>24</v>
      </c>
      <c r="N3617" s="7">
        <v>11.333333333333334</v>
      </c>
      <c r="O3617" s="7" t="s">
        <v>180</v>
      </c>
      <c r="P3617" s="7" t="s">
        <v>180</v>
      </c>
    </row>
    <row r="3618" spans="1:16" x14ac:dyDescent="0.25">
      <c r="A3618" s="2" t="s">
        <v>183</v>
      </c>
      <c r="B3618" s="2" t="s">
        <v>211</v>
      </c>
      <c r="C3618" s="6" t="s">
        <v>157</v>
      </c>
      <c r="D3618" s="2" t="s">
        <v>107</v>
      </c>
      <c r="E3618" s="2"/>
      <c r="F3618" s="35">
        <v>10.829833921897823</v>
      </c>
      <c r="G3618" s="35">
        <v>46.698171463870331</v>
      </c>
      <c r="H3618" s="35">
        <v>-3.0314337443759793</v>
      </c>
      <c r="I3618" s="35">
        <v>3.0005734960373995E-2</v>
      </c>
      <c r="J3618" s="35">
        <v>5.7578294728518361E-4</v>
      </c>
      <c r="K3618" s="35">
        <v>1.9995138129917104E-2</v>
      </c>
      <c r="L3618" s="35">
        <v>22.058038252676162</v>
      </c>
      <c r="M3618" s="58" t="s">
        <v>23</v>
      </c>
      <c r="N3618" s="7">
        <v>11.333333333333334</v>
      </c>
      <c r="O3618" s="7" t="s">
        <v>180</v>
      </c>
      <c r="P3618" s="7" t="s">
        <v>180</v>
      </c>
    </row>
    <row r="3619" spans="1:16" x14ac:dyDescent="0.25">
      <c r="A3619" s="2" t="s">
        <v>183</v>
      </c>
      <c r="B3619" s="2" t="s">
        <v>211</v>
      </c>
      <c r="C3619" s="6" t="s">
        <v>157</v>
      </c>
      <c r="D3619" s="2" t="s">
        <v>108</v>
      </c>
      <c r="E3619" s="2"/>
      <c r="F3619" s="35">
        <v>0</v>
      </c>
      <c r="G3619" s="35">
        <v>120.92748273954474</v>
      </c>
      <c r="H3619" s="35">
        <v>-0.24781329278073094</v>
      </c>
      <c r="I3619" s="35">
        <v>-3.011445273553787E-3</v>
      </c>
      <c r="J3619" s="35">
        <v>-6.0636110948111572E-5</v>
      </c>
      <c r="K3619" s="35">
        <v>-3.4630524292602528E-2</v>
      </c>
      <c r="L3619" s="35">
        <v>16.334248921468532</v>
      </c>
      <c r="M3619" s="58" t="s">
        <v>22</v>
      </c>
      <c r="N3619" s="7">
        <v>11.333333333333334</v>
      </c>
      <c r="O3619" s="7" t="s">
        <v>180</v>
      </c>
      <c r="P3619" s="7" t="s">
        <v>180</v>
      </c>
    </row>
    <row r="3620" spans="1:16" x14ac:dyDescent="0.25">
      <c r="A3620" s="2" t="s">
        <v>183</v>
      </c>
      <c r="B3620" s="2" t="s">
        <v>211</v>
      </c>
      <c r="C3620" s="6" t="s">
        <v>157</v>
      </c>
      <c r="D3620" s="2" t="s">
        <v>108</v>
      </c>
      <c r="E3620" s="2"/>
      <c r="F3620" s="35">
        <v>5.4149169609489114</v>
      </c>
      <c r="G3620" s="35">
        <v>123.50689359566024</v>
      </c>
      <c r="H3620" s="35">
        <v>-0.24781329278073094</v>
      </c>
      <c r="I3620" s="35">
        <v>-3.011445273553787E-3</v>
      </c>
      <c r="J3620" s="35">
        <v>-6.0636110948111572E-5</v>
      </c>
      <c r="K3620" s="35">
        <v>-1.83237982038667E-2</v>
      </c>
      <c r="L3620" s="35">
        <v>17.67613732369551</v>
      </c>
      <c r="M3620" s="58" t="s">
        <v>24</v>
      </c>
      <c r="N3620" s="7">
        <v>11.333333333333334</v>
      </c>
      <c r="O3620" s="7" t="s">
        <v>180</v>
      </c>
      <c r="P3620" s="7" t="s">
        <v>180</v>
      </c>
    </row>
    <row r="3621" spans="1:16" x14ac:dyDescent="0.25">
      <c r="A3621" s="2" t="s">
        <v>183</v>
      </c>
      <c r="B3621" s="2" t="s">
        <v>211</v>
      </c>
      <c r="C3621" s="6" t="s">
        <v>157</v>
      </c>
      <c r="D3621" s="2" t="s">
        <v>108</v>
      </c>
      <c r="E3621" s="2"/>
      <c r="F3621" s="35">
        <v>10.829833921897823</v>
      </c>
      <c r="G3621" s="35">
        <v>126.08630445177575</v>
      </c>
      <c r="H3621" s="35">
        <v>-0.24781329278073094</v>
      </c>
      <c r="I3621" s="35">
        <v>-3.011445273553787E-3</v>
      </c>
      <c r="J3621" s="35">
        <v>-6.0636110948111572E-5</v>
      </c>
      <c r="K3621" s="35">
        <v>-2.0170721151308688E-3</v>
      </c>
      <c r="L3621" s="35">
        <v>19.018025725922488</v>
      </c>
      <c r="M3621" s="58" t="s">
        <v>23</v>
      </c>
      <c r="N3621" s="7">
        <v>11.333333333333334</v>
      </c>
      <c r="O3621" s="7" t="s">
        <v>180</v>
      </c>
      <c r="P3621" s="7" t="s">
        <v>180</v>
      </c>
    </row>
    <row r="3622" spans="1:16" x14ac:dyDescent="0.25">
      <c r="A3622" s="2" t="s">
        <v>183</v>
      </c>
      <c r="B3622" s="2" t="s">
        <v>211</v>
      </c>
      <c r="C3622" s="6" t="s">
        <v>157</v>
      </c>
      <c r="D3622" s="2" t="s">
        <v>109</v>
      </c>
      <c r="E3622" s="2"/>
      <c r="F3622" s="35">
        <v>0</v>
      </c>
      <c r="G3622" s="35">
        <v>-91.702296839217027</v>
      </c>
      <c r="H3622" s="35">
        <v>13.271512834550792</v>
      </c>
      <c r="I3622" s="35">
        <v>-1.6827729037432267E-3</v>
      </c>
      <c r="J3622" s="35">
        <v>-2.7773116425274921E-5</v>
      </c>
      <c r="K3622" s="35">
        <v>-1.9332884015027731E-2</v>
      </c>
      <c r="L3622" s="35">
        <v>81.305264547963162</v>
      </c>
      <c r="M3622" s="58" t="s">
        <v>22</v>
      </c>
      <c r="N3622" s="7">
        <v>11.333333333333334</v>
      </c>
      <c r="O3622" s="7" t="s">
        <v>180</v>
      </c>
      <c r="P3622" s="7" t="s">
        <v>180</v>
      </c>
    </row>
    <row r="3623" spans="1:16" x14ac:dyDescent="0.25">
      <c r="A3623" s="2" t="s">
        <v>183</v>
      </c>
      <c r="B3623" s="2" t="s">
        <v>211</v>
      </c>
      <c r="C3623" s="6" t="s">
        <v>157</v>
      </c>
      <c r="D3623" s="2" t="s">
        <v>109</v>
      </c>
      <c r="E3623" s="2"/>
      <c r="F3623" s="35">
        <v>5.4149169609489114</v>
      </c>
      <c r="G3623" s="35">
        <v>-89.122885983101526</v>
      </c>
      <c r="H3623" s="35">
        <v>13.271512834550792</v>
      </c>
      <c r="I3623" s="35">
        <v>-1.6827729037432267E-3</v>
      </c>
      <c r="J3623" s="35">
        <v>-2.7773116425274921E-5</v>
      </c>
      <c r="K3623" s="35">
        <v>-1.0220808477123283E-2</v>
      </c>
      <c r="L3623" s="35">
        <v>9.441124602702919</v>
      </c>
      <c r="M3623" s="58" t="s">
        <v>24</v>
      </c>
      <c r="N3623" s="7">
        <v>11.333333333333334</v>
      </c>
      <c r="O3623" s="7" t="s">
        <v>180</v>
      </c>
      <c r="P3623" s="7" t="s">
        <v>180</v>
      </c>
    </row>
    <row r="3624" spans="1:16" x14ac:dyDescent="0.25">
      <c r="A3624" s="2" t="s">
        <v>183</v>
      </c>
      <c r="B3624" s="2" t="s">
        <v>211</v>
      </c>
      <c r="C3624" s="6" t="s">
        <v>157</v>
      </c>
      <c r="D3624" s="2" t="s">
        <v>109</v>
      </c>
      <c r="E3624" s="2"/>
      <c r="F3624" s="35">
        <v>10.829833921897823</v>
      </c>
      <c r="G3624" s="35">
        <v>-86.543475126986024</v>
      </c>
      <c r="H3624" s="35">
        <v>13.271512834550792</v>
      </c>
      <c r="I3624" s="35">
        <v>-1.6827729037432267E-3</v>
      </c>
      <c r="J3624" s="35">
        <v>-2.7773116425274921E-5</v>
      </c>
      <c r="K3624" s="35">
        <v>-1.1087329392188371E-3</v>
      </c>
      <c r="L3624" s="35">
        <v>-62.423015342557306</v>
      </c>
      <c r="M3624" s="58" t="s">
        <v>23</v>
      </c>
      <c r="N3624" s="7">
        <v>11.333333333333334</v>
      </c>
      <c r="O3624" s="7" t="s">
        <v>180</v>
      </c>
      <c r="P3624" s="7" t="s">
        <v>180</v>
      </c>
    </row>
    <row r="3625" spans="1:16" x14ac:dyDescent="0.25">
      <c r="A3625" s="2" t="s">
        <v>183</v>
      </c>
      <c r="B3625" s="2" t="s">
        <v>211</v>
      </c>
      <c r="C3625" s="6" t="s">
        <v>157</v>
      </c>
      <c r="D3625" s="2" t="s">
        <v>110</v>
      </c>
      <c r="E3625" s="2"/>
      <c r="F3625" s="35">
        <v>0</v>
      </c>
      <c r="G3625" s="35">
        <v>122.85475174403383</v>
      </c>
      <c r="H3625" s="35">
        <v>-10.211719578677068</v>
      </c>
      <c r="I3625" s="35">
        <v>-2.9600515721630708E-3</v>
      </c>
      <c r="J3625" s="35">
        <v>-6.14437241499401E-5</v>
      </c>
      <c r="K3625" s="35">
        <v>-3.4044383779150186E-2</v>
      </c>
      <c r="L3625" s="35">
        <v>-50.292478785714977</v>
      </c>
      <c r="M3625" s="58" t="s">
        <v>22</v>
      </c>
      <c r="N3625" s="7">
        <v>11.333333333333334</v>
      </c>
      <c r="O3625" s="7" t="s">
        <v>180</v>
      </c>
      <c r="P3625" s="7" t="s">
        <v>180</v>
      </c>
    </row>
    <row r="3626" spans="1:16" x14ac:dyDescent="0.25">
      <c r="A3626" s="2" t="s">
        <v>183</v>
      </c>
      <c r="B3626" s="2" t="s">
        <v>211</v>
      </c>
      <c r="C3626" s="6" t="s">
        <v>157</v>
      </c>
      <c r="D3626" s="2" t="s">
        <v>110</v>
      </c>
      <c r="E3626" s="2"/>
      <c r="F3626" s="35">
        <v>5.4149169609489114</v>
      </c>
      <c r="G3626" s="35">
        <v>125.43416260014934</v>
      </c>
      <c r="H3626" s="35">
        <v>-10.211719578677068</v>
      </c>
      <c r="I3626" s="35">
        <v>-2.9600515721630708E-3</v>
      </c>
      <c r="J3626" s="35">
        <v>-6.14437241499401E-5</v>
      </c>
      <c r="K3626" s="35">
        <v>-1.8015950315760886E-2</v>
      </c>
      <c r="L3626" s="35">
        <v>5.0031347613175328</v>
      </c>
      <c r="M3626" s="58" t="s">
        <v>24</v>
      </c>
      <c r="N3626" s="7">
        <v>11.333333333333334</v>
      </c>
      <c r="O3626" s="7" t="s">
        <v>180</v>
      </c>
      <c r="P3626" s="7" t="s">
        <v>180</v>
      </c>
    </row>
    <row r="3627" spans="1:16" x14ac:dyDescent="0.25">
      <c r="A3627" s="2" t="s">
        <v>183</v>
      </c>
      <c r="B3627" s="2" t="s">
        <v>211</v>
      </c>
      <c r="C3627" s="6" t="s">
        <v>157</v>
      </c>
      <c r="D3627" s="2" t="s">
        <v>110</v>
      </c>
      <c r="E3627" s="2"/>
      <c r="F3627" s="35">
        <v>10.829833921897823</v>
      </c>
      <c r="G3627" s="35">
        <v>128.01357345626482</v>
      </c>
      <c r="H3627" s="35">
        <v>-10.211719578677068</v>
      </c>
      <c r="I3627" s="35">
        <v>-2.9600515721630708E-3</v>
      </c>
      <c r="J3627" s="35">
        <v>-6.14437241499401E-5</v>
      </c>
      <c r="K3627" s="35">
        <v>-1.9875168523715886E-3</v>
      </c>
      <c r="L3627" s="35">
        <v>60.298748308350056</v>
      </c>
      <c r="M3627" s="58" t="s">
        <v>23</v>
      </c>
      <c r="N3627" s="7">
        <v>11.333333333333334</v>
      </c>
      <c r="O3627" s="7" t="s">
        <v>180</v>
      </c>
      <c r="P3627" s="7" t="s">
        <v>180</v>
      </c>
    </row>
    <row r="3628" spans="1:16" x14ac:dyDescent="0.25">
      <c r="A3628" s="2" t="s">
        <v>183</v>
      </c>
      <c r="B3628" s="2" t="s">
        <v>211</v>
      </c>
      <c r="C3628" s="6" t="s">
        <v>157</v>
      </c>
      <c r="D3628" s="2" t="s">
        <v>111</v>
      </c>
      <c r="E3628" s="2"/>
      <c r="F3628" s="35">
        <v>0</v>
      </c>
      <c r="G3628" s="35">
        <v>4.7846960797762064</v>
      </c>
      <c r="H3628" s="35">
        <v>-22.1531476173922</v>
      </c>
      <c r="I3628" s="35">
        <v>-1.5612890485602671E-3</v>
      </c>
      <c r="J3628" s="35">
        <v>-2.6834074104288394E-5</v>
      </c>
      <c r="K3628" s="35">
        <v>-1.7939974212872113E-2</v>
      </c>
      <c r="L3628" s="35">
        <v>-119.09955966855253</v>
      </c>
      <c r="M3628" s="58" t="s">
        <v>22</v>
      </c>
      <c r="N3628" s="7">
        <v>11.333333333333334</v>
      </c>
      <c r="O3628" s="7" t="s">
        <v>180</v>
      </c>
      <c r="P3628" s="7" t="s">
        <v>180</v>
      </c>
    </row>
    <row r="3629" spans="1:16" x14ac:dyDescent="0.25">
      <c r="A3629" s="2" t="s">
        <v>183</v>
      </c>
      <c r="B3629" s="2" t="s">
        <v>211</v>
      </c>
      <c r="C3629" s="6" t="s">
        <v>157</v>
      </c>
      <c r="D3629" s="2" t="s">
        <v>111</v>
      </c>
      <c r="E3629" s="2"/>
      <c r="F3629" s="35">
        <v>5.4149169609489114</v>
      </c>
      <c r="G3629" s="35">
        <v>7.3641069358917139</v>
      </c>
      <c r="H3629" s="35">
        <v>-22.1531476173922</v>
      </c>
      <c r="I3629" s="35">
        <v>-1.5612890485602671E-3</v>
      </c>
      <c r="J3629" s="35">
        <v>-2.6834074104288394E-5</v>
      </c>
      <c r="K3629" s="35">
        <v>-9.4857236628793362E-3</v>
      </c>
      <c r="L3629" s="35">
        <v>0.85789510326943641</v>
      </c>
      <c r="M3629" s="58" t="s">
        <v>24</v>
      </c>
      <c r="N3629" s="7">
        <v>11.333333333333334</v>
      </c>
      <c r="O3629" s="7" t="s">
        <v>180</v>
      </c>
      <c r="P3629" s="7" t="s">
        <v>180</v>
      </c>
    </row>
    <row r="3630" spans="1:16" x14ac:dyDescent="0.25">
      <c r="A3630" s="2" t="s">
        <v>183</v>
      </c>
      <c r="B3630" s="2" t="s">
        <v>211</v>
      </c>
      <c r="C3630" s="6" t="s">
        <v>157</v>
      </c>
      <c r="D3630" s="2" t="s">
        <v>111</v>
      </c>
      <c r="E3630" s="2"/>
      <c r="F3630" s="35">
        <v>10.829833921897823</v>
      </c>
      <c r="G3630" s="35">
        <v>9.9435177920072153</v>
      </c>
      <c r="H3630" s="35">
        <v>-22.1531476173922</v>
      </c>
      <c r="I3630" s="35">
        <v>-1.5612890485602671E-3</v>
      </c>
      <c r="J3630" s="35">
        <v>-2.6834074104288394E-5</v>
      </c>
      <c r="K3630" s="35">
        <v>-1.0314731128865571E-3</v>
      </c>
      <c r="L3630" s="35">
        <v>120.8153498750914</v>
      </c>
      <c r="M3630" s="58" t="s">
        <v>23</v>
      </c>
      <c r="N3630" s="7">
        <v>11.333333333333334</v>
      </c>
      <c r="O3630" s="7" t="s">
        <v>180</v>
      </c>
      <c r="P3630" s="7" t="s">
        <v>180</v>
      </c>
    </row>
    <row r="3631" spans="1:16" x14ac:dyDescent="0.25">
      <c r="A3631" s="2" t="s">
        <v>183</v>
      </c>
      <c r="B3631" s="2" t="s">
        <v>211</v>
      </c>
      <c r="C3631" s="6" t="s">
        <v>157</v>
      </c>
      <c r="D3631" s="2" t="s">
        <v>112</v>
      </c>
      <c r="E3631" s="2"/>
      <c r="F3631" s="35">
        <v>0</v>
      </c>
      <c r="G3631" s="35">
        <v>48.889789950690414</v>
      </c>
      <c r="H3631" s="35">
        <v>-3.9635776369707134</v>
      </c>
      <c r="I3631" s="35">
        <v>-2.6017979003274447E-2</v>
      </c>
      <c r="J3631" s="35">
        <v>-5.0166542108979247E-4</v>
      </c>
      <c r="K3631" s="35">
        <v>-0.29911479065284402</v>
      </c>
      <c r="L3631" s="35">
        <v>-14.396584020052005</v>
      </c>
      <c r="M3631" s="58" t="s">
        <v>22</v>
      </c>
      <c r="N3631" s="7">
        <v>11.333333333333334</v>
      </c>
      <c r="O3631" s="7" t="s">
        <v>180</v>
      </c>
      <c r="P3631" s="7" t="s">
        <v>180</v>
      </c>
    </row>
    <row r="3632" spans="1:16" x14ac:dyDescent="0.25">
      <c r="A3632" s="2" t="s">
        <v>183</v>
      </c>
      <c r="B3632" s="2" t="s">
        <v>211</v>
      </c>
      <c r="C3632" s="6" t="s">
        <v>157</v>
      </c>
      <c r="D3632" s="2" t="s">
        <v>112</v>
      </c>
      <c r="E3632" s="2"/>
      <c r="F3632" s="35">
        <v>5.4149169609489114</v>
      </c>
      <c r="G3632" s="35">
        <v>51.469200806805915</v>
      </c>
      <c r="H3632" s="35">
        <v>-3.9635776369707134</v>
      </c>
      <c r="I3632" s="35">
        <v>-2.6017979003274447E-2</v>
      </c>
      <c r="J3632" s="35">
        <v>-5.0166542108979247E-4</v>
      </c>
      <c r="K3632" s="35">
        <v>-0.15822959485840063</v>
      </c>
      <c r="L3632" s="35">
        <v>7.0658597524185129</v>
      </c>
      <c r="M3632" s="58" t="s">
        <v>24</v>
      </c>
      <c r="N3632" s="7">
        <v>11.333333333333334</v>
      </c>
      <c r="O3632" s="7" t="s">
        <v>180</v>
      </c>
      <c r="P3632" s="7" t="s">
        <v>180</v>
      </c>
    </row>
    <row r="3633" spans="1:16" x14ac:dyDescent="0.25">
      <c r="A3633" s="2" t="s">
        <v>183</v>
      </c>
      <c r="B3633" s="2" t="s">
        <v>211</v>
      </c>
      <c r="C3633" s="6" t="s">
        <v>157</v>
      </c>
      <c r="D3633" s="2" t="s">
        <v>112</v>
      </c>
      <c r="E3633" s="2"/>
      <c r="F3633" s="35">
        <v>10.829833921897823</v>
      </c>
      <c r="G3633" s="35">
        <v>54.048611662921424</v>
      </c>
      <c r="H3633" s="35">
        <v>-3.9635776369707134</v>
      </c>
      <c r="I3633" s="35">
        <v>-2.6017979003274447E-2</v>
      </c>
      <c r="J3633" s="35">
        <v>-5.0166542108979247E-4</v>
      </c>
      <c r="K3633" s="35">
        <v>-1.7344399063957194E-2</v>
      </c>
      <c r="L3633" s="35">
        <v>28.528303524889033</v>
      </c>
      <c r="M3633" s="58" t="s">
        <v>23</v>
      </c>
      <c r="N3633" s="7">
        <v>11.333333333333334</v>
      </c>
      <c r="O3633" s="7" t="s">
        <v>180</v>
      </c>
      <c r="P3633" s="7" t="s">
        <v>180</v>
      </c>
    </row>
    <row r="3634" spans="1:16" x14ac:dyDescent="0.25">
      <c r="A3634" s="2" t="s">
        <v>183</v>
      </c>
      <c r="B3634" s="2" t="s">
        <v>211</v>
      </c>
      <c r="C3634" s="6" t="s">
        <v>157</v>
      </c>
      <c r="D3634" s="2" t="s">
        <v>113</v>
      </c>
      <c r="E3634" s="2"/>
      <c r="F3634" s="35">
        <v>0</v>
      </c>
      <c r="G3634" s="35">
        <v>-23.437996931136755</v>
      </c>
      <c r="H3634" s="35">
        <v>-1.1057280214654073</v>
      </c>
      <c r="I3634" s="35">
        <v>-2.4934692935078922E-2</v>
      </c>
      <c r="J3634" s="35">
        <v>-4.7839805410866486E-4</v>
      </c>
      <c r="K3634" s="35">
        <v>-0.28665310188230991</v>
      </c>
      <c r="L3634" s="35">
        <v>-5.1207251775674996</v>
      </c>
      <c r="M3634" s="58" t="s">
        <v>22</v>
      </c>
      <c r="N3634" s="7">
        <v>11.333333333333334</v>
      </c>
      <c r="O3634" s="7" t="s">
        <v>180</v>
      </c>
      <c r="P3634" s="7" t="s">
        <v>180</v>
      </c>
    </row>
    <row r="3635" spans="1:16" x14ac:dyDescent="0.25">
      <c r="A3635" s="2" t="s">
        <v>183</v>
      </c>
      <c r="B3635" s="2" t="s">
        <v>211</v>
      </c>
      <c r="C3635" s="6" t="s">
        <v>157</v>
      </c>
      <c r="D3635" s="2" t="s">
        <v>113</v>
      </c>
      <c r="E3635" s="2"/>
      <c r="F3635" s="35">
        <v>5.4149169609489114</v>
      </c>
      <c r="G3635" s="35">
        <v>-20.858586075021254</v>
      </c>
      <c r="H3635" s="35">
        <v>-1.1057280214654073</v>
      </c>
      <c r="I3635" s="35">
        <v>-2.4934692935078922E-2</v>
      </c>
      <c r="J3635" s="35">
        <v>-4.7839805410866486E-4</v>
      </c>
      <c r="K3635" s="35">
        <v>-0.15163381019209807</v>
      </c>
      <c r="L3635" s="35">
        <v>0.86670024006201585</v>
      </c>
      <c r="M3635" s="58" t="s">
        <v>24</v>
      </c>
      <c r="N3635" s="7">
        <v>11.333333333333334</v>
      </c>
      <c r="O3635" s="7" t="s">
        <v>180</v>
      </c>
      <c r="P3635" s="7" t="s">
        <v>180</v>
      </c>
    </row>
    <row r="3636" spans="1:16" x14ac:dyDescent="0.25">
      <c r="A3636" s="2" t="s">
        <v>183</v>
      </c>
      <c r="B3636" s="2" t="s">
        <v>211</v>
      </c>
      <c r="C3636" s="6" t="s">
        <v>157</v>
      </c>
      <c r="D3636" s="2" t="s">
        <v>113</v>
      </c>
      <c r="E3636" s="2"/>
      <c r="F3636" s="35">
        <v>10.829833921897823</v>
      </c>
      <c r="G3636" s="35">
        <v>-18.279175218905742</v>
      </c>
      <c r="H3636" s="35">
        <v>-1.1057280214654073</v>
      </c>
      <c r="I3636" s="35">
        <v>-2.4934692935078922E-2</v>
      </c>
      <c r="J3636" s="35">
        <v>-4.7839805410866486E-4</v>
      </c>
      <c r="K3636" s="35">
        <v>-1.6614518501886243E-2</v>
      </c>
      <c r="L3636" s="35">
        <v>6.8541256576915295</v>
      </c>
      <c r="M3636" s="58" t="s">
        <v>23</v>
      </c>
      <c r="N3636" s="7">
        <v>11.333333333333334</v>
      </c>
      <c r="O3636" s="7" t="s">
        <v>180</v>
      </c>
      <c r="P3636" s="7" t="s">
        <v>180</v>
      </c>
    </row>
    <row r="3637" spans="1:16" x14ac:dyDescent="0.25">
      <c r="A3637" s="2" t="s">
        <v>183</v>
      </c>
      <c r="B3637" s="2" t="s">
        <v>211</v>
      </c>
      <c r="C3637" s="6" t="s">
        <v>157</v>
      </c>
      <c r="D3637" s="2" t="s">
        <v>114</v>
      </c>
      <c r="E3637" s="2"/>
      <c r="F3637" s="35">
        <v>0</v>
      </c>
      <c r="G3637" s="35">
        <v>48.890037326636005</v>
      </c>
      <c r="H3637" s="35">
        <v>-3.9638911414555738</v>
      </c>
      <c r="I3637" s="35">
        <v>2.5989428670265647E-2</v>
      </c>
      <c r="J3637" s="35">
        <v>4.9863893872330615E-4</v>
      </c>
      <c r="K3637" s="35">
        <v>0.29877922281553232</v>
      </c>
      <c r="L3637" s="35">
        <v>-14.397505037572637</v>
      </c>
      <c r="M3637" s="58" t="s">
        <v>22</v>
      </c>
      <c r="N3637" s="7">
        <v>11.333333333333334</v>
      </c>
      <c r="O3637" s="7" t="s">
        <v>180</v>
      </c>
      <c r="P3637" s="7" t="s">
        <v>180</v>
      </c>
    </row>
    <row r="3638" spans="1:16" x14ac:dyDescent="0.25">
      <c r="A3638" s="2" t="s">
        <v>183</v>
      </c>
      <c r="B3638" s="2" t="s">
        <v>211</v>
      </c>
      <c r="C3638" s="6" t="s">
        <v>157</v>
      </c>
      <c r="D3638" s="2" t="s">
        <v>114</v>
      </c>
      <c r="E3638" s="2"/>
      <c r="F3638" s="35">
        <v>5.4149169609489114</v>
      </c>
      <c r="G3638" s="35">
        <v>51.469448182751499</v>
      </c>
      <c r="H3638" s="35">
        <v>-3.9638911414555738</v>
      </c>
      <c r="I3638" s="35">
        <v>2.5989428670265647E-2</v>
      </c>
      <c r="J3638" s="35">
        <v>4.9863893872330615E-4</v>
      </c>
      <c r="K3638" s="35">
        <v>0.15804862470353898</v>
      </c>
      <c r="L3638" s="35">
        <v>7.0666363356502835</v>
      </c>
      <c r="M3638" s="58" t="s">
        <v>24</v>
      </c>
      <c r="N3638" s="7">
        <v>11.333333333333334</v>
      </c>
      <c r="O3638" s="7" t="s">
        <v>180</v>
      </c>
      <c r="P3638" s="7" t="s">
        <v>180</v>
      </c>
    </row>
    <row r="3639" spans="1:16" x14ac:dyDescent="0.25">
      <c r="A3639" s="2" t="s">
        <v>183</v>
      </c>
      <c r="B3639" s="2" t="s">
        <v>211</v>
      </c>
      <c r="C3639" s="6" t="s">
        <v>157</v>
      </c>
      <c r="D3639" s="2" t="s">
        <v>114</v>
      </c>
      <c r="E3639" s="2"/>
      <c r="F3639" s="35">
        <v>10.829833921897823</v>
      </c>
      <c r="G3639" s="35">
        <v>54.048859038867015</v>
      </c>
      <c r="H3639" s="35">
        <v>-3.9638911414555738</v>
      </c>
      <c r="I3639" s="35">
        <v>2.5989428670265647E-2</v>
      </c>
      <c r="J3639" s="35">
        <v>4.9863893872330615E-4</v>
      </c>
      <c r="K3639" s="35">
        <v>1.7318026591545625E-2</v>
      </c>
      <c r="L3639" s="35">
        <v>28.530777708873202</v>
      </c>
      <c r="M3639" s="58" t="s">
        <v>23</v>
      </c>
      <c r="N3639" s="7">
        <v>11.333333333333334</v>
      </c>
      <c r="O3639" s="7" t="s">
        <v>180</v>
      </c>
      <c r="P3639" s="7" t="s">
        <v>180</v>
      </c>
    </row>
    <row r="3640" spans="1:16" x14ac:dyDescent="0.25">
      <c r="A3640" s="2" t="s">
        <v>183</v>
      </c>
      <c r="B3640" s="2" t="s">
        <v>211</v>
      </c>
      <c r="C3640" s="6" t="s">
        <v>157</v>
      </c>
      <c r="D3640" s="2" t="s">
        <v>115</v>
      </c>
      <c r="E3640" s="2"/>
      <c r="F3640" s="35">
        <v>0</v>
      </c>
      <c r="G3640" s="35">
        <v>-23.437749913652759</v>
      </c>
      <c r="H3640" s="35">
        <v>-1.1060410544233408</v>
      </c>
      <c r="I3640" s="35">
        <v>2.7052614965982033E-2</v>
      </c>
      <c r="J3640" s="35">
        <v>5.2109961104061916E-4</v>
      </c>
      <c r="K3640" s="35">
        <v>0.31100856458355708</v>
      </c>
      <c r="L3640" s="35">
        <v>-5.1216448629410491</v>
      </c>
      <c r="M3640" s="58" t="s">
        <v>22</v>
      </c>
      <c r="N3640" s="7">
        <v>11.333333333333334</v>
      </c>
      <c r="O3640" s="7" t="s">
        <v>180</v>
      </c>
      <c r="P3640" s="7" t="s">
        <v>180</v>
      </c>
    </row>
    <row r="3641" spans="1:16" x14ac:dyDescent="0.25">
      <c r="A3641" s="2" t="s">
        <v>183</v>
      </c>
      <c r="B3641" s="2" t="s">
        <v>211</v>
      </c>
      <c r="C3641" s="6" t="s">
        <v>157</v>
      </c>
      <c r="D3641" s="2" t="s">
        <v>115</v>
      </c>
      <c r="E3641" s="2"/>
      <c r="F3641" s="35">
        <v>5.4149169609489114</v>
      </c>
      <c r="G3641" s="35">
        <v>-20.858339057537258</v>
      </c>
      <c r="H3641" s="35">
        <v>-1.1060410544233408</v>
      </c>
      <c r="I3641" s="35">
        <v>2.7052614965982033E-2</v>
      </c>
      <c r="J3641" s="35">
        <v>5.2109961104061916E-4</v>
      </c>
      <c r="K3641" s="35">
        <v>0.16452090096624064</v>
      </c>
      <c r="L3641" s="35">
        <v>0.8674756021617136</v>
      </c>
      <c r="M3641" s="58" t="s">
        <v>24</v>
      </c>
      <c r="N3641" s="7">
        <v>11.333333333333334</v>
      </c>
      <c r="O3641" s="7" t="s">
        <v>180</v>
      </c>
      <c r="P3641" s="7" t="s">
        <v>180</v>
      </c>
    </row>
    <row r="3642" spans="1:16" x14ac:dyDescent="0.25">
      <c r="A3642" s="2" t="s">
        <v>183</v>
      </c>
      <c r="B3642" s="2" t="s">
        <v>211</v>
      </c>
      <c r="C3642" s="6" t="s">
        <v>157</v>
      </c>
      <c r="D3642" s="2" t="s">
        <v>115</v>
      </c>
      <c r="E3642" s="2"/>
      <c r="F3642" s="35">
        <v>10.829833921897823</v>
      </c>
      <c r="G3642" s="35">
        <v>-18.278928201421742</v>
      </c>
      <c r="H3642" s="35">
        <v>-1.1060410544233408</v>
      </c>
      <c r="I3642" s="35">
        <v>2.7052614965982033E-2</v>
      </c>
      <c r="J3642" s="35">
        <v>5.2109961104061916E-4</v>
      </c>
      <c r="K3642" s="35">
        <v>1.8033237348924178E-2</v>
      </c>
      <c r="L3642" s="35">
        <v>6.8565960672644728</v>
      </c>
      <c r="M3642" s="58" t="s">
        <v>23</v>
      </c>
      <c r="N3642" s="7">
        <v>11.333333333333334</v>
      </c>
      <c r="O3642" s="7" t="s">
        <v>180</v>
      </c>
      <c r="P3642" s="7" t="s">
        <v>180</v>
      </c>
    </row>
    <row r="3643" spans="1:16" x14ac:dyDescent="0.25">
      <c r="A3643" s="2" t="s">
        <v>183</v>
      </c>
      <c r="B3643" s="2" t="s">
        <v>211</v>
      </c>
      <c r="C3643" s="6" t="s">
        <v>157</v>
      </c>
      <c r="D3643" s="2" t="s">
        <v>116</v>
      </c>
      <c r="E3643" s="2"/>
      <c r="F3643" s="35">
        <v>0</v>
      </c>
      <c r="G3643" s="35">
        <v>48.011569775462128</v>
      </c>
      <c r="H3643" s="35">
        <v>1.3992173520123834</v>
      </c>
      <c r="I3643" s="35">
        <v>-2.6628472445529689E-3</v>
      </c>
      <c r="J3643" s="35">
        <v>-5.1677541369346697E-5</v>
      </c>
      <c r="K3643" s="35">
        <v>-3.0615945289510883E-2</v>
      </c>
      <c r="L3643" s="35">
        <v>19.273876336117926</v>
      </c>
      <c r="M3643" s="58" t="s">
        <v>22</v>
      </c>
      <c r="N3643" s="7">
        <v>11.333333333333334</v>
      </c>
      <c r="O3643" s="7" t="s">
        <v>180</v>
      </c>
      <c r="P3643" s="7" t="s">
        <v>180</v>
      </c>
    </row>
    <row r="3644" spans="1:16" x14ac:dyDescent="0.25">
      <c r="A3644" s="2" t="s">
        <v>183</v>
      </c>
      <c r="B3644" s="2" t="s">
        <v>211</v>
      </c>
      <c r="C3644" s="6" t="s">
        <v>157</v>
      </c>
      <c r="D3644" s="2" t="s">
        <v>116</v>
      </c>
      <c r="E3644" s="2"/>
      <c r="F3644" s="35">
        <v>5.4149169609489114</v>
      </c>
      <c r="G3644" s="35">
        <v>50.590980631577629</v>
      </c>
      <c r="H3644" s="35">
        <v>1.3992173520123834</v>
      </c>
      <c r="I3644" s="35">
        <v>-2.6628472445529689E-3</v>
      </c>
      <c r="J3644" s="35">
        <v>-5.1677541369346697E-5</v>
      </c>
      <c r="K3644" s="35">
        <v>-1.619684858056494E-2</v>
      </c>
      <c r="L3644" s="35">
        <v>11.697230564652045</v>
      </c>
      <c r="M3644" s="58" t="s">
        <v>24</v>
      </c>
      <c r="N3644" s="7">
        <v>11.333333333333334</v>
      </c>
      <c r="O3644" s="7" t="s">
        <v>180</v>
      </c>
      <c r="P3644" s="7" t="s">
        <v>180</v>
      </c>
    </row>
    <row r="3645" spans="1:16" x14ac:dyDescent="0.25">
      <c r="A3645" s="2" t="s">
        <v>183</v>
      </c>
      <c r="B3645" s="2" t="s">
        <v>211</v>
      </c>
      <c r="C3645" s="6" t="s">
        <v>157</v>
      </c>
      <c r="D3645" s="2" t="s">
        <v>116</v>
      </c>
      <c r="E3645" s="2"/>
      <c r="F3645" s="35">
        <v>10.829833921897823</v>
      </c>
      <c r="G3645" s="35">
        <v>53.170391487693145</v>
      </c>
      <c r="H3645" s="35">
        <v>1.3992173520123834</v>
      </c>
      <c r="I3645" s="35">
        <v>-2.6628472445529689E-3</v>
      </c>
      <c r="J3645" s="35">
        <v>-5.1677541369346697E-5</v>
      </c>
      <c r="K3645" s="35">
        <v>-1.7777518716189963E-3</v>
      </c>
      <c r="L3645" s="35">
        <v>4.1205847931861683</v>
      </c>
      <c r="M3645" s="58" t="s">
        <v>23</v>
      </c>
      <c r="N3645" s="7">
        <v>11.333333333333334</v>
      </c>
      <c r="O3645" s="7" t="s">
        <v>180</v>
      </c>
      <c r="P3645" s="7" t="s">
        <v>180</v>
      </c>
    </row>
    <row r="3646" spans="1:16" x14ac:dyDescent="0.25">
      <c r="A3646" s="2" t="s">
        <v>183</v>
      </c>
      <c r="B3646" s="2" t="s">
        <v>211</v>
      </c>
      <c r="C3646" s="6" t="s">
        <v>157</v>
      </c>
      <c r="D3646" s="2" t="s">
        <v>117</v>
      </c>
      <c r="E3646" s="2"/>
      <c r="F3646" s="35">
        <v>0</v>
      </c>
      <c r="G3646" s="35">
        <v>-143.35523184542348</v>
      </c>
      <c r="H3646" s="35">
        <v>13.566610866610755</v>
      </c>
      <c r="I3646" s="35">
        <v>-1.4670421117234649E-3</v>
      </c>
      <c r="J3646" s="35">
        <v>-2.2100846298793714E-5</v>
      </c>
      <c r="K3646" s="35">
        <v>-1.6848069039693565E-2</v>
      </c>
      <c r="L3646" s="35">
        <v>77.74779039996308</v>
      </c>
      <c r="M3646" s="58" t="s">
        <v>22</v>
      </c>
      <c r="N3646" s="7">
        <v>11.333333333333334</v>
      </c>
      <c r="O3646" s="7" t="s">
        <v>180</v>
      </c>
      <c r="P3646" s="7" t="s">
        <v>180</v>
      </c>
    </row>
    <row r="3647" spans="1:16" x14ac:dyDescent="0.25">
      <c r="A3647" s="2" t="s">
        <v>183</v>
      </c>
      <c r="B3647" s="2" t="s">
        <v>211</v>
      </c>
      <c r="C3647" s="6" t="s">
        <v>157</v>
      </c>
      <c r="D3647" s="2" t="s">
        <v>117</v>
      </c>
      <c r="E3647" s="2"/>
      <c r="F3647" s="35">
        <v>5.4149169609489114</v>
      </c>
      <c r="G3647" s="35">
        <v>-140.77582098930799</v>
      </c>
      <c r="H3647" s="35">
        <v>13.566610866610755</v>
      </c>
      <c r="I3647" s="35">
        <v>-1.4670421117234649E-3</v>
      </c>
      <c r="J3647" s="35">
        <v>-2.2100846298793714E-5</v>
      </c>
      <c r="K3647" s="35">
        <v>-8.9041578264958642E-3</v>
      </c>
      <c r="L3647" s="35">
        <v>4.2857191157587122</v>
      </c>
      <c r="M3647" s="58" t="s">
        <v>24</v>
      </c>
      <c r="N3647" s="7">
        <v>11.333333333333334</v>
      </c>
      <c r="O3647" s="7" t="s">
        <v>180</v>
      </c>
      <c r="P3647" s="7" t="s">
        <v>180</v>
      </c>
    </row>
    <row r="3648" spans="1:16" x14ac:dyDescent="0.25">
      <c r="A3648" s="2" t="s">
        <v>183</v>
      </c>
      <c r="B3648" s="2" t="s">
        <v>211</v>
      </c>
      <c r="C3648" s="6" t="s">
        <v>157</v>
      </c>
      <c r="D3648" s="2" t="s">
        <v>117</v>
      </c>
      <c r="E3648" s="2"/>
      <c r="F3648" s="35">
        <v>10.829833921897823</v>
      </c>
      <c r="G3648" s="35">
        <v>-138.19641013319247</v>
      </c>
      <c r="H3648" s="35">
        <v>13.566610866610755</v>
      </c>
      <c r="I3648" s="35">
        <v>-1.4670421117234649E-3</v>
      </c>
      <c r="J3648" s="35">
        <v>-2.2100846298793714E-5</v>
      </c>
      <c r="K3648" s="35">
        <v>-9.6024661329816745E-4</v>
      </c>
      <c r="L3648" s="35">
        <v>-69.176352168445661</v>
      </c>
      <c r="M3648" s="58" t="s">
        <v>23</v>
      </c>
      <c r="N3648" s="7">
        <v>11.333333333333334</v>
      </c>
      <c r="O3648" s="7" t="s">
        <v>180</v>
      </c>
      <c r="P3648" s="7" t="s">
        <v>180</v>
      </c>
    </row>
    <row r="3649" spans="1:16" x14ac:dyDescent="0.25">
      <c r="A3649" s="2" t="s">
        <v>183</v>
      </c>
      <c r="B3649" s="2" t="s">
        <v>211</v>
      </c>
      <c r="C3649" s="6" t="s">
        <v>157</v>
      </c>
      <c r="D3649" s="2" t="s">
        <v>118</v>
      </c>
      <c r="E3649" s="2"/>
      <c r="F3649" s="35">
        <v>0</v>
      </c>
      <c r="G3649" s="35">
        <v>49.746111879502308</v>
      </c>
      <c r="H3649" s="35">
        <v>-7.56829830529432</v>
      </c>
      <c r="I3649" s="35">
        <v>-2.6165929133013244E-3</v>
      </c>
      <c r="J3649" s="35">
        <v>-5.2404393250992373E-5</v>
      </c>
      <c r="K3649" s="35">
        <v>-3.0088418827403773E-2</v>
      </c>
      <c r="L3649" s="35">
        <v>-40.690178600347238</v>
      </c>
      <c r="M3649" s="58" t="s">
        <v>22</v>
      </c>
      <c r="N3649" s="7">
        <v>11.333333333333334</v>
      </c>
      <c r="O3649" s="7" t="s">
        <v>180</v>
      </c>
      <c r="P3649" s="7" t="s">
        <v>180</v>
      </c>
    </row>
    <row r="3650" spans="1:16" x14ac:dyDescent="0.25">
      <c r="A3650" s="2" t="s">
        <v>183</v>
      </c>
      <c r="B3650" s="2" t="s">
        <v>211</v>
      </c>
      <c r="C3650" s="6" t="s">
        <v>157</v>
      </c>
      <c r="D3650" s="2" t="s">
        <v>118</v>
      </c>
      <c r="E3650" s="2"/>
      <c r="F3650" s="35">
        <v>5.4149169609489114</v>
      </c>
      <c r="G3650" s="35">
        <v>52.32552273561781</v>
      </c>
      <c r="H3650" s="35">
        <v>-7.56829830529432</v>
      </c>
      <c r="I3650" s="35">
        <v>-2.6165929133013244E-3</v>
      </c>
      <c r="J3650" s="35">
        <v>-5.2404393250992373E-5</v>
      </c>
      <c r="K3650" s="35">
        <v>-1.5919785481269707E-2</v>
      </c>
      <c r="L3650" s="35">
        <v>0.29152825851186637</v>
      </c>
      <c r="M3650" s="58" t="s">
        <v>24</v>
      </c>
      <c r="N3650" s="7">
        <v>11.333333333333334</v>
      </c>
      <c r="O3650" s="7" t="s">
        <v>180</v>
      </c>
      <c r="P3650" s="7" t="s">
        <v>180</v>
      </c>
    </row>
    <row r="3651" spans="1:16" x14ac:dyDescent="0.25">
      <c r="A3651" s="2" t="s">
        <v>183</v>
      </c>
      <c r="B3651" s="2" t="s">
        <v>211</v>
      </c>
      <c r="C3651" s="6" t="s">
        <v>157</v>
      </c>
      <c r="D3651" s="2" t="s">
        <v>118</v>
      </c>
      <c r="E3651" s="2"/>
      <c r="F3651" s="35">
        <v>10.829833921897823</v>
      </c>
      <c r="G3651" s="35">
        <v>54.904933591733325</v>
      </c>
      <c r="H3651" s="35">
        <v>-7.56829830529432</v>
      </c>
      <c r="I3651" s="35">
        <v>-2.6165929133013244E-3</v>
      </c>
      <c r="J3651" s="35">
        <v>-5.2404393250992373E-5</v>
      </c>
      <c r="K3651" s="35">
        <v>-1.7511521351356442E-3</v>
      </c>
      <c r="L3651" s="35">
        <v>41.27323511737098</v>
      </c>
      <c r="M3651" s="58" t="s">
        <v>23</v>
      </c>
      <c r="N3651" s="7">
        <v>11.333333333333334</v>
      </c>
      <c r="O3651" s="7" t="s">
        <v>180</v>
      </c>
      <c r="P3651" s="7" t="s">
        <v>180</v>
      </c>
    </row>
    <row r="3652" spans="1:16" x14ac:dyDescent="0.25">
      <c r="A3652" s="2" t="s">
        <v>183</v>
      </c>
      <c r="B3652" s="2" t="s">
        <v>211</v>
      </c>
      <c r="C3652" s="6" t="s">
        <v>157</v>
      </c>
      <c r="D3652" s="2" t="s">
        <v>119</v>
      </c>
      <c r="E3652" s="2"/>
      <c r="F3652" s="35">
        <v>0</v>
      </c>
      <c r="G3652" s="35">
        <v>-56.51693821832955</v>
      </c>
      <c r="H3652" s="35">
        <v>-18.31558354013794</v>
      </c>
      <c r="I3652" s="35">
        <v>-1.3577066420588013E-3</v>
      </c>
      <c r="J3652" s="35">
        <v>-2.1255708209905843E-5</v>
      </c>
      <c r="K3652" s="35">
        <v>-1.5594450217753507E-2</v>
      </c>
      <c r="L3652" s="35">
        <v>-102.61655139490104</v>
      </c>
      <c r="M3652" s="58" t="s">
        <v>22</v>
      </c>
      <c r="N3652" s="7">
        <v>11.333333333333334</v>
      </c>
      <c r="O3652" s="7" t="s">
        <v>180</v>
      </c>
      <c r="P3652" s="7" t="s">
        <v>180</v>
      </c>
    </row>
    <row r="3653" spans="1:16" x14ac:dyDescent="0.25">
      <c r="A3653" s="2" t="s">
        <v>183</v>
      </c>
      <c r="B3653" s="2" t="s">
        <v>211</v>
      </c>
      <c r="C3653" s="6" t="s">
        <v>157</v>
      </c>
      <c r="D3653" s="2" t="s">
        <v>119</v>
      </c>
      <c r="E3653" s="2"/>
      <c r="F3653" s="35">
        <v>5.4149169609489114</v>
      </c>
      <c r="G3653" s="35">
        <v>-53.937527362214048</v>
      </c>
      <c r="H3653" s="35">
        <v>-18.31558354013794</v>
      </c>
      <c r="I3653" s="35">
        <v>-1.3577066420588013E-3</v>
      </c>
      <c r="J3653" s="35">
        <v>-2.1255708209905843E-5</v>
      </c>
      <c r="K3653" s="35">
        <v>-8.2425814936763105E-3</v>
      </c>
      <c r="L3653" s="35">
        <v>-3.439187433731421</v>
      </c>
      <c r="M3653" s="58" t="s">
        <v>24</v>
      </c>
      <c r="N3653" s="7">
        <v>11.333333333333334</v>
      </c>
      <c r="O3653" s="7" t="s">
        <v>180</v>
      </c>
      <c r="P3653" s="7" t="s">
        <v>180</v>
      </c>
    </row>
    <row r="3654" spans="1:16" x14ac:dyDescent="0.25">
      <c r="A3654" s="2" t="s">
        <v>183</v>
      </c>
      <c r="B3654" s="2" t="s">
        <v>211</v>
      </c>
      <c r="C3654" s="6" t="s">
        <v>157</v>
      </c>
      <c r="D3654" s="2" t="s">
        <v>119</v>
      </c>
      <c r="E3654" s="2"/>
      <c r="F3654" s="35">
        <v>10.829833921897823</v>
      </c>
      <c r="G3654" s="35">
        <v>-51.358116506098533</v>
      </c>
      <c r="H3654" s="35">
        <v>-18.31558354013794</v>
      </c>
      <c r="I3654" s="35">
        <v>-1.3577066420588013E-3</v>
      </c>
      <c r="J3654" s="35">
        <v>-2.1255708209905843E-5</v>
      </c>
      <c r="K3654" s="35">
        <v>-8.9071276959911566E-4</v>
      </c>
      <c r="L3654" s="35">
        <v>95.738176527438199</v>
      </c>
      <c r="M3654" s="58" t="s">
        <v>23</v>
      </c>
      <c r="N3654" s="7">
        <v>11.333333333333334</v>
      </c>
      <c r="O3654" s="7" t="s">
        <v>180</v>
      </c>
      <c r="P3654" s="7" t="s">
        <v>180</v>
      </c>
    </row>
    <row r="3655" spans="1:16" x14ac:dyDescent="0.25">
      <c r="A3655" s="2" t="s">
        <v>183</v>
      </c>
      <c r="B3655" s="2" t="s">
        <v>211</v>
      </c>
      <c r="C3655" s="6" t="s">
        <v>157</v>
      </c>
      <c r="D3655" s="2" t="s">
        <v>120</v>
      </c>
      <c r="E3655" s="2"/>
      <c r="F3655" s="35">
        <v>0</v>
      </c>
      <c r="G3655" s="35">
        <v>70.684927315204419</v>
      </c>
      <c r="H3655" s="35">
        <v>-4.7558754218454551</v>
      </c>
      <c r="I3655" s="35">
        <v>-2.8921762738853208E-2</v>
      </c>
      <c r="J3655" s="35">
        <v>-5.5820799782318033E-4</v>
      </c>
      <c r="K3655" s="35">
        <v>-0.332499713640586</v>
      </c>
      <c r="L3655" s="35">
        <v>-16.90286324239468</v>
      </c>
      <c r="M3655" s="58" t="s">
        <v>22</v>
      </c>
      <c r="N3655" s="7">
        <v>11.333333333333334</v>
      </c>
      <c r="O3655" s="7" t="s">
        <v>180</v>
      </c>
      <c r="P3655" s="7" t="s">
        <v>180</v>
      </c>
    </row>
    <row r="3656" spans="1:16" x14ac:dyDescent="0.25">
      <c r="A3656" s="2" t="s">
        <v>183</v>
      </c>
      <c r="B3656" s="2" t="s">
        <v>211</v>
      </c>
      <c r="C3656" s="6" t="s">
        <v>157</v>
      </c>
      <c r="D3656" s="2" t="s">
        <v>120</v>
      </c>
      <c r="E3656" s="2"/>
      <c r="F3656" s="35">
        <v>5.4149169609489114</v>
      </c>
      <c r="G3656" s="35">
        <v>73.264338171319935</v>
      </c>
      <c r="H3656" s="35">
        <v>-4.7558754218454551</v>
      </c>
      <c r="I3656" s="35">
        <v>-2.8921762738853208E-2</v>
      </c>
      <c r="J3656" s="35">
        <v>-5.5820799782318033E-4</v>
      </c>
      <c r="K3656" s="35">
        <v>-0.17589077004542955</v>
      </c>
      <c r="L3656" s="35">
        <v>8.8498072435163273</v>
      </c>
      <c r="M3656" s="58" t="s">
        <v>24</v>
      </c>
      <c r="N3656" s="7">
        <v>11.333333333333334</v>
      </c>
      <c r="O3656" s="7" t="s">
        <v>180</v>
      </c>
      <c r="P3656" s="7" t="s">
        <v>180</v>
      </c>
    </row>
    <row r="3657" spans="1:16" x14ac:dyDescent="0.25">
      <c r="A3657" s="2" t="s">
        <v>183</v>
      </c>
      <c r="B3657" s="2" t="s">
        <v>211</v>
      </c>
      <c r="C3657" s="6" t="s">
        <v>157</v>
      </c>
      <c r="D3657" s="2" t="s">
        <v>120</v>
      </c>
      <c r="E3657" s="2"/>
      <c r="F3657" s="35">
        <v>10.829833921897823</v>
      </c>
      <c r="G3657" s="35">
        <v>75.843749027435436</v>
      </c>
      <c r="H3657" s="35">
        <v>-4.7558754218454551</v>
      </c>
      <c r="I3657" s="35">
        <v>-2.8921762738853208E-2</v>
      </c>
      <c r="J3657" s="35">
        <v>-5.5820799782318033E-4</v>
      </c>
      <c r="K3657" s="35">
        <v>-1.9281826450273092E-2</v>
      </c>
      <c r="L3657" s="35">
        <v>34.602477729427335</v>
      </c>
      <c r="M3657" s="58" t="s">
        <v>23</v>
      </c>
      <c r="N3657" s="7">
        <v>11.333333333333334</v>
      </c>
      <c r="O3657" s="7" t="s">
        <v>180</v>
      </c>
      <c r="P3657" s="7" t="s">
        <v>180</v>
      </c>
    </row>
    <row r="3658" spans="1:16" x14ac:dyDescent="0.25">
      <c r="A3658" s="2" t="s">
        <v>183</v>
      </c>
      <c r="B3658" s="2" t="s">
        <v>211</v>
      </c>
      <c r="C3658" s="6" t="s">
        <v>157</v>
      </c>
      <c r="D3658" s="2" t="s">
        <v>121</v>
      </c>
      <c r="E3658" s="2"/>
      <c r="F3658" s="35">
        <v>0</v>
      </c>
      <c r="G3658" s="35">
        <v>-9.6792803312702294</v>
      </c>
      <c r="H3658" s="35">
        <v>-1.5804869601728926</v>
      </c>
      <c r="I3658" s="35">
        <v>-2.7718111551969293E-2</v>
      </c>
      <c r="J3658" s="35">
        <v>-5.3235536784414954E-4</v>
      </c>
      <c r="K3658" s="35">
        <v>-0.31865339278443688</v>
      </c>
      <c r="L3658" s="35">
        <v>-6.5963534174118958</v>
      </c>
      <c r="M3658" s="58" t="s">
        <v>22</v>
      </c>
      <c r="N3658" s="7">
        <v>11.333333333333334</v>
      </c>
      <c r="O3658" s="7" t="s">
        <v>180</v>
      </c>
      <c r="P3658" s="7" t="s">
        <v>180</v>
      </c>
    </row>
    <row r="3659" spans="1:16" x14ac:dyDescent="0.25">
      <c r="A3659" s="2" t="s">
        <v>183</v>
      </c>
      <c r="B3659" s="2" t="s">
        <v>211</v>
      </c>
      <c r="C3659" s="6" t="s">
        <v>157</v>
      </c>
      <c r="D3659" s="2" t="s">
        <v>121</v>
      </c>
      <c r="E3659" s="2"/>
      <c r="F3659" s="35">
        <v>5.4149169609489114</v>
      </c>
      <c r="G3659" s="35">
        <v>-7.0998694751547138</v>
      </c>
      <c r="H3659" s="35">
        <v>-1.5804869601728926</v>
      </c>
      <c r="I3659" s="35">
        <v>-2.7718111551969293E-2</v>
      </c>
      <c r="J3659" s="35">
        <v>-5.3235536784414954E-4</v>
      </c>
      <c r="K3659" s="35">
        <v>-0.1685621204162045</v>
      </c>
      <c r="L3659" s="35">
        <v>1.9618522297868854</v>
      </c>
      <c r="M3659" s="58" t="s">
        <v>24</v>
      </c>
      <c r="N3659" s="7">
        <v>11.333333333333334</v>
      </c>
      <c r="O3659" s="7" t="s">
        <v>180</v>
      </c>
      <c r="P3659" s="7" t="s">
        <v>180</v>
      </c>
    </row>
    <row r="3660" spans="1:16" x14ac:dyDescent="0.25">
      <c r="A3660" s="2" t="s">
        <v>183</v>
      </c>
      <c r="B3660" s="2" t="s">
        <v>211</v>
      </c>
      <c r="C3660" s="6" t="s">
        <v>157</v>
      </c>
      <c r="D3660" s="2" t="s">
        <v>121</v>
      </c>
      <c r="E3660" s="2"/>
      <c r="F3660" s="35">
        <v>10.829833921897823</v>
      </c>
      <c r="G3660" s="35">
        <v>-4.5204586190392142</v>
      </c>
      <c r="H3660" s="35">
        <v>-1.5804869601728926</v>
      </c>
      <c r="I3660" s="35">
        <v>-2.7718111551969293E-2</v>
      </c>
      <c r="J3660" s="35">
        <v>-5.3235536784414954E-4</v>
      </c>
      <c r="K3660" s="35">
        <v>-1.8470848047972034E-2</v>
      </c>
      <c r="L3660" s="35">
        <v>10.520057876985668</v>
      </c>
      <c r="M3660" s="58" t="s">
        <v>23</v>
      </c>
      <c r="N3660" s="7">
        <v>11.333333333333334</v>
      </c>
      <c r="O3660" s="7" t="s">
        <v>180</v>
      </c>
      <c r="P3660" s="7" t="s">
        <v>180</v>
      </c>
    </row>
    <row r="3661" spans="1:16" x14ac:dyDescent="0.25">
      <c r="A3661" s="2" t="s">
        <v>183</v>
      </c>
      <c r="B3661" s="2" t="s">
        <v>211</v>
      </c>
      <c r="C3661" s="6" t="s">
        <v>157</v>
      </c>
      <c r="D3661" s="2" t="s">
        <v>122</v>
      </c>
      <c r="E3661" s="2"/>
      <c r="F3661" s="35">
        <v>0</v>
      </c>
      <c r="G3661" s="35">
        <v>70.685202177366136</v>
      </c>
      <c r="H3661" s="35">
        <v>-4.7562237601619666</v>
      </c>
      <c r="I3661" s="35">
        <v>2.8864245787302453E-2</v>
      </c>
      <c r="J3661" s="35">
        <v>5.5324129085804045E-4</v>
      </c>
      <c r="K3661" s="35">
        <v>0.3318269679909433</v>
      </c>
      <c r="L3661" s="35">
        <v>-16.903886595195385</v>
      </c>
      <c r="M3661" s="58" t="s">
        <v>22</v>
      </c>
      <c r="N3661" s="7">
        <v>11.333333333333334</v>
      </c>
      <c r="O3661" s="7" t="s">
        <v>180</v>
      </c>
      <c r="P3661" s="7" t="s">
        <v>180</v>
      </c>
    </row>
    <row r="3662" spans="1:16" x14ac:dyDescent="0.25">
      <c r="A3662" s="2" t="s">
        <v>183</v>
      </c>
      <c r="B3662" s="2" t="s">
        <v>211</v>
      </c>
      <c r="C3662" s="6" t="s">
        <v>157</v>
      </c>
      <c r="D3662" s="2" t="s">
        <v>122</v>
      </c>
      <c r="E3662" s="2"/>
      <c r="F3662" s="35">
        <v>5.4149169609489114</v>
      </c>
      <c r="G3662" s="35">
        <v>73.264613033481652</v>
      </c>
      <c r="H3662" s="35">
        <v>-4.7562237601619666</v>
      </c>
      <c r="I3662" s="35">
        <v>2.8864245787302453E-2</v>
      </c>
      <c r="J3662" s="35">
        <v>5.5324129085804045E-4</v>
      </c>
      <c r="K3662" s="35">
        <v>0.1755294739122811</v>
      </c>
      <c r="L3662" s="35">
        <v>8.8506701137738499</v>
      </c>
      <c r="M3662" s="58" t="s">
        <v>24</v>
      </c>
      <c r="N3662" s="7">
        <v>11.333333333333334</v>
      </c>
      <c r="O3662" s="7" t="s">
        <v>180</v>
      </c>
      <c r="P3662" s="7" t="s">
        <v>180</v>
      </c>
    </row>
    <row r="3663" spans="1:16" x14ac:dyDescent="0.25">
      <c r="A3663" s="2" t="s">
        <v>183</v>
      </c>
      <c r="B3663" s="2" t="s">
        <v>211</v>
      </c>
      <c r="C3663" s="6" t="s">
        <v>157</v>
      </c>
      <c r="D3663" s="2" t="s">
        <v>122</v>
      </c>
      <c r="E3663" s="2"/>
      <c r="F3663" s="35">
        <v>10.829833921897823</v>
      </c>
      <c r="G3663" s="35">
        <v>75.844023889597153</v>
      </c>
      <c r="H3663" s="35">
        <v>-4.7562237601619666</v>
      </c>
      <c r="I3663" s="35">
        <v>2.8864245787302453E-2</v>
      </c>
      <c r="J3663" s="35">
        <v>5.5324129085804045E-4</v>
      </c>
      <c r="K3663" s="35">
        <v>1.9231979833618931E-2</v>
      </c>
      <c r="L3663" s="35">
        <v>34.605226822743077</v>
      </c>
      <c r="M3663" s="58" t="s">
        <v>23</v>
      </c>
      <c r="N3663" s="7">
        <v>11.333333333333334</v>
      </c>
      <c r="O3663" s="7" t="s">
        <v>180</v>
      </c>
      <c r="P3663" s="7" t="s">
        <v>180</v>
      </c>
    </row>
    <row r="3664" spans="1:16" x14ac:dyDescent="0.25">
      <c r="A3664" s="2" t="s">
        <v>183</v>
      </c>
      <c r="B3664" s="2" t="s">
        <v>211</v>
      </c>
      <c r="C3664" s="6" t="s">
        <v>157</v>
      </c>
      <c r="D3664" s="2" t="s">
        <v>123</v>
      </c>
      <c r="E3664" s="2"/>
      <c r="F3664" s="35">
        <v>0</v>
      </c>
      <c r="G3664" s="35">
        <v>-9.6790058673991126</v>
      </c>
      <c r="H3664" s="35">
        <v>-1.5808347745705962</v>
      </c>
      <c r="I3664" s="35">
        <v>3.0045563893653992E-2</v>
      </c>
      <c r="J3664" s="35">
        <v>5.7819759343283252E-4</v>
      </c>
      <c r="K3664" s="35">
        <v>0.34541512551097081</v>
      </c>
      <c r="L3664" s="35">
        <v>-6.5973752900491753</v>
      </c>
      <c r="M3664" s="58" t="s">
        <v>22</v>
      </c>
      <c r="N3664" s="7">
        <v>11.333333333333334</v>
      </c>
      <c r="O3664" s="7" t="s">
        <v>180</v>
      </c>
      <c r="P3664" s="7" t="s">
        <v>180</v>
      </c>
    </row>
    <row r="3665" spans="1:16" x14ac:dyDescent="0.25">
      <c r="A3665" s="2" t="s">
        <v>183</v>
      </c>
      <c r="B3665" s="2" t="s">
        <v>211</v>
      </c>
      <c r="C3665" s="6" t="s">
        <v>157</v>
      </c>
      <c r="D3665" s="2" t="s">
        <v>123</v>
      </c>
      <c r="E3665" s="2"/>
      <c r="F3665" s="35">
        <v>5.4149169609489114</v>
      </c>
      <c r="G3665" s="35">
        <v>-7.0995950112835988</v>
      </c>
      <c r="H3665" s="35">
        <v>-1.5808347745705962</v>
      </c>
      <c r="I3665" s="35">
        <v>3.0045563893653992E-2</v>
      </c>
      <c r="J3665" s="35">
        <v>5.7819759343283252E-4</v>
      </c>
      <c r="K3665" s="35">
        <v>0.1827208919819496</v>
      </c>
      <c r="L3665" s="35">
        <v>1.9627137432309933</v>
      </c>
      <c r="M3665" s="58" t="s">
        <v>24</v>
      </c>
      <c r="N3665" s="7">
        <v>11.333333333333334</v>
      </c>
      <c r="O3665" s="7" t="s">
        <v>180</v>
      </c>
      <c r="P3665" s="7" t="s">
        <v>180</v>
      </c>
    </row>
    <row r="3666" spans="1:16" x14ac:dyDescent="0.25">
      <c r="A3666" s="2" t="s">
        <v>183</v>
      </c>
      <c r="B3666" s="2" t="s">
        <v>211</v>
      </c>
      <c r="C3666" s="6" t="s">
        <v>157</v>
      </c>
      <c r="D3666" s="2" t="s">
        <v>123</v>
      </c>
      <c r="E3666" s="2"/>
      <c r="F3666" s="35">
        <v>10.829833921897823</v>
      </c>
      <c r="G3666" s="35">
        <v>-4.5201841551680983</v>
      </c>
      <c r="H3666" s="35">
        <v>-1.5808347745705962</v>
      </c>
      <c r="I3666" s="35">
        <v>3.0045563893653992E-2</v>
      </c>
      <c r="J3666" s="35">
        <v>5.7819759343283252E-4</v>
      </c>
      <c r="K3666" s="35">
        <v>2.0026658452928434E-2</v>
      </c>
      <c r="L3666" s="35">
        <v>10.522802776511162</v>
      </c>
      <c r="M3666" s="58" t="s">
        <v>23</v>
      </c>
      <c r="N3666" s="7">
        <v>11.333333333333334</v>
      </c>
      <c r="O3666" s="7" t="s">
        <v>180</v>
      </c>
      <c r="P3666" s="7" t="s">
        <v>180</v>
      </c>
    </row>
    <row r="3667" spans="1:16" x14ac:dyDescent="0.25">
      <c r="A3667" s="2" t="s">
        <v>183</v>
      </c>
      <c r="B3667" s="2" t="s">
        <v>211</v>
      </c>
      <c r="C3667" s="6" t="s">
        <v>157</v>
      </c>
      <c r="D3667" s="2" t="s">
        <v>124</v>
      </c>
      <c r="E3667" s="2"/>
      <c r="F3667" s="35">
        <v>0</v>
      </c>
      <c r="G3667" s="35">
        <v>69.709127120506295</v>
      </c>
      <c r="H3667" s="35">
        <v>1.2027856770246523</v>
      </c>
      <c r="I3667" s="35">
        <v>-2.9716163402737895E-3</v>
      </c>
      <c r="J3667" s="35">
        <v>-5.8221464800462737E-5</v>
      </c>
      <c r="K3667" s="35">
        <v>-3.4167663236882487E-2</v>
      </c>
      <c r="L3667" s="35">
        <v>20.508759375571906</v>
      </c>
      <c r="M3667" s="58" t="s">
        <v>22</v>
      </c>
      <c r="N3667" s="7">
        <v>11.333333333333334</v>
      </c>
      <c r="O3667" s="7" t="s">
        <v>180</v>
      </c>
      <c r="P3667" s="7" t="s">
        <v>180</v>
      </c>
    </row>
    <row r="3668" spans="1:16" x14ac:dyDescent="0.25">
      <c r="A3668" s="2" t="s">
        <v>183</v>
      </c>
      <c r="B3668" s="2" t="s">
        <v>211</v>
      </c>
      <c r="C3668" s="6" t="s">
        <v>157</v>
      </c>
      <c r="D3668" s="2" t="s">
        <v>124</v>
      </c>
      <c r="E3668" s="2"/>
      <c r="F3668" s="35">
        <v>5.4149169609489114</v>
      </c>
      <c r="G3668" s="35">
        <v>72.288537976621811</v>
      </c>
      <c r="H3668" s="35">
        <v>1.2027856770246523</v>
      </c>
      <c r="I3668" s="35">
        <v>-2.9716163402737895E-3</v>
      </c>
      <c r="J3668" s="35">
        <v>-5.8221464800462737E-5</v>
      </c>
      <c r="K3668" s="35">
        <v>-1.8076607514501009E-2</v>
      </c>
      <c r="L3668" s="35">
        <v>13.995774812664695</v>
      </c>
      <c r="M3668" s="58" t="s">
        <v>24</v>
      </c>
      <c r="N3668" s="7">
        <v>11.333333333333334</v>
      </c>
      <c r="O3668" s="7" t="s">
        <v>180</v>
      </c>
      <c r="P3668" s="7" t="s">
        <v>180</v>
      </c>
    </row>
    <row r="3669" spans="1:16" x14ac:dyDescent="0.25">
      <c r="A3669" s="2" t="s">
        <v>183</v>
      </c>
      <c r="B3669" s="2" t="s">
        <v>211</v>
      </c>
      <c r="C3669" s="6" t="s">
        <v>157</v>
      </c>
      <c r="D3669" s="2" t="s">
        <v>124</v>
      </c>
      <c r="E3669" s="2"/>
      <c r="F3669" s="35">
        <v>10.829833921897823</v>
      </c>
      <c r="G3669" s="35">
        <v>74.867948832737312</v>
      </c>
      <c r="H3669" s="35">
        <v>1.2027856770246523</v>
      </c>
      <c r="I3669" s="35">
        <v>-2.9716163402737895E-3</v>
      </c>
      <c r="J3669" s="35">
        <v>-5.8221464800462737E-5</v>
      </c>
      <c r="K3669" s="35">
        <v>-1.9855517921195396E-3</v>
      </c>
      <c r="L3669" s="35">
        <v>7.4827902497574872</v>
      </c>
      <c r="M3669" s="58" t="s">
        <v>23</v>
      </c>
      <c r="N3669" s="7">
        <v>11.333333333333334</v>
      </c>
      <c r="O3669" s="7" t="s">
        <v>180</v>
      </c>
      <c r="P3669" s="7" t="s">
        <v>180</v>
      </c>
    </row>
    <row r="3670" spans="1:16" x14ac:dyDescent="0.25">
      <c r="A3670" s="2" t="s">
        <v>183</v>
      </c>
      <c r="B3670" s="2" t="s">
        <v>211</v>
      </c>
      <c r="C3670" s="6" t="s">
        <v>157</v>
      </c>
      <c r="D3670" s="2" t="s">
        <v>125</v>
      </c>
      <c r="E3670" s="2"/>
      <c r="F3670" s="35">
        <v>0</v>
      </c>
      <c r="G3670" s="35">
        <v>-142.92065245825546</v>
      </c>
      <c r="H3670" s="35">
        <v>14.722111804356175</v>
      </c>
      <c r="I3670" s="35">
        <v>-1.6429439704632295E-3</v>
      </c>
      <c r="J3670" s="35">
        <v>-2.5358470277626093E-5</v>
      </c>
      <c r="K3670" s="35">
        <v>-1.8870022959307679E-2</v>
      </c>
      <c r="L3670" s="35">
        <v>85.479775002066532</v>
      </c>
      <c r="M3670" s="58" t="s">
        <v>22</v>
      </c>
      <c r="N3670" s="7">
        <v>11.333333333333334</v>
      </c>
      <c r="O3670" s="7" t="s">
        <v>180</v>
      </c>
      <c r="P3670" s="7" t="s">
        <v>180</v>
      </c>
    </row>
    <row r="3671" spans="1:16" x14ac:dyDescent="0.25">
      <c r="A3671" s="2" t="s">
        <v>183</v>
      </c>
      <c r="B3671" s="2" t="s">
        <v>211</v>
      </c>
      <c r="C3671" s="6" t="s">
        <v>157</v>
      </c>
      <c r="D3671" s="2" t="s">
        <v>125</v>
      </c>
      <c r="E3671" s="2"/>
      <c r="F3671" s="35">
        <v>5.4149169609489114</v>
      </c>
      <c r="G3671" s="35">
        <v>-140.34124160213995</v>
      </c>
      <c r="H3671" s="35">
        <v>14.722111804356175</v>
      </c>
      <c r="I3671" s="35">
        <v>-1.6429439704632295E-3</v>
      </c>
      <c r="J3671" s="35">
        <v>-2.5358470277626093E-5</v>
      </c>
      <c r="K3671" s="35">
        <v>-9.9736177877575924E-3</v>
      </c>
      <c r="L3671" s="35">
        <v>5.7607620916721052</v>
      </c>
      <c r="M3671" s="58" t="s">
        <v>24</v>
      </c>
      <c r="N3671" s="7">
        <v>11.333333333333334</v>
      </c>
      <c r="O3671" s="7" t="s">
        <v>180</v>
      </c>
      <c r="P3671" s="7" t="s">
        <v>180</v>
      </c>
    </row>
    <row r="3672" spans="1:16" x14ac:dyDescent="0.25">
      <c r="A3672" s="2" t="s">
        <v>183</v>
      </c>
      <c r="B3672" s="2" t="s">
        <v>211</v>
      </c>
      <c r="C3672" s="6" t="s">
        <v>157</v>
      </c>
      <c r="D3672" s="2" t="s">
        <v>125</v>
      </c>
      <c r="E3672" s="2"/>
      <c r="F3672" s="35">
        <v>10.829833921897823</v>
      </c>
      <c r="G3672" s="35">
        <v>-137.76183074602446</v>
      </c>
      <c r="H3672" s="35">
        <v>14.722111804356175</v>
      </c>
      <c r="I3672" s="35">
        <v>-1.6429439704632295E-3</v>
      </c>
      <c r="J3672" s="35">
        <v>-2.5358470277626093E-5</v>
      </c>
      <c r="K3672" s="35">
        <v>-1.0772126162075075E-3</v>
      </c>
      <c r="L3672" s="35">
        <v>-73.95825081872232</v>
      </c>
      <c r="M3672" s="58" t="s">
        <v>23</v>
      </c>
      <c r="N3672" s="7">
        <v>11.333333333333334</v>
      </c>
      <c r="O3672" s="7" t="s">
        <v>180</v>
      </c>
      <c r="P3672" s="7" t="s">
        <v>180</v>
      </c>
    </row>
    <row r="3673" spans="1:16" x14ac:dyDescent="0.25">
      <c r="A3673" s="2" t="s">
        <v>183</v>
      </c>
      <c r="B3673" s="2" t="s">
        <v>211</v>
      </c>
      <c r="C3673" s="6" t="s">
        <v>157</v>
      </c>
      <c r="D3673" s="2" t="s">
        <v>126</v>
      </c>
      <c r="E3673" s="2"/>
      <c r="F3673" s="35">
        <v>0</v>
      </c>
      <c r="G3673" s="35">
        <v>71.636396124995386</v>
      </c>
      <c r="H3673" s="35">
        <v>-8.7611206088716838</v>
      </c>
      <c r="I3673" s="35">
        <v>-2.9202226388830733E-3</v>
      </c>
      <c r="J3673" s="35">
        <v>-5.9029078002291272E-5</v>
      </c>
      <c r="K3673" s="35">
        <v>-3.3581522723430138E-2</v>
      </c>
      <c r="L3673" s="35">
        <v>-46.117968331611607</v>
      </c>
      <c r="M3673" s="58" t="s">
        <v>22</v>
      </c>
      <c r="N3673" s="7">
        <v>11.333333333333334</v>
      </c>
      <c r="O3673" s="7" t="s">
        <v>180</v>
      </c>
      <c r="P3673" s="7" t="s">
        <v>180</v>
      </c>
    </row>
    <row r="3674" spans="1:16" x14ac:dyDescent="0.25">
      <c r="A3674" s="2" t="s">
        <v>183</v>
      </c>
      <c r="B3674" s="2" t="s">
        <v>211</v>
      </c>
      <c r="C3674" s="6" t="s">
        <v>157</v>
      </c>
      <c r="D3674" s="2" t="s">
        <v>126</v>
      </c>
      <c r="E3674" s="2"/>
      <c r="F3674" s="35">
        <v>5.4149169609489114</v>
      </c>
      <c r="G3674" s="35">
        <v>74.215806981110902</v>
      </c>
      <c r="H3674" s="35">
        <v>-8.7611206088716838</v>
      </c>
      <c r="I3674" s="35">
        <v>-2.9202226388830733E-3</v>
      </c>
      <c r="J3674" s="35">
        <v>-5.9029078002291272E-5</v>
      </c>
      <c r="K3674" s="35">
        <v>-1.7768759626395195E-2</v>
      </c>
      <c r="L3674" s="35">
        <v>1.3227722502867194</v>
      </c>
      <c r="M3674" s="58" t="s">
        <v>24</v>
      </c>
      <c r="N3674" s="7">
        <v>11.333333333333334</v>
      </c>
      <c r="O3674" s="7" t="s">
        <v>180</v>
      </c>
      <c r="P3674" s="7" t="s">
        <v>180</v>
      </c>
    </row>
    <row r="3675" spans="1:16" x14ac:dyDescent="0.25">
      <c r="A3675" s="2" t="s">
        <v>183</v>
      </c>
      <c r="B3675" s="2" t="s">
        <v>211</v>
      </c>
      <c r="C3675" s="6" t="s">
        <v>157</v>
      </c>
      <c r="D3675" s="2" t="s">
        <v>126</v>
      </c>
      <c r="E3675" s="2"/>
      <c r="F3675" s="35">
        <v>10.829833921897823</v>
      </c>
      <c r="G3675" s="35">
        <v>76.795217837226403</v>
      </c>
      <c r="H3675" s="35">
        <v>-8.7611206088716838</v>
      </c>
      <c r="I3675" s="35">
        <v>-2.9202226388830733E-3</v>
      </c>
      <c r="J3675" s="35">
        <v>-5.9029078002291272E-5</v>
      </c>
      <c r="K3675" s="35">
        <v>-1.9559965293602594E-3</v>
      </c>
      <c r="L3675" s="35">
        <v>48.763512832185057</v>
      </c>
      <c r="M3675" s="58" t="s">
        <v>23</v>
      </c>
      <c r="N3675" s="7">
        <v>11.333333333333334</v>
      </c>
      <c r="O3675" s="7" t="s">
        <v>180</v>
      </c>
      <c r="P3675" s="7" t="s">
        <v>180</v>
      </c>
    </row>
    <row r="3676" spans="1:16" x14ac:dyDescent="0.25">
      <c r="A3676" s="2" t="s">
        <v>183</v>
      </c>
      <c r="B3676" s="2" t="s">
        <v>211</v>
      </c>
      <c r="C3676" s="6" t="s">
        <v>157</v>
      </c>
      <c r="D3676" s="2" t="s">
        <v>127</v>
      </c>
      <c r="E3676" s="2"/>
      <c r="F3676" s="35">
        <v>0</v>
      </c>
      <c r="G3676" s="35">
        <v>-46.43365953926223</v>
      </c>
      <c r="H3676" s="35">
        <v>-20.70254864758682</v>
      </c>
      <c r="I3676" s="35">
        <v>-1.52146011528027E-3</v>
      </c>
      <c r="J3676" s="35">
        <v>-2.4419427956639569E-5</v>
      </c>
      <c r="K3676" s="35">
        <v>-1.7477113157152061E-2</v>
      </c>
      <c r="L3676" s="35">
        <v>-114.92504921444917</v>
      </c>
      <c r="M3676" s="58" t="s">
        <v>22</v>
      </c>
      <c r="N3676" s="7">
        <v>11.333333333333334</v>
      </c>
      <c r="O3676" s="7" t="s">
        <v>180</v>
      </c>
      <c r="P3676" s="7" t="s">
        <v>180</v>
      </c>
    </row>
    <row r="3677" spans="1:16" x14ac:dyDescent="0.25">
      <c r="A3677" s="2" t="s">
        <v>183</v>
      </c>
      <c r="B3677" s="2" t="s">
        <v>211</v>
      </c>
      <c r="C3677" s="6" t="s">
        <v>157</v>
      </c>
      <c r="D3677" s="2" t="s">
        <v>127</v>
      </c>
      <c r="E3677" s="2"/>
      <c r="F3677" s="35">
        <v>5.4149169609489114</v>
      </c>
      <c r="G3677" s="35">
        <v>-43.854248683146714</v>
      </c>
      <c r="H3677" s="35">
        <v>-20.70254864758682</v>
      </c>
      <c r="I3677" s="35">
        <v>-1.52146011528027E-3</v>
      </c>
      <c r="J3677" s="35">
        <v>-2.4419427956639569E-5</v>
      </c>
      <c r="K3677" s="35">
        <v>-9.2385329735136454E-3</v>
      </c>
      <c r="L3677" s="35">
        <v>-2.8224674077613776</v>
      </c>
      <c r="M3677" s="58" t="s">
        <v>24</v>
      </c>
      <c r="N3677" s="7">
        <v>11.333333333333334</v>
      </c>
      <c r="O3677" s="7" t="s">
        <v>180</v>
      </c>
      <c r="P3677" s="7" t="s">
        <v>180</v>
      </c>
    </row>
    <row r="3678" spans="1:16" x14ac:dyDescent="0.25">
      <c r="A3678" s="2" t="s">
        <v>183</v>
      </c>
      <c r="B3678" s="2" t="s">
        <v>211</v>
      </c>
      <c r="C3678" s="6" t="s">
        <v>157</v>
      </c>
      <c r="D3678" s="2" t="s">
        <v>127</v>
      </c>
      <c r="E3678" s="2"/>
      <c r="F3678" s="35">
        <v>10.829833921897823</v>
      </c>
      <c r="G3678" s="35">
        <v>-41.274837827031213</v>
      </c>
      <c r="H3678" s="35">
        <v>-20.70254864758682</v>
      </c>
      <c r="I3678" s="35">
        <v>-1.52146011528027E-3</v>
      </c>
      <c r="J3678" s="35">
        <v>-2.4419427956639569E-5</v>
      </c>
      <c r="K3678" s="35">
        <v>-9.9995278987522764E-4</v>
      </c>
      <c r="L3678" s="35">
        <v>109.28011439892641</v>
      </c>
      <c r="M3678" s="58" t="s">
        <v>23</v>
      </c>
      <c r="N3678" s="7">
        <v>11.333333333333334</v>
      </c>
      <c r="O3678" s="7" t="s">
        <v>180</v>
      </c>
      <c r="P3678" s="7" t="s">
        <v>180</v>
      </c>
    </row>
    <row r="3679" spans="1:16" x14ac:dyDescent="0.25">
      <c r="A3679" s="2" t="s">
        <v>183</v>
      </c>
      <c r="B3679" s="2" t="s">
        <v>212</v>
      </c>
      <c r="C3679" s="6" t="s">
        <v>158</v>
      </c>
      <c r="D3679" s="2" t="s">
        <v>105</v>
      </c>
      <c r="E3679" s="2"/>
      <c r="F3679" s="35">
        <v>0</v>
      </c>
      <c r="G3679" s="35">
        <v>-96.048091978950382</v>
      </c>
      <c r="H3679" s="35">
        <v>-1.7165043827121327</v>
      </c>
      <c r="I3679" s="35">
        <v>8.6703392429700037E-5</v>
      </c>
      <c r="J3679" s="35">
        <v>-4.523585065940673E-6</v>
      </c>
      <c r="K3679" s="35">
        <v>1.0055331755456809E-3</v>
      </c>
      <c r="L3679" s="35">
        <v>-3.9854242136419717</v>
      </c>
      <c r="M3679" s="58" t="s">
        <v>22</v>
      </c>
      <c r="N3679" s="7">
        <v>11.333333333333334</v>
      </c>
      <c r="O3679" s="7" t="s">
        <v>180</v>
      </c>
      <c r="P3679" s="7" t="s">
        <v>180</v>
      </c>
    </row>
    <row r="3680" spans="1:16" x14ac:dyDescent="0.25">
      <c r="A3680" s="2" t="s">
        <v>183</v>
      </c>
      <c r="B3680" s="2" t="s">
        <v>212</v>
      </c>
      <c r="C3680" s="6" t="s">
        <v>158</v>
      </c>
      <c r="D3680" s="2" t="s">
        <v>105</v>
      </c>
      <c r="E3680" s="2"/>
      <c r="F3680" s="35">
        <v>5.4149169609489114</v>
      </c>
      <c r="G3680" s="35">
        <v>-93.468681122834866</v>
      </c>
      <c r="H3680" s="35">
        <v>-1.7165043827121327</v>
      </c>
      <c r="I3680" s="35">
        <v>8.6703392429700037E-5</v>
      </c>
      <c r="J3680" s="35">
        <v>-4.523585065940673E-6</v>
      </c>
      <c r="K3680" s="35">
        <v>5.3604150530628869E-4</v>
      </c>
      <c r="L3680" s="35">
        <v>5.3093044818490958</v>
      </c>
      <c r="M3680" s="58" t="s">
        <v>24</v>
      </c>
      <c r="N3680" s="7">
        <v>11.333333333333334</v>
      </c>
      <c r="O3680" s="7" t="s">
        <v>180</v>
      </c>
      <c r="P3680" s="7" t="s">
        <v>180</v>
      </c>
    </row>
    <row r="3681" spans="1:16" x14ac:dyDescent="0.25">
      <c r="A3681" s="2" t="s">
        <v>183</v>
      </c>
      <c r="B3681" s="2" t="s">
        <v>212</v>
      </c>
      <c r="C3681" s="6" t="s">
        <v>158</v>
      </c>
      <c r="D3681" s="2" t="s">
        <v>105</v>
      </c>
      <c r="E3681" s="2"/>
      <c r="F3681" s="35">
        <v>10.829833921897823</v>
      </c>
      <c r="G3681" s="35">
        <v>-90.889270266719365</v>
      </c>
      <c r="H3681" s="35">
        <v>-1.7165043827121327</v>
      </c>
      <c r="I3681" s="35">
        <v>8.6703392429700037E-5</v>
      </c>
      <c r="J3681" s="35">
        <v>-4.523585065940673E-6</v>
      </c>
      <c r="K3681" s="35">
        <v>6.6549835066896629E-5</v>
      </c>
      <c r="L3681" s="35">
        <v>14.604033177340161</v>
      </c>
      <c r="M3681" s="58" t="s">
        <v>23</v>
      </c>
      <c r="N3681" s="7">
        <v>11.333333333333334</v>
      </c>
      <c r="O3681" s="7" t="s">
        <v>180</v>
      </c>
      <c r="P3681" s="7" t="s">
        <v>180</v>
      </c>
    </row>
    <row r="3682" spans="1:16" x14ac:dyDescent="0.25">
      <c r="A3682" s="2" t="s">
        <v>183</v>
      </c>
      <c r="B3682" s="2" t="s">
        <v>212</v>
      </c>
      <c r="C3682" s="6" t="s">
        <v>158</v>
      </c>
      <c r="D3682" s="2" t="s">
        <v>15</v>
      </c>
      <c r="E3682" s="2"/>
      <c r="F3682" s="35">
        <v>0</v>
      </c>
      <c r="G3682" s="35">
        <v>121.90330875085614</v>
      </c>
      <c r="H3682" s="35">
        <v>6.2064934258109776</v>
      </c>
      <c r="I3682" s="35">
        <v>-2.9186133868504573E-2</v>
      </c>
      <c r="J3682" s="35">
        <v>5.547062721394133E-4</v>
      </c>
      <c r="K3682" s="35">
        <v>-0.33551501792673305</v>
      </c>
      <c r="L3682" s="35">
        <v>21.077490458625544</v>
      </c>
      <c r="M3682" s="58" t="s">
        <v>22</v>
      </c>
      <c r="N3682" s="7">
        <v>11.333333333333334</v>
      </c>
      <c r="O3682" s="7" t="s">
        <v>180</v>
      </c>
      <c r="P3682" s="7" t="s">
        <v>180</v>
      </c>
    </row>
    <row r="3683" spans="1:16" x14ac:dyDescent="0.25">
      <c r="A3683" s="2" t="s">
        <v>183</v>
      </c>
      <c r="B3683" s="2" t="s">
        <v>212</v>
      </c>
      <c r="C3683" s="6" t="s">
        <v>158</v>
      </c>
      <c r="D3683" s="2" t="s">
        <v>15</v>
      </c>
      <c r="E3683" s="2"/>
      <c r="F3683" s="35">
        <v>5.4149169609489114</v>
      </c>
      <c r="G3683" s="35">
        <v>124.48271960697163</v>
      </c>
      <c r="H3683" s="35">
        <v>6.2064934258109776</v>
      </c>
      <c r="I3683" s="35">
        <v>-2.9186133868504573E-2</v>
      </c>
      <c r="J3683" s="35">
        <v>5.547062721394133E-4</v>
      </c>
      <c r="K3683" s="35">
        <v>-0.17747452661764218</v>
      </c>
      <c r="L3683" s="35">
        <v>-12.53015606081623</v>
      </c>
      <c r="M3683" s="58" t="s">
        <v>24</v>
      </c>
      <c r="N3683" s="7">
        <v>11.333333333333334</v>
      </c>
      <c r="O3683" s="7" t="s">
        <v>180</v>
      </c>
      <c r="P3683" s="7" t="s">
        <v>180</v>
      </c>
    </row>
    <row r="3684" spans="1:16" x14ac:dyDescent="0.25">
      <c r="A3684" s="2" t="s">
        <v>183</v>
      </c>
      <c r="B3684" s="2" t="s">
        <v>212</v>
      </c>
      <c r="C3684" s="6" t="s">
        <v>158</v>
      </c>
      <c r="D3684" s="2" t="s">
        <v>15</v>
      </c>
      <c r="E3684" s="2"/>
      <c r="F3684" s="35">
        <v>10.829833921897823</v>
      </c>
      <c r="G3684" s="35">
        <v>127.06213046308714</v>
      </c>
      <c r="H3684" s="35">
        <v>6.2064934258109776</v>
      </c>
      <c r="I3684" s="35">
        <v>-2.9186133868504573E-2</v>
      </c>
      <c r="J3684" s="35">
        <v>5.547062721394133E-4</v>
      </c>
      <c r="K3684" s="35">
        <v>-1.9434035308551333E-2</v>
      </c>
      <c r="L3684" s="35">
        <v>-46.137802580257997</v>
      </c>
      <c r="M3684" s="58" t="s">
        <v>23</v>
      </c>
      <c r="N3684" s="7">
        <v>11.333333333333334</v>
      </c>
      <c r="O3684" s="7" t="s">
        <v>180</v>
      </c>
      <c r="P3684" s="7" t="s">
        <v>180</v>
      </c>
    </row>
    <row r="3685" spans="1:16" x14ac:dyDescent="0.25">
      <c r="A3685" s="2" t="s">
        <v>183</v>
      </c>
      <c r="B3685" s="2" t="s">
        <v>212</v>
      </c>
      <c r="C3685" s="6" t="s">
        <v>158</v>
      </c>
      <c r="D3685" s="2" t="s">
        <v>16</v>
      </c>
      <c r="E3685" s="2"/>
      <c r="F3685" s="35">
        <v>0</v>
      </c>
      <c r="G3685" s="35">
        <v>41.539111550714708</v>
      </c>
      <c r="H3685" s="35">
        <v>3.0311126835202331</v>
      </c>
      <c r="I3685" s="35">
        <v>-2.8074601077189922E-2</v>
      </c>
      <c r="J3685" s="35">
        <v>5.2643733512241695E-4</v>
      </c>
      <c r="K3685" s="35">
        <v>-0.32271583138929572</v>
      </c>
      <c r="L3685" s="35">
        <v>10.771027970068126</v>
      </c>
      <c r="M3685" s="58" t="s">
        <v>22</v>
      </c>
      <c r="N3685" s="7">
        <v>11.333333333333334</v>
      </c>
      <c r="O3685" s="7" t="s">
        <v>180</v>
      </c>
      <c r="P3685" s="7" t="s">
        <v>180</v>
      </c>
    </row>
    <row r="3686" spans="1:16" x14ac:dyDescent="0.25">
      <c r="A3686" s="2" t="s">
        <v>183</v>
      </c>
      <c r="B3686" s="2" t="s">
        <v>212</v>
      </c>
      <c r="C3686" s="6" t="s">
        <v>158</v>
      </c>
      <c r="D3686" s="2" t="s">
        <v>16</v>
      </c>
      <c r="E3686" s="2"/>
      <c r="F3686" s="35">
        <v>5.4149169609489114</v>
      </c>
      <c r="G3686" s="35">
        <v>44.118522406830209</v>
      </c>
      <c r="H3686" s="35">
        <v>3.0311126835202331</v>
      </c>
      <c r="I3686" s="35">
        <v>-2.8074601077189922E-2</v>
      </c>
      <c r="J3686" s="35">
        <v>5.2643733512241695E-4</v>
      </c>
      <c r="K3686" s="35">
        <v>-0.17069419784454543</v>
      </c>
      <c r="L3686" s="35">
        <v>-5.6421955104729502</v>
      </c>
      <c r="M3686" s="58" t="s">
        <v>24</v>
      </c>
      <c r="N3686" s="7">
        <v>11.333333333333334</v>
      </c>
      <c r="O3686" s="7" t="s">
        <v>180</v>
      </c>
      <c r="P3686" s="7" t="s">
        <v>180</v>
      </c>
    </row>
    <row r="3687" spans="1:16" x14ac:dyDescent="0.25">
      <c r="A3687" s="2" t="s">
        <v>183</v>
      </c>
      <c r="B3687" s="2" t="s">
        <v>212</v>
      </c>
      <c r="C3687" s="6" t="s">
        <v>158</v>
      </c>
      <c r="D3687" s="2" t="s">
        <v>16</v>
      </c>
      <c r="E3687" s="2"/>
      <c r="F3687" s="35">
        <v>10.829833921897823</v>
      </c>
      <c r="G3687" s="35">
        <v>46.697933262945718</v>
      </c>
      <c r="H3687" s="35">
        <v>3.0311126835202331</v>
      </c>
      <c r="I3687" s="35">
        <v>-2.8074601077189922E-2</v>
      </c>
      <c r="J3687" s="35">
        <v>5.2643733512241695E-4</v>
      </c>
      <c r="K3687" s="35">
        <v>-1.8672564299795167E-2</v>
      </c>
      <c r="L3687" s="35">
        <v>-22.055418991014029</v>
      </c>
      <c r="M3687" s="58" t="s">
        <v>23</v>
      </c>
      <c r="N3687" s="7">
        <v>11.333333333333334</v>
      </c>
      <c r="O3687" s="7" t="s">
        <v>180</v>
      </c>
      <c r="P3687" s="7" t="s">
        <v>180</v>
      </c>
    </row>
    <row r="3688" spans="1:16" x14ac:dyDescent="0.25">
      <c r="A3688" s="2" t="s">
        <v>183</v>
      </c>
      <c r="B3688" s="2" t="s">
        <v>212</v>
      </c>
      <c r="C3688" s="6" t="s">
        <v>158</v>
      </c>
      <c r="D3688" s="2" t="s">
        <v>106</v>
      </c>
      <c r="E3688" s="2"/>
      <c r="F3688" s="35">
        <v>0</v>
      </c>
      <c r="G3688" s="35">
        <v>121.90353616887303</v>
      </c>
      <c r="H3688" s="35">
        <v>6.2068067494466224</v>
      </c>
      <c r="I3688" s="35">
        <v>2.9015237363935385E-2</v>
      </c>
      <c r="J3688" s="35">
        <v>-5.4583182202489324E-4</v>
      </c>
      <c r="K3688" s="35">
        <v>0.3335332095827187</v>
      </c>
      <c r="L3688" s="35">
        <v>21.07829905215965</v>
      </c>
      <c r="M3688" s="58" t="s">
        <v>22</v>
      </c>
      <c r="N3688" s="7">
        <v>11.333333333333334</v>
      </c>
      <c r="O3688" s="7" t="s">
        <v>180</v>
      </c>
      <c r="P3688" s="7" t="s">
        <v>180</v>
      </c>
    </row>
    <row r="3689" spans="1:16" x14ac:dyDescent="0.25">
      <c r="A3689" s="2" t="s">
        <v>183</v>
      </c>
      <c r="B3689" s="2" t="s">
        <v>212</v>
      </c>
      <c r="C3689" s="6" t="s">
        <v>158</v>
      </c>
      <c r="D3689" s="2" t="s">
        <v>106</v>
      </c>
      <c r="E3689" s="2"/>
      <c r="F3689" s="35">
        <v>5.4149169609489114</v>
      </c>
      <c r="G3689" s="35">
        <v>124.48294702498853</v>
      </c>
      <c r="H3689" s="35">
        <v>6.2068067494466224</v>
      </c>
      <c r="I3689" s="35">
        <v>2.9015237363935385E-2</v>
      </c>
      <c r="J3689" s="35">
        <v>-5.4583182202489324E-4</v>
      </c>
      <c r="K3689" s="35">
        <v>0.17641810865478644</v>
      </c>
      <c r="L3689" s="35">
        <v>-12.531044088751035</v>
      </c>
      <c r="M3689" s="58" t="s">
        <v>24</v>
      </c>
      <c r="N3689" s="7">
        <v>11.333333333333334</v>
      </c>
      <c r="O3689" s="7" t="s">
        <v>180</v>
      </c>
      <c r="P3689" s="7" t="s">
        <v>180</v>
      </c>
    </row>
    <row r="3690" spans="1:16" x14ac:dyDescent="0.25">
      <c r="A3690" s="2" t="s">
        <v>183</v>
      </c>
      <c r="B3690" s="2" t="s">
        <v>212</v>
      </c>
      <c r="C3690" s="6" t="s">
        <v>158</v>
      </c>
      <c r="D3690" s="2" t="s">
        <v>106</v>
      </c>
      <c r="E3690" s="2"/>
      <c r="F3690" s="35">
        <v>10.829833921897823</v>
      </c>
      <c r="G3690" s="35">
        <v>127.06235788110405</v>
      </c>
      <c r="H3690" s="35">
        <v>6.2068067494466224</v>
      </c>
      <c r="I3690" s="35">
        <v>2.9015237363935385E-2</v>
      </c>
      <c r="J3690" s="35">
        <v>-5.4583182202489324E-4</v>
      </c>
      <c r="K3690" s="35">
        <v>1.9303007726854171E-2</v>
      </c>
      <c r="L3690" s="35">
        <v>-46.140387229661719</v>
      </c>
      <c r="M3690" s="58" t="s">
        <v>23</v>
      </c>
      <c r="N3690" s="7">
        <v>11.333333333333334</v>
      </c>
      <c r="O3690" s="7" t="s">
        <v>180</v>
      </c>
      <c r="P3690" s="7" t="s">
        <v>180</v>
      </c>
    </row>
    <row r="3691" spans="1:16" x14ac:dyDescent="0.25">
      <c r="A3691" s="2" t="s">
        <v>183</v>
      </c>
      <c r="B3691" s="2" t="s">
        <v>212</v>
      </c>
      <c r="C3691" s="6" t="s">
        <v>158</v>
      </c>
      <c r="D3691" s="2" t="s">
        <v>107</v>
      </c>
      <c r="E3691" s="2"/>
      <c r="F3691" s="35">
        <v>0</v>
      </c>
      <c r="G3691" s="35">
        <v>41.539338579343713</v>
      </c>
      <c r="H3691" s="35">
        <v>3.0314254898088802</v>
      </c>
      <c r="I3691" s="35">
        <v>3.0104358932062085E-2</v>
      </c>
      <c r="J3691" s="35">
        <v>-5.7320647612635128E-4</v>
      </c>
      <c r="K3691" s="35">
        <v>0.34607334451811006</v>
      </c>
      <c r="L3691" s="35">
        <v>10.771835123745753</v>
      </c>
      <c r="M3691" s="58" t="s">
        <v>22</v>
      </c>
      <c r="N3691" s="7">
        <v>11.333333333333334</v>
      </c>
      <c r="O3691" s="7" t="s">
        <v>180</v>
      </c>
      <c r="P3691" s="7" t="s">
        <v>180</v>
      </c>
    </row>
    <row r="3692" spans="1:16" x14ac:dyDescent="0.25">
      <c r="A3692" s="2" t="s">
        <v>183</v>
      </c>
      <c r="B3692" s="2" t="s">
        <v>212</v>
      </c>
      <c r="C3692" s="6" t="s">
        <v>158</v>
      </c>
      <c r="D3692" s="2" t="s">
        <v>107</v>
      </c>
      <c r="E3692" s="2"/>
      <c r="F3692" s="35">
        <v>5.4149169609489114</v>
      </c>
      <c r="G3692" s="35">
        <v>44.118749435459215</v>
      </c>
      <c r="H3692" s="35">
        <v>3.0314254898088802</v>
      </c>
      <c r="I3692" s="35">
        <v>3.0104358932062085E-2</v>
      </c>
      <c r="J3692" s="35">
        <v>-5.7320647612635128E-4</v>
      </c>
      <c r="K3692" s="35">
        <v>0.18306074073839326</v>
      </c>
      <c r="L3692" s="35">
        <v>-5.64308217687321</v>
      </c>
      <c r="M3692" s="58" t="s">
        <v>24</v>
      </c>
      <c r="N3692" s="7">
        <v>11.333333333333334</v>
      </c>
      <c r="O3692" s="7" t="s">
        <v>180</v>
      </c>
      <c r="P3692" s="7" t="s">
        <v>180</v>
      </c>
    </row>
    <row r="3693" spans="1:16" x14ac:dyDescent="0.25">
      <c r="A3693" s="2" t="s">
        <v>183</v>
      </c>
      <c r="B3693" s="2" t="s">
        <v>212</v>
      </c>
      <c r="C3693" s="6" t="s">
        <v>158</v>
      </c>
      <c r="D3693" s="2" t="s">
        <v>107</v>
      </c>
      <c r="E3693" s="2"/>
      <c r="F3693" s="35">
        <v>10.829833921897823</v>
      </c>
      <c r="G3693" s="35">
        <v>46.698160291574716</v>
      </c>
      <c r="H3693" s="35">
        <v>3.0314254898088802</v>
      </c>
      <c r="I3693" s="35">
        <v>3.0104358932062085E-2</v>
      </c>
      <c r="J3693" s="35">
        <v>-5.7320647612635128E-4</v>
      </c>
      <c r="K3693" s="35">
        <v>2.0048136958676434E-2</v>
      </c>
      <c r="L3693" s="35">
        <v>-22.057999477492174</v>
      </c>
      <c r="M3693" s="58" t="s">
        <v>23</v>
      </c>
      <c r="N3693" s="7">
        <v>11.333333333333334</v>
      </c>
      <c r="O3693" s="7" t="s">
        <v>180</v>
      </c>
      <c r="P3693" s="7" t="s">
        <v>180</v>
      </c>
    </row>
    <row r="3694" spans="1:16" x14ac:dyDescent="0.25">
      <c r="A3694" s="2" t="s">
        <v>183</v>
      </c>
      <c r="B3694" s="2" t="s">
        <v>212</v>
      </c>
      <c r="C3694" s="6" t="s">
        <v>158</v>
      </c>
      <c r="D3694" s="2" t="s">
        <v>108</v>
      </c>
      <c r="E3694" s="2"/>
      <c r="F3694" s="35">
        <v>0</v>
      </c>
      <c r="G3694" s="35">
        <v>122.85472427568229</v>
      </c>
      <c r="H3694" s="35">
        <v>10.211699218259115</v>
      </c>
      <c r="I3694" s="35">
        <v>-2.7317112716552508E-3</v>
      </c>
      <c r="J3694" s="35">
        <v>6.8122335967103282E-5</v>
      </c>
      <c r="K3694" s="35">
        <v>-3.1450748169649059E-2</v>
      </c>
      <c r="L3694" s="35">
        <v>50.292354457817417</v>
      </c>
      <c r="M3694" s="58" t="s">
        <v>22</v>
      </c>
      <c r="N3694" s="7">
        <v>11.333333333333334</v>
      </c>
      <c r="O3694" s="7" t="s">
        <v>180</v>
      </c>
      <c r="P3694" s="7" t="s">
        <v>180</v>
      </c>
    </row>
    <row r="3695" spans="1:16" x14ac:dyDescent="0.25">
      <c r="A3695" s="2" t="s">
        <v>183</v>
      </c>
      <c r="B3695" s="2" t="s">
        <v>212</v>
      </c>
      <c r="C3695" s="6" t="s">
        <v>158</v>
      </c>
      <c r="D3695" s="2" t="s">
        <v>108</v>
      </c>
      <c r="E3695" s="2"/>
      <c r="F3695" s="35">
        <v>5.4149169609489114</v>
      </c>
      <c r="G3695" s="35">
        <v>125.43413513179779</v>
      </c>
      <c r="H3695" s="35">
        <v>10.211699218259115</v>
      </c>
      <c r="I3695" s="35">
        <v>-2.7317112716552508E-3</v>
      </c>
      <c r="J3695" s="35">
        <v>6.8122335967103282E-5</v>
      </c>
      <c r="K3695" s="35">
        <v>-1.6658758472347723E-2</v>
      </c>
      <c r="L3695" s="35">
        <v>-5.0031488392425931</v>
      </c>
      <c r="M3695" s="58" t="s">
        <v>24</v>
      </c>
      <c r="N3695" s="7">
        <v>11.333333333333334</v>
      </c>
      <c r="O3695" s="7" t="s">
        <v>180</v>
      </c>
      <c r="P3695" s="7" t="s">
        <v>180</v>
      </c>
    </row>
    <row r="3696" spans="1:16" x14ac:dyDescent="0.25">
      <c r="A3696" s="2" t="s">
        <v>183</v>
      </c>
      <c r="B3696" s="2" t="s">
        <v>212</v>
      </c>
      <c r="C3696" s="6" t="s">
        <v>158</v>
      </c>
      <c r="D3696" s="2" t="s">
        <v>108</v>
      </c>
      <c r="E3696" s="2"/>
      <c r="F3696" s="35">
        <v>10.829833921897823</v>
      </c>
      <c r="G3696" s="35">
        <v>128.01354598791329</v>
      </c>
      <c r="H3696" s="35">
        <v>10.211699218259115</v>
      </c>
      <c r="I3696" s="35">
        <v>-2.7317112716552508E-3</v>
      </c>
      <c r="J3696" s="35">
        <v>6.8122335967103282E-5</v>
      </c>
      <c r="K3696" s="35">
        <v>-1.8667687750463871E-3</v>
      </c>
      <c r="L3696" s="35">
        <v>-60.2986521363026</v>
      </c>
      <c r="M3696" s="58" t="s">
        <v>23</v>
      </c>
      <c r="N3696" s="7">
        <v>11.333333333333334</v>
      </c>
      <c r="O3696" s="7" t="s">
        <v>180</v>
      </c>
      <c r="P3696" s="7" t="s">
        <v>180</v>
      </c>
    </row>
    <row r="3697" spans="1:16" x14ac:dyDescent="0.25">
      <c r="A3697" s="2" t="s">
        <v>183</v>
      </c>
      <c r="B3697" s="2" t="s">
        <v>212</v>
      </c>
      <c r="C3697" s="6" t="s">
        <v>158</v>
      </c>
      <c r="D3697" s="2" t="s">
        <v>109</v>
      </c>
      <c r="E3697" s="2"/>
      <c r="F3697" s="35">
        <v>0</v>
      </c>
      <c r="G3697" s="35">
        <v>4.7846775313458263</v>
      </c>
      <c r="H3697" s="35">
        <v>22.153133575047868</v>
      </c>
      <c r="I3697" s="35">
        <v>-1.486037133924514E-3</v>
      </c>
      <c r="J3697" s="35">
        <v>3.3031503798955424E-5</v>
      </c>
      <c r="K3697" s="35">
        <v>-1.709661020261298E-2</v>
      </c>
      <c r="L3697" s="35">
        <v>119.09947624995797</v>
      </c>
      <c r="M3697" s="58" t="s">
        <v>22</v>
      </c>
      <c r="N3697" s="7">
        <v>11.333333333333334</v>
      </c>
      <c r="O3697" s="7" t="s">
        <v>180</v>
      </c>
      <c r="P3697" s="7" t="s">
        <v>180</v>
      </c>
    </row>
    <row r="3698" spans="1:16" x14ac:dyDescent="0.25">
      <c r="A3698" s="2" t="s">
        <v>183</v>
      </c>
      <c r="B3698" s="2" t="s">
        <v>212</v>
      </c>
      <c r="C3698" s="6" t="s">
        <v>158</v>
      </c>
      <c r="D3698" s="2" t="s">
        <v>109</v>
      </c>
      <c r="E3698" s="2"/>
      <c r="F3698" s="35">
        <v>5.4149169609489114</v>
      </c>
      <c r="G3698" s="35">
        <v>7.3640883874613268</v>
      </c>
      <c r="H3698" s="35">
        <v>22.153133575047868</v>
      </c>
      <c r="I3698" s="35">
        <v>-1.486037133924514E-3</v>
      </c>
      <c r="J3698" s="35">
        <v>3.3031503798955424E-5</v>
      </c>
      <c r="K3698" s="35">
        <v>-9.0498425215252247E-3</v>
      </c>
      <c r="L3698" s="35">
        <v>-0.85790248373548805</v>
      </c>
      <c r="M3698" s="58" t="s">
        <v>24</v>
      </c>
      <c r="N3698" s="7">
        <v>11.333333333333334</v>
      </c>
      <c r="O3698" s="7" t="s">
        <v>180</v>
      </c>
      <c r="P3698" s="7" t="s">
        <v>180</v>
      </c>
    </row>
    <row r="3699" spans="1:16" x14ac:dyDescent="0.25">
      <c r="A3699" s="2" t="s">
        <v>183</v>
      </c>
      <c r="B3699" s="2" t="s">
        <v>212</v>
      </c>
      <c r="C3699" s="6" t="s">
        <v>158</v>
      </c>
      <c r="D3699" s="2" t="s">
        <v>109</v>
      </c>
      <c r="E3699" s="2"/>
      <c r="F3699" s="35">
        <v>10.829833921897823</v>
      </c>
      <c r="G3699" s="35">
        <v>9.9434992435768343</v>
      </c>
      <c r="H3699" s="35">
        <v>22.153133575047868</v>
      </c>
      <c r="I3699" s="35">
        <v>-1.486037133924514E-3</v>
      </c>
      <c r="J3699" s="35">
        <v>3.3031503798955424E-5</v>
      </c>
      <c r="K3699" s="35">
        <v>-1.0030748404374656E-3</v>
      </c>
      <c r="L3699" s="35">
        <v>-120.81528121742896</v>
      </c>
      <c r="M3699" s="58" t="s">
        <v>23</v>
      </c>
      <c r="N3699" s="7">
        <v>11.333333333333334</v>
      </c>
      <c r="O3699" s="7" t="s">
        <v>180</v>
      </c>
      <c r="P3699" s="7" t="s">
        <v>180</v>
      </c>
    </row>
    <row r="3700" spans="1:16" x14ac:dyDescent="0.25">
      <c r="A3700" s="2" t="s">
        <v>183</v>
      </c>
      <c r="B3700" s="2" t="s">
        <v>212</v>
      </c>
      <c r="C3700" s="6" t="s">
        <v>158</v>
      </c>
      <c r="D3700" s="2" t="s">
        <v>110</v>
      </c>
      <c r="E3700" s="2"/>
      <c r="F3700" s="35">
        <v>0</v>
      </c>
      <c r="G3700" s="35">
        <v>120.92745551303913</v>
      </c>
      <c r="H3700" s="35">
        <v>0.24779325169087049</v>
      </c>
      <c r="I3700" s="35">
        <v>-2.7584850812945034E-3</v>
      </c>
      <c r="J3700" s="35">
        <v>6.6588921722115265E-5</v>
      </c>
      <c r="K3700" s="35">
        <v>-3.1753085983956382E-2</v>
      </c>
      <c r="L3700" s="35">
        <v>-16.334372356594827</v>
      </c>
      <c r="M3700" s="58" t="s">
        <v>22</v>
      </c>
      <c r="N3700" s="7">
        <v>11.333333333333334</v>
      </c>
      <c r="O3700" s="7" t="s">
        <v>180</v>
      </c>
      <c r="P3700" s="7" t="s">
        <v>180</v>
      </c>
    </row>
    <row r="3701" spans="1:16" x14ac:dyDescent="0.25">
      <c r="A3701" s="2" t="s">
        <v>183</v>
      </c>
      <c r="B3701" s="2" t="s">
        <v>212</v>
      </c>
      <c r="C3701" s="6" t="s">
        <v>158</v>
      </c>
      <c r="D3701" s="2" t="s">
        <v>110</v>
      </c>
      <c r="E3701" s="2"/>
      <c r="F3701" s="35">
        <v>5.4149169609489114</v>
      </c>
      <c r="G3701" s="35">
        <v>123.50686636915464</v>
      </c>
      <c r="H3701" s="35">
        <v>0.24779325169087049</v>
      </c>
      <c r="I3701" s="35">
        <v>-2.7584850812945034E-3</v>
      </c>
      <c r="J3701" s="35">
        <v>6.6588921722115265E-5</v>
      </c>
      <c r="K3701" s="35">
        <v>-1.6816118330730243E-2</v>
      </c>
      <c r="L3701" s="35">
        <v>-17.676152237984404</v>
      </c>
      <c r="M3701" s="58" t="s">
        <v>24</v>
      </c>
      <c r="N3701" s="7">
        <v>11.333333333333334</v>
      </c>
      <c r="O3701" s="7" t="s">
        <v>180</v>
      </c>
      <c r="P3701" s="7" t="s">
        <v>180</v>
      </c>
    </row>
    <row r="3702" spans="1:16" x14ac:dyDescent="0.25">
      <c r="A3702" s="2" t="s">
        <v>183</v>
      </c>
      <c r="B3702" s="2" t="s">
        <v>212</v>
      </c>
      <c r="C3702" s="6" t="s">
        <v>158</v>
      </c>
      <c r="D3702" s="2" t="s">
        <v>110</v>
      </c>
      <c r="E3702" s="2"/>
      <c r="F3702" s="35">
        <v>10.829833921897823</v>
      </c>
      <c r="G3702" s="35">
        <v>126.08627722527014</v>
      </c>
      <c r="H3702" s="35">
        <v>0.24779325169087049</v>
      </c>
      <c r="I3702" s="35">
        <v>-2.7584850812945034E-3</v>
      </c>
      <c r="J3702" s="35">
        <v>6.6588921722115265E-5</v>
      </c>
      <c r="K3702" s="35">
        <v>-1.8791506775041047E-3</v>
      </c>
      <c r="L3702" s="35">
        <v>-19.017932119373985</v>
      </c>
      <c r="M3702" s="58" t="s">
        <v>23</v>
      </c>
      <c r="N3702" s="7">
        <v>11.333333333333334</v>
      </c>
      <c r="O3702" s="7" t="s">
        <v>180</v>
      </c>
      <c r="P3702" s="7" t="s">
        <v>180</v>
      </c>
    </row>
    <row r="3703" spans="1:16" x14ac:dyDescent="0.25">
      <c r="A3703" s="2" t="s">
        <v>183</v>
      </c>
      <c r="B3703" s="2" t="s">
        <v>212</v>
      </c>
      <c r="C3703" s="6" t="s">
        <v>158</v>
      </c>
      <c r="D3703" s="2" t="s">
        <v>111</v>
      </c>
      <c r="E3703" s="2"/>
      <c r="F3703" s="35">
        <v>0</v>
      </c>
      <c r="G3703" s="35">
        <v>-91.70231415889937</v>
      </c>
      <c r="H3703" s="35">
        <v>-13.2715252565909</v>
      </c>
      <c r="I3703" s="35">
        <v>-1.4444377948826369E-3</v>
      </c>
      <c r="J3703" s="35">
        <v>2.9825756978084311E-5</v>
      </c>
      <c r="K3703" s="35">
        <v>-1.661160945114008E-2</v>
      </c>
      <c r="L3703" s="35">
        <v>-81.305343450715526</v>
      </c>
      <c r="M3703" s="58" t="s">
        <v>22</v>
      </c>
      <c r="N3703" s="7">
        <v>11.333333333333334</v>
      </c>
      <c r="O3703" s="7" t="s">
        <v>180</v>
      </c>
      <c r="P3703" s="7" t="s">
        <v>180</v>
      </c>
    </row>
    <row r="3704" spans="1:16" x14ac:dyDescent="0.25">
      <c r="A3704" s="2" t="s">
        <v>183</v>
      </c>
      <c r="B3704" s="2" t="s">
        <v>212</v>
      </c>
      <c r="C3704" s="6" t="s">
        <v>158</v>
      </c>
      <c r="D3704" s="2" t="s">
        <v>111</v>
      </c>
      <c r="E3704" s="2"/>
      <c r="F3704" s="35">
        <v>5.4149169609489114</v>
      </c>
      <c r="G3704" s="35">
        <v>-89.122903302783882</v>
      </c>
      <c r="H3704" s="35">
        <v>-13.2715252565909</v>
      </c>
      <c r="I3704" s="35">
        <v>-1.4444377948826369E-3</v>
      </c>
      <c r="J3704" s="35">
        <v>2.9825756978084311E-5</v>
      </c>
      <c r="K3704" s="35">
        <v>-8.7900987365944466E-3</v>
      </c>
      <c r="L3704" s="35">
        <v>-9.4411362411395938</v>
      </c>
      <c r="M3704" s="58" t="s">
        <v>24</v>
      </c>
      <c r="N3704" s="7">
        <v>11.333333333333334</v>
      </c>
      <c r="O3704" s="7" t="s">
        <v>180</v>
      </c>
      <c r="P3704" s="7" t="s">
        <v>180</v>
      </c>
    </row>
    <row r="3705" spans="1:16" x14ac:dyDescent="0.25">
      <c r="A3705" s="2" t="s">
        <v>183</v>
      </c>
      <c r="B3705" s="2" t="s">
        <v>212</v>
      </c>
      <c r="C3705" s="6" t="s">
        <v>158</v>
      </c>
      <c r="D3705" s="2" t="s">
        <v>111</v>
      </c>
      <c r="E3705" s="2"/>
      <c r="F3705" s="35">
        <v>10.829833921897823</v>
      </c>
      <c r="G3705" s="35">
        <v>-86.543492446668367</v>
      </c>
      <c r="H3705" s="35">
        <v>-13.2715252565909</v>
      </c>
      <c r="I3705" s="35">
        <v>-1.4444377948826369E-3</v>
      </c>
      <c r="J3705" s="35">
        <v>2.9825756978084311E-5</v>
      </c>
      <c r="K3705" s="35">
        <v>-9.6858802204881269E-4</v>
      </c>
      <c r="L3705" s="35">
        <v>62.423070968436328</v>
      </c>
      <c r="M3705" s="58" t="s">
        <v>23</v>
      </c>
      <c r="N3705" s="7">
        <v>11.333333333333334</v>
      </c>
      <c r="O3705" s="7" t="s">
        <v>180</v>
      </c>
      <c r="P3705" s="7" t="s">
        <v>180</v>
      </c>
    </row>
    <row r="3706" spans="1:16" x14ac:dyDescent="0.25">
      <c r="A3706" s="2" t="s">
        <v>183</v>
      </c>
      <c r="B3706" s="2" t="s">
        <v>212</v>
      </c>
      <c r="C3706" s="6" t="s">
        <v>158</v>
      </c>
      <c r="D3706" s="2" t="s">
        <v>112</v>
      </c>
      <c r="E3706" s="2"/>
      <c r="F3706" s="35">
        <v>0</v>
      </c>
      <c r="G3706" s="35">
        <v>48.889812387869391</v>
      </c>
      <c r="H3706" s="35">
        <v>3.9635941867722972</v>
      </c>
      <c r="I3706" s="35">
        <v>-2.6213627904547232E-2</v>
      </c>
      <c r="J3706" s="35">
        <v>4.965150639358655E-4</v>
      </c>
      <c r="K3706" s="35">
        <v>-0.30133879232911559</v>
      </c>
      <c r="L3706" s="35">
        <v>14.396685535445965</v>
      </c>
      <c r="M3706" s="58" t="s">
        <v>22</v>
      </c>
      <c r="N3706" s="7">
        <v>11.333333333333334</v>
      </c>
      <c r="O3706" s="7" t="s">
        <v>180</v>
      </c>
      <c r="P3706" s="7" t="s">
        <v>180</v>
      </c>
    </row>
    <row r="3707" spans="1:16" x14ac:dyDescent="0.25">
      <c r="A3707" s="2" t="s">
        <v>183</v>
      </c>
      <c r="B3707" s="2" t="s">
        <v>212</v>
      </c>
      <c r="C3707" s="6" t="s">
        <v>158</v>
      </c>
      <c r="D3707" s="2" t="s">
        <v>112</v>
      </c>
      <c r="E3707" s="2"/>
      <c r="F3707" s="35">
        <v>5.4149169609489114</v>
      </c>
      <c r="G3707" s="35">
        <v>51.469223243984906</v>
      </c>
      <c r="H3707" s="35">
        <v>3.9635941867722972</v>
      </c>
      <c r="I3707" s="35">
        <v>-2.6213627904547232E-2</v>
      </c>
      <c r="J3707" s="35">
        <v>4.965150639358655E-4</v>
      </c>
      <c r="K3707" s="35">
        <v>-0.15939417398077915</v>
      </c>
      <c r="L3707" s="35">
        <v>-7.0658478528258559</v>
      </c>
      <c r="M3707" s="58" t="s">
        <v>24</v>
      </c>
      <c r="N3707" s="7">
        <v>11.333333333333334</v>
      </c>
      <c r="O3707" s="7" t="s">
        <v>180</v>
      </c>
      <c r="P3707" s="7" t="s">
        <v>180</v>
      </c>
    </row>
    <row r="3708" spans="1:16" x14ac:dyDescent="0.25">
      <c r="A3708" s="2" t="s">
        <v>183</v>
      </c>
      <c r="B3708" s="2" t="s">
        <v>212</v>
      </c>
      <c r="C3708" s="6" t="s">
        <v>158</v>
      </c>
      <c r="D3708" s="2" t="s">
        <v>112</v>
      </c>
      <c r="E3708" s="2"/>
      <c r="F3708" s="35">
        <v>10.829833921897823</v>
      </c>
      <c r="G3708" s="35">
        <v>54.048634100100408</v>
      </c>
      <c r="H3708" s="35">
        <v>3.9635941867722972</v>
      </c>
      <c r="I3708" s="35">
        <v>-2.6213627904547232E-2</v>
      </c>
      <c r="J3708" s="35">
        <v>4.965150639358655E-4</v>
      </c>
      <c r="K3708" s="35">
        <v>-1.7449555632442697E-2</v>
      </c>
      <c r="L3708" s="35">
        <v>-28.528381241097673</v>
      </c>
      <c r="M3708" s="58" t="s">
        <v>23</v>
      </c>
      <c r="N3708" s="7">
        <v>11.333333333333334</v>
      </c>
      <c r="O3708" s="7" t="s">
        <v>180</v>
      </c>
      <c r="P3708" s="7" t="s">
        <v>180</v>
      </c>
    </row>
    <row r="3709" spans="1:16" x14ac:dyDescent="0.25">
      <c r="A3709" s="2" t="s">
        <v>183</v>
      </c>
      <c r="B3709" s="2" t="s">
        <v>212</v>
      </c>
      <c r="C3709" s="6" t="s">
        <v>158</v>
      </c>
      <c r="D3709" s="2" t="s">
        <v>113</v>
      </c>
      <c r="E3709" s="2"/>
      <c r="F3709" s="35">
        <v>0</v>
      </c>
      <c r="G3709" s="35">
        <v>-23.437965092257897</v>
      </c>
      <c r="H3709" s="35">
        <v>1.105751518710627</v>
      </c>
      <c r="I3709" s="35">
        <v>-2.5213248392364045E-2</v>
      </c>
      <c r="J3709" s="35">
        <v>4.710730206205688E-4</v>
      </c>
      <c r="K3709" s="35">
        <v>-0.28981952444542197</v>
      </c>
      <c r="L3709" s="35">
        <v>5.1208692957442876</v>
      </c>
      <c r="M3709" s="58" t="s">
        <v>22</v>
      </c>
      <c r="N3709" s="7">
        <v>11.333333333333334</v>
      </c>
      <c r="O3709" s="7" t="s">
        <v>180</v>
      </c>
      <c r="P3709" s="7" t="s">
        <v>180</v>
      </c>
    </row>
    <row r="3710" spans="1:16" x14ac:dyDescent="0.25">
      <c r="A3710" s="2" t="s">
        <v>183</v>
      </c>
      <c r="B3710" s="2" t="s">
        <v>212</v>
      </c>
      <c r="C3710" s="6" t="s">
        <v>158</v>
      </c>
      <c r="D3710" s="2" t="s">
        <v>113</v>
      </c>
      <c r="E3710" s="2"/>
      <c r="F3710" s="35">
        <v>5.4149169609489114</v>
      </c>
      <c r="G3710" s="35">
        <v>-20.858554236142382</v>
      </c>
      <c r="H3710" s="35">
        <v>1.105751518710627</v>
      </c>
      <c r="I3710" s="35">
        <v>-2.5213248392364045E-2</v>
      </c>
      <c r="J3710" s="35">
        <v>4.710730206205688E-4</v>
      </c>
      <c r="K3710" s="35">
        <v>-0.15329187808499209</v>
      </c>
      <c r="L3710" s="35">
        <v>-0.86668335751690317</v>
      </c>
      <c r="M3710" s="58" t="s">
        <v>24</v>
      </c>
      <c r="N3710" s="7">
        <v>11.333333333333334</v>
      </c>
      <c r="O3710" s="7" t="s">
        <v>180</v>
      </c>
      <c r="P3710" s="7" t="s">
        <v>180</v>
      </c>
    </row>
    <row r="3711" spans="1:16" x14ac:dyDescent="0.25">
      <c r="A3711" s="2" t="s">
        <v>183</v>
      </c>
      <c r="B3711" s="2" t="s">
        <v>212</v>
      </c>
      <c r="C3711" s="6" t="s">
        <v>158</v>
      </c>
      <c r="D3711" s="2" t="s">
        <v>113</v>
      </c>
      <c r="E3711" s="2"/>
      <c r="F3711" s="35">
        <v>10.829833921897823</v>
      </c>
      <c r="G3711" s="35">
        <v>-18.279143380026884</v>
      </c>
      <c r="H3711" s="35">
        <v>1.105751518710627</v>
      </c>
      <c r="I3711" s="35">
        <v>-2.5213248392364045E-2</v>
      </c>
      <c r="J3711" s="35">
        <v>4.710730206205688E-4</v>
      </c>
      <c r="K3711" s="35">
        <v>-1.6764231724562151E-2</v>
      </c>
      <c r="L3711" s="35">
        <v>-6.8542360107780977</v>
      </c>
      <c r="M3711" s="58" t="s">
        <v>23</v>
      </c>
      <c r="N3711" s="7">
        <v>11.333333333333334</v>
      </c>
      <c r="O3711" s="7" t="s">
        <v>180</v>
      </c>
      <c r="P3711" s="7" t="s">
        <v>180</v>
      </c>
    </row>
    <row r="3712" spans="1:16" x14ac:dyDescent="0.25">
      <c r="A3712" s="2" t="s">
        <v>183</v>
      </c>
      <c r="B3712" s="2" t="s">
        <v>212</v>
      </c>
      <c r="C3712" s="6" t="s">
        <v>158</v>
      </c>
      <c r="D3712" s="2" t="s">
        <v>114</v>
      </c>
      <c r="E3712" s="2"/>
      <c r="F3712" s="35">
        <v>0</v>
      </c>
      <c r="G3712" s="35">
        <v>48.89001706408461</v>
      </c>
      <c r="H3712" s="35">
        <v>3.963876178044377</v>
      </c>
      <c r="I3712" s="35">
        <v>2.6167606204648731E-2</v>
      </c>
      <c r="J3712" s="35">
        <v>-4.9396922081201031E-4</v>
      </c>
      <c r="K3712" s="35">
        <v>0.30080461242939099</v>
      </c>
      <c r="L3712" s="35">
        <v>14.397413269626661</v>
      </c>
      <c r="M3712" s="58" t="s">
        <v>22</v>
      </c>
      <c r="N3712" s="7">
        <v>11.333333333333334</v>
      </c>
      <c r="O3712" s="7" t="s">
        <v>180</v>
      </c>
      <c r="P3712" s="7" t="s">
        <v>180</v>
      </c>
    </row>
    <row r="3713" spans="1:16" x14ac:dyDescent="0.25">
      <c r="A3713" s="2" t="s">
        <v>183</v>
      </c>
      <c r="B3713" s="2" t="s">
        <v>212</v>
      </c>
      <c r="C3713" s="6" t="s">
        <v>158</v>
      </c>
      <c r="D3713" s="2" t="s">
        <v>114</v>
      </c>
      <c r="E3713" s="2"/>
      <c r="F3713" s="35">
        <v>5.4149169609489114</v>
      </c>
      <c r="G3713" s="35">
        <v>51.469427920200125</v>
      </c>
      <c r="H3713" s="35">
        <v>3.963876178044377</v>
      </c>
      <c r="I3713" s="35">
        <v>2.6167606204648731E-2</v>
      </c>
      <c r="J3713" s="35">
        <v>-4.9396922081201031E-4</v>
      </c>
      <c r="K3713" s="35">
        <v>0.15910919776440663</v>
      </c>
      <c r="L3713" s="35">
        <v>-7.0666470779671799</v>
      </c>
      <c r="M3713" s="58" t="s">
        <v>24</v>
      </c>
      <c r="N3713" s="7">
        <v>11.333333333333334</v>
      </c>
      <c r="O3713" s="7" t="s">
        <v>180</v>
      </c>
      <c r="P3713" s="7" t="s">
        <v>180</v>
      </c>
    </row>
    <row r="3714" spans="1:16" x14ac:dyDescent="0.25">
      <c r="A3714" s="2" t="s">
        <v>183</v>
      </c>
      <c r="B3714" s="2" t="s">
        <v>212</v>
      </c>
      <c r="C3714" s="6" t="s">
        <v>158</v>
      </c>
      <c r="D3714" s="2" t="s">
        <v>114</v>
      </c>
      <c r="E3714" s="2"/>
      <c r="F3714" s="35">
        <v>10.829833921897823</v>
      </c>
      <c r="G3714" s="35">
        <v>54.048838776315627</v>
      </c>
      <c r="H3714" s="35">
        <v>3.963876178044377</v>
      </c>
      <c r="I3714" s="35">
        <v>2.6167606204648731E-2</v>
      </c>
      <c r="J3714" s="35">
        <v>-4.9396922081201031E-4</v>
      </c>
      <c r="K3714" s="35">
        <v>1.7413783099422257E-2</v>
      </c>
      <c r="L3714" s="35">
        <v>-28.530707425561019</v>
      </c>
      <c r="M3714" s="58" t="s">
        <v>23</v>
      </c>
      <c r="N3714" s="7">
        <v>11.333333333333334</v>
      </c>
      <c r="O3714" s="7" t="s">
        <v>180</v>
      </c>
      <c r="P3714" s="7" t="s">
        <v>180</v>
      </c>
    </row>
    <row r="3715" spans="1:16" x14ac:dyDescent="0.25">
      <c r="A3715" s="2" t="s">
        <v>183</v>
      </c>
      <c r="B3715" s="2" t="s">
        <v>212</v>
      </c>
      <c r="C3715" s="6" t="s">
        <v>158</v>
      </c>
      <c r="D3715" s="2" t="s">
        <v>115</v>
      </c>
      <c r="E3715" s="2"/>
      <c r="F3715" s="35">
        <v>0</v>
      </c>
      <c r="G3715" s="35">
        <v>-23.437760766491785</v>
      </c>
      <c r="H3715" s="35">
        <v>1.1060330443704094</v>
      </c>
      <c r="I3715" s="35">
        <v>2.7147815615962766E-2</v>
      </c>
      <c r="J3715" s="35">
        <v>-5.1860640950332254E-4</v>
      </c>
      <c r="K3715" s="35">
        <v>0.31209073387124325</v>
      </c>
      <c r="L3715" s="35">
        <v>5.1215957340541527</v>
      </c>
      <c r="M3715" s="58" t="s">
        <v>22</v>
      </c>
      <c r="N3715" s="7">
        <v>11.333333333333334</v>
      </c>
      <c r="O3715" s="7" t="s">
        <v>180</v>
      </c>
      <c r="P3715" s="7" t="s">
        <v>180</v>
      </c>
    </row>
    <row r="3716" spans="1:16" x14ac:dyDescent="0.25">
      <c r="A3716" s="2" t="s">
        <v>183</v>
      </c>
      <c r="B3716" s="2" t="s">
        <v>212</v>
      </c>
      <c r="C3716" s="6" t="s">
        <v>158</v>
      </c>
      <c r="D3716" s="2" t="s">
        <v>115</v>
      </c>
      <c r="E3716" s="2"/>
      <c r="F3716" s="35">
        <v>5.4149169609489114</v>
      </c>
      <c r="G3716" s="35">
        <v>-20.858349910376269</v>
      </c>
      <c r="H3716" s="35">
        <v>1.1060330443704094</v>
      </c>
      <c r="I3716" s="35">
        <v>2.7147815615962766E-2</v>
      </c>
      <c r="J3716" s="35">
        <v>-5.1860640950332254E-4</v>
      </c>
      <c r="K3716" s="35">
        <v>0.16508756663965277</v>
      </c>
      <c r="L3716" s="35">
        <v>-0.86748135727713704</v>
      </c>
      <c r="M3716" s="58" t="s">
        <v>24</v>
      </c>
      <c r="N3716" s="7">
        <v>11.333333333333334</v>
      </c>
      <c r="O3716" s="7" t="s">
        <v>180</v>
      </c>
      <c r="P3716" s="7" t="s">
        <v>180</v>
      </c>
    </row>
    <row r="3717" spans="1:16" x14ac:dyDescent="0.25">
      <c r="A3717" s="2" t="s">
        <v>183</v>
      </c>
      <c r="B3717" s="2" t="s">
        <v>212</v>
      </c>
      <c r="C3717" s="6" t="s">
        <v>158</v>
      </c>
      <c r="D3717" s="2" t="s">
        <v>115</v>
      </c>
      <c r="E3717" s="2"/>
      <c r="F3717" s="35">
        <v>10.829833921897823</v>
      </c>
      <c r="G3717" s="35">
        <v>-18.278939054260768</v>
      </c>
      <c r="H3717" s="35">
        <v>1.1060330443704094</v>
      </c>
      <c r="I3717" s="35">
        <v>2.7147815615962766E-2</v>
      </c>
      <c r="J3717" s="35">
        <v>-5.1860640950332254E-4</v>
      </c>
      <c r="K3717" s="35">
        <v>1.8084399408062293E-2</v>
      </c>
      <c r="L3717" s="35">
        <v>-6.8565584486084301</v>
      </c>
      <c r="M3717" s="58" t="s">
        <v>23</v>
      </c>
      <c r="N3717" s="7">
        <v>11.333333333333334</v>
      </c>
      <c r="O3717" s="7" t="s">
        <v>180</v>
      </c>
      <c r="P3717" s="7" t="s">
        <v>180</v>
      </c>
    </row>
    <row r="3718" spans="1:16" x14ac:dyDescent="0.25">
      <c r="A3718" s="2" t="s">
        <v>183</v>
      </c>
      <c r="B3718" s="2" t="s">
        <v>212</v>
      </c>
      <c r="C3718" s="6" t="s">
        <v>158</v>
      </c>
      <c r="D3718" s="2" t="s">
        <v>116</v>
      </c>
      <c r="E3718" s="2"/>
      <c r="F3718" s="35">
        <v>0</v>
      </c>
      <c r="G3718" s="35">
        <v>49.746086360212928</v>
      </c>
      <c r="H3718" s="35">
        <v>7.5682793999756202</v>
      </c>
      <c r="I3718" s="35">
        <v>-2.4046475673828406E-3</v>
      </c>
      <c r="J3718" s="35">
        <v>5.8589521380786537E-5</v>
      </c>
      <c r="K3718" s="35">
        <v>-2.7680949547740009E-2</v>
      </c>
      <c r="L3718" s="35">
        <v>40.690063134718656</v>
      </c>
      <c r="M3718" s="58" t="s">
        <v>22</v>
      </c>
      <c r="N3718" s="7">
        <v>11.333333333333334</v>
      </c>
      <c r="O3718" s="7" t="s">
        <v>180</v>
      </c>
      <c r="P3718" s="7" t="s">
        <v>180</v>
      </c>
    </row>
    <row r="3719" spans="1:16" x14ac:dyDescent="0.25">
      <c r="A3719" s="2" t="s">
        <v>183</v>
      </c>
      <c r="B3719" s="2" t="s">
        <v>212</v>
      </c>
      <c r="C3719" s="6" t="s">
        <v>158</v>
      </c>
      <c r="D3719" s="2" t="s">
        <v>116</v>
      </c>
      <c r="E3719" s="2"/>
      <c r="F3719" s="35">
        <v>5.4149169609489114</v>
      </c>
      <c r="G3719" s="35">
        <v>52.325497216328444</v>
      </c>
      <c r="H3719" s="35">
        <v>7.5682793999756202</v>
      </c>
      <c r="I3719" s="35">
        <v>-2.4046475673828406E-3</v>
      </c>
      <c r="J3719" s="35">
        <v>5.8589521380786537E-5</v>
      </c>
      <c r="K3719" s="35">
        <v>-1.4659982650014128E-2</v>
      </c>
      <c r="L3719" s="35">
        <v>-0.29154135340958176</v>
      </c>
      <c r="M3719" s="58" t="s">
        <v>24</v>
      </c>
      <c r="N3719" s="7">
        <v>11.333333333333334</v>
      </c>
      <c r="O3719" s="7" t="s">
        <v>180</v>
      </c>
      <c r="P3719" s="7" t="s">
        <v>180</v>
      </c>
    </row>
    <row r="3720" spans="1:16" x14ac:dyDescent="0.25">
      <c r="A3720" s="2" t="s">
        <v>183</v>
      </c>
      <c r="B3720" s="2" t="s">
        <v>212</v>
      </c>
      <c r="C3720" s="6" t="s">
        <v>158</v>
      </c>
      <c r="D3720" s="2" t="s">
        <v>116</v>
      </c>
      <c r="E3720" s="2"/>
      <c r="F3720" s="35">
        <v>10.829833921897823</v>
      </c>
      <c r="G3720" s="35">
        <v>54.904908072443945</v>
      </c>
      <c r="H3720" s="35">
        <v>7.5682793999756202</v>
      </c>
      <c r="I3720" s="35">
        <v>-2.4046475673828406E-3</v>
      </c>
      <c r="J3720" s="35">
        <v>5.8589521380786537E-5</v>
      </c>
      <c r="K3720" s="35">
        <v>-1.6390157522882466E-3</v>
      </c>
      <c r="L3720" s="35">
        <v>-41.273145841537819</v>
      </c>
      <c r="M3720" s="58" t="s">
        <v>23</v>
      </c>
      <c r="N3720" s="7">
        <v>11.333333333333334</v>
      </c>
      <c r="O3720" s="7" t="s">
        <v>180</v>
      </c>
      <c r="P3720" s="7" t="s">
        <v>180</v>
      </c>
    </row>
    <row r="3721" spans="1:16" x14ac:dyDescent="0.25">
      <c r="A3721" s="2" t="s">
        <v>183</v>
      </c>
      <c r="B3721" s="2" t="s">
        <v>212</v>
      </c>
      <c r="C3721" s="6" t="s">
        <v>158</v>
      </c>
      <c r="D3721" s="2" t="s">
        <v>117</v>
      </c>
      <c r="E3721" s="2"/>
      <c r="F3721" s="35">
        <v>0</v>
      </c>
      <c r="G3721" s="35">
        <v>-56.516955709689881</v>
      </c>
      <c r="H3721" s="35">
        <v>18.315570321085499</v>
      </c>
      <c r="I3721" s="35">
        <v>-1.2835408434251773E-3</v>
      </c>
      <c r="J3721" s="35">
        <v>2.7007772429453452E-5</v>
      </c>
      <c r="K3721" s="35">
        <v>-1.4762225377407541E-2</v>
      </c>
      <c r="L3721" s="35">
        <v>102.61647274764516</v>
      </c>
      <c r="M3721" s="58" t="s">
        <v>22</v>
      </c>
      <c r="N3721" s="7">
        <v>11.333333333333334</v>
      </c>
      <c r="O3721" s="7" t="s">
        <v>180</v>
      </c>
      <c r="P3721" s="7" t="s">
        <v>180</v>
      </c>
    </row>
    <row r="3722" spans="1:16" x14ac:dyDescent="0.25">
      <c r="A3722" s="2" t="s">
        <v>183</v>
      </c>
      <c r="B3722" s="2" t="s">
        <v>212</v>
      </c>
      <c r="C3722" s="6" t="s">
        <v>158</v>
      </c>
      <c r="D3722" s="2" t="s">
        <v>117</v>
      </c>
      <c r="E3722" s="2"/>
      <c r="F3722" s="35">
        <v>5.4149169609489114</v>
      </c>
      <c r="G3722" s="35">
        <v>-53.937544853574366</v>
      </c>
      <c r="H3722" s="35">
        <v>18.315570321085499</v>
      </c>
      <c r="I3722" s="35">
        <v>-1.2835408434251773E-3</v>
      </c>
      <c r="J3722" s="35">
        <v>2.7007772429453452E-5</v>
      </c>
      <c r="K3722" s="35">
        <v>-7.8119582942738786E-3</v>
      </c>
      <c r="L3722" s="35">
        <v>3.4391803665468128</v>
      </c>
      <c r="M3722" s="58" t="s">
        <v>24</v>
      </c>
      <c r="N3722" s="7">
        <v>11.333333333333334</v>
      </c>
      <c r="O3722" s="7" t="s">
        <v>180</v>
      </c>
      <c r="P3722" s="7" t="s">
        <v>180</v>
      </c>
    </row>
    <row r="3723" spans="1:16" x14ac:dyDescent="0.25">
      <c r="A3723" s="2" t="s">
        <v>183</v>
      </c>
      <c r="B3723" s="2" t="s">
        <v>212</v>
      </c>
      <c r="C3723" s="6" t="s">
        <v>158</v>
      </c>
      <c r="D3723" s="2" t="s">
        <v>117</v>
      </c>
      <c r="E3723" s="2"/>
      <c r="F3723" s="35">
        <v>10.829833921897823</v>
      </c>
      <c r="G3723" s="35">
        <v>-51.358133997458864</v>
      </c>
      <c r="H3723" s="35">
        <v>18.315570321085499</v>
      </c>
      <c r="I3723" s="35">
        <v>-1.2835408434251773E-3</v>
      </c>
      <c r="J3723" s="35">
        <v>2.7007772429453452E-5</v>
      </c>
      <c r="K3723" s="35">
        <v>-8.61691211140217E-4</v>
      </c>
      <c r="L3723" s="35">
        <v>-95.738112014551547</v>
      </c>
      <c r="M3723" s="58" t="s">
        <v>23</v>
      </c>
      <c r="N3723" s="7">
        <v>11.333333333333334</v>
      </c>
      <c r="O3723" s="7" t="s">
        <v>180</v>
      </c>
      <c r="P3723" s="7" t="s">
        <v>180</v>
      </c>
    </row>
    <row r="3724" spans="1:16" x14ac:dyDescent="0.25">
      <c r="A3724" s="2" t="s">
        <v>183</v>
      </c>
      <c r="B3724" s="2" t="s">
        <v>212</v>
      </c>
      <c r="C3724" s="6" t="s">
        <v>158</v>
      </c>
      <c r="D3724" s="2" t="s">
        <v>118</v>
      </c>
      <c r="E3724" s="2"/>
      <c r="F3724" s="35">
        <v>0</v>
      </c>
      <c r="G3724" s="35">
        <v>48.011544473834093</v>
      </c>
      <c r="H3724" s="35">
        <v>-1.3992359699357992</v>
      </c>
      <c r="I3724" s="35">
        <v>-2.4287439960581675E-3</v>
      </c>
      <c r="J3724" s="35">
        <v>5.7209448560297325E-5</v>
      </c>
      <c r="K3724" s="35">
        <v>-2.7953053580616602E-2</v>
      </c>
      <c r="L3724" s="35">
        <v>-19.273990998252373</v>
      </c>
      <c r="M3724" s="58" t="s">
        <v>22</v>
      </c>
      <c r="N3724" s="7">
        <v>11.333333333333334</v>
      </c>
      <c r="O3724" s="7" t="s">
        <v>180</v>
      </c>
      <c r="P3724" s="7" t="s">
        <v>180</v>
      </c>
    </row>
    <row r="3725" spans="1:16" x14ac:dyDescent="0.25">
      <c r="A3725" s="2" t="s">
        <v>183</v>
      </c>
      <c r="B3725" s="2" t="s">
        <v>212</v>
      </c>
      <c r="C3725" s="6" t="s">
        <v>158</v>
      </c>
      <c r="D3725" s="2" t="s">
        <v>118</v>
      </c>
      <c r="E3725" s="2"/>
      <c r="F3725" s="35">
        <v>5.4149169609489114</v>
      </c>
      <c r="G3725" s="35">
        <v>50.590955329949608</v>
      </c>
      <c r="H3725" s="35">
        <v>-1.3992359699357992</v>
      </c>
      <c r="I3725" s="35">
        <v>-2.4287439960581675E-3</v>
      </c>
      <c r="J3725" s="35">
        <v>5.7209448560297325E-5</v>
      </c>
      <c r="K3725" s="35">
        <v>-1.4801606522558399E-2</v>
      </c>
      <c r="L3725" s="35">
        <v>-11.697244412277211</v>
      </c>
      <c r="M3725" s="58" t="s">
        <v>24</v>
      </c>
      <c r="N3725" s="7">
        <v>11.333333333333334</v>
      </c>
      <c r="O3725" s="7" t="s">
        <v>180</v>
      </c>
      <c r="P3725" s="7" t="s">
        <v>180</v>
      </c>
    </row>
    <row r="3726" spans="1:16" x14ac:dyDescent="0.25">
      <c r="A3726" s="2" t="s">
        <v>183</v>
      </c>
      <c r="B3726" s="2" t="s">
        <v>212</v>
      </c>
      <c r="C3726" s="6" t="s">
        <v>158</v>
      </c>
      <c r="D3726" s="2" t="s">
        <v>118</v>
      </c>
      <c r="E3726" s="2"/>
      <c r="F3726" s="35">
        <v>10.829833921897823</v>
      </c>
      <c r="G3726" s="35">
        <v>53.17036618606511</v>
      </c>
      <c r="H3726" s="35">
        <v>-1.3992359699357992</v>
      </c>
      <c r="I3726" s="35">
        <v>-2.4287439960581675E-3</v>
      </c>
      <c r="J3726" s="35">
        <v>5.7209448560297325E-5</v>
      </c>
      <c r="K3726" s="35">
        <v>-1.6501594645001927E-3</v>
      </c>
      <c r="L3726" s="35">
        <v>-4.1204978263020546</v>
      </c>
      <c r="M3726" s="58" t="s">
        <v>23</v>
      </c>
      <c r="N3726" s="7">
        <v>11.333333333333334</v>
      </c>
      <c r="O3726" s="7" t="s">
        <v>180</v>
      </c>
      <c r="P3726" s="7" t="s">
        <v>180</v>
      </c>
    </row>
    <row r="3727" spans="1:16" x14ac:dyDescent="0.25">
      <c r="A3727" s="2" t="s">
        <v>183</v>
      </c>
      <c r="B3727" s="2" t="s">
        <v>212</v>
      </c>
      <c r="C3727" s="6" t="s">
        <v>158</v>
      </c>
      <c r="D3727" s="2" t="s">
        <v>119</v>
      </c>
      <c r="E3727" s="2"/>
      <c r="F3727" s="35">
        <v>0</v>
      </c>
      <c r="G3727" s="35">
        <v>-143.35524823091058</v>
      </c>
      <c r="H3727" s="35">
        <v>-13.566622627389394</v>
      </c>
      <c r="I3727" s="35">
        <v>-1.2461014382874882E-3</v>
      </c>
      <c r="J3727" s="35">
        <v>2.4122600290669447E-5</v>
      </c>
      <c r="K3727" s="35">
        <v>-1.4325724701081932E-2</v>
      </c>
      <c r="L3727" s="35">
        <v>-77.747864982960976</v>
      </c>
      <c r="M3727" s="58" t="s">
        <v>22</v>
      </c>
      <c r="N3727" s="7">
        <v>11.333333333333334</v>
      </c>
      <c r="O3727" s="7" t="s">
        <v>180</v>
      </c>
      <c r="P3727" s="7" t="s">
        <v>180</v>
      </c>
    </row>
    <row r="3728" spans="1:16" x14ac:dyDescent="0.25">
      <c r="A3728" s="2" t="s">
        <v>183</v>
      </c>
      <c r="B3728" s="2" t="s">
        <v>212</v>
      </c>
      <c r="C3728" s="6" t="s">
        <v>158</v>
      </c>
      <c r="D3728" s="2" t="s">
        <v>119</v>
      </c>
      <c r="E3728" s="2"/>
      <c r="F3728" s="35">
        <v>5.4149169609489114</v>
      </c>
      <c r="G3728" s="35">
        <v>-140.77583737479506</v>
      </c>
      <c r="H3728" s="35">
        <v>-13.566622627389394</v>
      </c>
      <c r="I3728" s="35">
        <v>-1.2461014382874882E-3</v>
      </c>
      <c r="J3728" s="35">
        <v>2.4122600290669447E-5</v>
      </c>
      <c r="K3728" s="35">
        <v>-7.57818888783618E-3</v>
      </c>
      <c r="L3728" s="35">
        <v>-4.285730015116882</v>
      </c>
      <c r="M3728" s="58" t="s">
        <v>24</v>
      </c>
      <c r="N3728" s="7">
        <v>11.333333333333334</v>
      </c>
      <c r="O3728" s="7" t="s">
        <v>180</v>
      </c>
      <c r="P3728" s="7" t="s">
        <v>180</v>
      </c>
    </row>
    <row r="3729" spans="1:16" x14ac:dyDescent="0.25">
      <c r="A3729" s="2" t="s">
        <v>183</v>
      </c>
      <c r="B3729" s="2" t="s">
        <v>212</v>
      </c>
      <c r="C3729" s="6" t="s">
        <v>158</v>
      </c>
      <c r="D3729" s="2" t="s">
        <v>119</v>
      </c>
      <c r="E3729" s="2"/>
      <c r="F3729" s="35">
        <v>10.829833921897823</v>
      </c>
      <c r="G3729" s="35">
        <v>-138.19642651867957</v>
      </c>
      <c r="H3729" s="35">
        <v>-13.566622627389394</v>
      </c>
      <c r="I3729" s="35">
        <v>-1.2461014382874882E-3</v>
      </c>
      <c r="J3729" s="35">
        <v>2.4122600290669447E-5</v>
      </c>
      <c r="K3729" s="35">
        <v>-8.3065307459042953E-4</v>
      </c>
      <c r="L3729" s="35">
        <v>69.176404952727225</v>
      </c>
      <c r="M3729" s="58" t="s">
        <v>23</v>
      </c>
      <c r="N3729" s="7">
        <v>11.333333333333334</v>
      </c>
      <c r="O3729" s="7" t="s">
        <v>180</v>
      </c>
      <c r="P3729" s="7" t="s">
        <v>180</v>
      </c>
    </row>
    <row r="3730" spans="1:16" x14ac:dyDescent="0.25">
      <c r="A3730" s="2" t="s">
        <v>183</v>
      </c>
      <c r="B3730" s="2" t="s">
        <v>212</v>
      </c>
      <c r="C3730" s="6" t="s">
        <v>158</v>
      </c>
      <c r="D3730" s="2" t="s">
        <v>120</v>
      </c>
      <c r="E3730" s="2"/>
      <c r="F3730" s="35">
        <v>0</v>
      </c>
      <c r="G3730" s="35">
        <v>70.684952460850056</v>
      </c>
      <c r="H3730" s="35">
        <v>4.7558939676246084</v>
      </c>
      <c r="I3730" s="35">
        <v>-2.9140911630640656E-2</v>
      </c>
      <c r="J3730" s="35">
        <v>5.5243804965640088E-4</v>
      </c>
      <c r="K3730" s="35">
        <v>-0.33499084743934343</v>
      </c>
      <c r="L3730" s="35">
        <v>16.902977002672714</v>
      </c>
      <c r="M3730" s="58" t="s">
        <v>22</v>
      </c>
      <c r="N3730" s="7">
        <v>11.333333333333334</v>
      </c>
      <c r="O3730" s="7" t="s">
        <v>180</v>
      </c>
      <c r="P3730" s="7" t="s">
        <v>180</v>
      </c>
    </row>
    <row r="3731" spans="1:16" x14ac:dyDescent="0.25">
      <c r="A3731" s="2" t="s">
        <v>183</v>
      </c>
      <c r="B3731" s="2" t="s">
        <v>212</v>
      </c>
      <c r="C3731" s="6" t="s">
        <v>158</v>
      </c>
      <c r="D3731" s="2" t="s">
        <v>120</v>
      </c>
      <c r="E3731" s="2"/>
      <c r="F3731" s="35">
        <v>5.4149169609489114</v>
      </c>
      <c r="G3731" s="35">
        <v>73.264363316965543</v>
      </c>
      <c r="H3731" s="35">
        <v>4.7558939676246084</v>
      </c>
      <c r="I3731" s="35">
        <v>-2.9140911630640656E-2</v>
      </c>
      <c r="J3731" s="35">
        <v>5.5243804965640088E-4</v>
      </c>
      <c r="K3731" s="35">
        <v>-0.17719523079307398</v>
      </c>
      <c r="L3731" s="35">
        <v>-8.8497939070923888</v>
      </c>
      <c r="M3731" s="58" t="s">
        <v>24</v>
      </c>
      <c r="N3731" s="7">
        <v>11.333333333333334</v>
      </c>
      <c r="O3731" s="7" t="s">
        <v>180</v>
      </c>
      <c r="P3731" s="7" t="s">
        <v>180</v>
      </c>
    </row>
    <row r="3732" spans="1:16" x14ac:dyDescent="0.25">
      <c r="A3732" s="2" t="s">
        <v>183</v>
      </c>
      <c r="B3732" s="2" t="s">
        <v>212</v>
      </c>
      <c r="C3732" s="6" t="s">
        <v>158</v>
      </c>
      <c r="D3732" s="2" t="s">
        <v>120</v>
      </c>
      <c r="E3732" s="2"/>
      <c r="F3732" s="35">
        <v>10.829833921897823</v>
      </c>
      <c r="G3732" s="35">
        <v>75.843774173081059</v>
      </c>
      <c r="H3732" s="35">
        <v>4.7558939676246084</v>
      </c>
      <c r="I3732" s="35">
        <v>-2.9140911630640656E-2</v>
      </c>
      <c r="J3732" s="35">
        <v>5.5243804965640088E-4</v>
      </c>
      <c r="K3732" s="35">
        <v>-1.9399614146804522E-2</v>
      </c>
      <c r="L3732" s="35">
        <v>-34.602564816857495</v>
      </c>
      <c r="M3732" s="58" t="s">
        <v>23</v>
      </c>
      <c r="N3732" s="7">
        <v>11.333333333333334</v>
      </c>
      <c r="O3732" s="7" t="s">
        <v>180</v>
      </c>
      <c r="P3732" s="7" t="s">
        <v>180</v>
      </c>
    </row>
    <row r="3733" spans="1:16" x14ac:dyDescent="0.25">
      <c r="A3733" s="2" t="s">
        <v>183</v>
      </c>
      <c r="B3733" s="2" t="s">
        <v>212</v>
      </c>
      <c r="C3733" s="6" t="s">
        <v>158</v>
      </c>
      <c r="D3733" s="2" t="s">
        <v>121</v>
      </c>
      <c r="E3733" s="2"/>
      <c r="F3733" s="35">
        <v>0</v>
      </c>
      <c r="G3733" s="35">
        <v>-9.6792447392913719</v>
      </c>
      <c r="H3733" s="35">
        <v>1.5805132253338636</v>
      </c>
      <c r="I3733" s="35">
        <v>-2.8029378839326005E-2</v>
      </c>
      <c r="J3733" s="35">
        <v>5.2416911263940453E-4</v>
      </c>
      <c r="K3733" s="35">
        <v>-0.3221916609019061</v>
      </c>
      <c r="L3733" s="35">
        <v>6.596514514115297</v>
      </c>
      <c r="M3733" s="58" t="s">
        <v>22</v>
      </c>
      <c r="N3733" s="7">
        <v>11.333333333333334</v>
      </c>
      <c r="O3733" s="7" t="s">
        <v>180</v>
      </c>
      <c r="P3733" s="7" t="s">
        <v>180</v>
      </c>
    </row>
    <row r="3734" spans="1:16" x14ac:dyDescent="0.25">
      <c r="A3734" s="2" t="s">
        <v>183</v>
      </c>
      <c r="B3734" s="2" t="s">
        <v>212</v>
      </c>
      <c r="C3734" s="6" t="s">
        <v>158</v>
      </c>
      <c r="D3734" s="2" t="s">
        <v>121</v>
      </c>
      <c r="E3734" s="2"/>
      <c r="F3734" s="35">
        <v>5.4149169609489114</v>
      </c>
      <c r="G3734" s="35">
        <v>-7.0998338831758874</v>
      </c>
      <c r="H3734" s="35">
        <v>1.5805132253338636</v>
      </c>
      <c r="I3734" s="35">
        <v>-2.8029378839326005E-2</v>
      </c>
      <c r="J3734" s="35">
        <v>5.2416911263940453E-4</v>
      </c>
      <c r="K3734" s="35">
        <v>-0.17041490201997722</v>
      </c>
      <c r="L3734" s="35">
        <v>-1.9618333567491075</v>
      </c>
      <c r="M3734" s="58" t="s">
        <v>24</v>
      </c>
      <c r="N3734" s="7">
        <v>11.333333333333334</v>
      </c>
      <c r="O3734" s="7" t="s">
        <v>180</v>
      </c>
      <c r="P3734" s="7" t="s">
        <v>180</v>
      </c>
    </row>
    <row r="3735" spans="1:16" x14ac:dyDescent="0.25">
      <c r="A3735" s="2" t="s">
        <v>183</v>
      </c>
      <c r="B3735" s="2" t="s">
        <v>212</v>
      </c>
      <c r="C3735" s="6" t="s">
        <v>158</v>
      </c>
      <c r="D3735" s="2" t="s">
        <v>121</v>
      </c>
      <c r="E3735" s="2"/>
      <c r="F3735" s="35">
        <v>10.829833921897823</v>
      </c>
      <c r="G3735" s="35">
        <v>-4.5204230270603718</v>
      </c>
      <c r="H3735" s="35">
        <v>1.5805132253338636</v>
      </c>
      <c r="I3735" s="35">
        <v>-2.8029378839326005E-2</v>
      </c>
      <c r="J3735" s="35">
        <v>5.2416911263940453E-4</v>
      </c>
      <c r="K3735" s="35">
        <v>-1.8638143138048357E-2</v>
      </c>
      <c r="L3735" s="35">
        <v>-10.520181227613513</v>
      </c>
      <c r="M3735" s="58" t="s">
        <v>23</v>
      </c>
      <c r="N3735" s="7">
        <v>11.333333333333334</v>
      </c>
      <c r="O3735" s="7" t="s">
        <v>180</v>
      </c>
      <c r="P3735" s="7" t="s">
        <v>180</v>
      </c>
    </row>
    <row r="3736" spans="1:16" x14ac:dyDescent="0.25">
      <c r="A3736" s="2" t="s">
        <v>183</v>
      </c>
      <c r="B3736" s="2" t="s">
        <v>212</v>
      </c>
      <c r="C3736" s="6" t="s">
        <v>158</v>
      </c>
      <c r="D3736" s="2" t="s">
        <v>122</v>
      </c>
      <c r="E3736" s="2"/>
      <c r="F3736" s="35">
        <v>0</v>
      </c>
      <c r="G3736" s="35">
        <v>70.685179878866961</v>
      </c>
      <c r="H3736" s="35">
        <v>4.7562072912602522</v>
      </c>
      <c r="I3736" s="35">
        <v>2.9060459601799302E-2</v>
      </c>
      <c r="J3736" s="35">
        <v>-5.4810004450790565E-4</v>
      </c>
      <c r="K3736" s="35">
        <v>0.33405738007010832</v>
      </c>
      <c r="L3736" s="35">
        <v>16.90378559620682</v>
      </c>
      <c r="M3736" s="58" t="s">
        <v>22</v>
      </c>
      <c r="N3736" s="7">
        <v>11.333333333333334</v>
      </c>
      <c r="O3736" s="7" t="s">
        <v>180</v>
      </c>
      <c r="P3736" s="7" t="s">
        <v>180</v>
      </c>
    </row>
    <row r="3737" spans="1:16" x14ac:dyDescent="0.25">
      <c r="A3737" s="2" t="s">
        <v>183</v>
      </c>
      <c r="B3737" s="2" t="s">
        <v>212</v>
      </c>
      <c r="C3737" s="6" t="s">
        <v>158</v>
      </c>
      <c r="D3737" s="2" t="s">
        <v>122</v>
      </c>
      <c r="E3737" s="2"/>
      <c r="F3737" s="35">
        <v>5.4149169609489114</v>
      </c>
      <c r="G3737" s="35">
        <v>73.264590734982448</v>
      </c>
      <c r="H3737" s="35">
        <v>4.7562072912602522</v>
      </c>
      <c r="I3737" s="35">
        <v>2.9060459601799302E-2</v>
      </c>
      <c r="J3737" s="35">
        <v>-5.4810004450790565E-4</v>
      </c>
      <c r="K3737" s="35">
        <v>0.17669740447935464</v>
      </c>
      <c r="L3737" s="35">
        <v>-8.8506819350271932</v>
      </c>
      <c r="M3737" s="58" t="s">
        <v>24</v>
      </c>
      <c r="N3737" s="7">
        <v>11.333333333333334</v>
      </c>
      <c r="O3737" s="7" t="s">
        <v>180</v>
      </c>
      <c r="P3737" s="7" t="s">
        <v>180</v>
      </c>
    </row>
    <row r="3738" spans="1:16" x14ac:dyDescent="0.25">
      <c r="A3738" s="2" t="s">
        <v>183</v>
      </c>
      <c r="B3738" s="2" t="s">
        <v>212</v>
      </c>
      <c r="C3738" s="6" t="s">
        <v>158</v>
      </c>
      <c r="D3738" s="2" t="s">
        <v>122</v>
      </c>
      <c r="E3738" s="2"/>
      <c r="F3738" s="35">
        <v>10.829833921897823</v>
      </c>
      <c r="G3738" s="35">
        <v>75.84400159109795</v>
      </c>
      <c r="H3738" s="35">
        <v>4.7562072912602522</v>
      </c>
      <c r="I3738" s="35">
        <v>2.9060459601799302E-2</v>
      </c>
      <c r="J3738" s="35">
        <v>-5.4810004450790565E-4</v>
      </c>
      <c r="K3738" s="35">
        <v>1.9337428888600981E-2</v>
      </c>
      <c r="L3738" s="35">
        <v>-34.605149466261217</v>
      </c>
      <c r="M3738" s="58" t="s">
        <v>23</v>
      </c>
      <c r="N3738" s="7">
        <v>11.333333333333334</v>
      </c>
      <c r="O3738" s="7" t="s">
        <v>180</v>
      </c>
      <c r="P3738" s="7" t="s">
        <v>180</v>
      </c>
    </row>
    <row r="3739" spans="1:16" x14ac:dyDescent="0.25">
      <c r="A3739" s="2" t="s">
        <v>183</v>
      </c>
      <c r="B3739" s="2" t="s">
        <v>212</v>
      </c>
      <c r="C3739" s="6" t="s">
        <v>158</v>
      </c>
      <c r="D3739" s="2" t="s">
        <v>123</v>
      </c>
      <c r="E3739" s="2"/>
      <c r="F3739" s="35">
        <v>0</v>
      </c>
      <c r="G3739" s="35">
        <v>-9.6790177106623716</v>
      </c>
      <c r="H3739" s="35">
        <v>1.5808260316225107</v>
      </c>
      <c r="I3739" s="35">
        <v>3.0149581169926002E-2</v>
      </c>
      <c r="J3739" s="35">
        <v>-5.7547469860936358E-4</v>
      </c>
      <c r="K3739" s="35">
        <v>0.34659751500549968</v>
      </c>
      <c r="L3739" s="35">
        <v>6.5973216677929249</v>
      </c>
      <c r="M3739" s="58" t="s">
        <v>22</v>
      </c>
      <c r="N3739" s="7">
        <v>11.333333333333334</v>
      </c>
      <c r="O3739" s="7" t="s">
        <v>180</v>
      </c>
      <c r="P3739" s="7" t="s">
        <v>180</v>
      </c>
    </row>
    <row r="3740" spans="1:16" x14ac:dyDescent="0.25">
      <c r="A3740" s="2" t="s">
        <v>183</v>
      </c>
      <c r="B3740" s="2" t="s">
        <v>212</v>
      </c>
      <c r="C3740" s="6" t="s">
        <v>158</v>
      </c>
      <c r="D3740" s="2" t="s">
        <v>123</v>
      </c>
      <c r="E3740" s="2"/>
      <c r="F3740" s="35">
        <v>5.4149169609489114</v>
      </c>
      <c r="G3740" s="35">
        <v>-7.0996068545468862</v>
      </c>
      <c r="H3740" s="35">
        <v>1.5808260316225107</v>
      </c>
      <c r="I3740" s="35">
        <v>3.0149581169926002E-2</v>
      </c>
      <c r="J3740" s="35">
        <v>-5.7547469860936358E-4</v>
      </c>
      <c r="K3740" s="35">
        <v>0.18334003656296144</v>
      </c>
      <c r="L3740" s="35">
        <v>-1.9627200231493678</v>
      </c>
      <c r="M3740" s="58" t="s">
        <v>24</v>
      </c>
      <c r="N3740" s="7">
        <v>11.333333333333334</v>
      </c>
      <c r="O3740" s="7" t="s">
        <v>180</v>
      </c>
      <c r="P3740" s="7" t="s">
        <v>180</v>
      </c>
    </row>
    <row r="3741" spans="1:16" x14ac:dyDescent="0.25">
      <c r="A3741" s="2" t="s">
        <v>183</v>
      </c>
      <c r="B3741" s="2" t="s">
        <v>212</v>
      </c>
      <c r="C3741" s="6" t="s">
        <v>158</v>
      </c>
      <c r="D3741" s="2" t="s">
        <v>123</v>
      </c>
      <c r="E3741" s="2"/>
      <c r="F3741" s="35">
        <v>10.829833921897823</v>
      </c>
      <c r="G3741" s="35">
        <v>-4.5201959984313715</v>
      </c>
      <c r="H3741" s="35">
        <v>1.5808260316225107</v>
      </c>
      <c r="I3741" s="35">
        <v>3.0149581169926002E-2</v>
      </c>
      <c r="J3741" s="35">
        <v>-5.7547469860936358E-4</v>
      </c>
      <c r="K3741" s="35">
        <v>2.0082558120423245E-2</v>
      </c>
      <c r="L3741" s="35">
        <v>-10.52276171409166</v>
      </c>
      <c r="M3741" s="58" t="s">
        <v>23</v>
      </c>
      <c r="N3741" s="7">
        <v>11.333333333333334</v>
      </c>
      <c r="O3741" s="7" t="s">
        <v>180</v>
      </c>
      <c r="P3741" s="7" t="s">
        <v>180</v>
      </c>
    </row>
    <row r="3742" spans="1:16" x14ac:dyDescent="0.25">
      <c r="A3742" s="2" t="s">
        <v>183</v>
      </c>
      <c r="B3742" s="2" t="s">
        <v>212</v>
      </c>
      <c r="C3742" s="6" t="s">
        <v>158</v>
      </c>
      <c r="D3742" s="2" t="s">
        <v>124</v>
      </c>
      <c r="E3742" s="2"/>
      <c r="F3742" s="35">
        <v>0</v>
      </c>
      <c r="G3742" s="35">
        <v>71.636367985676202</v>
      </c>
      <c r="H3742" s="35">
        <v>8.761099760072744</v>
      </c>
      <c r="I3742" s="35">
        <v>-2.6864890337913359E-3</v>
      </c>
      <c r="J3742" s="35">
        <v>6.5854113484090923E-5</v>
      </c>
      <c r="K3742" s="35">
        <v>-3.0926577682259485E-2</v>
      </c>
      <c r="L3742" s="35">
        <v>46.117841001864583</v>
      </c>
      <c r="M3742" s="58" t="s">
        <v>22</v>
      </c>
      <c r="N3742" s="7">
        <v>11.333333333333334</v>
      </c>
      <c r="O3742" s="7" t="s">
        <v>180</v>
      </c>
      <c r="P3742" s="7" t="s">
        <v>180</v>
      </c>
    </row>
    <row r="3743" spans="1:16" x14ac:dyDescent="0.25">
      <c r="A3743" s="2" t="s">
        <v>183</v>
      </c>
      <c r="B3743" s="2" t="s">
        <v>212</v>
      </c>
      <c r="C3743" s="6" t="s">
        <v>158</v>
      </c>
      <c r="D3743" s="2" t="s">
        <v>124</v>
      </c>
      <c r="E3743" s="2"/>
      <c r="F3743" s="35">
        <v>5.4149169609489114</v>
      </c>
      <c r="G3743" s="35">
        <v>74.215778841791689</v>
      </c>
      <c r="H3743" s="35">
        <v>8.761099760072744</v>
      </c>
      <c r="I3743" s="35">
        <v>-2.6864890337913359E-3</v>
      </c>
      <c r="J3743" s="35">
        <v>6.5854113484090923E-5</v>
      </c>
      <c r="K3743" s="35">
        <v>-1.6379462647779529E-2</v>
      </c>
      <c r="L3743" s="35">
        <v>-1.3227866855187507</v>
      </c>
      <c r="M3743" s="58" t="s">
        <v>24</v>
      </c>
      <c r="N3743" s="7">
        <v>11.333333333333334</v>
      </c>
      <c r="O3743" s="7" t="s">
        <v>180</v>
      </c>
      <c r="P3743" s="7" t="s">
        <v>180</v>
      </c>
    </row>
    <row r="3744" spans="1:16" x14ac:dyDescent="0.25">
      <c r="A3744" s="2" t="s">
        <v>183</v>
      </c>
      <c r="B3744" s="2" t="s">
        <v>212</v>
      </c>
      <c r="C3744" s="6" t="s">
        <v>158</v>
      </c>
      <c r="D3744" s="2" t="s">
        <v>124</v>
      </c>
      <c r="E3744" s="2"/>
      <c r="F3744" s="35">
        <v>10.829833921897823</v>
      </c>
      <c r="G3744" s="35">
        <v>76.795189697907205</v>
      </c>
      <c r="H3744" s="35">
        <v>8.761099760072744</v>
      </c>
      <c r="I3744" s="35">
        <v>-2.6864890337913359E-3</v>
      </c>
      <c r="J3744" s="35">
        <v>6.5854113484090923E-5</v>
      </c>
      <c r="K3744" s="35">
        <v>-1.832347613299575E-3</v>
      </c>
      <c r="L3744" s="35">
        <v>-48.763414372902083</v>
      </c>
      <c r="M3744" s="58" t="s">
        <v>23</v>
      </c>
      <c r="N3744" s="7">
        <v>11.333333333333334</v>
      </c>
      <c r="O3744" s="7" t="s">
        <v>180</v>
      </c>
      <c r="P3744" s="7" t="s">
        <v>180</v>
      </c>
    </row>
    <row r="3745" spans="1:16" x14ac:dyDescent="0.25">
      <c r="A3745" s="2" t="s">
        <v>183</v>
      </c>
      <c r="B3745" s="2" t="s">
        <v>212</v>
      </c>
      <c r="C3745" s="6" t="s">
        <v>158</v>
      </c>
      <c r="D3745" s="2" t="s">
        <v>125</v>
      </c>
      <c r="E3745" s="2"/>
      <c r="F3745" s="35">
        <v>0</v>
      </c>
      <c r="G3745" s="35">
        <v>-46.433678758660257</v>
      </c>
      <c r="H3745" s="35">
        <v>20.7025341168615</v>
      </c>
      <c r="I3745" s="35">
        <v>-1.4408148960605987E-3</v>
      </c>
      <c r="J3745" s="35">
        <v>3.0763281315943058E-5</v>
      </c>
      <c r="K3745" s="35">
        <v>-1.657243971522341E-2</v>
      </c>
      <c r="L3745" s="35">
        <v>114.92496279400515</v>
      </c>
      <c r="M3745" s="58" t="s">
        <v>22</v>
      </c>
      <c r="N3745" s="7">
        <v>11.333333333333334</v>
      </c>
      <c r="O3745" s="7" t="s">
        <v>180</v>
      </c>
      <c r="P3745" s="7" t="s">
        <v>180</v>
      </c>
    </row>
    <row r="3746" spans="1:16" x14ac:dyDescent="0.25">
      <c r="A3746" s="2" t="s">
        <v>183</v>
      </c>
      <c r="B3746" s="2" t="s">
        <v>212</v>
      </c>
      <c r="C3746" s="6" t="s">
        <v>158</v>
      </c>
      <c r="D3746" s="2" t="s">
        <v>125</v>
      </c>
      <c r="E3746" s="2"/>
      <c r="F3746" s="35">
        <v>5.4149169609489114</v>
      </c>
      <c r="G3746" s="35">
        <v>-43.85426790254477</v>
      </c>
      <c r="H3746" s="35">
        <v>20.7025341168615</v>
      </c>
      <c r="I3746" s="35">
        <v>-1.4408148960605987E-3</v>
      </c>
      <c r="J3746" s="35">
        <v>3.0763281315943058E-5</v>
      </c>
      <c r="K3746" s="35">
        <v>-8.7705466969570309E-3</v>
      </c>
      <c r="L3746" s="35">
        <v>2.8224596699883548</v>
      </c>
      <c r="M3746" s="58" t="s">
        <v>24</v>
      </c>
      <c r="N3746" s="7">
        <v>11.333333333333334</v>
      </c>
      <c r="O3746" s="7" t="s">
        <v>180</v>
      </c>
      <c r="P3746" s="7" t="s">
        <v>180</v>
      </c>
    </row>
    <row r="3747" spans="1:16" x14ac:dyDescent="0.25">
      <c r="A3747" s="2" t="s">
        <v>183</v>
      </c>
      <c r="B3747" s="2" t="s">
        <v>212</v>
      </c>
      <c r="C3747" s="6" t="s">
        <v>158</v>
      </c>
      <c r="D3747" s="2" t="s">
        <v>125</v>
      </c>
      <c r="E3747" s="2"/>
      <c r="F3747" s="35">
        <v>10.829833921897823</v>
      </c>
      <c r="G3747" s="35">
        <v>-41.274857046429254</v>
      </c>
      <c r="H3747" s="35">
        <v>20.7025341168615</v>
      </c>
      <c r="I3747" s="35">
        <v>-1.4408148960605987E-3</v>
      </c>
      <c r="J3747" s="35">
        <v>3.0763281315943058E-5</v>
      </c>
      <c r="K3747" s="35">
        <v>-9.6865367869065325E-4</v>
      </c>
      <c r="L3747" s="35">
        <v>-109.28004345402846</v>
      </c>
      <c r="M3747" s="58" t="s">
        <v>23</v>
      </c>
      <c r="N3747" s="7">
        <v>11.333333333333334</v>
      </c>
      <c r="O3747" s="7" t="s">
        <v>180</v>
      </c>
      <c r="P3747" s="7" t="s">
        <v>180</v>
      </c>
    </row>
    <row r="3748" spans="1:16" x14ac:dyDescent="0.25">
      <c r="A3748" s="2" t="s">
        <v>183</v>
      </c>
      <c r="B3748" s="2" t="s">
        <v>212</v>
      </c>
      <c r="C3748" s="6" t="s">
        <v>158</v>
      </c>
      <c r="D3748" s="2" t="s">
        <v>126</v>
      </c>
      <c r="E3748" s="2"/>
      <c r="F3748" s="35">
        <v>0</v>
      </c>
      <c r="G3748" s="35">
        <v>69.70909922303305</v>
      </c>
      <c r="H3748" s="35">
        <v>-1.202806206495499</v>
      </c>
      <c r="I3748" s="35">
        <v>-2.7132628434305881E-3</v>
      </c>
      <c r="J3748" s="35">
        <v>6.432069923910292E-5</v>
      </c>
      <c r="K3748" s="35">
        <v>-3.1228915496566808E-2</v>
      </c>
      <c r="L3748" s="35">
        <v>-20.508885812547657</v>
      </c>
      <c r="M3748" s="58" t="s">
        <v>22</v>
      </c>
      <c r="N3748" s="7">
        <v>11.333333333333334</v>
      </c>
      <c r="O3748" s="7" t="s">
        <v>180</v>
      </c>
      <c r="P3748" s="7" t="s">
        <v>180</v>
      </c>
    </row>
    <row r="3749" spans="1:16" x14ac:dyDescent="0.25">
      <c r="A3749" s="2" t="s">
        <v>183</v>
      </c>
      <c r="B3749" s="2" t="s">
        <v>212</v>
      </c>
      <c r="C3749" s="6" t="s">
        <v>158</v>
      </c>
      <c r="D3749" s="2" t="s">
        <v>126</v>
      </c>
      <c r="E3749" s="2"/>
      <c r="F3749" s="35">
        <v>5.4149169609489114</v>
      </c>
      <c r="G3749" s="35">
        <v>72.288510079148537</v>
      </c>
      <c r="H3749" s="35">
        <v>-1.202806206495499</v>
      </c>
      <c r="I3749" s="35">
        <v>-2.7132628434305881E-3</v>
      </c>
      <c r="J3749" s="35">
        <v>6.432069923910292E-5</v>
      </c>
      <c r="K3749" s="35">
        <v>-1.6536822506162049E-2</v>
      </c>
      <c r="L3749" s="35">
        <v>-13.995790084260561</v>
      </c>
      <c r="M3749" s="58" t="s">
        <v>24</v>
      </c>
      <c r="N3749" s="7">
        <v>11.333333333333334</v>
      </c>
      <c r="O3749" s="7" t="s">
        <v>180</v>
      </c>
      <c r="P3749" s="7" t="s">
        <v>180</v>
      </c>
    </row>
    <row r="3750" spans="1:16" x14ac:dyDescent="0.25">
      <c r="A3750" s="2" t="s">
        <v>183</v>
      </c>
      <c r="B3750" s="2" t="s">
        <v>212</v>
      </c>
      <c r="C3750" s="6" t="s">
        <v>158</v>
      </c>
      <c r="D3750" s="2" t="s">
        <v>126</v>
      </c>
      <c r="E3750" s="2"/>
      <c r="F3750" s="35">
        <v>10.829833921897823</v>
      </c>
      <c r="G3750" s="35">
        <v>74.867920935264053</v>
      </c>
      <c r="H3750" s="35">
        <v>-1.202806206495499</v>
      </c>
      <c r="I3750" s="35">
        <v>-2.7132628434305881E-3</v>
      </c>
      <c r="J3750" s="35">
        <v>6.432069923910292E-5</v>
      </c>
      <c r="K3750" s="35">
        <v>-1.8447295157572926E-3</v>
      </c>
      <c r="L3750" s="35">
        <v>-7.4826943559734689</v>
      </c>
      <c r="M3750" s="58" t="s">
        <v>23</v>
      </c>
      <c r="N3750" s="7">
        <v>11.333333333333334</v>
      </c>
      <c r="O3750" s="7" t="s">
        <v>180</v>
      </c>
      <c r="P3750" s="7" t="s">
        <v>180</v>
      </c>
    </row>
    <row r="3751" spans="1:16" x14ac:dyDescent="0.25">
      <c r="A3751" s="2" t="s">
        <v>183</v>
      </c>
      <c r="B3751" s="2" t="s">
        <v>212</v>
      </c>
      <c r="C3751" s="6" t="s">
        <v>158</v>
      </c>
      <c r="D3751" s="2" t="s">
        <v>127</v>
      </c>
      <c r="E3751" s="2"/>
      <c r="F3751" s="35">
        <v>0</v>
      </c>
      <c r="G3751" s="35">
        <v>-142.92067044890547</v>
      </c>
      <c r="H3751" s="35">
        <v>-14.722124714777271</v>
      </c>
      <c r="I3751" s="35">
        <v>-1.3992155570187216E-3</v>
      </c>
      <c r="J3751" s="35">
        <v>2.7557534495071948E-5</v>
      </c>
      <c r="K3751" s="35">
        <v>-1.6087438963750509E-2</v>
      </c>
      <c r="L3751" s="35">
        <v>-85.479856906668346</v>
      </c>
      <c r="M3751" s="58" t="s">
        <v>22</v>
      </c>
      <c r="N3751" s="7">
        <v>11.333333333333334</v>
      </c>
      <c r="O3751" s="7" t="s">
        <v>180</v>
      </c>
      <c r="P3751" s="7" t="s">
        <v>180</v>
      </c>
    </row>
    <row r="3752" spans="1:16" x14ac:dyDescent="0.25">
      <c r="A3752" s="2" t="s">
        <v>183</v>
      </c>
      <c r="B3752" s="2" t="s">
        <v>212</v>
      </c>
      <c r="C3752" s="6" t="s">
        <v>158</v>
      </c>
      <c r="D3752" s="2" t="s">
        <v>127</v>
      </c>
      <c r="E3752" s="2"/>
      <c r="F3752" s="35">
        <v>5.4149169609489114</v>
      </c>
      <c r="G3752" s="35">
        <v>-140.34125959278998</v>
      </c>
      <c r="H3752" s="35">
        <v>-14.722124714777271</v>
      </c>
      <c r="I3752" s="35">
        <v>-1.3992155570187216E-3</v>
      </c>
      <c r="J3752" s="35">
        <v>2.7557534495071948E-5</v>
      </c>
      <c r="K3752" s="35">
        <v>-8.5108029120262545E-3</v>
      </c>
      <c r="L3752" s="35">
        <v>-5.7607740874157516</v>
      </c>
      <c r="M3752" s="58" t="s">
        <v>24</v>
      </c>
      <c r="N3752" s="7">
        <v>11.333333333333334</v>
      </c>
      <c r="O3752" s="7" t="s">
        <v>180</v>
      </c>
      <c r="P3752" s="7" t="s">
        <v>180</v>
      </c>
    </row>
    <row r="3753" spans="1:16" x14ac:dyDescent="0.25">
      <c r="A3753" s="2" t="s">
        <v>183</v>
      </c>
      <c r="B3753" s="2" t="s">
        <v>212</v>
      </c>
      <c r="C3753" s="6" t="s">
        <v>158</v>
      </c>
      <c r="D3753" s="2" t="s">
        <v>127</v>
      </c>
      <c r="E3753" s="2"/>
      <c r="F3753" s="35">
        <v>10.829833921897823</v>
      </c>
      <c r="G3753" s="35">
        <v>-137.76184873667447</v>
      </c>
      <c r="H3753" s="35">
        <v>-14.722124714777271</v>
      </c>
      <c r="I3753" s="35">
        <v>-1.3992155570187216E-3</v>
      </c>
      <c r="J3753" s="35">
        <v>2.7557534495071948E-5</v>
      </c>
      <c r="K3753" s="35">
        <v>-9.3416686030200037E-4</v>
      </c>
      <c r="L3753" s="35">
        <v>73.958308731836837</v>
      </c>
      <c r="M3753" s="58" t="s">
        <v>23</v>
      </c>
      <c r="N3753" s="7">
        <v>11.333333333333334</v>
      </c>
      <c r="O3753" s="7" t="s">
        <v>180</v>
      </c>
      <c r="P3753" s="7" t="s">
        <v>180</v>
      </c>
    </row>
    <row r="3754" spans="1:16" x14ac:dyDescent="0.25">
      <c r="A3754" s="2" t="s">
        <v>181</v>
      </c>
      <c r="B3754" s="2" t="s">
        <v>213</v>
      </c>
      <c r="C3754" s="6" t="s">
        <v>101</v>
      </c>
      <c r="D3754" s="2" t="s">
        <v>105</v>
      </c>
      <c r="E3754" s="2"/>
      <c r="F3754" s="35">
        <v>0</v>
      </c>
      <c r="G3754" s="35">
        <v>-48.447207635997508</v>
      </c>
      <c r="H3754" s="35">
        <v>18.738420133213097</v>
      </c>
      <c r="I3754" s="35">
        <v>-3.2848114114137305E-4</v>
      </c>
      <c r="J3754" s="35">
        <v>-2.407427101191642E-6</v>
      </c>
      <c r="K3754" s="35">
        <v>-3.1181233626741025E-3</v>
      </c>
      <c r="L3754" s="35">
        <v>60.017710424004228</v>
      </c>
      <c r="M3754" s="58" t="s">
        <v>22</v>
      </c>
      <c r="N3754" s="7">
        <v>9.5</v>
      </c>
      <c r="O3754" s="7" t="s">
        <v>179</v>
      </c>
      <c r="P3754" s="7" t="s">
        <v>179</v>
      </c>
    </row>
    <row r="3755" spans="1:16" x14ac:dyDescent="0.25">
      <c r="A3755" s="2" t="s">
        <v>181</v>
      </c>
      <c r="B3755" s="2" t="s">
        <v>213</v>
      </c>
      <c r="C3755" s="6" t="s">
        <v>101</v>
      </c>
      <c r="D3755" s="2" t="s">
        <v>105</v>
      </c>
      <c r="E3755" s="2"/>
      <c r="F3755" s="35">
        <v>4.4982502942822453</v>
      </c>
      <c r="G3755" s="35">
        <v>-46.616874989154418</v>
      </c>
      <c r="H3755" s="35">
        <v>18.738420133213097</v>
      </c>
      <c r="I3755" s="35">
        <v>-3.2848114114137305E-4</v>
      </c>
      <c r="J3755" s="35">
        <v>-2.407427101191642E-6</v>
      </c>
      <c r="K3755" s="35">
        <v>-1.6405329728687535E-3</v>
      </c>
      <c r="L3755" s="35">
        <v>-24.272393454605925</v>
      </c>
      <c r="M3755" s="58" t="s">
        <v>24</v>
      </c>
      <c r="N3755" s="7">
        <v>9.5</v>
      </c>
      <c r="O3755" s="7" t="s">
        <v>179</v>
      </c>
      <c r="P3755" s="7" t="s">
        <v>179</v>
      </c>
    </row>
    <row r="3756" spans="1:16" x14ac:dyDescent="0.25">
      <c r="A3756" s="2" t="s">
        <v>181</v>
      </c>
      <c r="B3756" s="2" t="s">
        <v>213</v>
      </c>
      <c r="C3756" s="6" t="s">
        <v>101</v>
      </c>
      <c r="D3756" s="2" t="s">
        <v>105</v>
      </c>
      <c r="E3756" s="2"/>
      <c r="F3756" s="35">
        <v>8.9965005885644906</v>
      </c>
      <c r="G3756" s="35">
        <v>-44.786542342311321</v>
      </c>
      <c r="H3756" s="35">
        <v>18.738420133213097</v>
      </c>
      <c r="I3756" s="35">
        <v>-3.2848114114137305E-4</v>
      </c>
      <c r="J3756" s="35">
        <v>-2.407427101191642E-6</v>
      </c>
      <c r="K3756" s="35">
        <v>-1.6294258306340459E-4</v>
      </c>
      <c r="L3756" s="35">
        <v>-108.56249733321609</v>
      </c>
      <c r="M3756" s="58" t="s">
        <v>23</v>
      </c>
      <c r="N3756" s="7">
        <v>9.5</v>
      </c>
      <c r="O3756" s="7" t="s">
        <v>179</v>
      </c>
      <c r="P3756" s="7" t="s">
        <v>179</v>
      </c>
    </row>
    <row r="3757" spans="1:16" x14ac:dyDescent="0.25">
      <c r="A3757" s="2" t="s">
        <v>181</v>
      </c>
      <c r="B3757" s="2" t="s">
        <v>213</v>
      </c>
      <c r="C3757" s="6" t="s">
        <v>101</v>
      </c>
      <c r="D3757" s="2" t="s">
        <v>15</v>
      </c>
      <c r="E3757" s="2"/>
      <c r="F3757" s="35">
        <v>0</v>
      </c>
      <c r="G3757" s="35">
        <v>63.22121406145974</v>
      </c>
      <c r="H3757" s="35">
        <v>-5.0593898599266174</v>
      </c>
      <c r="I3757" s="35">
        <v>-5.1831180161560235E-2</v>
      </c>
      <c r="J3757" s="35">
        <v>-5.6399280749297616E-4</v>
      </c>
      <c r="K3757" s="35">
        <v>-0.49217751440658952</v>
      </c>
      <c r="L3757" s="35">
        <v>-47.241605387326992</v>
      </c>
      <c r="M3757" s="58" t="s">
        <v>22</v>
      </c>
      <c r="N3757" s="7">
        <v>9.5</v>
      </c>
      <c r="O3757" s="7" t="s">
        <v>179</v>
      </c>
      <c r="P3757" s="7" t="s">
        <v>179</v>
      </c>
    </row>
    <row r="3758" spans="1:16" x14ac:dyDescent="0.25">
      <c r="A3758" s="2" t="s">
        <v>181</v>
      </c>
      <c r="B3758" s="2" t="s">
        <v>213</v>
      </c>
      <c r="C3758" s="6" t="s">
        <v>101</v>
      </c>
      <c r="D3758" s="2" t="s">
        <v>15</v>
      </c>
      <c r="E3758" s="2"/>
      <c r="F3758" s="35">
        <v>4.4982502942822453</v>
      </c>
      <c r="G3758" s="35">
        <v>65.051546708302837</v>
      </c>
      <c r="H3758" s="35">
        <v>-23.952041095912048</v>
      </c>
      <c r="I3758" s="35">
        <v>-5.1831180161561394E-2</v>
      </c>
      <c r="J3758" s="35">
        <v>-5.6399280749297616E-4</v>
      </c>
      <c r="K3758" s="35">
        <v>-0.25902789299185258</v>
      </c>
      <c r="L3758" s="35">
        <v>18.008733529998164</v>
      </c>
      <c r="M3758" s="58" t="s">
        <v>24</v>
      </c>
      <c r="N3758" s="7">
        <v>9.5</v>
      </c>
      <c r="O3758" s="7" t="s">
        <v>179</v>
      </c>
      <c r="P3758" s="7" t="s">
        <v>179</v>
      </c>
    </row>
    <row r="3759" spans="1:16" x14ac:dyDescent="0.25">
      <c r="A3759" s="2" t="s">
        <v>181</v>
      </c>
      <c r="B3759" s="2" t="s">
        <v>213</v>
      </c>
      <c r="C3759" s="6" t="s">
        <v>101</v>
      </c>
      <c r="D3759" s="2" t="s">
        <v>15</v>
      </c>
      <c r="E3759" s="2"/>
      <c r="F3759" s="35">
        <v>8.9965005885644906</v>
      </c>
      <c r="G3759" s="35">
        <v>66.881879355145927</v>
      </c>
      <c r="H3759" s="35">
        <v>-42.844692331897477</v>
      </c>
      <c r="I3759" s="35">
        <v>-5.1831180161562553E-2</v>
      </c>
      <c r="J3759" s="35">
        <v>-5.6399280749297616E-4</v>
      </c>
      <c r="K3759" s="35">
        <v>-2.5878271577110368E-2</v>
      </c>
      <c r="L3759" s="35">
        <v>168.24294642936658</v>
      </c>
      <c r="M3759" s="58" t="s">
        <v>23</v>
      </c>
      <c r="N3759" s="7">
        <v>9.5</v>
      </c>
      <c r="O3759" s="7" t="s">
        <v>179</v>
      </c>
      <c r="P3759" s="7" t="s">
        <v>179</v>
      </c>
    </row>
    <row r="3760" spans="1:16" x14ac:dyDescent="0.25">
      <c r="A3760" s="2" t="s">
        <v>181</v>
      </c>
      <c r="B3760" s="2" t="s">
        <v>213</v>
      </c>
      <c r="C3760" s="6" t="s">
        <v>101</v>
      </c>
      <c r="D3760" s="2" t="s">
        <v>16</v>
      </c>
      <c r="E3760" s="2"/>
      <c r="F3760" s="35">
        <v>0</v>
      </c>
      <c r="G3760" s="35">
        <v>21.113413314485285</v>
      </c>
      <c r="H3760" s="35">
        <v>-0.55431392716562355</v>
      </c>
      <c r="I3760" s="35">
        <v>-5.0994036024315188E-2</v>
      </c>
      <c r="J3760" s="35">
        <v>-5.5247873584903732E-4</v>
      </c>
      <c r="K3760" s="35">
        <v>-0.48422546310420655</v>
      </c>
      <c r="L3760" s="35">
        <v>-15.194632987270168</v>
      </c>
      <c r="M3760" s="58" t="s">
        <v>22</v>
      </c>
      <c r="N3760" s="7">
        <v>9.5</v>
      </c>
      <c r="O3760" s="7" t="s">
        <v>179</v>
      </c>
      <c r="P3760" s="7" t="s">
        <v>179</v>
      </c>
    </row>
    <row r="3761" spans="1:16" x14ac:dyDescent="0.25">
      <c r="A3761" s="2" t="s">
        <v>181</v>
      </c>
      <c r="B3761" s="2" t="s">
        <v>213</v>
      </c>
      <c r="C3761" s="6" t="s">
        <v>101</v>
      </c>
      <c r="D3761" s="2" t="s">
        <v>16</v>
      </c>
      <c r="E3761" s="2"/>
      <c r="F3761" s="35">
        <v>4.4982502942822453</v>
      </c>
      <c r="G3761" s="35">
        <v>22.943745961328379</v>
      </c>
      <c r="H3761" s="35">
        <v>-8.8670804709992144</v>
      </c>
      <c r="I3761" s="35">
        <v>-5.0994036024315695E-2</v>
      </c>
      <c r="J3761" s="35">
        <v>-5.5247873584903732E-4</v>
      </c>
      <c r="K3761" s="35">
        <v>-0.25484152555119022</v>
      </c>
      <c r="L3761" s="35">
        <v>5.9952620747768695</v>
      </c>
      <c r="M3761" s="58" t="s">
        <v>24</v>
      </c>
      <c r="N3761" s="7">
        <v>9.5</v>
      </c>
      <c r="O3761" s="7" t="s">
        <v>179</v>
      </c>
      <c r="P3761" s="7" t="s">
        <v>179</v>
      </c>
    </row>
    <row r="3762" spans="1:16" x14ac:dyDescent="0.25">
      <c r="A3762" s="2" t="s">
        <v>181</v>
      </c>
      <c r="B3762" s="2" t="s">
        <v>213</v>
      </c>
      <c r="C3762" s="6" t="s">
        <v>101</v>
      </c>
      <c r="D3762" s="2" t="s">
        <v>16</v>
      </c>
      <c r="E3762" s="2"/>
      <c r="F3762" s="35">
        <v>8.9965005885644906</v>
      </c>
      <c r="G3762" s="35">
        <v>24.774078608171472</v>
      </c>
      <c r="H3762" s="35">
        <v>-17.179847014832802</v>
      </c>
      <c r="I3762" s="35">
        <v>-5.0994036024316201E-2</v>
      </c>
      <c r="J3762" s="35">
        <v>-5.5247873584903732E-4</v>
      </c>
      <c r="K3762" s="35">
        <v>-2.5457587998171608E-2</v>
      </c>
      <c r="L3762" s="35">
        <v>64.578061688922944</v>
      </c>
      <c r="M3762" s="58" t="s">
        <v>23</v>
      </c>
      <c r="N3762" s="7">
        <v>9.5</v>
      </c>
      <c r="O3762" s="7" t="s">
        <v>179</v>
      </c>
      <c r="P3762" s="7" t="s">
        <v>179</v>
      </c>
    </row>
    <row r="3763" spans="1:16" x14ac:dyDescent="0.25">
      <c r="A3763" s="2" t="s">
        <v>181</v>
      </c>
      <c r="B3763" s="2" t="s">
        <v>213</v>
      </c>
      <c r="C3763" s="6" t="s">
        <v>101</v>
      </c>
      <c r="D3763" s="2" t="s">
        <v>106</v>
      </c>
      <c r="E3763" s="2"/>
      <c r="F3763" s="35">
        <v>0</v>
      </c>
      <c r="G3763" s="35">
        <v>63.2209773082891</v>
      </c>
      <c r="H3763" s="35">
        <v>-5.0612899694421571</v>
      </c>
      <c r="I3763" s="35">
        <v>5.2464153812166521E-2</v>
      </c>
      <c r="J3763" s="35">
        <v>5.6856617653720006E-4</v>
      </c>
      <c r="K3763" s="35">
        <v>0.49818602929303446</v>
      </c>
      <c r="L3763" s="35">
        <v>-47.247382543245926</v>
      </c>
      <c r="M3763" s="58" t="s">
        <v>22</v>
      </c>
      <c r="N3763" s="7">
        <v>9.5</v>
      </c>
      <c r="O3763" s="7" t="s">
        <v>179</v>
      </c>
      <c r="P3763" s="7" t="s">
        <v>179</v>
      </c>
    </row>
    <row r="3764" spans="1:16" x14ac:dyDescent="0.25">
      <c r="A3764" s="2" t="s">
        <v>181</v>
      </c>
      <c r="B3764" s="2" t="s">
        <v>213</v>
      </c>
      <c r="C3764" s="6" t="s">
        <v>101</v>
      </c>
      <c r="D3764" s="2" t="s">
        <v>106</v>
      </c>
      <c r="E3764" s="2"/>
      <c r="F3764" s="35">
        <v>4.4982502942822453</v>
      </c>
      <c r="G3764" s="35">
        <v>65.051309955132197</v>
      </c>
      <c r="H3764" s="35">
        <v>-23.953941205427586</v>
      </c>
      <c r="I3764" s="35">
        <v>5.2464153812165362E-2</v>
      </c>
      <c r="J3764" s="35">
        <v>5.6856617653720006E-4</v>
      </c>
      <c r="K3764" s="35">
        <v>0.26218913396818999</v>
      </c>
      <c r="L3764" s="35">
        <v>18.01150354226667</v>
      </c>
      <c r="M3764" s="58" t="s">
        <v>24</v>
      </c>
      <c r="N3764" s="7">
        <v>9.5</v>
      </c>
      <c r="O3764" s="7" t="s">
        <v>179</v>
      </c>
      <c r="P3764" s="7" t="s">
        <v>179</v>
      </c>
    </row>
    <row r="3765" spans="1:16" x14ac:dyDescent="0.25">
      <c r="A3765" s="2" t="s">
        <v>181</v>
      </c>
      <c r="B3765" s="2" t="s">
        <v>213</v>
      </c>
      <c r="C3765" s="6" t="s">
        <v>101</v>
      </c>
      <c r="D3765" s="2" t="s">
        <v>106</v>
      </c>
      <c r="E3765" s="2"/>
      <c r="F3765" s="35">
        <v>8.9965005885644906</v>
      </c>
      <c r="G3765" s="35">
        <v>66.881642601975287</v>
      </c>
      <c r="H3765" s="35">
        <v>-42.846592441413023</v>
      </c>
      <c r="I3765" s="35">
        <v>5.246415381216421E-2</v>
      </c>
      <c r="J3765" s="35">
        <v>5.6856617653720006E-4</v>
      </c>
      <c r="K3765" s="35">
        <v>2.6192238643350851E-2</v>
      </c>
      <c r="L3765" s="35">
        <v>168.25426360982252</v>
      </c>
      <c r="M3765" s="58" t="s">
        <v>23</v>
      </c>
      <c r="N3765" s="7">
        <v>9.5</v>
      </c>
      <c r="O3765" s="7" t="s">
        <v>179</v>
      </c>
      <c r="P3765" s="7" t="s">
        <v>179</v>
      </c>
    </row>
    <row r="3766" spans="1:16" x14ac:dyDescent="0.25">
      <c r="A3766" s="2" t="s">
        <v>181</v>
      </c>
      <c r="B3766" s="2" t="s">
        <v>213</v>
      </c>
      <c r="C3766" s="6" t="s">
        <v>101</v>
      </c>
      <c r="D3766" s="2" t="s">
        <v>107</v>
      </c>
      <c r="E3766" s="2"/>
      <c r="F3766" s="35">
        <v>0</v>
      </c>
      <c r="G3766" s="35">
        <v>21.113176952453895</v>
      </c>
      <c r="H3766" s="35">
        <v>-0.55621104512370301</v>
      </c>
      <c r="I3766" s="35">
        <v>5.3341457458388267E-2</v>
      </c>
      <c r="J3766" s="35">
        <v>5.8030809072522917E-4</v>
      </c>
      <c r="K3766" s="35">
        <v>0.50651925723099023</v>
      </c>
      <c r="L3766" s="35">
        <v>-15.200401092153802</v>
      </c>
      <c r="M3766" s="58" t="s">
        <v>22</v>
      </c>
      <c r="N3766" s="7">
        <v>9.5</v>
      </c>
      <c r="O3766" s="7" t="s">
        <v>179</v>
      </c>
      <c r="P3766" s="7" t="s">
        <v>179</v>
      </c>
    </row>
    <row r="3767" spans="1:16" x14ac:dyDescent="0.25">
      <c r="A3767" s="2" t="s">
        <v>181</v>
      </c>
      <c r="B3767" s="2" t="s">
        <v>213</v>
      </c>
      <c r="C3767" s="6" t="s">
        <v>101</v>
      </c>
      <c r="D3767" s="2" t="s">
        <v>107</v>
      </c>
      <c r="E3767" s="2"/>
      <c r="F3767" s="35">
        <v>4.4982502942822453</v>
      </c>
      <c r="G3767" s="35">
        <v>22.943509599296988</v>
      </c>
      <c r="H3767" s="35">
        <v>-8.8689775889572946</v>
      </c>
      <c r="I3767" s="35">
        <v>5.3341457458387753E-2</v>
      </c>
      <c r="J3767" s="35">
        <v>5.8030809072522917E-4</v>
      </c>
      <c r="K3767" s="35">
        <v>0.26657603052135254</v>
      </c>
      <c r="L3767" s="35">
        <v>5.9980276813064535</v>
      </c>
      <c r="M3767" s="58" t="s">
        <v>24</v>
      </c>
      <c r="N3767" s="7">
        <v>9.5</v>
      </c>
      <c r="O3767" s="7" t="s">
        <v>179</v>
      </c>
      <c r="P3767" s="7" t="s">
        <v>179</v>
      </c>
    </row>
    <row r="3768" spans="1:16" x14ac:dyDescent="0.25">
      <c r="A3768" s="2" t="s">
        <v>181</v>
      </c>
      <c r="B3768" s="2" t="s">
        <v>213</v>
      </c>
      <c r="C3768" s="6" t="s">
        <v>101</v>
      </c>
      <c r="D3768" s="2" t="s">
        <v>107</v>
      </c>
      <c r="E3768" s="2"/>
      <c r="F3768" s="35">
        <v>8.9965005885644906</v>
      </c>
      <c r="G3768" s="35">
        <v>24.773842246140081</v>
      </c>
      <c r="H3768" s="35">
        <v>-17.181744132790886</v>
      </c>
      <c r="I3768" s="35">
        <v>5.3341457458387254E-2</v>
      </c>
      <c r="J3768" s="35">
        <v>5.8030809072522917E-4</v>
      </c>
      <c r="K3768" s="35">
        <v>2.6632803811717155E-2</v>
      </c>
      <c r="L3768" s="35">
        <v>64.589361006865744</v>
      </c>
      <c r="M3768" s="58" t="s">
        <v>23</v>
      </c>
      <c r="N3768" s="7">
        <v>9.5</v>
      </c>
      <c r="O3768" s="7" t="s">
        <v>179</v>
      </c>
      <c r="P3768" s="7" t="s">
        <v>179</v>
      </c>
    </row>
    <row r="3769" spans="1:16" x14ac:dyDescent="0.25">
      <c r="A3769" s="2" t="s">
        <v>181</v>
      </c>
      <c r="B3769" s="2" t="s">
        <v>213</v>
      </c>
      <c r="C3769" s="6" t="s">
        <v>101</v>
      </c>
      <c r="D3769" s="2" t="s">
        <v>108</v>
      </c>
      <c r="E3769" s="2"/>
      <c r="F3769" s="35">
        <v>0</v>
      </c>
      <c r="G3769" s="35">
        <v>58.204918429659472</v>
      </c>
      <c r="H3769" s="35">
        <v>-3.7856868643617019</v>
      </c>
      <c r="I3769" s="35">
        <v>-2.2896295522613695E-3</v>
      </c>
      <c r="J3769" s="35">
        <v>-3.0275022275293623E-5</v>
      </c>
      <c r="K3769" s="35">
        <v>-2.1747980090474069E-2</v>
      </c>
      <c r="L3769" s="35">
        <v>-18.43585246873527</v>
      </c>
      <c r="M3769" s="58" t="s">
        <v>22</v>
      </c>
      <c r="N3769" s="7">
        <v>9.5</v>
      </c>
      <c r="O3769" s="7" t="s">
        <v>179</v>
      </c>
      <c r="P3769" s="7" t="s">
        <v>179</v>
      </c>
    </row>
    <row r="3770" spans="1:16" x14ac:dyDescent="0.25">
      <c r="A3770" s="2" t="s">
        <v>181</v>
      </c>
      <c r="B3770" s="2" t="s">
        <v>213</v>
      </c>
      <c r="C3770" s="6" t="s">
        <v>101</v>
      </c>
      <c r="D3770" s="2" t="s">
        <v>108</v>
      </c>
      <c r="E3770" s="2"/>
      <c r="F3770" s="35">
        <v>4.4982502942822453</v>
      </c>
      <c r="G3770" s="35">
        <v>60.035251076502568</v>
      </c>
      <c r="H3770" s="35">
        <v>-18.14410180371063</v>
      </c>
      <c r="I3770" s="35">
        <v>-2.2896295522622494E-3</v>
      </c>
      <c r="J3770" s="35">
        <v>-3.0275022275293623E-5</v>
      </c>
      <c r="K3770" s="35">
        <v>-1.1448653283215062E-2</v>
      </c>
      <c r="L3770" s="35">
        <v>30.886986696116633</v>
      </c>
      <c r="M3770" s="58" t="s">
        <v>24</v>
      </c>
      <c r="N3770" s="7">
        <v>9.5</v>
      </c>
      <c r="O3770" s="7" t="s">
        <v>179</v>
      </c>
      <c r="P3770" s="7" t="s">
        <v>179</v>
      </c>
    </row>
    <row r="3771" spans="1:16" x14ac:dyDescent="0.25">
      <c r="A3771" s="2" t="s">
        <v>181</v>
      </c>
      <c r="B3771" s="2" t="s">
        <v>213</v>
      </c>
      <c r="C3771" s="6" t="s">
        <v>101</v>
      </c>
      <c r="D3771" s="2" t="s">
        <v>108</v>
      </c>
      <c r="E3771" s="2"/>
      <c r="F3771" s="35">
        <v>8.9965005885644906</v>
      </c>
      <c r="G3771" s="35">
        <v>61.865583723345658</v>
      </c>
      <c r="H3771" s="35">
        <v>-32.502516743059552</v>
      </c>
      <c r="I3771" s="35">
        <v>-2.2896295522631285E-3</v>
      </c>
      <c r="J3771" s="35">
        <v>-3.0275022275293623E-5</v>
      </c>
      <c r="K3771" s="35">
        <v>-1.1493264759520976E-3</v>
      </c>
      <c r="L3771" s="35">
        <v>144.79757008732142</v>
      </c>
      <c r="M3771" s="58" t="s">
        <v>23</v>
      </c>
      <c r="N3771" s="7">
        <v>9.5</v>
      </c>
      <c r="O3771" s="7" t="s">
        <v>179</v>
      </c>
      <c r="P3771" s="7" t="s">
        <v>179</v>
      </c>
    </row>
    <row r="3772" spans="1:16" x14ac:dyDescent="0.25">
      <c r="A3772" s="2" t="s">
        <v>181</v>
      </c>
      <c r="B3772" s="2" t="s">
        <v>213</v>
      </c>
      <c r="C3772" s="6" t="s">
        <v>101</v>
      </c>
      <c r="D3772" s="2" t="s">
        <v>109</v>
      </c>
      <c r="E3772" s="2"/>
      <c r="F3772" s="35">
        <v>0</v>
      </c>
      <c r="G3772" s="35">
        <v>4.7101817762179339</v>
      </c>
      <c r="H3772" s="35">
        <v>12.469955196047632</v>
      </c>
      <c r="I3772" s="35">
        <v>-1.9363313698505026E-3</v>
      </c>
      <c r="J3772" s="35">
        <v>-2.2185886013964191E-5</v>
      </c>
      <c r="K3772" s="35">
        <v>-1.8388872979072757E-2</v>
      </c>
      <c r="L3772" s="35">
        <v>78.374212102443749</v>
      </c>
      <c r="M3772" s="58" t="s">
        <v>22</v>
      </c>
      <c r="N3772" s="7">
        <v>9.5</v>
      </c>
      <c r="O3772" s="7" t="s">
        <v>179</v>
      </c>
      <c r="P3772" s="7" t="s">
        <v>179</v>
      </c>
    </row>
    <row r="3773" spans="1:16" x14ac:dyDescent="0.25">
      <c r="A3773" s="2" t="s">
        <v>181</v>
      </c>
      <c r="B3773" s="2" t="s">
        <v>213</v>
      </c>
      <c r="C3773" s="6" t="s">
        <v>101</v>
      </c>
      <c r="D3773" s="2" t="s">
        <v>109</v>
      </c>
      <c r="E3773" s="2"/>
      <c r="F3773" s="35">
        <v>4.4982502942822453</v>
      </c>
      <c r="G3773" s="35">
        <v>6.5405144230610262</v>
      </c>
      <c r="H3773" s="35">
        <v>8.6914249488505444</v>
      </c>
      <c r="I3773" s="35">
        <v>-1.9363313698507339E-3</v>
      </c>
      <c r="J3773" s="35">
        <v>-2.2185886013964191E-5</v>
      </c>
      <c r="K3773" s="35">
        <v>-9.6787698248142727E-3</v>
      </c>
      <c r="L3773" s="35">
        <v>30.779619870340415</v>
      </c>
      <c r="M3773" s="58" t="s">
        <v>24</v>
      </c>
      <c r="N3773" s="7">
        <v>9.5</v>
      </c>
      <c r="O3773" s="7" t="s">
        <v>179</v>
      </c>
      <c r="P3773" s="7" t="s">
        <v>179</v>
      </c>
    </row>
    <row r="3774" spans="1:16" x14ac:dyDescent="0.25">
      <c r="A3774" s="2" t="s">
        <v>181</v>
      </c>
      <c r="B3774" s="2" t="s">
        <v>213</v>
      </c>
      <c r="C3774" s="6" t="s">
        <v>101</v>
      </c>
      <c r="D3774" s="2" t="s">
        <v>109</v>
      </c>
      <c r="E3774" s="2"/>
      <c r="F3774" s="35">
        <v>8.9965005885644906</v>
      </c>
      <c r="G3774" s="35">
        <v>8.3708470699041193</v>
      </c>
      <c r="H3774" s="35">
        <v>4.9128947016534585</v>
      </c>
      <c r="I3774" s="35">
        <v>-1.9363313698509651E-3</v>
      </c>
      <c r="J3774" s="35">
        <v>-2.2185886013964191E-5</v>
      </c>
      <c r="K3774" s="35">
        <v>-9.6866667055474614E-4</v>
      </c>
      <c r="L3774" s="35">
        <v>0.18180243464574214</v>
      </c>
      <c r="M3774" s="58" t="s">
        <v>23</v>
      </c>
      <c r="N3774" s="7">
        <v>9.5</v>
      </c>
      <c r="O3774" s="7" t="s">
        <v>179</v>
      </c>
      <c r="P3774" s="7" t="s">
        <v>179</v>
      </c>
    </row>
    <row r="3775" spans="1:16" x14ac:dyDescent="0.25">
      <c r="A3775" s="2" t="s">
        <v>181</v>
      </c>
      <c r="B3775" s="2" t="s">
        <v>213</v>
      </c>
      <c r="C3775" s="6" t="s">
        <v>101</v>
      </c>
      <c r="D3775" s="2" t="s">
        <v>110</v>
      </c>
      <c r="E3775" s="2"/>
      <c r="F3775" s="35">
        <v>0</v>
      </c>
      <c r="G3775" s="35">
        <v>75.217126485133733</v>
      </c>
      <c r="H3775" s="35">
        <v>-51.939514991229522</v>
      </c>
      <c r="I3775" s="35">
        <v>-2.6333096871985488E-3</v>
      </c>
      <c r="J3775" s="35">
        <v>-3.356671001725135E-5</v>
      </c>
      <c r="K3775" s="35">
        <v>-2.501068666097939E-2</v>
      </c>
      <c r="L3775" s="35">
        <v>-157.98726662418463</v>
      </c>
      <c r="M3775" s="58" t="s">
        <v>22</v>
      </c>
      <c r="N3775" s="7">
        <v>9.5</v>
      </c>
      <c r="O3775" s="7" t="s">
        <v>179</v>
      </c>
      <c r="P3775" s="7" t="s">
        <v>179</v>
      </c>
    </row>
    <row r="3776" spans="1:16" x14ac:dyDescent="0.25">
      <c r="A3776" s="2" t="s">
        <v>181</v>
      </c>
      <c r="B3776" s="2" t="s">
        <v>213</v>
      </c>
      <c r="C3776" s="6" t="s">
        <v>101</v>
      </c>
      <c r="D3776" s="2" t="s">
        <v>110</v>
      </c>
      <c r="E3776" s="2"/>
      <c r="F3776" s="35">
        <v>4.4982502942822453</v>
      </c>
      <c r="G3776" s="35">
        <v>77.047459131976836</v>
      </c>
      <c r="H3776" s="35">
        <v>-38.336806101320022</v>
      </c>
      <c r="I3776" s="35">
        <v>-2.6333096871977157E-3</v>
      </c>
      <c r="J3776" s="35">
        <v>-3.356671001725135E-5</v>
      </c>
      <c r="K3776" s="35">
        <v>-1.3165400585604106E-2</v>
      </c>
      <c r="L3776" s="35">
        <v>45.055477336455063</v>
      </c>
      <c r="M3776" s="58" t="s">
        <v>24</v>
      </c>
      <c r="N3776" s="7">
        <v>9.5</v>
      </c>
      <c r="O3776" s="7" t="s">
        <v>179</v>
      </c>
      <c r="P3776" s="7" t="s">
        <v>179</v>
      </c>
    </row>
    <row r="3777" spans="1:16" x14ac:dyDescent="0.25">
      <c r="A3777" s="2" t="s">
        <v>181</v>
      </c>
      <c r="B3777" s="2" t="s">
        <v>213</v>
      </c>
      <c r="C3777" s="6" t="s">
        <v>101</v>
      </c>
      <c r="D3777" s="2" t="s">
        <v>110</v>
      </c>
      <c r="E3777" s="2"/>
      <c r="F3777" s="35">
        <v>8.9965005885644906</v>
      </c>
      <c r="G3777" s="35">
        <v>78.877791778819926</v>
      </c>
      <c r="H3777" s="35">
        <v>-24.734097211410507</v>
      </c>
      <c r="I3777" s="35">
        <v>-2.6333096871968831E-3</v>
      </c>
      <c r="J3777" s="35">
        <v>-3.356671001725135E-5</v>
      </c>
      <c r="K3777" s="35">
        <v>-1.3201145102325696E-3</v>
      </c>
      <c r="L3777" s="35">
        <v>186.90983203002358</v>
      </c>
      <c r="M3777" s="58" t="s">
        <v>23</v>
      </c>
      <c r="N3777" s="7">
        <v>9.5</v>
      </c>
      <c r="O3777" s="7" t="s">
        <v>179</v>
      </c>
      <c r="P3777" s="7" t="s">
        <v>179</v>
      </c>
    </row>
    <row r="3778" spans="1:16" x14ac:dyDescent="0.25">
      <c r="A3778" s="2" t="s">
        <v>181</v>
      </c>
      <c r="B3778" s="2" t="s">
        <v>213</v>
      </c>
      <c r="C3778" s="6" t="s">
        <v>101</v>
      </c>
      <c r="D3778" s="2" t="s">
        <v>111</v>
      </c>
      <c r="E3778" s="2"/>
      <c r="F3778" s="35">
        <v>0</v>
      </c>
      <c r="G3778" s="35">
        <v>-43.10151675157654</v>
      </c>
      <c r="H3778" s="35">
        <v>-26.287889835067599</v>
      </c>
      <c r="I3778" s="35">
        <v>-2.2152702421569643E-3</v>
      </c>
      <c r="J3778" s="35">
        <v>-2.468839922194067E-5</v>
      </c>
      <c r="K3778" s="35">
        <v>-2.1036656703291395E-2</v>
      </c>
      <c r="L3778" s="35">
        <v>-81.963680007546003</v>
      </c>
      <c r="M3778" s="58" t="s">
        <v>22</v>
      </c>
      <c r="N3778" s="7">
        <v>9.5</v>
      </c>
      <c r="O3778" s="7" t="s">
        <v>179</v>
      </c>
      <c r="P3778" s="7" t="s">
        <v>179</v>
      </c>
    </row>
    <row r="3779" spans="1:16" x14ac:dyDescent="0.25">
      <c r="A3779" s="2" t="s">
        <v>181</v>
      </c>
      <c r="B3779" s="2" t="s">
        <v>213</v>
      </c>
      <c r="C3779" s="6" t="s">
        <v>101</v>
      </c>
      <c r="D3779" s="2" t="s">
        <v>111</v>
      </c>
      <c r="E3779" s="2"/>
      <c r="F3779" s="35">
        <v>4.4982502942822453</v>
      </c>
      <c r="G3779" s="35">
        <v>-41.271184104733443</v>
      </c>
      <c r="H3779" s="35">
        <v>-2.1052962530062493</v>
      </c>
      <c r="I3779" s="35">
        <v>-2.2152702421554837E-3</v>
      </c>
      <c r="J3779" s="35">
        <v>-2.468839922194067E-5</v>
      </c>
      <c r="K3779" s="35">
        <v>-1.1071816684597462E-2</v>
      </c>
      <c r="L3779" s="35">
        <v>-18.103851169401647</v>
      </c>
      <c r="M3779" s="58" t="s">
        <v>24</v>
      </c>
      <c r="N3779" s="7">
        <v>9.5</v>
      </c>
      <c r="O3779" s="7" t="s">
        <v>179</v>
      </c>
      <c r="P3779" s="7" t="s">
        <v>179</v>
      </c>
    </row>
    <row r="3780" spans="1:16" x14ac:dyDescent="0.25">
      <c r="A3780" s="2" t="s">
        <v>181</v>
      </c>
      <c r="B3780" s="2" t="s">
        <v>213</v>
      </c>
      <c r="C3780" s="6" t="s">
        <v>101</v>
      </c>
      <c r="D3780" s="2" t="s">
        <v>111</v>
      </c>
      <c r="E3780" s="2"/>
      <c r="F3780" s="35">
        <v>8.9965005885644906</v>
      </c>
      <c r="G3780" s="35">
        <v>-39.440851457890346</v>
      </c>
      <c r="H3780" s="35">
        <v>22.077297329055099</v>
      </c>
      <c r="I3780" s="35">
        <v>-2.2152702421540027E-3</v>
      </c>
      <c r="J3780" s="35">
        <v>-2.468839922194067E-5</v>
      </c>
      <c r="K3780" s="35">
        <v>-1.1069766659101905E-3</v>
      </c>
      <c r="L3780" s="35">
        <v>-63.023381028272681</v>
      </c>
      <c r="M3780" s="58" t="s">
        <v>23</v>
      </c>
      <c r="N3780" s="7">
        <v>9.5</v>
      </c>
      <c r="O3780" s="7" t="s">
        <v>179</v>
      </c>
      <c r="P3780" s="7" t="s">
        <v>179</v>
      </c>
    </row>
    <row r="3781" spans="1:16" x14ac:dyDescent="0.25">
      <c r="A3781" s="2" t="s">
        <v>181</v>
      </c>
      <c r="B3781" s="2" t="s">
        <v>213</v>
      </c>
      <c r="C3781" s="6" t="s">
        <v>101</v>
      </c>
      <c r="D3781" s="2" t="s">
        <v>112</v>
      </c>
      <c r="E3781" s="2"/>
      <c r="F3781" s="35">
        <v>0</v>
      </c>
      <c r="G3781" s="35">
        <v>27.064492666252416</v>
      </c>
      <c r="H3781" s="35">
        <v>8.1218024524390717</v>
      </c>
      <c r="I3781" s="35">
        <v>-4.6836022996178485E-2</v>
      </c>
      <c r="J3781" s="35">
        <v>-5.0894582596078741E-4</v>
      </c>
      <c r="K3781" s="35">
        <v>-0.44474397375396657</v>
      </c>
      <c r="L3781" s="35">
        <v>-2.1451611543717157</v>
      </c>
      <c r="M3781" s="58" t="s">
        <v>22</v>
      </c>
      <c r="N3781" s="7">
        <v>9.5</v>
      </c>
      <c r="O3781" s="7" t="s">
        <v>179</v>
      </c>
      <c r="P3781" s="7" t="s">
        <v>179</v>
      </c>
    </row>
    <row r="3782" spans="1:16" x14ac:dyDescent="0.25">
      <c r="A3782" s="2" t="s">
        <v>181</v>
      </c>
      <c r="B3782" s="2" t="s">
        <v>213</v>
      </c>
      <c r="C3782" s="6" t="s">
        <v>101</v>
      </c>
      <c r="D3782" s="2" t="s">
        <v>112</v>
      </c>
      <c r="E3782" s="2"/>
      <c r="F3782" s="35">
        <v>4.4982502942822453</v>
      </c>
      <c r="G3782" s="35">
        <v>28.894825313095506</v>
      </c>
      <c r="H3782" s="35">
        <v>-8.8815836599478146</v>
      </c>
      <c r="I3782" s="35">
        <v>-4.6836022996179526E-2</v>
      </c>
      <c r="J3782" s="35">
        <v>-5.0894582596078741E-4</v>
      </c>
      <c r="K3782" s="35">
        <v>-0.23406381952839442</v>
      </c>
      <c r="L3782" s="35">
        <v>-0.43631813423854848</v>
      </c>
      <c r="M3782" s="58" t="s">
        <v>24</v>
      </c>
      <c r="N3782" s="7">
        <v>9.5</v>
      </c>
      <c r="O3782" s="7" t="s">
        <v>179</v>
      </c>
      <c r="P3782" s="7" t="s">
        <v>179</v>
      </c>
    </row>
    <row r="3783" spans="1:16" x14ac:dyDescent="0.25">
      <c r="A3783" s="2" t="s">
        <v>181</v>
      </c>
      <c r="B3783" s="2" t="s">
        <v>213</v>
      </c>
      <c r="C3783" s="6" t="s">
        <v>101</v>
      </c>
      <c r="D3783" s="2" t="s">
        <v>112</v>
      </c>
      <c r="E3783" s="2"/>
      <c r="F3783" s="35">
        <v>8.9965005885644906</v>
      </c>
      <c r="G3783" s="35">
        <v>30.725157959938603</v>
      </c>
      <c r="H3783" s="35">
        <v>-25.884969772334703</v>
      </c>
      <c r="I3783" s="35">
        <v>-4.6836022996180567E-2</v>
      </c>
      <c r="J3783" s="35">
        <v>-5.0894582596078741E-4</v>
      </c>
      <c r="K3783" s="35">
        <v>-2.338366530281754E-2</v>
      </c>
      <c r="L3783" s="35">
        <v>77.75801146973356</v>
      </c>
      <c r="M3783" s="58" t="s">
        <v>23</v>
      </c>
      <c r="N3783" s="7">
        <v>9.5</v>
      </c>
      <c r="O3783" s="7" t="s">
        <v>179</v>
      </c>
      <c r="P3783" s="7" t="s">
        <v>179</v>
      </c>
    </row>
    <row r="3784" spans="1:16" x14ac:dyDescent="0.25">
      <c r="A3784" s="2" t="s">
        <v>181</v>
      </c>
      <c r="B3784" s="2" t="s">
        <v>213</v>
      </c>
      <c r="C3784" s="6" t="s">
        <v>101</v>
      </c>
      <c r="D3784" s="2" t="s">
        <v>113</v>
      </c>
      <c r="E3784" s="2"/>
      <c r="F3784" s="35">
        <v>0</v>
      </c>
      <c r="G3784" s="35">
        <v>-10.832528006024583</v>
      </c>
      <c r="H3784" s="35">
        <v>12.176370791923965</v>
      </c>
      <c r="I3784" s="35">
        <v>-4.6082593272657936E-2</v>
      </c>
      <c r="J3784" s="35">
        <v>-4.9858316148124237E-4</v>
      </c>
      <c r="K3784" s="35">
        <v>-0.43758712758182183</v>
      </c>
      <c r="L3784" s="35">
        <v>26.697114005679424</v>
      </c>
      <c r="M3784" s="58" t="s">
        <v>22</v>
      </c>
      <c r="N3784" s="7">
        <v>9.5</v>
      </c>
      <c r="O3784" s="7" t="s">
        <v>179</v>
      </c>
      <c r="P3784" s="7" t="s">
        <v>179</v>
      </c>
    </row>
    <row r="3785" spans="1:16" x14ac:dyDescent="0.25">
      <c r="A3785" s="2" t="s">
        <v>181</v>
      </c>
      <c r="B3785" s="2" t="s">
        <v>213</v>
      </c>
      <c r="C3785" s="6" t="s">
        <v>101</v>
      </c>
      <c r="D3785" s="2" t="s">
        <v>113</v>
      </c>
      <c r="E3785" s="2"/>
      <c r="F3785" s="35">
        <v>4.4982502942822453</v>
      </c>
      <c r="G3785" s="35">
        <v>-9.0021953591814938</v>
      </c>
      <c r="H3785" s="35">
        <v>4.6948809024737352</v>
      </c>
      <c r="I3785" s="35">
        <v>-4.6082593272658394E-2</v>
      </c>
      <c r="J3785" s="35">
        <v>-4.9858316148124237E-4</v>
      </c>
      <c r="K3785" s="35">
        <v>-0.23029608883179828</v>
      </c>
      <c r="L3785" s="35">
        <v>-11.248442443937716</v>
      </c>
      <c r="M3785" s="58" t="s">
        <v>24</v>
      </c>
      <c r="N3785" s="7">
        <v>9.5</v>
      </c>
      <c r="O3785" s="7" t="s">
        <v>179</v>
      </c>
      <c r="P3785" s="7" t="s">
        <v>179</v>
      </c>
    </row>
    <row r="3786" spans="1:16" x14ac:dyDescent="0.25">
      <c r="A3786" s="2" t="s">
        <v>181</v>
      </c>
      <c r="B3786" s="2" t="s">
        <v>213</v>
      </c>
      <c r="C3786" s="6" t="s">
        <v>101</v>
      </c>
      <c r="D3786" s="2" t="s">
        <v>113</v>
      </c>
      <c r="E3786" s="2"/>
      <c r="F3786" s="35">
        <v>8.9965005885644906</v>
      </c>
      <c r="G3786" s="35">
        <v>-7.171862712338398</v>
      </c>
      <c r="H3786" s="35">
        <v>-2.7866089869764941</v>
      </c>
      <c r="I3786" s="35">
        <v>-4.6082593272658852E-2</v>
      </c>
      <c r="J3786" s="35">
        <v>-4.9858316148124237E-4</v>
      </c>
      <c r="K3786" s="35">
        <v>-2.300505008177265E-2</v>
      </c>
      <c r="L3786" s="35">
        <v>-15.540384796665725</v>
      </c>
      <c r="M3786" s="58" t="s">
        <v>23</v>
      </c>
      <c r="N3786" s="7">
        <v>9.5</v>
      </c>
      <c r="O3786" s="7" t="s">
        <v>179</v>
      </c>
      <c r="P3786" s="7" t="s">
        <v>179</v>
      </c>
    </row>
    <row r="3787" spans="1:16" x14ac:dyDescent="0.25">
      <c r="A3787" s="2" t="s">
        <v>181</v>
      </c>
      <c r="B3787" s="2" t="s">
        <v>213</v>
      </c>
      <c r="C3787" s="6" t="s">
        <v>101</v>
      </c>
      <c r="D3787" s="2" t="s">
        <v>114</v>
      </c>
      <c r="E3787" s="2"/>
      <c r="F3787" s="35">
        <v>0</v>
      </c>
      <c r="G3787" s="35">
        <v>27.064279588398854</v>
      </c>
      <c r="H3787" s="35">
        <v>8.1200923538750853</v>
      </c>
      <c r="I3787" s="35">
        <v>4.7029777580175604E-2</v>
      </c>
      <c r="J3787" s="35">
        <v>5.1035725966637132E-4</v>
      </c>
      <c r="K3787" s="35">
        <v>0.44658321557569503</v>
      </c>
      <c r="L3787" s="35">
        <v>-2.1503605946987565</v>
      </c>
      <c r="M3787" s="58" t="s">
        <v>22</v>
      </c>
      <c r="N3787" s="7">
        <v>9.5</v>
      </c>
      <c r="O3787" s="7" t="s">
        <v>179</v>
      </c>
      <c r="P3787" s="7" t="s">
        <v>179</v>
      </c>
    </row>
    <row r="3788" spans="1:16" x14ac:dyDescent="0.25">
      <c r="A3788" s="2" t="s">
        <v>181</v>
      </c>
      <c r="B3788" s="2" t="s">
        <v>213</v>
      </c>
      <c r="C3788" s="6" t="s">
        <v>101</v>
      </c>
      <c r="D3788" s="2" t="s">
        <v>114</v>
      </c>
      <c r="E3788" s="2"/>
      <c r="F3788" s="35">
        <v>4.4982502942822453</v>
      </c>
      <c r="G3788" s="35">
        <v>28.894612235241944</v>
      </c>
      <c r="H3788" s="35">
        <v>-8.8832937585117993</v>
      </c>
      <c r="I3788" s="35">
        <v>4.7029777580174556E-2</v>
      </c>
      <c r="J3788" s="35">
        <v>5.1035725966637132E-4</v>
      </c>
      <c r="K3788" s="35">
        <v>0.23503150473564394</v>
      </c>
      <c r="L3788" s="35">
        <v>-0.43382512319689603</v>
      </c>
      <c r="M3788" s="58" t="s">
        <v>24</v>
      </c>
      <c r="N3788" s="7">
        <v>9.5</v>
      </c>
      <c r="O3788" s="7" t="s">
        <v>179</v>
      </c>
      <c r="P3788" s="7" t="s">
        <v>179</v>
      </c>
    </row>
    <row r="3789" spans="1:16" x14ac:dyDescent="0.25">
      <c r="A3789" s="2" t="s">
        <v>181</v>
      </c>
      <c r="B3789" s="2" t="s">
        <v>213</v>
      </c>
      <c r="C3789" s="6" t="s">
        <v>101</v>
      </c>
      <c r="D3789" s="2" t="s">
        <v>114</v>
      </c>
      <c r="E3789" s="2"/>
      <c r="F3789" s="35">
        <v>8.9965005885644906</v>
      </c>
      <c r="G3789" s="35">
        <v>30.72494488208504</v>
      </c>
      <c r="H3789" s="35">
        <v>-25.886679870898689</v>
      </c>
      <c r="I3789" s="35">
        <v>4.7029777580173522E-2</v>
      </c>
      <c r="J3789" s="35">
        <v>5.1035725966637132E-4</v>
      </c>
      <c r="K3789" s="35">
        <v>2.347979389559756E-2</v>
      </c>
      <c r="L3789" s="35">
        <v>77.768196932143894</v>
      </c>
      <c r="M3789" s="58" t="s">
        <v>23</v>
      </c>
      <c r="N3789" s="7">
        <v>9.5</v>
      </c>
      <c r="O3789" s="7" t="s">
        <v>179</v>
      </c>
      <c r="P3789" s="7" t="s">
        <v>179</v>
      </c>
    </row>
    <row r="3790" spans="1:16" x14ac:dyDescent="0.25">
      <c r="A3790" s="2" t="s">
        <v>181</v>
      </c>
      <c r="B3790" s="2" t="s">
        <v>213</v>
      </c>
      <c r="C3790" s="6" t="s">
        <v>101</v>
      </c>
      <c r="D3790" s="2" t="s">
        <v>115</v>
      </c>
      <c r="E3790" s="2"/>
      <c r="F3790" s="35">
        <v>0</v>
      </c>
      <c r="G3790" s="35">
        <v>-10.832740731852832</v>
      </c>
      <c r="H3790" s="35">
        <v>12.174663385761695</v>
      </c>
      <c r="I3790" s="35">
        <v>4.7819350861775169E-2</v>
      </c>
      <c r="J3790" s="35">
        <v>5.2092498243559748E-4</v>
      </c>
      <c r="K3790" s="35">
        <v>0.45408312071985529</v>
      </c>
      <c r="L3790" s="35">
        <v>26.691922711284153</v>
      </c>
      <c r="M3790" s="58" t="s">
        <v>22</v>
      </c>
      <c r="N3790" s="7">
        <v>9.5</v>
      </c>
      <c r="O3790" s="7" t="s">
        <v>179</v>
      </c>
      <c r="P3790" s="7" t="s">
        <v>179</v>
      </c>
    </row>
    <row r="3791" spans="1:16" x14ac:dyDescent="0.25">
      <c r="A3791" s="2" t="s">
        <v>181</v>
      </c>
      <c r="B3791" s="2" t="s">
        <v>213</v>
      </c>
      <c r="C3791" s="6" t="s">
        <v>101</v>
      </c>
      <c r="D3791" s="2" t="s">
        <v>115</v>
      </c>
      <c r="E3791" s="2"/>
      <c r="F3791" s="35">
        <v>4.4982502942822453</v>
      </c>
      <c r="G3791" s="35">
        <v>-9.0024080850097441</v>
      </c>
      <c r="H3791" s="35">
        <v>4.6931734963114637</v>
      </c>
      <c r="I3791" s="35">
        <v>4.7819350861774711E-2</v>
      </c>
      <c r="J3791" s="35">
        <v>5.2092498243559748E-4</v>
      </c>
      <c r="K3791" s="35">
        <v>0.23897971163349022</v>
      </c>
      <c r="L3791" s="35">
        <v>-11.24595339806109</v>
      </c>
      <c r="M3791" s="58" t="s">
        <v>24</v>
      </c>
      <c r="N3791" s="7">
        <v>9.5</v>
      </c>
      <c r="O3791" s="7" t="s">
        <v>179</v>
      </c>
      <c r="P3791" s="7" t="s">
        <v>179</v>
      </c>
    </row>
    <row r="3792" spans="1:16" x14ac:dyDescent="0.25">
      <c r="A3792" s="2" t="s">
        <v>181</v>
      </c>
      <c r="B3792" s="2" t="s">
        <v>213</v>
      </c>
      <c r="C3792" s="6" t="s">
        <v>101</v>
      </c>
      <c r="D3792" s="2" t="s">
        <v>115</v>
      </c>
      <c r="E3792" s="2"/>
      <c r="F3792" s="35">
        <v>8.9965005885644906</v>
      </c>
      <c r="G3792" s="35">
        <v>-7.1720754381666474</v>
      </c>
      <c r="H3792" s="35">
        <v>-2.7883163931387673</v>
      </c>
      <c r="I3792" s="35">
        <v>4.781935086177426E-2</v>
      </c>
      <c r="J3792" s="35">
        <v>5.2092498243559748E-4</v>
      </c>
      <c r="K3792" s="35">
        <v>2.3876302547127234E-2</v>
      </c>
      <c r="L3792" s="35">
        <v>-15.530215410517211</v>
      </c>
      <c r="M3792" s="58" t="s">
        <v>23</v>
      </c>
      <c r="N3792" s="7">
        <v>9.5</v>
      </c>
      <c r="O3792" s="7" t="s">
        <v>179</v>
      </c>
      <c r="P3792" s="7" t="s">
        <v>179</v>
      </c>
    </row>
    <row r="3793" spans="1:16" x14ac:dyDescent="0.25">
      <c r="A3793" s="2" t="s">
        <v>181</v>
      </c>
      <c r="B3793" s="2" t="s">
        <v>213</v>
      </c>
      <c r="C3793" s="6" t="s">
        <v>101</v>
      </c>
      <c r="D3793" s="2" t="s">
        <v>116</v>
      </c>
      <c r="E3793" s="2"/>
      <c r="F3793" s="35">
        <v>0</v>
      </c>
      <c r="G3793" s="35">
        <v>22.54982659763218</v>
      </c>
      <c r="H3793" s="35">
        <v>9.268135148447497</v>
      </c>
      <c r="I3793" s="35">
        <v>-2.2486274478094991E-3</v>
      </c>
      <c r="J3793" s="35">
        <v>-2.8599819264873154E-5</v>
      </c>
      <c r="K3793" s="35">
        <v>-2.1357392869462633E-2</v>
      </c>
      <c r="L3793" s="35">
        <v>23.780016472360835</v>
      </c>
      <c r="M3793" s="58" t="s">
        <v>22</v>
      </c>
      <c r="N3793" s="7">
        <v>9.5</v>
      </c>
      <c r="O3793" s="7" t="s">
        <v>179</v>
      </c>
      <c r="P3793" s="7" t="s">
        <v>179</v>
      </c>
    </row>
    <row r="3794" spans="1:16" x14ac:dyDescent="0.25">
      <c r="A3794" s="2" t="s">
        <v>181</v>
      </c>
      <c r="B3794" s="2" t="s">
        <v>213</v>
      </c>
      <c r="C3794" s="6" t="s">
        <v>101</v>
      </c>
      <c r="D3794" s="2" t="s">
        <v>116</v>
      </c>
      <c r="E3794" s="2"/>
      <c r="F3794" s="35">
        <v>4.4982502942822453</v>
      </c>
      <c r="G3794" s="35">
        <v>24.380159244475269</v>
      </c>
      <c r="H3794" s="35">
        <v>-3.6544382969665379</v>
      </c>
      <c r="I3794" s="35">
        <v>-2.2486274478102906E-3</v>
      </c>
      <c r="J3794" s="35">
        <v>-2.8599819264873154E-5</v>
      </c>
      <c r="K3794" s="35">
        <v>-1.1242503790620645E-2</v>
      </c>
      <c r="L3794" s="35">
        <v>11.154109715268069</v>
      </c>
      <c r="M3794" s="58" t="s">
        <v>24</v>
      </c>
      <c r="N3794" s="7">
        <v>9.5</v>
      </c>
      <c r="O3794" s="7" t="s">
        <v>179</v>
      </c>
      <c r="P3794" s="7" t="s">
        <v>179</v>
      </c>
    </row>
    <row r="3795" spans="1:16" x14ac:dyDescent="0.25">
      <c r="A3795" s="2" t="s">
        <v>181</v>
      </c>
      <c r="B3795" s="2" t="s">
        <v>213</v>
      </c>
      <c r="C3795" s="6" t="s">
        <v>101</v>
      </c>
      <c r="D3795" s="2" t="s">
        <v>116</v>
      </c>
      <c r="E3795" s="2"/>
      <c r="F3795" s="35">
        <v>8.9965005885644906</v>
      </c>
      <c r="G3795" s="35">
        <v>26.210491891318366</v>
      </c>
      <c r="H3795" s="35">
        <v>-16.57701174238057</v>
      </c>
      <c r="I3795" s="35">
        <v>-2.2486274478110821E-3</v>
      </c>
      <c r="J3795" s="35">
        <v>-2.8599819264873154E-5</v>
      </c>
      <c r="K3795" s="35">
        <v>-1.1276147117750927E-3</v>
      </c>
      <c r="L3795" s="35">
        <v>56.657172761892916</v>
      </c>
      <c r="M3795" s="58" t="s">
        <v>23</v>
      </c>
      <c r="N3795" s="7">
        <v>9.5</v>
      </c>
      <c r="O3795" s="7" t="s">
        <v>179</v>
      </c>
      <c r="P3795" s="7" t="s">
        <v>179</v>
      </c>
    </row>
    <row r="3796" spans="1:16" x14ac:dyDescent="0.25">
      <c r="A3796" s="2" t="s">
        <v>181</v>
      </c>
      <c r="B3796" s="2" t="s">
        <v>213</v>
      </c>
      <c r="C3796" s="6" t="s">
        <v>101</v>
      </c>
      <c r="D3796" s="2" t="s">
        <v>117</v>
      </c>
      <c r="E3796" s="2"/>
      <c r="F3796" s="35">
        <v>0</v>
      </c>
      <c r="G3796" s="35">
        <v>-25.595436390465196</v>
      </c>
      <c r="H3796" s="35">
        <v>23.898213002815897</v>
      </c>
      <c r="I3796" s="35">
        <v>-1.9306590836397188E-3</v>
      </c>
      <c r="J3796" s="35">
        <v>-2.1319596629676664E-5</v>
      </c>
      <c r="K3796" s="35">
        <v>-1.8334196469201456E-2</v>
      </c>
      <c r="L3796" s="35">
        <v>110.90907458642194</v>
      </c>
      <c r="M3796" s="58" t="s">
        <v>22</v>
      </c>
      <c r="N3796" s="7">
        <v>9.5</v>
      </c>
      <c r="O3796" s="7" t="s">
        <v>179</v>
      </c>
      <c r="P3796" s="7" t="s">
        <v>179</v>
      </c>
    </row>
    <row r="3797" spans="1:16" x14ac:dyDescent="0.25">
      <c r="A3797" s="2" t="s">
        <v>181</v>
      </c>
      <c r="B3797" s="2" t="s">
        <v>213</v>
      </c>
      <c r="C3797" s="6" t="s">
        <v>101</v>
      </c>
      <c r="D3797" s="2" t="s">
        <v>117</v>
      </c>
      <c r="E3797" s="2"/>
      <c r="F3797" s="35">
        <v>4.4982502942822453</v>
      </c>
      <c r="G3797" s="35">
        <v>-23.765103743622106</v>
      </c>
      <c r="H3797" s="35">
        <v>20.49753578033852</v>
      </c>
      <c r="I3797" s="35">
        <v>-1.9306590836399267E-3</v>
      </c>
      <c r="J3797" s="35">
        <v>-2.1319596629676664E-5</v>
      </c>
      <c r="K3797" s="35">
        <v>-9.6496086780599333E-3</v>
      </c>
      <c r="L3797" s="35">
        <v>11.057479572069475</v>
      </c>
      <c r="M3797" s="58" t="s">
        <v>24</v>
      </c>
      <c r="N3797" s="7">
        <v>9.5</v>
      </c>
      <c r="O3797" s="7" t="s">
        <v>179</v>
      </c>
      <c r="P3797" s="7" t="s">
        <v>179</v>
      </c>
    </row>
    <row r="3798" spans="1:16" x14ac:dyDescent="0.25">
      <c r="A3798" s="2" t="s">
        <v>181</v>
      </c>
      <c r="B3798" s="2" t="s">
        <v>213</v>
      </c>
      <c r="C3798" s="6" t="s">
        <v>101</v>
      </c>
      <c r="D3798" s="2" t="s">
        <v>117</v>
      </c>
      <c r="E3798" s="2"/>
      <c r="F3798" s="35">
        <v>8.9965005885644906</v>
      </c>
      <c r="G3798" s="35">
        <v>-21.934771096779013</v>
      </c>
      <c r="H3798" s="35">
        <v>17.09685855786114</v>
      </c>
      <c r="I3798" s="35">
        <v>-1.9306590836401351E-3</v>
      </c>
      <c r="J3798" s="35">
        <v>-2.1319596629676664E-5</v>
      </c>
      <c r="K3798" s="35">
        <v>-9.6502088691747612E-4</v>
      </c>
      <c r="L3798" s="35">
        <v>-73.497018125515197</v>
      </c>
      <c r="M3798" s="58" t="s">
        <v>23</v>
      </c>
      <c r="N3798" s="7">
        <v>9.5</v>
      </c>
      <c r="O3798" s="7" t="s">
        <v>179</v>
      </c>
      <c r="P3798" s="7" t="s">
        <v>179</v>
      </c>
    </row>
    <row r="3799" spans="1:16" x14ac:dyDescent="0.25">
      <c r="A3799" s="2" t="s">
        <v>181</v>
      </c>
      <c r="B3799" s="2" t="s">
        <v>213</v>
      </c>
      <c r="C3799" s="6" t="s">
        <v>101</v>
      </c>
      <c r="D3799" s="2" t="s">
        <v>118</v>
      </c>
      <c r="E3799" s="2"/>
      <c r="F3799" s="35">
        <v>0</v>
      </c>
      <c r="G3799" s="35">
        <v>37.860813847559029</v>
      </c>
      <c r="H3799" s="35">
        <v>-34.070310165733545</v>
      </c>
      <c r="I3799" s="35">
        <v>-2.5579395692529598E-3</v>
      </c>
      <c r="J3799" s="35">
        <v>-3.156233823263511E-5</v>
      </c>
      <c r="K3799" s="35">
        <v>-2.4293828782917422E-2</v>
      </c>
      <c r="L3799" s="35">
        <v>-101.81625626754361</v>
      </c>
      <c r="M3799" s="58" t="s">
        <v>22</v>
      </c>
      <c r="N3799" s="7">
        <v>9.5</v>
      </c>
      <c r="O3799" s="7" t="s">
        <v>179</v>
      </c>
      <c r="P3799" s="7" t="s">
        <v>179</v>
      </c>
    </row>
    <row r="3800" spans="1:16" x14ac:dyDescent="0.25">
      <c r="A3800" s="2" t="s">
        <v>181</v>
      </c>
      <c r="B3800" s="2" t="s">
        <v>213</v>
      </c>
      <c r="C3800" s="6" t="s">
        <v>101</v>
      </c>
      <c r="D3800" s="2" t="s">
        <v>118</v>
      </c>
      <c r="E3800" s="2"/>
      <c r="F3800" s="35">
        <v>4.4982502942822453</v>
      </c>
      <c r="G3800" s="35">
        <v>39.691146494402119</v>
      </c>
      <c r="H3800" s="35">
        <v>-21.827872164814988</v>
      </c>
      <c r="I3800" s="35">
        <v>-2.5579395692522109E-3</v>
      </c>
      <c r="J3800" s="35">
        <v>-3.156233823263511E-5</v>
      </c>
      <c r="K3800" s="35">
        <v>-1.2787576362770784E-2</v>
      </c>
      <c r="L3800" s="35">
        <v>23.905751291572656</v>
      </c>
      <c r="M3800" s="58" t="s">
        <v>24</v>
      </c>
      <c r="N3800" s="7">
        <v>9.5</v>
      </c>
      <c r="O3800" s="7" t="s">
        <v>179</v>
      </c>
      <c r="P3800" s="7" t="s">
        <v>179</v>
      </c>
    </row>
    <row r="3801" spans="1:16" x14ac:dyDescent="0.25">
      <c r="A3801" s="2" t="s">
        <v>181</v>
      </c>
      <c r="B3801" s="2" t="s">
        <v>213</v>
      </c>
      <c r="C3801" s="6" t="s">
        <v>101</v>
      </c>
      <c r="D3801" s="2" t="s">
        <v>118</v>
      </c>
      <c r="E3801" s="2"/>
      <c r="F3801" s="35">
        <v>8.9965005885644906</v>
      </c>
      <c r="G3801" s="35">
        <v>41.521479141245216</v>
      </c>
      <c r="H3801" s="35">
        <v>-9.58543416389643</v>
      </c>
      <c r="I3801" s="35">
        <v>-2.557939569251461E-3</v>
      </c>
      <c r="J3801" s="35">
        <v>-3.156233823263511E-5</v>
      </c>
      <c r="K3801" s="35">
        <v>-1.2813239426275173E-3</v>
      </c>
      <c r="L3801" s="35">
        <v>94.55820851032486</v>
      </c>
      <c r="M3801" s="58" t="s">
        <v>23</v>
      </c>
      <c r="N3801" s="7">
        <v>9.5</v>
      </c>
      <c r="O3801" s="7" t="s">
        <v>179</v>
      </c>
      <c r="P3801" s="7" t="s">
        <v>179</v>
      </c>
    </row>
    <row r="3802" spans="1:16" x14ac:dyDescent="0.25">
      <c r="A3802" s="2" t="s">
        <v>181</v>
      </c>
      <c r="B3802" s="2" t="s">
        <v>213</v>
      </c>
      <c r="C3802" s="6" t="s">
        <v>101</v>
      </c>
      <c r="D3802" s="2" t="s">
        <v>119</v>
      </c>
      <c r="E3802" s="2"/>
      <c r="F3802" s="35">
        <v>0</v>
      </c>
      <c r="G3802" s="35">
        <v>-68.62596506548023</v>
      </c>
      <c r="H3802" s="35">
        <v>-10.983847525187809</v>
      </c>
      <c r="I3802" s="35">
        <v>-2.1817040687155342E-3</v>
      </c>
      <c r="J3802" s="35">
        <v>-2.3571858516855502E-5</v>
      </c>
      <c r="K3802" s="35">
        <v>-2.0717201820998229E-2</v>
      </c>
      <c r="L3802" s="35">
        <v>-33.395028312568833</v>
      </c>
      <c r="M3802" s="58" t="s">
        <v>22</v>
      </c>
      <c r="N3802" s="7">
        <v>9.5</v>
      </c>
      <c r="O3802" s="7" t="s">
        <v>179</v>
      </c>
      <c r="P3802" s="7" t="s">
        <v>179</v>
      </c>
    </row>
    <row r="3803" spans="1:16" x14ac:dyDescent="0.25">
      <c r="A3803" s="2" t="s">
        <v>181</v>
      </c>
      <c r="B3803" s="2" t="s">
        <v>213</v>
      </c>
      <c r="C3803" s="6" t="s">
        <v>101</v>
      </c>
      <c r="D3803" s="2" t="s">
        <v>119</v>
      </c>
      <c r="E3803" s="2"/>
      <c r="F3803" s="35">
        <v>4.4982502942822453</v>
      </c>
      <c r="G3803" s="35">
        <v>-66.79563241863714</v>
      </c>
      <c r="H3803" s="35">
        <v>10.780486698667405</v>
      </c>
      <c r="I3803" s="35">
        <v>-2.1817040687142015E-3</v>
      </c>
      <c r="J3803" s="35">
        <v>-2.3571858516855502E-5</v>
      </c>
      <c r="K3803" s="35">
        <v>-1.0903350851864804E-2</v>
      </c>
      <c r="L3803" s="35">
        <v>-32.937644363698382</v>
      </c>
      <c r="M3803" s="58" t="s">
        <v>24</v>
      </c>
      <c r="N3803" s="7">
        <v>9.5</v>
      </c>
      <c r="O3803" s="7" t="s">
        <v>179</v>
      </c>
      <c r="P3803" s="7" t="s">
        <v>179</v>
      </c>
    </row>
    <row r="3804" spans="1:16" x14ac:dyDescent="0.25">
      <c r="A3804" s="2" t="s">
        <v>181</v>
      </c>
      <c r="B3804" s="2" t="s">
        <v>213</v>
      </c>
      <c r="C3804" s="6" t="s">
        <v>101</v>
      </c>
      <c r="D3804" s="2" t="s">
        <v>119</v>
      </c>
      <c r="E3804" s="2"/>
      <c r="F3804" s="35">
        <v>8.9965005885644906</v>
      </c>
      <c r="G3804" s="35">
        <v>-64.965299771794037</v>
      </c>
      <c r="H3804" s="35">
        <v>32.544820922522618</v>
      </c>
      <c r="I3804" s="35">
        <v>-2.1817040687128687E-3</v>
      </c>
      <c r="J3804" s="35">
        <v>-2.3571858516855502E-5</v>
      </c>
      <c r="K3804" s="35">
        <v>-1.0894998827373763E-3</v>
      </c>
      <c r="L3804" s="35">
        <v>-130.38168324214178</v>
      </c>
      <c r="M3804" s="58" t="s">
        <v>23</v>
      </c>
      <c r="N3804" s="7">
        <v>9.5</v>
      </c>
      <c r="O3804" s="7" t="s">
        <v>179</v>
      </c>
      <c r="P3804" s="7" t="s">
        <v>179</v>
      </c>
    </row>
    <row r="3805" spans="1:16" x14ac:dyDescent="0.25">
      <c r="A3805" s="2" t="s">
        <v>181</v>
      </c>
      <c r="B3805" s="2" t="s">
        <v>213</v>
      </c>
      <c r="C3805" s="6" t="s">
        <v>101</v>
      </c>
      <c r="D3805" s="2" t="s">
        <v>120</v>
      </c>
      <c r="E3805" s="2"/>
      <c r="F3805" s="35">
        <v>0</v>
      </c>
      <c r="G3805" s="35">
        <v>38.231334835998155</v>
      </c>
      <c r="H3805" s="35">
        <v>5.7420214531251013</v>
      </c>
      <c r="I3805" s="35">
        <v>-5.198629289822037E-2</v>
      </c>
      <c r="J3805" s="35">
        <v>-5.6510436399996589E-4</v>
      </c>
      <c r="K3805" s="35">
        <v>-0.49364991285835813</v>
      </c>
      <c r="L3805" s="35">
        <v>-12.871092735504833</v>
      </c>
      <c r="M3805" s="58" t="s">
        <v>22</v>
      </c>
      <c r="N3805" s="7">
        <v>9.5</v>
      </c>
      <c r="O3805" s="7" t="s">
        <v>179</v>
      </c>
      <c r="P3805" s="7" t="s">
        <v>179</v>
      </c>
    </row>
    <row r="3806" spans="1:16" x14ac:dyDescent="0.25">
      <c r="A3806" s="2" t="s">
        <v>181</v>
      </c>
      <c r="B3806" s="2" t="s">
        <v>213</v>
      </c>
      <c r="C3806" s="6" t="s">
        <v>101</v>
      </c>
      <c r="D3806" s="2" t="s">
        <v>120</v>
      </c>
      <c r="E3806" s="2"/>
      <c r="F3806" s="35">
        <v>4.4982502942822453</v>
      </c>
      <c r="G3806" s="35">
        <v>40.061667482841244</v>
      </c>
      <c r="H3806" s="35">
        <v>-13.150629782860328</v>
      </c>
      <c r="I3806" s="35">
        <v>-5.1986292898221528E-2</v>
      </c>
      <c r="J3806" s="35">
        <v>-5.6510436399996589E-4</v>
      </c>
      <c r="K3806" s="35">
        <v>-0.2598025555302928</v>
      </c>
      <c r="L3806" s="35">
        <v>3.791794564221858</v>
      </c>
      <c r="M3806" s="58" t="s">
        <v>24</v>
      </c>
      <c r="N3806" s="7">
        <v>9.5</v>
      </c>
      <c r="O3806" s="7" t="s">
        <v>179</v>
      </c>
      <c r="P3806" s="7" t="s">
        <v>179</v>
      </c>
    </row>
    <row r="3807" spans="1:16" x14ac:dyDescent="0.25">
      <c r="A3807" s="2" t="s">
        <v>181</v>
      </c>
      <c r="B3807" s="2" t="s">
        <v>213</v>
      </c>
      <c r="C3807" s="6" t="s">
        <v>101</v>
      </c>
      <c r="D3807" s="2" t="s">
        <v>120</v>
      </c>
      <c r="E3807" s="2"/>
      <c r="F3807" s="35">
        <v>8.9965005885644906</v>
      </c>
      <c r="G3807" s="35">
        <v>41.892000129684334</v>
      </c>
      <c r="H3807" s="35">
        <v>-32.043281018845761</v>
      </c>
      <c r="I3807" s="35">
        <v>-5.198629289822268E-2</v>
      </c>
      <c r="J3807" s="35">
        <v>-5.6510436399996589E-4</v>
      </c>
      <c r="K3807" s="35">
        <v>-2.5955198202222234E-2</v>
      </c>
      <c r="L3807" s="35">
        <v>105.43855584599179</v>
      </c>
      <c r="M3807" s="58" t="s">
        <v>23</v>
      </c>
      <c r="N3807" s="7">
        <v>9.5</v>
      </c>
      <c r="O3807" s="7" t="s">
        <v>179</v>
      </c>
      <c r="P3807" s="7" t="s">
        <v>179</v>
      </c>
    </row>
    <row r="3808" spans="1:16" x14ac:dyDescent="0.25">
      <c r="A3808" s="2" t="s">
        <v>181</v>
      </c>
      <c r="B3808" s="2" t="s">
        <v>213</v>
      </c>
      <c r="C3808" s="6" t="s">
        <v>101</v>
      </c>
      <c r="D3808" s="2" t="s">
        <v>121</v>
      </c>
      <c r="E3808" s="2"/>
      <c r="F3808" s="35">
        <v>0</v>
      </c>
      <c r="G3808" s="35">
        <v>-3.8764659109763007</v>
      </c>
      <c r="H3808" s="35">
        <v>10.247097385886095</v>
      </c>
      <c r="I3808" s="35">
        <v>-5.1149148760975316E-2</v>
      </c>
      <c r="J3808" s="35">
        <v>-5.5359029235602705E-4</v>
      </c>
      <c r="K3808" s="35">
        <v>-0.48569786155597511</v>
      </c>
      <c r="L3808" s="35">
        <v>19.175879664551992</v>
      </c>
      <c r="M3808" s="58" t="s">
        <v>22</v>
      </c>
      <c r="N3808" s="7">
        <v>9.5</v>
      </c>
      <c r="O3808" s="7" t="s">
        <v>179</v>
      </c>
      <c r="P3808" s="7" t="s">
        <v>179</v>
      </c>
    </row>
    <row r="3809" spans="1:16" x14ac:dyDescent="0.25">
      <c r="A3809" s="2" t="s">
        <v>181</v>
      </c>
      <c r="B3809" s="2" t="s">
        <v>213</v>
      </c>
      <c r="C3809" s="6" t="s">
        <v>101</v>
      </c>
      <c r="D3809" s="2" t="s">
        <v>121</v>
      </c>
      <c r="E3809" s="2"/>
      <c r="F3809" s="35">
        <v>4.4982502942822453</v>
      </c>
      <c r="G3809" s="35">
        <v>-2.0461332641332115</v>
      </c>
      <c r="H3809" s="35">
        <v>1.934330842052506</v>
      </c>
      <c r="I3809" s="35">
        <v>-5.1149148760975822E-2</v>
      </c>
      <c r="J3809" s="35">
        <v>-5.5359029235602705E-4</v>
      </c>
      <c r="K3809" s="35">
        <v>-0.25561618808963044</v>
      </c>
      <c r="L3809" s="35">
        <v>-8.2216768909994364</v>
      </c>
      <c r="M3809" s="58" t="s">
        <v>24</v>
      </c>
      <c r="N3809" s="7">
        <v>9.5</v>
      </c>
      <c r="O3809" s="7" t="s">
        <v>179</v>
      </c>
      <c r="P3809" s="7" t="s">
        <v>179</v>
      </c>
    </row>
    <row r="3810" spans="1:16" x14ac:dyDescent="0.25">
      <c r="A3810" s="2" t="s">
        <v>181</v>
      </c>
      <c r="B3810" s="2" t="s">
        <v>213</v>
      </c>
      <c r="C3810" s="6" t="s">
        <v>101</v>
      </c>
      <c r="D3810" s="2" t="s">
        <v>121</v>
      </c>
      <c r="E3810" s="2"/>
      <c r="F3810" s="35">
        <v>8.9965005885644906</v>
      </c>
      <c r="G3810" s="35">
        <v>-0.21580061729012229</v>
      </c>
      <c r="H3810" s="35">
        <v>-6.3784357017810827</v>
      </c>
      <c r="I3810" s="35">
        <v>-5.1149148760976329E-2</v>
      </c>
      <c r="J3810" s="35">
        <v>-5.5359029235602705E-4</v>
      </c>
      <c r="K3810" s="35">
        <v>-2.5534514623283471E-2</v>
      </c>
      <c r="L3810" s="35">
        <v>1.7736711055481578</v>
      </c>
      <c r="M3810" s="58" t="s">
        <v>23</v>
      </c>
      <c r="N3810" s="7">
        <v>9.5</v>
      </c>
      <c r="O3810" s="7" t="s">
        <v>179</v>
      </c>
      <c r="P3810" s="7" t="s">
        <v>179</v>
      </c>
    </row>
    <row r="3811" spans="1:16" x14ac:dyDescent="0.25">
      <c r="A3811" s="2" t="s">
        <v>181</v>
      </c>
      <c r="B3811" s="2" t="s">
        <v>213</v>
      </c>
      <c r="C3811" s="6" t="s">
        <v>101</v>
      </c>
      <c r="D3811" s="2" t="s">
        <v>122</v>
      </c>
      <c r="E3811" s="2"/>
      <c r="F3811" s="35">
        <v>0</v>
      </c>
      <c r="G3811" s="35">
        <v>38.231098082827515</v>
      </c>
      <c r="H3811" s="35">
        <v>5.7401213436095615</v>
      </c>
      <c r="I3811" s="35">
        <v>5.2309041075506386E-2</v>
      </c>
      <c r="J3811" s="35">
        <v>5.6745462003021045E-4</v>
      </c>
      <c r="K3811" s="35">
        <v>0.49671363084126591</v>
      </c>
      <c r="L3811" s="35">
        <v>-12.876869891423773</v>
      </c>
      <c r="M3811" s="58" t="s">
        <v>22</v>
      </c>
      <c r="N3811" s="7">
        <v>9.5</v>
      </c>
      <c r="O3811" s="7" t="s">
        <v>179</v>
      </c>
      <c r="P3811" s="7" t="s">
        <v>179</v>
      </c>
    </row>
    <row r="3812" spans="1:16" x14ac:dyDescent="0.25">
      <c r="A3812" s="2" t="s">
        <v>181</v>
      </c>
      <c r="B3812" s="2" t="s">
        <v>213</v>
      </c>
      <c r="C3812" s="6" t="s">
        <v>101</v>
      </c>
      <c r="D3812" s="2" t="s">
        <v>122</v>
      </c>
      <c r="E3812" s="2"/>
      <c r="F3812" s="35">
        <v>4.4982502942822453</v>
      </c>
      <c r="G3812" s="35">
        <v>40.061430729670604</v>
      </c>
      <c r="H3812" s="35">
        <v>-13.152529892375869</v>
      </c>
      <c r="I3812" s="35">
        <v>5.2309041075505235E-2</v>
      </c>
      <c r="J3812" s="35">
        <v>5.6745462003021045E-4</v>
      </c>
      <c r="K3812" s="35">
        <v>0.26141447142974977</v>
      </c>
      <c r="L3812" s="35">
        <v>3.7945645764903642</v>
      </c>
      <c r="M3812" s="58" t="s">
        <v>24</v>
      </c>
      <c r="N3812" s="7">
        <v>9.5</v>
      </c>
      <c r="O3812" s="7" t="s">
        <v>179</v>
      </c>
      <c r="P3812" s="7" t="s">
        <v>179</v>
      </c>
    </row>
    <row r="3813" spans="1:16" x14ac:dyDescent="0.25">
      <c r="A3813" s="2" t="s">
        <v>181</v>
      </c>
      <c r="B3813" s="2" t="s">
        <v>213</v>
      </c>
      <c r="C3813" s="6" t="s">
        <v>101</v>
      </c>
      <c r="D3813" s="2" t="s">
        <v>122</v>
      </c>
      <c r="E3813" s="2"/>
      <c r="F3813" s="35">
        <v>8.9965005885644906</v>
      </c>
      <c r="G3813" s="35">
        <v>41.891763376513694</v>
      </c>
      <c r="H3813" s="35">
        <v>-32.0451811283613</v>
      </c>
      <c r="I3813" s="35">
        <v>5.2309041075504083E-2</v>
      </c>
      <c r="J3813" s="35">
        <v>5.6745462003021045E-4</v>
      </c>
      <c r="K3813" s="35">
        <v>2.6115312018238988E-2</v>
      </c>
      <c r="L3813" s="35">
        <v>105.44987302644775</v>
      </c>
      <c r="M3813" s="58" t="s">
        <v>23</v>
      </c>
      <c r="N3813" s="7">
        <v>9.5</v>
      </c>
      <c r="O3813" s="7" t="s">
        <v>179</v>
      </c>
      <c r="P3813" s="7" t="s">
        <v>179</v>
      </c>
    </row>
    <row r="3814" spans="1:16" x14ac:dyDescent="0.25">
      <c r="A3814" s="2" t="s">
        <v>181</v>
      </c>
      <c r="B3814" s="2" t="s">
        <v>213</v>
      </c>
      <c r="C3814" s="6" t="s">
        <v>101</v>
      </c>
      <c r="D3814" s="2" t="s">
        <v>123</v>
      </c>
      <c r="E3814" s="2"/>
      <c r="F3814" s="35">
        <v>0</v>
      </c>
      <c r="G3814" s="35">
        <v>-3.8767022730076923</v>
      </c>
      <c r="H3814" s="35">
        <v>10.245200267928016</v>
      </c>
      <c r="I3814" s="35">
        <v>5.3186344721728139E-2</v>
      </c>
      <c r="J3814" s="35">
        <v>5.7919653421823955E-4</v>
      </c>
      <c r="K3814" s="35">
        <v>0.50504685877922173</v>
      </c>
      <c r="L3814" s="35">
        <v>19.170111559668356</v>
      </c>
      <c r="M3814" s="58" t="s">
        <v>22</v>
      </c>
      <c r="N3814" s="7">
        <v>9.5</v>
      </c>
      <c r="O3814" s="7" t="s">
        <v>179</v>
      </c>
      <c r="P3814" s="7" t="s">
        <v>179</v>
      </c>
    </row>
    <row r="3815" spans="1:16" x14ac:dyDescent="0.25">
      <c r="A3815" s="2" t="s">
        <v>181</v>
      </c>
      <c r="B3815" s="2" t="s">
        <v>213</v>
      </c>
      <c r="C3815" s="6" t="s">
        <v>101</v>
      </c>
      <c r="D3815" s="2" t="s">
        <v>123</v>
      </c>
      <c r="E3815" s="2"/>
      <c r="F3815" s="35">
        <v>4.4982502942822453</v>
      </c>
      <c r="G3815" s="35">
        <v>-2.0463696261646032</v>
      </c>
      <c r="H3815" s="35">
        <v>1.9324337240944256</v>
      </c>
      <c r="I3815" s="35">
        <v>5.3186344721727626E-2</v>
      </c>
      <c r="J3815" s="35">
        <v>5.7919653421823955E-4</v>
      </c>
      <c r="K3815" s="35">
        <v>0.26580136798291232</v>
      </c>
      <c r="L3815" s="35">
        <v>-8.2189112844698524</v>
      </c>
      <c r="M3815" s="58" t="s">
        <v>24</v>
      </c>
      <c r="N3815" s="7">
        <v>9.5</v>
      </c>
      <c r="O3815" s="7" t="s">
        <v>179</v>
      </c>
      <c r="P3815" s="7" t="s">
        <v>179</v>
      </c>
    </row>
    <row r="3816" spans="1:16" x14ac:dyDescent="0.25">
      <c r="A3816" s="2" t="s">
        <v>181</v>
      </c>
      <c r="B3816" s="2" t="s">
        <v>213</v>
      </c>
      <c r="C3816" s="6" t="s">
        <v>101</v>
      </c>
      <c r="D3816" s="2" t="s">
        <v>123</v>
      </c>
      <c r="E3816" s="2"/>
      <c r="F3816" s="35">
        <v>8.9965005885644906</v>
      </c>
      <c r="G3816" s="35">
        <v>-0.21603697932151403</v>
      </c>
      <c r="H3816" s="35">
        <v>-6.3803328197391664</v>
      </c>
      <c r="I3816" s="35">
        <v>5.3186344721727119E-2</v>
      </c>
      <c r="J3816" s="35">
        <v>5.7919653421823955E-4</v>
      </c>
      <c r="K3816" s="35">
        <v>2.6555877186605292E-2</v>
      </c>
      <c r="L3816" s="35">
        <v>1.784970423490956</v>
      </c>
      <c r="M3816" s="58" t="s">
        <v>23</v>
      </c>
      <c r="N3816" s="7">
        <v>9.5</v>
      </c>
      <c r="O3816" s="7" t="s">
        <v>179</v>
      </c>
      <c r="P3816" s="7" t="s">
        <v>179</v>
      </c>
    </row>
    <row r="3817" spans="1:16" x14ac:dyDescent="0.25">
      <c r="A3817" s="2" t="s">
        <v>181</v>
      </c>
      <c r="B3817" s="2" t="s">
        <v>213</v>
      </c>
      <c r="C3817" s="6" t="s">
        <v>101</v>
      </c>
      <c r="D3817" s="2" t="s">
        <v>124</v>
      </c>
      <c r="E3817" s="2"/>
      <c r="F3817" s="35">
        <v>0</v>
      </c>
      <c r="G3817" s="35">
        <v>33.215039204197886</v>
      </c>
      <c r="H3817" s="35">
        <v>7.0157244486900163</v>
      </c>
      <c r="I3817" s="35">
        <v>-2.4447422889214985E-3</v>
      </c>
      <c r="J3817" s="35">
        <v>-3.1386578782283352E-5</v>
      </c>
      <c r="K3817" s="35">
        <v>-2.3220378542242633E-2</v>
      </c>
      <c r="L3817" s="35">
        <v>15.934660183086891</v>
      </c>
      <c r="M3817" s="58" t="s">
        <v>22</v>
      </c>
      <c r="N3817" s="7">
        <v>9.5</v>
      </c>
      <c r="O3817" s="7" t="s">
        <v>179</v>
      </c>
      <c r="P3817" s="7" t="s">
        <v>179</v>
      </c>
    </row>
    <row r="3818" spans="1:16" x14ac:dyDescent="0.25">
      <c r="A3818" s="2" t="s">
        <v>181</v>
      </c>
      <c r="B3818" s="2" t="s">
        <v>213</v>
      </c>
      <c r="C3818" s="6" t="s">
        <v>101</v>
      </c>
      <c r="D3818" s="2" t="s">
        <v>124</v>
      </c>
      <c r="E3818" s="2"/>
      <c r="F3818" s="35">
        <v>4.4982502942822453</v>
      </c>
      <c r="G3818" s="35">
        <v>35.045371851040976</v>
      </c>
      <c r="H3818" s="35">
        <v>-7.3426904906589101</v>
      </c>
      <c r="I3818" s="35">
        <v>-2.4447422889223784E-3</v>
      </c>
      <c r="J3818" s="35">
        <v>-3.1386578782283352E-5</v>
      </c>
      <c r="K3818" s="35">
        <v>-1.2223315821655275E-2</v>
      </c>
      <c r="L3818" s="35">
        <v>16.670047730340329</v>
      </c>
      <c r="M3818" s="58" t="s">
        <v>24</v>
      </c>
      <c r="N3818" s="7">
        <v>9.5</v>
      </c>
      <c r="O3818" s="7" t="s">
        <v>179</v>
      </c>
      <c r="P3818" s="7" t="s">
        <v>179</v>
      </c>
    </row>
    <row r="3819" spans="1:16" x14ac:dyDescent="0.25">
      <c r="A3819" s="2" t="s">
        <v>181</v>
      </c>
      <c r="B3819" s="2" t="s">
        <v>213</v>
      </c>
      <c r="C3819" s="6" t="s">
        <v>101</v>
      </c>
      <c r="D3819" s="2" t="s">
        <v>124</v>
      </c>
      <c r="E3819" s="2"/>
      <c r="F3819" s="35">
        <v>8.9965005885644906</v>
      </c>
      <c r="G3819" s="35">
        <v>36.875704497884065</v>
      </c>
      <c r="H3819" s="35">
        <v>-21.701105430007836</v>
      </c>
      <c r="I3819" s="35">
        <v>-2.4447422889232575E-3</v>
      </c>
      <c r="J3819" s="35">
        <v>-3.1386578782283352E-5</v>
      </c>
      <c r="K3819" s="35">
        <v>-1.226253101063962E-3</v>
      </c>
      <c r="L3819" s="35">
        <v>81.993179503946635</v>
      </c>
      <c r="M3819" s="58" t="s">
        <v>23</v>
      </c>
      <c r="N3819" s="7">
        <v>9.5</v>
      </c>
      <c r="O3819" s="7" t="s">
        <v>179</v>
      </c>
      <c r="P3819" s="7" t="s">
        <v>179</v>
      </c>
    </row>
    <row r="3820" spans="1:16" x14ac:dyDescent="0.25">
      <c r="A3820" s="2" t="s">
        <v>181</v>
      </c>
      <c r="B3820" s="2" t="s">
        <v>213</v>
      </c>
      <c r="C3820" s="6" t="s">
        <v>101</v>
      </c>
      <c r="D3820" s="2" t="s">
        <v>125</v>
      </c>
      <c r="E3820" s="2"/>
      <c r="F3820" s="35">
        <v>0</v>
      </c>
      <c r="G3820" s="35">
        <v>-20.279697449243653</v>
      </c>
      <c r="H3820" s="35">
        <v>23.271366509099348</v>
      </c>
      <c r="I3820" s="35">
        <v>-2.0914441065106315E-3</v>
      </c>
      <c r="J3820" s="35">
        <v>-2.3297442520953919E-5</v>
      </c>
      <c r="K3820" s="35">
        <v>-1.9861271430841321E-2</v>
      </c>
      <c r="L3820" s="35">
        <v>112.7447247542659</v>
      </c>
      <c r="M3820" s="58" t="s">
        <v>22</v>
      </c>
      <c r="N3820" s="7">
        <v>9.5</v>
      </c>
      <c r="O3820" s="7" t="s">
        <v>179</v>
      </c>
      <c r="P3820" s="7" t="s">
        <v>179</v>
      </c>
    </row>
    <row r="3821" spans="1:16" x14ac:dyDescent="0.25">
      <c r="A3821" s="2" t="s">
        <v>181</v>
      </c>
      <c r="B3821" s="2" t="s">
        <v>213</v>
      </c>
      <c r="C3821" s="6" t="s">
        <v>101</v>
      </c>
      <c r="D3821" s="2" t="s">
        <v>125</v>
      </c>
      <c r="E3821" s="2"/>
      <c r="F3821" s="35">
        <v>4.4982502942822453</v>
      </c>
      <c r="G3821" s="35">
        <v>-18.449364802400563</v>
      </c>
      <c r="H3821" s="35">
        <v>19.492836261902262</v>
      </c>
      <c r="I3821" s="35">
        <v>-2.0914441065108631E-3</v>
      </c>
      <c r="J3821" s="35">
        <v>-2.3297442520953919E-5</v>
      </c>
      <c r="K3821" s="35">
        <v>-1.0453432363254486E-2</v>
      </c>
      <c r="L3821" s="35">
        <v>16.562680904564107</v>
      </c>
      <c r="M3821" s="58" t="s">
        <v>24</v>
      </c>
      <c r="N3821" s="7">
        <v>9.5</v>
      </c>
      <c r="O3821" s="7" t="s">
        <v>179</v>
      </c>
      <c r="P3821" s="7" t="s">
        <v>179</v>
      </c>
    </row>
    <row r="3822" spans="1:16" x14ac:dyDescent="0.25">
      <c r="A3822" s="2" t="s">
        <v>181</v>
      </c>
      <c r="B3822" s="2" t="s">
        <v>213</v>
      </c>
      <c r="C3822" s="6" t="s">
        <v>101</v>
      </c>
      <c r="D3822" s="2" t="s">
        <v>125</v>
      </c>
      <c r="E3822" s="2"/>
      <c r="F3822" s="35">
        <v>8.9965005885644906</v>
      </c>
      <c r="G3822" s="35">
        <v>-16.619032155557473</v>
      </c>
      <c r="H3822" s="35">
        <v>15.714306014705176</v>
      </c>
      <c r="I3822" s="35">
        <v>-2.0914441065110942E-3</v>
      </c>
      <c r="J3822" s="35">
        <v>-2.3297442520953919E-5</v>
      </c>
      <c r="K3822" s="35">
        <v>-1.0455932956666104E-3</v>
      </c>
      <c r="L3822" s="35">
        <v>-62.622588148729037</v>
      </c>
      <c r="M3822" s="58" t="s">
        <v>23</v>
      </c>
      <c r="N3822" s="7">
        <v>9.5</v>
      </c>
      <c r="O3822" s="7" t="s">
        <v>179</v>
      </c>
      <c r="P3822" s="7" t="s">
        <v>179</v>
      </c>
    </row>
    <row r="3823" spans="1:16" x14ac:dyDescent="0.25">
      <c r="A3823" s="2" t="s">
        <v>181</v>
      </c>
      <c r="B3823" s="2" t="s">
        <v>213</v>
      </c>
      <c r="C3823" s="6" t="s">
        <v>101</v>
      </c>
      <c r="D3823" s="2" t="s">
        <v>126</v>
      </c>
      <c r="E3823" s="2"/>
      <c r="F3823" s="35">
        <v>0</v>
      </c>
      <c r="G3823" s="35">
        <v>50.227247259672154</v>
      </c>
      <c r="H3823" s="35">
        <v>-41.138103678177799</v>
      </c>
      <c r="I3823" s="35">
        <v>-2.7884224238586774E-3</v>
      </c>
      <c r="J3823" s="35">
        <v>-3.4678266524241081E-5</v>
      </c>
      <c r="K3823" s="35">
        <v>-2.6483085112747953E-2</v>
      </c>
      <c r="L3823" s="35">
        <v>-123.61675397236246</v>
      </c>
      <c r="M3823" s="58" t="s">
        <v>22</v>
      </c>
      <c r="N3823" s="7">
        <v>9.5</v>
      </c>
      <c r="O3823" s="7" t="s">
        <v>179</v>
      </c>
      <c r="P3823" s="7" t="s">
        <v>179</v>
      </c>
    </row>
    <row r="3824" spans="1:16" x14ac:dyDescent="0.25">
      <c r="A3824" s="2" t="s">
        <v>181</v>
      </c>
      <c r="B3824" s="2" t="s">
        <v>213</v>
      </c>
      <c r="C3824" s="6" t="s">
        <v>101</v>
      </c>
      <c r="D3824" s="2" t="s">
        <v>126</v>
      </c>
      <c r="E3824" s="2"/>
      <c r="F3824" s="35">
        <v>4.4982502942822453</v>
      </c>
      <c r="G3824" s="35">
        <v>52.057579906515244</v>
      </c>
      <c r="H3824" s="35">
        <v>-27.535394788268302</v>
      </c>
      <c r="I3824" s="35">
        <v>-2.7884224238578443E-3</v>
      </c>
      <c r="J3824" s="35">
        <v>-3.4678266524241081E-5</v>
      </c>
      <c r="K3824" s="35">
        <v>-1.3940063124044321E-2</v>
      </c>
      <c r="L3824" s="35">
        <v>30.838538370678759</v>
      </c>
      <c r="M3824" s="58" t="s">
        <v>24</v>
      </c>
      <c r="N3824" s="7">
        <v>9.5</v>
      </c>
      <c r="O3824" s="7" t="s">
        <v>179</v>
      </c>
      <c r="P3824" s="7" t="s">
        <v>179</v>
      </c>
    </row>
    <row r="3825" spans="1:16" x14ac:dyDescent="0.25">
      <c r="A3825" s="2" t="s">
        <v>181</v>
      </c>
      <c r="B3825" s="2" t="s">
        <v>213</v>
      </c>
      <c r="C3825" s="6" t="s">
        <v>101</v>
      </c>
      <c r="D3825" s="2" t="s">
        <v>126</v>
      </c>
      <c r="E3825" s="2"/>
      <c r="F3825" s="35">
        <v>8.9965005885644906</v>
      </c>
      <c r="G3825" s="35">
        <v>53.887912553358333</v>
      </c>
      <c r="H3825" s="35">
        <v>-13.932685898358789</v>
      </c>
      <c r="I3825" s="35">
        <v>-2.7884224238570116E-3</v>
      </c>
      <c r="J3825" s="35">
        <v>-3.4678266524241081E-5</v>
      </c>
      <c r="K3825" s="35">
        <v>-1.3970411353444339E-3</v>
      </c>
      <c r="L3825" s="35">
        <v>124.10544144664881</v>
      </c>
      <c r="M3825" s="58" t="s">
        <v>23</v>
      </c>
      <c r="N3825" s="7">
        <v>9.5</v>
      </c>
      <c r="O3825" s="7" t="s">
        <v>179</v>
      </c>
      <c r="P3825" s="7" t="s">
        <v>179</v>
      </c>
    </row>
    <row r="3826" spans="1:16" x14ac:dyDescent="0.25">
      <c r="A3826" s="2" t="s">
        <v>181</v>
      </c>
      <c r="B3826" s="2" t="s">
        <v>213</v>
      </c>
      <c r="C3826" s="6" t="s">
        <v>101</v>
      </c>
      <c r="D3826" s="2" t="s">
        <v>127</v>
      </c>
      <c r="E3826" s="2"/>
      <c r="F3826" s="35">
        <v>0</v>
      </c>
      <c r="G3826" s="35">
        <v>-68.091395977038118</v>
      </c>
      <c r="H3826" s="35">
        <v>-15.486478522015878</v>
      </c>
      <c r="I3826" s="35">
        <v>-2.3703829788170928E-3</v>
      </c>
      <c r="J3826" s="35">
        <v>-2.5799955728930399E-5</v>
      </c>
      <c r="K3826" s="35">
        <v>-2.2509055155059958E-2</v>
      </c>
      <c r="L3826" s="35">
        <v>-47.593167355723843</v>
      </c>
      <c r="M3826" s="58" t="s">
        <v>22</v>
      </c>
      <c r="N3826" s="7">
        <v>9.5</v>
      </c>
      <c r="O3826" s="7" t="s">
        <v>179</v>
      </c>
      <c r="P3826" s="7" t="s">
        <v>179</v>
      </c>
    </row>
    <row r="3827" spans="1:16" x14ac:dyDescent="0.25">
      <c r="A3827" s="2" t="s">
        <v>181</v>
      </c>
      <c r="B3827" s="2" t="s">
        <v>213</v>
      </c>
      <c r="C3827" s="6" t="s">
        <v>101</v>
      </c>
      <c r="D3827" s="2" t="s">
        <v>127</v>
      </c>
      <c r="E3827" s="2"/>
      <c r="F3827" s="35">
        <v>4.4982502942822453</v>
      </c>
      <c r="G3827" s="35">
        <v>-66.261063330195029</v>
      </c>
      <c r="H3827" s="35">
        <v>8.6961150600454697</v>
      </c>
      <c r="I3827" s="35">
        <v>-2.3703829788156122E-3</v>
      </c>
      <c r="J3827" s="35">
        <v>-2.5799955728930399E-5</v>
      </c>
      <c r="K3827" s="35">
        <v>-1.1846479223037675E-2</v>
      </c>
      <c r="L3827" s="35">
        <v>-32.320790135177951</v>
      </c>
      <c r="M3827" s="58" t="s">
        <v>24</v>
      </c>
      <c r="N3827" s="7">
        <v>9.5</v>
      </c>
      <c r="O3827" s="7" t="s">
        <v>179</v>
      </c>
      <c r="P3827" s="7" t="s">
        <v>179</v>
      </c>
    </row>
    <row r="3828" spans="1:16" x14ac:dyDescent="0.25">
      <c r="A3828" s="2" t="s">
        <v>181</v>
      </c>
      <c r="B3828" s="2" t="s">
        <v>213</v>
      </c>
      <c r="C3828" s="6" t="s">
        <v>101</v>
      </c>
      <c r="D3828" s="2" t="s">
        <v>127</v>
      </c>
      <c r="E3828" s="2"/>
      <c r="F3828" s="35">
        <v>8.9965005885644906</v>
      </c>
      <c r="G3828" s="35">
        <v>-64.430730683351939</v>
      </c>
      <c r="H3828" s="35">
        <v>32.878708642106815</v>
      </c>
      <c r="I3828" s="35">
        <v>-2.3703829788141312E-3</v>
      </c>
      <c r="J3828" s="35">
        <v>-2.5799955728930399E-5</v>
      </c>
      <c r="K3828" s="35">
        <v>-1.1839032910220546E-3</v>
      </c>
      <c r="L3828" s="35">
        <v>-125.82777161164745</v>
      </c>
      <c r="M3828" s="58" t="s">
        <v>23</v>
      </c>
      <c r="N3828" s="7">
        <v>9.5</v>
      </c>
      <c r="O3828" s="7" t="s">
        <v>179</v>
      </c>
      <c r="P3828" s="7" t="s">
        <v>179</v>
      </c>
    </row>
    <row r="3829" spans="1:16" x14ac:dyDescent="0.25">
      <c r="A3829" s="2" t="s">
        <v>181</v>
      </c>
      <c r="B3829" s="2" t="s">
        <v>214</v>
      </c>
      <c r="C3829" s="6" t="s">
        <v>159</v>
      </c>
      <c r="D3829" s="2" t="s">
        <v>105</v>
      </c>
      <c r="E3829" s="2"/>
      <c r="F3829" s="35">
        <v>0</v>
      </c>
      <c r="G3829" s="35">
        <v>-48.740379351891754</v>
      </c>
      <c r="H3829" s="35">
        <v>-18.975592611110542</v>
      </c>
      <c r="I3829" s="35">
        <v>4.8635730797985541E-2</v>
      </c>
      <c r="J3829" s="35">
        <v>-3.1689723138909316E-5</v>
      </c>
      <c r="K3829" s="35">
        <v>6.6065735557739175E-2</v>
      </c>
      <c r="L3829" s="35">
        <v>-60.763947287302791</v>
      </c>
      <c r="M3829" s="58" t="s">
        <v>22</v>
      </c>
      <c r="N3829" s="7">
        <v>9.5</v>
      </c>
      <c r="O3829" s="7" t="s">
        <v>179</v>
      </c>
      <c r="P3829" s="7" t="s">
        <v>179</v>
      </c>
    </row>
    <row r="3830" spans="1:16" x14ac:dyDescent="0.25">
      <c r="A3830" s="2" t="s">
        <v>181</v>
      </c>
      <c r="B3830" s="2" t="s">
        <v>214</v>
      </c>
      <c r="C3830" s="6" t="s">
        <v>159</v>
      </c>
      <c r="D3830" s="2" t="s">
        <v>105</v>
      </c>
      <c r="E3830" s="2"/>
      <c r="F3830" s="35">
        <v>2</v>
      </c>
      <c r="G3830" s="35">
        <v>-47.926581751891753</v>
      </c>
      <c r="H3830" s="35">
        <v>-18.975592611110542</v>
      </c>
      <c r="I3830" s="35">
        <v>4.8635730797985541E-2</v>
      </c>
      <c r="J3830" s="35">
        <v>-3.1689723138909316E-5</v>
      </c>
      <c r="K3830" s="35">
        <v>-3.120572603823191E-2</v>
      </c>
      <c r="L3830" s="35">
        <v>-22.81276206508171</v>
      </c>
      <c r="M3830" s="58" t="s">
        <v>22</v>
      </c>
      <c r="N3830" s="7">
        <v>9.5</v>
      </c>
      <c r="O3830" s="7" t="s">
        <v>179</v>
      </c>
      <c r="P3830" s="7" t="s">
        <v>179</v>
      </c>
    </row>
    <row r="3831" spans="1:16" x14ac:dyDescent="0.25">
      <c r="A3831" s="2" t="s">
        <v>181</v>
      </c>
      <c r="B3831" s="2" t="s">
        <v>214</v>
      </c>
      <c r="C3831" s="6" t="s">
        <v>159</v>
      </c>
      <c r="D3831" s="2" t="s">
        <v>105</v>
      </c>
      <c r="E3831" s="2"/>
      <c r="F3831" s="35">
        <v>2</v>
      </c>
      <c r="G3831" s="35">
        <v>-47.858113546280158</v>
      </c>
      <c r="H3831" s="35">
        <v>-18.975581509126453</v>
      </c>
      <c r="I3831" s="35">
        <v>-3.3862469945397742E-3</v>
      </c>
      <c r="J3831" s="35">
        <v>2.7732784643924952E-5</v>
      </c>
      <c r="K3831" s="35">
        <v>-3.1205726038231917E-2</v>
      </c>
      <c r="L3831" s="35">
        <v>-22.812825449090006</v>
      </c>
      <c r="M3831" s="58" t="s">
        <v>22</v>
      </c>
      <c r="N3831" s="7">
        <v>9.5</v>
      </c>
      <c r="O3831" s="7" t="s">
        <v>179</v>
      </c>
      <c r="P3831" s="7" t="s">
        <v>179</v>
      </c>
    </row>
    <row r="3832" spans="1:16" x14ac:dyDescent="0.25">
      <c r="A3832" s="2" t="s">
        <v>181</v>
      </c>
      <c r="B3832" s="2" t="s">
        <v>214</v>
      </c>
      <c r="C3832" s="6" t="s">
        <v>159</v>
      </c>
      <c r="D3832" s="2" t="s">
        <v>105</v>
      </c>
      <c r="E3832" s="2"/>
      <c r="F3832" s="35">
        <v>4.4982502942822435</v>
      </c>
      <c r="G3832" s="35">
        <v>-46.84157849943707</v>
      </c>
      <c r="H3832" s="35">
        <v>-18.975581509126453</v>
      </c>
      <c r="I3832" s="35">
        <v>-3.3862469945397742E-3</v>
      </c>
      <c r="J3832" s="35">
        <v>2.7732784643924952E-5</v>
      </c>
      <c r="K3832" s="35">
        <v>-2.2746033487610562E-2</v>
      </c>
      <c r="L3832" s="35">
        <v>24.592926640261851</v>
      </c>
      <c r="M3832" s="58" t="s">
        <v>24</v>
      </c>
      <c r="N3832" s="7">
        <v>9.5</v>
      </c>
      <c r="O3832" s="7" t="s">
        <v>179</v>
      </c>
      <c r="P3832" s="7" t="s">
        <v>179</v>
      </c>
    </row>
    <row r="3833" spans="1:16" x14ac:dyDescent="0.25">
      <c r="A3833" s="2" t="s">
        <v>181</v>
      </c>
      <c r="B3833" s="2" t="s">
        <v>214</v>
      </c>
      <c r="C3833" s="6" t="s">
        <v>159</v>
      </c>
      <c r="D3833" s="2" t="s">
        <v>105</v>
      </c>
      <c r="E3833" s="2"/>
      <c r="F3833" s="35">
        <v>8.9965005885644871</v>
      </c>
      <c r="G3833" s="35">
        <v>-45.01124585259398</v>
      </c>
      <c r="H3833" s="35">
        <v>-18.975581509126453</v>
      </c>
      <c r="I3833" s="35">
        <v>-3.3862469945397742E-3</v>
      </c>
      <c r="J3833" s="35">
        <v>2.7732784643924952E-5</v>
      </c>
      <c r="K3833" s="35">
        <v>-7.5138469479096555E-3</v>
      </c>
      <c r="L3833" s="35">
        <v>109.94984174786663</v>
      </c>
      <c r="M3833" s="58" t="s">
        <v>23</v>
      </c>
      <c r="N3833" s="7">
        <v>9.5</v>
      </c>
      <c r="O3833" s="7" t="s">
        <v>179</v>
      </c>
      <c r="P3833" s="7" t="s">
        <v>179</v>
      </c>
    </row>
    <row r="3834" spans="1:16" x14ac:dyDescent="0.25">
      <c r="A3834" s="2" t="s">
        <v>181</v>
      </c>
      <c r="B3834" s="2" t="s">
        <v>214</v>
      </c>
      <c r="C3834" s="6" t="s">
        <v>159</v>
      </c>
      <c r="D3834" s="2" t="s">
        <v>15</v>
      </c>
      <c r="E3834" s="2"/>
      <c r="F3834" s="35">
        <v>0</v>
      </c>
      <c r="G3834" s="35">
        <v>70.635170250334468</v>
      </c>
      <c r="H3834" s="35">
        <v>4.8247897272920923</v>
      </c>
      <c r="I3834" s="35">
        <v>-4.2642921519019561</v>
      </c>
      <c r="J3834" s="35">
        <v>-1.3956218270222667E-4</v>
      </c>
      <c r="K3834" s="35">
        <v>-6.7931458421735256</v>
      </c>
      <c r="L3834" s="35">
        <v>46.8571763629459</v>
      </c>
      <c r="M3834" s="58" t="s">
        <v>22</v>
      </c>
      <c r="N3834" s="7">
        <v>9.5</v>
      </c>
      <c r="O3834" s="7" t="s">
        <v>179</v>
      </c>
      <c r="P3834" s="7" t="s">
        <v>179</v>
      </c>
    </row>
    <row r="3835" spans="1:16" x14ac:dyDescent="0.25">
      <c r="A3835" s="2" t="s">
        <v>181</v>
      </c>
      <c r="B3835" s="2" t="s">
        <v>214</v>
      </c>
      <c r="C3835" s="6" t="s">
        <v>159</v>
      </c>
      <c r="D3835" s="2" t="s">
        <v>15</v>
      </c>
      <c r="E3835" s="2"/>
      <c r="F3835" s="35">
        <v>2</v>
      </c>
      <c r="G3835" s="35">
        <v>71.448967850334469</v>
      </c>
      <c r="H3835" s="35">
        <v>13.224789727292094</v>
      </c>
      <c r="I3835" s="35">
        <v>-4.2642921519019561</v>
      </c>
      <c r="J3835" s="35">
        <v>-1.3956218270222667E-4</v>
      </c>
      <c r="K3835" s="35">
        <v>1.735438461630388</v>
      </c>
      <c r="L3835" s="35">
        <v>28.807596908361713</v>
      </c>
      <c r="M3835" s="58" t="s">
        <v>22</v>
      </c>
      <c r="N3835" s="7">
        <v>9.5</v>
      </c>
      <c r="O3835" s="7" t="s">
        <v>179</v>
      </c>
      <c r="P3835" s="7" t="s">
        <v>179</v>
      </c>
    </row>
    <row r="3836" spans="1:16" x14ac:dyDescent="0.25">
      <c r="A3836" s="2" t="s">
        <v>181</v>
      </c>
      <c r="B3836" s="2" t="s">
        <v>214</v>
      </c>
      <c r="C3836" s="6" t="s">
        <v>159</v>
      </c>
      <c r="D3836" s="2" t="s">
        <v>15</v>
      </c>
      <c r="E3836" s="2"/>
      <c r="F3836" s="35">
        <v>2</v>
      </c>
      <c r="G3836" s="35">
        <v>67.253263651221744</v>
      </c>
      <c r="H3836" s="35">
        <v>13.22477011329241</v>
      </c>
      <c r="I3836" s="35">
        <v>0.23213251364380702</v>
      </c>
      <c r="J3836" s="35">
        <v>-2.0328497245235348E-4</v>
      </c>
      <c r="K3836" s="35">
        <v>1.7354384616303868</v>
      </c>
      <c r="L3836" s="35">
        <v>28.80766487933743</v>
      </c>
      <c r="M3836" s="58" t="s">
        <v>22</v>
      </c>
      <c r="N3836" s="7">
        <v>9.5</v>
      </c>
      <c r="O3836" s="7" t="s">
        <v>179</v>
      </c>
      <c r="P3836" s="7" t="s">
        <v>179</v>
      </c>
    </row>
    <row r="3837" spans="1:16" x14ac:dyDescent="0.25">
      <c r="A3837" s="2" t="s">
        <v>181</v>
      </c>
      <c r="B3837" s="2" t="s">
        <v>214</v>
      </c>
      <c r="C3837" s="6" t="s">
        <v>159</v>
      </c>
      <c r="D3837" s="2" t="s">
        <v>15</v>
      </c>
      <c r="E3837" s="2"/>
      <c r="F3837" s="35">
        <v>4.4982502942822435</v>
      </c>
      <c r="G3837" s="35">
        <v>68.269798698064847</v>
      </c>
      <c r="H3837" s="35">
        <v>23.717421349277835</v>
      </c>
      <c r="I3837" s="35">
        <v>0.23213251364380769</v>
      </c>
      <c r="J3837" s="35">
        <v>-2.0328497245235348E-4</v>
      </c>
      <c r="K3837" s="35">
        <v>1.1555133411072682</v>
      </c>
      <c r="L3837" s="35">
        <v>-17.337755467061122</v>
      </c>
      <c r="M3837" s="58" t="s">
        <v>24</v>
      </c>
      <c r="N3837" s="7">
        <v>9.5</v>
      </c>
      <c r="O3837" s="7" t="s">
        <v>179</v>
      </c>
      <c r="P3837" s="7" t="s">
        <v>179</v>
      </c>
    </row>
    <row r="3838" spans="1:16" x14ac:dyDescent="0.25">
      <c r="A3838" s="2" t="s">
        <v>181</v>
      </c>
      <c r="B3838" s="2" t="s">
        <v>214</v>
      </c>
      <c r="C3838" s="6" t="s">
        <v>159</v>
      </c>
      <c r="D3838" s="2" t="s">
        <v>15</v>
      </c>
      <c r="E3838" s="2"/>
      <c r="F3838" s="35">
        <v>8.9965005885644871</v>
      </c>
      <c r="G3838" s="35">
        <v>70.100131344907936</v>
      </c>
      <c r="H3838" s="35">
        <v>42.610072585263268</v>
      </c>
      <c r="I3838" s="35">
        <v>0.23213251364380885</v>
      </c>
      <c r="J3838" s="35">
        <v>-2.0328497245235348E-4</v>
      </c>
      <c r="K3838" s="35">
        <v>0.11132319329653054</v>
      </c>
      <c r="L3838" s="35">
        <v>-166.51659002208777</v>
      </c>
      <c r="M3838" s="58" t="s">
        <v>23</v>
      </c>
      <c r="N3838" s="7">
        <v>9.5</v>
      </c>
      <c r="O3838" s="7" t="s">
        <v>179</v>
      </c>
      <c r="P3838" s="7" t="s">
        <v>179</v>
      </c>
    </row>
    <row r="3839" spans="1:16" x14ac:dyDescent="0.25">
      <c r="A3839" s="2" t="s">
        <v>181</v>
      </c>
      <c r="B3839" s="2" t="s">
        <v>214</v>
      </c>
      <c r="C3839" s="6" t="s">
        <v>159</v>
      </c>
      <c r="D3839" s="2" t="s">
        <v>16</v>
      </c>
      <c r="E3839" s="2"/>
      <c r="F3839" s="35">
        <v>0</v>
      </c>
      <c r="G3839" s="35">
        <v>27.917002170017835</v>
      </c>
      <c r="H3839" s="35">
        <v>0.32014362695624998</v>
      </c>
      <c r="I3839" s="35">
        <v>-3.7291302018085863</v>
      </c>
      <c r="J3839" s="35">
        <v>-1.2732570906784734E-4</v>
      </c>
      <c r="K3839" s="35">
        <v>-5.9655222053133059</v>
      </c>
      <c r="L3839" s="35">
        <v>14.759012027471776</v>
      </c>
      <c r="M3839" s="58" t="s">
        <v>22</v>
      </c>
      <c r="N3839" s="7">
        <v>9.5</v>
      </c>
      <c r="O3839" s="7" t="s">
        <v>179</v>
      </c>
      <c r="P3839" s="7" t="s">
        <v>179</v>
      </c>
    </row>
    <row r="3840" spans="1:16" x14ac:dyDescent="0.25">
      <c r="A3840" s="2" t="s">
        <v>181</v>
      </c>
      <c r="B3840" s="2" t="s">
        <v>214</v>
      </c>
      <c r="C3840" s="6" t="s">
        <v>159</v>
      </c>
      <c r="D3840" s="2" t="s">
        <v>16</v>
      </c>
      <c r="E3840" s="2"/>
      <c r="F3840" s="35">
        <v>2</v>
      </c>
      <c r="G3840" s="35">
        <v>28.730799770017835</v>
      </c>
      <c r="H3840" s="35">
        <v>4.0161436269562492</v>
      </c>
      <c r="I3840" s="35">
        <v>-3.7291302018085863</v>
      </c>
      <c r="J3840" s="35">
        <v>-1.2732570906784734E-4</v>
      </c>
      <c r="K3840" s="35">
        <v>1.492738198303867</v>
      </c>
      <c r="L3840" s="35">
        <v>10.422724773559281</v>
      </c>
      <c r="M3840" s="58" t="s">
        <v>22</v>
      </c>
      <c r="N3840" s="7">
        <v>9.5</v>
      </c>
      <c r="O3840" s="7" t="s">
        <v>179</v>
      </c>
      <c r="P3840" s="7" t="s">
        <v>179</v>
      </c>
    </row>
    <row r="3841" spans="1:16" x14ac:dyDescent="0.25">
      <c r="A3841" s="2" t="s">
        <v>181</v>
      </c>
      <c r="B3841" s="2" t="s">
        <v>214</v>
      </c>
      <c r="C3841" s="6" t="s">
        <v>159</v>
      </c>
      <c r="D3841" s="2" t="s">
        <v>16</v>
      </c>
      <c r="E3841" s="2"/>
      <c r="F3841" s="35">
        <v>2</v>
      </c>
      <c r="G3841" s="35">
        <v>25.067139379384937</v>
      </c>
      <c r="H3841" s="35">
        <v>4.016134776814317</v>
      </c>
      <c r="I3841" s="35">
        <v>0.19978323945496013</v>
      </c>
      <c r="J3841" s="35">
        <v>-1.5016519957040109E-4</v>
      </c>
      <c r="K3841" s="35">
        <v>1.4927381983038659</v>
      </c>
      <c r="L3841" s="35">
        <v>10.422749135682508</v>
      </c>
      <c r="M3841" s="58" t="s">
        <v>22</v>
      </c>
      <c r="N3841" s="7">
        <v>9.5</v>
      </c>
      <c r="O3841" s="7" t="s">
        <v>179</v>
      </c>
      <c r="P3841" s="7" t="s">
        <v>179</v>
      </c>
    </row>
    <row r="3842" spans="1:16" x14ac:dyDescent="0.25">
      <c r="A3842" s="2" t="s">
        <v>181</v>
      </c>
      <c r="B3842" s="2" t="s">
        <v>214</v>
      </c>
      <c r="C3842" s="6" t="s">
        <v>159</v>
      </c>
      <c r="D3842" s="2" t="s">
        <v>16</v>
      </c>
      <c r="E3842" s="2"/>
      <c r="F3842" s="35">
        <v>4.4982502942822435</v>
      </c>
      <c r="G3842" s="35">
        <v>26.083674426228033</v>
      </c>
      <c r="H3842" s="35">
        <v>8.6329013206479051</v>
      </c>
      <c r="I3842" s="35">
        <v>0.1997832394549604</v>
      </c>
      <c r="J3842" s="35">
        <v>-1.5016519957040109E-4</v>
      </c>
      <c r="K3842" s="35">
        <v>0.99362966154285148</v>
      </c>
      <c r="L3842" s="35">
        <v>-5.3774799407533509</v>
      </c>
      <c r="M3842" s="58" t="s">
        <v>24</v>
      </c>
      <c r="N3842" s="7">
        <v>9.5</v>
      </c>
      <c r="O3842" s="7" t="s">
        <v>179</v>
      </c>
      <c r="P3842" s="7" t="s">
        <v>179</v>
      </c>
    </row>
    <row r="3843" spans="1:16" x14ac:dyDescent="0.25">
      <c r="A3843" s="2" t="s">
        <v>181</v>
      </c>
      <c r="B3843" s="2" t="s">
        <v>214</v>
      </c>
      <c r="C3843" s="6" t="s">
        <v>159</v>
      </c>
      <c r="D3843" s="2" t="s">
        <v>16</v>
      </c>
      <c r="E3843" s="2"/>
      <c r="F3843" s="35">
        <v>8.9965005885644871</v>
      </c>
      <c r="G3843" s="35">
        <v>27.914007073071122</v>
      </c>
      <c r="H3843" s="35">
        <v>16.945667864481493</v>
      </c>
      <c r="I3843" s="35">
        <v>0.19978323945496088</v>
      </c>
      <c r="J3843" s="35">
        <v>-1.5016519957040109E-4</v>
      </c>
      <c r="K3843" s="35">
        <v>9.4954645871914573E-2</v>
      </c>
      <c r="L3843" s="35">
        <v>-62.906883122916881</v>
      </c>
      <c r="M3843" s="58" t="s">
        <v>23</v>
      </c>
      <c r="N3843" s="7">
        <v>9.5</v>
      </c>
      <c r="O3843" s="7" t="s">
        <v>179</v>
      </c>
      <c r="P3843" s="7" t="s">
        <v>179</v>
      </c>
    </row>
    <row r="3844" spans="1:16" x14ac:dyDescent="0.25">
      <c r="A3844" t="s">
        <v>181</v>
      </c>
      <c r="B3844" t="s">
        <v>214</v>
      </c>
      <c r="C3844" s="7" t="s">
        <v>159</v>
      </c>
      <c r="D3844" t="s">
        <v>106</v>
      </c>
      <c r="F3844" s="35">
        <v>0</v>
      </c>
      <c r="G3844" s="35">
        <v>54.277428095775569</v>
      </c>
      <c r="H3844" s="35">
        <v>4.8220332922426348</v>
      </c>
      <c r="I3844" s="35">
        <v>4.1459248292572957</v>
      </c>
      <c r="J3844" s="35">
        <v>2.1356279566870536E-4</v>
      </c>
      <c r="K3844" s="35">
        <v>6.6347896274291767</v>
      </c>
      <c r="L3844" s="35">
        <v>46.269005649932673</v>
      </c>
      <c r="M3844" s="58" t="s">
        <v>22</v>
      </c>
      <c r="N3844" s="7">
        <v>9.5</v>
      </c>
      <c r="O3844" s="7" t="s">
        <v>179</v>
      </c>
      <c r="P3844" s="7" t="s">
        <v>179</v>
      </c>
    </row>
    <row r="3845" spans="1:16" x14ac:dyDescent="0.25">
      <c r="A3845" t="s">
        <v>181</v>
      </c>
      <c r="B3845" t="s">
        <v>214</v>
      </c>
      <c r="C3845" s="7" t="s">
        <v>159</v>
      </c>
      <c r="D3845" t="s">
        <v>106</v>
      </c>
      <c r="F3845" s="35">
        <v>2</v>
      </c>
      <c r="G3845" s="35">
        <v>55.091225695775563</v>
      </c>
      <c r="H3845" s="35">
        <v>13.222033292242637</v>
      </c>
      <c r="I3845" s="35">
        <v>4.1459248292572957</v>
      </c>
      <c r="J3845" s="35">
        <v>2.1356279566870536E-4</v>
      </c>
      <c r="K3845" s="35">
        <v>-1.6570600310854136</v>
      </c>
      <c r="L3845" s="35">
        <v>28.224939065447408</v>
      </c>
      <c r="M3845" s="58" t="s">
        <v>22</v>
      </c>
      <c r="N3845" s="7">
        <v>9.5</v>
      </c>
      <c r="O3845" s="7" t="s">
        <v>179</v>
      </c>
      <c r="P3845" s="7" t="s">
        <v>179</v>
      </c>
    </row>
    <row r="3846" spans="1:16" x14ac:dyDescent="0.25">
      <c r="A3846" t="s">
        <v>181</v>
      </c>
      <c r="B3846" t="s">
        <v>214</v>
      </c>
      <c r="C3846" s="7" t="s">
        <v>159</v>
      </c>
      <c r="D3846" t="s">
        <v>106</v>
      </c>
      <c r="F3846" s="35">
        <v>2</v>
      </c>
      <c r="G3846" s="35">
        <v>59.204170754877786</v>
      </c>
      <c r="H3846" s="35">
        <v>13.222018962752475</v>
      </c>
      <c r="I3846" s="35">
        <v>-0.22020895354478681</v>
      </c>
      <c r="J3846" s="35">
        <v>1.5032194814037532E-4</v>
      </c>
      <c r="K3846" s="35">
        <v>-1.6570600310854184</v>
      </c>
      <c r="L3846" s="35">
        <v>28.225006522351379</v>
      </c>
      <c r="M3846" s="58" t="s">
        <v>22</v>
      </c>
      <c r="N3846" s="7">
        <v>9.5</v>
      </c>
      <c r="O3846" s="7" t="s">
        <v>179</v>
      </c>
      <c r="P3846" s="7" t="s">
        <v>179</v>
      </c>
    </row>
    <row r="3847" spans="1:16" x14ac:dyDescent="0.25">
      <c r="A3847" t="s">
        <v>181</v>
      </c>
      <c r="B3847" t="s">
        <v>214</v>
      </c>
      <c r="C3847" s="7" t="s">
        <v>159</v>
      </c>
      <c r="D3847" t="s">
        <v>106</v>
      </c>
      <c r="F3847" s="35">
        <v>4.4982502942822435</v>
      </c>
      <c r="G3847" s="35">
        <v>60.220705801720882</v>
      </c>
      <c r="H3847" s="35">
        <v>23.714670198737906</v>
      </c>
      <c r="I3847" s="35">
        <v>-0.22020895354478615</v>
      </c>
      <c r="J3847" s="35">
        <v>1.5032194814037532E-4</v>
      </c>
      <c r="K3847" s="35">
        <v>-1.1069229480885707</v>
      </c>
      <c r="L3847" s="35">
        <v>-17.913540761401173</v>
      </c>
      <c r="M3847" s="58" t="s">
        <v>24</v>
      </c>
      <c r="N3847" s="7">
        <v>9.5</v>
      </c>
      <c r="O3847" s="7" t="s">
        <v>179</v>
      </c>
      <c r="P3847" s="7" t="s">
        <v>179</v>
      </c>
    </row>
    <row r="3848" spans="1:16" x14ac:dyDescent="0.25">
      <c r="A3848" t="s">
        <v>181</v>
      </c>
      <c r="B3848" t="s">
        <v>214</v>
      </c>
      <c r="C3848" s="7" t="s">
        <v>159</v>
      </c>
      <c r="D3848" t="s">
        <v>106</v>
      </c>
      <c r="F3848" s="35">
        <v>8.9965005885644871</v>
      </c>
      <c r="G3848" s="35">
        <v>62.051038448563972</v>
      </c>
      <c r="H3848" s="35">
        <v>42.607321434723339</v>
      </c>
      <c r="I3848" s="35">
        <v>-0.22020895354478498</v>
      </c>
      <c r="J3848" s="35">
        <v>1.5032194814037532E-4</v>
      </c>
      <c r="K3848" s="35">
        <v>-0.11636795800215381</v>
      </c>
      <c r="L3848" s="35">
        <v>-167.07999995270194</v>
      </c>
      <c r="M3848" s="58" t="s">
        <v>23</v>
      </c>
      <c r="N3848" s="7">
        <v>9.5</v>
      </c>
      <c r="O3848" s="7" t="s">
        <v>179</v>
      </c>
      <c r="P3848" s="7" t="s">
        <v>179</v>
      </c>
    </row>
    <row r="3849" spans="1:16" x14ac:dyDescent="0.25">
      <c r="A3849" t="s">
        <v>181</v>
      </c>
      <c r="B3849" t="s">
        <v>214</v>
      </c>
      <c r="C3849" s="7" t="s">
        <v>159</v>
      </c>
      <c r="D3849" t="s">
        <v>107</v>
      </c>
      <c r="F3849" s="35">
        <v>0</v>
      </c>
      <c r="G3849" s="35">
        <v>11.552402928414487</v>
      </c>
      <c r="H3849" s="35">
        <v>0.31744773214415722</v>
      </c>
      <c r="I3849" s="35">
        <v>4.6845169192242313</v>
      </c>
      <c r="J3849" s="35">
        <v>2.2526266688353984E-4</v>
      </c>
      <c r="K3849" s="35">
        <v>7.4678885144684886</v>
      </c>
      <c r="L3849" s="35">
        <v>14.172009024229427</v>
      </c>
      <c r="M3849" s="58" t="s">
        <v>22</v>
      </c>
      <c r="N3849" s="7">
        <v>9.5</v>
      </c>
      <c r="O3849" s="7" t="s">
        <v>179</v>
      </c>
      <c r="P3849" s="7" t="s">
        <v>179</v>
      </c>
    </row>
    <row r="3850" spans="1:16" x14ac:dyDescent="0.25">
      <c r="A3850" t="s">
        <v>181</v>
      </c>
      <c r="B3850" t="s">
        <v>214</v>
      </c>
      <c r="C3850" s="7" t="s">
        <v>159</v>
      </c>
      <c r="D3850" t="s">
        <v>107</v>
      </c>
      <c r="F3850" s="35">
        <v>2</v>
      </c>
      <c r="G3850" s="35">
        <v>12.366200528414488</v>
      </c>
      <c r="H3850" s="35">
        <v>4.0134477321441571</v>
      </c>
      <c r="I3850" s="35">
        <v>4.6845169192242313</v>
      </c>
      <c r="J3850" s="35">
        <v>2.2526266688353984E-4</v>
      </c>
      <c r="K3850" s="35">
        <v>-1.9011453239799732</v>
      </c>
      <c r="L3850" s="35">
        <v>9.8411135599411139</v>
      </c>
      <c r="M3850" s="58" t="s">
        <v>22</v>
      </c>
      <c r="N3850" s="7">
        <v>9.5</v>
      </c>
      <c r="O3850" s="7" t="s">
        <v>179</v>
      </c>
      <c r="P3850" s="7" t="s">
        <v>179</v>
      </c>
    </row>
    <row r="3851" spans="1:16" x14ac:dyDescent="0.25">
      <c r="A3851" t="s">
        <v>181</v>
      </c>
      <c r="B3851" t="s">
        <v>214</v>
      </c>
      <c r="C3851" s="7" t="s">
        <v>159</v>
      </c>
      <c r="D3851" t="s">
        <v>107</v>
      </c>
      <c r="F3851" s="35">
        <v>2</v>
      </c>
      <c r="G3851" s="35">
        <v>17.014578304734943</v>
      </c>
      <c r="H3851" s="35">
        <v>4.0134441646256969</v>
      </c>
      <c r="I3851" s="35">
        <v>-0.25274292336024196</v>
      </c>
      <c r="J3851" s="35">
        <v>2.0290511738308906E-4</v>
      </c>
      <c r="K3851" s="35">
        <v>-1.9011453239799709</v>
      </c>
      <c r="L3851" s="35">
        <v>9.8411374079938749</v>
      </c>
      <c r="M3851" s="58" t="s">
        <v>22</v>
      </c>
      <c r="N3851" s="7">
        <v>9.5</v>
      </c>
      <c r="O3851" s="7" t="s">
        <v>179</v>
      </c>
      <c r="P3851" s="7" t="s">
        <v>179</v>
      </c>
    </row>
    <row r="3852" spans="1:16" x14ac:dyDescent="0.25">
      <c r="A3852" t="s">
        <v>181</v>
      </c>
      <c r="B3852" t="s">
        <v>214</v>
      </c>
      <c r="C3852" s="7" t="s">
        <v>159</v>
      </c>
      <c r="D3852" t="s">
        <v>107</v>
      </c>
      <c r="F3852" s="35">
        <v>4.4982502942822435</v>
      </c>
      <c r="G3852" s="35">
        <v>18.031113351578039</v>
      </c>
      <c r="H3852" s="35">
        <v>8.6302107084592841</v>
      </c>
      <c r="I3852" s="35">
        <v>-0.25274292336024168</v>
      </c>
      <c r="J3852" s="35">
        <v>2.0290511738308906E-4</v>
      </c>
      <c r="K3852" s="35">
        <v>-1.269730241317492</v>
      </c>
      <c r="L3852" s="35">
        <v>-5.9523698457499634</v>
      </c>
      <c r="M3852" s="58" t="s">
        <v>24</v>
      </c>
      <c r="N3852" s="7">
        <v>9.5</v>
      </c>
      <c r="O3852" s="7" t="s">
        <v>179</v>
      </c>
      <c r="P3852" s="7" t="s">
        <v>179</v>
      </c>
    </row>
    <row r="3853" spans="1:16" x14ac:dyDescent="0.25">
      <c r="A3853" t="s">
        <v>181</v>
      </c>
      <c r="B3853" t="s">
        <v>214</v>
      </c>
      <c r="C3853" s="7" t="s">
        <v>159</v>
      </c>
      <c r="D3853" t="s">
        <v>107</v>
      </c>
      <c r="F3853" s="35">
        <v>8.9965005885644871</v>
      </c>
      <c r="G3853" s="35">
        <v>19.861445998421129</v>
      </c>
      <c r="H3853" s="35">
        <v>16.942977252292874</v>
      </c>
      <c r="I3853" s="35">
        <v>-0.25274292336024118</v>
      </c>
      <c r="J3853" s="35">
        <v>2.0290511738308906E-4</v>
      </c>
      <c r="K3853" s="35">
        <v>-0.13282931193453149</v>
      </c>
      <c r="L3853" s="35">
        <v>-63.469669980844238</v>
      </c>
      <c r="M3853" s="58" t="s">
        <v>23</v>
      </c>
      <c r="N3853" s="7">
        <v>9.5</v>
      </c>
      <c r="O3853" s="7" t="s">
        <v>179</v>
      </c>
      <c r="P3853" s="7" t="s">
        <v>179</v>
      </c>
    </row>
    <row r="3854" spans="1:16" x14ac:dyDescent="0.25">
      <c r="A3854" t="s">
        <v>181</v>
      </c>
      <c r="B3854" t="s">
        <v>214</v>
      </c>
      <c r="C3854" s="7" t="s">
        <v>159</v>
      </c>
      <c r="D3854" t="s">
        <v>108</v>
      </c>
      <c r="F3854" s="35">
        <v>0</v>
      </c>
      <c r="G3854" s="35">
        <v>76.57395178006422</v>
      </c>
      <c r="H3854" s="35">
        <v>51.695472502435166</v>
      </c>
      <c r="I3854" s="35">
        <v>-1.4420551583297392</v>
      </c>
      <c r="J3854" s="35">
        <v>-2.4886256600115906E-5</v>
      </c>
      <c r="K3854" s="35">
        <v>-2.2362834773421287</v>
      </c>
      <c r="L3854" s="35">
        <v>157.34170765097235</v>
      </c>
      <c r="M3854" s="58" t="s">
        <v>22</v>
      </c>
      <c r="N3854" s="7">
        <v>9.5</v>
      </c>
      <c r="O3854" s="7" t="s">
        <v>179</v>
      </c>
      <c r="P3854" s="7" t="s">
        <v>179</v>
      </c>
    </row>
    <row r="3855" spans="1:16" x14ac:dyDescent="0.25">
      <c r="A3855" t="s">
        <v>181</v>
      </c>
      <c r="B3855" t="s">
        <v>214</v>
      </c>
      <c r="C3855" s="7" t="s">
        <v>159</v>
      </c>
      <c r="D3855" t="s">
        <v>108</v>
      </c>
      <c r="F3855" s="35">
        <v>2</v>
      </c>
      <c r="G3855" s="35">
        <v>77.387749380064207</v>
      </c>
      <c r="H3855" s="35">
        <v>45.647472502435171</v>
      </c>
      <c r="I3855" s="35">
        <v>-1.4420551583297396</v>
      </c>
      <c r="J3855" s="35">
        <v>-2.4886256600115906E-5</v>
      </c>
      <c r="K3855" s="35">
        <v>0.64782683931734997</v>
      </c>
      <c r="L3855" s="35">
        <v>59.998762646102008</v>
      </c>
      <c r="M3855" s="58" t="s">
        <v>22</v>
      </c>
      <c r="N3855" s="7">
        <v>9.5</v>
      </c>
      <c r="O3855" s="7" t="s">
        <v>179</v>
      </c>
      <c r="P3855" s="7" t="s">
        <v>179</v>
      </c>
    </row>
    <row r="3856" spans="1:16" x14ac:dyDescent="0.25">
      <c r="A3856" t="s">
        <v>181</v>
      </c>
      <c r="B3856" t="s">
        <v>214</v>
      </c>
      <c r="C3856" s="7" t="s">
        <v>159</v>
      </c>
      <c r="D3856" t="s">
        <v>108</v>
      </c>
      <c r="F3856" s="35">
        <v>2</v>
      </c>
      <c r="G3856" s="35">
        <v>75.973837850541415</v>
      </c>
      <c r="H3856" s="35">
        <v>45.647451887723172</v>
      </c>
      <c r="I3856" s="35">
        <v>8.7121631662226695E-2</v>
      </c>
      <c r="J3856" s="35">
        <v>-1.2339916781741687E-4</v>
      </c>
      <c r="K3856" s="35">
        <v>0.6478268393173493</v>
      </c>
      <c r="L3856" s="35">
        <v>59.998867726540674</v>
      </c>
      <c r="M3856" s="58" t="s">
        <v>22</v>
      </c>
      <c r="N3856" s="7">
        <v>9.5</v>
      </c>
      <c r="O3856" s="7" t="s">
        <v>179</v>
      </c>
      <c r="P3856" s="7" t="s">
        <v>179</v>
      </c>
    </row>
    <row r="3857" spans="1:16" x14ac:dyDescent="0.25">
      <c r="A3857" t="s">
        <v>181</v>
      </c>
      <c r="B3857" t="s">
        <v>214</v>
      </c>
      <c r="C3857" s="7" t="s">
        <v>159</v>
      </c>
      <c r="D3857" t="s">
        <v>108</v>
      </c>
      <c r="F3857" s="35">
        <v>4.4982502942822435</v>
      </c>
      <c r="G3857" s="35">
        <v>76.990372897384503</v>
      </c>
      <c r="H3857" s="35">
        <v>38.092742997813673</v>
      </c>
      <c r="I3857" s="35">
        <v>8.7121631662226237E-2</v>
      </c>
      <c r="J3857" s="35">
        <v>-1.2339916781741687E-4</v>
      </c>
      <c r="K3857" s="35">
        <v>0.4301751973788428</v>
      </c>
      <c r="L3857" s="35">
        <v>-44.603115531481748</v>
      </c>
      <c r="M3857" s="58" t="s">
        <v>24</v>
      </c>
      <c r="N3857" s="7">
        <v>9.5</v>
      </c>
      <c r="O3857" s="7" t="s">
        <v>179</v>
      </c>
      <c r="P3857" s="7" t="s">
        <v>179</v>
      </c>
    </row>
    <row r="3858" spans="1:16" x14ac:dyDescent="0.25">
      <c r="A3858" t="s">
        <v>181</v>
      </c>
      <c r="B3858" t="s">
        <v>214</v>
      </c>
      <c r="C3858" s="7" t="s">
        <v>159</v>
      </c>
      <c r="D3858" t="s">
        <v>108</v>
      </c>
      <c r="F3858" s="35">
        <v>8.9965005885644871</v>
      </c>
      <c r="G3858" s="35">
        <v>78.820705544227593</v>
      </c>
      <c r="H3858" s="35">
        <v>24.490034107904158</v>
      </c>
      <c r="I3858" s="35">
        <v>8.7121631662225391E-2</v>
      </c>
      <c r="J3858" s="35">
        <v>-1.2339916781741687E-4</v>
      </c>
      <c r="K3858" s="35">
        <v>3.8280292115886135E-2</v>
      </c>
      <c r="L3858" s="35">
        <v>-185.35961329787941</v>
      </c>
      <c r="M3858" s="58" t="s">
        <v>23</v>
      </c>
      <c r="N3858" s="7">
        <v>9.5</v>
      </c>
      <c r="O3858" s="7" t="s">
        <v>179</v>
      </c>
      <c r="P3858" s="7" t="s">
        <v>179</v>
      </c>
    </row>
    <row r="3859" spans="1:16" x14ac:dyDescent="0.25">
      <c r="A3859" t="s">
        <v>181</v>
      </c>
      <c r="B3859" t="s">
        <v>214</v>
      </c>
      <c r="C3859" s="7" t="s">
        <v>159</v>
      </c>
      <c r="D3859" t="s">
        <v>109</v>
      </c>
      <c r="F3859" s="35">
        <v>0</v>
      </c>
      <c r="G3859" s="35">
        <v>-42.03974139246175</v>
      </c>
      <c r="H3859" s="35">
        <v>26.045295898016676</v>
      </c>
      <c r="I3859" s="35">
        <v>-0.82908637308249644</v>
      </c>
      <c r="J3859" s="35">
        <v>-8.3155595807593135E-5</v>
      </c>
      <c r="K3859" s="35">
        <v>-1.3028563645908744</v>
      </c>
      <c r="L3859" s="35">
        <v>81.228402852085253</v>
      </c>
      <c r="M3859" s="58" t="s">
        <v>22</v>
      </c>
      <c r="N3859" s="7">
        <v>9.5</v>
      </c>
      <c r="O3859" s="7" t="s">
        <v>179</v>
      </c>
      <c r="P3859" s="7" t="s">
        <v>179</v>
      </c>
    </row>
    <row r="3860" spans="1:16" x14ac:dyDescent="0.25">
      <c r="A3860" t="s">
        <v>181</v>
      </c>
      <c r="B3860" t="s">
        <v>214</v>
      </c>
      <c r="C3860" s="7" t="s">
        <v>159</v>
      </c>
      <c r="D3860" t="s">
        <v>109</v>
      </c>
      <c r="F3860" s="35">
        <v>2</v>
      </c>
      <c r="G3860" s="35">
        <v>-41.225943792461742</v>
      </c>
      <c r="H3860" s="35">
        <v>15.29329589801667</v>
      </c>
      <c r="I3860" s="35">
        <v>-0.82908637308249722</v>
      </c>
      <c r="J3860" s="35">
        <v>-8.3155595807593135E-5</v>
      </c>
      <c r="K3860" s="35">
        <v>0.3553163815741191</v>
      </c>
      <c r="L3860" s="35">
        <v>39.889811056051911</v>
      </c>
      <c r="M3860" s="58" t="s">
        <v>22</v>
      </c>
      <c r="N3860" s="7">
        <v>9.5</v>
      </c>
      <c r="O3860" s="7" t="s">
        <v>179</v>
      </c>
      <c r="P3860" s="7" t="s">
        <v>179</v>
      </c>
    </row>
    <row r="3861" spans="1:16" x14ac:dyDescent="0.25">
      <c r="A3861" t="s">
        <v>181</v>
      </c>
      <c r="B3861" t="s">
        <v>214</v>
      </c>
      <c r="C3861" s="7" t="s">
        <v>159</v>
      </c>
      <c r="D3861" t="s">
        <v>109</v>
      </c>
      <c r="F3861" s="35">
        <v>2</v>
      </c>
      <c r="G3861" s="35">
        <v>-42.028668982072631</v>
      </c>
      <c r="H3861" s="35">
        <v>15.293298419281502</v>
      </c>
      <c r="I3861" s="35">
        <v>4.8162912903082875E-2</v>
      </c>
      <c r="J3861" s="35">
        <v>-2.6413184487093529E-5</v>
      </c>
      <c r="K3861" s="35">
        <v>0.3553163815741196</v>
      </c>
      <c r="L3861" s="35">
        <v>39.889750530813032</v>
      </c>
      <c r="M3861" s="58" t="s">
        <v>22</v>
      </c>
      <c r="N3861" s="7">
        <v>9.5</v>
      </c>
      <c r="O3861" s="7" t="s">
        <v>179</v>
      </c>
      <c r="P3861" s="7" t="s">
        <v>179</v>
      </c>
    </row>
    <row r="3862" spans="1:16" x14ac:dyDescent="0.25">
      <c r="A3862" t="s">
        <v>181</v>
      </c>
      <c r="B3862" t="s">
        <v>214</v>
      </c>
      <c r="C3862" s="7" t="s">
        <v>159</v>
      </c>
      <c r="D3862" t="s">
        <v>109</v>
      </c>
      <c r="F3862" s="35">
        <v>4.4982502942822435</v>
      </c>
      <c r="G3862" s="35">
        <v>-41.012133935229542</v>
      </c>
      <c r="H3862" s="35">
        <v>1.8627048372201613</v>
      </c>
      <c r="I3862" s="35">
        <v>4.8162912903082049E-2</v>
      </c>
      <c r="J3862" s="35">
        <v>-2.6413184487093529E-5</v>
      </c>
      <c r="K3862" s="35">
        <v>0.23499337024050374</v>
      </c>
      <c r="L3862" s="35">
        <v>18.459755438681832</v>
      </c>
      <c r="M3862" s="58" t="s">
        <v>24</v>
      </c>
      <c r="N3862" s="7">
        <v>9.5</v>
      </c>
      <c r="O3862" s="7" t="s">
        <v>179</v>
      </c>
      <c r="P3862" s="7" t="s">
        <v>179</v>
      </c>
    </row>
    <row r="3863" spans="1:16" x14ac:dyDescent="0.25">
      <c r="A3863" t="s">
        <v>181</v>
      </c>
      <c r="B3863" t="s">
        <v>214</v>
      </c>
      <c r="C3863" s="7" t="s">
        <v>159</v>
      </c>
      <c r="D3863" t="s">
        <v>109</v>
      </c>
      <c r="F3863" s="35">
        <v>8.9965005885644871</v>
      </c>
      <c r="G3863" s="35">
        <v>-39.181801288386453</v>
      </c>
      <c r="H3863" s="35">
        <v>-22.319888744841187</v>
      </c>
      <c r="I3863" s="35">
        <v>4.8162912903080571E-2</v>
      </c>
      <c r="J3863" s="35">
        <v>-2.6413184487093529E-5</v>
      </c>
      <c r="K3863" s="35">
        <v>1.8344533100728148E-2</v>
      </c>
      <c r="L3863" s="35">
        <v>64.470522205002979</v>
      </c>
      <c r="M3863" s="58" t="s">
        <v>23</v>
      </c>
      <c r="N3863" s="7">
        <v>9.5</v>
      </c>
      <c r="O3863" s="7" t="s">
        <v>179</v>
      </c>
      <c r="P3863" s="7" t="s">
        <v>179</v>
      </c>
    </row>
    <row r="3864" spans="1:16" x14ac:dyDescent="0.25">
      <c r="A3864" t="s">
        <v>181</v>
      </c>
      <c r="B3864" t="s">
        <v>214</v>
      </c>
      <c r="C3864" s="7" t="s">
        <v>159</v>
      </c>
      <c r="D3864" t="s">
        <v>110</v>
      </c>
      <c r="F3864" s="35">
        <v>0</v>
      </c>
      <c r="G3864" s="35">
        <v>59.333049174890952</v>
      </c>
      <c r="H3864" s="35">
        <v>3.5490570226109579</v>
      </c>
      <c r="I3864" s="35">
        <v>-1.226598885887807</v>
      </c>
      <c r="J3864" s="35">
        <v>-3.3083170966168233E-5</v>
      </c>
      <c r="K3864" s="35">
        <v>-1.9051575171324755</v>
      </c>
      <c r="L3864" s="35">
        <v>17.834608066638847</v>
      </c>
      <c r="M3864" s="58" t="s">
        <v>22</v>
      </c>
      <c r="N3864" s="7">
        <v>9.5</v>
      </c>
      <c r="O3864" s="7" t="s">
        <v>179</v>
      </c>
      <c r="P3864" s="7" t="s">
        <v>179</v>
      </c>
    </row>
    <row r="3865" spans="1:16" x14ac:dyDescent="0.25">
      <c r="A3865" t="s">
        <v>181</v>
      </c>
      <c r="B3865" t="s">
        <v>214</v>
      </c>
      <c r="C3865" s="7" t="s">
        <v>159</v>
      </c>
      <c r="D3865" t="s">
        <v>110</v>
      </c>
      <c r="F3865" s="35">
        <v>2</v>
      </c>
      <c r="G3865" s="35">
        <v>60.146846774890946</v>
      </c>
      <c r="H3865" s="35">
        <v>9.9330570226109618</v>
      </c>
      <c r="I3865" s="35">
        <v>-1.2265988858878065</v>
      </c>
      <c r="J3865" s="35">
        <v>-3.3083170966168233E-5</v>
      </c>
      <c r="K3865" s="35">
        <v>0.54804025464313777</v>
      </c>
      <c r="L3865" s="35">
        <v>4.3524940214169296</v>
      </c>
      <c r="M3865" s="58" t="s">
        <v>22</v>
      </c>
      <c r="N3865" s="7">
        <v>9.5</v>
      </c>
      <c r="O3865" s="7" t="s">
        <v>179</v>
      </c>
      <c r="P3865" s="7" t="s">
        <v>179</v>
      </c>
    </row>
    <row r="3866" spans="1:16" x14ac:dyDescent="0.25">
      <c r="A3866" t="s">
        <v>181</v>
      </c>
      <c r="B3866" t="s">
        <v>214</v>
      </c>
      <c r="C3866" s="7" t="s">
        <v>159</v>
      </c>
      <c r="D3866" t="s">
        <v>110</v>
      </c>
      <c r="F3866" s="35">
        <v>2</v>
      </c>
      <c r="G3866" s="35">
        <v>58.947406031041126</v>
      </c>
      <c r="H3866" s="35">
        <v>9.9330436282786518</v>
      </c>
      <c r="I3866" s="35">
        <v>7.3810011350002175E-2</v>
      </c>
      <c r="J3866" s="35">
        <v>-1.1632095991740244E-4</v>
      </c>
      <c r="K3866" s="35">
        <v>0.54804025464313766</v>
      </c>
      <c r="L3866" s="35">
        <v>4.352582808391805</v>
      </c>
      <c r="M3866" s="58" t="s">
        <v>22</v>
      </c>
      <c r="N3866" s="7">
        <v>9.5</v>
      </c>
      <c r="O3866" s="7" t="s">
        <v>179</v>
      </c>
      <c r="P3866" s="7" t="s">
        <v>179</v>
      </c>
    </row>
    <row r="3867" spans="1:16" x14ac:dyDescent="0.25">
      <c r="A3867" t="s">
        <v>181</v>
      </c>
      <c r="B3867" t="s">
        <v>214</v>
      </c>
      <c r="C3867" s="7" t="s">
        <v>159</v>
      </c>
      <c r="D3867" t="s">
        <v>110</v>
      </c>
      <c r="F3867" s="35">
        <v>4.4982502942822435</v>
      </c>
      <c r="G3867" s="35">
        <v>59.963941077884215</v>
      </c>
      <c r="H3867" s="35">
        <v>17.907458567627575</v>
      </c>
      <c r="I3867" s="35">
        <v>7.3810011350002674E-2</v>
      </c>
      <c r="J3867" s="35">
        <v>-1.1632095991740244E-4</v>
      </c>
      <c r="K3867" s="35">
        <v>0.36364437206701844</v>
      </c>
      <c r="L3867" s="35">
        <v>-30.423688593552288</v>
      </c>
      <c r="M3867" s="58" t="s">
        <v>24</v>
      </c>
      <c r="N3867" s="7">
        <v>9.5</v>
      </c>
      <c r="O3867" s="7" t="s">
        <v>179</v>
      </c>
      <c r="P3867" s="7" t="s">
        <v>179</v>
      </c>
    </row>
    <row r="3868" spans="1:16" x14ac:dyDescent="0.25">
      <c r="A3868" t="s">
        <v>181</v>
      </c>
      <c r="B3868" t="s">
        <v>214</v>
      </c>
      <c r="C3868" s="7" t="s">
        <v>159</v>
      </c>
      <c r="D3868" t="s">
        <v>110</v>
      </c>
      <c r="F3868" s="35">
        <v>8.9965005885644871</v>
      </c>
      <c r="G3868" s="35">
        <v>61.794273724727304</v>
      </c>
      <c r="H3868" s="35">
        <v>32.265873506976504</v>
      </c>
      <c r="I3868" s="35">
        <v>7.3810011350003549E-2</v>
      </c>
      <c r="J3868" s="35">
        <v>-1.1632095991740244E-4</v>
      </c>
      <c r="K3868" s="35">
        <v>3.1628466790891104E-2</v>
      </c>
      <c r="L3868" s="35">
        <v>-143.26979147840657</v>
      </c>
      <c r="M3868" s="58" t="s">
        <v>23</v>
      </c>
      <c r="N3868" s="7">
        <v>9.5</v>
      </c>
      <c r="O3868" s="7" t="s">
        <v>179</v>
      </c>
      <c r="P3868" s="7" t="s">
        <v>179</v>
      </c>
    </row>
    <row r="3869" spans="1:16" x14ac:dyDescent="0.25">
      <c r="A3869" t="s">
        <v>181</v>
      </c>
      <c r="B3869" t="s">
        <v>214</v>
      </c>
      <c r="C3869" s="7" t="s">
        <v>159</v>
      </c>
      <c r="D3869" t="s">
        <v>111</v>
      </c>
      <c r="F3869" s="35">
        <v>0</v>
      </c>
      <c r="G3869" s="35">
        <v>5.5640071506824373</v>
      </c>
      <c r="H3869" s="35">
        <v>-12.709094895553909</v>
      </c>
      <c r="I3869" s="35">
        <v>-0.86539364847641509</v>
      </c>
      <c r="J3869" s="35">
        <v>6.347341991245392E-6</v>
      </c>
      <c r="K3869" s="35">
        <v>-1.3506296014344195</v>
      </c>
      <c r="L3869" s="35">
        <v>-79.079037301569755</v>
      </c>
      <c r="M3869" s="58" t="s">
        <v>22</v>
      </c>
      <c r="N3869" s="7">
        <v>9.5</v>
      </c>
      <c r="O3869" s="7" t="s">
        <v>179</v>
      </c>
      <c r="P3869" s="7" t="s">
        <v>179</v>
      </c>
    </row>
    <row r="3870" spans="1:16" x14ac:dyDescent="0.25">
      <c r="A3870" t="s">
        <v>181</v>
      </c>
      <c r="B3870" t="s">
        <v>214</v>
      </c>
      <c r="C3870" s="7" t="s">
        <v>159</v>
      </c>
      <c r="D3870" t="s">
        <v>111</v>
      </c>
      <c r="F3870" s="35">
        <v>2</v>
      </c>
      <c r="G3870" s="35">
        <v>6.3778047506824391</v>
      </c>
      <c r="H3870" s="35">
        <v>-11.029094895553909</v>
      </c>
      <c r="I3870" s="35">
        <v>-0.86539364847641498</v>
      </c>
      <c r="J3870" s="35">
        <v>6.347341991245392E-6</v>
      </c>
      <c r="K3870" s="35">
        <v>0.38015769551841028</v>
      </c>
      <c r="L3870" s="35">
        <v>-55.340847510461941</v>
      </c>
      <c r="M3870" s="58" t="s">
        <v>22</v>
      </c>
      <c r="N3870" s="7">
        <v>9.5</v>
      </c>
      <c r="O3870" s="7" t="s">
        <v>179</v>
      </c>
      <c r="P3870" s="7" t="s">
        <v>179</v>
      </c>
    </row>
    <row r="3871" spans="1:16" x14ac:dyDescent="0.25">
      <c r="A3871" t="s">
        <v>181</v>
      </c>
      <c r="B3871" t="s">
        <v>214</v>
      </c>
      <c r="C3871" s="7" t="s">
        <v>159</v>
      </c>
      <c r="D3871" t="s">
        <v>111</v>
      </c>
      <c r="F3871" s="35">
        <v>2</v>
      </c>
      <c r="G3871" s="35">
        <v>5.5379756096113146</v>
      </c>
      <c r="H3871" s="35">
        <v>-11.029090594634072</v>
      </c>
      <c r="I3871" s="35">
        <v>5.1431678002086943E-2</v>
      </c>
      <c r="J3871" s="35">
        <v>-5.4467073188672129E-5</v>
      </c>
      <c r="K3871" s="35">
        <v>0.38015769551841078</v>
      </c>
      <c r="L3871" s="35">
        <v>-55.34078264175232</v>
      </c>
      <c r="M3871" s="58" t="s">
        <v>22</v>
      </c>
      <c r="N3871" s="7">
        <v>9.5</v>
      </c>
      <c r="O3871" s="7" t="s">
        <v>179</v>
      </c>
      <c r="P3871" s="7" t="s">
        <v>179</v>
      </c>
    </row>
    <row r="3872" spans="1:16" x14ac:dyDescent="0.25">
      <c r="A3872" t="s">
        <v>181</v>
      </c>
      <c r="B3872" t="s">
        <v>214</v>
      </c>
      <c r="C3872" s="7" t="s">
        <v>159</v>
      </c>
      <c r="D3872" t="s">
        <v>111</v>
      </c>
      <c r="F3872" s="35">
        <v>4.4982502942822435</v>
      </c>
      <c r="G3872" s="35">
        <v>6.5545106564544096</v>
      </c>
      <c r="H3872" s="35">
        <v>-8.9305603474369875</v>
      </c>
      <c r="I3872" s="35">
        <v>5.1431678002087075E-2</v>
      </c>
      <c r="J3872" s="35">
        <v>-5.4467073188672129E-5</v>
      </c>
      <c r="K3872" s="35">
        <v>0.25166849081426734</v>
      </c>
      <c r="L3872" s="35">
        <v>-30.408680721852381</v>
      </c>
      <c r="M3872" s="58" t="s">
        <v>24</v>
      </c>
      <c r="N3872" s="7">
        <v>9.5</v>
      </c>
      <c r="O3872" s="7" t="s">
        <v>179</v>
      </c>
      <c r="P3872" s="7" t="s">
        <v>179</v>
      </c>
    </row>
    <row r="3873" spans="1:16" x14ac:dyDescent="0.25">
      <c r="A3873" t="s">
        <v>181</v>
      </c>
      <c r="B3873" t="s">
        <v>214</v>
      </c>
      <c r="C3873" s="7" t="s">
        <v>159</v>
      </c>
      <c r="D3873" t="s">
        <v>111</v>
      </c>
      <c r="F3873" s="35">
        <v>8.9965005885644871</v>
      </c>
      <c r="G3873" s="35">
        <v>8.3848433032974992</v>
      </c>
      <c r="H3873" s="35">
        <v>-5.1520301002398998</v>
      </c>
      <c r="I3873" s="35">
        <v>5.1431678002087297E-2</v>
      </c>
      <c r="J3873" s="35">
        <v>-5.4467073188672129E-5</v>
      </c>
      <c r="K3873" s="35">
        <v>2.0315930105949027E-2</v>
      </c>
      <c r="L3873" s="35">
        <v>1.2648275909070668</v>
      </c>
      <c r="M3873" s="58" t="s">
        <v>23</v>
      </c>
      <c r="N3873" s="7">
        <v>9.5</v>
      </c>
      <c r="O3873" s="7" t="s">
        <v>179</v>
      </c>
      <c r="P3873" s="7" t="s">
        <v>179</v>
      </c>
    </row>
    <row r="3874" spans="1:16" x14ac:dyDescent="0.25">
      <c r="A3874" t="s">
        <v>181</v>
      </c>
      <c r="B3874" t="s">
        <v>214</v>
      </c>
      <c r="C3874" s="7" t="s">
        <v>159</v>
      </c>
      <c r="D3874" t="s">
        <v>112</v>
      </c>
      <c r="F3874" s="35">
        <v>0</v>
      </c>
      <c r="G3874" s="35">
        <v>33.819757689065455</v>
      </c>
      <c r="H3874" s="35">
        <v>-8.3561403078120442</v>
      </c>
      <c r="I3874" s="35">
        <v>-3.8127681737903449</v>
      </c>
      <c r="J3874" s="35">
        <v>-1.4930213529437924E-4</v>
      </c>
      <c r="K3874" s="35">
        <v>-6.080797756336616</v>
      </c>
      <c r="L3874" s="35">
        <v>1.7125895336622368</v>
      </c>
      <c r="M3874" s="58" t="s">
        <v>22</v>
      </c>
      <c r="N3874" s="7">
        <v>9.5</v>
      </c>
      <c r="O3874" s="7" t="s">
        <v>179</v>
      </c>
      <c r="P3874" s="7" t="s">
        <v>179</v>
      </c>
    </row>
    <row r="3875" spans="1:16" x14ac:dyDescent="0.25">
      <c r="A3875" t="s">
        <v>181</v>
      </c>
      <c r="B3875" t="s">
        <v>214</v>
      </c>
      <c r="C3875" s="7" t="s">
        <v>159</v>
      </c>
      <c r="D3875" t="s">
        <v>112</v>
      </c>
      <c r="F3875" s="35">
        <v>2</v>
      </c>
      <c r="G3875" s="35">
        <v>34.633555289065455</v>
      </c>
      <c r="H3875" s="35">
        <v>-0.79614030781204548</v>
      </c>
      <c r="I3875" s="35">
        <v>-3.8127681737903445</v>
      </c>
      <c r="J3875" s="35">
        <v>-1.4930213529437924E-4</v>
      </c>
      <c r="K3875" s="35">
        <v>1.5447385912440734</v>
      </c>
      <c r="L3875" s="35">
        <v>10.86487014928632</v>
      </c>
      <c r="M3875" s="58" t="s">
        <v>22</v>
      </c>
      <c r="N3875" s="7">
        <v>9.5</v>
      </c>
      <c r="O3875" s="7" t="s">
        <v>179</v>
      </c>
      <c r="P3875" s="7" t="s">
        <v>179</v>
      </c>
    </row>
    <row r="3876" spans="1:16" x14ac:dyDescent="0.25">
      <c r="A3876" t="s">
        <v>181</v>
      </c>
      <c r="B3876" t="s">
        <v>214</v>
      </c>
      <c r="C3876" s="7" t="s">
        <v>159</v>
      </c>
      <c r="D3876" t="s">
        <v>112</v>
      </c>
      <c r="F3876" s="35">
        <v>2</v>
      </c>
      <c r="G3876" s="35">
        <v>30.884981494894411</v>
      </c>
      <c r="H3876" s="35">
        <v>-0.79615053148444337</v>
      </c>
      <c r="I3876" s="35">
        <v>0.20671856983679637</v>
      </c>
      <c r="J3876" s="35">
        <v>-1.6648946781209356E-4</v>
      </c>
      <c r="K3876" s="35">
        <v>1.5447385912440723</v>
      </c>
      <c r="L3876" s="35">
        <v>10.864888482440998</v>
      </c>
      <c r="M3876" s="58" t="s">
        <v>22</v>
      </c>
      <c r="N3876" s="7">
        <v>9.5</v>
      </c>
      <c r="O3876" s="7" t="s">
        <v>179</v>
      </c>
      <c r="P3876" s="7" t="s">
        <v>179</v>
      </c>
    </row>
    <row r="3877" spans="1:16" x14ac:dyDescent="0.25">
      <c r="A3877" t="s">
        <v>181</v>
      </c>
      <c r="B3877" t="s">
        <v>214</v>
      </c>
      <c r="C3877" s="7" t="s">
        <v>159</v>
      </c>
      <c r="D3877" t="s">
        <v>112</v>
      </c>
      <c r="F3877" s="35">
        <v>4.4982502942822435</v>
      </c>
      <c r="G3877" s="35">
        <v>31.901516541737504</v>
      </c>
      <c r="H3877" s="35">
        <v>8.6472355809024428</v>
      </c>
      <c r="I3877" s="35">
        <v>0.20671856983679693</v>
      </c>
      <c r="J3877" s="35">
        <v>-1.6648946781209356E-4</v>
      </c>
      <c r="K3877" s="35">
        <v>1.0283038633156907</v>
      </c>
      <c r="L3877" s="35">
        <v>1.0579007148692754</v>
      </c>
      <c r="M3877" s="58" t="s">
        <v>24</v>
      </c>
      <c r="N3877" s="7">
        <v>9.5</v>
      </c>
      <c r="O3877" s="7" t="s">
        <v>179</v>
      </c>
      <c r="P3877" s="7" t="s">
        <v>179</v>
      </c>
    </row>
    <row r="3878" spans="1:16" x14ac:dyDescent="0.25">
      <c r="A3878" t="s">
        <v>181</v>
      </c>
      <c r="B3878" t="s">
        <v>214</v>
      </c>
      <c r="C3878" s="7" t="s">
        <v>159</v>
      </c>
      <c r="D3878" t="s">
        <v>112</v>
      </c>
      <c r="F3878" s="35">
        <v>8.9965005885644871</v>
      </c>
      <c r="G3878" s="35">
        <v>33.73184918858059</v>
      </c>
      <c r="H3878" s="35">
        <v>25.650621693289335</v>
      </c>
      <c r="I3878" s="35">
        <v>0.20671856983679801</v>
      </c>
      <c r="J3878" s="35">
        <v>-1.6648946781209356E-4</v>
      </c>
      <c r="K3878" s="35">
        <v>9.8431995713711667E-2</v>
      </c>
      <c r="L3878" s="35">
        <v>-76.082272573572496</v>
      </c>
      <c r="M3878" s="58" t="s">
        <v>23</v>
      </c>
      <c r="N3878" s="7">
        <v>9.5</v>
      </c>
      <c r="O3878" s="7" t="s">
        <v>179</v>
      </c>
      <c r="P3878" s="7" t="s">
        <v>179</v>
      </c>
    </row>
    <row r="3879" spans="1:16" x14ac:dyDescent="0.25">
      <c r="A3879" t="s">
        <v>181</v>
      </c>
      <c r="B3879" t="s">
        <v>214</v>
      </c>
      <c r="C3879" s="7" t="s">
        <v>159</v>
      </c>
      <c r="D3879" t="s">
        <v>113</v>
      </c>
      <c r="F3879" s="35">
        <v>0</v>
      </c>
      <c r="G3879" s="35">
        <v>-4.6265935832195089</v>
      </c>
      <c r="H3879" s="35">
        <v>-12.410321798114303</v>
      </c>
      <c r="I3879" s="35">
        <v>-3.3311224187063124</v>
      </c>
      <c r="J3879" s="35">
        <v>-1.3828930902343785E-4</v>
      </c>
      <c r="K3879" s="35">
        <v>-5.3359364831624188</v>
      </c>
      <c r="L3879" s="35">
        <v>-27.175758368264475</v>
      </c>
      <c r="M3879" s="58" t="s">
        <v>22</v>
      </c>
      <c r="N3879" s="7">
        <v>9.5</v>
      </c>
      <c r="O3879" s="7" t="s">
        <v>179</v>
      </c>
      <c r="P3879" s="7" t="s">
        <v>179</v>
      </c>
    </row>
    <row r="3880" spans="1:16" x14ac:dyDescent="0.25">
      <c r="A3880" t="s">
        <v>181</v>
      </c>
      <c r="B3880" t="s">
        <v>214</v>
      </c>
      <c r="C3880" s="7" t="s">
        <v>159</v>
      </c>
      <c r="D3880" t="s">
        <v>113</v>
      </c>
      <c r="F3880" s="35">
        <v>2</v>
      </c>
      <c r="G3880" s="35">
        <v>-3.812795983219504</v>
      </c>
      <c r="H3880" s="35">
        <v>-9.0839217981143037</v>
      </c>
      <c r="I3880" s="35">
        <v>-3.3311224187063124</v>
      </c>
      <c r="J3880" s="35">
        <v>-1.3828930902343785E-4</v>
      </c>
      <c r="K3880" s="35">
        <v>1.3263083542502043</v>
      </c>
      <c r="L3880" s="35">
        <v>-5.681514772035869</v>
      </c>
      <c r="M3880" s="58" t="s">
        <v>22</v>
      </c>
      <c r="N3880" s="7">
        <v>9.5</v>
      </c>
      <c r="O3880" s="7" t="s">
        <v>179</v>
      </c>
      <c r="P3880" s="7" t="s">
        <v>179</v>
      </c>
    </row>
    <row r="3881" spans="1:16" x14ac:dyDescent="0.25">
      <c r="A3881" t="s">
        <v>181</v>
      </c>
      <c r="B3881" t="s">
        <v>214</v>
      </c>
      <c r="C3881" s="7" t="s">
        <v>159</v>
      </c>
      <c r="D3881" t="s">
        <v>113</v>
      </c>
      <c r="F3881" s="35">
        <v>2</v>
      </c>
      <c r="G3881" s="35">
        <v>-7.0825303497587218</v>
      </c>
      <c r="H3881" s="35">
        <v>-9.0839223343147264</v>
      </c>
      <c r="I3881" s="35">
        <v>0.17760422306683413</v>
      </c>
      <c r="J3881" s="35">
        <v>-1.1868167221833641E-4</v>
      </c>
      <c r="K3881" s="35">
        <v>1.3263083542502034</v>
      </c>
      <c r="L3881" s="35">
        <v>-5.6815356868484344</v>
      </c>
      <c r="M3881" s="58" t="s">
        <v>22</v>
      </c>
      <c r="N3881" s="7">
        <v>9.5</v>
      </c>
      <c r="O3881" s="7" t="s">
        <v>179</v>
      </c>
      <c r="P3881" s="7" t="s">
        <v>179</v>
      </c>
    </row>
    <row r="3882" spans="1:16" x14ac:dyDescent="0.25">
      <c r="A3882" t="s">
        <v>181</v>
      </c>
      <c r="B3882" t="s">
        <v>214</v>
      </c>
      <c r="C3882" s="7" t="s">
        <v>159</v>
      </c>
      <c r="D3882" t="s">
        <v>113</v>
      </c>
      <c r="F3882" s="35">
        <v>4.4982502942822435</v>
      </c>
      <c r="G3882" s="35">
        <v>-6.0659953029156304</v>
      </c>
      <c r="H3882" s="35">
        <v>-4.9288324448644971</v>
      </c>
      <c r="I3882" s="35">
        <v>0.1776042230668344</v>
      </c>
      <c r="J3882" s="35">
        <v>-1.1868167221833641E-4</v>
      </c>
      <c r="K3882" s="35">
        <v>0.88260855170771546</v>
      </c>
      <c r="L3882" s="35">
        <v>11.822148688546269</v>
      </c>
      <c r="M3882" s="58" t="s">
        <v>24</v>
      </c>
      <c r="N3882" s="7">
        <v>9.5</v>
      </c>
      <c r="O3882" s="7" t="s">
        <v>179</v>
      </c>
      <c r="P3882" s="7" t="s">
        <v>179</v>
      </c>
    </row>
    <row r="3883" spans="1:16" x14ac:dyDescent="0.25">
      <c r="A3883" t="s">
        <v>181</v>
      </c>
      <c r="B3883" t="s">
        <v>214</v>
      </c>
      <c r="C3883" s="7" t="s">
        <v>159</v>
      </c>
      <c r="D3883" t="s">
        <v>113</v>
      </c>
      <c r="F3883" s="35">
        <v>8.9965005885644871</v>
      </c>
      <c r="G3883" s="35">
        <v>-4.2356626560725408</v>
      </c>
      <c r="H3883" s="35">
        <v>2.5526574445857326</v>
      </c>
      <c r="I3883" s="35">
        <v>0.17760422306683485</v>
      </c>
      <c r="J3883" s="35">
        <v>-1.1868167221833641E-4</v>
      </c>
      <c r="K3883" s="35">
        <v>8.3700303031557302E-2</v>
      </c>
      <c r="L3883" s="35">
        <v>17.166463635681296</v>
      </c>
      <c r="M3883" s="58" t="s">
        <v>23</v>
      </c>
      <c r="N3883" s="7">
        <v>9.5</v>
      </c>
      <c r="O3883" s="7" t="s">
        <v>179</v>
      </c>
      <c r="P3883" s="7" t="s">
        <v>179</v>
      </c>
    </row>
    <row r="3884" spans="1:16" x14ac:dyDescent="0.25">
      <c r="A3884" t="s">
        <v>181</v>
      </c>
      <c r="B3884" t="s">
        <v>214</v>
      </c>
      <c r="C3884" s="7" t="s">
        <v>159</v>
      </c>
      <c r="D3884" t="s">
        <v>114</v>
      </c>
      <c r="F3884" s="35">
        <v>0</v>
      </c>
      <c r="G3884" s="35">
        <v>19.097789749962448</v>
      </c>
      <c r="H3884" s="35">
        <v>-8.3586210993565562</v>
      </c>
      <c r="I3884" s="35">
        <v>3.7564271092529817</v>
      </c>
      <c r="J3884" s="35">
        <v>1.685103452394596E-4</v>
      </c>
      <c r="K3884" s="35">
        <v>6.004344166305815</v>
      </c>
      <c r="L3884" s="35">
        <v>1.1832358919503314</v>
      </c>
      <c r="M3884" s="58" t="s">
        <v>22</v>
      </c>
      <c r="N3884" s="7">
        <v>9.5</v>
      </c>
      <c r="O3884" s="7" t="s">
        <v>179</v>
      </c>
      <c r="P3884" s="7" t="s">
        <v>179</v>
      </c>
    </row>
    <row r="3885" spans="1:16" x14ac:dyDescent="0.25">
      <c r="A3885" t="s">
        <v>181</v>
      </c>
      <c r="B3885" t="s">
        <v>214</v>
      </c>
      <c r="C3885" s="7" t="s">
        <v>159</v>
      </c>
      <c r="D3885" t="s">
        <v>114</v>
      </c>
      <c r="F3885" s="35">
        <v>2</v>
      </c>
      <c r="G3885" s="35">
        <v>19.911587349962453</v>
      </c>
      <c r="H3885" s="35">
        <v>-0.79862109935655812</v>
      </c>
      <c r="I3885" s="35">
        <v>3.7564271092529822</v>
      </c>
      <c r="J3885" s="35">
        <v>1.685103452394596E-4</v>
      </c>
      <c r="K3885" s="35">
        <v>-1.508510052200148</v>
      </c>
      <c r="L3885" s="35">
        <v>10.340478090663446</v>
      </c>
      <c r="M3885" s="58" t="s">
        <v>22</v>
      </c>
      <c r="N3885" s="7">
        <v>9.5</v>
      </c>
      <c r="O3885" s="7" t="s">
        <v>179</v>
      </c>
      <c r="P3885" s="7" t="s">
        <v>179</v>
      </c>
    </row>
    <row r="3886" spans="1:16" x14ac:dyDescent="0.25">
      <c r="A3886" t="s">
        <v>181</v>
      </c>
      <c r="B3886" t="s">
        <v>214</v>
      </c>
      <c r="C3886" s="7" t="s">
        <v>159</v>
      </c>
      <c r="D3886" t="s">
        <v>114</v>
      </c>
      <c r="F3886" s="35">
        <v>2</v>
      </c>
      <c r="G3886" s="35">
        <v>23.640797888184856</v>
      </c>
      <c r="H3886" s="35">
        <v>-0.79862656697038237</v>
      </c>
      <c r="I3886" s="35">
        <v>-0.2003887506329381</v>
      </c>
      <c r="J3886" s="35">
        <v>1.5175676072136236E-4</v>
      </c>
      <c r="K3886" s="35">
        <v>-1.5085100522001524</v>
      </c>
      <c r="L3886" s="35">
        <v>10.340495961153549</v>
      </c>
      <c r="M3886" s="58" t="s">
        <v>22</v>
      </c>
      <c r="N3886" s="7">
        <v>9.5</v>
      </c>
      <c r="O3886" s="7" t="s">
        <v>179</v>
      </c>
      <c r="P3886" s="7" t="s">
        <v>179</v>
      </c>
    </row>
    <row r="3887" spans="1:16" x14ac:dyDescent="0.25">
      <c r="A3887" t="s">
        <v>181</v>
      </c>
      <c r="B3887" t="s">
        <v>214</v>
      </c>
      <c r="C3887" s="7" t="s">
        <v>159</v>
      </c>
      <c r="D3887" t="s">
        <v>114</v>
      </c>
      <c r="F3887" s="35">
        <v>4.4982502942822435</v>
      </c>
      <c r="G3887" s="35">
        <v>24.657332935027949</v>
      </c>
      <c r="H3887" s="35">
        <v>8.6447595454165036</v>
      </c>
      <c r="I3887" s="35">
        <v>-0.20038875063293751</v>
      </c>
      <c r="J3887" s="35">
        <v>1.5175676072136236E-4</v>
      </c>
      <c r="K3887" s="35">
        <v>-1.0078887969605643</v>
      </c>
      <c r="L3887" s="35">
        <v>0.5396939499632305</v>
      </c>
      <c r="M3887" s="58" t="s">
        <v>24</v>
      </c>
      <c r="N3887" s="7">
        <v>9.5</v>
      </c>
      <c r="O3887" s="7" t="s">
        <v>179</v>
      </c>
      <c r="P3887" s="7" t="s">
        <v>179</v>
      </c>
    </row>
    <row r="3888" spans="1:16" x14ac:dyDescent="0.25">
      <c r="A3888" t="s">
        <v>181</v>
      </c>
      <c r="B3888" t="s">
        <v>214</v>
      </c>
      <c r="C3888" s="7" t="s">
        <v>159</v>
      </c>
      <c r="D3888" t="s">
        <v>114</v>
      </c>
      <c r="F3888" s="35">
        <v>8.9965005885644871</v>
      </c>
      <c r="G3888" s="35">
        <v>26.487665581871038</v>
      </c>
      <c r="H3888" s="35">
        <v>25.64814565780339</v>
      </c>
      <c r="I3888" s="35">
        <v>-0.20038875063293649</v>
      </c>
      <c r="J3888" s="35">
        <v>1.5175676072136236E-4</v>
      </c>
      <c r="K3888" s="35">
        <v>-0.10649004045510424</v>
      </c>
      <c r="L3888" s="35">
        <v>-76.589341511125284</v>
      </c>
      <c r="M3888" s="58" t="s">
        <v>23</v>
      </c>
      <c r="N3888" s="7">
        <v>9.5</v>
      </c>
      <c r="O3888" s="7" t="s">
        <v>179</v>
      </c>
      <c r="P3888" s="7" t="s">
        <v>179</v>
      </c>
    </row>
    <row r="3889" spans="1:16" x14ac:dyDescent="0.25">
      <c r="A3889" t="s">
        <v>181</v>
      </c>
      <c r="B3889" t="s">
        <v>214</v>
      </c>
      <c r="C3889" s="7" t="s">
        <v>159</v>
      </c>
      <c r="D3889" t="s">
        <v>115</v>
      </c>
      <c r="F3889" s="35">
        <v>0</v>
      </c>
      <c r="G3889" s="35">
        <v>-19.354732900662526</v>
      </c>
      <c r="H3889" s="35">
        <v>-12.412748103445185</v>
      </c>
      <c r="I3889" s="35">
        <v>4.2411599902232231</v>
      </c>
      <c r="J3889" s="35">
        <v>1.7904022933281066E-4</v>
      </c>
      <c r="K3889" s="35">
        <v>6.7541331646411962</v>
      </c>
      <c r="L3889" s="35">
        <v>-27.704061071182586</v>
      </c>
      <c r="M3889" s="58" t="s">
        <v>22</v>
      </c>
      <c r="N3889" s="7">
        <v>9.5</v>
      </c>
      <c r="O3889" s="7" t="s">
        <v>179</v>
      </c>
      <c r="P3889" s="7" t="s">
        <v>179</v>
      </c>
    </row>
    <row r="3890" spans="1:16" x14ac:dyDescent="0.25">
      <c r="A3890" t="s">
        <v>181</v>
      </c>
      <c r="B3890" t="s">
        <v>214</v>
      </c>
      <c r="C3890" s="7" t="s">
        <v>159</v>
      </c>
      <c r="D3890" t="s">
        <v>115</v>
      </c>
      <c r="F3890" s="35">
        <v>2</v>
      </c>
      <c r="G3890" s="35">
        <v>-18.540935300662522</v>
      </c>
      <c r="H3890" s="35">
        <v>-9.0863481034451876</v>
      </c>
      <c r="I3890" s="35">
        <v>4.2411599902232231</v>
      </c>
      <c r="J3890" s="35">
        <v>1.7904022933281066E-4</v>
      </c>
      <c r="K3890" s="35">
        <v>-1.7281868158052516</v>
      </c>
      <c r="L3890" s="35">
        <v>-6.2049648642922177</v>
      </c>
      <c r="M3890" s="58" t="s">
        <v>22</v>
      </c>
      <c r="N3890" s="7">
        <v>9.5</v>
      </c>
      <c r="O3890" s="7" t="s">
        <v>179</v>
      </c>
      <c r="P3890" s="7" t="s">
        <v>179</v>
      </c>
    </row>
    <row r="3891" spans="1:16" x14ac:dyDescent="0.25">
      <c r="A3891" t="s">
        <v>181</v>
      </c>
      <c r="B3891" t="s">
        <v>214</v>
      </c>
      <c r="C3891" s="7" t="s">
        <v>159</v>
      </c>
      <c r="D3891" t="s">
        <v>115</v>
      </c>
      <c r="F3891" s="35">
        <v>2</v>
      </c>
      <c r="G3891" s="35">
        <v>-14.329835316943715</v>
      </c>
      <c r="H3891" s="35">
        <v>-9.0863438852844851</v>
      </c>
      <c r="I3891" s="35">
        <v>-0.22966932346684776</v>
      </c>
      <c r="J3891" s="35">
        <v>1.990816130398047E-4</v>
      </c>
      <c r="K3891" s="35">
        <v>-1.7281868158052498</v>
      </c>
      <c r="L3891" s="35">
        <v>-6.2049862417682062</v>
      </c>
      <c r="M3891" s="58" t="s">
        <v>22</v>
      </c>
      <c r="N3891" s="7">
        <v>9.5</v>
      </c>
      <c r="O3891" s="7" t="s">
        <v>179</v>
      </c>
      <c r="P3891" s="7" t="s">
        <v>179</v>
      </c>
    </row>
    <row r="3892" spans="1:16" x14ac:dyDescent="0.25">
      <c r="A3892" t="s">
        <v>181</v>
      </c>
      <c r="B3892" t="s">
        <v>214</v>
      </c>
      <c r="C3892" s="7" t="s">
        <v>159</v>
      </c>
      <c r="D3892" t="s">
        <v>115</v>
      </c>
      <c r="F3892" s="35">
        <v>4.4982502942822435</v>
      </c>
      <c r="G3892" s="35">
        <v>-13.313300270100624</v>
      </c>
      <c r="H3892" s="35">
        <v>-4.9312539958342558</v>
      </c>
      <c r="I3892" s="35">
        <v>-0.22966932346684746</v>
      </c>
      <c r="J3892" s="35">
        <v>1.990816130398047E-4</v>
      </c>
      <c r="K3892" s="35">
        <v>-1.1544153608665939</v>
      </c>
      <c r="L3892" s="35">
        <v>11.304747774049316</v>
      </c>
      <c r="M3892" s="58" t="s">
        <v>24</v>
      </c>
      <c r="N3892" s="7">
        <v>9.5</v>
      </c>
      <c r="O3892" s="7" t="s">
        <v>179</v>
      </c>
      <c r="P3892" s="7" t="s">
        <v>179</v>
      </c>
    </row>
    <row r="3893" spans="1:16" x14ac:dyDescent="0.25">
      <c r="A3893" t="s">
        <v>181</v>
      </c>
      <c r="B3893" t="s">
        <v>214</v>
      </c>
      <c r="C3893" s="7" t="s">
        <v>159</v>
      </c>
      <c r="D3893" t="s">
        <v>115</v>
      </c>
      <c r="F3893" s="35">
        <v>8.9965005885644871</v>
      </c>
      <c r="G3893" s="35">
        <v>-11.482967623257535</v>
      </c>
      <c r="H3893" s="35">
        <v>2.5502358936159757</v>
      </c>
      <c r="I3893" s="35">
        <v>-0.22966932346684701</v>
      </c>
      <c r="J3893" s="35">
        <v>1.990816130398047E-4</v>
      </c>
      <c r="K3893" s="35">
        <v>-0.12130525899424417</v>
      </c>
      <c r="L3893" s="35">
        <v>16.659955463546687</v>
      </c>
      <c r="M3893" s="58" t="s">
        <v>23</v>
      </c>
      <c r="N3893" s="7">
        <v>9.5</v>
      </c>
      <c r="O3893" s="7" t="s">
        <v>179</v>
      </c>
      <c r="P3893" s="7" t="s">
        <v>179</v>
      </c>
    </row>
    <row r="3894" spans="1:16" x14ac:dyDescent="0.25">
      <c r="A3894" t="s">
        <v>181</v>
      </c>
      <c r="B3894" t="s">
        <v>214</v>
      </c>
      <c r="C3894" s="7" t="s">
        <v>159</v>
      </c>
      <c r="D3894" t="s">
        <v>116</v>
      </c>
      <c r="F3894" s="35">
        <v>0</v>
      </c>
      <c r="G3894" s="35">
        <v>39.16466106582223</v>
      </c>
      <c r="H3894" s="35">
        <v>33.827474189816719</v>
      </c>
      <c r="I3894" s="35">
        <v>-1.2727548795753494</v>
      </c>
      <c r="J3894" s="35">
        <v>-4.6093801802479541E-5</v>
      </c>
      <c r="K3894" s="35">
        <v>-1.9796216279883598</v>
      </c>
      <c r="L3894" s="35">
        <v>101.14866769288605</v>
      </c>
      <c r="M3894" s="58" t="s">
        <v>22</v>
      </c>
      <c r="N3894" s="7">
        <v>9.5</v>
      </c>
      <c r="O3894" s="7" t="s">
        <v>179</v>
      </c>
      <c r="P3894" s="7" t="s">
        <v>179</v>
      </c>
    </row>
    <row r="3895" spans="1:16" x14ac:dyDescent="0.25">
      <c r="A3895" t="s">
        <v>181</v>
      </c>
      <c r="B3895" t="s">
        <v>214</v>
      </c>
      <c r="C3895" s="7" t="s">
        <v>159</v>
      </c>
      <c r="D3895" t="s">
        <v>116</v>
      </c>
      <c r="F3895" s="35">
        <v>2</v>
      </c>
      <c r="G3895" s="35">
        <v>39.978458665822231</v>
      </c>
      <c r="H3895" s="35">
        <v>28.384274189816722</v>
      </c>
      <c r="I3895" s="35">
        <v>-1.2727548795753498</v>
      </c>
      <c r="J3895" s="35">
        <v>-4.6093801802479541E-5</v>
      </c>
      <c r="K3895" s="35">
        <v>0.56588813116233916</v>
      </c>
      <c r="L3895" s="35">
        <v>38.936919313252595</v>
      </c>
      <c r="M3895" s="58" t="s">
        <v>22</v>
      </c>
      <c r="N3895" s="7">
        <v>9.5</v>
      </c>
      <c r="O3895" s="7" t="s">
        <v>179</v>
      </c>
      <c r="P3895" s="7" t="s">
        <v>179</v>
      </c>
    </row>
    <row r="3896" spans="1:16" x14ac:dyDescent="0.25">
      <c r="A3896" t="s">
        <v>181</v>
      </c>
      <c r="B3896" t="s">
        <v>214</v>
      </c>
      <c r="C3896" s="7" t="s">
        <v>159</v>
      </c>
      <c r="D3896" t="s">
        <v>116</v>
      </c>
      <c r="F3896" s="35">
        <v>2</v>
      </c>
      <c r="G3896" s="35">
        <v>38.733498274282098</v>
      </c>
      <c r="H3896" s="35">
        <v>28.384263065503244</v>
      </c>
      <c r="I3896" s="35">
        <v>7.6208776053374047E-2</v>
      </c>
      <c r="J3896" s="35">
        <v>-9.4592243640650628E-5</v>
      </c>
      <c r="K3896" s="35">
        <v>0.56588813116233838</v>
      </c>
      <c r="L3896" s="35">
        <v>38.936971044923922</v>
      </c>
      <c r="M3896" s="58" t="s">
        <v>22</v>
      </c>
      <c r="N3896" s="7">
        <v>9.5</v>
      </c>
      <c r="O3896" s="7" t="s">
        <v>179</v>
      </c>
      <c r="P3896" s="7" t="s">
        <v>179</v>
      </c>
    </row>
    <row r="3897" spans="1:16" x14ac:dyDescent="0.25">
      <c r="A3897" t="s">
        <v>181</v>
      </c>
      <c r="B3897" t="s">
        <v>214</v>
      </c>
      <c r="C3897" s="7" t="s">
        <v>159</v>
      </c>
      <c r="D3897" t="s">
        <v>116</v>
      </c>
      <c r="F3897" s="35">
        <v>4.4982502942822435</v>
      </c>
      <c r="G3897" s="35">
        <v>39.750033321125194</v>
      </c>
      <c r="H3897" s="35">
        <v>21.585025064584688</v>
      </c>
      <c r="I3897" s="35">
        <v>7.6208776053373645E-2</v>
      </c>
      <c r="J3897" s="35">
        <v>-9.4592243640650628E-5</v>
      </c>
      <c r="K3897" s="35">
        <v>0.3754995339601076</v>
      </c>
      <c r="L3897" s="35">
        <v>-23.480923343109289</v>
      </c>
      <c r="M3897" s="58" t="s">
        <v>24</v>
      </c>
      <c r="N3897" s="7">
        <v>9.5</v>
      </c>
      <c r="O3897" s="7" t="s">
        <v>179</v>
      </c>
      <c r="P3897" s="7" t="s">
        <v>179</v>
      </c>
    </row>
    <row r="3898" spans="1:16" x14ac:dyDescent="0.25">
      <c r="A3898" t="s">
        <v>181</v>
      </c>
      <c r="B3898" t="s">
        <v>214</v>
      </c>
      <c r="C3898" s="7" t="s">
        <v>159</v>
      </c>
      <c r="D3898" t="s">
        <v>116</v>
      </c>
      <c r="F3898" s="35">
        <v>8.9965005885644871</v>
      </c>
      <c r="G3898" s="35">
        <v>41.580365967968284</v>
      </c>
      <c r="H3898" s="35">
        <v>9.3425870636661337</v>
      </c>
      <c r="I3898" s="35">
        <v>7.6208776053372881E-2</v>
      </c>
      <c r="J3898" s="35">
        <v>-9.4592243640650628E-5</v>
      </c>
      <c r="K3898" s="35">
        <v>3.2693384651131689E-2</v>
      </c>
      <c r="L3898" s="35">
        <v>-93.040993521784969</v>
      </c>
      <c r="M3898" s="58" t="s">
        <v>23</v>
      </c>
      <c r="N3898" s="7">
        <v>9.5</v>
      </c>
      <c r="O3898" s="7" t="s">
        <v>179</v>
      </c>
      <c r="P3898" s="7" t="s">
        <v>179</v>
      </c>
    </row>
    <row r="3899" spans="1:16" x14ac:dyDescent="0.25">
      <c r="A3899" t="s">
        <v>181</v>
      </c>
      <c r="B3899" t="s">
        <v>214</v>
      </c>
      <c r="C3899" s="7" t="s">
        <v>159</v>
      </c>
      <c r="D3899" t="s">
        <v>117</v>
      </c>
      <c r="F3899" s="35">
        <v>0</v>
      </c>
      <c r="G3899" s="35">
        <v>-67.58766278945113</v>
      </c>
      <c r="H3899" s="35">
        <v>10.742315245840079</v>
      </c>
      <c r="I3899" s="35">
        <v>-0.72108297285283096</v>
      </c>
      <c r="J3899" s="35">
        <v>-9.8536207089209042E-5</v>
      </c>
      <c r="K3899" s="35">
        <v>-1.1395372265122312</v>
      </c>
      <c r="L3899" s="35">
        <v>32.646693373887665</v>
      </c>
      <c r="M3899" s="58" t="s">
        <v>22</v>
      </c>
      <c r="N3899" s="7">
        <v>9.5</v>
      </c>
      <c r="O3899" s="7" t="s">
        <v>179</v>
      </c>
      <c r="P3899" s="7" t="s">
        <v>179</v>
      </c>
    </row>
    <row r="3900" spans="1:16" x14ac:dyDescent="0.25">
      <c r="A3900" t="s">
        <v>181</v>
      </c>
      <c r="B3900" t="s">
        <v>214</v>
      </c>
      <c r="C3900" s="7" t="s">
        <v>159</v>
      </c>
      <c r="D3900" t="s">
        <v>117</v>
      </c>
      <c r="F3900" s="35">
        <v>2</v>
      </c>
      <c r="G3900" s="35">
        <v>-66.773865189451129</v>
      </c>
      <c r="H3900" s="35">
        <v>1.065515245840077</v>
      </c>
      <c r="I3900" s="35">
        <v>-0.72108297285283163</v>
      </c>
      <c r="J3900" s="35">
        <v>-9.8536207089209042E-5</v>
      </c>
      <c r="K3900" s="35">
        <v>0.30262871919343132</v>
      </c>
      <c r="L3900" s="35">
        <v>20.838862882207501</v>
      </c>
      <c r="M3900" s="58" t="s">
        <v>22</v>
      </c>
      <c r="N3900" s="7">
        <v>9.5</v>
      </c>
      <c r="O3900" s="7" t="s">
        <v>179</v>
      </c>
      <c r="P3900" s="7" t="s">
        <v>179</v>
      </c>
    </row>
    <row r="3901" spans="1:16" x14ac:dyDescent="0.25">
      <c r="A3901" t="s">
        <v>181</v>
      </c>
      <c r="B3901" t="s">
        <v>214</v>
      </c>
      <c r="C3901" s="7" t="s">
        <v>159</v>
      </c>
      <c r="D3901" t="s">
        <v>117</v>
      </c>
      <c r="F3901" s="35">
        <v>2</v>
      </c>
      <c r="G3901" s="35">
        <v>-67.468757875070537</v>
      </c>
      <c r="H3901" s="35">
        <v>1.0655249439057404</v>
      </c>
      <c r="I3901" s="35">
        <v>4.1145929170144604E-2</v>
      </c>
      <c r="J3901" s="35">
        <v>-7.3048586433596207E-6</v>
      </c>
      <c r="K3901" s="35">
        <v>0.30262871919343171</v>
      </c>
      <c r="L3901" s="35">
        <v>20.838765568769048</v>
      </c>
      <c r="M3901" s="58" t="s">
        <v>22</v>
      </c>
      <c r="N3901" s="7">
        <v>9.5</v>
      </c>
      <c r="O3901" s="7" t="s">
        <v>179</v>
      </c>
      <c r="P3901" s="7" t="s">
        <v>179</v>
      </c>
    </row>
    <row r="3902" spans="1:16" x14ac:dyDescent="0.25">
      <c r="A3902" t="s">
        <v>181</v>
      </c>
      <c r="B3902" t="s">
        <v>214</v>
      </c>
      <c r="C3902" s="7" t="s">
        <v>159</v>
      </c>
      <c r="D3902" t="s">
        <v>117</v>
      </c>
      <c r="F3902" s="35">
        <v>4.4982502942822435</v>
      </c>
      <c r="G3902" s="35">
        <v>-66.452222828227448</v>
      </c>
      <c r="H3902" s="35">
        <v>-11.022009279949469</v>
      </c>
      <c r="I3902" s="35">
        <v>4.1145929170143862E-2</v>
      </c>
      <c r="J3902" s="35">
        <v>-7.3048586433596207E-6</v>
      </c>
      <c r="K3902" s="35">
        <v>0.1998358895356025</v>
      </c>
      <c r="L3902" s="35">
        <v>33.275660530037932</v>
      </c>
      <c r="M3902" s="58" t="s">
        <v>24</v>
      </c>
      <c r="N3902" s="7">
        <v>9.5</v>
      </c>
      <c r="O3902" s="7" t="s">
        <v>179</v>
      </c>
      <c r="P3902" s="7" t="s">
        <v>179</v>
      </c>
    </row>
    <row r="3903" spans="1:16" x14ac:dyDescent="0.25">
      <c r="A3903" t="s">
        <v>181</v>
      </c>
      <c r="B3903" t="s">
        <v>214</v>
      </c>
      <c r="C3903" s="7" t="s">
        <v>159</v>
      </c>
      <c r="D3903" t="s">
        <v>117</v>
      </c>
      <c r="F3903" s="35">
        <v>8.9965005885644871</v>
      </c>
      <c r="G3903" s="35">
        <v>-64.621890181384359</v>
      </c>
      <c r="H3903" s="35">
        <v>-32.78634350380468</v>
      </c>
      <c r="I3903" s="35">
        <v>4.1145929170142537E-2</v>
      </c>
      <c r="J3903" s="35">
        <v>-7.3048586433596207E-6</v>
      </c>
      <c r="K3903" s="35">
        <v>1.4751201537489505E-2</v>
      </c>
      <c r="L3903" s="35">
        <v>131.80612843080917</v>
      </c>
      <c r="M3903" s="58" t="s">
        <v>23</v>
      </c>
      <c r="N3903" s="7">
        <v>9.5</v>
      </c>
      <c r="O3903" s="7" t="s">
        <v>179</v>
      </c>
      <c r="P3903" s="7" t="s">
        <v>179</v>
      </c>
    </row>
    <row r="3904" spans="1:16" x14ac:dyDescent="0.25">
      <c r="A3904" t="s">
        <v>181</v>
      </c>
      <c r="B3904" t="s">
        <v>214</v>
      </c>
      <c r="C3904" s="7" t="s">
        <v>159</v>
      </c>
      <c r="D3904" t="s">
        <v>118</v>
      </c>
      <c r="F3904" s="35">
        <v>0</v>
      </c>
      <c r="G3904" s="35">
        <v>23.647848721166298</v>
      </c>
      <c r="H3904" s="35">
        <v>-9.504299742025065</v>
      </c>
      <c r="I3904" s="35">
        <v>-1.0788442343776103</v>
      </c>
      <c r="J3904" s="35">
        <v>-5.3471024731926634E-5</v>
      </c>
      <c r="K3904" s="35">
        <v>-1.6816082637996721</v>
      </c>
      <c r="L3904" s="35">
        <v>-24.407721933014113</v>
      </c>
      <c r="M3904" s="58" t="s">
        <v>22</v>
      </c>
      <c r="N3904" s="7">
        <v>9.5</v>
      </c>
      <c r="O3904" s="7" t="s">
        <v>179</v>
      </c>
      <c r="P3904" s="7" t="s">
        <v>179</v>
      </c>
    </row>
    <row r="3905" spans="1:16" x14ac:dyDescent="0.25">
      <c r="A3905" t="s">
        <v>181</v>
      </c>
      <c r="B3905" t="s">
        <v>214</v>
      </c>
      <c r="C3905" s="7" t="s">
        <v>159</v>
      </c>
      <c r="D3905" t="s">
        <v>118</v>
      </c>
      <c r="F3905" s="35">
        <v>2</v>
      </c>
      <c r="G3905" s="35">
        <v>24.461646321166302</v>
      </c>
      <c r="H3905" s="35">
        <v>-3.7586997420250636</v>
      </c>
      <c r="I3905" s="35">
        <v>-1.0788442343776099</v>
      </c>
      <c r="J3905" s="35">
        <v>-5.3471024731926634E-5</v>
      </c>
      <c r="K3905" s="35">
        <v>0.47608020495554809</v>
      </c>
      <c r="L3905" s="35">
        <v>-11.144722448963986</v>
      </c>
      <c r="M3905" s="58" t="s">
        <v>22</v>
      </c>
      <c r="N3905" s="7">
        <v>9.5</v>
      </c>
      <c r="O3905" s="7" t="s">
        <v>179</v>
      </c>
      <c r="P3905" s="7" t="s">
        <v>179</v>
      </c>
    </row>
    <row r="3906" spans="1:16" x14ac:dyDescent="0.25">
      <c r="A3906" t="s">
        <v>181</v>
      </c>
      <c r="B3906" t="s">
        <v>214</v>
      </c>
      <c r="C3906" s="7" t="s">
        <v>159</v>
      </c>
      <c r="D3906" t="s">
        <v>118</v>
      </c>
      <c r="F3906" s="35">
        <v>2</v>
      </c>
      <c r="G3906" s="35">
        <v>23.409709636731847</v>
      </c>
      <c r="H3906" s="35">
        <v>-3.7587043679968257</v>
      </c>
      <c r="I3906" s="35">
        <v>6.4228317772371979E-2</v>
      </c>
      <c r="J3906" s="35">
        <v>-8.8221856530637643E-5</v>
      </c>
      <c r="K3906" s="35">
        <v>0.47608020495554798</v>
      </c>
      <c r="L3906" s="35">
        <v>-11.144685381410069</v>
      </c>
      <c r="M3906" s="58" t="s">
        <v>22</v>
      </c>
      <c r="N3906" s="7">
        <v>9.5</v>
      </c>
      <c r="O3906" s="7" t="s">
        <v>179</v>
      </c>
      <c r="P3906" s="7" t="s">
        <v>179</v>
      </c>
    </row>
    <row r="3907" spans="1:16" x14ac:dyDescent="0.25">
      <c r="A3907" t="s">
        <v>181</v>
      </c>
      <c r="B3907" t="s">
        <v>214</v>
      </c>
      <c r="C3907" s="7" t="s">
        <v>159</v>
      </c>
      <c r="D3907" t="s">
        <v>118</v>
      </c>
      <c r="F3907" s="35">
        <v>4.4982502942822435</v>
      </c>
      <c r="G3907" s="35">
        <v>24.426244683574939</v>
      </c>
      <c r="H3907" s="35">
        <v>3.4182690774172073</v>
      </c>
      <c r="I3907" s="35">
        <v>6.4228317772372423E-2</v>
      </c>
      <c r="J3907" s="35">
        <v>-8.8221856530637643E-5</v>
      </c>
      <c r="K3907" s="35">
        <v>0.3156217911794657</v>
      </c>
      <c r="L3907" s="35">
        <v>-10.719439098972773</v>
      </c>
      <c r="M3907" s="58" t="s">
        <v>24</v>
      </c>
      <c r="N3907" s="7">
        <v>9.5</v>
      </c>
      <c r="O3907" s="7" t="s">
        <v>179</v>
      </c>
      <c r="P3907" s="7" t="s">
        <v>179</v>
      </c>
    </row>
    <row r="3908" spans="1:16" x14ac:dyDescent="0.25">
      <c r="A3908" t="s">
        <v>181</v>
      </c>
      <c r="B3908" t="s">
        <v>214</v>
      </c>
      <c r="C3908" s="7" t="s">
        <v>159</v>
      </c>
      <c r="D3908" t="s">
        <v>118</v>
      </c>
      <c r="F3908" s="35">
        <v>8.9965005885644871</v>
      </c>
      <c r="G3908" s="35">
        <v>26.256577330418029</v>
      </c>
      <c r="H3908" s="35">
        <v>16.340842522831242</v>
      </c>
      <c r="I3908" s="35">
        <v>6.4228317772373214E-2</v>
      </c>
      <c r="J3908" s="35">
        <v>-8.8221856530637643E-5</v>
      </c>
      <c r="K3908" s="35">
        <v>2.6706741858636172E-2</v>
      </c>
      <c r="L3908" s="35">
        <v>-55.160153884259415</v>
      </c>
      <c r="M3908" s="58" t="s">
        <v>23</v>
      </c>
      <c r="N3908" s="7">
        <v>9.5</v>
      </c>
      <c r="O3908" s="7" t="s">
        <v>179</v>
      </c>
      <c r="P3908" s="7" t="s">
        <v>179</v>
      </c>
    </row>
    <row r="3909" spans="1:16" x14ac:dyDescent="0.25">
      <c r="A3909" t="s">
        <v>181</v>
      </c>
      <c r="B3909" t="s">
        <v>214</v>
      </c>
      <c r="C3909" s="7" t="s">
        <v>159</v>
      </c>
      <c r="D3909" t="s">
        <v>119</v>
      </c>
      <c r="F3909" s="35">
        <v>0</v>
      </c>
      <c r="G3909" s="35">
        <v>-24.744289100621369</v>
      </c>
      <c r="H3909" s="35">
        <v>-24.136636468373446</v>
      </c>
      <c r="I3909" s="35">
        <v>-0.75375952070735774</v>
      </c>
      <c r="J3909" s="35">
        <v>-1.7983563070254373E-5</v>
      </c>
      <c r="K3909" s="35">
        <v>-1.1825331396714218</v>
      </c>
      <c r="L3909" s="35">
        <v>-111.63000276440185</v>
      </c>
      <c r="M3909" s="58" t="s">
        <v>22</v>
      </c>
      <c r="N3909" s="7">
        <v>9.5</v>
      </c>
      <c r="O3909" s="7" t="s">
        <v>179</v>
      </c>
      <c r="P3909" s="7" t="s">
        <v>179</v>
      </c>
    </row>
    <row r="3910" spans="1:16" x14ac:dyDescent="0.25">
      <c r="A3910" t="s">
        <v>181</v>
      </c>
      <c r="B3910" t="s">
        <v>214</v>
      </c>
      <c r="C3910" s="7" t="s">
        <v>159</v>
      </c>
      <c r="D3910" t="s">
        <v>119</v>
      </c>
      <c r="F3910" s="35">
        <v>2</v>
      </c>
      <c r="G3910" s="35">
        <v>-23.930491500621365</v>
      </c>
      <c r="H3910" s="35">
        <v>-22.624636468373446</v>
      </c>
      <c r="I3910" s="35">
        <v>-0.75375952070735763</v>
      </c>
      <c r="J3910" s="35">
        <v>-1.7983563070254373E-5</v>
      </c>
      <c r="K3910" s="35">
        <v>0.32498590174329328</v>
      </c>
      <c r="L3910" s="35">
        <v>-64.868729827654974</v>
      </c>
      <c r="M3910" s="58" t="s">
        <v>22</v>
      </c>
      <c r="N3910" s="7">
        <v>9.5</v>
      </c>
      <c r="O3910" s="7" t="s">
        <v>179</v>
      </c>
      <c r="P3910" s="7" t="s">
        <v>179</v>
      </c>
    </row>
    <row r="3911" spans="1:16" x14ac:dyDescent="0.25">
      <c r="A3911" t="s">
        <v>181</v>
      </c>
      <c r="B3911" t="s">
        <v>214</v>
      </c>
      <c r="C3911" s="7" t="s">
        <v>159</v>
      </c>
      <c r="D3911" t="s">
        <v>119</v>
      </c>
      <c r="F3911" s="35">
        <v>2</v>
      </c>
      <c r="G3911" s="35">
        <v>-24.658777742554982</v>
      </c>
      <c r="H3911" s="35">
        <v>-22.624625168618277</v>
      </c>
      <c r="I3911" s="35">
        <v>4.4087817759248263E-2</v>
      </c>
      <c r="J3911" s="35">
        <v>-3.2553358474780369E-5</v>
      </c>
      <c r="K3911" s="35">
        <v>0.32498590174329384</v>
      </c>
      <c r="L3911" s="35">
        <v>-64.86871428653977</v>
      </c>
      <c r="M3911" s="58" t="s">
        <v>22</v>
      </c>
      <c r="N3911" s="7">
        <v>9.5</v>
      </c>
      <c r="O3911" s="7" t="s">
        <v>179</v>
      </c>
      <c r="P3911" s="7" t="s">
        <v>179</v>
      </c>
    </row>
    <row r="3912" spans="1:16" x14ac:dyDescent="0.25">
      <c r="A3912" t="s">
        <v>181</v>
      </c>
      <c r="B3912" t="s">
        <v>214</v>
      </c>
      <c r="C3912" s="7" t="s">
        <v>159</v>
      </c>
      <c r="D3912" t="s">
        <v>119</v>
      </c>
      <c r="F3912" s="35">
        <v>4.4982502942822435</v>
      </c>
      <c r="G3912" s="35">
        <v>-23.642242695711889</v>
      </c>
      <c r="H3912" s="35">
        <v>-20.7359479461409</v>
      </c>
      <c r="I3912" s="35">
        <v>4.4087817759248381E-2</v>
      </c>
      <c r="J3912" s="35">
        <v>-3.2553358474780369E-5</v>
      </c>
      <c r="K3912" s="35">
        <v>0.21484349805198974</v>
      </c>
      <c r="L3912" s="35">
        <v>-10.705932014442858</v>
      </c>
      <c r="M3912" s="58" t="s">
        <v>24</v>
      </c>
      <c r="N3912" s="7">
        <v>9.5</v>
      </c>
      <c r="O3912" s="7" t="s">
        <v>179</v>
      </c>
      <c r="P3912" s="7" t="s">
        <v>179</v>
      </c>
    </row>
    <row r="3913" spans="1:16" x14ac:dyDescent="0.25">
      <c r="A3913" t="s">
        <v>181</v>
      </c>
      <c r="B3913" t="s">
        <v>214</v>
      </c>
      <c r="C3913" s="7" t="s">
        <v>159</v>
      </c>
      <c r="D3913" t="s">
        <v>119</v>
      </c>
      <c r="F3913" s="35">
        <v>8.9965005885644871</v>
      </c>
      <c r="G3913" s="35">
        <v>-21.8119100488688</v>
      </c>
      <c r="H3913" s="35">
        <v>-17.335270723663523</v>
      </c>
      <c r="I3913" s="35">
        <v>4.4087817759248596E-2</v>
      </c>
      <c r="J3913" s="35">
        <v>-3.2553358474780369E-5</v>
      </c>
      <c r="K3913" s="35">
        <v>1.6525458842188298E-2</v>
      </c>
      <c r="L3913" s="35">
        <v>74.921003278122853</v>
      </c>
      <c r="M3913" s="58" t="s">
        <v>23</v>
      </c>
      <c r="N3913" s="7">
        <v>9.5</v>
      </c>
      <c r="O3913" s="7" t="s">
        <v>179</v>
      </c>
      <c r="P3913" s="7" t="s">
        <v>179</v>
      </c>
    </row>
    <row r="3914" spans="1:16" x14ac:dyDescent="0.25">
      <c r="A3914" t="s">
        <v>181</v>
      </c>
      <c r="B3914" t="s">
        <v>214</v>
      </c>
      <c r="C3914" s="7" t="s">
        <v>159</v>
      </c>
      <c r="D3914" t="s">
        <v>120</v>
      </c>
      <c r="F3914" s="35">
        <v>0</v>
      </c>
      <c r="G3914" s="35">
        <v>45.757312649288075</v>
      </c>
      <c r="H3914" s="35">
        <v>-5.9761020739717834</v>
      </c>
      <c r="I3914" s="35">
        <v>-4.2440609620603391</v>
      </c>
      <c r="J3914" s="35">
        <v>-1.6008938125071097E-4</v>
      </c>
      <c r="K3914" s="35">
        <v>-6.7667189141097435</v>
      </c>
      <c r="L3914" s="35">
        <v>12.474701898687099</v>
      </c>
      <c r="M3914" s="58" t="s">
        <v>22</v>
      </c>
      <c r="N3914" s="7">
        <v>9.5</v>
      </c>
      <c r="O3914" s="7" t="s">
        <v>179</v>
      </c>
      <c r="P3914" s="7" t="s">
        <v>179</v>
      </c>
    </row>
    <row r="3915" spans="1:16" x14ac:dyDescent="0.25">
      <c r="A3915" t="s">
        <v>181</v>
      </c>
      <c r="B3915" t="s">
        <v>214</v>
      </c>
      <c r="C3915" s="7" t="s">
        <v>159</v>
      </c>
      <c r="D3915" t="s">
        <v>120</v>
      </c>
      <c r="F3915" s="35">
        <v>2</v>
      </c>
      <c r="G3915" s="35">
        <v>46.571110249288083</v>
      </c>
      <c r="H3915" s="35">
        <v>2.423897926028217</v>
      </c>
      <c r="I3915" s="35">
        <v>-4.2440609620603391</v>
      </c>
      <c r="J3915" s="35">
        <v>-1.6008938125071097E-4</v>
      </c>
      <c r="K3915" s="35">
        <v>1.7214030100109354</v>
      </c>
      <c r="L3915" s="35">
        <v>16.026906046630661</v>
      </c>
      <c r="M3915" s="58" t="s">
        <v>22</v>
      </c>
      <c r="N3915" s="7">
        <v>9.5</v>
      </c>
      <c r="O3915" s="7" t="s">
        <v>179</v>
      </c>
      <c r="P3915" s="7" t="s">
        <v>179</v>
      </c>
    </row>
    <row r="3916" spans="1:16" x14ac:dyDescent="0.25">
      <c r="A3916" t="s">
        <v>181</v>
      </c>
      <c r="B3916" t="s">
        <v>214</v>
      </c>
      <c r="C3916" s="7" t="s">
        <v>159</v>
      </c>
      <c r="D3916" t="s">
        <v>120</v>
      </c>
      <c r="F3916" s="35">
        <v>2</v>
      </c>
      <c r="G3916" s="35">
        <v>42.396119214644607</v>
      </c>
      <c r="H3916" s="35">
        <v>2.4238846307574455</v>
      </c>
      <c r="I3916" s="35">
        <v>0.23027044590063103</v>
      </c>
      <c r="J3916" s="35">
        <v>-1.8959124352172142E-4</v>
      </c>
      <c r="K3916" s="35">
        <v>1.7214030100109343</v>
      </c>
      <c r="L3916" s="35">
        <v>16.026937515283738</v>
      </c>
      <c r="M3916" s="58" t="s">
        <v>22</v>
      </c>
      <c r="N3916" s="7">
        <v>9.5</v>
      </c>
      <c r="O3916" s="7" t="s">
        <v>179</v>
      </c>
      <c r="P3916" s="7" t="s">
        <v>179</v>
      </c>
    </row>
    <row r="3917" spans="1:16" x14ac:dyDescent="0.25">
      <c r="A3917" t="s">
        <v>181</v>
      </c>
      <c r="B3917" t="s">
        <v>214</v>
      </c>
      <c r="C3917" s="7" t="s">
        <v>159</v>
      </c>
      <c r="D3917" t="s">
        <v>120</v>
      </c>
      <c r="F3917" s="35">
        <v>4.4982502942822435</v>
      </c>
      <c r="G3917" s="35">
        <v>43.412654261487695</v>
      </c>
      <c r="H3917" s="35">
        <v>12.916535866742871</v>
      </c>
      <c r="I3917" s="35">
        <v>0.23027044590063167</v>
      </c>
      <c r="J3917" s="35">
        <v>-1.8959124352172142E-4</v>
      </c>
      <c r="K3917" s="35">
        <v>1.1461298007751783</v>
      </c>
      <c r="L3917" s="35">
        <v>-3.1351674958630231</v>
      </c>
      <c r="M3917" s="58" t="s">
        <v>24</v>
      </c>
      <c r="N3917" s="7">
        <v>9.5</v>
      </c>
      <c r="O3917" s="7" t="s">
        <v>179</v>
      </c>
      <c r="P3917" s="7" t="s">
        <v>179</v>
      </c>
    </row>
    <row r="3918" spans="1:16" x14ac:dyDescent="0.25">
      <c r="A3918" t="s">
        <v>181</v>
      </c>
      <c r="B3918" t="s">
        <v>214</v>
      </c>
      <c r="C3918" s="7" t="s">
        <v>159</v>
      </c>
      <c r="D3918" t="s">
        <v>120</v>
      </c>
      <c r="F3918" s="35">
        <v>8.9965005885644871</v>
      </c>
      <c r="G3918" s="35">
        <v>45.242986908330785</v>
      </c>
      <c r="H3918" s="35">
        <v>31.809187102728302</v>
      </c>
      <c r="I3918" s="35">
        <v>0.23027044590063284</v>
      </c>
      <c r="J3918" s="35">
        <v>-1.8959124352172142E-4</v>
      </c>
      <c r="K3918" s="35">
        <v>0.11031569973815568</v>
      </c>
      <c r="L3918" s="35">
        <v>-103.72891575056795</v>
      </c>
      <c r="M3918" s="58" t="s">
        <v>23</v>
      </c>
      <c r="N3918" s="7">
        <v>9.5</v>
      </c>
      <c r="O3918" s="7" t="s">
        <v>179</v>
      </c>
      <c r="P3918" s="7" t="s">
        <v>179</v>
      </c>
    </row>
    <row r="3919" spans="1:16" x14ac:dyDescent="0.25">
      <c r="A3919" t="s">
        <v>181</v>
      </c>
      <c r="B3919" t="s">
        <v>214</v>
      </c>
      <c r="C3919" s="7" t="s">
        <v>159</v>
      </c>
      <c r="D3919" t="s">
        <v>121</v>
      </c>
      <c r="F3919" s="35">
        <v>0</v>
      </c>
      <c r="G3919" s="35">
        <v>3.0391445689714449</v>
      </c>
      <c r="H3919" s="35">
        <v>-10.480748174307626</v>
      </c>
      <c r="I3919" s="35">
        <v>-3.7088990119669689</v>
      </c>
      <c r="J3919" s="35">
        <v>-1.4785290761633167E-4</v>
      </c>
      <c r="K3919" s="35">
        <v>-5.9390952772495238</v>
      </c>
      <c r="L3919" s="35">
        <v>-19.623462436787026</v>
      </c>
      <c r="M3919" s="58" t="s">
        <v>22</v>
      </c>
      <c r="N3919" s="7">
        <v>9.5</v>
      </c>
      <c r="O3919" s="7" t="s">
        <v>179</v>
      </c>
      <c r="P3919" s="7" t="s">
        <v>179</v>
      </c>
    </row>
    <row r="3920" spans="1:16" x14ac:dyDescent="0.25">
      <c r="A3920" t="s">
        <v>181</v>
      </c>
      <c r="B3920" t="s">
        <v>214</v>
      </c>
      <c r="C3920" s="7" t="s">
        <v>159</v>
      </c>
      <c r="D3920" t="s">
        <v>121</v>
      </c>
      <c r="F3920" s="35">
        <v>2</v>
      </c>
      <c r="G3920" s="35">
        <v>3.8529421689714503</v>
      </c>
      <c r="H3920" s="35">
        <v>-6.7847481743076266</v>
      </c>
      <c r="I3920" s="35">
        <v>-3.7088990119669689</v>
      </c>
      <c r="J3920" s="35">
        <v>-1.4785290761633167E-4</v>
      </c>
      <c r="K3920" s="35">
        <v>1.4787027466844145</v>
      </c>
      <c r="L3920" s="35">
        <v>-2.3579660881717719</v>
      </c>
      <c r="M3920" s="58" t="s">
        <v>22</v>
      </c>
      <c r="N3920" s="7">
        <v>9.5</v>
      </c>
      <c r="O3920" s="7" t="s">
        <v>179</v>
      </c>
      <c r="P3920" s="7" t="s">
        <v>179</v>
      </c>
    </row>
    <row r="3921" spans="1:16" x14ac:dyDescent="0.25">
      <c r="A3921" t="s">
        <v>181</v>
      </c>
      <c r="B3921" t="s">
        <v>214</v>
      </c>
      <c r="C3921" s="7" t="s">
        <v>159</v>
      </c>
      <c r="D3921" t="s">
        <v>121</v>
      </c>
      <c r="F3921" s="35">
        <v>2</v>
      </c>
      <c r="G3921" s="35">
        <v>0.20999494280778885</v>
      </c>
      <c r="H3921" s="35">
        <v>-6.784750705720648</v>
      </c>
      <c r="I3921" s="35">
        <v>0.19792117171178411</v>
      </c>
      <c r="J3921" s="35">
        <v>-1.3647147063976901E-4</v>
      </c>
      <c r="K3921" s="35">
        <v>1.4787027466844131</v>
      </c>
      <c r="L3921" s="35">
        <v>-2.3579782283711874</v>
      </c>
      <c r="M3921" s="58" t="s">
        <v>22</v>
      </c>
      <c r="N3921" s="7">
        <v>9.5</v>
      </c>
      <c r="O3921" s="7" t="s">
        <v>179</v>
      </c>
      <c r="P3921" s="7" t="s">
        <v>179</v>
      </c>
    </row>
    <row r="3922" spans="1:16" x14ac:dyDescent="0.25">
      <c r="A3922" t="s">
        <v>181</v>
      </c>
      <c r="B3922" t="s">
        <v>214</v>
      </c>
      <c r="C3922" s="7" t="s">
        <v>159</v>
      </c>
      <c r="D3922" t="s">
        <v>121</v>
      </c>
      <c r="F3922" s="35">
        <v>4.4982502942822435</v>
      </c>
      <c r="G3922" s="35">
        <v>1.2265299896508801</v>
      </c>
      <c r="H3922" s="35">
        <v>-2.167984161887059</v>
      </c>
      <c r="I3922" s="35">
        <v>0.19792117171178439</v>
      </c>
      <c r="J3922" s="35">
        <v>-1.3647147063976901E-4</v>
      </c>
      <c r="K3922" s="35">
        <v>0.9842461212107616</v>
      </c>
      <c r="L3922" s="35">
        <v>8.8251080304447456</v>
      </c>
      <c r="M3922" s="58" t="s">
        <v>24</v>
      </c>
      <c r="N3922" s="7">
        <v>9.5</v>
      </c>
      <c r="O3922" s="7" t="s">
        <v>179</v>
      </c>
      <c r="P3922" s="7" t="s">
        <v>179</v>
      </c>
    </row>
    <row r="3923" spans="1:16" x14ac:dyDescent="0.25">
      <c r="A3923" t="s">
        <v>181</v>
      </c>
      <c r="B3923" t="s">
        <v>214</v>
      </c>
      <c r="C3923" s="7" t="s">
        <v>159</v>
      </c>
      <c r="D3923" t="s">
        <v>121</v>
      </c>
      <c r="F3923" s="35">
        <v>8.9965005885644871</v>
      </c>
      <c r="G3923" s="35">
        <v>3.0568626364939693</v>
      </c>
      <c r="H3923" s="35">
        <v>6.1447823819465288</v>
      </c>
      <c r="I3923" s="35">
        <v>0.19792117171178489</v>
      </c>
      <c r="J3923" s="35">
        <v>-1.3647147063976901E-4</v>
      </c>
      <c r="K3923" s="35">
        <v>9.3947152313539714E-2</v>
      </c>
      <c r="L3923" s="35">
        <v>-0.11920885139705238</v>
      </c>
      <c r="M3923" s="58" t="s">
        <v>23</v>
      </c>
      <c r="N3923" s="7">
        <v>9.5</v>
      </c>
      <c r="O3923" s="7" t="s">
        <v>179</v>
      </c>
      <c r="P3923" s="7" t="s">
        <v>179</v>
      </c>
    </row>
    <row r="3924" spans="1:16" x14ac:dyDescent="0.25">
      <c r="A3924" t="s">
        <v>181</v>
      </c>
      <c r="B3924" t="s">
        <v>214</v>
      </c>
      <c r="C3924" s="7" t="s">
        <v>159</v>
      </c>
      <c r="D3924" t="s">
        <v>122</v>
      </c>
      <c r="F3924" s="35">
        <v>0</v>
      </c>
      <c r="G3924" s="35">
        <v>29.399570494729176</v>
      </c>
      <c r="H3924" s="35">
        <v>-5.9788585090212409</v>
      </c>
      <c r="I3924" s="35">
        <v>4.1661560190989135</v>
      </c>
      <c r="J3924" s="35">
        <v>1.9303559712022104E-4</v>
      </c>
      <c r="K3924" s="35">
        <v>6.6612165554929579</v>
      </c>
      <c r="L3924" s="35">
        <v>11.886531185673867</v>
      </c>
      <c r="M3924" s="58" t="s">
        <v>22</v>
      </c>
      <c r="N3924" s="7">
        <v>9.5</v>
      </c>
      <c r="O3924" s="7" t="s">
        <v>179</v>
      </c>
      <c r="P3924" s="7" t="s">
        <v>179</v>
      </c>
    </row>
    <row r="3925" spans="1:16" x14ac:dyDescent="0.25">
      <c r="A3925" t="s">
        <v>181</v>
      </c>
      <c r="B3925" t="s">
        <v>214</v>
      </c>
      <c r="C3925" s="7" t="s">
        <v>159</v>
      </c>
      <c r="D3925" t="s">
        <v>122</v>
      </c>
      <c r="F3925" s="35">
        <v>2</v>
      </c>
      <c r="G3925" s="35">
        <v>30.21336809472918</v>
      </c>
      <c r="H3925" s="35">
        <v>2.4211414909787594</v>
      </c>
      <c r="I3925" s="35">
        <v>4.1661560190989135</v>
      </c>
      <c r="J3925" s="35">
        <v>1.9303559712022104E-4</v>
      </c>
      <c r="K3925" s="35">
        <v>-1.6710954827048661</v>
      </c>
      <c r="L3925" s="35">
        <v>15.444248203716356</v>
      </c>
      <c r="M3925" s="58" t="s">
        <v>22</v>
      </c>
      <c r="N3925" s="7">
        <v>9.5</v>
      </c>
      <c r="O3925" s="7" t="s">
        <v>179</v>
      </c>
      <c r="P3925" s="7" t="s">
        <v>179</v>
      </c>
    </row>
    <row r="3926" spans="1:16" x14ac:dyDescent="0.25">
      <c r="A3926" t="s">
        <v>181</v>
      </c>
      <c r="B3926" t="s">
        <v>214</v>
      </c>
      <c r="C3926" s="7" t="s">
        <v>159</v>
      </c>
      <c r="D3926" t="s">
        <v>122</v>
      </c>
      <c r="F3926" s="35">
        <v>2</v>
      </c>
      <c r="G3926" s="35">
        <v>34.347026318300642</v>
      </c>
      <c r="H3926" s="35">
        <v>2.4211334802175108</v>
      </c>
      <c r="I3926" s="35">
        <v>-0.2220710212879628</v>
      </c>
      <c r="J3926" s="35">
        <v>1.6401567707100738E-4</v>
      </c>
      <c r="K3926" s="35">
        <v>-1.671095482704871</v>
      </c>
      <c r="L3926" s="35">
        <v>15.444279158297684</v>
      </c>
      <c r="M3926" s="58" t="s">
        <v>22</v>
      </c>
      <c r="N3926" s="7">
        <v>9.5</v>
      </c>
      <c r="O3926" s="7" t="s">
        <v>179</v>
      </c>
      <c r="P3926" s="7" t="s">
        <v>179</v>
      </c>
    </row>
    <row r="3927" spans="1:16" x14ac:dyDescent="0.25">
      <c r="A3927" t="s">
        <v>181</v>
      </c>
      <c r="B3927" t="s">
        <v>214</v>
      </c>
      <c r="C3927" s="7" t="s">
        <v>159</v>
      </c>
      <c r="D3927" t="s">
        <v>122</v>
      </c>
      <c r="F3927" s="35">
        <v>4.4982502942822435</v>
      </c>
      <c r="G3927" s="35">
        <v>35.363561365143731</v>
      </c>
      <c r="H3927" s="35">
        <v>12.91378471620294</v>
      </c>
      <c r="I3927" s="35">
        <v>-0.22207102128796216</v>
      </c>
      <c r="J3927" s="35">
        <v>1.6401567707100738E-4</v>
      </c>
      <c r="K3927" s="35">
        <v>-1.1163064884206606</v>
      </c>
      <c r="L3927" s="35">
        <v>-3.7109527902030748</v>
      </c>
      <c r="M3927" s="58" t="s">
        <v>24</v>
      </c>
      <c r="N3927" s="7">
        <v>9.5</v>
      </c>
      <c r="O3927" s="7" t="s">
        <v>179</v>
      </c>
      <c r="P3927" s="7" t="s">
        <v>179</v>
      </c>
    </row>
    <row r="3928" spans="1:16" x14ac:dyDescent="0.25">
      <c r="A3928" t="s">
        <v>181</v>
      </c>
      <c r="B3928" t="s">
        <v>214</v>
      </c>
      <c r="C3928" s="7" t="s">
        <v>159</v>
      </c>
      <c r="D3928" t="s">
        <v>122</v>
      </c>
      <c r="F3928" s="35">
        <v>8.9965005885644871</v>
      </c>
      <c r="G3928" s="35">
        <v>37.193894011986821</v>
      </c>
      <c r="H3928" s="35">
        <v>31.806435952188373</v>
      </c>
      <c r="I3928" s="35">
        <v>-0.222071021287961</v>
      </c>
      <c r="J3928" s="35">
        <v>1.6401567707100738E-4</v>
      </c>
      <c r="K3928" s="35">
        <v>-0.11737545156052867</v>
      </c>
      <c r="L3928" s="35">
        <v>-104.29232568118212</v>
      </c>
      <c r="M3928" s="58" t="s">
        <v>23</v>
      </c>
      <c r="N3928" s="7">
        <v>9.5</v>
      </c>
      <c r="O3928" s="7" t="s">
        <v>179</v>
      </c>
      <c r="P3928" s="7" t="s">
        <v>179</v>
      </c>
    </row>
    <row r="3929" spans="1:16" x14ac:dyDescent="0.25">
      <c r="A3929" t="s">
        <v>181</v>
      </c>
      <c r="B3929" t="s">
        <v>214</v>
      </c>
      <c r="C3929" s="7" t="s">
        <v>159</v>
      </c>
      <c r="D3929" t="s">
        <v>123</v>
      </c>
      <c r="F3929" s="35">
        <v>0</v>
      </c>
      <c r="G3929" s="35">
        <v>-13.325454672631903</v>
      </c>
      <c r="H3929" s="35">
        <v>-10.483444069119718</v>
      </c>
      <c r="I3929" s="35">
        <v>4.7047481090658483</v>
      </c>
      <c r="J3929" s="35">
        <v>2.0473546833505555E-4</v>
      </c>
      <c r="K3929" s="35">
        <v>7.4943154425322698</v>
      </c>
      <c r="L3929" s="35">
        <v>-20.210465440029378</v>
      </c>
      <c r="M3929" s="58" t="s">
        <v>22</v>
      </c>
      <c r="N3929" s="7">
        <v>9.5</v>
      </c>
      <c r="O3929" s="7" t="s">
        <v>179</v>
      </c>
      <c r="P3929" s="7" t="s">
        <v>179</v>
      </c>
    </row>
    <row r="3930" spans="1:16" x14ac:dyDescent="0.25">
      <c r="A3930" t="s">
        <v>181</v>
      </c>
      <c r="B3930" t="s">
        <v>214</v>
      </c>
      <c r="C3930" s="7" t="s">
        <v>159</v>
      </c>
      <c r="D3930" t="s">
        <v>123</v>
      </c>
      <c r="F3930" s="35">
        <v>2</v>
      </c>
      <c r="G3930" s="35">
        <v>-12.511657072631898</v>
      </c>
      <c r="H3930" s="35">
        <v>-6.7874440691197186</v>
      </c>
      <c r="I3930" s="35">
        <v>4.7047481090658483</v>
      </c>
      <c r="J3930" s="35">
        <v>2.0473546833505555E-4</v>
      </c>
      <c r="K3930" s="35">
        <v>-1.9151807755994257</v>
      </c>
      <c r="L3930" s="35">
        <v>-2.9395773017899387</v>
      </c>
      <c r="M3930" s="58" t="s">
        <v>22</v>
      </c>
      <c r="N3930" s="7">
        <v>9.5</v>
      </c>
      <c r="O3930" s="7" t="s">
        <v>179</v>
      </c>
      <c r="P3930" s="7" t="s">
        <v>179</v>
      </c>
    </row>
    <row r="3931" spans="1:16" x14ac:dyDescent="0.25">
      <c r="A3931" t="s">
        <v>181</v>
      </c>
      <c r="B3931" t="s">
        <v>214</v>
      </c>
      <c r="C3931" s="7" t="s">
        <v>159</v>
      </c>
      <c r="D3931" t="s">
        <v>123</v>
      </c>
      <c r="F3931" s="35">
        <v>2</v>
      </c>
      <c r="G3931" s="35">
        <v>-7.8425661318422044</v>
      </c>
      <c r="H3931" s="35">
        <v>-6.787441317909269</v>
      </c>
      <c r="I3931" s="35">
        <v>-0.25460499110341794</v>
      </c>
      <c r="J3931" s="35">
        <v>2.1659884631372115E-4</v>
      </c>
      <c r="K3931" s="35">
        <v>-1.9151807755994235</v>
      </c>
      <c r="L3931" s="35">
        <v>-2.93958995605982</v>
      </c>
      <c r="M3931" s="58" t="s">
        <v>22</v>
      </c>
      <c r="N3931" s="7">
        <v>9.5</v>
      </c>
      <c r="O3931" s="7" t="s">
        <v>179</v>
      </c>
      <c r="P3931" s="7" t="s">
        <v>179</v>
      </c>
    </row>
    <row r="3932" spans="1:16" x14ac:dyDescent="0.25">
      <c r="A3932" t="s">
        <v>181</v>
      </c>
      <c r="B3932" t="s">
        <v>214</v>
      </c>
      <c r="C3932" s="7" t="s">
        <v>159</v>
      </c>
      <c r="D3932" t="s">
        <v>123</v>
      </c>
      <c r="F3932" s="35">
        <v>4.4982502942822435</v>
      </c>
      <c r="G3932" s="35">
        <v>-6.826031084999113</v>
      </c>
      <c r="H3932" s="35">
        <v>-2.1706747740756813</v>
      </c>
      <c r="I3932" s="35">
        <v>-0.25460499110341767</v>
      </c>
      <c r="J3932" s="35">
        <v>2.1659884631372115E-4</v>
      </c>
      <c r="K3932" s="35">
        <v>-1.2791137816495819</v>
      </c>
      <c r="L3932" s="35">
        <v>8.2502181254481339</v>
      </c>
      <c r="M3932" s="58" t="s">
        <v>24</v>
      </c>
      <c r="N3932" s="7">
        <v>9.5</v>
      </c>
      <c r="O3932" s="7" t="s">
        <v>179</v>
      </c>
      <c r="P3932" s="7" t="s">
        <v>179</v>
      </c>
    </row>
    <row r="3933" spans="1:16" x14ac:dyDescent="0.25">
      <c r="A3933" t="s">
        <v>181</v>
      </c>
      <c r="B3933" t="s">
        <v>214</v>
      </c>
      <c r="C3933" s="7" t="s">
        <v>159</v>
      </c>
      <c r="D3933" t="s">
        <v>123</v>
      </c>
      <c r="F3933" s="35">
        <v>8.9965005885644871</v>
      </c>
      <c r="G3933" s="35">
        <v>-4.9956984381560243</v>
      </c>
      <c r="H3933" s="35">
        <v>6.1420917697579087</v>
      </c>
      <c r="I3933" s="35">
        <v>-0.25460499110341717</v>
      </c>
      <c r="J3933" s="35">
        <v>2.1659884631372115E-4</v>
      </c>
      <c r="K3933" s="35">
        <v>-0.13383680549290636</v>
      </c>
      <c r="L3933" s="35">
        <v>-0.68199570932440445</v>
      </c>
      <c r="M3933" s="58" t="s">
        <v>23</v>
      </c>
      <c r="N3933" s="7">
        <v>9.5</v>
      </c>
      <c r="O3933" s="7" t="s">
        <v>179</v>
      </c>
      <c r="P3933" s="7" t="s">
        <v>179</v>
      </c>
    </row>
    <row r="3934" spans="1:16" x14ac:dyDescent="0.25">
      <c r="A3934" t="s">
        <v>181</v>
      </c>
      <c r="B3934" t="s">
        <v>214</v>
      </c>
      <c r="C3934" s="7" t="s">
        <v>159</v>
      </c>
      <c r="D3934" t="s">
        <v>124</v>
      </c>
      <c r="F3934" s="35">
        <v>0</v>
      </c>
      <c r="G3934" s="35">
        <v>51.69609417901782</v>
      </c>
      <c r="H3934" s="35">
        <v>40.894580701171293</v>
      </c>
      <c r="I3934" s="35">
        <v>-1.4218239684881218</v>
      </c>
      <c r="J3934" s="35">
        <v>-4.5413455148600199E-5</v>
      </c>
      <c r="K3934" s="35">
        <v>-2.2098565492783462</v>
      </c>
      <c r="L3934" s="35">
        <v>122.95923318671355</v>
      </c>
      <c r="M3934" s="58" t="s">
        <v>22</v>
      </c>
      <c r="N3934" s="7">
        <v>9.5</v>
      </c>
      <c r="O3934" s="7" t="s">
        <v>179</v>
      </c>
      <c r="P3934" s="7" t="s">
        <v>179</v>
      </c>
    </row>
    <row r="3935" spans="1:16" x14ac:dyDescent="0.25">
      <c r="A3935" t="s">
        <v>181</v>
      </c>
      <c r="B3935" t="s">
        <v>214</v>
      </c>
      <c r="C3935" s="7" t="s">
        <v>159</v>
      </c>
      <c r="D3935" t="s">
        <v>124</v>
      </c>
      <c r="F3935" s="35">
        <v>2</v>
      </c>
      <c r="G3935" s="35">
        <v>52.509891779017828</v>
      </c>
      <c r="H3935" s="35">
        <v>34.846580701171298</v>
      </c>
      <c r="I3935" s="35">
        <v>-1.4218239684881222</v>
      </c>
      <c r="J3935" s="35">
        <v>-4.5413455148600199E-5</v>
      </c>
      <c r="K3935" s="35">
        <v>0.63379138769789733</v>
      </c>
      <c r="L3935" s="35">
        <v>47.218071784370963</v>
      </c>
      <c r="M3935" s="58" t="s">
        <v>22</v>
      </c>
      <c r="N3935" s="7">
        <v>9.5</v>
      </c>
      <c r="O3935" s="7" t="s">
        <v>179</v>
      </c>
      <c r="P3935" s="7" t="s">
        <v>179</v>
      </c>
    </row>
    <row r="3936" spans="1:16" x14ac:dyDescent="0.25">
      <c r="A3936" t="s">
        <v>181</v>
      </c>
      <c r="B3936" t="s">
        <v>214</v>
      </c>
      <c r="C3936" s="7" t="s">
        <v>159</v>
      </c>
      <c r="D3936" t="s">
        <v>124</v>
      </c>
      <c r="F3936" s="35">
        <v>2</v>
      </c>
      <c r="G3936" s="35">
        <v>51.116693413964256</v>
      </c>
      <c r="H3936" s="35">
        <v>34.846566405188213</v>
      </c>
      <c r="I3936" s="35">
        <v>8.5259563919050707E-2</v>
      </c>
      <c r="J3936" s="35">
        <v>-1.0970543888678482E-4</v>
      </c>
      <c r="K3936" s="35">
        <v>0.63379138769789656</v>
      </c>
      <c r="L3936" s="35">
        <v>47.218140362486984</v>
      </c>
      <c r="M3936" s="58" t="s">
        <v>22</v>
      </c>
      <c r="N3936" s="7">
        <v>9.5</v>
      </c>
      <c r="O3936" s="7" t="s">
        <v>179</v>
      </c>
      <c r="P3936" s="7" t="s">
        <v>179</v>
      </c>
    </row>
    <row r="3937" spans="1:16" x14ac:dyDescent="0.25">
      <c r="A3937" t="s">
        <v>181</v>
      </c>
      <c r="B3937" t="s">
        <v>214</v>
      </c>
      <c r="C3937" s="7" t="s">
        <v>159</v>
      </c>
      <c r="D3937" t="s">
        <v>124</v>
      </c>
      <c r="F3937" s="35">
        <v>4.4982502942822435</v>
      </c>
      <c r="G3937" s="35">
        <v>52.133228460807352</v>
      </c>
      <c r="H3937" s="35">
        <v>27.291857515278707</v>
      </c>
      <c r="I3937" s="35">
        <v>8.5259563919050235E-2</v>
      </c>
      <c r="J3937" s="35">
        <v>-1.0970543888678482E-4</v>
      </c>
      <c r="K3937" s="35">
        <v>0.42079165704675298</v>
      </c>
      <c r="L3937" s="35">
        <v>-30.400527560283653</v>
      </c>
      <c r="M3937" s="58" t="s">
        <v>24</v>
      </c>
      <c r="N3937" s="7">
        <v>9.5</v>
      </c>
      <c r="O3937" s="7" t="s">
        <v>179</v>
      </c>
      <c r="P3937" s="7" t="s">
        <v>179</v>
      </c>
    </row>
    <row r="3938" spans="1:16" x14ac:dyDescent="0.25">
      <c r="A3938" t="s">
        <v>181</v>
      </c>
      <c r="B3938" t="s">
        <v>214</v>
      </c>
      <c r="C3938" s="7" t="s">
        <v>159</v>
      </c>
      <c r="D3938" t="s">
        <v>124</v>
      </c>
      <c r="F3938" s="35">
        <v>8.9965005885644871</v>
      </c>
      <c r="G3938" s="35">
        <v>53.963561107650442</v>
      </c>
      <c r="H3938" s="35">
        <v>13.689148625369196</v>
      </c>
      <c r="I3938" s="35">
        <v>8.5259563919049403E-2</v>
      </c>
      <c r="J3938" s="35">
        <v>-1.0970543888678482E-4</v>
      </c>
      <c r="K3938" s="35">
        <v>3.7272798557511276E-2</v>
      </c>
      <c r="L3938" s="35">
        <v>-122.57193902635959</v>
      </c>
      <c r="M3938" s="58" t="s">
        <v>23</v>
      </c>
      <c r="N3938" s="7">
        <v>9.5</v>
      </c>
      <c r="O3938" s="7" t="s">
        <v>179</v>
      </c>
      <c r="P3938" s="7" t="s">
        <v>179</v>
      </c>
    </row>
    <row r="3939" spans="1:16" x14ac:dyDescent="0.25">
      <c r="A3939" t="s">
        <v>181</v>
      </c>
      <c r="B3939" t="s">
        <v>214</v>
      </c>
      <c r="C3939" s="7" t="s">
        <v>159</v>
      </c>
      <c r="D3939" t="s">
        <v>125</v>
      </c>
      <c r="F3939" s="35">
        <v>0</v>
      </c>
      <c r="G3939" s="35">
        <v>-66.917598993508136</v>
      </c>
      <c r="H3939" s="35">
        <v>15.244404096752799</v>
      </c>
      <c r="I3939" s="35">
        <v>-0.80885518324087902</v>
      </c>
      <c r="J3939" s="35">
        <v>-1.0368279435607743E-4</v>
      </c>
      <c r="K3939" s="35">
        <v>-1.2764294365270923</v>
      </c>
      <c r="L3939" s="35">
        <v>46.845928387826454</v>
      </c>
      <c r="M3939" s="58" t="s">
        <v>22</v>
      </c>
      <c r="N3939" s="7">
        <v>9.5</v>
      </c>
      <c r="O3939" s="7" t="s">
        <v>179</v>
      </c>
      <c r="P3939" s="7" t="s">
        <v>179</v>
      </c>
    </row>
    <row r="3940" spans="1:16" x14ac:dyDescent="0.25">
      <c r="A3940" t="s">
        <v>181</v>
      </c>
      <c r="B3940" t="s">
        <v>214</v>
      </c>
      <c r="C3940" s="7" t="s">
        <v>159</v>
      </c>
      <c r="D3940" t="s">
        <v>125</v>
      </c>
      <c r="F3940" s="35">
        <v>2</v>
      </c>
      <c r="G3940" s="35">
        <v>-66.103801393508121</v>
      </c>
      <c r="H3940" s="35">
        <v>4.4924040967527938</v>
      </c>
      <c r="I3940" s="35">
        <v>-0.8088551832408799</v>
      </c>
      <c r="J3940" s="35">
        <v>-1.0368279435607743E-4</v>
      </c>
      <c r="K3940" s="35">
        <v>0.34128092995466636</v>
      </c>
      <c r="L3940" s="35">
        <v>27.109120194320859</v>
      </c>
      <c r="M3940" s="58" t="s">
        <v>22</v>
      </c>
      <c r="N3940" s="7">
        <v>9.5</v>
      </c>
      <c r="O3940" s="7" t="s">
        <v>179</v>
      </c>
      <c r="P3940" s="7" t="s">
        <v>179</v>
      </c>
    </row>
    <row r="3941" spans="1:16" x14ac:dyDescent="0.25">
      <c r="A3941" t="s">
        <v>181</v>
      </c>
      <c r="B3941" t="s">
        <v>214</v>
      </c>
      <c r="C3941" s="7" t="s">
        <v>159</v>
      </c>
      <c r="D3941" t="s">
        <v>125</v>
      </c>
      <c r="F3941" s="35">
        <v>2</v>
      </c>
      <c r="G3941" s="35">
        <v>-66.885813418649775</v>
      </c>
      <c r="H3941" s="35">
        <v>4.4924129367465389</v>
      </c>
      <c r="I3941" s="35">
        <v>4.6300845159906866E-2</v>
      </c>
      <c r="J3941" s="35">
        <v>-1.2719455556461465E-5</v>
      </c>
      <c r="K3941" s="35">
        <v>0.34128092995466686</v>
      </c>
      <c r="L3941" s="35">
        <v>27.109023166759343</v>
      </c>
      <c r="M3941" s="58" t="s">
        <v>22</v>
      </c>
      <c r="N3941" s="7">
        <v>9.5</v>
      </c>
      <c r="O3941" s="7" t="s">
        <v>179</v>
      </c>
      <c r="P3941" s="7" t="s">
        <v>179</v>
      </c>
    </row>
    <row r="3942" spans="1:16" x14ac:dyDescent="0.25">
      <c r="A3942" t="s">
        <v>181</v>
      </c>
      <c r="B3942" t="s">
        <v>214</v>
      </c>
      <c r="C3942" s="7" t="s">
        <v>159</v>
      </c>
      <c r="D3942" t="s">
        <v>125</v>
      </c>
      <c r="F3942" s="35">
        <v>4.4982502942822435</v>
      </c>
      <c r="G3942" s="35">
        <v>-65.869278371806686</v>
      </c>
      <c r="H3942" s="35">
        <v>-8.9381806453148034</v>
      </c>
      <c r="I3942" s="35">
        <v>4.6300845159906047E-2</v>
      </c>
      <c r="J3942" s="35">
        <v>-1.2719455556461465E-5</v>
      </c>
      <c r="K3942" s="35">
        <v>0.22560982990841397</v>
      </c>
      <c r="L3942" s="35">
        <v>32.662343409879931</v>
      </c>
      <c r="M3942" s="58" t="s">
        <v>24</v>
      </c>
      <c r="N3942" s="7">
        <v>9.5</v>
      </c>
      <c r="O3942" s="7" t="s">
        <v>179</v>
      </c>
      <c r="P3942" s="7" t="s">
        <v>179</v>
      </c>
    </row>
    <row r="3943" spans="1:16" x14ac:dyDescent="0.25">
      <c r="A3943" t="s">
        <v>181</v>
      </c>
      <c r="B3943" t="s">
        <v>214</v>
      </c>
      <c r="C3943" s="7" t="s">
        <v>159</v>
      </c>
      <c r="D3943" t="s">
        <v>125</v>
      </c>
      <c r="F3943" s="35">
        <v>8.9965005885644871</v>
      </c>
      <c r="G3943" s="35">
        <v>-64.038945724963597</v>
      </c>
      <c r="H3943" s="35">
        <v>-33.120774227376153</v>
      </c>
      <c r="I3943" s="35">
        <v>4.6300845159904569E-2</v>
      </c>
      <c r="J3943" s="35">
        <v>-1.2719455556461465E-5</v>
      </c>
      <c r="K3943" s="35">
        <v>1.7337039542353286E-2</v>
      </c>
      <c r="L3943" s="35">
        <v>127.2581964765228</v>
      </c>
      <c r="M3943" s="58" t="s">
        <v>23</v>
      </c>
      <c r="N3943" s="7">
        <v>9.5</v>
      </c>
      <c r="O3943" s="7" t="s">
        <v>179</v>
      </c>
      <c r="P3943" s="7" t="s">
        <v>179</v>
      </c>
    </row>
    <row r="3944" spans="1:16" x14ac:dyDescent="0.25">
      <c r="A3944" t="s">
        <v>181</v>
      </c>
      <c r="B3944" t="s">
        <v>214</v>
      </c>
      <c r="C3944" s="7" t="s">
        <v>159</v>
      </c>
      <c r="D3944" t="s">
        <v>126</v>
      </c>
      <c r="F3944" s="35">
        <v>0</v>
      </c>
      <c r="G3944" s="35">
        <v>34.455191573844559</v>
      </c>
      <c r="H3944" s="35">
        <v>-7.2518347786529178</v>
      </c>
      <c r="I3944" s="35">
        <v>-1.2063676960461895</v>
      </c>
      <c r="J3944" s="35">
        <v>-5.3610369514652536E-5</v>
      </c>
      <c r="K3944" s="35">
        <v>-1.8787305890686936</v>
      </c>
      <c r="L3944" s="35">
        <v>-16.547866397619959</v>
      </c>
      <c r="M3944" s="58" t="s">
        <v>22</v>
      </c>
      <c r="N3944" s="7">
        <v>9.5</v>
      </c>
      <c r="O3944" s="7" t="s">
        <v>179</v>
      </c>
      <c r="P3944" s="7" t="s">
        <v>179</v>
      </c>
    </row>
    <row r="3945" spans="1:16" x14ac:dyDescent="0.25">
      <c r="A3945" t="s">
        <v>181</v>
      </c>
      <c r="B3945" t="s">
        <v>214</v>
      </c>
      <c r="C3945" s="7" t="s">
        <v>159</v>
      </c>
      <c r="D3945" t="s">
        <v>126</v>
      </c>
      <c r="F3945" s="35">
        <v>2</v>
      </c>
      <c r="G3945" s="35">
        <v>35.268989173844567</v>
      </c>
      <c r="H3945" s="35">
        <v>-0.86783477865291558</v>
      </c>
      <c r="I3945" s="35">
        <v>-1.2063676960461891</v>
      </c>
      <c r="J3945" s="35">
        <v>-5.3610369514652536E-5</v>
      </c>
      <c r="K3945" s="35">
        <v>0.53400480302368514</v>
      </c>
      <c r="L3945" s="35">
        <v>-8.4281968403141239</v>
      </c>
      <c r="M3945" s="58" t="s">
        <v>22</v>
      </c>
      <c r="N3945" s="7">
        <v>9.5</v>
      </c>
      <c r="O3945" s="7" t="s">
        <v>179</v>
      </c>
      <c r="P3945" s="7" t="s">
        <v>179</v>
      </c>
    </row>
    <row r="3946" spans="1:16" x14ac:dyDescent="0.25">
      <c r="A3946" t="s">
        <v>181</v>
      </c>
      <c r="B3946" t="s">
        <v>214</v>
      </c>
      <c r="C3946" s="7" t="s">
        <v>159</v>
      </c>
      <c r="D3946" t="s">
        <v>126</v>
      </c>
      <c r="F3946" s="35">
        <v>2</v>
      </c>
      <c r="G3946" s="35">
        <v>34.090261594463975</v>
      </c>
      <c r="H3946" s="35">
        <v>-0.867841854256312</v>
      </c>
      <c r="I3946" s="35">
        <v>7.1947943606826173E-2</v>
      </c>
      <c r="J3946" s="35">
        <v>-1.0262723098677039E-4</v>
      </c>
      <c r="K3946" s="35">
        <v>0.53400480302368492</v>
      </c>
      <c r="L3946" s="35">
        <v>-8.4281445556618895</v>
      </c>
      <c r="M3946" s="58" t="s">
        <v>22</v>
      </c>
      <c r="N3946" s="7">
        <v>9.5</v>
      </c>
      <c r="O3946" s="7" t="s">
        <v>179</v>
      </c>
      <c r="P3946" s="7" t="s">
        <v>179</v>
      </c>
    </row>
    <row r="3947" spans="1:16" x14ac:dyDescent="0.25">
      <c r="A3947" t="s">
        <v>181</v>
      </c>
      <c r="B3947" t="s">
        <v>214</v>
      </c>
      <c r="C3947" s="7" t="s">
        <v>159</v>
      </c>
      <c r="D3947" t="s">
        <v>126</v>
      </c>
      <c r="F3947" s="35">
        <v>4.4982502942822435</v>
      </c>
      <c r="G3947" s="35">
        <v>35.106796641307071</v>
      </c>
      <c r="H3947" s="35">
        <v>7.1065730850926103</v>
      </c>
      <c r="I3947" s="35">
        <v>7.1947943606826673E-2</v>
      </c>
      <c r="J3947" s="35">
        <v>-1.0262723098677039E-4</v>
      </c>
      <c r="K3947" s="35">
        <v>0.35426083173492862</v>
      </c>
      <c r="L3947" s="35">
        <v>-16.221100622354189</v>
      </c>
      <c r="M3947" s="58" t="s">
        <v>24</v>
      </c>
      <c r="N3947" s="7">
        <v>9.5</v>
      </c>
      <c r="O3947" s="7" t="s">
        <v>179</v>
      </c>
      <c r="P3947" s="7" t="s">
        <v>179</v>
      </c>
    </row>
    <row r="3948" spans="1:16" x14ac:dyDescent="0.25">
      <c r="A3948" t="s">
        <v>181</v>
      </c>
      <c r="B3948" t="s">
        <v>214</v>
      </c>
      <c r="C3948" s="7" t="s">
        <v>159</v>
      </c>
      <c r="D3948" t="s">
        <v>126</v>
      </c>
      <c r="F3948" s="35">
        <v>8.9965005885644871</v>
      </c>
      <c r="G3948" s="35">
        <v>36.93712928815016</v>
      </c>
      <c r="H3948" s="35">
        <v>21.464988024441539</v>
      </c>
      <c r="I3948" s="35">
        <v>7.1947943606827547E-2</v>
      </c>
      <c r="J3948" s="35">
        <v>-1.0262723098677039E-4</v>
      </c>
      <c r="K3948" s="35">
        <v>3.0620973232516238E-2</v>
      </c>
      <c r="L3948" s="35">
        <v>-80.482117206886741</v>
      </c>
      <c r="M3948" s="58" t="s">
        <v>23</v>
      </c>
      <c r="N3948" s="7">
        <v>9.5</v>
      </c>
      <c r="O3948" s="7" t="s">
        <v>179</v>
      </c>
      <c r="P3948" s="7" t="s">
        <v>179</v>
      </c>
    </row>
    <row r="3949" spans="1:16" x14ac:dyDescent="0.25">
      <c r="A3949" t="s">
        <v>181</v>
      </c>
      <c r="B3949" t="s">
        <v>214</v>
      </c>
      <c r="C3949" s="7" t="s">
        <v>159</v>
      </c>
      <c r="D3949" t="s">
        <v>127</v>
      </c>
      <c r="F3949" s="35">
        <v>0</v>
      </c>
      <c r="G3949" s="35">
        <v>-19.313850450363951</v>
      </c>
      <c r="H3949" s="35">
        <v>-23.509986696817784</v>
      </c>
      <c r="I3949" s="35">
        <v>-0.84516245863479766</v>
      </c>
      <c r="J3949" s="35">
        <v>-1.4179856557238902E-5</v>
      </c>
      <c r="K3949" s="35">
        <v>-1.3242026733706376</v>
      </c>
      <c r="L3949" s="35">
        <v>-113.46151176582855</v>
      </c>
      <c r="M3949" s="58" t="s">
        <v>22</v>
      </c>
      <c r="N3949" s="7">
        <v>9.5</v>
      </c>
      <c r="O3949" s="7" t="s">
        <v>179</v>
      </c>
      <c r="P3949" s="7" t="s">
        <v>179</v>
      </c>
    </row>
    <row r="3950" spans="1:16" x14ac:dyDescent="0.25">
      <c r="A3950" t="s">
        <v>181</v>
      </c>
      <c r="B3950" t="s">
        <v>214</v>
      </c>
      <c r="C3950" s="7" t="s">
        <v>159</v>
      </c>
      <c r="D3950" t="s">
        <v>127</v>
      </c>
      <c r="F3950" s="35">
        <v>2</v>
      </c>
      <c r="G3950" s="35">
        <v>-18.500052850363947</v>
      </c>
      <c r="H3950" s="35">
        <v>-21.829986696817784</v>
      </c>
      <c r="I3950" s="35">
        <v>-0.84516245863479755</v>
      </c>
      <c r="J3950" s="35">
        <v>-1.4179856557238902E-5</v>
      </c>
      <c r="K3950" s="35">
        <v>0.36612224389895753</v>
      </c>
      <c r="L3950" s="35">
        <v>-68.121538372192987</v>
      </c>
      <c r="M3950" s="58" t="s">
        <v>22</v>
      </c>
      <c r="N3950" s="7">
        <v>9.5</v>
      </c>
      <c r="O3950" s="7" t="s">
        <v>179</v>
      </c>
      <c r="P3950" s="7" t="s">
        <v>179</v>
      </c>
    </row>
    <row r="3951" spans="1:16" x14ac:dyDescent="0.25">
      <c r="A3951" t="s">
        <v>181</v>
      </c>
      <c r="B3951" t="s">
        <v>214</v>
      </c>
      <c r="C3951" s="7" t="s">
        <v>159</v>
      </c>
      <c r="D3951" t="s">
        <v>127</v>
      </c>
      <c r="F3951" s="35">
        <v>2</v>
      </c>
      <c r="G3951" s="35">
        <v>-19.319168826965832</v>
      </c>
      <c r="H3951" s="35">
        <v>-21.829976077169036</v>
      </c>
      <c r="I3951" s="35">
        <v>4.9569610258910941E-2</v>
      </c>
      <c r="J3951" s="35">
        <v>-4.0773344258040075E-5</v>
      </c>
      <c r="K3951" s="35">
        <v>0.36612224389895803</v>
      </c>
      <c r="L3951" s="35">
        <v>-68.121510005806016</v>
      </c>
      <c r="M3951" s="58" t="s">
        <v>22</v>
      </c>
      <c r="N3951" s="7">
        <v>9.5</v>
      </c>
      <c r="O3951" s="7" t="s">
        <v>179</v>
      </c>
      <c r="P3951" s="7" t="s">
        <v>179</v>
      </c>
    </row>
    <row r="3952" spans="1:16" x14ac:dyDescent="0.25">
      <c r="A3952" t="s">
        <v>181</v>
      </c>
      <c r="B3952" t="s">
        <v>214</v>
      </c>
      <c r="C3952" s="7" t="s">
        <v>159</v>
      </c>
      <c r="D3952" t="s">
        <v>127</v>
      </c>
      <c r="F3952" s="35">
        <v>4.4982502942822435</v>
      </c>
      <c r="G3952" s="35">
        <v>-18.302633780122743</v>
      </c>
      <c r="H3952" s="35">
        <v>-19.731445829971953</v>
      </c>
      <c r="I3952" s="35">
        <v>4.9569610258911066E-2</v>
      </c>
      <c r="J3952" s="35">
        <v>-4.0773344258040075E-5</v>
      </c>
      <c r="K3952" s="35">
        <v>0.24228495048217755</v>
      </c>
      <c r="L3952" s="35">
        <v>-16.206092750654282</v>
      </c>
      <c r="M3952" s="58" t="s">
        <v>24</v>
      </c>
      <c r="N3952" s="7">
        <v>9.5</v>
      </c>
      <c r="O3952" s="7" t="s">
        <v>179</v>
      </c>
      <c r="P3952" s="7" t="s">
        <v>179</v>
      </c>
    </row>
    <row r="3953" spans="1:16" x14ac:dyDescent="0.25">
      <c r="A3953" t="s">
        <v>181</v>
      </c>
      <c r="B3953" t="s">
        <v>214</v>
      </c>
      <c r="C3953" s="7" t="s">
        <v>159</v>
      </c>
      <c r="D3953" t="s">
        <v>127</v>
      </c>
      <c r="F3953" s="35">
        <v>8.9965005885644871</v>
      </c>
      <c r="G3953" s="35">
        <v>-16.472301133279654</v>
      </c>
      <c r="H3953" s="35">
        <v>-15.952915582774866</v>
      </c>
      <c r="I3953" s="35">
        <v>4.9569610258911295E-2</v>
      </c>
      <c r="J3953" s="35">
        <v>-4.0773344258040075E-5</v>
      </c>
      <c r="K3953" s="35">
        <v>1.9308436547574165E-2</v>
      </c>
      <c r="L3953" s="35">
        <v>64.052501862426894</v>
      </c>
      <c r="M3953" s="58" t="s">
        <v>23</v>
      </c>
      <c r="N3953" s="7">
        <v>9.5</v>
      </c>
      <c r="O3953" s="7" t="s">
        <v>179</v>
      </c>
      <c r="P3953" s="7" t="s">
        <v>179</v>
      </c>
    </row>
    <row r="3954" spans="1:16" x14ac:dyDescent="0.25">
      <c r="A3954" t="s">
        <v>183</v>
      </c>
      <c r="B3954" t="s">
        <v>215</v>
      </c>
      <c r="C3954" s="7" t="s">
        <v>160</v>
      </c>
      <c r="D3954" t="s">
        <v>105</v>
      </c>
      <c r="F3954" s="35">
        <v>0</v>
      </c>
      <c r="G3954" s="35">
        <v>-100.84098588615461</v>
      </c>
      <c r="H3954" s="35">
        <v>1.8006223363149148</v>
      </c>
      <c r="I3954" s="35">
        <v>1.2586462653931934</v>
      </c>
      <c r="J3954" s="35">
        <v>9.2731591238772977E-5</v>
      </c>
      <c r="K3954" s="35">
        <v>0.39237760576205682</v>
      </c>
      <c r="L3954" s="35">
        <v>4.2768150782233745</v>
      </c>
      <c r="M3954" s="58" t="s">
        <v>22</v>
      </c>
      <c r="N3954" s="7">
        <v>11.333333333333334</v>
      </c>
      <c r="O3954" s="7" t="s">
        <v>180</v>
      </c>
      <c r="P3954" s="7" t="s">
        <v>180</v>
      </c>
    </row>
    <row r="3955" spans="1:16" x14ac:dyDescent="0.25">
      <c r="A3955" t="s">
        <v>183</v>
      </c>
      <c r="B3955" t="s">
        <v>215</v>
      </c>
      <c r="C3955" s="7" t="s">
        <v>160</v>
      </c>
      <c r="D3955" t="s">
        <v>105</v>
      </c>
      <c r="F3955" s="35">
        <v>0.29999999999999988</v>
      </c>
      <c r="G3955" s="35">
        <v>-100.69808004615463</v>
      </c>
      <c r="H3955" s="35">
        <v>1.8006223363149148</v>
      </c>
      <c r="I3955" s="35">
        <v>1.2586462653931934</v>
      </c>
      <c r="J3955" s="35">
        <v>9.2731591238772977E-5</v>
      </c>
      <c r="K3955" s="35">
        <v>1.4783726144098975E-2</v>
      </c>
      <c r="L3955" s="35">
        <v>3.7366283773289006</v>
      </c>
      <c r="M3955" s="58" t="s">
        <v>22</v>
      </c>
      <c r="N3955" s="7">
        <v>11.333333333333334</v>
      </c>
      <c r="O3955" s="7" t="s">
        <v>180</v>
      </c>
      <c r="P3955" s="7" t="s">
        <v>180</v>
      </c>
    </row>
    <row r="3956" spans="1:16" x14ac:dyDescent="0.25">
      <c r="A3956" t="s">
        <v>183</v>
      </c>
      <c r="B3956" t="s">
        <v>215</v>
      </c>
      <c r="C3956" s="7" t="s">
        <v>160</v>
      </c>
      <c r="D3956" t="s">
        <v>105</v>
      </c>
      <c r="F3956" s="35">
        <v>0.29999999999999988</v>
      </c>
      <c r="G3956" s="35">
        <v>-79.007656066356788</v>
      </c>
      <c r="H3956" s="35">
        <v>1.800622336314913</v>
      </c>
      <c r="I3956" s="35">
        <v>4.1950726361099384E-3</v>
      </c>
      <c r="J3956" s="35">
        <v>7.636775176911973E-5</v>
      </c>
      <c r="K3956" s="35">
        <v>1.4783726144098836E-2</v>
      </c>
      <c r="L3956" s="35">
        <v>3.7366293591592714</v>
      </c>
      <c r="M3956" s="58" t="s">
        <v>22</v>
      </c>
      <c r="N3956" s="7">
        <v>11.333333333333334</v>
      </c>
      <c r="O3956" s="7" t="s">
        <v>180</v>
      </c>
      <c r="P3956" s="7" t="s">
        <v>180</v>
      </c>
    </row>
    <row r="3957" spans="1:16" x14ac:dyDescent="0.25">
      <c r="A3957" t="s">
        <v>183</v>
      </c>
      <c r="B3957" t="s">
        <v>215</v>
      </c>
      <c r="C3957" s="7" t="s">
        <v>160</v>
      </c>
      <c r="D3957" t="s">
        <v>105</v>
      </c>
      <c r="F3957" s="35">
        <v>5.3</v>
      </c>
      <c r="G3957" s="35">
        <v>-76.625892066356784</v>
      </c>
      <c r="H3957" s="35">
        <v>1.800622336314913</v>
      </c>
      <c r="I3957" s="35">
        <v>4.1950726361099384E-3</v>
      </c>
      <c r="J3957" s="35">
        <v>7.636775176911973E-5</v>
      </c>
      <c r="K3957" s="35">
        <v>-6.1916370364508587E-3</v>
      </c>
      <c r="L3957" s="35">
        <v>-5.2664823224152935</v>
      </c>
      <c r="M3957" s="58" t="s">
        <v>24</v>
      </c>
      <c r="N3957" s="7">
        <v>11.333333333333334</v>
      </c>
      <c r="O3957" s="7" t="s">
        <v>180</v>
      </c>
      <c r="P3957" s="7" t="s">
        <v>180</v>
      </c>
    </row>
    <row r="3958" spans="1:16" x14ac:dyDescent="0.25">
      <c r="A3958" t="s">
        <v>183</v>
      </c>
      <c r="B3958" t="s">
        <v>215</v>
      </c>
      <c r="C3958" s="7" t="s">
        <v>160</v>
      </c>
      <c r="D3958" t="s">
        <v>105</v>
      </c>
      <c r="F3958" s="35">
        <v>5.3</v>
      </c>
      <c r="G3958" s="35">
        <v>-93.88080896200195</v>
      </c>
      <c r="H3958" s="35">
        <v>1.8006127894058988</v>
      </c>
      <c r="I3958" s="35">
        <v>1.0212494760179424E-2</v>
      </c>
      <c r="J3958" s="35">
        <v>-2.5826486677477476E-5</v>
      </c>
      <c r="K3958" s="35">
        <v>-6.1916370364508292E-3</v>
      </c>
      <c r="L3958" s="35">
        <v>-5.2663629338235758</v>
      </c>
      <c r="M3958" s="58" t="s">
        <v>24</v>
      </c>
      <c r="N3958" s="7">
        <v>11.333333333333334</v>
      </c>
      <c r="O3958" s="7" t="s">
        <v>180</v>
      </c>
      <c r="P3958" s="7" t="s">
        <v>180</v>
      </c>
    </row>
    <row r="3959" spans="1:16" x14ac:dyDescent="0.25">
      <c r="A3959" t="s">
        <v>183</v>
      </c>
      <c r="B3959" t="s">
        <v>215</v>
      </c>
      <c r="C3959" s="7" t="s">
        <v>160</v>
      </c>
      <c r="D3959" t="s">
        <v>105</v>
      </c>
      <c r="F3959" s="35">
        <v>5.4149169609489114</v>
      </c>
      <c r="G3959" s="35">
        <v>-93.82606794588645</v>
      </c>
      <c r="H3959" s="35">
        <v>1.8006127894058988</v>
      </c>
      <c r="I3959" s="35">
        <v>1.0212494760179424E-2</v>
      </c>
      <c r="J3959" s="35">
        <v>-2.5826486677477476E-5</v>
      </c>
      <c r="K3959" s="35">
        <v>-7.3652258979973323E-3</v>
      </c>
      <c r="L3959" s="35">
        <v>-5.4732838834278432</v>
      </c>
      <c r="M3959" s="58" t="s">
        <v>24</v>
      </c>
      <c r="N3959" s="7">
        <v>11.333333333333334</v>
      </c>
      <c r="O3959" s="7" t="s">
        <v>180</v>
      </c>
      <c r="P3959" s="7" t="s">
        <v>180</v>
      </c>
    </row>
    <row r="3960" spans="1:16" x14ac:dyDescent="0.25">
      <c r="A3960" t="s">
        <v>183</v>
      </c>
      <c r="B3960" t="s">
        <v>215</v>
      </c>
      <c r="C3960" s="7" t="s">
        <v>160</v>
      </c>
      <c r="D3960" t="s">
        <v>105</v>
      </c>
      <c r="F3960" s="35">
        <v>10.829833921897823</v>
      </c>
      <c r="G3960" s="35">
        <v>-91.246657089770949</v>
      </c>
      <c r="H3960" s="35">
        <v>1.8006127894058988</v>
      </c>
      <c r="I3960" s="35">
        <v>1.0212494760179424E-2</v>
      </c>
      <c r="J3960" s="35">
        <v>-2.5826486677477476E-5</v>
      </c>
      <c r="K3960" s="35">
        <v>-6.2665036988494766E-2</v>
      </c>
      <c r="L3960" s="35">
        <v>-15.223452616883371</v>
      </c>
      <c r="M3960" s="58" t="s">
        <v>23</v>
      </c>
      <c r="N3960" s="7">
        <v>11.333333333333334</v>
      </c>
      <c r="O3960" s="7" t="s">
        <v>180</v>
      </c>
      <c r="P3960" s="7" t="s">
        <v>180</v>
      </c>
    </row>
    <row r="3961" spans="1:16" x14ac:dyDescent="0.25">
      <c r="A3961" t="s">
        <v>183</v>
      </c>
      <c r="B3961" t="s">
        <v>215</v>
      </c>
      <c r="C3961" s="7" t="s">
        <v>160</v>
      </c>
      <c r="D3961" t="s">
        <v>15</v>
      </c>
      <c r="F3961" s="35">
        <v>0</v>
      </c>
      <c r="G3961" s="35">
        <v>127.74356940430846</v>
      </c>
      <c r="H3961" s="35">
        <v>-5.5628558873743117</v>
      </c>
      <c r="I3961" s="35">
        <v>-4.5727213286465398</v>
      </c>
      <c r="J3961" s="35">
        <v>-5.9263938776808723E-4</v>
      </c>
      <c r="K3961" s="35">
        <v>-5.0042940698292346</v>
      </c>
      <c r="L3961" s="35">
        <v>-18.44586349841536</v>
      </c>
      <c r="M3961" s="58" t="s">
        <v>22</v>
      </c>
      <c r="N3961" s="7">
        <v>11.333333333333334</v>
      </c>
      <c r="O3961" s="7" t="s">
        <v>180</v>
      </c>
      <c r="P3961" s="7" t="s">
        <v>180</v>
      </c>
    </row>
    <row r="3962" spans="1:16" x14ac:dyDescent="0.25">
      <c r="A3962" t="s">
        <v>183</v>
      </c>
      <c r="B3962" t="s">
        <v>215</v>
      </c>
      <c r="C3962" s="7" t="s">
        <v>160</v>
      </c>
      <c r="D3962" t="s">
        <v>15</v>
      </c>
      <c r="F3962" s="35">
        <v>0.29999999999999988</v>
      </c>
      <c r="G3962" s="35">
        <v>127.88647524430844</v>
      </c>
      <c r="H3962" s="35">
        <v>-5.5628558873743117</v>
      </c>
      <c r="I3962" s="35">
        <v>-4.5727213286465398</v>
      </c>
      <c r="J3962" s="35">
        <v>-5.9263938776808723E-4</v>
      </c>
      <c r="K3962" s="35">
        <v>-3.6324776712352729</v>
      </c>
      <c r="L3962" s="35">
        <v>-16.777006732203066</v>
      </c>
      <c r="M3962" s="58" t="s">
        <v>22</v>
      </c>
      <c r="N3962" s="7">
        <v>11.333333333333334</v>
      </c>
      <c r="O3962" s="7" t="s">
        <v>180</v>
      </c>
      <c r="P3962" s="7" t="s">
        <v>180</v>
      </c>
    </row>
    <row r="3963" spans="1:16" x14ac:dyDescent="0.25">
      <c r="A3963" t="s">
        <v>183</v>
      </c>
      <c r="B3963" t="s">
        <v>215</v>
      </c>
      <c r="C3963" s="7" t="s">
        <v>160</v>
      </c>
      <c r="D3963" t="s">
        <v>15</v>
      </c>
      <c r="F3963" s="35">
        <v>0.29999999999999988</v>
      </c>
      <c r="G3963" s="35">
        <v>72.114295593263805</v>
      </c>
      <c r="H3963" s="35">
        <v>-5.5628558873743099</v>
      </c>
      <c r="I3963" s="35">
        <v>-1.1794163035531906</v>
      </c>
      <c r="J3963" s="35">
        <v>-4.8053612487480076E-4</v>
      </c>
      <c r="K3963" s="35">
        <v>-3.6324776712352738</v>
      </c>
      <c r="L3963" s="35">
        <v>-16.777013458398841</v>
      </c>
      <c r="M3963" s="58" t="s">
        <v>22</v>
      </c>
      <c r="N3963" s="7">
        <v>11.333333333333334</v>
      </c>
      <c r="O3963" s="7" t="s">
        <v>180</v>
      </c>
      <c r="P3963" s="7" t="s">
        <v>180</v>
      </c>
    </row>
    <row r="3964" spans="1:16" x14ac:dyDescent="0.25">
      <c r="A3964" t="s">
        <v>183</v>
      </c>
      <c r="B3964" t="s">
        <v>215</v>
      </c>
      <c r="C3964" s="7" t="s">
        <v>160</v>
      </c>
      <c r="D3964" t="s">
        <v>15</v>
      </c>
      <c r="F3964" s="35">
        <v>5.3</v>
      </c>
      <c r="G3964" s="35">
        <v>74.496059593263809</v>
      </c>
      <c r="H3964" s="35">
        <v>-5.5628558873743099</v>
      </c>
      <c r="I3964" s="35">
        <v>-1.1794163035531906</v>
      </c>
      <c r="J3964" s="35">
        <v>-4.8053612487480076E-4</v>
      </c>
      <c r="K3964" s="35">
        <v>2.264603846530679</v>
      </c>
      <c r="L3964" s="35">
        <v>11.037265978472707</v>
      </c>
      <c r="M3964" s="58" t="s">
        <v>24</v>
      </c>
      <c r="N3964" s="7">
        <v>11.333333333333334</v>
      </c>
      <c r="O3964" s="7" t="s">
        <v>180</v>
      </c>
      <c r="P3964" s="7" t="s">
        <v>180</v>
      </c>
    </row>
    <row r="3965" spans="1:16" x14ac:dyDescent="0.25">
      <c r="A3965" t="s">
        <v>183</v>
      </c>
      <c r="B3965" t="s">
        <v>215</v>
      </c>
      <c r="C3965" s="7" t="s">
        <v>160</v>
      </c>
      <c r="D3965" t="s">
        <v>15</v>
      </c>
      <c r="F3965" s="35">
        <v>5.3</v>
      </c>
      <c r="G3965" s="35">
        <v>126.04946385526165</v>
      </c>
      <c r="H3965" s="35">
        <v>-5.5628025117913635</v>
      </c>
      <c r="I3965" s="35">
        <v>0.38690030683571675</v>
      </c>
      <c r="J3965" s="35">
        <v>-2.2053954524090715E-4</v>
      </c>
      <c r="K3965" s="35">
        <v>2.2646038465306875</v>
      </c>
      <c r="L3965" s="35">
        <v>11.037131806058907</v>
      </c>
      <c r="M3965" s="58" t="s">
        <v>24</v>
      </c>
      <c r="N3965" s="7">
        <v>11.333333333333334</v>
      </c>
      <c r="O3965" s="7" t="s">
        <v>180</v>
      </c>
      <c r="P3965" s="7" t="s">
        <v>180</v>
      </c>
    </row>
    <row r="3966" spans="1:16" x14ac:dyDescent="0.25">
      <c r="A3966" t="s">
        <v>183</v>
      </c>
      <c r="B3966" t="s">
        <v>215</v>
      </c>
      <c r="C3966" s="7" t="s">
        <v>160</v>
      </c>
      <c r="D3966" t="s">
        <v>15</v>
      </c>
      <c r="F3966" s="35">
        <v>5.4149169609489114</v>
      </c>
      <c r="G3966" s="35">
        <v>126.10420487137715</v>
      </c>
      <c r="H3966" s="35">
        <v>-5.5628025117913635</v>
      </c>
      <c r="I3966" s="35">
        <v>0.38690030683571675</v>
      </c>
      <c r="J3966" s="35">
        <v>-2.2053954524090715E-4</v>
      </c>
      <c r="K3966" s="35">
        <v>2.2201424390789257</v>
      </c>
      <c r="L3966" s="35">
        <v>11.676392165072942</v>
      </c>
      <c r="M3966" s="58" t="s">
        <v>24</v>
      </c>
      <c r="N3966" s="7">
        <v>11.333333333333334</v>
      </c>
      <c r="O3966" s="7" t="s">
        <v>180</v>
      </c>
      <c r="P3966" s="7" t="s">
        <v>180</v>
      </c>
    </row>
    <row r="3967" spans="1:16" x14ac:dyDescent="0.25">
      <c r="A3967" t="s">
        <v>183</v>
      </c>
      <c r="B3967" t="s">
        <v>215</v>
      </c>
      <c r="C3967" s="7" t="s">
        <v>160</v>
      </c>
      <c r="D3967" t="s">
        <v>15</v>
      </c>
      <c r="F3967" s="35">
        <v>10.829833921897823</v>
      </c>
      <c r="G3967" s="35">
        <v>128.68361572749265</v>
      </c>
      <c r="H3967" s="35">
        <v>-5.5628025117913635</v>
      </c>
      <c r="I3967" s="35">
        <v>0.38690030683571675</v>
      </c>
      <c r="J3967" s="35">
        <v>-2.2053954524090715E-4</v>
      </c>
      <c r="K3967" s="35">
        <v>0.12510940539786505</v>
      </c>
      <c r="L3967" s="35">
        <v>41.798505836581199</v>
      </c>
      <c r="M3967" s="58" t="s">
        <v>23</v>
      </c>
      <c r="N3967" s="7">
        <v>11.333333333333334</v>
      </c>
      <c r="O3967" s="7" t="s">
        <v>180</v>
      </c>
      <c r="P3967" s="7" t="s">
        <v>180</v>
      </c>
    </row>
    <row r="3968" spans="1:16" x14ac:dyDescent="0.25">
      <c r="A3968" t="s">
        <v>183</v>
      </c>
      <c r="B3968" t="s">
        <v>215</v>
      </c>
      <c r="C3968" s="7" t="s">
        <v>160</v>
      </c>
      <c r="D3968" t="s">
        <v>16</v>
      </c>
      <c r="F3968" s="35">
        <v>0</v>
      </c>
      <c r="G3968" s="35">
        <v>46.209372062848608</v>
      </c>
      <c r="H3968" s="35">
        <v>-2.4670559263108709</v>
      </c>
      <c r="I3968" s="35">
        <v>-3.4081234907778355</v>
      </c>
      <c r="J3968" s="35">
        <v>-4.8086335747200652E-4</v>
      </c>
      <c r="K3968" s="35">
        <v>-4.2912005752105058</v>
      </c>
      <c r="L3968" s="35">
        <v>-8.4709442217554543</v>
      </c>
      <c r="M3968" s="58" t="s">
        <v>22</v>
      </c>
      <c r="N3968" s="7">
        <v>11.333333333333334</v>
      </c>
      <c r="O3968" s="7" t="s">
        <v>180</v>
      </c>
      <c r="P3968" s="7" t="s">
        <v>180</v>
      </c>
    </row>
    <row r="3969" spans="1:16" x14ac:dyDescent="0.25">
      <c r="A3969" t="s">
        <v>183</v>
      </c>
      <c r="B3969" t="s">
        <v>215</v>
      </c>
      <c r="C3969" s="7" t="s">
        <v>160</v>
      </c>
      <c r="D3969" t="s">
        <v>16</v>
      </c>
      <c r="F3969" s="35">
        <v>0.29999999999999988</v>
      </c>
      <c r="G3969" s="35">
        <v>46.352277902848599</v>
      </c>
      <c r="H3969" s="35">
        <v>-2.4670559263108709</v>
      </c>
      <c r="I3969" s="35">
        <v>-3.4081234907778355</v>
      </c>
      <c r="J3969" s="35">
        <v>-4.8086335747200652E-4</v>
      </c>
      <c r="K3969" s="35">
        <v>-3.2687635279771552</v>
      </c>
      <c r="L3969" s="35">
        <v>-7.7308274438621938</v>
      </c>
      <c r="M3969" s="58" t="s">
        <v>22</v>
      </c>
      <c r="N3969" s="7">
        <v>11.333333333333334</v>
      </c>
      <c r="O3969" s="7" t="s">
        <v>180</v>
      </c>
      <c r="P3969" s="7" t="s">
        <v>180</v>
      </c>
    </row>
    <row r="3970" spans="1:16" x14ac:dyDescent="0.25">
      <c r="A3970" t="s">
        <v>183</v>
      </c>
      <c r="B3970" t="s">
        <v>215</v>
      </c>
      <c r="C3970" s="7" t="s">
        <v>160</v>
      </c>
      <c r="D3970" t="s">
        <v>16</v>
      </c>
      <c r="F3970" s="35">
        <v>0.29999999999999988</v>
      </c>
      <c r="G3970" s="35">
        <v>7.998055494228602</v>
      </c>
      <c r="H3970" s="35">
        <v>-2.4670559263108656</v>
      </c>
      <c r="I3970" s="35">
        <v>-1.05989590022994</v>
      </c>
      <c r="J3970" s="35">
        <v>-3.7559104502664852E-4</v>
      </c>
      <c r="K3970" s="35">
        <v>-3.2687635279771552</v>
      </c>
      <c r="L3970" s="35">
        <v>-7.7308337602009392</v>
      </c>
      <c r="M3970" s="58" t="s">
        <v>22</v>
      </c>
      <c r="N3970" s="7">
        <v>11.333333333333334</v>
      </c>
      <c r="O3970" s="7" t="s">
        <v>180</v>
      </c>
      <c r="P3970" s="7" t="s">
        <v>180</v>
      </c>
    </row>
    <row r="3971" spans="1:16" x14ac:dyDescent="0.25">
      <c r="A3971" t="s">
        <v>183</v>
      </c>
      <c r="B3971" t="s">
        <v>215</v>
      </c>
      <c r="C3971" s="7" t="s">
        <v>160</v>
      </c>
      <c r="D3971" t="s">
        <v>16</v>
      </c>
      <c r="F3971" s="35">
        <v>5.3</v>
      </c>
      <c r="G3971" s="35">
        <v>10.379819494228601</v>
      </c>
      <c r="H3971" s="35">
        <v>-2.4670559263108656</v>
      </c>
      <c r="I3971" s="35">
        <v>-1.05989590022994</v>
      </c>
      <c r="J3971" s="35">
        <v>-3.7559104502664852E-4</v>
      </c>
      <c r="K3971" s="35">
        <v>2.0307159731725455</v>
      </c>
      <c r="L3971" s="35">
        <v>4.6044458713533887</v>
      </c>
      <c r="M3971" s="58" t="s">
        <v>24</v>
      </c>
      <c r="N3971" s="7">
        <v>11.333333333333334</v>
      </c>
      <c r="O3971" s="7" t="s">
        <v>180</v>
      </c>
      <c r="P3971" s="7" t="s">
        <v>180</v>
      </c>
    </row>
    <row r="3972" spans="1:16" x14ac:dyDescent="0.25">
      <c r="A3972" t="s">
        <v>183</v>
      </c>
      <c r="B3972" t="s">
        <v>215</v>
      </c>
      <c r="C3972" s="7" t="s">
        <v>160</v>
      </c>
      <c r="D3972" t="s">
        <v>16</v>
      </c>
      <c r="F3972" s="35">
        <v>5.3</v>
      </c>
      <c r="G3972" s="35">
        <v>46.038290718270119</v>
      </c>
      <c r="H3972" s="35">
        <v>-2.4670196693454693</v>
      </c>
      <c r="I3972" s="35">
        <v>0.34807763401037062</v>
      </c>
      <c r="J3972" s="35">
        <v>-2.6435133992209375E-4</v>
      </c>
      <c r="K3972" s="35">
        <v>2.030715973172553</v>
      </c>
      <c r="L3972" s="35">
        <v>4.6044786138498628</v>
      </c>
      <c r="M3972" s="58" t="s">
        <v>24</v>
      </c>
      <c r="N3972" s="7">
        <v>11.333333333333334</v>
      </c>
      <c r="O3972" s="7" t="s">
        <v>180</v>
      </c>
      <c r="P3972" s="7" t="s">
        <v>180</v>
      </c>
    </row>
    <row r="3973" spans="1:16" x14ac:dyDescent="0.25">
      <c r="A3973" t="s">
        <v>183</v>
      </c>
      <c r="B3973" t="s">
        <v>215</v>
      </c>
      <c r="C3973" s="7" t="s">
        <v>160</v>
      </c>
      <c r="D3973" t="s">
        <v>16</v>
      </c>
      <c r="F3973" s="35">
        <v>5.4149169609489114</v>
      </c>
      <c r="G3973" s="35">
        <v>46.093031734385626</v>
      </c>
      <c r="H3973" s="35">
        <v>-2.4670196693454693</v>
      </c>
      <c r="I3973" s="35">
        <v>0.34807763401037062</v>
      </c>
      <c r="J3973" s="35">
        <v>-2.6435133992209375E-4</v>
      </c>
      <c r="K3973" s="35">
        <v>1.9907159492977935</v>
      </c>
      <c r="L3973" s="35">
        <v>4.8879810168522324</v>
      </c>
      <c r="M3973" s="58" t="s">
        <v>24</v>
      </c>
      <c r="N3973" s="7">
        <v>11.333333333333334</v>
      </c>
      <c r="O3973" s="7" t="s">
        <v>180</v>
      </c>
      <c r="P3973" s="7" t="s">
        <v>180</v>
      </c>
    </row>
    <row r="3974" spans="1:16" x14ac:dyDescent="0.25">
      <c r="A3974" t="s">
        <v>183</v>
      </c>
      <c r="B3974" t="s">
        <v>215</v>
      </c>
      <c r="C3974" s="7" t="s">
        <v>160</v>
      </c>
      <c r="D3974" t="s">
        <v>16</v>
      </c>
      <c r="F3974" s="35">
        <v>10.829833921897823</v>
      </c>
      <c r="G3974" s="35">
        <v>48.672442590501134</v>
      </c>
      <c r="H3974" s="35">
        <v>-2.4670196693454693</v>
      </c>
      <c r="I3974" s="35">
        <v>0.34807763401037062</v>
      </c>
      <c r="J3974" s="35">
        <v>-2.6435133992209375E-4</v>
      </c>
      <c r="K3974" s="35">
        <v>0.10590446516807037</v>
      </c>
      <c r="L3974" s="35">
        <v>18.246687667385583</v>
      </c>
      <c r="M3974" s="58" t="s">
        <v>23</v>
      </c>
      <c r="N3974" s="7">
        <v>11.333333333333334</v>
      </c>
      <c r="O3974" s="7" t="s">
        <v>180</v>
      </c>
      <c r="P3974" s="7" t="s">
        <v>180</v>
      </c>
    </row>
    <row r="3975" spans="1:16" x14ac:dyDescent="0.25">
      <c r="A3975" t="s">
        <v>183</v>
      </c>
      <c r="B3975" t="s">
        <v>215</v>
      </c>
      <c r="C3975" s="7" t="s">
        <v>160</v>
      </c>
      <c r="D3975" t="s">
        <v>106</v>
      </c>
      <c r="F3975" s="35">
        <v>0</v>
      </c>
      <c r="G3975" s="35">
        <v>107.46065770517377</v>
      </c>
      <c r="H3975" s="35">
        <v>-6.5255169702094653</v>
      </c>
      <c r="I3975" s="35">
        <v>2.6763193803634988</v>
      </c>
      <c r="J3975" s="35">
        <v>3.3711967581475592E-4</v>
      </c>
      <c r="K3975" s="35">
        <v>4.3473388841861036</v>
      </c>
      <c r="L3975" s="35">
        <v>-22.457821726051218</v>
      </c>
      <c r="M3975" s="58" t="s">
        <v>22</v>
      </c>
      <c r="N3975" s="7">
        <v>11.333333333333334</v>
      </c>
      <c r="O3975" s="7" t="s">
        <v>180</v>
      </c>
      <c r="P3975" s="7" t="s">
        <v>180</v>
      </c>
    </row>
    <row r="3976" spans="1:16" x14ac:dyDescent="0.25">
      <c r="A3976" t="s">
        <v>183</v>
      </c>
      <c r="B3976" t="s">
        <v>215</v>
      </c>
      <c r="C3976" s="7" t="s">
        <v>160</v>
      </c>
      <c r="D3976" t="s">
        <v>106</v>
      </c>
      <c r="F3976" s="35">
        <v>0.29999999999999988</v>
      </c>
      <c r="G3976" s="35">
        <v>107.60356354517377</v>
      </c>
      <c r="H3976" s="35">
        <v>-6.5255169702094653</v>
      </c>
      <c r="I3976" s="35">
        <v>2.6763193803634988</v>
      </c>
      <c r="J3976" s="35">
        <v>3.3711967581475592E-4</v>
      </c>
      <c r="K3976" s="35">
        <v>3.5444430700770542</v>
      </c>
      <c r="L3976" s="35">
        <v>-20.500166634988378</v>
      </c>
      <c r="M3976" s="58" t="s">
        <v>22</v>
      </c>
      <c r="N3976" s="7">
        <v>11.333333333333334</v>
      </c>
      <c r="O3976" s="7" t="s">
        <v>180</v>
      </c>
      <c r="P3976" s="7" t="s">
        <v>180</v>
      </c>
    </row>
    <row r="3977" spans="1:16" x14ac:dyDescent="0.25">
      <c r="A3977" t="s">
        <v>183</v>
      </c>
      <c r="B3977" t="s">
        <v>215</v>
      </c>
      <c r="C3977" s="7" t="s">
        <v>160</v>
      </c>
      <c r="D3977" t="s">
        <v>106</v>
      </c>
      <c r="F3977" s="35">
        <v>0.29999999999999988</v>
      </c>
      <c r="G3977" s="35">
        <v>133.94557708289167</v>
      </c>
      <c r="H3977" s="35">
        <v>-6.5255169702094493</v>
      </c>
      <c r="I3977" s="35">
        <v>1.1427728141312183</v>
      </c>
      <c r="J3977" s="35">
        <v>1.697327914472009E-4</v>
      </c>
      <c r="K3977" s="35">
        <v>3.5444430700770542</v>
      </c>
      <c r="L3977" s="35">
        <v>-20.500156591775312</v>
      </c>
      <c r="M3977" s="58" t="s">
        <v>22</v>
      </c>
      <c r="N3977" s="7">
        <v>11.333333333333334</v>
      </c>
      <c r="O3977" s="7" t="s">
        <v>180</v>
      </c>
      <c r="P3977" s="7" t="s">
        <v>180</v>
      </c>
    </row>
    <row r="3978" spans="1:16" x14ac:dyDescent="0.25">
      <c r="A3978" t="s">
        <v>183</v>
      </c>
      <c r="B3978" t="s">
        <v>215</v>
      </c>
      <c r="C3978" s="7" t="s">
        <v>160</v>
      </c>
      <c r="D3978" t="s">
        <v>106</v>
      </c>
      <c r="F3978" s="35">
        <v>5.3</v>
      </c>
      <c r="G3978" s="35">
        <v>136.32734108289165</v>
      </c>
      <c r="H3978" s="35">
        <v>-6.5255169702094493</v>
      </c>
      <c r="I3978" s="35">
        <v>1.1427728141312183</v>
      </c>
      <c r="J3978" s="35">
        <v>1.697327914472009E-4</v>
      </c>
      <c r="K3978" s="35">
        <v>-2.1694210005790366</v>
      </c>
      <c r="L3978" s="35">
        <v>12.127428259271934</v>
      </c>
      <c r="M3978" s="58" t="s">
        <v>24</v>
      </c>
      <c r="N3978" s="7">
        <v>11.333333333333334</v>
      </c>
      <c r="O3978" s="7" t="s">
        <v>180</v>
      </c>
      <c r="P3978" s="7" t="s">
        <v>180</v>
      </c>
    </row>
    <row r="3979" spans="1:16" x14ac:dyDescent="0.25">
      <c r="A3979" t="s">
        <v>183</v>
      </c>
      <c r="B3979" t="s">
        <v>215</v>
      </c>
      <c r="C3979" s="7" t="s">
        <v>160</v>
      </c>
      <c r="D3979" t="s">
        <v>106</v>
      </c>
      <c r="F3979" s="35">
        <v>5.3</v>
      </c>
      <c r="G3979" s="35">
        <v>117.92880532718181</v>
      </c>
      <c r="H3979" s="35">
        <v>-6.525518264180425</v>
      </c>
      <c r="I3979" s="35">
        <v>-0.34855742629406827</v>
      </c>
      <c r="J3979" s="35">
        <v>4.6447736731052095E-4</v>
      </c>
      <c r="K3979" s="35">
        <v>-2.169421000579042</v>
      </c>
      <c r="L3979" s="35">
        <v>12.126856598426405</v>
      </c>
      <c r="M3979" s="58" t="s">
        <v>24</v>
      </c>
      <c r="N3979" s="7">
        <v>11.333333333333334</v>
      </c>
      <c r="O3979" s="7" t="s">
        <v>180</v>
      </c>
      <c r="P3979" s="7" t="s">
        <v>180</v>
      </c>
    </row>
    <row r="3980" spans="1:16" x14ac:dyDescent="0.25">
      <c r="A3980" t="s">
        <v>183</v>
      </c>
      <c r="B3980" t="s">
        <v>215</v>
      </c>
      <c r="C3980" s="7" t="s">
        <v>160</v>
      </c>
      <c r="D3980" t="s">
        <v>106</v>
      </c>
      <c r="F3980" s="35">
        <v>5.4149169609489114</v>
      </c>
      <c r="G3980" s="35">
        <v>117.98354634329732</v>
      </c>
      <c r="H3980" s="35">
        <v>-6.525518264180425</v>
      </c>
      <c r="I3980" s="35">
        <v>-0.34855742629406827</v>
      </c>
      <c r="J3980" s="35">
        <v>4.6447736731052095E-4</v>
      </c>
      <c r="K3980" s="35">
        <v>-2.1293658404331532</v>
      </c>
      <c r="L3980" s="35">
        <v>12.876749325962637</v>
      </c>
      <c r="M3980" s="58" t="s">
        <v>24</v>
      </c>
      <c r="N3980" s="7">
        <v>11.333333333333334</v>
      </c>
      <c r="O3980" s="7" t="s">
        <v>180</v>
      </c>
      <c r="P3980" s="7" t="s">
        <v>180</v>
      </c>
    </row>
    <row r="3981" spans="1:16" x14ac:dyDescent="0.25">
      <c r="A3981" t="s">
        <v>183</v>
      </c>
      <c r="B3981" t="s">
        <v>215</v>
      </c>
      <c r="C3981" s="7" t="s">
        <v>160</v>
      </c>
      <c r="D3981" t="s">
        <v>106</v>
      </c>
      <c r="F3981" s="35">
        <v>10.829833921897823</v>
      </c>
      <c r="G3981" s="35">
        <v>120.56295719941282</v>
      </c>
      <c r="H3981" s="35">
        <v>-6.525518264180425</v>
      </c>
      <c r="I3981" s="35">
        <v>-0.34855742629406827</v>
      </c>
      <c r="J3981" s="35">
        <v>4.6447736731052095E-4</v>
      </c>
      <c r="K3981" s="35">
        <v>-0.24195632092870348</v>
      </c>
      <c r="L3981" s="35">
        <v>48.211888853655111</v>
      </c>
      <c r="M3981" s="58" t="s">
        <v>23</v>
      </c>
      <c r="N3981" s="7">
        <v>11.333333333333334</v>
      </c>
      <c r="O3981" s="7" t="s">
        <v>180</v>
      </c>
      <c r="P3981" s="7" t="s">
        <v>180</v>
      </c>
    </row>
    <row r="3982" spans="1:16" x14ac:dyDescent="0.25">
      <c r="A3982" t="s">
        <v>183</v>
      </c>
      <c r="B3982" t="s">
        <v>215</v>
      </c>
      <c r="C3982" s="7" t="s">
        <v>160</v>
      </c>
      <c r="D3982" t="s">
        <v>107</v>
      </c>
      <c r="F3982" s="35">
        <v>0</v>
      </c>
      <c r="G3982" s="35">
        <v>25.936250866237629</v>
      </c>
      <c r="H3982" s="35">
        <v>-3.4282641813057126</v>
      </c>
      <c r="I3982" s="35">
        <v>3.8382563069430917</v>
      </c>
      <c r="J3982" s="35">
        <v>4.4773571061965925E-4</v>
      </c>
      <c r="K3982" s="35">
        <v>5.0570279723476235</v>
      </c>
      <c r="L3982" s="35">
        <v>-12.476847874036768</v>
      </c>
      <c r="M3982" s="58" t="s">
        <v>22</v>
      </c>
      <c r="N3982" s="7">
        <v>11.333333333333334</v>
      </c>
      <c r="O3982" s="7" t="s">
        <v>180</v>
      </c>
      <c r="P3982" s="7" t="s">
        <v>180</v>
      </c>
    </row>
    <row r="3983" spans="1:16" x14ac:dyDescent="0.25">
      <c r="A3983" t="s">
        <v>183</v>
      </c>
      <c r="B3983" t="s">
        <v>215</v>
      </c>
      <c r="C3983" s="7" t="s">
        <v>160</v>
      </c>
      <c r="D3983" t="s">
        <v>107</v>
      </c>
      <c r="F3983" s="35">
        <v>0.29999999999999988</v>
      </c>
      <c r="G3983" s="35">
        <v>26.079156706237622</v>
      </c>
      <c r="H3983" s="35">
        <v>-3.4282641813057126</v>
      </c>
      <c r="I3983" s="35">
        <v>3.8382563069430917</v>
      </c>
      <c r="J3983" s="35">
        <v>4.4773571061965925E-4</v>
      </c>
      <c r="K3983" s="35">
        <v>3.9055510802646962</v>
      </c>
      <c r="L3983" s="35">
        <v>-11.448368619645054</v>
      </c>
      <c r="M3983" s="58" t="s">
        <v>22</v>
      </c>
      <c r="N3983" s="7">
        <v>11.333333333333334</v>
      </c>
      <c r="O3983" s="7" t="s">
        <v>180</v>
      </c>
      <c r="P3983" s="7" t="s">
        <v>180</v>
      </c>
    </row>
    <row r="3984" spans="1:16" x14ac:dyDescent="0.25">
      <c r="A3984" t="s">
        <v>183</v>
      </c>
      <c r="B3984" t="s">
        <v>215</v>
      </c>
      <c r="C3984" s="7" t="s">
        <v>160</v>
      </c>
      <c r="D3984" t="s">
        <v>107</v>
      </c>
      <c r="F3984" s="35">
        <v>0.29999999999999988</v>
      </c>
      <c r="G3984" s="35">
        <v>69.808810278786879</v>
      </c>
      <c r="H3984" s="35">
        <v>-3.42826418130571</v>
      </c>
      <c r="I3984" s="35">
        <v>1.2614513386209663</v>
      </c>
      <c r="J3984" s="35">
        <v>2.7394960809697176E-4</v>
      </c>
      <c r="K3984" s="35">
        <v>3.9055510802646949</v>
      </c>
      <c r="L3984" s="35">
        <v>-11.448358192478905</v>
      </c>
      <c r="M3984" s="58" t="s">
        <v>22</v>
      </c>
      <c r="N3984" s="7">
        <v>11.333333333333334</v>
      </c>
      <c r="O3984" s="7" t="s">
        <v>180</v>
      </c>
      <c r="P3984" s="7" t="s">
        <v>180</v>
      </c>
    </row>
    <row r="3985" spans="1:16" x14ac:dyDescent="0.25">
      <c r="A3985" t="s">
        <v>183</v>
      </c>
      <c r="B3985" t="s">
        <v>215</v>
      </c>
      <c r="C3985" s="7" t="s">
        <v>160</v>
      </c>
      <c r="D3985" t="s">
        <v>107</v>
      </c>
      <c r="F3985" s="35">
        <v>5.3</v>
      </c>
      <c r="G3985" s="35">
        <v>72.190574278786883</v>
      </c>
      <c r="H3985" s="35">
        <v>-3.42826418130571</v>
      </c>
      <c r="I3985" s="35">
        <v>1.2614513386209663</v>
      </c>
      <c r="J3985" s="35">
        <v>2.7394960809697176E-4</v>
      </c>
      <c r="K3985" s="35">
        <v>-2.4017056128401357</v>
      </c>
      <c r="L3985" s="35">
        <v>5.6929627140496439</v>
      </c>
      <c r="M3985" s="58" t="s">
        <v>24</v>
      </c>
      <c r="N3985" s="7">
        <v>11.333333333333334</v>
      </c>
      <c r="O3985" s="7" t="s">
        <v>180</v>
      </c>
      <c r="P3985" s="7" t="s">
        <v>180</v>
      </c>
    </row>
    <row r="3986" spans="1:16" x14ac:dyDescent="0.25">
      <c r="A3986" t="s">
        <v>183</v>
      </c>
      <c r="B3986" t="s">
        <v>215</v>
      </c>
      <c r="C3986" s="7" t="s">
        <v>160</v>
      </c>
      <c r="D3986" t="s">
        <v>107</v>
      </c>
      <c r="F3986" s="35">
        <v>5.3</v>
      </c>
      <c r="G3986" s="35">
        <v>37.922946886760769</v>
      </c>
      <c r="H3986" s="35">
        <v>-3.4282825036486835</v>
      </c>
      <c r="I3986" s="35">
        <v>-0.38711387646857626</v>
      </c>
      <c r="J3986" s="35">
        <v>4.1989626217832571E-4</v>
      </c>
      <c r="K3986" s="35">
        <v>-2.4017056128401277</v>
      </c>
      <c r="L3986" s="35">
        <v>5.6925586141897231</v>
      </c>
      <c r="M3986" s="58" t="s">
        <v>24</v>
      </c>
      <c r="N3986" s="7">
        <v>11.333333333333334</v>
      </c>
      <c r="O3986" s="7" t="s">
        <v>180</v>
      </c>
      <c r="P3986" s="7" t="s">
        <v>180</v>
      </c>
    </row>
    <row r="3987" spans="1:16" x14ac:dyDescent="0.25">
      <c r="A3987" t="s">
        <v>183</v>
      </c>
      <c r="B3987" t="s">
        <v>215</v>
      </c>
      <c r="C3987" s="7" t="s">
        <v>160</v>
      </c>
      <c r="D3987" t="s">
        <v>107</v>
      </c>
      <c r="F3987" s="35">
        <v>5.4149169609489114</v>
      </c>
      <c r="G3987" s="35">
        <v>37.977687902876276</v>
      </c>
      <c r="H3987" s="35">
        <v>-3.4282825036486835</v>
      </c>
      <c r="I3987" s="35">
        <v>-0.38711387646857626</v>
      </c>
      <c r="J3987" s="35">
        <v>4.1989626217832571E-4</v>
      </c>
      <c r="K3987" s="35">
        <v>-2.3572196626152064</v>
      </c>
      <c r="L3987" s="35">
        <v>6.086526420783354</v>
      </c>
      <c r="M3987" s="58" t="s">
        <v>24</v>
      </c>
      <c r="N3987" s="7">
        <v>11.333333333333334</v>
      </c>
      <c r="O3987" s="7" t="s">
        <v>180</v>
      </c>
      <c r="P3987" s="7" t="s">
        <v>180</v>
      </c>
    </row>
    <row r="3988" spans="1:16" x14ac:dyDescent="0.25">
      <c r="A3988" t="s">
        <v>183</v>
      </c>
      <c r="B3988" t="s">
        <v>215</v>
      </c>
      <c r="C3988" s="7" t="s">
        <v>160</v>
      </c>
      <c r="D3988" t="s">
        <v>107</v>
      </c>
      <c r="F3988" s="35">
        <v>10.829833921897823</v>
      </c>
      <c r="G3988" s="35">
        <v>40.557098758991785</v>
      </c>
      <c r="H3988" s="35">
        <v>-3.4282825036486835</v>
      </c>
      <c r="I3988" s="35">
        <v>-0.38711387646857626</v>
      </c>
      <c r="J3988" s="35">
        <v>4.1989626217832571E-4</v>
      </c>
      <c r="K3988" s="35">
        <v>-0.26103016710683175</v>
      </c>
      <c r="L3988" s="35">
        <v>24.650391496715002</v>
      </c>
      <c r="M3988" s="58" t="s">
        <v>23</v>
      </c>
      <c r="N3988" s="7">
        <v>11.333333333333334</v>
      </c>
      <c r="O3988" s="7" t="s">
        <v>180</v>
      </c>
      <c r="P3988" s="7" t="s">
        <v>180</v>
      </c>
    </row>
    <row r="3989" spans="1:16" x14ac:dyDescent="0.25">
      <c r="A3989" t="s">
        <v>183</v>
      </c>
      <c r="B3989" t="s">
        <v>215</v>
      </c>
      <c r="C3989" s="7" t="s">
        <v>160</v>
      </c>
      <c r="D3989" t="s">
        <v>108</v>
      </c>
      <c r="F3989" s="35">
        <v>0</v>
      </c>
      <c r="G3989" s="35">
        <v>119.20887576543991</v>
      </c>
      <c r="H3989" s="35">
        <v>4.2541682762489721E-2</v>
      </c>
      <c r="I3989" s="35">
        <v>-1.855871228071611</v>
      </c>
      <c r="J3989" s="35">
        <v>-3.521809088148006E-4</v>
      </c>
      <c r="K3989" s="35">
        <v>-1.4957991878856947</v>
      </c>
      <c r="L3989" s="35">
        <v>17.476939102966732</v>
      </c>
      <c r="M3989" s="58" t="s">
        <v>22</v>
      </c>
      <c r="N3989" s="7">
        <v>11.333333333333334</v>
      </c>
      <c r="O3989" s="7" t="s">
        <v>180</v>
      </c>
      <c r="P3989" s="7" t="s">
        <v>180</v>
      </c>
    </row>
    <row r="3990" spans="1:16" x14ac:dyDescent="0.25">
      <c r="A3990" t="s">
        <v>183</v>
      </c>
      <c r="B3990" t="s">
        <v>215</v>
      </c>
      <c r="C3990" s="7" t="s">
        <v>160</v>
      </c>
      <c r="D3990" t="s">
        <v>108</v>
      </c>
      <c r="F3990" s="35">
        <v>0.29999999999999988</v>
      </c>
      <c r="G3990" s="35">
        <v>119.35178160543991</v>
      </c>
      <c r="H3990" s="35">
        <v>4.2541682762489721E-2</v>
      </c>
      <c r="I3990" s="35">
        <v>-1.855871228071611</v>
      </c>
      <c r="J3990" s="35">
        <v>-3.521809088148006E-4</v>
      </c>
      <c r="K3990" s="35">
        <v>-0.93903781946421183</v>
      </c>
      <c r="L3990" s="35">
        <v>17.464176598137986</v>
      </c>
      <c r="M3990" s="58" t="s">
        <v>22</v>
      </c>
      <c r="N3990" s="7">
        <v>11.333333333333334</v>
      </c>
      <c r="O3990" s="7" t="s">
        <v>180</v>
      </c>
      <c r="P3990" s="7" t="s">
        <v>180</v>
      </c>
    </row>
    <row r="3991" spans="1:16" x14ac:dyDescent="0.25">
      <c r="A3991" t="s">
        <v>183</v>
      </c>
      <c r="B3991" t="s">
        <v>215</v>
      </c>
      <c r="C3991" s="7" t="s">
        <v>160</v>
      </c>
      <c r="D3991" t="s">
        <v>108</v>
      </c>
      <c r="F3991" s="35">
        <v>0.29999999999999988</v>
      </c>
      <c r="G3991" s="35">
        <v>94.360346736485027</v>
      </c>
      <c r="H3991" s="35">
        <v>4.2541682762492962E-2</v>
      </c>
      <c r="I3991" s="35">
        <v>-0.30941088990360466</v>
      </c>
      <c r="J3991" s="35">
        <v>-1.3882371920396911E-4</v>
      </c>
      <c r="K3991" s="35">
        <v>-0.93903781946421239</v>
      </c>
      <c r="L3991" s="35">
        <v>17.464163796706604</v>
      </c>
      <c r="M3991" s="58" t="s">
        <v>22</v>
      </c>
      <c r="N3991" s="7">
        <v>11.333333333333334</v>
      </c>
      <c r="O3991" s="7" t="s">
        <v>180</v>
      </c>
      <c r="P3991" s="7" t="s">
        <v>180</v>
      </c>
    </row>
    <row r="3992" spans="1:16" x14ac:dyDescent="0.25">
      <c r="A3992" t="s">
        <v>183</v>
      </c>
      <c r="B3992" t="s">
        <v>215</v>
      </c>
      <c r="C3992" s="7" t="s">
        <v>160</v>
      </c>
      <c r="D3992" t="s">
        <v>108</v>
      </c>
      <c r="F3992" s="35">
        <v>5.3</v>
      </c>
      <c r="G3992" s="35">
        <v>96.742110736485046</v>
      </c>
      <c r="H3992" s="35">
        <v>4.2541682762492962E-2</v>
      </c>
      <c r="I3992" s="35">
        <v>-0.30941088990360466</v>
      </c>
      <c r="J3992" s="35">
        <v>-1.3882371920396911E-4</v>
      </c>
      <c r="K3992" s="35">
        <v>0.60801663005381046</v>
      </c>
      <c r="L3992" s="35">
        <v>17.251455382894139</v>
      </c>
      <c r="M3992" s="58" t="s">
        <v>24</v>
      </c>
      <c r="N3992" s="7">
        <v>11.333333333333334</v>
      </c>
      <c r="O3992" s="7" t="s">
        <v>180</v>
      </c>
      <c r="P3992" s="7" t="s">
        <v>180</v>
      </c>
    </row>
    <row r="3993" spans="1:16" x14ac:dyDescent="0.25">
      <c r="A3993" t="s">
        <v>183</v>
      </c>
      <c r="B3993" t="s">
        <v>215</v>
      </c>
      <c r="C3993" s="7" t="s">
        <v>160</v>
      </c>
      <c r="D3993" t="s">
        <v>108</v>
      </c>
      <c r="F3993" s="35">
        <v>5.3</v>
      </c>
      <c r="G3993" s="35">
        <v>122.08290269549819</v>
      </c>
      <c r="H3993" s="35">
        <v>4.255352456397201E-2</v>
      </c>
      <c r="I3993" s="35">
        <v>0.11217161448189358</v>
      </c>
      <c r="J3993" s="35">
        <v>5.2591485051484552E-5</v>
      </c>
      <c r="K3993" s="35">
        <v>0.60801663005381246</v>
      </c>
      <c r="L3993" s="35">
        <v>17.251275448146469</v>
      </c>
      <c r="M3993" s="58" t="s">
        <v>24</v>
      </c>
      <c r="N3993" s="7">
        <v>11.333333333333334</v>
      </c>
      <c r="O3993" s="7" t="s">
        <v>180</v>
      </c>
      <c r="P3993" s="7" t="s">
        <v>180</v>
      </c>
    </row>
    <row r="3994" spans="1:16" x14ac:dyDescent="0.25">
      <c r="A3994" t="s">
        <v>183</v>
      </c>
      <c r="B3994" t="s">
        <v>215</v>
      </c>
      <c r="C3994" s="7" t="s">
        <v>160</v>
      </c>
      <c r="D3994" t="s">
        <v>108</v>
      </c>
      <c r="F3994" s="35">
        <v>5.4149169609489114</v>
      </c>
      <c r="G3994" s="35">
        <v>122.13764371161371</v>
      </c>
      <c r="H3994" s="35">
        <v>4.255352456397201E-2</v>
      </c>
      <c r="I3994" s="35">
        <v>0.11217161448189358</v>
      </c>
      <c r="J3994" s="35">
        <v>5.2591485051484552E-5</v>
      </c>
      <c r="K3994" s="35">
        <v>0.59512620901282043</v>
      </c>
      <c r="L3994" s="35">
        <v>17.246385326425909</v>
      </c>
      <c r="M3994" s="58" t="s">
        <v>24</v>
      </c>
      <c r="N3994" s="7">
        <v>11.333333333333334</v>
      </c>
      <c r="O3994" s="7" t="s">
        <v>180</v>
      </c>
      <c r="P3994" s="7" t="s">
        <v>180</v>
      </c>
    </row>
    <row r="3995" spans="1:16" x14ac:dyDescent="0.25">
      <c r="A3995" t="s">
        <v>183</v>
      </c>
      <c r="B3995" t="s">
        <v>215</v>
      </c>
      <c r="C3995" s="7" t="s">
        <v>160</v>
      </c>
      <c r="D3995" t="s">
        <v>108</v>
      </c>
      <c r="F3995" s="35">
        <v>10.829833921897823</v>
      </c>
      <c r="G3995" s="35">
        <v>124.71705456772921</v>
      </c>
      <c r="H3995" s="35">
        <v>4.255352456397201E-2</v>
      </c>
      <c r="I3995" s="35">
        <v>0.11217161448189358</v>
      </c>
      <c r="J3995" s="35">
        <v>5.2591485051484552E-5</v>
      </c>
      <c r="K3995" s="35">
        <v>-1.227376878220747E-2</v>
      </c>
      <c r="L3995" s="35">
        <v>17.015961524516307</v>
      </c>
      <c r="M3995" s="58" t="s">
        <v>23</v>
      </c>
      <c r="N3995" s="7">
        <v>11.333333333333334</v>
      </c>
      <c r="O3995" s="7" t="s">
        <v>180</v>
      </c>
      <c r="P3995" s="7" t="s">
        <v>180</v>
      </c>
    </row>
    <row r="3996" spans="1:16" x14ac:dyDescent="0.25">
      <c r="A3996" t="s">
        <v>183</v>
      </c>
      <c r="B3996" t="s">
        <v>215</v>
      </c>
      <c r="C3996" s="7" t="s">
        <v>160</v>
      </c>
      <c r="D3996" t="s">
        <v>109</v>
      </c>
      <c r="F3996" s="35">
        <v>0</v>
      </c>
      <c r="G3996" s="35">
        <v>-94.955832569713849</v>
      </c>
      <c r="H3996" s="35">
        <v>13.423986451242081</v>
      </c>
      <c r="I3996" s="35">
        <v>0.66549369293607996</v>
      </c>
      <c r="J3996" s="35">
        <v>-3.1516373344361203E-4</v>
      </c>
      <c r="K3996" s="35">
        <v>-0.32282304922747695</v>
      </c>
      <c r="L3996" s="35">
        <v>81.8701300244159</v>
      </c>
      <c r="M3996" s="58" t="s">
        <v>22</v>
      </c>
      <c r="N3996" s="7">
        <v>11.333333333333334</v>
      </c>
      <c r="O3996" s="7" t="s">
        <v>180</v>
      </c>
      <c r="P3996" s="7" t="s">
        <v>180</v>
      </c>
    </row>
    <row r="3997" spans="1:16" x14ac:dyDescent="0.25">
      <c r="A3997" t="s">
        <v>183</v>
      </c>
      <c r="B3997" t="s">
        <v>215</v>
      </c>
      <c r="C3997" s="7" t="s">
        <v>160</v>
      </c>
      <c r="D3997" t="s">
        <v>109</v>
      </c>
      <c r="F3997" s="35">
        <v>0.29999999999999988</v>
      </c>
      <c r="G3997" s="35">
        <v>-94.812926729713851</v>
      </c>
      <c r="H3997" s="35">
        <v>13.423986451242081</v>
      </c>
      <c r="I3997" s="35">
        <v>0.66549369293607996</v>
      </c>
      <c r="J3997" s="35">
        <v>-3.1516373344361203E-4</v>
      </c>
      <c r="K3997" s="35">
        <v>-0.52247115710830094</v>
      </c>
      <c r="L3997" s="35">
        <v>77.842934089043268</v>
      </c>
      <c r="M3997" s="58" t="s">
        <v>22</v>
      </c>
      <c r="N3997" s="7">
        <v>11.333333333333334</v>
      </c>
      <c r="O3997" s="7" t="s">
        <v>180</v>
      </c>
      <c r="P3997" s="7" t="s">
        <v>180</v>
      </c>
    </row>
    <row r="3998" spans="1:16" x14ac:dyDescent="0.25">
      <c r="A3998" t="s">
        <v>183</v>
      </c>
      <c r="B3998" t="s">
        <v>215</v>
      </c>
      <c r="C3998" s="7" t="s">
        <v>160</v>
      </c>
      <c r="D3998" t="s">
        <v>109</v>
      </c>
      <c r="F3998" s="35">
        <v>0.29999999999999988</v>
      </c>
      <c r="G3998" s="35">
        <v>-80.095157999295026</v>
      </c>
      <c r="H3998" s="35">
        <v>13.423986451242094</v>
      </c>
      <c r="I3998" s="35">
        <v>-0.17059818485827191</v>
      </c>
      <c r="J3998" s="35">
        <v>1.3085768376758326E-4</v>
      </c>
      <c r="K3998" s="35">
        <v>-0.52247115710830205</v>
      </c>
      <c r="L3998" s="35">
        <v>77.842907327758198</v>
      </c>
      <c r="M3998" s="58" t="s">
        <v>22</v>
      </c>
      <c r="N3998" s="7">
        <v>11.333333333333334</v>
      </c>
      <c r="O3998" s="7" t="s">
        <v>180</v>
      </c>
      <c r="P3998" s="7" t="s">
        <v>180</v>
      </c>
    </row>
    <row r="3999" spans="1:16" x14ac:dyDescent="0.25">
      <c r="A3999" t="s">
        <v>183</v>
      </c>
      <c r="B3999" t="s">
        <v>215</v>
      </c>
      <c r="C3999" s="7" t="s">
        <v>160</v>
      </c>
      <c r="D3999" t="s">
        <v>109</v>
      </c>
      <c r="F3999" s="35">
        <v>5.3</v>
      </c>
      <c r="G3999" s="35">
        <v>-77.713393999295036</v>
      </c>
      <c r="H3999" s="35">
        <v>13.423986451242094</v>
      </c>
      <c r="I3999" s="35">
        <v>-0.17059818485827191</v>
      </c>
      <c r="J3999" s="35">
        <v>1.3085768376758326E-4</v>
      </c>
      <c r="K3999" s="35">
        <v>0.33051976718305742</v>
      </c>
      <c r="L3999" s="35">
        <v>10.722975071547744</v>
      </c>
      <c r="M3999" s="58" t="s">
        <v>24</v>
      </c>
      <c r="N3999" s="7">
        <v>11.333333333333334</v>
      </c>
      <c r="O3999" s="7" t="s">
        <v>180</v>
      </c>
      <c r="P3999" s="7" t="s">
        <v>180</v>
      </c>
    </row>
    <row r="4000" spans="1:16" x14ac:dyDescent="0.25">
      <c r="A4000" t="s">
        <v>183</v>
      </c>
      <c r="B4000" t="s">
        <v>215</v>
      </c>
      <c r="C4000" s="7" t="s">
        <v>160</v>
      </c>
      <c r="D4000" t="s">
        <v>109</v>
      </c>
      <c r="F4000" s="35">
        <v>5.3</v>
      </c>
      <c r="G4000" s="35">
        <v>-88.956992868905843</v>
      </c>
      <c r="H4000" s="35">
        <v>13.423938967532278</v>
      </c>
      <c r="I4000" s="35">
        <v>6.6087168106017113E-2</v>
      </c>
      <c r="J4000" s="35">
        <v>-8.417113463606791E-5</v>
      </c>
      <c r="K4000" s="35">
        <v>0.33051976718305848</v>
      </c>
      <c r="L4000" s="35">
        <v>10.723295839278281</v>
      </c>
      <c r="M4000" s="58" t="s">
        <v>24</v>
      </c>
      <c r="N4000" s="7">
        <v>11.333333333333334</v>
      </c>
      <c r="O4000" s="7" t="s">
        <v>180</v>
      </c>
      <c r="P4000" s="7" t="s">
        <v>180</v>
      </c>
    </row>
    <row r="4001" spans="1:16" x14ac:dyDescent="0.25">
      <c r="A4001" t="s">
        <v>183</v>
      </c>
      <c r="B4001" t="s">
        <v>215</v>
      </c>
      <c r="C4001" s="7" t="s">
        <v>160</v>
      </c>
      <c r="D4001" t="s">
        <v>109</v>
      </c>
      <c r="F4001" s="35">
        <v>5.4149169609489114</v>
      </c>
      <c r="G4001" s="35">
        <v>-88.902251852790343</v>
      </c>
      <c r="H4001" s="35">
        <v>13.423938967532278</v>
      </c>
      <c r="I4001" s="35">
        <v>6.6087168106017113E-2</v>
      </c>
      <c r="J4001" s="35">
        <v>-8.417113463606791E-5</v>
      </c>
      <c r="K4001" s="35">
        <v>0.32292523066659518</v>
      </c>
      <c r="L4001" s="35">
        <v>9.1806575691658043</v>
      </c>
      <c r="M4001" s="58" t="s">
        <v>24</v>
      </c>
      <c r="N4001" s="7">
        <v>11.333333333333334</v>
      </c>
      <c r="O4001" s="7" t="s">
        <v>180</v>
      </c>
      <c r="P4001" s="7" t="s">
        <v>180</v>
      </c>
    </row>
    <row r="4002" spans="1:16" x14ac:dyDescent="0.25">
      <c r="A4002" t="s">
        <v>183</v>
      </c>
      <c r="B4002" t="s">
        <v>215</v>
      </c>
      <c r="C4002" s="7" t="s">
        <v>160</v>
      </c>
      <c r="D4002" t="s">
        <v>109</v>
      </c>
      <c r="F4002" s="35">
        <v>10.829833921897823</v>
      </c>
      <c r="G4002" s="35">
        <v>-86.322840996674827</v>
      </c>
      <c r="H4002" s="35">
        <v>13.423938967532278</v>
      </c>
      <c r="I4002" s="35">
        <v>6.6087168106017113E-2</v>
      </c>
      <c r="J4002" s="35">
        <v>-8.417113463606791E-5</v>
      </c>
      <c r="K4002" s="35">
        <v>-3.4931296811758744E-2</v>
      </c>
      <c r="L4002" s="35">
        <v>-63.508857228867726</v>
      </c>
      <c r="M4002" s="58" t="s">
        <v>23</v>
      </c>
      <c r="N4002" s="7">
        <v>11.333333333333334</v>
      </c>
      <c r="O4002" s="7" t="s">
        <v>180</v>
      </c>
      <c r="P4002" s="7" t="s">
        <v>180</v>
      </c>
    </row>
    <row r="4003" spans="1:16" x14ac:dyDescent="0.25">
      <c r="A4003" t="s">
        <v>183</v>
      </c>
      <c r="B4003" t="s">
        <v>215</v>
      </c>
      <c r="C4003" s="7" t="s">
        <v>160</v>
      </c>
      <c r="D4003" t="s">
        <v>110</v>
      </c>
      <c r="F4003" s="35">
        <v>0</v>
      </c>
      <c r="G4003" s="35">
        <v>121.07773565103548</v>
      </c>
      <c r="H4003" s="35">
        <v>-9.9156352587525269</v>
      </c>
      <c r="I4003" s="35">
        <v>-1.8514874614838688</v>
      </c>
      <c r="J4003" s="35">
        <v>-4.2615727144423651E-5</v>
      </c>
      <c r="K4003" s="35">
        <v>-1.4711871286330536</v>
      </c>
      <c r="L4003" s="35">
        <v>-49.112096329905839</v>
      </c>
      <c r="M4003" s="58" t="s">
        <v>22</v>
      </c>
      <c r="N4003" s="7">
        <v>11.333333333333334</v>
      </c>
      <c r="O4003" s="7" t="s">
        <v>180</v>
      </c>
      <c r="P4003" s="7" t="s">
        <v>180</v>
      </c>
    </row>
    <row r="4004" spans="1:16" x14ac:dyDescent="0.25">
      <c r="A4004" t="s">
        <v>183</v>
      </c>
      <c r="B4004" t="s">
        <v>215</v>
      </c>
      <c r="C4004" s="7" t="s">
        <v>160</v>
      </c>
      <c r="D4004" t="s">
        <v>110</v>
      </c>
      <c r="F4004" s="35">
        <v>0.29999999999999988</v>
      </c>
      <c r="G4004" s="35">
        <v>121.22064149103547</v>
      </c>
      <c r="H4004" s="35">
        <v>-9.9156352587525269</v>
      </c>
      <c r="I4004" s="35">
        <v>-1.8514874614838688</v>
      </c>
      <c r="J4004" s="35">
        <v>-4.2615727144423651E-5</v>
      </c>
      <c r="K4004" s="35">
        <v>-0.91574089018789329</v>
      </c>
      <c r="L4004" s="35">
        <v>-46.137405752280088</v>
      </c>
      <c r="M4004" s="58" t="s">
        <v>22</v>
      </c>
      <c r="N4004" s="7">
        <v>11.333333333333334</v>
      </c>
      <c r="O4004" s="7" t="s">
        <v>180</v>
      </c>
      <c r="P4004" s="7" t="s">
        <v>180</v>
      </c>
    </row>
    <row r="4005" spans="1:16" x14ac:dyDescent="0.25">
      <c r="A4005" t="s">
        <v>183</v>
      </c>
      <c r="B4005" t="s">
        <v>215</v>
      </c>
      <c r="C4005" s="7" t="s">
        <v>160</v>
      </c>
      <c r="D4005" t="s">
        <v>110</v>
      </c>
      <c r="F4005" s="35">
        <v>0.29999999999999988</v>
      </c>
      <c r="G4005" s="35">
        <v>96.176969073943198</v>
      </c>
      <c r="H4005" s="35">
        <v>-9.9156352587525287</v>
      </c>
      <c r="I4005" s="35">
        <v>-0.3018928704276157</v>
      </c>
      <c r="J4005" s="35">
        <v>-2.0705687636536093E-4</v>
      </c>
      <c r="K4005" s="35">
        <v>-0.91574089018789495</v>
      </c>
      <c r="L4005" s="35">
        <v>-46.13739588581111</v>
      </c>
      <c r="M4005" s="58" t="s">
        <v>22</v>
      </c>
      <c r="N4005" s="7">
        <v>11.333333333333334</v>
      </c>
      <c r="O4005" s="7" t="s">
        <v>180</v>
      </c>
      <c r="P4005" s="7" t="s">
        <v>180</v>
      </c>
    </row>
    <row r="4006" spans="1:16" x14ac:dyDescent="0.25">
      <c r="A4006" t="s">
        <v>183</v>
      </c>
      <c r="B4006" t="s">
        <v>215</v>
      </c>
      <c r="C4006" s="7" t="s">
        <v>160</v>
      </c>
      <c r="D4006" t="s">
        <v>110</v>
      </c>
      <c r="F4006" s="35">
        <v>5.3</v>
      </c>
      <c r="G4006" s="35">
        <v>98.558733073943188</v>
      </c>
      <c r="H4006" s="35">
        <v>-9.9156352587525287</v>
      </c>
      <c r="I4006" s="35">
        <v>-0.3018928704276157</v>
      </c>
      <c r="J4006" s="35">
        <v>-2.0705687636536093E-4</v>
      </c>
      <c r="K4006" s="35">
        <v>0.59372346195018344</v>
      </c>
      <c r="L4006" s="35">
        <v>3.4407804079515327</v>
      </c>
      <c r="M4006" s="58" t="s">
        <v>24</v>
      </c>
      <c r="N4006" s="7">
        <v>11.333333333333334</v>
      </c>
      <c r="O4006" s="7" t="s">
        <v>180</v>
      </c>
      <c r="P4006" s="7" t="s">
        <v>180</v>
      </c>
    </row>
    <row r="4007" spans="1:16" x14ac:dyDescent="0.25">
      <c r="A4007" t="s">
        <v>183</v>
      </c>
      <c r="B4007" t="s">
        <v>215</v>
      </c>
      <c r="C4007" s="7" t="s">
        <v>160</v>
      </c>
      <c r="D4007" t="s">
        <v>110</v>
      </c>
      <c r="F4007" s="35">
        <v>5.3</v>
      </c>
      <c r="G4007" s="35">
        <v>123.971606382866</v>
      </c>
      <c r="H4007" s="35">
        <v>-9.9155866373240755</v>
      </c>
      <c r="I4007" s="35">
        <v>0.10979911461051355</v>
      </c>
      <c r="J4007" s="35">
        <v>8.1445179414551158E-5</v>
      </c>
      <c r="K4007" s="35">
        <v>0.59372346195018244</v>
      </c>
      <c r="L4007" s="35">
        <v>3.4404548085422917</v>
      </c>
      <c r="M4007" s="58" t="s">
        <v>24</v>
      </c>
      <c r="N4007" s="7">
        <v>11.333333333333334</v>
      </c>
      <c r="O4007" s="7" t="s">
        <v>180</v>
      </c>
      <c r="P4007" s="7" t="s">
        <v>180</v>
      </c>
    </row>
    <row r="4008" spans="1:16" x14ac:dyDescent="0.25">
      <c r="A4008" t="s">
        <v>183</v>
      </c>
      <c r="B4008" t="s">
        <v>215</v>
      </c>
      <c r="C4008" s="7" t="s">
        <v>160</v>
      </c>
      <c r="D4008" t="s">
        <v>110</v>
      </c>
      <c r="F4008" s="35">
        <v>5.4149169609489114</v>
      </c>
      <c r="G4008" s="35">
        <v>124.02634739898151</v>
      </c>
      <c r="H4008" s="35">
        <v>-9.9155866373240755</v>
      </c>
      <c r="I4008" s="35">
        <v>0.10979911461051355</v>
      </c>
      <c r="J4008" s="35">
        <v>8.1445179414551158E-5</v>
      </c>
      <c r="K4008" s="35">
        <v>0.581105681384261</v>
      </c>
      <c r="L4008" s="35">
        <v>4.5799238909292095</v>
      </c>
      <c r="M4008" s="58" t="s">
        <v>24</v>
      </c>
      <c r="N4008" s="7">
        <v>11.333333333333334</v>
      </c>
      <c r="O4008" s="7" t="s">
        <v>180</v>
      </c>
      <c r="P4008" s="7" t="s">
        <v>180</v>
      </c>
    </row>
    <row r="4009" spans="1:16" x14ac:dyDescent="0.25">
      <c r="A4009" t="s">
        <v>183</v>
      </c>
      <c r="B4009" t="s">
        <v>215</v>
      </c>
      <c r="C4009" s="7" t="s">
        <v>160</v>
      </c>
      <c r="D4009" t="s">
        <v>110</v>
      </c>
      <c r="F4009" s="35">
        <v>10.829833921897823</v>
      </c>
      <c r="G4009" s="35">
        <v>126.60575825509702</v>
      </c>
      <c r="H4009" s="35">
        <v>-9.9155866373240755</v>
      </c>
      <c r="I4009" s="35">
        <v>0.10979911461051355</v>
      </c>
      <c r="J4009" s="35">
        <v>8.1445179414551158E-5</v>
      </c>
      <c r="K4009" s="35">
        <v>-1.3447406617382057E-2</v>
      </c>
      <c r="L4009" s="35">
        <v>58.272002151133698</v>
      </c>
      <c r="M4009" s="58" t="s">
        <v>23</v>
      </c>
      <c r="N4009" s="7">
        <v>11.333333333333334</v>
      </c>
      <c r="O4009" s="7" t="s">
        <v>180</v>
      </c>
      <c r="P4009" s="7" t="s">
        <v>180</v>
      </c>
    </row>
    <row r="4010" spans="1:16" x14ac:dyDescent="0.25">
      <c r="A4010" t="s">
        <v>183</v>
      </c>
      <c r="B4010" t="s">
        <v>215</v>
      </c>
      <c r="C4010" s="7" t="s">
        <v>160</v>
      </c>
      <c r="D4010" t="s">
        <v>111</v>
      </c>
      <c r="F4010" s="35">
        <v>0</v>
      </c>
      <c r="G4010" s="35">
        <v>1.4644203681459473</v>
      </c>
      <c r="H4010" s="35">
        <v>-21.994652085703589</v>
      </c>
      <c r="I4010" s="35">
        <v>-0.22836666065519462</v>
      </c>
      <c r="J4010" s="35">
        <v>2.6136725088124935E-4</v>
      </c>
      <c r="K4010" s="35">
        <v>-0.53521297209425156</v>
      </c>
      <c r="L4010" s="35">
        <v>-118.49567144560781</v>
      </c>
      <c r="M4010" s="58" t="s">
        <v>22</v>
      </c>
      <c r="N4010" s="7">
        <v>11.333333333333334</v>
      </c>
      <c r="O4010" s="7" t="s">
        <v>180</v>
      </c>
      <c r="P4010" s="7" t="s">
        <v>180</v>
      </c>
    </row>
    <row r="4011" spans="1:16" x14ac:dyDescent="0.25">
      <c r="A4011" t="s">
        <v>183</v>
      </c>
      <c r="B4011" t="s">
        <v>215</v>
      </c>
      <c r="C4011" s="7" t="s">
        <v>160</v>
      </c>
      <c r="D4011" t="s">
        <v>111</v>
      </c>
      <c r="F4011" s="35">
        <v>0.29999999999999988</v>
      </c>
      <c r="G4011" s="35">
        <v>1.6073262081459394</v>
      </c>
      <c r="H4011" s="35">
        <v>-21.994652085703589</v>
      </c>
      <c r="I4011" s="35">
        <v>-0.22836666065519462</v>
      </c>
      <c r="J4011" s="35">
        <v>2.6136725088124935E-4</v>
      </c>
      <c r="K4011" s="35">
        <v>-0.46670297389769316</v>
      </c>
      <c r="L4011" s="35">
        <v>-111.89727581989676</v>
      </c>
      <c r="M4011" s="58" t="s">
        <v>22</v>
      </c>
      <c r="N4011" s="7">
        <v>11.333333333333334</v>
      </c>
      <c r="O4011" s="7" t="s">
        <v>180</v>
      </c>
      <c r="P4011" s="7" t="s">
        <v>180</v>
      </c>
    </row>
    <row r="4012" spans="1:16" x14ac:dyDescent="0.25">
      <c r="A4012" t="s">
        <v>183</v>
      </c>
      <c r="B4012" t="s">
        <v>215</v>
      </c>
      <c r="C4012" s="7" t="s">
        <v>160</v>
      </c>
      <c r="D4012" t="s">
        <v>111</v>
      </c>
      <c r="F4012" s="35">
        <v>0.29999999999999988</v>
      </c>
      <c r="G4012" s="35">
        <v>1.1553114214840969</v>
      </c>
      <c r="H4012" s="35">
        <v>-21.994652085703567</v>
      </c>
      <c r="I4012" s="35">
        <v>-0.15427152742472794</v>
      </c>
      <c r="J4012" s="35">
        <v>-2.963336805796428E-4</v>
      </c>
      <c r="K4012" s="35">
        <v>-0.46670297389769366</v>
      </c>
      <c r="L4012" s="35">
        <v>-111.89724235784092</v>
      </c>
      <c r="M4012" s="58" t="s">
        <v>22</v>
      </c>
      <c r="N4012" s="7">
        <v>11.333333333333334</v>
      </c>
      <c r="O4012" s="7" t="s">
        <v>180</v>
      </c>
      <c r="P4012" s="7" t="s">
        <v>180</v>
      </c>
    </row>
    <row r="4013" spans="1:16" x14ac:dyDescent="0.25">
      <c r="A4013" t="s">
        <v>183</v>
      </c>
      <c r="B4013" t="s">
        <v>215</v>
      </c>
      <c r="C4013" s="7" t="s">
        <v>160</v>
      </c>
      <c r="D4013" t="s">
        <v>111</v>
      </c>
      <c r="F4013" s="35">
        <v>5.3</v>
      </c>
      <c r="G4013" s="35">
        <v>3.5370754214840958</v>
      </c>
      <c r="H4013" s="35">
        <v>-21.994652085703567</v>
      </c>
      <c r="I4013" s="35">
        <v>-0.15427152742472794</v>
      </c>
      <c r="J4013" s="35">
        <v>-2.963336805796428E-4</v>
      </c>
      <c r="K4013" s="35">
        <v>0.30465466322594581</v>
      </c>
      <c r="L4013" s="35">
        <v>-1.9239819293230975</v>
      </c>
      <c r="M4013" s="58" t="s">
        <v>24</v>
      </c>
      <c r="N4013" s="7">
        <v>11.333333333333334</v>
      </c>
      <c r="O4013" s="7" t="s">
        <v>180</v>
      </c>
      <c r="P4013" s="7" t="s">
        <v>180</v>
      </c>
    </row>
    <row r="4014" spans="1:16" x14ac:dyDescent="0.25">
      <c r="A4014" t="s">
        <v>183</v>
      </c>
      <c r="B4014" t="s">
        <v>215</v>
      </c>
      <c r="C4014" s="7" t="s">
        <v>160</v>
      </c>
      <c r="D4014" t="s">
        <v>111</v>
      </c>
      <c r="F4014" s="35">
        <v>5.3</v>
      </c>
      <c r="G4014" s="35">
        <v>6.4462835476469467</v>
      </c>
      <c r="H4014" s="35">
        <v>-21.994568094038023</v>
      </c>
      <c r="I4014" s="35">
        <v>6.1771848669601996E-2</v>
      </c>
      <c r="J4014" s="35">
        <v>2.3090656994033946E-4</v>
      </c>
      <c r="K4014" s="35">
        <v>0.30465466322594648</v>
      </c>
      <c r="L4014" s="35">
        <v>-1.9247013645399165</v>
      </c>
      <c r="M4014" s="58" t="s">
        <v>24</v>
      </c>
      <c r="N4014" s="7">
        <v>11.333333333333334</v>
      </c>
      <c r="O4014" s="7" t="s">
        <v>180</v>
      </c>
      <c r="P4014" s="7" t="s">
        <v>180</v>
      </c>
    </row>
    <row r="4015" spans="1:16" x14ac:dyDescent="0.25">
      <c r="A4015" t="s">
        <v>183</v>
      </c>
      <c r="B4015" t="s">
        <v>215</v>
      </c>
      <c r="C4015" s="7" t="s">
        <v>160</v>
      </c>
      <c r="D4015" t="s">
        <v>111</v>
      </c>
      <c r="F4015" s="35">
        <v>5.4149169609489114</v>
      </c>
      <c r="G4015" s="35">
        <v>6.5010245637624529</v>
      </c>
      <c r="H4015" s="35">
        <v>-21.994568094038023</v>
      </c>
      <c r="I4015" s="35">
        <v>6.1771848669601996E-2</v>
      </c>
      <c r="J4015" s="35">
        <v>2.3090656994033946E-4</v>
      </c>
      <c r="K4015" s="35">
        <v>0.29755603010463977</v>
      </c>
      <c r="L4015" s="35">
        <v>0.60284755821082447</v>
      </c>
      <c r="M4015" s="58" t="s">
        <v>24</v>
      </c>
      <c r="N4015" s="7">
        <v>11.333333333333334</v>
      </c>
      <c r="O4015" s="7" t="s">
        <v>180</v>
      </c>
      <c r="P4015" s="7" t="s">
        <v>180</v>
      </c>
    </row>
    <row r="4016" spans="1:16" x14ac:dyDescent="0.25">
      <c r="A4016" t="s">
        <v>183</v>
      </c>
      <c r="B4016" t="s">
        <v>215</v>
      </c>
      <c r="C4016" s="7" t="s">
        <v>160</v>
      </c>
      <c r="D4016" t="s">
        <v>111</v>
      </c>
      <c r="F4016" s="35">
        <v>10.829833921897823</v>
      </c>
      <c r="G4016" s="35">
        <v>9.0804354198779595</v>
      </c>
      <c r="H4016" s="35">
        <v>-21.994568094038023</v>
      </c>
      <c r="I4016" s="35">
        <v>6.1771848669601996E-2</v>
      </c>
      <c r="J4016" s="35">
        <v>2.3090656994033946E-4</v>
      </c>
      <c r="K4016" s="35">
        <v>-3.6933400965557452E-2</v>
      </c>
      <c r="L4016" s="35">
        <v>119.70160737936304</v>
      </c>
      <c r="M4016" s="58" t="s">
        <v>23</v>
      </c>
      <c r="N4016" s="7">
        <v>11.333333333333334</v>
      </c>
      <c r="O4016" s="7" t="s">
        <v>180</v>
      </c>
      <c r="P4016" s="7" t="s">
        <v>180</v>
      </c>
    </row>
    <row r="4017" spans="1:16" x14ac:dyDescent="0.25">
      <c r="A4017" t="s">
        <v>183</v>
      </c>
      <c r="B4017" t="s">
        <v>215</v>
      </c>
      <c r="C4017" s="7" t="s">
        <v>160</v>
      </c>
      <c r="D4017" t="s">
        <v>112</v>
      </c>
      <c r="F4017" s="35">
        <v>0</v>
      </c>
      <c r="G4017" s="35">
        <v>53.547847888818232</v>
      </c>
      <c r="H4017" s="35">
        <v>-3.3945112988350474</v>
      </c>
      <c r="I4017" s="35">
        <v>-3.4699948533315226</v>
      </c>
      <c r="J4017" s="35">
        <v>-4.7446941332555568E-4</v>
      </c>
      <c r="K4017" s="35">
        <v>-4.2939569561190387</v>
      </c>
      <c r="L4017" s="35">
        <v>-12.0779799844575</v>
      </c>
      <c r="M4017" s="58" t="s">
        <v>22</v>
      </c>
      <c r="N4017" s="7">
        <v>11.333333333333334</v>
      </c>
      <c r="O4017" s="7" t="s">
        <v>180</v>
      </c>
      <c r="P4017" s="7" t="s">
        <v>180</v>
      </c>
    </row>
    <row r="4018" spans="1:16" x14ac:dyDescent="0.25">
      <c r="A4018" t="s">
        <v>183</v>
      </c>
      <c r="B4018" t="s">
        <v>215</v>
      </c>
      <c r="C4018" s="7" t="s">
        <v>160</v>
      </c>
      <c r="D4018" t="s">
        <v>112</v>
      </c>
      <c r="F4018" s="35">
        <v>0.29999999999999988</v>
      </c>
      <c r="G4018" s="35">
        <v>53.690753728818223</v>
      </c>
      <c r="H4018" s="35">
        <v>-3.3945112988350474</v>
      </c>
      <c r="I4018" s="35">
        <v>-3.4699948533315226</v>
      </c>
      <c r="J4018" s="35">
        <v>-4.7446941332555568E-4</v>
      </c>
      <c r="K4018" s="35">
        <v>-3.2529585001195827</v>
      </c>
      <c r="L4018" s="35">
        <v>-11.059626594806986</v>
      </c>
      <c r="M4018" s="58" t="s">
        <v>22</v>
      </c>
      <c r="N4018" s="7">
        <v>11.333333333333334</v>
      </c>
      <c r="O4018" s="7" t="s">
        <v>180</v>
      </c>
      <c r="P4018" s="7" t="s">
        <v>180</v>
      </c>
    </row>
    <row r="4019" spans="1:16" x14ac:dyDescent="0.25">
      <c r="A4019" t="s">
        <v>183</v>
      </c>
      <c r="B4019" t="s">
        <v>215</v>
      </c>
      <c r="C4019" s="7" t="s">
        <v>160</v>
      </c>
      <c r="D4019" t="s">
        <v>112</v>
      </c>
      <c r="F4019" s="35">
        <v>0.29999999999999988</v>
      </c>
      <c r="G4019" s="35">
        <v>14.230507741754828</v>
      </c>
      <c r="H4019" s="35">
        <v>-3.3945112988350474</v>
      </c>
      <c r="I4019" s="35">
        <v>-1.0554058480770234</v>
      </c>
      <c r="J4019" s="35">
        <v>-3.7848063360014332E-4</v>
      </c>
      <c r="K4019" s="35">
        <v>-3.252958500119584</v>
      </c>
      <c r="L4019" s="35">
        <v>-11.059632354133766</v>
      </c>
      <c r="M4019" s="58" t="s">
        <v>22</v>
      </c>
      <c r="N4019" s="7">
        <v>11.333333333333334</v>
      </c>
      <c r="O4019" s="7" t="s">
        <v>180</v>
      </c>
      <c r="P4019" s="7" t="s">
        <v>180</v>
      </c>
    </row>
    <row r="4020" spans="1:16" x14ac:dyDescent="0.25">
      <c r="A4020" t="s">
        <v>183</v>
      </c>
      <c r="B4020" t="s">
        <v>215</v>
      </c>
      <c r="C4020" s="7" t="s">
        <v>160</v>
      </c>
      <c r="D4020" t="s">
        <v>112</v>
      </c>
      <c r="F4020" s="35">
        <v>5.3</v>
      </c>
      <c r="G4020" s="35">
        <v>16.612271741754839</v>
      </c>
      <c r="H4020" s="35">
        <v>-3.3945112988350474</v>
      </c>
      <c r="I4020" s="35">
        <v>-1.0554058480770234</v>
      </c>
      <c r="J4020" s="35">
        <v>-3.7848063360014332E-4</v>
      </c>
      <c r="K4020" s="35">
        <v>2.0240707402655334</v>
      </c>
      <c r="L4020" s="35">
        <v>5.9129241400414685</v>
      </c>
      <c r="M4020" s="58" t="s">
        <v>24</v>
      </c>
      <c r="N4020" s="7">
        <v>11.333333333333334</v>
      </c>
      <c r="O4020" s="7" t="s">
        <v>180</v>
      </c>
      <c r="P4020" s="7" t="s">
        <v>180</v>
      </c>
    </row>
    <row r="4021" spans="1:16" x14ac:dyDescent="0.25">
      <c r="A4021" t="s">
        <v>183</v>
      </c>
      <c r="B4021" t="s">
        <v>215</v>
      </c>
      <c r="C4021" s="7" t="s">
        <v>160</v>
      </c>
      <c r="D4021" t="s">
        <v>112</v>
      </c>
      <c r="F4021" s="35">
        <v>5.3</v>
      </c>
      <c r="G4021" s="35">
        <v>53.331191654693164</v>
      </c>
      <c r="H4021" s="35">
        <v>-3.3944710434273921</v>
      </c>
      <c r="I4021" s="35">
        <v>0.34698959755558373</v>
      </c>
      <c r="J4021" s="35">
        <v>-2.2861999772042993E-4</v>
      </c>
      <c r="K4021" s="35">
        <v>2.0240707402655409</v>
      </c>
      <c r="L4021" s="35">
        <v>5.9129055704319846</v>
      </c>
      <c r="M4021" s="58" t="s">
        <v>24</v>
      </c>
      <c r="N4021" s="7">
        <v>11.333333333333334</v>
      </c>
      <c r="O4021" s="7" t="s">
        <v>180</v>
      </c>
      <c r="P4021" s="7" t="s">
        <v>180</v>
      </c>
    </row>
    <row r="4022" spans="1:16" x14ac:dyDescent="0.25">
      <c r="A4022" t="s">
        <v>183</v>
      </c>
      <c r="B4022" t="s">
        <v>215</v>
      </c>
      <c r="C4022" s="7" t="s">
        <v>160</v>
      </c>
      <c r="D4022" t="s">
        <v>112</v>
      </c>
      <c r="F4022" s="35">
        <v>5.4149169609489114</v>
      </c>
      <c r="G4022" s="35">
        <v>53.385932670808678</v>
      </c>
      <c r="H4022" s="35">
        <v>-3.3944710434273921</v>
      </c>
      <c r="I4022" s="35">
        <v>0.34698959755558373</v>
      </c>
      <c r="J4022" s="35">
        <v>-2.2861999772042993E-4</v>
      </c>
      <c r="K4022" s="35">
        <v>1.984195750233567</v>
      </c>
      <c r="L4022" s="35">
        <v>6.3029878667717405</v>
      </c>
      <c r="M4022" s="58" t="s">
        <v>24</v>
      </c>
      <c r="N4022" s="7">
        <v>11.333333333333334</v>
      </c>
      <c r="O4022" s="7" t="s">
        <v>180</v>
      </c>
      <c r="P4022" s="7" t="s">
        <v>180</v>
      </c>
    </row>
    <row r="4023" spans="1:16" x14ac:dyDescent="0.25">
      <c r="A4023" t="s">
        <v>183</v>
      </c>
      <c r="B4023" t="s">
        <v>215</v>
      </c>
      <c r="C4023" s="7" t="s">
        <v>160</v>
      </c>
      <c r="D4023" t="s">
        <v>112</v>
      </c>
      <c r="F4023" s="35">
        <v>10.829833921897823</v>
      </c>
      <c r="G4023" s="35">
        <v>55.96534352692418</v>
      </c>
      <c r="H4023" s="35">
        <v>-3.3944710434273921</v>
      </c>
      <c r="I4023" s="35">
        <v>0.34698959755558373</v>
      </c>
      <c r="J4023" s="35">
        <v>-2.2861999772042993E-4</v>
      </c>
      <c r="K4023" s="35">
        <v>0.10527589315700049</v>
      </c>
      <c r="L4023" s="35">
        <v>24.683766693276667</v>
      </c>
      <c r="M4023" s="58" t="s">
        <v>23</v>
      </c>
      <c r="N4023" s="7">
        <v>11.333333333333334</v>
      </c>
      <c r="O4023" s="7" t="s">
        <v>180</v>
      </c>
      <c r="P4023" s="7" t="s">
        <v>180</v>
      </c>
    </row>
    <row r="4024" spans="1:16" x14ac:dyDescent="0.25">
      <c r="A4024" t="s">
        <v>183</v>
      </c>
      <c r="B4024" t="s">
        <v>215</v>
      </c>
      <c r="C4024" s="7" t="s">
        <v>160</v>
      </c>
      <c r="D4024" t="s">
        <v>113</v>
      </c>
      <c r="F4024" s="35">
        <v>0</v>
      </c>
      <c r="G4024" s="35">
        <v>-19.832929718495635</v>
      </c>
      <c r="H4024" s="35">
        <v>-0.6082913338779502</v>
      </c>
      <c r="I4024" s="35">
        <v>-2.4218567992496891</v>
      </c>
      <c r="J4024" s="35">
        <v>-3.7387098605908296E-4</v>
      </c>
      <c r="K4024" s="35">
        <v>-3.6521728109621834</v>
      </c>
      <c r="L4024" s="35">
        <v>-3.1005526354635826</v>
      </c>
      <c r="M4024" s="58" t="s">
        <v>22</v>
      </c>
      <c r="N4024" s="7">
        <v>11.333333333333334</v>
      </c>
      <c r="O4024" s="7" t="s">
        <v>180</v>
      </c>
      <c r="P4024" s="7" t="s">
        <v>180</v>
      </c>
    </row>
    <row r="4025" spans="1:16" x14ac:dyDescent="0.25">
      <c r="A4025" t="s">
        <v>183</v>
      </c>
      <c r="B4025" t="s">
        <v>215</v>
      </c>
      <c r="C4025" s="7" t="s">
        <v>160</v>
      </c>
      <c r="D4025" t="s">
        <v>113</v>
      </c>
      <c r="F4025" s="35">
        <v>0.29999999999999988</v>
      </c>
      <c r="G4025" s="35">
        <v>-19.690023878495641</v>
      </c>
      <c r="H4025" s="35">
        <v>-0.6082913338779502</v>
      </c>
      <c r="I4025" s="35">
        <v>-2.4218567992496891</v>
      </c>
      <c r="J4025" s="35">
        <v>-3.7387098605908296E-4</v>
      </c>
      <c r="K4025" s="35">
        <v>-2.9256157711872768</v>
      </c>
      <c r="L4025" s="35">
        <v>-2.9180652353001975</v>
      </c>
      <c r="M4025" s="58" t="s">
        <v>22</v>
      </c>
      <c r="N4025" s="7">
        <v>11.333333333333334</v>
      </c>
      <c r="O4025" s="7" t="s">
        <v>180</v>
      </c>
      <c r="P4025" s="7" t="s">
        <v>180</v>
      </c>
    </row>
    <row r="4026" spans="1:16" x14ac:dyDescent="0.25">
      <c r="A4026" t="s">
        <v>183</v>
      </c>
      <c r="B4026" t="s">
        <v>215</v>
      </c>
      <c r="C4026" s="7" t="s">
        <v>160</v>
      </c>
      <c r="D4026" t="s">
        <v>113</v>
      </c>
      <c r="F4026" s="35">
        <v>0.29999999999999988</v>
      </c>
      <c r="G4026" s="35">
        <v>-43.474108347376863</v>
      </c>
      <c r="H4026" s="35">
        <v>-0.60829133387794709</v>
      </c>
      <c r="I4026" s="35">
        <v>-0.94783748508609811</v>
      </c>
      <c r="J4026" s="35">
        <v>-2.8403006173680632E-4</v>
      </c>
      <c r="K4026" s="35">
        <v>-2.9256157711872768</v>
      </c>
      <c r="L4026" s="35">
        <v>-2.918070625755655</v>
      </c>
      <c r="M4026" s="58" t="s">
        <v>22</v>
      </c>
      <c r="N4026" s="7">
        <v>11.333333333333334</v>
      </c>
      <c r="O4026" s="7" t="s">
        <v>180</v>
      </c>
      <c r="P4026" s="7" t="s">
        <v>180</v>
      </c>
    </row>
    <row r="4027" spans="1:16" x14ac:dyDescent="0.25">
      <c r="A4027" t="s">
        <v>183</v>
      </c>
      <c r="B4027" t="s">
        <v>215</v>
      </c>
      <c r="C4027" s="7" t="s">
        <v>160</v>
      </c>
      <c r="D4027" t="s">
        <v>113</v>
      </c>
      <c r="F4027" s="35">
        <v>5.3</v>
      </c>
      <c r="G4027" s="35">
        <v>-41.092344347376859</v>
      </c>
      <c r="H4027" s="35">
        <v>-0.60829133387794709</v>
      </c>
      <c r="I4027" s="35">
        <v>-0.94783748508609811</v>
      </c>
      <c r="J4027" s="35">
        <v>-2.8403006173680632E-4</v>
      </c>
      <c r="K4027" s="35">
        <v>1.813571654243213</v>
      </c>
      <c r="L4027" s="35">
        <v>0.12338604363408123</v>
      </c>
      <c r="M4027" s="58" t="s">
        <v>24</v>
      </c>
      <c r="N4027" s="7">
        <v>11.333333333333334</v>
      </c>
      <c r="O4027" s="7" t="s">
        <v>180</v>
      </c>
      <c r="P4027" s="7" t="s">
        <v>180</v>
      </c>
    </row>
    <row r="4028" spans="1:16" x14ac:dyDescent="0.25">
      <c r="A4028" t="s">
        <v>183</v>
      </c>
      <c r="B4028" t="s">
        <v>215</v>
      </c>
      <c r="C4028" s="7" t="s">
        <v>160</v>
      </c>
      <c r="D4028" t="s">
        <v>113</v>
      </c>
      <c r="F4028" s="35">
        <v>5.3</v>
      </c>
      <c r="G4028" s="35">
        <v>-18.678864168599215</v>
      </c>
      <c r="H4028" s="35">
        <v>-0.60826648522608717</v>
      </c>
      <c r="I4028" s="35">
        <v>0.31204919201277215</v>
      </c>
      <c r="J4028" s="35">
        <v>-2.6805061293349783E-4</v>
      </c>
      <c r="K4028" s="35">
        <v>1.8135716542432194</v>
      </c>
      <c r="L4028" s="35">
        <v>0.12351769744384379</v>
      </c>
      <c r="M4028" s="58" t="s">
        <v>24</v>
      </c>
      <c r="N4028" s="7">
        <v>11.333333333333334</v>
      </c>
      <c r="O4028" s="7" t="s">
        <v>180</v>
      </c>
      <c r="P4028" s="7" t="s">
        <v>180</v>
      </c>
    </row>
    <row r="4029" spans="1:16" x14ac:dyDescent="0.25">
      <c r="A4029" t="s">
        <v>183</v>
      </c>
      <c r="B4029" t="s">
        <v>215</v>
      </c>
      <c r="C4029" s="7" t="s">
        <v>160</v>
      </c>
      <c r="D4029" t="s">
        <v>113</v>
      </c>
      <c r="F4029" s="35">
        <v>5.4149169609489114</v>
      </c>
      <c r="G4029" s="35">
        <v>-18.624123152483701</v>
      </c>
      <c r="H4029" s="35">
        <v>-0.60826648522608717</v>
      </c>
      <c r="I4029" s="35">
        <v>0.31204919201277215</v>
      </c>
      <c r="J4029" s="35">
        <v>-2.6805061293349783E-4</v>
      </c>
      <c r="K4029" s="35">
        <v>1.7777119094305482</v>
      </c>
      <c r="L4029" s="35">
        <v>0.19341783337310231</v>
      </c>
      <c r="M4029" s="58" t="s">
        <v>24</v>
      </c>
      <c r="N4029" s="7">
        <v>11.333333333333334</v>
      </c>
      <c r="O4029" s="7" t="s">
        <v>180</v>
      </c>
      <c r="P4029" s="7" t="s">
        <v>180</v>
      </c>
    </row>
    <row r="4030" spans="1:16" x14ac:dyDescent="0.25">
      <c r="A4030" t="s">
        <v>183</v>
      </c>
      <c r="B4030" t="s">
        <v>215</v>
      </c>
      <c r="C4030" s="7" t="s">
        <v>160</v>
      </c>
      <c r="D4030" t="s">
        <v>113</v>
      </c>
      <c r="F4030" s="35">
        <v>10.829833921897823</v>
      </c>
      <c r="G4030" s="35">
        <v>-16.044712296368203</v>
      </c>
      <c r="H4030" s="35">
        <v>-0.60826648522608717</v>
      </c>
      <c r="I4030" s="35">
        <v>0.31204919201277215</v>
      </c>
      <c r="J4030" s="35">
        <v>-2.6805061293349783E-4</v>
      </c>
      <c r="K4030" s="35">
        <v>8.7991446950185306E-2</v>
      </c>
      <c r="L4030" s="35">
        <v>3.4871303410006229</v>
      </c>
      <c r="M4030" s="58" t="s">
        <v>23</v>
      </c>
      <c r="N4030" s="7">
        <v>11.333333333333334</v>
      </c>
      <c r="O4030" s="7" t="s">
        <v>180</v>
      </c>
      <c r="P4030" s="7" t="s">
        <v>180</v>
      </c>
    </row>
    <row r="4031" spans="1:16" x14ac:dyDescent="0.25">
      <c r="A4031" t="s">
        <v>183</v>
      </c>
      <c r="B4031" t="s">
        <v>215</v>
      </c>
      <c r="C4031" s="7" t="s">
        <v>160</v>
      </c>
      <c r="D4031" t="s">
        <v>114</v>
      </c>
      <c r="F4031" s="35">
        <v>0</v>
      </c>
      <c r="G4031" s="35">
        <v>35.293227359597012</v>
      </c>
      <c r="H4031" s="35">
        <v>-4.2609062733866843</v>
      </c>
      <c r="I4031" s="35">
        <v>3.0541417847775123</v>
      </c>
      <c r="J4031" s="35">
        <v>3.6231374389900328E-4</v>
      </c>
      <c r="K4031" s="35">
        <v>4.122512702494765</v>
      </c>
      <c r="L4031" s="35">
        <v>-15.68874238932977</v>
      </c>
      <c r="M4031" s="58" t="s">
        <v>22</v>
      </c>
      <c r="N4031" s="7">
        <v>11.333333333333334</v>
      </c>
      <c r="O4031" s="7" t="s">
        <v>180</v>
      </c>
      <c r="P4031" s="7" t="s">
        <v>180</v>
      </c>
    </row>
    <row r="4032" spans="1:16" x14ac:dyDescent="0.25">
      <c r="A4032" t="s">
        <v>183</v>
      </c>
      <c r="B4032" t="s">
        <v>215</v>
      </c>
      <c r="C4032" s="7" t="s">
        <v>160</v>
      </c>
      <c r="D4032" t="s">
        <v>114</v>
      </c>
      <c r="F4032" s="35">
        <v>0.29999999999999988</v>
      </c>
      <c r="G4032" s="35">
        <v>35.436133199597002</v>
      </c>
      <c r="H4032" s="35">
        <v>-4.2609062733866843</v>
      </c>
      <c r="I4032" s="35">
        <v>3.0541417847775123</v>
      </c>
      <c r="J4032" s="35">
        <v>3.6231374389900328E-4</v>
      </c>
      <c r="K4032" s="35">
        <v>3.2062701670615121</v>
      </c>
      <c r="L4032" s="35">
        <v>-14.410470507313763</v>
      </c>
      <c r="M4032" s="58" t="s">
        <v>22</v>
      </c>
      <c r="N4032" s="7">
        <v>11.333333333333334</v>
      </c>
      <c r="O4032" s="7" t="s">
        <v>180</v>
      </c>
      <c r="P4032" s="7" t="s">
        <v>180</v>
      </c>
    </row>
    <row r="4033" spans="1:16" x14ac:dyDescent="0.25">
      <c r="A4033" t="s">
        <v>183</v>
      </c>
      <c r="B4033" t="s">
        <v>215</v>
      </c>
      <c r="C4033" s="7" t="s">
        <v>160</v>
      </c>
      <c r="D4033" t="s">
        <v>114</v>
      </c>
      <c r="F4033" s="35">
        <v>0.29999999999999988</v>
      </c>
      <c r="G4033" s="35">
        <v>69.878661082419868</v>
      </c>
      <c r="H4033" s="35">
        <v>-4.2609062733866736</v>
      </c>
      <c r="I4033" s="35">
        <v>1.0345643578389445</v>
      </c>
      <c r="J4033" s="35">
        <v>2.0676139108965821E-4</v>
      </c>
      <c r="K4033" s="35">
        <v>3.2062701670615121</v>
      </c>
      <c r="L4033" s="35">
        <v>-14.410461174172591</v>
      </c>
      <c r="M4033" s="58" t="s">
        <v>22</v>
      </c>
      <c r="N4033" s="7">
        <v>11.333333333333334</v>
      </c>
      <c r="O4033" s="7" t="s">
        <v>180</v>
      </c>
      <c r="P4033" s="7" t="s">
        <v>180</v>
      </c>
    </row>
    <row r="4034" spans="1:16" x14ac:dyDescent="0.25">
      <c r="A4034" t="s">
        <v>183</v>
      </c>
      <c r="B4034" t="s">
        <v>215</v>
      </c>
      <c r="C4034" s="7" t="s">
        <v>160</v>
      </c>
      <c r="D4034" t="s">
        <v>114</v>
      </c>
      <c r="F4034" s="35">
        <v>5.3</v>
      </c>
      <c r="G4034" s="35">
        <v>72.260425082419886</v>
      </c>
      <c r="H4034" s="35">
        <v>-4.2609062733866736</v>
      </c>
      <c r="I4034" s="35">
        <v>1.0345643578389445</v>
      </c>
      <c r="J4034" s="35">
        <v>2.0676139108965821E-4</v>
      </c>
      <c r="K4034" s="35">
        <v>-1.9665516221332109</v>
      </c>
      <c r="L4034" s="35">
        <v>6.8940701927607702</v>
      </c>
      <c r="M4034" s="58" t="s">
        <v>24</v>
      </c>
      <c r="N4034" s="7">
        <v>11.333333333333334</v>
      </c>
      <c r="O4034" s="7" t="s">
        <v>180</v>
      </c>
      <c r="P4034" s="7" t="s">
        <v>180</v>
      </c>
    </row>
    <row r="4035" spans="1:16" x14ac:dyDescent="0.25">
      <c r="A4035" t="s">
        <v>183</v>
      </c>
      <c r="B4035" t="s">
        <v>215</v>
      </c>
      <c r="C4035" s="7" t="s">
        <v>160</v>
      </c>
      <c r="D4035" t="s">
        <v>114</v>
      </c>
      <c r="F4035" s="35">
        <v>5.3</v>
      </c>
      <c r="G4035" s="35">
        <v>46.022598979421318</v>
      </c>
      <c r="H4035" s="35">
        <v>-4.260915220577548</v>
      </c>
      <c r="I4035" s="35">
        <v>-0.31492236226122289</v>
      </c>
      <c r="J4035" s="35">
        <v>3.8789522357585539E-4</v>
      </c>
      <c r="K4035" s="35">
        <v>-1.9665516221332153</v>
      </c>
      <c r="L4035" s="35">
        <v>6.8936578835627333</v>
      </c>
      <c r="M4035" s="58" t="s">
        <v>24</v>
      </c>
      <c r="N4035" s="7">
        <v>11.333333333333334</v>
      </c>
      <c r="O4035" s="7" t="s">
        <v>180</v>
      </c>
      <c r="P4035" s="7" t="s">
        <v>180</v>
      </c>
    </row>
    <row r="4036" spans="1:16" x14ac:dyDescent="0.25">
      <c r="A4036" t="s">
        <v>183</v>
      </c>
      <c r="B4036" t="s">
        <v>215</v>
      </c>
      <c r="C4036" s="7" t="s">
        <v>160</v>
      </c>
      <c r="D4036" t="s">
        <v>114</v>
      </c>
      <c r="F4036" s="35">
        <v>5.4149169609489114</v>
      </c>
      <c r="G4036" s="35">
        <v>46.077339995536825</v>
      </c>
      <c r="H4036" s="35">
        <v>-4.260915220577548</v>
      </c>
      <c r="I4036" s="35">
        <v>-0.31492236226122289</v>
      </c>
      <c r="J4036" s="35">
        <v>3.8789522357585539E-4</v>
      </c>
      <c r="K4036" s="35">
        <v>-1.9303617013273036</v>
      </c>
      <c r="L4036" s="35">
        <v>7.3833093115724671</v>
      </c>
      <c r="M4036" s="58" t="s">
        <v>24</v>
      </c>
      <c r="N4036" s="7">
        <v>11.333333333333334</v>
      </c>
      <c r="O4036" s="7" t="s">
        <v>180</v>
      </c>
      <c r="P4036" s="7" t="s">
        <v>180</v>
      </c>
    </row>
    <row r="4037" spans="1:16" x14ac:dyDescent="0.25">
      <c r="A4037" t="s">
        <v>183</v>
      </c>
      <c r="B4037" t="s">
        <v>215</v>
      </c>
      <c r="C4037" s="7" t="s">
        <v>160</v>
      </c>
      <c r="D4037" t="s">
        <v>114</v>
      </c>
      <c r="F4037" s="35">
        <v>10.829833921897823</v>
      </c>
      <c r="G4037" s="35">
        <v>48.656750851652326</v>
      </c>
      <c r="H4037" s="35">
        <v>-4.260915220577548</v>
      </c>
      <c r="I4037" s="35">
        <v>-0.31492236226122289</v>
      </c>
      <c r="J4037" s="35">
        <v>3.8789522357585539E-4</v>
      </c>
      <c r="K4037" s="35">
        <v>-0.22508326053691113</v>
      </c>
      <c r="L4037" s="35">
        <v>30.455811408643193</v>
      </c>
      <c r="M4037" s="58" t="s">
        <v>23</v>
      </c>
      <c r="N4037" s="7">
        <v>11.333333333333334</v>
      </c>
      <c r="O4037" s="7" t="s">
        <v>180</v>
      </c>
      <c r="P4037" s="7" t="s">
        <v>180</v>
      </c>
    </row>
    <row r="4038" spans="1:16" x14ac:dyDescent="0.25">
      <c r="A4038" t="s">
        <v>183</v>
      </c>
      <c r="B4038" t="s">
        <v>215</v>
      </c>
      <c r="C4038" s="7" t="s">
        <v>160</v>
      </c>
      <c r="D4038" t="s">
        <v>115</v>
      </c>
      <c r="F4038" s="35">
        <v>0</v>
      </c>
      <c r="G4038" s="35">
        <v>-38.078738795445517</v>
      </c>
      <c r="H4038" s="35">
        <v>-1.473378763373308</v>
      </c>
      <c r="I4038" s="35">
        <v>4.0998850186991449</v>
      </c>
      <c r="J4038" s="35">
        <v>4.6186817522341628E-4</v>
      </c>
      <c r="K4038" s="35">
        <v>4.761232881840133</v>
      </c>
      <c r="L4038" s="35">
        <v>-6.7058659225167654</v>
      </c>
      <c r="M4038" s="58" t="s">
        <v>22</v>
      </c>
      <c r="N4038" s="7">
        <v>11.333333333333334</v>
      </c>
      <c r="O4038" s="7" t="s">
        <v>180</v>
      </c>
      <c r="P4038" s="7" t="s">
        <v>180</v>
      </c>
    </row>
    <row r="4039" spans="1:16" x14ac:dyDescent="0.25">
      <c r="A4039" t="s">
        <v>183</v>
      </c>
      <c r="B4039" t="s">
        <v>215</v>
      </c>
      <c r="C4039" s="7" t="s">
        <v>160</v>
      </c>
      <c r="D4039" t="s">
        <v>115</v>
      </c>
      <c r="F4039" s="35">
        <v>0.29999999999999988</v>
      </c>
      <c r="G4039" s="35">
        <v>-37.935832955445527</v>
      </c>
      <c r="H4039" s="35">
        <v>-1.473378763373308</v>
      </c>
      <c r="I4039" s="35">
        <v>4.0998850186991449</v>
      </c>
      <c r="J4039" s="35">
        <v>4.6186817522341628E-4</v>
      </c>
      <c r="K4039" s="35">
        <v>3.5312673762303897</v>
      </c>
      <c r="L4039" s="35">
        <v>-6.2638522935047725</v>
      </c>
      <c r="M4039" s="58" t="s">
        <v>22</v>
      </c>
      <c r="N4039" s="7">
        <v>11.333333333333334</v>
      </c>
      <c r="O4039" s="7" t="s">
        <v>180</v>
      </c>
      <c r="P4039" s="7" t="s">
        <v>180</v>
      </c>
    </row>
    <row r="4040" spans="1:16" x14ac:dyDescent="0.25">
      <c r="A4040" t="s">
        <v>183</v>
      </c>
      <c r="B4040" t="s">
        <v>215</v>
      </c>
      <c r="C4040" s="7" t="s">
        <v>160</v>
      </c>
      <c r="D4040" t="s">
        <v>115</v>
      </c>
      <c r="F4040" s="35">
        <v>0.29999999999999988</v>
      </c>
      <c r="G4040" s="35">
        <v>12.155570958725582</v>
      </c>
      <c r="H4040" s="35">
        <v>-1.4733787633733075</v>
      </c>
      <c r="I4040" s="35">
        <v>1.1413750298797176</v>
      </c>
      <c r="J4040" s="35">
        <v>3.0055652607445196E-4</v>
      </c>
      <c r="K4040" s="35">
        <v>3.5312673762303883</v>
      </c>
      <c r="L4040" s="35">
        <v>-6.2638426148058235</v>
      </c>
      <c r="M4040" s="58" t="s">
        <v>22</v>
      </c>
      <c r="N4040" s="7">
        <v>11.333333333333334</v>
      </c>
      <c r="O4040" s="7" t="s">
        <v>180</v>
      </c>
      <c r="P4040" s="7" t="s">
        <v>180</v>
      </c>
    </row>
    <row r="4041" spans="1:16" x14ac:dyDescent="0.25">
      <c r="A4041" t="s">
        <v>183</v>
      </c>
      <c r="B4041" t="s">
        <v>215</v>
      </c>
      <c r="C4041" s="7" t="s">
        <v>160</v>
      </c>
      <c r="D4041" t="s">
        <v>115</v>
      </c>
      <c r="F4041" s="35">
        <v>5.3</v>
      </c>
      <c r="G4041" s="35">
        <v>14.537334958725591</v>
      </c>
      <c r="H4041" s="35">
        <v>-1.4733787633733075</v>
      </c>
      <c r="I4041" s="35">
        <v>1.1413750298797176</v>
      </c>
      <c r="J4041" s="35">
        <v>3.0055652607445196E-4</v>
      </c>
      <c r="K4041" s="35">
        <v>-2.1756077731682</v>
      </c>
      <c r="L4041" s="35">
        <v>1.1030512020607113</v>
      </c>
      <c r="M4041" s="58" t="s">
        <v>24</v>
      </c>
      <c r="N4041" s="7">
        <v>11.333333333333334</v>
      </c>
      <c r="O4041" s="7" t="s">
        <v>180</v>
      </c>
      <c r="P4041" s="7" t="s">
        <v>180</v>
      </c>
    </row>
    <row r="4042" spans="1:16" x14ac:dyDescent="0.25">
      <c r="A4042" t="s">
        <v>183</v>
      </c>
      <c r="B4042" t="s">
        <v>215</v>
      </c>
      <c r="C4042" s="7" t="s">
        <v>160</v>
      </c>
      <c r="D4042" t="s">
        <v>115</v>
      </c>
      <c r="F4042" s="35">
        <v>5.3</v>
      </c>
      <c r="G4042" s="35">
        <v>-25.982673616957626</v>
      </c>
      <c r="H4042" s="35">
        <v>-1.4734030360989803</v>
      </c>
      <c r="I4042" s="35">
        <v>-0.34962316741828003</v>
      </c>
      <c r="J4042" s="35">
        <v>3.4777222895687965E-4</v>
      </c>
      <c r="K4042" s="35">
        <v>-2.1756077731681924</v>
      </c>
      <c r="L4042" s="35">
        <v>1.1027896977497169</v>
      </c>
      <c r="M4042" s="58" t="s">
        <v>24</v>
      </c>
      <c r="N4042" s="7">
        <v>11.333333333333334</v>
      </c>
      <c r="O4042" s="7" t="s">
        <v>180</v>
      </c>
      <c r="P4042" s="7" t="s">
        <v>180</v>
      </c>
    </row>
    <row r="4043" spans="1:16" x14ac:dyDescent="0.25">
      <c r="A4043" t="s">
        <v>183</v>
      </c>
      <c r="B4043" t="s">
        <v>215</v>
      </c>
      <c r="C4043" s="7" t="s">
        <v>160</v>
      </c>
      <c r="D4043" t="s">
        <v>115</v>
      </c>
      <c r="F4043" s="35">
        <v>5.4149169609489114</v>
      </c>
      <c r="G4043" s="35">
        <v>-25.927932600842116</v>
      </c>
      <c r="H4043" s="35">
        <v>-1.4734030360989803</v>
      </c>
      <c r="I4043" s="35">
        <v>-0.34962316741828003</v>
      </c>
      <c r="J4043" s="35">
        <v>3.4777222895687965E-4</v>
      </c>
      <c r="K4043" s="35">
        <v>-2.1354301412911512</v>
      </c>
      <c r="L4043" s="35">
        <v>1.2721086969111122</v>
      </c>
      <c r="M4043" s="58" t="s">
        <v>24</v>
      </c>
      <c r="N4043" s="7">
        <v>11.333333333333334</v>
      </c>
      <c r="O4043" s="7" t="s">
        <v>180</v>
      </c>
      <c r="P4043" s="7" t="s">
        <v>180</v>
      </c>
    </row>
    <row r="4044" spans="1:16" x14ac:dyDescent="0.25">
      <c r="A4044" t="s">
        <v>183</v>
      </c>
      <c r="B4044" t="s">
        <v>215</v>
      </c>
      <c r="C4044" s="7" t="s">
        <v>160</v>
      </c>
      <c r="D4044" t="s">
        <v>115</v>
      </c>
      <c r="F4044" s="35">
        <v>10.829833921897823</v>
      </c>
      <c r="G4044" s="35">
        <v>-23.348521744726614</v>
      </c>
      <c r="H4044" s="35">
        <v>-1.4734030360989803</v>
      </c>
      <c r="I4044" s="35">
        <v>-0.34962316741828003</v>
      </c>
      <c r="J4044" s="35">
        <v>3.4777222895687965E-4</v>
      </c>
      <c r="K4044" s="35">
        <v>-0.24224972209722659</v>
      </c>
      <c r="L4044" s="35">
        <v>9.2504637873970985</v>
      </c>
      <c r="M4044" s="58" t="s">
        <v>23</v>
      </c>
      <c r="N4044" s="7">
        <v>11.333333333333334</v>
      </c>
      <c r="O4044" s="7" t="s">
        <v>180</v>
      </c>
      <c r="P4044" s="7" t="s">
        <v>180</v>
      </c>
    </row>
    <row r="4045" spans="1:16" x14ac:dyDescent="0.25">
      <c r="A4045" t="s">
        <v>183</v>
      </c>
      <c r="B4045" t="s">
        <v>215</v>
      </c>
      <c r="C4045" s="7" t="s">
        <v>160</v>
      </c>
      <c r="D4045" t="s">
        <v>116</v>
      </c>
      <c r="F4045" s="35">
        <v>0</v>
      </c>
      <c r="G4045" s="35">
        <v>45.866623613836552</v>
      </c>
      <c r="H4045" s="35">
        <v>1.6503465142880742</v>
      </c>
      <c r="I4045" s="35">
        <v>-1.024829762814087</v>
      </c>
      <c r="J4045" s="35">
        <v>-2.5805678226759759E-4</v>
      </c>
      <c r="K4045" s="35">
        <v>-1.1363115623698536</v>
      </c>
      <c r="L4045" s="35">
        <v>20.252542356786389</v>
      </c>
      <c r="M4045" s="58" t="s">
        <v>22</v>
      </c>
      <c r="N4045" s="7">
        <v>11.333333333333334</v>
      </c>
      <c r="O4045" s="7" t="s">
        <v>180</v>
      </c>
      <c r="P4045" s="7" t="s">
        <v>180</v>
      </c>
    </row>
    <row r="4046" spans="1:16" x14ac:dyDescent="0.25">
      <c r="A4046" t="s">
        <v>183</v>
      </c>
      <c r="B4046" t="s">
        <v>215</v>
      </c>
      <c r="C4046" s="7" t="s">
        <v>160</v>
      </c>
      <c r="D4046" t="s">
        <v>116</v>
      </c>
      <c r="F4046" s="35">
        <v>0.29999999999999988</v>
      </c>
      <c r="G4046" s="35">
        <v>46.009529453836549</v>
      </c>
      <c r="H4046" s="35">
        <v>1.6503465142880742</v>
      </c>
      <c r="I4046" s="35">
        <v>-1.024829762814087</v>
      </c>
      <c r="J4046" s="35">
        <v>-2.5805678226759759E-4</v>
      </c>
      <c r="K4046" s="35">
        <v>-0.82886263352562795</v>
      </c>
      <c r="L4046" s="35">
        <v>19.757438402499961</v>
      </c>
      <c r="M4046" s="58" t="s">
        <v>22</v>
      </c>
      <c r="N4046" s="7">
        <v>11.333333333333334</v>
      </c>
      <c r="O4046" s="7" t="s">
        <v>180</v>
      </c>
      <c r="P4046" s="7" t="s">
        <v>180</v>
      </c>
    </row>
    <row r="4047" spans="1:16" x14ac:dyDescent="0.25">
      <c r="A4047" t="s">
        <v>183</v>
      </c>
      <c r="B4047" t="s">
        <v>215</v>
      </c>
      <c r="C4047" s="7" t="s">
        <v>160</v>
      </c>
      <c r="D4047" t="s">
        <v>116</v>
      </c>
      <c r="F4047" s="35">
        <v>0.29999999999999988</v>
      </c>
      <c r="G4047" s="35">
        <v>34.251953770653934</v>
      </c>
      <c r="H4047" s="35">
        <v>1.6503465142880756</v>
      </c>
      <c r="I4047" s="35">
        <v>-0.27240097579239603</v>
      </c>
      <c r="J4047" s="35">
        <v>-7.0939468496394788E-5</v>
      </c>
      <c r="K4047" s="35">
        <v>-0.82886263352562861</v>
      </c>
      <c r="L4047" s="35">
        <v>19.757427175461139</v>
      </c>
      <c r="M4047" s="58" t="s">
        <v>22</v>
      </c>
      <c r="N4047" s="7">
        <v>11.333333333333334</v>
      </c>
      <c r="O4047" s="7" t="s">
        <v>180</v>
      </c>
      <c r="P4047" s="7" t="s">
        <v>180</v>
      </c>
    </row>
    <row r="4048" spans="1:16" x14ac:dyDescent="0.25">
      <c r="A4048" t="s">
        <v>183</v>
      </c>
      <c r="B4048" t="s">
        <v>215</v>
      </c>
      <c r="C4048" s="7" t="s">
        <v>160</v>
      </c>
      <c r="D4048" t="s">
        <v>116</v>
      </c>
      <c r="F4048" s="35">
        <v>5.3</v>
      </c>
      <c r="G4048" s="35">
        <v>36.633717770653945</v>
      </c>
      <c r="H4048" s="35">
        <v>1.6503465142880756</v>
      </c>
      <c r="I4048" s="35">
        <v>-0.27240097579239603</v>
      </c>
      <c r="J4048" s="35">
        <v>-7.0939468496394788E-5</v>
      </c>
      <c r="K4048" s="35">
        <v>0.53314224543635147</v>
      </c>
      <c r="L4048" s="35">
        <v>11.505694604020757</v>
      </c>
      <c r="M4048" s="58" t="s">
        <v>24</v>
      </c>
      <c r="N4048" s="7">
        <v>11.333333333333334</v>
      </c>
      <c r="O4048" s="7" t="s">
        <v>180</v>
      </c>
      <c r="P4048" s="7" t="s">
        <v>180</v>
      </c>
    </row>
    <row r="4049" spans="1:16" x14ac:dyDescent="0.25">
      <c r="A4049" t="s">
        <v>183</v>
      </c>
      <c r="B4049" t="s">
        <v>215</v>
      </c>
      <c r="C4049" s="7" t="s">
        <v>160</v>
      </c>
      <c r="D4049" t="s">
        <v>116</v>
      </c>
      <c r="F4049" s="35">
        <v>5.3</v>
      </c>
      <c r="G4049" s="35">
        <v>49.761286610906048</v>
      </c>
      <c r="H4049" s="35">
        <v>1.6503493892924099</v>
      </c>
      <c r="I4049" s="35">
        <v>9.9733774437142805E-2</v>
      </c>
      <c r="J4049" s="35">
        <v>1.7197929542722635E-5</v>
      </c>
      <c r="K4049" s="35">
        <v>0.53314224543635336</v>
      </c>
      <c r="L4049" s="35">
        <v>11.505634848310788</v>
      </c>
      <c r="M4049" s="58" t="s">
        <v>24</v>
      </c>
      <c r="N4049" s="7">
        <v>11.333333333333334</v>
      </c>
      <c r="O4049" s="7" t="s">
        <v>180</v>
      </c>
      <c r="P4049" s="7" t="s">
        <v>180</v>
      </c>
    </row>
    <row r="4050" spans="1:16" x14ac:dyDescent="0.25">
      <c r="A4050" t="s">
        <v>183</v>
      </c>
      <c r="B4050" t="s">
        <v>215</v>
      </c>
      <c r="C4050" s="7" t="s">
        <v>160</v>
      </c>
      <c r="D4050" t="s">
        <v>116</v>
      </c>
      <c r="F4050" s="35">
        <v>5.4149169609489114</v>
      </c>
      <c r="G4050" s="35">
        <v>49.816027627021562</v>
      </c>
      <c r="H4050" s="35">
        <v>1.6503493892924099</v>
      </c>
      <c r="I4050" s="35">
        <v>9.9733774437142805E-2</v>
      </c>
      <c r="J4050" s="35">
        <v>1.7197929542722635E-5</v>
      </c>
      <c r="K4050" s="35">
        <v>0.52168114317407266</v>
      </c>
      <c r="L4050" s="35">
        <v>11.315981711989414</v>
      </c>
      <c r="M4050" s="58" t="s">
        <v>24</v>
      </c>
      <c r="N4050" s="7">
        <v>11.333333333333334</v>
      </c>
      <c r="O4050" s="7" t="s">
        <v>180</v>
      </c>
      <c r="P4050" s="7" t="s">
        <v>180</v>
      </c>
    </row>
    <row r="4051" spans="1:16" x14ac:dyDescent="0.25">
      <c r="A4051" t="s">
        <v>183</v>
      </c>
      <c r="B4051" t="s">
        <v>215</v>
      </c>
      <c r="C4051" s="7" t="s">
        <v>160</v>
      </c>
      <c r="D4051" t="s">
        <v>116</v>
      </c>
      <c r="F4051" s="35">
        <v>10.829833921897823</v>
      </c>
      <c r="G4051" s="35">
        <v>52.395438483137056</v>
      </c>
      <c r="H4051" s="35">
        <v>1.6503493892924099</v>
      </c>
      <c r="I4051" s="35">
        <v>9.9733774437142805E-2</v>
      </c>
      <c r="J4051" s="35">
        <v>1.7197929542722635E-5</v>
      </c>
      <c r="K4051" s="35">
        <v>-1.8368963605064747E-2</v>
      </c>
      <c r="L4051" s="35">
        <v>2.3794768124182704</v>
      </c>
      <c r="M4051" s="58" t="s">
        <v>23</v>
      </c>
      <c r="N4051" s="7">
        <v>11.333333333333334</v>
      </c>
      <c r="O4051" s="7" t="s">
        <v>180</v>
      </c>
      <c r="P4051" s="7" t="s">
        <v>180</v>
      </c>
    </row>
    <row r="4052" spans="1:16" x14ac:dyDescent="0.25">
      <c r="A4052" t="s">
        <v>183</v>
      </c>
      <c r="B4052" t="s">
        <v>215</v>
      </c>
      <c r="C4052" s="7" t="s">
        <v>160</v>
      </c>
      <c r="D4052" t="s">
        <v>117</v>
      </c>
      <c r="F4052" s="35">
        <v>0</v>
      </c>
      <c r="G4052" s="35">
        <v>-146.88161388780185</v>
      </c>
      <c r="H4052" s="35">
        <v>13.693646805919705</v>
      </c>
      <c r="I4052" s="35">
        <v>1.2443986660928348</v>
      </c>
      <c r="J4052" s="35">
        <v>-2.2474132443352793E-4</v>
      </c>
      <c r="K4052" s="35">
        <v>-8.0633037577457711E-2</v>
      </c>
      <c r="L4052" s="35">
        <v>78.20641418609064</v>
      </c>
      <c r="M4052" s="58" t="s">
        <v>22</v>
      </c>
      <c r="N4052" s="7">
        <v>11.333333333333334</v>
      </c>
      <c r="O4052" s="7" t="s">
        <v>180</v>
      </c>
      <c r="P4052" s="7" t="s">
        <v>180</v>
      </c>
    </row>
    <row r="4053" spans="1:16" x14ac:dyDescent="0.25">
      <c r="A4053" t="s">
        <v>183</v>
      </c>
      <c r="B4053" t="s">
        <v>215</v>
      </c>
      <c r="C4053" s="7" t="s">
        <v>160</v>
      </c>
      <c r="D4053" t="s">
        <v>117</v>
      </c>
      <c r="F4053" s="35">
        <v>0.29999999999999988</v>
      </c>
      <c r="G4053" s="35">
        <v>-146.73870804780185</v>
      </c>
      <c r="H4053" s="35">
        <v>13.693646805919705</v>
      </c>
      <c r="I4053" s="35">
        <v>1.2443986660928348</v>
      </c>
      <c r="J4053" s="35">
        <v>-2.2474132443352793E-4</v>
      </c>
      <c r="K4053" s="35">
        <v>-0.45395263740530806</v>
      </c>
      <c r="L4053" s="35">
        <v>74.098320144314712</v>
      </c>
      <c r="M4053" s="58" t="s">
        <v>22</v>
      </c>
      <c r="N4053" s="7">
        <v>11.333333333333334</v>
      </c>
      <c r="O4053" s="7" t="s">
        <v>180</v>
      </c>
      <c r="P4053" s="7" t="s">
        <v>180</v>
      </c>
    </row>
    <row r="4054" spans="1:16" x14ac:dyDescent="0.25">
      <c r="A4054" t="s">
        <v>183</v>
      </c>
      <c r="B4054" t="s">
        <v>215</v>
      </c>
      <c r="C4054" s="7" t="s">
        <v>160</v>
      </c>
      <c r="D4054" t="s">
        <v>117</v>
      </c>
      <c r="F4054" s="35">
        <v>0.29999999999999988</v>
      </c>
      <c r="G4054" s="35">
        <v>-122.75800049154813</v>
      </c>
      <c r="H4054" s="35">
        <v>13.693646805919714</v>
      </c>
      <c r="I4054" s="35">
        <v>-0.14746954125159659</v>
      </c>
      <c r="J4054" s="35">
        <v>1.7177379417800234E-4</v>
      </c>
      <c r="K4054" s="35">
        <v>-0.45395263740530911</v>
      </c>
      <c r="L4054" s="35">
        <v>74.098296353407576</v>
      </c>
      <c r="M4054" s="58" t="s">
        <v>22</v>
      </c>
      <c r="N4054" s="7">
        <v>11.333333333333334</v>
      </c>
      <c r="O4054" s="7" t="s">
        <v>180</v>
      </c>
      <c r="P4054" s="7" t="s">
        <v>180</v>
      </c>
    </row>
    <row r="4055" spans="1:16" x14ac:dyDescent="0.25">
      <c r="A4055" t="s">
        <v>183</v>
      </c>
      <c r="B4055" t="s">
        <v>215</v>
      </c>
      <c r="C4055" s="7" t="s">
        <v>160</v>
      </c>
      <c r="D4055" t="s">
        <v>117</v>
      </c>
      <c r="F4055" s="35">
        <v>5.3</v>
      </c>
      <c r="G4055" s="35">
        <v>-120.37623649154814</v>
      </c>
      <c r="H4055" s="35">
        <v>13.693646805919714</v>
      </c>
      <c r="I4055" s="35">
        <v>-0.14746954125159659</v>
      </c>
      <c r="J4055" s="35">
        <v>1.7177379417800234E-4</v>
      </c>
      <c r="K4055" s="35">
        <v>0.28339506885267368</v>
      </c>
      <c r="L4055" s="35">
        <v>5.6300623238090015</v>
      </c>
      <c r="M4055" s="58" t="s">
        <v>24</v>
      </c>
      <c r="N4055" s="7">
        <v>11.333333333333334</v>
      </c>
      <c r="O4055" s="7" t="s">
        <v>180</v>
      </c>
      <c r="P4055" s="7" t="s">
        <v>180</v>
      </c>
    </row>
    <row r="4056" spans="1:16" x14ac:dyDescent="0.25">
      <c r="A4056" t="s">
        <v>183</v>
      </c>
      <c r="B4056" t="s">
        <v>215</v>
      </c>
      <c r="C4056" s="7" t="s">
        <v>160</v>
      </c>
      <c r="D4056" t="s">
        <v>117</v>
      </c>
      <c r="F4056" s="35">
        <v>5.3</v>
      </c>
      <c r="G4056" s="35">
        <v>-140.1746193970576</v>
      </c>
      <c r="H4056" s="35">
        <v>13.693596287963885</v>
      </c>
      <c r="I4056" s="35">
        <v>5.8257772698853995E-2</v>
      </c>
      <c r="J4056" s="35">
        <v>-1.0588842817607459E-4</v>
      </c>
      <c r="K4056" s="35">
        <v>0.28339506885267468</v>
      </c>
      <c r="L4056" s="35">
        <v>5.6304532003294225</v>
      </c>
      <c r="M4056" s="58" t="s">
        <v>24</v>
      </c>
      <c r="N4056" s="7">
        <v>11.333333333333334</v>
      </c>
      <c r="O4056" s="7" t="s">
        <v>180</v>
      </c>
      <c r="P4056" s="7" t="s">
        <v>180</v>
      </c>
    </row>
    <row r="4057" spans="1:16" x14ac:dyDescent="0.25">
      <c r="A4057" t="s">
        <v>183</v>
      </c>
      <c r="B4057" t="s">
        <v>215</v>
      </c>
      <c r="C4057" s="7" t="s">
        <v>160</v>
      </c>
      <c r="D4057" t="s">
        <v>117</v>
      </c>
      <c r="F4057" s="35">
        <v>5.4149169609489114</v>
      </c>
      <c r="G4057" s="35">
        <v>-140.11987838094208</v>
      </c>
      <c r="H4057" s="35">
        <v>13.693596287963885</v>
      </c>
      <c r="I4057" s="35">
        <v>5.8257772698853995E-2</v>
      </c>
      <c r="J4057" s="35">
        <v>-1.0588842817607459E-4</v>
      </c>
      <c r="K4057" s="35">
        <v>0.27670026266247</v>
      </c>
      <c r="L4057" s="35">
        <v>4.0568267304553185</v>
      </c>
      <c r="M4057" s="58" t="s">
        <v>24</v>
      </c>
      <c r="N4057" s="7">
        <v>11.333333333333334</v>
      </c>
      <c r="O4057" s="7" t="s">
        <v>180</v>
      </c>
      <c r="P4057" s="7" t="s">
        <v>180</v>
      </c>
    </row>
    <row r="4058" spans="1:16" x14ac:dyDescent="0.25">
      <c r="A4058" t="s">
        <v>183</v>
      </c>
      <c r="B4058" t="s">
        <v>215</v>
      </c>
      <c r="C4058" s="7" t="s">
        <v>160</v>
      </c>
      <c r="D4058" t="s">
        <v>117</v>
      </c>
      <c r="F4058" s="35">
        <v>10.829833921897823</v>
      </c>
      <c r="G4058" s="35">
        <v>-137.54046752482657</v>
      </c>
      <c r="H4058" s="35">
        <v>13.693596287963885</v>
      </c>
      <c r="I4058" s="35">
        <v>5.8257772698853995E-2</v>
      </c>
      <c r="J4058" s="35">
        <v>-1.0588842817607459E-4</v>
      </c>
      <c r="K4058" s="35">
        <v>-3.8760738831660896E-2</v>
      </c>
      <c r="L4058" s="35">
        <v>-70.092860065627349</v>
      </c>
      <c r="M4058" s="58" t="s">
        <v>23</v>
      </c>
      <c r="N4058" s="7">
        <v>11.333333333333334</v>
      </c>
      <c r="O4058" s="7" t="s">
        <v>180</v>
      </c>
      <c r="P4058" s="7" t="s">
        <v>180</v>
      </c>
    </row>
    <row r="4059" spans="1:16" x14ac:dyDescent="0.25">
      <c r="A4059" t="s">
        <v>183</v>
      </c>
      <c r="B4059" t="s">
        <v>215</v>
      </c>
      <c r="C4059" s="7" t="s">
        <v>160</v>
      </c>
      <c r="D4059" t="s">
        <v>118</v>
      </c>
      <c r="F4059" s="35">
        <v>0</v>
      </c>
      <c r="G4059" s="35">
        <v>47.548597510872547</v>
      </c>
      <c r="H4059" s="35">
        <v>-7.3120127330754423</v>
      </c>
      <c r="I4059" s="35">
        <v>-1.0208843728851191</v>
      </c>
      <c r="J4059" s="35">
        <v>2.0551881235741626E-5</v>
      </c>
      <c r="K4059" s="35">
        <v>-1.114160709042477</v>
      </c>
      <c r="L4059" s="35">
        <v>-39.677589532798926</v>
      </c>
      <c r="M4059" s="58" t="s">
        <v>22</v>
      </c>
      <c r="N4059" s="7">
        <v>11.333333333333334</v>
      </c>
      <c r="O4059" s="7" t="s">
        <v>180</v>
      </c>
      <c r="P4059" s="7" t="s">
        <v>180</v>
      </c>
    </row>
    <row r="4060" spans="1:16" x14ac:dyDescent="0.25">
      <c r="A4060" t="s">
        <v>183</v>
      </c>
      <c r="B4060" t="s">
        <v>215</v>
      </c>
      <c r="C4060" s="7" t="s">
        <v>160</v>
      </c>
      <c r="D4060" t="s">
        <v>118</v>
      </c>
      <c r="F4060" s="35">
        <v>0.29999999999999988</v>
      </c>
      <c r="G4060" s="35">
        <v>47.691503350872537</v>
      </c>
      <c r="H4060" s="35">
        <v>-7.3120127330754423</v>
      </c>
      <c r="I4060" s="35">
        <v>-1.0208843728851191</v>
      </c>
      <c r="J4060" s="35">
        <v>2.0551881235741626E-5</v>
      </c>
      <c r="K4060" s="35">
        <v>-0.80789539717694125</v>
      </c>
      <c r="L4060" s="35">
        <v>-37.483985712876304</v>
      </c>
      <c r="M4060" s="58" t="s">
        <v>22</v>
      </c>
      <c r="N4060" s="7">
        <v>11.333333333333334</v>
      </c>
      <c r="O4060" s="7" t="s">
        <v>180</v>
      </c>
      <c r="P4060" s="7" t="s">
        <v>180</v>
      </c>
    </row>
    <row r="4061" spans="1:16" x14ac:dyDescent="0.25">
      <c r="A4061" t="s">
        <v>183</v>
      </c>
      <c r="B4061" t="s">
        <v>215</v>
      </c>
      <c r="C4061" s="7" t="s">
        <v>160</v>
      </c>
      <c r="D4061" t="s">
        <v>118</v>
      </c>
      <c r="F4061" s="35">
        <v>0.29999999999999988</v>
      </c>
      <c r="G4061" s="35">
        <v>35.886913874366257</v>
      </c>
      <c r="H4061" s="35">
        <v>-7.3120127330754459</v>
      </c>
      <c r="I4061" s="35">
        <v>-0.26563475826400601</v>
      </c>
      <c r="J4061" s="35">
        <v>-1.3234930994164741E-4</v>
      </c>
      <c r="K4061" s="35">
        <v>-0.80789539717694281</v>
      </c>
      <c r="L4061" s="35">
        <v>-37.483976538804804</v>
      </c>
      <c r="M4061" s="58" t="s">
        <v>22</v>
      </c>
      <c r="N4061" s="7">
        <v>11.333333333333334</v>
      </c>
      <c r="O4061" s="7" t="s">
        <v>180</v>
      </c>
      <c r="P4061" s="7" t="s">
        <v>180</v>
      </c>
    </row>
    <row r="4062" spans="1:16" x14ac:dyDescent="0.25">
      <c r="A4062" t="s">
        <v>183</v>
      </c>
      <c r="B4062" t="s">
        <v>215</v>
      </c>
      <c r="C4062" s="7" t="s">
        <v>160</v>
      </c>
      <c r="D4062" t="s">
        <v>118</v>
      </c>
      <c r="F4062" s="35">
        <v>5.3</v>
      </c>
      <c r="G4062" s="35">
        <v>38.268677874366269</v>
      </c>
      <c r="H4062" s="35">
        <v>-7.3120127330754459</v>
      </c>
      <c r="I4062" s="35">
        <v>-0.26563475826400601</v>
      </c>
      <c r="J4062" s="35">
        <v>-1.3234930994164741E-4</v>
      </c>
      <c r="K4062" s="35">
        <v>0.5202783941430873</v>
      </c>
      <c r="L4062" s="35">
        <v>-0.92391287342758821</v>
      </c>
      <c r="M4062" s="58" t="s">
        <v>24</v>
      </c>
      <c r="N4062" s="7">
        <v>11.333333333333334</v>
      </c>
      <c r="O4062" s="7" t="s">
        <v>180</v>
      </c>
      <c r="P4062" s="7" t="s">
        <v>180</v>
      </c>
    </row>
    <row r="4063" spans="1:16" x14ac:dyDescent="0.25">
      <c r="A4063" t="s">
        <v>183</v>
      </c>
      <c r="B4063" t="s">
        <v>215</v>
      </c>
      <c r="C4063" s="7" t="s">
        <v>160</v>
      </c>
      <c r="D4063" t="s">
        <v>118</v>
      </c>
      <c r="F4063" s="35">
        <v>5.3</v>
      </c>
      <c r="G4063" s="35">
        <v>51.461119929537062</v>
      </c>
      <c r="H4063" s="35">
        <v>-7.3119767564068319</v>
      </c>
      <c r="I4063" s="35">
        <v>9.7598524552900773E-2</v>
      </c>
      <c r="J4063" s="35">
        <v>4.3166254469482574E-5</v>
      </c>
      <c r="K4063" s="35">
        <v>0.52027839414308619</v>
      </c>
      <c r="L4063" s="35">
        <v>-0.92410372733297086</v>
      </c>
      <c r="M4063" s="58" t="s">
        <v>24</v>
      </c>
      <c r="N4063" s="7">
        <v>11.333333333333334</v>
      </c>
      <c r="O4063" s="7" t="s">
        <v>180</v>
      </c>
      <c r="P4063" s="7" t="s">
        <v>180</v>
      </c>
    </row>
    <row r="4064" spans="1:16" x14ac:dyDescent="0.25">
      <c r="A4064" t="s">
        <v>183</v>
      </c>
      <c r="B4064" t="s">
        <v>215</v>
      </c>
      <c r="C4064" s="7" t="s">
        <v>160</v>
      </c>
      <c r="D4064" t="s">
        <v>118</v>
      </c>
      <c r="F4064" s="35">
        <v>5.4149169609489114</v>
      </c>
      <c r="G4064" s="35">
        <v>51.515860945652577</v>
      </c>
      <c r="H4064" s="35">
        <v>-7.3119767564068319</v>
      </c>
      <c r="I4064" s="35">
        <v>9.7598524552900773E-2</v>
      </c>
      <c r="J4064" s="35">
        <v>4.3166254469482574E-5</v>
      </c>
      <c r="K4064" s="35">
        <v>0.50906266830836921</v>
      </c>
      <c r="L4064" s="35">
        <v>-8.3833579957618351E-2</v>
      </c>
      <c r="M4064" s="58" t="s">
        <v>24</v>
      </c>
      <c r="N4064" s="7">
        <v>11.333333333333334</v>
      </c>
      <c r="O4064" s="7" t="s">
        <v>180</v>
      </c>
      <c r="P4064" s="7" t="s">
        <v>180</v>
      </c>
    </row>
    <row r="4065" spans="1:16" x14ac:dyDescent="0.25">
      <c r="A4065" t="s">
        <v>183</v>
      </c>
      <c r="B4065" t="s">
        <v>215</v>
      </c>
      <c r="C4065" s="7" t="s">
        <v>160</v>
      </c>
      <c r="D4065" t="s">
        <v>118</v>
      </c>
      <c r="F4065" s="35">
        <v>10.829833921897823</v>
      </c>
      <c r="G4065" s="35">
        <v>54.095271801768078</v>
      </c>
      <c r="H4065" s="35">
        <v>-7.3119767564068319</v>
      </c>
      <c r="I4065" s="35">
        <v>9.7598524552900773E-2</v>
      </c>
      <c r="J4065" s="35">
        <v>4.3166254469482574E-5</v>
      </c>
      <c r="K4065" s="35">
        <v>-1.9425237656721876E-2</v>
      </c>
      <c r="L4065" s="35">
        <v>39.50991337637393</v>
      </c>
      <c r="M4065" s="58" t="s">
        <v>23</v>
      </c>
      <c r="N4065" s="7">
        <v>11.333333333333334</v>
      </c>
      <c r="O4065" s="7" t="s">
        <v>180</v>
      </c>
      <c r="P4065" s="7" t="s">
        <v>180</v>
      </c>
    </row>
    <row r="4066" spans="1:16" x14ac:dyDescent="0.25">
      <c r="A4066" t="s">
        <v>183</v>
      </c>
      <c r="B4066" t="s">
        <v>215</v>
      </c>
      <c r="C4066" s="7" t="s">
        <v>160</v>
      </c>
      <c r="D4066" t="s">
        <v>119</v>
      </c>
      <c r="F4066" s="35">
        <v>0</v>
      </c>
      <c r="G4066" s="35">
        <v>-60.103386243728032</v>
      </c>
      <c r="H4066" s="35">
        <v>-18.183127877331398</v>
      </c>
      <c r="I4066" s="35">
        <v>0.43992434786068774</v>
      </c>
      <c r="J4066" s="35">
        <v>2.9413656145884731E-4</v>
      </c>
      <c r="K4066" s="35">
        <v>-0.27178396815755473</v>
      </c>
      <c r="L4066" s="35">
        <v>-102.1228071369307</v>
      </c>
      <c r="M4066" s="58" t="s">
        <v>22</v>
      </c>
      <c r="N4066" s="7">
        <v>11.333333333333334</v>
      </c>
      <c r="O4066" s="7" t="s">
        <v>180</v>
      </c>
      <c r="P4066" s="7" t="s">
        <v>180</v>
      </c>
    </row>
    <row r="4067" spans="1:16" x14ac:dyDescent="0.25">
      <c r="A4067" t="s">
        <v>183</v>
      </c>
      <c r="B4067" t="s">
        <v>215</v>
      </c>
      <c r="C4067" s="7" t="s">
        <v>160</v>
      </c>
      <c r="D4067" t="s">
        <v>119</v>
      </c>
      <c r="F4067" s="35">
        <v>0.29999999999999988</v>
      </c>
      <c r="G4067" s="35">
        <v>-59.960480403728035</v>
      </c>
      <c r="H4067" s="35">
        <v>-18.183127877331398</v>
      </c>
      <c r="I4067" s="35">
        <v>0.43992434786068774</v>
      </c>
      <c r="J4067" s="35">
        <v>2.9413656145884731E-4</v>
      </c>
      <c r="K4067" s="35">
        <v>-0.4037612725157611</v>
      </c>
      <c r="L4067" s="35">
        <v>-96.6678687737313</v>
      </c>
      <c r="M4067" s="58" t="s">
        <v>22</v>
      </c>
      <c r="N4067" s="7">
        <v>11.333333333333334</v>
      </c>
      <c r="O4067" s="7" t="s">
        <v>180</v>
      </c>
      <c r="P4067" s="7" t="s">
        <v>180</v>
      </c>
    </row>
    <row r="4068" spans="1:16" x14ac:dyDescent="0.25">
      <c r="A4068" t="s">
        <v>183</v>
      </c>
      <c r="B4068" t="s">
        <v>215</v>
      </c>
      <c r="C4068" s="7" t="s">
        <v>160</v>
      </c>
      <c r="D4068" t="s">
        <v>119</v>
      </c>
      <c r="F4068" s="35">
        <v>0.29999999999999988</v>
      </c>
      <c r="G4068" s="35">
        <v>-49.632578012846928</v>
      </c>
      <c r="H4068" s="35">
        <v>-18.183127877331376</v>
      </c>
      <c r="I4068" s="35">
        <v>-0.13277554956140702</v>
      </c>
      <c r="J4068" s="35">
        <v>-2.1269843373450113E-4</v>
      </c>
      <c r="K4068" s="35">
        <v>-0.4037612725157616</v>
      </c>
      <c r="L4068" s="35">
        <v>-96.667838363631631</v>
      </c>
      <c r="M4068" s="58" t="s">
        <v>22</v>
      </c>
      <c r="N4068" s="7">
        <v>11.333333333333334</v>
      </c>
      <c r="O4068" s="7" t="s">
        <v>180</v>
      </c>
      <c r="P4068" s="7" t="s">
        <v>180</v>
      </c>
    </row>
    <row r="4069" spans="1:16" x14ac:dyDescent="0.25">
      <c r="A4069" t="s">
        <v>183</v>
      </c>
      <c r="B4069" t="s">
        <v>215</v>
      </c>
      <c r="C4069" s="7" t="s">
        <v>160</v>
      </c>
      <c r="D4069" t="s">
        <v>119</v>
      </c>
      <c r="F4069" s="35">
        <v>5.3</v>
      </c>
      <c r="G4069" s="35">
        <v>-47.250814012846917</v>
      </c>
      <c r="H4069" s="35">
        <v>-18.183127877331376</v>
      </c>
      <c r="I4069" s="35">
        <v>-0.13277554956140702</v>
      </c>
      <c r="J4069" s="35">
        <v>-2.1269843373450113E-4</v>
      </c>
      <c r="K4069" s="35">
        <v>0.2601164752912733</v>
      </c>
      <c r="L4069" s="35">
        <v>-5.7521989769747561</v>
      </c>
      <c r="M4069" s="58" t="s">
        <v>24</v>
      </c>
      <c r="N4069" s="7">
        <v>11.333333333333334</v>
      </c>
      <c r="O4069" s="7" t="s">
        <v>180</v>
      </c>
      <c r="P4069" s="7" t="s">
        <v>180</v>
      </c>
    </row>
    <row r="4070" spans="1:16" x14ac:dyDescent="0.25">
      <c r="A4070" t="s">
        <v>183</v>
      </c>
      <c r="B4070" t="s">
        <v>215</v>
      </c>
      <c r="C4070" s="7" t="s">
        <v>160</v>
      </c>
      <c r="D4070" t="s">
        <v>119</v>
      </c>
      <c r="F4070" s="35">
        <v>5.3</v>
      </c>
      <c r="G4070" s="35">
        <v>-54.311670622160072</v>
      </c>
      <c r="H4070" s="35">
        <v>-18.183060067449382</v>
      </c>
      <c r="I4070" s="35">
        <v>5.4373985206080382E-2</v>
      </c>
      <c r="J4070" s="35">
        <v>1.7768150594269205E-4</v>
      </c>
      <c r="K4070" s="35">
        <v>0.26011647529127385</v>
      </c>
      <c r="L4070" s="35">
        <v>-5.7527442831069582</v>
      </c>
      <c r="M4070" s="58" t="s">
        <v>24</v>
      </c>
      <c r="N4070" s="7">
        <v>11.333333333333334</v>
      </c>
      <c r="O4070" s="7" t="s">
        <v>180</v>
      </c>
      <c r="P4070" s="7" t="s">
        <v>180</v>
      </c>
    </row>
    <row r="4071" spans="1:16" x14ac:dyDescent="0.25">
      <c r="A4071" t="s">
        <v>183</v>
      </c>
      <c r="B4071" t="s">
        <v>215</v>
      </c>
      <c r="C4071" s="7" t="s">
        <v>160</v>
      </c>
      <c r="D4071" t="s">
        <v>119</v>
      </c>
      <c r="F4071" s="35">
        <v>5.4149169609489114</v>
      </c>
      <c r="G4071" s="35">
        <v>-54.256929606044558</v>
      </c>
      <c r="H4071" s="35">
        <v>-18.183060067449382</v>
      </c>
      <c r="I4071" s="35">
        <v>5.4373985206080382E-2</v>
      </c>
      <c r="J4071" s="35">
        <v>1.7768150594269205E-4</v>
      </c>
      <c r="K4071" s="35">
        <v>0.25386798215671003</v>
      </c>
      <c r="L4071" s="35">
        <v>-3.6632022794041652</v>
      </c>
      <c r="M4071" s="58" t="s">
        <v>24</v>
      </c>
      <c r="N4071" s="7">
        <v>11.333333333333334</v>
      </c>
      <c r="O4071" s="7" t="s">
        <v>180</v>
      </c>
      <c r="P4071" s="7" t="s">
        <v>180</v>
      </c>
    </row>
    <row r="4072" spans="1:16" x14ac:dyDescent="0.25">
      <c r="A4072" t="s">
        <v>183</v>
      </c>
      <c r="B4072" t="s">
        <v>215</v>
      </c>
      <c r="C4072" s="7" t="s">
        <v>160</v>
      </c>
      <c r="D4072" t="s">
        <v>119</v>
      </c>
      <c r="F4072" s="35">
        <v>10.829833921897823</v>
      </c>
      <c r="G4072" s="35">
        <v>-51.677518749929057</v>
      </c>
      <c r="H4072" s="35">
        <v>-18.183060067449382</v>
      </c>
      <c r="I4072" s="35">
        <v>5.4373985206080382E-2</v>
      </c>
      <c r="J4072" s="35">
        <v>1.7768150594269205E-4</v>
      </c>
      <c r="K4072" s="35">
        <v>-4.0562632570079735E-2</v>
      </c>
      <c r="L4072" s="35">
        <v>94.796558081780347</v>
      </c>
      <c r="M4072" s="58" t="s">
        <v>23</v>
      </c>
      <c r="N4072" s="7">
        <v>11.333333333333334</v>
      </c>
      <c r="O4072" s="7" t="s">
        <v>180</v>
      </c>
      <c r="P4072" s="7" t="s">
        <v>180</v>
      </c>
    </row>
    <row r="4073" spans="1:16" x14ac:dyDescent="0.25">
      <c r="A4073" t="s">
        <v>183</v>
      </c>
      <c r="B4073" t="s">
        <v>215</v>
      </c>
      <c r="C4073" s="7" t="s">
        <v>160</v>
      </c>
      <c r="D4073" t="s">
        <v>120</v>
      </c>
      <c r="F4073" s="35">
        <v>0</v>
      </c>
      <c r="G4073" s="35">
        <v>76.406303417864535</v>
      </c>
      <c r="H4073" s="35">
        <v>-4.1308591212039696</v>
      </c>
      <c r="I4073" s="35">
        <v>-4.0531316127354957</v>
      </c>
      <c r="J4073" s="35">
        <v>-5.4300651122624174E-4</v>
      </c>
      <c r="K4073" s="35">
        <v>-4.8336241236781676</v>
      </c>
      <c r="L4073" s="35">
        <v>-14.350247842121371</v>
      </c>
      <c r="M4073" s="58" t="s">
        <v>22</v>
      </c>
      <c r="N4073" s="7">
        <v>11.333333333333334</v>
      </c>
      <c r="O4073" s="7" t="s">
        <v>180</v>
      </c>
      <c r="P4073" s="7" t="s">
        <v>180</v>
      </c>
    </row>
    <row r="4074" spans="1:16" x14ac:dyDescent="0.25">
      <c r="A4074" t="s">
        <v>183</v>
      </c>
      <c r="B4074" t="s">
        <v>215</v>
      </c>
      <c r="C4074" s="7" t="s">
        <v>160</v>
      </c>
      <c r="D4074" t="s">
        <v>120</v>
      </c>
      <c r="F4074" s="35">
        <v>0.29999999999999988</v>
      </c>
      <c r="G4074" s="35">
        <v>76.549209257864518</v>
      </c>
      <c r="H4074" s="35">
        <v>-4.1308591212039696</v>
      </c>
      <c r="I4074" s="35">
        <v>-4.0531316127354957</v>
      </c>
      <c r="J4074" s="35">
        <v>-5.4300651122624174E-4</v>
      </c>
      <c r="K4074" s="35">
        <v>-3.61768463985752</v>
      </c>
      <c r="L4074" s="35">
        <v>-13.110990105760182</v>
      </c>
      <c r="M4074" s="58" t="s">
        <v>22</v>
      </c>
      <c r="N4074" s="7">
        <v>11.333333333333334</v>
      </c>
      <c r="O4074" s="7" t="s">
        <v>180</v>
      </c>
      <c r="P4074" s="7" t="s">
        <v>180</v>
      </c>
    </row>
    <row r="4075" spans="1:16" x14ac:dyDescent="0.25">
      <c r="A4075" t="s">
        <v>183</v>
      </c>
      <c r="B4075" t="s">
        <v>215</v>
      </c>
      <c r="C4075" s="7" t="s">
        <v>160</v>
      </c>
      <c r="D4075" t="s">
        <v>120</v>
      </c>
      <c r="F4075" s="35">
        <v>0.29999999999999988</v>
      </c>
      <c r="G4075" s="35">
        <v>29.34270290771688</v>
      </c>
      <c r="H4075" s="35">
        <v>-4.1308591212039696</v>
      </c>
      <c r="I4075" s="35">
        <v>-1.1737669856959536</v>
      </c>
      <c r="J4075" s="35">
        <v>-4.3417102126453529E-4</v>
      </c>
      <c r="K4075" s="35">
        <v>-3.6176846398575204</v>
      </c>
      <c r="L4075" s="35">
        <v>-13.110996635889579</v>
      </c>
      <c r="M4075" s="58" t="s">
        <v>22</v>
      </c>
      <c r="N4075" s="7">
        <v>11.333333333333334</v>
      </c>
      <c r="O4075" s="7" t="s">
        <v>180</v>
      </c>
      <c r="P4075" s="7" t="s">
        <v>180</v>
      </c>
    </row>
    <row r="4076" spans="1:16" x14ac:dyDescent="0.25">
      <c r="A4076" t="s">
        <v>183</v>
      </c>
      <c r="B4076" t="s">
        <v>215</v>
      </c>
      <c r="C4076" s="7" t="s">
        <v>160</v>
      </c>
      <c r="D4076" t="s">
        <v>120</v>
      </c>
      <c r="F4076" s="35">
        <v>5.3</v>
      </c>
      <c r="G4076" s="35">
        <v>31.724466907716874</v>
      </c>
      <c r="H4076" s="35">
        <v>-4.1308591212039696</v>
      </c>
      <c r="I4076" s="35">
        <v>-1.1737669856959536</v>
      </c>
      <c r="J4076" s="35">
        <v>-4.3417102126453529E-4</v>
      </c>
      <c r="K4076" s="35">
        <v>2.2511502886222465</v>
      </c>
      <c r="L4076" s="35">
        <v>7.5432989701302668</v>
      </c>
      <c r="M4076" s="58" t="s">
        <v>24</v>
      </c>
      <c r="N4076" s="7">
        <v>11.333333333333334</v>
      </c>
      <c r="O4076" s="7" t="s">
        <v>180</v>
      </c>
      <c r="P4076" s="7" t="s">
        <v>180</v>
      </c>
    </row>
    <row r="4077" spans="1:16" x14ac:dyDescent="0.25">
      <c r="A4077" t="s">
        <v>183</v>
      </c>
      <c r="B4077" t="s">
        <v>215</v>
      </c>
      <c r="C4077" s="7" t="s">
        <v>160</v>
      </c>
      <c r="D4077" t="s">
        <v>120</v>
      </c>
      <c r="F4077" s="35">
        <v>5.3</v>
      </c>
      <c r="G4077" s="35">
        <v>75.324218936419513</v>
      </c>
      <c r="H4077" s="35">
        <v>-4.1308125735471188</v>
      </c>
      <c r="I4077" s="35">
        <v>0.38465837876313741</v>
      </c>
      <c r="J4077" s="35">
        <v>-2.4809130357677291E-4</v>
      </c>
      <c r="K4077" s="35">
        <v>2.251150288622255</v>
      </c>
      <c r="L4077" s="35">
        <v>7.5432550444202322</v>
      </c>
      <c r="M4077" s="58" t="s">
        <v>24</v>
      </c>
      <c r="N4077" s="7">
        <v>11.333333333333334</v>
      </c>
      <c r="O4077" s="7" t="s">
        <v>180</v>
      </c>
      <c r="P4077" s="7" t="s">
        <v>180</v>
      </c>
    </row>
    <row r="4078" spans="1:16" x14ac:dyDescent="0.25">
      <c r="A4078" t="s">
        <v>183</v>
      </c>
      <c r="B4078" t="s">
        <v>215</v>
      </c>
      <c r="C4078" s="7" t="s">
        <v>160</v>
      </c>
      <c r="D4078" t="s">
        <v>120</v>
      </c>
      <c r="F4078" s="35">
        <v>5.4149169609489114</v>
      </c>
      <c r="G4078" s="35">
        <v>75.378959952535013</v>
      </c>
      <c r="H4078" s="35">
        <v>-4.1308125735471188</v>
      </c>
      <c r="I4078" s="35">
        <v>0.38465837876313741</v>
      </c>
      <c r="J4078" s="35">
        <v>-2.4809130357677291E-4</v>
      </c>
      <c r="K4078" s="35">
        <v>2.2069465167312594</v>
      </c>
      <c r="L4078" s="35">
        <v>8.0179554716218178</v>
      </c>
      <c r="M4078" s="58" t="s">
        <v>24</v>
      </c>
      <c r="N4078" s="7">
        <v>11.333333333333334</v>
      </c>
      <c r="O4078" s="7" t="s">
        <v>180</v>
      </c>
      <c r="P4078" s="7" t="s">
        <v>180</v>
      </c>
    </row>
    <row r="4079" spans="1:16" x14ac:dyDescent="0.25">
      <c r="A4079" t="s">
        <v>183</v>
      </c>
      <c r="B4079" t="s">
        <v>215</v>
      </c>
      <c r="C4079" s="7" t="s">
        <v>160</v>
      </c>
      <c r="D4079" t="s">
        <v>120</v>
      </c>
      <c r="F4079" s="35">
        <v>10.829833921897823</v>
      </c>
      <c r="G4079" s="35">
        <v>77.958370808650514</v>
      </c>
      <c r="H4079" s="35">
        <v>-4.1308125735471188</v>
      </c>
      <c r="I4079" s="35">
        <v>0.38465837876313741</v>
      </c>
      <c r="J4079" s="35">
        <v>-2.4809130357677291E-4</v>
      </c>
      <c r="K4079" s="35">
        <v>0.12405333739563648</v>
      </c>
      <c r="L4079" s="35">
        <v>30.385962538623129</v>
      </c>
      <c r="M4079" s="58" t="s">
        <v>23</v>
      </c>
      <c r="N4079" s="7">
        <v>11.333333333333334</v>
      </c>
      <c r="O4079" s="7" t="s">
        <v>180</v>
      </c>
      <c r="P4079" s="7" t="s">
        <v>180</v>
      </c>
    </row>
    <row r="4080" spans="1:16" x14ac:dyDescent="0.25">
      <c r="A4080" t="s">
        <v>183</v>
      </c>
      <c r="B4080" t="s">
        <v>215</v>
      </c>
      <c r="C4080" s="7" t="s">
        <v>160</v>
      </c>
      <c r="D4080" t="s">
        <v>121</v>
      </c>
      <c r="F4080" s="35">
        <v>0</v>
      </c>
      <c r="G4080" s="35">
        <v>-5.1278939235953143</v>
      </c>
      <c r="H4080" s="35">
        <v>-1.0350591601405286</v>
      </c>
      <c r="I4080" s="35">
        <v>-2.8885337748667919</v>
      </c>
      <c r="J4080" s="35">
        <v>-4.3123048093016093E-4</v>
      </c>
      <c r="K4080" s="35">
        <v>-4.1205306290594397</v>
      </c>
      <c r="L4080" s="35">
        <v>-4.3753285654614658</v>
      </c>
      <c r="M4080" s="58" t="s">
        <v>22</v>
      </c>
      <c r="N4080" s="7">
        <v>11.333333333333334</v>
      </c>
      <c r="O4080" s="7" t="s">
        <v>180</v>
      </c>
      <c r="P4080" s="7" t="s">
        <v>180</v>
      </c>
    </row>
    <row r="4081" spans="1:16" x14ac:dyDescent="0.25">
      <c r="A4081" t="s">
        <v>183</v>
      </c>
      <c r="B4081" t="s">
        <v>215</v>
      </c>
      <c r="C4081" s="7" t="s">
        <v>160</v>
      </c>
      <c r="D4081" t="s">
        <v>121</v>
      </c>
      <c r="F4081" s="35">
        <v>0.29999999999999988</v>
      </c>
      <c r="G4081" s="35">
        <v>-4.9849880835953213</v>
      </c>
      <c r="H4081" s="35">
        <v>-1.0350591601405286</v>
      </c>
      <c r="I4081" s="35">
        <v>-2.8885337748667919</v>
      </c>
      <c r="J4081" s="35">
        <v>-4.3123048093016093E-4</v>
      </c>
      <c r="K4081" s="35">
        <v>-3.2539704965994023</v>
      </c>
      <c r="L4081" s="35">
        <v>-4.0648108174193069</v>
      </c>
      <c r="M4081" s="58" t="s">
        <v>22</v>
      </c>
      <c r="N4081" s="7">
        <v>11.333333333333334</v>
      </c>
      <c r="O4081" s="7" t="s">
        <v>180</v>
      </c>
      <c r="P4081" s="7" t="s">
        <v>180</v>
      </c>
    </row>
    <row r="4082" spans="1:16" x14ac:dyDescent="0.25">
      <c r="A4082" t="s">
        <v>183</v>
      </c>
      <c r="B4082" t="s">
        <v>215</v>
      </c>
      <c r="C4082" s="7" t="s">
        <v>160</v>
      </c>
      <c r="D4082" t="s">
        <v>121</v>
      </c>
      <c r="F4082" s="35">
        <v>0.29999999999999988</v>
      </c>
      <c r="G4082" s="35">
        <v>-34.773537191318326</v>
      </c>
      <c r="H4082" s="35">
        <v>-1.0350591601405248</v>
      </c>
      <c r="I4082" s="35">
        <v>-1.054246582372703</v>
      </c>
      <c r="J4082" s="35">
        <v>-3.292259414163831E-4</v>
      </c>
      <c r="K4082" s="35">
        <v>-3.2539704965994019</v>
      </c>
      <c r="L4082" s="35">
        <v>-4.064816937691675</v>
      </c>
      <c r="M4082" s="58" t="s">
        <v>22</v>
      </c>
      <c r="N4082" s="7">
        <v>11.333333333333334</v>
      </c>
      <c r="O4082" s="7" t="s">
        <v>180</v>
      </c>
      <c r="P4082" s="7" t="s">
        <v>180</v>
      </c>
    </row>
    <row r="4083" spans="1:16" x14ac:dyDescent="0.25">
      <c r="A4083" t="s">
        <v>183</v>
      </c>
      <c r="B4083" t="s">
        <v>215</v>
      </c>
      <c r="C4083" s="7" t="s">
        <v>160</v>
      </c>
      <c r="D4083" t="s">
        <v>121</v>
      </c>
      <c r="F4083" s="35">
        <v>5.3</v>
      </c>
      <c r="G4083" s="35">
        <v>-32.391773191318329</v>
      </c>
      <c r="H4083" s="35">
        <v>-1.0350591601405248</v>
      </c>
      <c r="I4083" s="35">
        <v>-1.054246582372703</v>
      </c>
      <c r="J4083" s="35">
        <v>-3.292259414163831E-4</v>
      </c>
      <c r="K4083" s="35">
        <v>2.0172624152641125</v>
      </c>
      <c r="L4083" s="35">
        <v>1.1104788630109492</v>
      </c>
      <c r="M4083" s="58" t="s">
        <v>24</v>
      </c>
      <c r="N4083" s="7">
        <v>11.333333333333334</v>
      </c>
      <c r="O4083" s="7" t="s">
        <v>180</v>
      </c>
      <c r="P4083" s="7" t="s">
        <v>180</v>
      </c>
    </row>
    <row r="4084" spans="1:16" x14ac:dyDescent="0.25">
      <c r="A4084" t="s">
        <v>183</v>
      </c>
      <c r="B4084" t="s">
        <v>215</v>
      </c>
      <c r="C4084" s="7" t="s">
        <v>160</v>
      </c>
      <c r="D4084" t="s">
        <v>121</v>
      </c>
      <c r="F4084" s="35">
        <v>5.3</v>
      </c>
      <c r="G4084" s="35">
        <v>-4.6869542005720133</v>
      </c>
      <c r="H4084" s="35">
        <v>-1.0350297311012244</v>
      </c>
      <c r="I4084" s="35">
        <v>0.34583570593779123</v>
      </c>
      <c r="J4084" s="35">
        <v>-2.9190309825795943E-4</v>
      </c>
      <c r="K4084" s="35">
        <v>2.0172624152641196</v>
      </c>
      <c r="L4084" s="35">
        <v>1.1106018522111873</v>
      </c>
      <c r="M4084" s="58" t="s">
        <v>24</v>
      </c>
      <c r="N4084" s="7">
        <v>11.333333333333334</v>
      </c>
      <c r="O4084" s="7" t="s">
        <v>180</v>
      </c>
      <c r="P4084" s="7" t="s">
        <v>180</v>
      </c>
    </row>
    <row r="4085" spans="1:16" x14ac:dyDescent="0.25">
      <c r="A4085" t="s">
        <v>183</v>
      </c>
      <c r="B4085" t="s">
        <v>215</v>
      </c>
      <c r="C4085" s="7" t="s">
        <v>160</v>
      </c>
      <c r="D4085" t="s">
        <v>121</v>
      </c>
      <c r="F4085" s="35">
        <v>5.4149169609489114</v>
      </c>
      <c r="G4085" s="35">
        <v>-4.6322131844565151</v>
      </c>
      <c r="H4085" s="35">
        <v>-1.0350297311012244</v>
      </c>
      <c r="I4085" s="35">
        <v>0.34583570593779123</v>
      </c>
      <c r="J4085" s="35">
        <v>-2.9190309825795943E-4</v>
      </c>
      <c r="K4085" s="35">
        <v>1.9775200269501274</v>
      </c>
      <c r="L4085" s="35">
        <v>1.229544323401109</v>
      </c>
      <c r="M4085" s="58" t="s">
        <v>24</v>
      </c>
      <c r="N4085" s="7">
        <v>11.333333333333334</v>
      </c>
      <c r="O4085" s="7" t="s">
        <v>180</v>
      </c>
      <c r="P4085" s="7" t="s">
        <v>180</v>
      </c>
    </row>
    <row r="4086" spans="1:16" x14ac:dyDescent="0.25">
      <c r="A4086" t="s">
        <v>183</v>
      </c>
      <c r="B4086" t="s">
        <v>215</v>
      </c>
      <c r="C4086" s="7" t="s">
        <v>160</v>
      </c>
      <c r="D4086" t="s">
        <v>121</v>
      </c>
      <c r="F4086" s="35">
        <v>10.829833921897823</v>
      </c>
      <c r="G4086" s="35">
        <v>-2.052802328341</v>
      </c>
      <c r="H4086" s="35">
        <v>-1.0350297311012244</v>
      </c>
      <c r="I4086" s="35">
        <v>0.34583570593779123</v>
      </c>
      <c r="J4086" s="35">
        <v>-2.9190309825795943E-4</v>
      </c>
      <c r="K4086" s="35">
        <v>0.10484839716584181</v>
      </c>
      <c r="L4086" s="35">
        <v>6.8341443694275155</v>
      </c>
      <c r="M4086" s="58" t="s">
        <v>23</v>
      </c>
      <c r="N4086" s="7">
        <v>11.333333333333334</v>
      </c>
      <c r="O4086" s="7" t="s">
        <v>180</v>
      </c>
      <c r="P4086" s="7" t="s">
        <v>180</v>
      </c>
    </row>
    <row r="4087" spans="1:16" x14ac:dyDescent="0.25">
      <c r="A4087" t="s">
        <v>183</v>
      </c>
      <c r="B4087" t="s">
        <v>215</v>
      </c>
      <c r="C4087" s="7" t="s">
        <v>160</v>
      </c>
      <c r="D4087" t="s">
        <v>122</v>
      </c>
      <c r="F4087" s="35">
        <v>0</v>
      </c>
      <c r="G4087" s="35">
        <v>56.123391718729856</v>
      </c>
      <c r="H4087" s="35">
        <v>-5.0935202040391223</v>
      </c>
      <c r="I4087" s="35">
        <v>3.1959090962745424</v>
      </c>
      <c r="J4087" s="35">
        <v>3.8675255235660156E-4</v>
      </c>
      <c r="K4087" s="35">
        <v>4.5180088303371697</v>
      </c>
      <c r="L4087" s="35">
        <v>-18.362206069757224</v>
      </c>
      <c r="M4087" s="58" t="s">
        <v>22</v>
      </c>
      <c r="N4087" s="7">
        <v>11.333333333333334</v>
      </c>
      <c r="O4087" s="7" t="s">
        <v>180</v>
      </c>
      <c r="P4087" s="7" t="s">
        <v>180</v>
      </c>
    </row>
    <row r="4088" spans="1:16" x14ac:dyDescent="0.25">
      <c r="A4088" t="s">
        <v>183</v>
      </c>
      <c r="B4088" t="s">
        <v>215</v>
      </c>
      <c r="C4088" s="7" t="s">
        <v>160</v>
      </c>
      <c r="D4088" t="s">
        <v>122</v>
      </c>
      <c r="F4088" s="35">
        <v>0.29999999999999988</v>
      </c>
      <c r="G4088" s="35">
        <v>56.266297558729846</v>
      </c>
      <c r="H4088" s="35">
        <v>-5.0935202040391223</v>
      </c>
      <c r="I4088" s="35">
        <v>3.1959090962745424</v>
      </c>
      <c r="J4088" s="35">
        <v>3.8675255235660156E-4</v>
      </c>
      <c r="K4088" s="35">
        <v>3.5592361014548071</v>
      </c>
      <c r="L4088" s="35">
        <v>-16.834150008545492</v>
      </c>
      <c r="M4088" s="58" t="s">
        <v>22</v>
      </c>
      <c r="N4088" s="7">
        <v>11.333333333333334</v>
      </c>
      <c r="O4088" s="7" t="s">
        <v>180</v>
      </c>
      <c r="P4088" s="7" t="s">
        <v>180</v>
      </c>
    </row>
    <row r="4089" spans="1:16" x14ac:dyDescent="0.25">
      <c r="A4089" t="s">
        <v>183</v>
      </c>
      <c r="B4089" t="s">
        <v>215</v>
      </c>
      <c r="C4089" s="7" t="s">
        <v>160</v>
      </c>
      <c r="D4089" t="s">
        <v>122</v>
      </c>
      <c r="F4089" s="35">
        <v>0.29999999999999988</v>
      </c>
      <c r="G4089" s="35">
        <v>91.173984397344725</v>
      </c>
      <c r="H4089" s="35">
        <v>-5.093520204039109</v>
      </c>
      <c r="I4089" s="35">
        <v>1.1484221319884556</v>
      </c>
      <c r="J4089" s="35">
        <v>2.1609789505746635E-4</v>
      </c>
      <c r="K4089" s="35">
        <v>3.5592361014548075</v>
      </c>
      <c r="L4089" s="35">
        <v>-16.834139769266045</v>
      </c>
      <c r="M4089" s="58" t="s">
        <v>22</v>
      </c>
      <c r="N4089" s="7">
        <v>11.333333333333334</v>
      </c>
      <c r="O4089" s="7" t="s">
        <v>180</v>
      </c>
      <c r="P4089" s="7" t="s">
        <v>180</v>
      </c>
    </row>
    <row r="4090" spans="1:16" x14ac:dyDescent="0.25">
      <c r="A4090" t="s">
        <v>183</v>
      </c>
      <c r="B4090" t="s">
        <v>215</v>
      </c>
      <c r="C4090" s="7" t="s">
        <v>160</v>
      </c>
      <c r="D4090" t="s">
        <v>122</v>
      </c>
      <c r="F4090" s="35">
        <v>5.3</v>
      </c>
      <c r="G4090" s="35">
        <v>93.555748397344715</v>
      </c>
      <c r="H4090" s="35">
        <v>-5.093520204039109</v>
      </c>
      <c r="I4090" s="35">
        <v>1.1484221319884556</v>
      </c>
      <c r="J4090" s="35">
        <v>2.1609789505746635E-4</v>
      </c>
      <c r="K4090" s="35">
        <v>-2.1828745584874691</v>
      </c>
      <c r="L4090" s="35">
        <v>8.6334612509294928</v>
      </c>
      <c r="M4090" s="58" t="s">
        <v>24</v>
      </c>
      <c r="N4090" s="7">
        <v>11.333333333333334</v>
      </c>
      <c r="O4090" s="7" t="s">
        <v>180</v>
      </c>
      <c r="P4090" s="7" t="s">
        <v>180</v>
      </c>
    </row>
    <row r="4091" spans="1:16" x14ac:dyDescent="0.25">
      <c r="A4091" t="s">
        <v>183</v>
      </c>
      <c r="B4091" t="s">
        <v>215</v>
      </c>
      <c r="C4091" s="7" t="s">
        <v>160</v>
      </c>
      <c r="D4091" t="s">
        <v>122</v>
      </c>
      <c r="F4091" s="35">
        <v>5.3</v>
      </c>
      <c r="G4091" s="35">
        <v>67.203560408339683</v>
      </c>
      <c r="H4091" s="35">
        <v>-5.0935283259361803</v>
      </c>
      <c r="I4091" s="35">
        <v>-0.35079935436664766</v>
      </c>
      <c r="J4091" s="35">
        <v>4.3692560897465522E-4</v>
      </c>
      <c r="K4091" s="35">
        <v>-2.1828745584874745</v>
      </c>
      <c r="L4091" s="35">
        <v>8.6329798367877313</v>
      </c>
      <c r="M4091" s="58" t="s">
        <v>24</v>
      </c>
      <c r="N4091" s="7">
        <v>11.333333333333334</v>
      </c>
      <c r="O4091" s="7" t="s">
        <v>180</v>
      </c>
      <c r="P4091" s="7" t="s">
        <v>180</v>
      </c>
    </row>
    <row r="4092" spans="1:16" x14ac:dyDescent="0.25">
      <c r="A4092" t="s">
        <v>183</v>
      </c>
      <c r="B4092" t="s">
        <v>215</v>
      </c>
      <c r="C4092" s="7" t="s">
        <v>160</v>
      </c>
      <c r="D4092" t="s">
        <v>122</v>
      </c>
      <c r="F4092" s="35">
        <v>5.4149169609489114</v>
      </c>
      <c r="G4092" s="35">
        <v>67.258301424455169</v>
      </c>
      <c r="H4092" s="35">
        <v>-5.0935283259361803</v>
      </c>
      <c r="I4092" s="35">
        <v>-0.35079935436664766</v>
      </c>
      <c r="J4092" s="35">
        <v>4.3692560897465522E-4</v>
      </c>
      <c r="K4092" s="35">
        <v>-2.1425617627808196</v>
      </c>
      <c r="L4092" s="35">
        <v>9.2183126325115126</v>
      </c>
      <c r="M4092" s="58" t="s">
        <v>24</v>
      </c>
      <c r="N4092" s="7">
        <v>11.333333333333334</v>
      </c>
      <c r="O4092" s="7" t="s">
        <v>180</v>
      </c>
      <c r="P4092" s="7" t="s">
        <v>180</v>
      </c>
    </row>
    <row r="4093" spans="1:16" x14ac:dyDescent="0.25">
      <c r="A4093" t="s">
        <v>183</v>
      </c>
      <c r="B4093" t="s">
        <v>215</v>
      </c>
      <c r="C4093" s="7" t="s">
        <v>160</v>
      </c>
      <c r="D4093" t="s">
        <v>122</v>
      </c>
      <c r="F4093" s="35">
        <v>10.829833921897823</v>
      </c>
      <c r="G4093" s="35">
        <v>69.837712280570685</v>
      </c>
      <c r="H4093" s="35">
        <v>-5.0935283259361803</v>
      </c>
      <c r="I4093" s="35">
        <v>-0.35079935436664766</v>
      </c>
      <c r="J4093" s="35">
        <v>4.3692560897465522E-4</v>
      </c>
      <c r="K4093" s="35">
        <v>-0.24301238893093202</v>
      </c>
      <c r="L4093" s="35">
        <v>36.799345555697045</v>
      </c>
      <c r="M4093" s="58" t="s">
        <v>23</v>
      </c>
      <c r="N4093" s="7">
        <v>11.333333333333334</v>
      </c>
      <c r="O4093" s="7" t="s">
        <v>180</v>
      </c>
      <c r="P4093" s="7" t="s">
        <v>180</v>
      </c>
    </row>
    <row r="4094" spans="1:16" x14ac:dyDescent="0.25">
      <c r="A4094" t="s">
        <v>183</v>
      </c>
      <c r="B4094" t="s">
        <v>215</v>
      </c>
      <c r="C4094" s="7" t="s">
        <v>160</v>
      </c>
      <c r="D4094" t="s">
        <v>123</v>
      </c>
      <c r="F4094" s="35">
        <v>0</v>
      </c>
      <c r="G4094" s="35">
        <v>-25.401015120206292</v>
      </c>
      <c r="H4094" s="35">
        <v>-1.9962674151353705</v>
      </c>
      <c r="I4094" s="35">
        <v>4.3578460228541349</v>
      </c>
      <c r="J4094" s="35">
        <v>4.9736858716150484E-4</v>
      </c>
      <c r="K4094" s="35">
        <v>5.2276979184986896</v>
      </c>
      <c r="L4094" s="35">
        <v>-8.3812322177427774</v>
      </c>
      <c r="M4094" s="58" t="s">
        <v>22</v>
      </c>
      <c r="N4094" s="7">
        <v>11.333333333333334</v>
      </c>
      <c r="O4094" s="7" t="s">
        <v>180</v>
      </c>
      <c r="P4094" s="7" t="s">
        <v>180</v>
      </c>
    </row>
    <row r="4095" spans="1:16" x14ac:dyDescent="0.25">
      <c r="A4095" t="s">
        <v>183</v>
      </c>
      <c r="B4095" t="s">
        <v>215</v>
      </c>
      <c r="C4095" s="7" t="s">
        <v>160</v>
      </c>
      <c r="D4095" t="s">
        <v>123</v>
      </c>
      <c r="F4095" s="35">
        <v>0.29999999999999988</v>
      </c>
      <c r="G4095" s="35">
        <v>-25.258109280206302</v>
      </c>
      <c r="H4095" s="35">
        <v>-1.9962674151353705</v>
      </c>
      <c r="I4095" s="35">
        <v>4.3578460228541349</v>
      </c>
      <c r="J4095" s="35">
        <v>4.9736858716150484E-4</v>
      </c>
      <c r="K4095" s="35">
        <v>3.9203441116424491</v>
      </c>
      <c r="L4095" s="35">
        <v>-7.7823519932021687</v>
      </c>
      <c r="M4095" s="58" t="s">
        <v>22</v>
      </c>
      <c r="N4095" s="7">
        <v>11.333333333333334</v>
      </c>
      <c r="O4095" s="7" t="s">
        <v>180</v>
      </c>
      <c r="P4095" s="7" t="s">
        <v>180</v>
      </c>
    </row>
    <row r="4096" spans="1:16" x14ac:dyDescent="0.25">
      <c r="A4096" t="s">
        <v>183</v>
      </c>
      <c r="B4096" t="s">
        <v>215</v>
      </c>
      <c r="C4096" s="7" t="s">
        <v>160</v>
      </c>
      <c r="D4096" t="s">
        <v>123</v>
      </c>
      <c r="F4096" s="35">
        <v>0.29999999999999988</v>
      </c>
      <c r="G4096" s="35">
        <v>27.037217593239951</v>
      </c>
      <c r="H4096" s="35">
        <v>-1.996267415135369</v>
      </c>
      <c r="I4096" s="35">
        <v>1.2671006564782032</v>
      </c>
      <c r="J4096" s="35">
        <v>3.2031471170723718E-4</v>
      </c>
      <c r="K4096" s="35">
        <v>3.9203441116424482</v>
      </c>
      <c r="L4096" s="35">
        <v>-7.7823413699696422</v>
      </c>
      <c r="M4096" s="58" t="s">
        <v>22</v>
      </c>
      <c r="N4096" s="7">
        <v>11.333333333333334</v>
      </c>
      <c r="O4096" s="7" t="s">
        <v>180</v>
      </c>
      <c r="P4096" s="7" t="s">
        <v>180</v>
      </c>
    </row>
    <row r="4097" spans="1:16" x14ac:dyDescent="0.25">
      <c r="A4097" t="s">
        <v>183</v>
      </c>
      <c r="B4097" t="s">
        <v>215</v>
      </c>
      <c r="C4097" s="7" t="s">
        <v>160</v>
      </c>
      <c r="D4097" t="s">
        <v>123</v>
      </c>
      <c r="F4097" s="35">
        <v>5.3</v>
      </c>
      <c r="G4097" s="35">
        <v>29.418981593239945</v>
      </c>
      <c r="H4097" s="35">
        <v>-1.996267415135369</v>
      </c>
      <c r="I4097" s="35">
        <v>1.2671006564782032</v>
      </c>
      <c r="J4097" s="35">
        <v>3.2031471170723718E-4</v>
      </c>
      <c r="K4097" s="35">
        <v>-2.4151591707485682</v>
      </c>
      <c r="L4097" s="35">
        <v>2.1989957057072047</v>
      </c>
      <c r="M4097" s="58" t="s">
        <v>24</v>
      </c>
      <c r="N4097" s="7">
        <v>11.333333333333334</v>
      </c>
      <c r="O4097" s="7" t="s">
        <v>180</v>
      </c>
      <c r="P4097" s="7" t="s">
        <v>180</v>
      </c>
    </row>
    <row r="4098" spans="1:16" x14ac:dyDescent="0.25">
      <c r="A4098" t="s">
        <v>183</v>
      </c>
      <c r="B4098" t="s">
        <v>215</v>
      </c>
      <c r="C4098" s="7" t="s">
        <v>160</v>
      </c>
      <c r="D4098" t="s">
        <v>123</v>
      </c>
      <c r="F4098" s="35">
        <v>5.3</v>
      </c>
      <c r="G4098" s="35">
        <v>-12.802298032081364</v>
      </c>
      <c r="H4098" s="35">
        <v>-1.9962925654044386</v>
      </c>
      <c r="I4098" s="35">
        <v>-0.38935580454115559</v>
      </c>
      <c r="J4098" s="35">
        <v>3.9234450384245998E-4</v>
      </c>
      <c r="K4098" s="35">
        <v>-2.4151591707485602</v>
      </c>
      <c r="L4098" s="35">
        <v>2.1986818525510472</v>
      </c>
      <c r="M4098" s="58" t="s">
        <v>24</v>
      </c>
      <c r="N4098" s="7">
        <v>11.333333333333334</v>
      </c>
      <c r="O4098" s="7" t="s">
        <v>180</v>
      </c>
      <c r="P4098" s="7" t="s">
        <v>180</v>
      </c>
    </row>
    <row r="4099" spans="1:16" x14ac:dyDescent="0.25">
      <c r="A4099" t="s">
        <v>183</v>
      </c>
      <c r="B4099" t="s">
        <v>215</v>
      </c>
      <c r="C4099" s="7" t="s">
        <v>160</v>
      </c>
      <c r="D4099" t="s">
        <v>123</v>
      </c>
      <c r="F4099" s="35">
        <v>5.4149169609489114</v>
      </c>
      <c r="G4099" s="35">
        <v>-12.747557015965866</v>
      </c>
      <c r="H4099" s="35">
        <v>-1.9962925654044386</v>
      </c>
      <c r="I4099" s="35">
        <v>-0.38935580454115559</v>
      </c>
      <c r="J4099" s="35">
        <v>3.9234450384245998E-4</v>
      </c>
      <c r="K4099" s="35">
        <v>-2.3704155849628727</v>
      </c>
      <c r="L4099" s="35">
        <v>2.4280897273322308</v>
      </c>
      <c r="M4099" s="58" t="s">
        <v>24</v>
      </c>
      <c r="N4099" s="7">
        <v>11.333333333333334</v>
      </c>
      <c r="O4099" s="7" t="s">
        <v>180</v>
      </c>
      <c r="P4099" s="7" t="s">
        <v>180</v>
      </c>
    </row>
    <row r="4100" spans="1:16" x14ac:dyDescent="0.25">
      <c r="A4100" t="s">
        <v>183</v>
      </c>
      <c r="B4100" t="s">
        <v>215</v>
      </c>
      <c r="C4100" s="7" t="s">
        <v>160</v>
      </c>
      <c r="D4100" t="s">
        <v>123</v>
      </c>
      <c r="F4100" s="35">
        <v>10.829833921897823</v>
      </c>
      <c r="G4100" s="35">
        <v>-10.16814615985035</v>
      </c>
      <c r="H4100" s="35">
        <v>-1.9962925654044386</v>
      </c>
      <c r="I4100" s="35">
        <v>-0.38935580454115559</v>
      </c>
      <c r="J4100" s="35">
        <v>3.9234450384245998E-4</v>
      </c>
      <c r="K4100" s="35">
        <v>-0.26208623510906032</v>
      </c>
      <c r="L4100" s="35">
        <v>13.237848198756934</v>
      </c>
      <c r="M4100" s="58" t="s">
        <v>23</v>
      </c>
      <c r="N4100" s="7">
        <v>11.333333333333334</v>
      </c>
      <c r="O4100" s="7" t="s">
        <v>180</v>
      </c>
      <c r="P4100" s="7" t="s">
        <v>180</v>
      </c>
    </row>
    <row r="4101" spans="1:16" x14ac:dyDescent="0.25">
      <c r="A4101" t="s">
        <v>183</v>
      </c>
      <c r="B4101" t="s">
        <v>215</v>
      </c>
      <c r="C4101" s="7" t="s">
        <v>160</v>
      </c>
      <c r="D4101" t="s">
        <v>124</v>
      </c>
      <c r="F4101" s="35">
        <v>0</v>
      </c>
      <c r="G4101" s="35">
        <v>67.871609778995989</v>
      </c>
      <c r="H4101" s="35">
        <v>1.4745384489328319</v>
      </c>
      <c r="I4101" s="35">
        <v>-1.3362815121605673</v>
      </c>
      <c r="J4101" s="35">
        <v>-3.0254803227295501E-4</v>
      </c>
      <c r="K4101" s="35">
        <v>-1.325129241734629</v>
      </c>
      <c r="L4101" s="35">
        <v>21.572554759260722</v>
      </c>
      <c r="M4101" s="58" t="s">
        <v>22</v>
      </c>
      <c r="N4101" s="7">
        <v>11.333333333333334</v>
      </c>
      <c r="O4101" s="7" t="s">
        <v>180</v>
      </c>
      <c r="P4101" s="7" t="s">
        <v>180</v>
      </c>
    </row>
    <row r="4102" spans="1:16" x14ac:dyDescent="0.25">
      <c r="A4102" t="s">
        <v>183</v>
      </c>
      <c r="B4102" t="s">
        <v>215</v>
      </c>
      <c r="C4102" s="7" t="s">
        <v>160</v>
      </c>
      <c r="D4102" t="s">
        <v>124</v>
      </c>
      <c r="F4102" s="35">
        <v>0.29999999999999988</v>
      </c>
      <c r="G4102" s="35">
        <v>68.014515618995986</v>
      </c>
      <c r="H4102" s="35">
        <v>1.4745384489328319</v>
      </c>
      <c r="I4102" s="35">
        <v>-1.3362815121605673</v>
      </c>
      <c r="J4102" s="35">
        <v>-3.0254803227295501E-4</v>
      </c>
      <c r="K4102" s="35">
        <v>-0.92424478808645905</v>
      </c>
      <c r="L4102" s="35">
        <v>21.130193224580871</v>
      </c>
      <c r="M4102" s="58" t="s">
        <v>22</v>
      </c>
      <c r="N4102" s="7">
        <v>11.333333333333334</v>
      </c>
      <c r="O4102" s="7" t="s">
        <v>180</v>
      </c>
      <c r="P4102" s="7" t="s">
        <v>180</v>
      </c>
    </row>
    <row r="4103" spans="1:16" x14ac:dyDescent="0.25">
      <c r="A4103" t="s">
        <v>183</v>
      </c>
      <c r="B4103" t="s">
        <v>215</v>
      </c>
      <c r="C4103" s="7" t="s">
        <v>160</v>
      </c>
      <c r="D4103" t="s">
        <v>124</v>
      </c>
      <c r="F4103" s="35">
        <v>0.29999999999999988</v>
      </c>
      <c r="G4103" s="35">
        <v>51.588754050938114</v>
      </c>
      <c r="H4103" s="35">
        <v>1.4745384489328339</v>
      </c>
      <c r="I4103" s="35">
        <v>-0.3037615720463675</v>
      </c>
      <c r="J4103" s="35">
        <v>-9.2458615593703659E-5</v>
      </c>
      <c r="K4103" s="35">
        <v>-0.9242447880864596</v>
      </c>
      <c r="L4103" s="35">
        <v>21.130180619215871</v>
      </c>
      <c r="M4103" s="58" t="s">
        <v>22</v>
      </c>
      <c r="N4103" s="7">
        <v>11.333333333333334</v>
      </c>
      <c r="O4103" s="7" t="s">
        <v>180</v>
      </c>
      <c r="P4103" s="7" t="s">
        <v>180</v>
      </c>
    </row>
    <row r="4104" spans="1:16" x14ac:dyDescent="0.25">
      <c r="A4104" t="s">
        <v>183</v>
      </c>
      <c r="B4104" t="s">
        <v>215</v>
      </c>
      <c r="C4104" s="7" t="s">
        <v>160</v>
      </c>
      <c r="D4104" t="s">
        <v>124</v>
      </c>
      <c r="F4104" s="35">
        <v>5.3</v>
      </c>
      <c r="G4104" s="35">
        <v>53.970518050938104</v>
      </c>
      <c r="H4104" s="35">
        <v>1.4745384489328339</v>
      </c>
      <c r="I4104" s="35">
        <v>-0.3037615720463675</v>
      </c>
      <c r="J4104" s="35">
        <v>-9.2458615593703659E-5</v>
      </c>
      <c r="K4104" s="35">
        <v>0.59456307214537762</v>
      </c>
      <c r="L4104" s="35">
        <v>13.757488374551698</v>
      </c>
      <c r="M4104" s="58" t="s">
        <v>24</v>
      </c>
      <c r="N4104" s="7">
        <v>11.333333333333334</v>
      </c>
      <c r="O4104" s="7" t="s">
        <v>180</v>
      </c>
      <c r="P4104" s="7" t="s">
        <v>180</v>
      </c>
    </row>
    <row r="4105" spans="1:16" x14ac:dyDescent="0.25">
      <c r="A4105" t="s">
        <v>183</v>
      </c>
      <c r="B4105" t="s">
        <v>215</v>
      </c>
      <c r="C4105" s="7" t="s">
        <v>160</v>
      </c>
      <c r="D4105" t="s">
        <v>124</v>
      </c>
      <c r="F4105" s="35">
        <v>5.3</v>
      </c>
      <c r="G4105" s="35">
        <v>71.357657776656055</v>
      </c>
      <c r="H4105" s="35">
        <v>1.4745434628082172</v>
      </c>
      <c r="I4105" s="35">
        <v>0.10992968640931422</v>
      </c>
      <c r="J4105" s="35">
        <v>2.5039726715618833E-5</v>
      </c>
      <c r="K4105" s="35">
        <v>0.59456307214537962</v>
      </c>
      <c r="L4105" s="35">
        <v>13.757398686507795</v>
      </c>
      <c r="M4105" s="58" t="s">
        <v>24</v>
      </c>
      <c r="N4105" s="7">
        <v>11.333333333333334</v>
      </c>
      <c r="O4105" s="7" t="s">
        <v>180</v>
      </c>
      <c r="P4105" s="7" t="s">
        <v>180</v>
      </c>
    </row>
    <row r="4106" spans="1:16" x14ac:dyDescent="0.25">
      <c r="A4106" t="s">
        <v>183</v>
      </c>
      <c r="B4106" t="s">
        <v>215</v>
      </c>
      <c r="C4106" s="7" t="s">
        <v>160</v>
      </c>
      <c r="D4106" t="s">
        <v>124</v>
      </c>
      <c r="F4106" s="35">
        <v>5.4149169609489114</v>
      </c>
      <c r="G4106" s="35">
        <v>71.412398792771555</v>
      </c>
      <c r="H4106" s="35">
        <v>1.4745434628082172</v>
      </c>
      <c r="I4106" s="35">
        <v>0.10992968640931422</v>
      </c>
      <c r="J4106" s="35">
        <v>2.5039726715618833E-5</v>
      </c>
      <c r="K4106" s="35">
        <v>0.58193028666515445</v>
      </c>
      <c r="L4106" s="35">
        <v>13.587948632974785</v>
      </c>
      <c r="M4106" s="58" t="s">
        <v>24</v>
      </c>
      <c r="N4106" s="7">
        <v>11.333333333333334</v>
      </c>
      <c r="O4106" s="7" t="s">
        <v>180</v>
      </c>
      <c r="P4106" s="7" t="s">
        <v>180</v>
      </c>
    </row>
    <row r="4107" spans="1:16" x14ac:dyDescent="0.25">
      <c r="A4107" t="s">
        <v>183</v>
      </c>
      <c r="B4107" t="s">
        <v>215</v>
      </c>
      <c r="C4107" s="7" t="s">
        <v>160</v>
      </c>
      <c r="D4107" t="s">
        <v>124</v>
      </c>
      <c r="F4107" s="35">
        <v>10.829833921897823</v>
      </c>
      <c r="G4107" s="35">
        <v>73.99180964888707</v>
      </c>
      <c r="H4107" s="35">
        <v>1.4745434628082172</v>
      </c>
      <c r="I4107" s="35">
        <v>0.10992968640931422</v>
      </c>
      <c r="J4107" s="35">
        <v>2.5039726715618833E-5</v>
      </c>
      <c r="K4107" s="35">
        <v>-1.3329836784436023E-2</v>
      </c>
      <c r="L4107" s="35">
        <v>5.6034182265582366</v>
      </c>
      <c r="M4107" s="58" t="s">
        <v>23</v>
      </c>
      <c r="N4107" s="7">
        <v>11.333333333333334</v>
      </c>
      <c r="O4107" s="7" t="s">
        <v>180</v>
      </c>
      <c r="P4107" s="7" t="s">
        <v>180</v>
      </c>
    </row>
    <row r="4108" spans="1:16" x14ac:dyDescent="0.25">
      <c r="A4108" t="s">
        <v>183</v>
      </c>
      <c r="B4108" t="s">
        <v>215</v>
      </c>
      <c r="C4108" s="7" t="s">
        <v>160</v>
      </c>
      <c r="D4108" t="s">
        <v>125</v>
      </c>
      <c r="F4108" s="35">
        <v>0</v>
      </c>
      <c r="G4108" s="35">
        <v>-146.29309855615776</v>
      </c>
      <c r="H4108" s="35">
        <v>14.855983217412422</v>
      </c>
      <c r="I4108" s="35">
        <v>1.1850834088471236</v>
      </c>
      <c r="J4108" s="35">
        <v>-2.6553085690176638E-4</v>
      </c>
      <c r="K4108" s="35">
        <v>-0.15215310307641108</v>
      </c>
      <c r="L4108" s="35">
        <v>85.965745680709887</v>
      </c>
      <c r="M4108" s="58" t="s">
        <v>22</v>
      </c>
      <c r="N4108" s="7">
        <v>11.333333333333334</v>
      </c>
      <c r="O4108" s="7" t="s">
        <v>180</v>
      </c>
      <c r="P4108" s="7" t="s">
        <v>180</v>
      </c>
    </row>
    <row r="4109" spans="1:16" x14ac:dyDescent="0.25">
      <c r="A4109" t="s">
        <v>183</v>
      </c>
      <c r="B4109" t="s">
        <v>215</v>
      </c>
      <c r="C4109" s="7" t="s">
        <v>160</v>
      </c>
      <c r="D4109" t="s">
        <v>125</v>
      </c>
      <c r="F4109" s="35">
        <v>0.29999999999999988</v>
      </c>
      <c r="G4109" s="35">
        <v>-146.15019271615779</v>
      </c>
      <c r="H4109" s="35">
        <v>14.855983217412422</v>
      </c>
      <c r="I4109" s="35">
        <v>1.1850834088471236</v>
      </c>
      <c r="J4109" s="35">
        <v>-2.6553085690176638E-4</v>
      </c>
      <c r="K4109" s="35">
        <v>-0.50767812573054805</v>
      </c>
      <c r="L4109" s="35">
        <v>81.508950715486165</v>
      </c>
      <c r="M4109" s="58" t="s">
        <v>22</v>
      </c>
      <c r="N4109" s="7">
        <v>11.333333333333334</v>
      </c>
      <c r="O4109" s="7" t="s">
        <v>180</v>
      </c>
      <c r="P4109" s="7" t="s">
        <v>180</v>
      </c>
    </row>
    <row r="4110" spans="1:16" x14ac:dyDescent="0.25">
      <c r="A4110" t="s">
        <v>183</v>
      </c>
      <c r="B4110" t="s">
        <v>215</v>
      </c>
      <c r="C4110" s="7" t="s">
        <v>160</v>
      </c>
      <c r="D4110" t="s">
        <v>125</v>
      </c>
      <c r="F4110" s="35">
        <v>0.29999999999999988</v>
      </c>
      <c r="G4110" s="35">
        <v>-122.86675068484195</v>
      </c>
      <c r="H4110" s="35">
        <v>14.855983217412431</v>
      </c>
      <c r="I4110" s="35">
        <v>-0.16494886700103475</v>
      </c>
      <c r="J4110" s="35">
        <v>1.772227873778487E-4</v>
      </c>
      <c r="K4110" s="35">
        <v>-0.50767812573054916</v>
      </c>
      <c r="L4110" s="35">
        <v>81.508924150267475</v>
      </c>
      <c r="M4110" s="58" t="s">
        <v>22</v>
      </c>
      <c r="N4110" s="7">
        <v>11.333333333333334</v>
      </c>
      <c r="O4110" s="7" t="s">
        <v>180</v>
      </c>
      <c r="P4110" s="7" t="s">
        <v>180</v>
      </c>
    </row>
    <row r="4111" spans="1:16" x14ac:dyDescent="0.25">
      <c r="A4111" t="s">
        <v>183</v>
      </c>
      <c r="B4111" t="s">
        <v>215</v>
      </c>
      <c r="C4111" s="7" t="s">
        <v>160</v>
      </c>
      <c r="D4111" t="s">
        <v>125</v>
      </c>
      <c r="F4111" s="35">
        <v>5.3</v>
      </c>
      <c r="G4111" s="35">
        <v>-120.48498668484196</v>
      </c>
      <c r="H4111" s="35">
        <v>14.855983217412431</v>
      </c>
      <c r="I4111" s="35">
        <v>-0.16494886700103475</v>
      </c>
      <c r="J4111" s="35">
        <v>1.772227873778487E-4</v>
      </c>
      <c r="K4111" s="35">
        <v>0.31706620927462453</v>
      </c>
      <c r="L4111" s="35">
        <v>7.2290080632053035</v>
      </c>
      <c r="M4111" s="58" t="s">
        <v>24</v>
      </c>
      <c r="N4111" s="7">
        <v>11.333333333333334</v>
      </c>
      <c r="O4111" s="7" t="s">
        <v>180</v>
      </c>
      <c r="P4111" s="7" t="s">
        <v>180</v>
      </c>
    </row>
    <row r="4112" spans="1:16" x14ac:dyDescent="0.25">
      <c r="A4112" t="s">
        <v>183</v>
      </c>
      <c r="B4112" t="s">
        <v>215</v>
      </c>
      <c r="C4112" s="7" t="s">
        <v>160</v>
      </c>
      <c r="D4112" t="s">
        <v>125</v>
      </c>
      <c r="F4112" s="35">
        <v>5.3</v>
      </c>
      <c r="G4112" s="35">
        <v>-139.68223778774797</v>
      </c>
      <c r="H4112" s="35">
        <v>14.855928905776524</v>
      </c>
      <c r="I4112" s="35">
        <v>6.3845240033437764E-2</v>
      </c>
      <c r="J4112" s="35">
        <v>-1.1172289297193362E-4</v>
      </c>
      <c r="K4112" s="35">
        <v>0.31706620927462559</v>
      </c>
      <c r="L4112" s="35">
        <v>7.2294190776396068</v>
      </c>
      <c r="M4112" s="58" t="s">
        <v>24</v>
      </c>
      <c r="N4112" s="7">
        <v>11.333333333333334</v>
      </c>
      <c r="O4112" s="7" t="s">
        <v>180</v>
      </c>
      <c r="P4112" s="7" t="s">
        <v>180</v>
      </c>
    </row>
    <row r="4113" spans="1:16" x14ac:dyDescent="0.25">
      <c r="A4113" t="s">
        <v>183</v>
      </c>
      <c r="B4113" t="s">
        <v>215</v>
      </c>
      <c r="C4113" s="7" t="s">
        <v>160</v>
      </c>
      <c r="D4113" t="s">
        <v>125</v>
      </c>
      <c r="F4113" s="35">
        <v>5.4149169609489114</v>
      </c>
      <c r="G4113" s="35">
        <v>-139.62749677163248</v>
      </c>
      <c r="H4113" s="35">
        <v>14.855928905776524</v>
      </c>
      <c r="I4113" s="35">
        <v>6.3845240033437764E-2</v>
      </c>
      <c r="J4113" s="35">
        <v>-1.1172289297193362E-4</v>
      </c>
      <c r="K4113" s="35">
        <v>0.3097293083189292</v>
      </c>
      <c r="L4113" s="35">
        <v>5.5222208757146811</v>
      </c>
      <c r="M4113" s="58" t="s">
        <v>24</v>
      </c>
      <c r="N4113" s="7">
        <v>11.333333333333334</v>
      </c>
      <c r="O4113" s="7" t="s">
        <v>180</v>
      </c>
      <c r="P4113" s="7" t="s">
        <v>180</v>
      </c>
    </row>
    <row r="4114" spans="1:16" x14ac:dyDescent="0.25">
      <c r="A4114" t="s">
        <v>183</v>
      </c>
      <c r="B4114" t="s">
        <v>215</v>
      </c>
      <c r="C4114" s="7" t="s">
        <v>160</v>
      </c>
      <c r="D4114" t="s">
        <v>125</v>
      </c>
      <c r="F4114" s="35">
        <v>10.829833921897823</v>
      </c>
      <c r="G4114" s="35">
        <v>-137.04808591551696</v>
      </c>
      <c r="H4114" s="35">
        <v>14.855928905776524</v>
      </c>
      <c r="I4114" s="35">
        <v>6.3845240033437764E-2</v>
      </c>
      <c r="J4114" s="35">
        <v>-1.1172289297193362E-4</v>
      </c>
      <c r="K4114" s="35">
        <v>-3.5987364813987295E-2</v>
      </c>
      <c r="L4114" s="35">
        <v>-74.921400526825792</v>
      </c>
      <c r="M4114" s="58" t="s">
        <v>23</v>
      </c>
      <c r="N4114" s="7">
        <v>11.333333333333334</v>
      </c>
      <c r="O4114" s="7" t="s">
        <v>180</v>
      </c>
      <c r="P4114" s="7" t="s">
        <v>180</v>
      </c>
    </row>
    <row r="4115" spans="1:16" x14ac:dyDescent="0.25">
      <c r="A4115" t="s">
        <v>183</v>
      </c>
      <c r="B4115" t="s">
        <v>215</v>
      </c>
      <c r="C4115" s="7" t="s">
        <v>160</v>
      </c>
      <c r="D4115" t="s">
        <v>126</v>
      </c>
      <c r="F4115" s="35">
        <v>0</v>
      </c>
      <c r="G4115" s="35">
        <v>69.740469664591558</v>
      </c>
      <c r="H4115" s="35">
        <v>-8.4836384925821857</v>
      </c>
      <c r="I4115" s="35">
        <v>-1.3318977455728251</v>
      </c>
      <c r="J4115" s="35">
        <v>7.0171493974219728E-6</v>
      </c>
      <c r="K4115" s="35">
        <v>-1.3005171824819877</v>
      </c>
      <c r="L4115" s="35">
        <v>-45.016480673611852</v>
      </c>
      <c r="M4115" s="58" t="s">
        <v>22</v>
      </c>
      <c r="N4115" s="7">
        <v>11.333333333333334</v>
      </c>
      <c r="O4115" s="7" t="s">
        <v>180</v>
      </c>
      <c r="P4115" s="7" t="s">
        <v>180</v>
      </c>
    </row>
    <row r="4116" spans="1:16" x14ac:dyDescent="0.25">
      <c r="A4116" t="s">
        <v>183</v>
      </c>
      <c r="B4116" t="s">
        <v>215</v>
      </c>
      <c r="C4116" s="7" t="s">
        <v>160</v>
      </c>
      <c r="D4116" t="s">
        <v>126</v>
      </c>
      <c r="F4116" s="35">
        <v>0.29999999999999988</v>
      </c>
      <c r="G4116" s="35">
        <v>69.883375504591541</v>
      </c>
      <c r="H4116" s="35">
        <v>-8.4836384925821857</v>
      </c>
      <c r="I4116" s="35">
        <v>-1.3318977455728251</v>
      </c>
      <c r="J4116" s="35">
        <v>7.0171493974219728E-6</v>
      </c>
      <c r="K4116" s="35">
        <v>-0.9009478588101405</v>
      </c>
      <c r="L4116" s="35">
        <v>-42.471389125837199</v>
      </c>
      <c r="M4116" s="58" t="s">
        <v>22</v>
      </c>
      <c r="N4116" s="7">
        <v>11.333333333333334</v>
      </c>
      <c r="O4116" s="7" t="s">
        <v>180</v>
      </c>
      <c r="P4116" s="7" t="s">
        <v>180</v>
      </c>
    </row>
    <row r="4117" spans="1:16" x14ac:dyDescent="0.25">
      <c r="A4117" t="s">
        <v>183</v>
      </c>
      <c r="B4117" t="s">
        <v>215</v>
      </c>
      <c r="C4117" s="7" t="s">
        <v>160</v>
      </c>
      <c r="D4117" t="s">
        <v>126</v>
      </c>
      <c r="F4117" s="35">
        <v>0.29999999999999988</v>
      </c>
      <c r="G4117" s="35">
        <v>53.405376388396256</v>
      </c>
      <c r="H4117" s="35">
        <v>-8.4836384925821893</v>
      </c>
      <c r="I4117" s="35">
        <v>-0.2962435525703786</v>
      </c>
      <c r="J4117" s="35">
        <v>-1.6069177275509548E-4</v>
      </c>
      <c r="K4117" s="35">
        <v>-0.90094785881014217</v>
      </c>
      <c r="L4117" s="35">
        <v>-42.471379063301853</v>
      </c>
      <c r="M4117" s="58" t="s">
        <v>22</v>
      </c>
      <c r="N4117" s="7">
        <v>11.333333333333334</v>
      </c>
      <c r="O4117" s="7" t="s">
        <v>180</v>
      </c>
      <c r="P4117" s="7" t="s">
        <v>180</v>
      </c>
    </row>
    <row r="4118" spans="1:16" x14ac:dyDescent="0.25">
      <c r="A4118" t="s">
        <v>183</v>
      </c>
      <c r="B4118" t="s">
        <v>215</v>
      </c>
      <c r="C4118" s="7" t="s">
        <v>160</v>
      </c>
      <c r="D4118" t="s">
        <v>126</v>
      </c>
      <c r="F4118" s="35">
        <v>5.3</v>
      </c>
      <c r="G4118" s="35">
        <v>55.787140388396253</v>
      </c>
      <c r="H4118" s="35">
        <v>-8.4836384925821893</v>
      </c>
      <c r="I4118" s="35">
        <v>-0.2962435525703786</v>
      </c>
      <c r="J4118" s="35">
        <v>-1.6069177275509548E-4</v>
      </c>
      <c r="K4118" s="35">
        <v>0.58026990404175061</v>
      </c>
      <c r="L4118" s="35">
        <v>-5.3186600390906433E-2</v>
      </c>
      <c r="M4118" s="58" t="s">
        <v>24</v>
      </c>
      <c r="N4118" s="7">
        <v>11.333333333333334</v>
      </c>
      <c r="O4118" s="7" t="s">
        <v>180</v>
      </c>
      <c r="P4118" s="7" t="s">
        <v>180</v>
      </c>
    </row>
    <row r="4119" spans="1:16" x14ac:dyDescent="0.25">
      <c r="A4119" t="s">
        <v>183</v>
      </c>
      <c r="B4119" t="s">
        <v>215</v>
      </c>
      <c r="C4119" s="7" t="s">
        <v>160</v>
      </c>
      <c r="D4119" t="s">
        <v>126</v>
      </c>
      <c r="F4119" s="35">
        <v>5.3</v>
      </c>
      <c r="G4119" s="35">
        <v>73.246361464023863</v>
      </c>
      <c r="H4119" s="35">
        <v>-8.4835966990798273</v>
      </c>
      <c r="I4119" s="35">
        <v>0.1075571865379342</v>
      </c>
      <c r="J4119" s="35">
        <v>5.3893421078685443E-5</v>
      </c>
      <c r="K4119" s="35">
        <v>0.5802699040417495</v>
      </c>
      <c r="L4119" s="35">
        <v>-5.3421953096384166E-2</v>
      </c>
      <c r="M4119" s="58" t="s">
        <v>24</v>
      </c>
      <c r="N4119" s="7">
        <v>11.333333333333334</v>
      </c>
      <c r="O4119" s="7" t="s">
        <v>180</v>
      </c>
      <c r="P4119" s="7" t="s">
        <v>180</v>
      </c>
    </row>
    <row r="4120" spans="1:16" x14ac:dyDescent="0.25">
      <c r="A4120" t="s">
        <v>183</v>
      </c>
      <c r="B4120" t="s">
        <v>215</v>
      </c>
      <c r="C4120" s="7" t="s">
        <v>160</v>
      </c>
      <c r="D4120" t="s">
        <v>126</v>
      </c>
      <c r="F4120" s="35">
        <v>5.4149169609489114</v>
      </c>
      <c r="G4120" s="35">
        <v>73.301102480139363</v>
      </c>
      <c r="H4120" s="35">
        <v>-8.4835966990798273</v>
      </c>
      <c r="I4120" s="35">
        <v>0.1075571865379342</v>
      </c>
      <c r="J4120" s="35">
        <v>5.3893421078685443E-5</v>
      </c>
      <c r="K4120" s="35">
        <v>0.56790975903659502</v>
      </c>
      <c r="L4120" s="35">
        <v>0.92148719747808649</v>
      </c>
      <c r="M4120" s="58" t="s">
        <v>24</v>
      </c>
      <c r="N4120" s="7">
        <v>11.333333333333334</v>
      </c>
      <c r="O4120" s="7" t="s">
        <v>180</v>
      </c>
      <c r="P4120" s="7" t="s">
        <v>180</v>
      </c>
    </row>
    <row r="4121" spans="1:16" x14ac:dyDescent="0.25">
      <c r="A4121" t="s">
        <v>183</v>
      </c>
      <c r="B4121" t="s">
        <v>215</v>
      </c>
      <c r="C4121" s="7" t="s">
        <v>160</v>
      </c>
      <c r="D4121" t="s">
        <v>126</v>
      </c>
      <c r="F4121" s="35">
        <v>10.829833921897823</v>
      </c>
      <c r="G4121" s="35">
        <v>75.880513336254879</v>
      </c>
      <c r="H4121" s="35">
        <v>-8.4835966990798273</v>
      </c>
      <c r="I4121" s="35">
        <v>0.1075571865379342</v>
      </c>
      <c r="J4121" s="35">
        <v>5.3893421078685443E-5</v>
      </c>
      <c r="K4121" s="35">
        <v>-1.450347461961061E-2</v>
      </c>
      <c r="L4121" s="35">
        <v>46.859458853175632</v>
      </c>
      <c r="M4121" s="58" t="s">
        <v>23</v>
      </c>
      <c r="N4121" s="7">
        <v>11.333333333333334</v>
      </c>
      <c r="O4121" s="7" t="s">
        <v>180</v>
      </c>
      <c r="P4121" s="7" t="s">
        <v>180</v>
      </c>
    </row>
    <row r="4122" spans="1:16" x14ac:dyDescent="0.25">
      <c r="A4122" t="s">
        <v>183</v>
      </c>
      <c r="B4122" t="s">
        <v>215</v>
      </c>
      <c r="C4122" s="7" t="s">
        <v>160</v>
      </c>
      <c r="D4122" t="s">
        <v>127</v>
      </c>
      <c r="F4122" s="35">
        <v>0</v>
      </c>
      <c r="G4122" s="35">
        <v>-49.87284561829798</v>
      </c>
      <c r="H4122" s="35">
        <v>-20.562655319533246</v>
      </c>
      <c r="I4122" s="35">
        <v>0.29122305525584891</v>
      </c>
      <c r="J4122" s="35">
        <v>3.1100012742309494E-4</v>
      </c>
      <c r="K4122" s="35">
        <v>-0.36454302594318561</v>
      </c>
      <c r="L4122" s="35">
        <v>-114.40005578931383</v>
      </c>
      <c r="M4122" s="58" t="s">
        <v>22</v>
      </c>
      <c r="N4122" s="7">
        <v>11.333333333333334</v>
      </c>
      <c r="O4122" s="7" t="s">
        <v>180</v>
      </c>
      <c r="P4122" s="7" t="s">
        <v>180</v>
      </c>
    </row>
    <row r="4123" spans="1:16" x14ac:dyDescent="0.25">
      <c r="A4123" t="s">
        <v>183</v>
      </c>
      <c r="B4123" t="s">
        <v>215</v>
      </c>
      <c r="C4123" s="7" t="s">
        <v>160</v>
      </c>
      <c r="D4123" t="s">
        <v>127</v>
      </c>
      <c r="F4123" s="35">
        <v>0.29999999999999988</v>
      </c>
      <c r="G4123" s="35">
        <v>-49.729939778297982</v>
      </c>
      <c r="H4123" s="35">
        <v>-20.562655319533246</v>
      </c>
      <c r="I4123" s="35">
        <v>0.29122305525584891</v>
      </c>
      <c r="J4123" s="35">
        <v>3.1100012742309494E-4</v>
      </c>
      <c r="K4123" s="35">
        <v>-0.45190994251994027</v>
      </c>
      <c r="L4123" s="35">
        <v>-108.23125919345387</v>
      </c>
      <c r="M4123" s="58" t="s">
        <v>22</v>
      </c>
      <c r="N4123" s="7">
        <v>11.333333333333334</v>
      </c>
      <c r="O4123" s="7" t="s">
        <v>180</v>
      </c>
      <c r="P4123" s="7" t="s">
        <v>180</v>
      </c>
    </row>
    <row r="4124" spans="1:16" x14ac:dyDescent="0.25">
      <c r="A4124" t="s">
        <v>183</v>
      </c>
      <c r="B4124" t="s">
        <v>215</v>
      </c>
      <c r="C4124" s="7" t="s">
        <v>160</v>
      </c>
      <c r="D4124" t="s">
        <v>127</v>
      </c>
      <c r="F4124" s="35">
        <v>0.29999999999999988</v>
      </c>
      <c r="G4124" s="35">
        <v>-41.616281264062835</v>
      </c>
      <c r="H4124" s="35">
        <v>-20.562655319533228</v>
      </c>
      <c r="I4124" s="35">
        <v>-0.14862220956749078</v>
      </c>
      <c r="J4124" s="35">
        <v>-2.4996857696937737E-4</v>
      </c>
      <c r="K4124" s="35">
        <v>-0.45190994251994088</v>
      </c>
      <c r="L4124" s="35">
        <v>-108.23122553533166</v>
      </c>
      <c r="M4124" s="58" t="s">
        <v>22</v>
      </c>
      <c r="N4124" s="7">
        <v>11.333333333333334</v>
      </c>
      <c r="O4124" s="7" t="s">
        <v>180</v>
      </c>
      <c r="P4124" s="7" t="s">
        <v>180</v>
      </c>
    </row>
    <row r="4125" spans="1:16" x14ac:dyDescent="0.25">
      <c r="A4125" t="s">
        <v>183</v>
      </c>
      <c r="B4125" t="s">
        <v>215</v>
      </c>
      <c r="C4125" s="7" t="s">
        <v>160</v>
      </c>
      <c r="D4125" t="s">
        <v>127</v>
      </c>
      <c r="F4125" s="35">
        <v>5.3</v>
      </c>
      <c r="G4125" s="35">
        <v>-39.234517264062838</v>
      </c>
      <c r="H4125" s="35">
        <v>-20.562655319533228</v>
      </c>
      <c r="I4125" s="35">
        <v>-0.14862220956749078</v>
      </c>
      <c r="J4125" s="35">
        <v>-2.4996857696937737E-4</v>
      </c>
      <c r="K4125" s="35">
        <v>0.29120110531751298</v>
      </c>
      <c r="L4125" s="35">
        <v>-5.4179489376655372</v>
      </c>
      <c r="M4125" s="58" t="s">
        <v>24</v>
      </c>
      <c r="N4125" s="7">
        <v>11.333333333333334</v>
      </c>
      <c r="O4125" s="7" t="s">
        <v>180</v>
      </c>
      <c r="P4125" s="7" t="s">
        <v>180</v>
      </c>
    </row>
    <row r="4126" spans="1:16" x14ac:dyDescent="0.25">
      <c r="A4126" t="s">
        <v>183</v>
      </c>
      <c r="B4126" t="s">
        <v>215</v>
      </c>
      <c r="C4126" s="7" t="s">
        <v>160</v>
      </c>
      <c r="D4126" t="s">
        <v>127</v>
      </c>
      <c r="F4126" s="35">
        <v>5.3</v>
      </c>
      <c r="G4126" s="35">
        <v>-44.278961371195187</v>
      </c>
      <c r="H4126" s="35">
        <v>-20.562578155793776</v>
      </c>
      <c r="I4126" s="35">
        <v>5.952992059702264E-2</v>
      </c>
      <c r="J4126" s="35">
        <v>2.0335481160447372E-4</v>
      </c>
      <c r="K4126" s="35">
        <v>0.29120110531751364</v>
      </c>
      <c r="L4126" s="35">
        <v>-5.4185781261785921</v>
      </c>
      <c r="M4126" s="58" t="s">
        <v>24</v>
      </c>
      <c r="N4126" s="7">
        <v>11.333333333333334</v>
      </c>
      <c r="O4126" s="7" t="s">
        <v>180</v>
      </c>
      <c r="P4126" s="7" t="s">
        <v>180</v>
      </c>
    </row>
    <row r="4127" spans="1:16" x14ac:dyDescent="0.25">
      <c r="A4127" t="s">
        <v>183</v>
      </c>
      <c r="B4127" t="s">
        <v>215</v>
      </c>
      <c r="C4127" s="7" t="s">
        <v>160</v>
      </c>
      <c r="D4127" t="s">
        <v>127</v>
      </c>
      <c r="F4127" s="35">
        <v>5.4149169609489114</v>
      </c>
      <c r="G4127" s="35">
        <v>-44.224220355079687</v>
      </c>
      <c r="H4127" s="35">
        <v>-20.562578155793776</v>
      </c>
      <c r="I4127" s="35">
        <v>5.952992059702264E-2</v>
      </c>
      <c r="J4127" s="35">
        <v>2.0335481160447372E-4</v>
      </c>
      <c r="K4127" s="35">
        <v>0.28436010775697373</v>
      </c>
      <c r="L4127" s="35">
        <v>-3.0555891352402988</v>
      </c>
      <c r="M4127" s="58" t="s">
        <v>24</v>
      </c>
      <c r="N4127" s="7">
        <v>11.333333333333334</v>
      </c>
      <c r="O4127" s="7" t="s">
        <v>180</v>
      </c>
      <c r="P4127" s="7" t="s">
        <v>180</v>
      </c>
    </row>
    <row r="4128" spans="1:16" x14ac:dyDescent="0.25">
      <c r="A4128" t="s">
        <v>183</v>
      </c>
      <c r="B4128" t="s">
        <v>215</v>
      </c>
      <c r="C4128" s="7" t="s">
        <v>160</v>
      </c>
      <c r="D4128" t="s">
        <v>127</v>
      </c>
      <c r="F4128" s="35">
        <v>10.829833921897823</v>
      </c>
      <c r="G4128" s="35">
        <v>-41.644809498964172</v>
      </c>
      <c r="H4128" s="35">
        <v>-20.562578155793776</v>
      </c>
      <c r="I4128" s="35">
        <v>5.952992059702264E-2</v>
      </c>
      <c r="J4128" s="35">
        <v>2.0335481160447372E-4</v>
      </c>
      <c r="K4128" s="35">
        <v>-3.7989468967786003E-2</v>
      </c>
      <c r="L4128" s="35">
        <v>108.28906408140497</v>
      </c>
      <c r="M4128" s="58" t="s">
        <v>23</v>
      </c>
      <c r="N4128" s="7">
        <v>11.333333333333334</v>
      </c>
      <c r="O4128" s="7" t="s">
        <v>180</v>
      </c>
      <c r="P4128" s="7" t="s">
        <v>180</v>
      </c>
    </row>
    <row r="4129" spans="1:16" x14ac:dyDescent="0.25">
      <c r="A4129" t="s">
        <v>183</v>
      </c>
      <c r="B4129" t="s">
        <v>216</v>
      </c>
      <c r="C4129" s="7" t="s">
        <v>161</v>
      </c>
      <c r="D4129" t="s">
        <v>105</v>
      </c>
      <c r="F4129" s="35">
        <v>0</v>
      </c>
      <c r="G4129" s="35">
        <v>-100.84425549697433</v>
      </c>
      <c r="H4129" s="35">
        <v>-1.8009975382759382</v>
      </c>
      <c r="I4129" s="35">
        <v>1.2599403402273299</v>
      </c>
      <c r="J4129" s="35">
        <v>-9.2176253758717198E-5</v>
      </c>
      <c r="K4129" s="35">
        <v>0.3940732034930613</v>
      </c>
      <c r="L4129" s="35">
        <v>-4.2792201625179862</v>
      </c>
      <c r="M4129" s="58" t="s">
        <v>22</v>
      </c>
      <c r="N4129" s="7">
        <v>11.333333333333334</v>
      </c>
      <c r="O4129" s="7" t="s">
        <v>180</v>
      </c>
      <c r="P4129" s="7" t="s">
        <v>180</v>
      </c>
    </row>
    <row r="4130" spans="1:16" x14ac:dyDescent="0.25">
      <c r="A4130" t="s">
        <v>183</v>
      </c>
      <c r="B4130" t="s">
        <v>216</v>
      </c>
      <c r="C4130" s="7" t="s">
        <v>161</v>
      </c>
      <c r="D4130" t="s">
        <v>105</v>
      </c>
      <c r="F4130" s="35">
        <v>0.29999999999999988</v>
      </c>
      <c r="G4130" s="35">
        <v>-100.70134965697434</v>
      </c>
      <c r="H4130" s="35">
        <v>-1.8009975382759382</v>
      </c>
      <c r="I4130" s="35">
        <v>1.2599403402273299</v>
      </c>
      <c r="J4130" s="35">
        <v>-9.2176253758717198E-5</v>
      </c>
      <c r="K4130" s="35">
        <v>1.6091101424862475E-2</v>
      </c>
      <c r="L4130" s="35">
        <v>-3.7389209010352054</v>
      </c>
      <c r="M4130" s="58" t="s">
        <v>22</v>
      </c>
      <c r="N4130" s="7">
        <v>11.333333333333334</v>
      </c>
      <c r="O4130" s="7" t="s">
        <v>180</v>
      </c>
      <c r="P4130" s="7" t="s">
        <v>180</v>
      </c>
    </row>
    <row r="4131" spans="1:16" x14ac:dyDescent="0.25">
      <c r="A4131" t="s">
        <v>183</v>
      </c>
      <c r="B4131" t="s">
        <v>216</v>
      </c>
      <c r="C4131" s="7" t="s">
        <v>161</v>
      </c>
      <c r="D4131" t="s">
        <v>105</v>
      </c>
      <c r="F4131" s="35">
        <v>0.29999999999999988</v>
      </c>
      <c r="G4131" s="35">
        <v>-78.996372590741316</v>
      </c>
      <c r="H4131" s="35">
        <v>-1.8009975382759349</v>
      </c>
      <c r="I4131" s="35">
        <v>4.6159622841344004E-3</v>
      </c>
      <c r="J4131" s="35">
        <v>-7.6026225901510517E-5</v>
      </c>
      <c r="K4131" s="35">
        <v>1.6091101424862718E-2</v>
      </c>
      <c r="L4131" s="35">
        <v>-3.7389218700368776</v>
      </c>
      <c r="M4131" s="58" t="s">
        <v>22</v>
      </c>
      <c r="N4131" s="7">
        <v>11.333333333333334</v>
      </c>
      <c r="O4131" s="7" t="s">
        <v>180</v>
      </c>
      <c r="P4131" s="7" t="s">
        <v>180</v>
      </c>
    </row>
    <row r="4132" spans="1:16" x14ac:dyDescent="0.25">
      <c r="A4132" t="s">
        <v>183</v>
      </c>
      <c r="B4132" t="s">
        <v>216</v>
      </c>
      <c r="C4132" s="7" t="s">
        <v>161</v>
      </c>
      <c r="D4132" t="s">
        <v>105</v>
      </c>
      <c r="F4132" s="35">
        <v>5.3</v>
      </c>
      <c r="G4132" s="35">
        <v>-76.614608590741312</v>
      </c>
      <c r="H4132" s="35">
        <v>-1.8009975382759349</v>
      </c>
      <c r="I4132" s="35">
        <v>4.6159622841344004E-3</v>
      </c>
      <c r="J4132" s="35">
        <v>-7.6026225901510517E-5</v>
      </c>
      <c r="K4132" s="35">
        <v>-6.9887099958092823E-3</v>
      </c>
      <c r="L4132" s="35">
        <v>5.2660658213427967</v>
      </c>
      <c r="M4132" s="58" t="s">
        <v>24</v>
      </c>
      <c r="N4132" s="7">
        <v>11.333333333333334</v>
      </c>
      <c r="O4132" s="7" t="s">
        <v>180</v>
      </c>
      <c r="P4132" s="7" t="s">
        <v>180</v>
      </c>
    </row>
    <row r="4133" spans="1:16" x14ac:dyDescent="0.25">
      <c r="A4133" t="s">
        <v>183</v>
      </c>
      <c r="B4133" t="s">
        <v>216</v>
      </c>
      <c r="C4133" s="7" t="s">
        <v>161</v>
      </c>
      <c r="D4133" t="s">
        <v>105</v>
      </c>
      <c r="F4133" s="35">
        <v>5.3</v>
      </c>
      <c r="G4133" s="35">
        <v>-93.881915447929472</v>
      </c>
      <c r="H4133" s="35">
        <v>-1.8009880180704669</v>
      </c>
      <c r="I4133" s="35">
        <v>1.0080387124289165E-2</v>
      </c>
      <c r="J4133" s="35">
        <v>2.6183362679258573E-5</v>
      </c>
      <c r="K4133" s="35">
        <v>-6.9887099958093491E-3</v>
      </c>
      <c r="L4133" s="35">
        <v>5.2659460444848039</v>
      </c>
      <c r="M4133" s="58" t="s">
        <v>24</v>
      </c>
      <c r="N4133" s="7">
        <v>11.333333333333334</v>
      </c>
      <c r="O4133" s="7" t="s">
        <v>180</v>
      </c>
      <c r="P4133" s="7" t="s">
        <v>180</v>
      </c>
    </row>
    <row r="4134" spans="1:16" x14ac:dyDescent="0.25">
      <c r="A4134" t="s">
        <v>183</v>
      </c>
      <c r="B4134" t="s">
        <v>216</v>
      </c>
      <c r="C4134" s="7" t="s">
        <v>161</v>
      </c>
      <c r="D4134" t="s">
        <v>105</v>
      </c>
      <c r="F4134" s="35">
        <v>5.4149169609489114</v>
      </c>
      <c r="G4134" s="35">
        <v>-93.827174431813958</v>
      </c>
      <c r="H4134" s="35">
        <v>-1.8009880180704669</v>
      </c>
      <c r="I4134" s="35">
        <v>1.0080387124289165E-2</v>
      </c>
      <c r="J4134" s="35">
        <v>2.6183362679258573E-5</v>
      </c>
      <c r="K4134" s="35">
        <v>-8.1471174493211972E-3</v>
      </c>
      <c r="L4134" s="35">
        <v>5.472910114226865</v>
      </c>
      <c r="M4134" s="58" t="s">
        <v>24</v>
      </c>
      <c r="N4134" s="7">
        <v>11.333333333333334</v>
      </c>
      <c r="O4134" s="7" t="s">
        <v>180</v>
      </c>
      <c r="P4134" s="7" t="s">
        <v>180</v>
      </c>
    </row>
    <row r="4135" spans="1:16" x14ac:dyDescent="0.25">
      <c r="A4135" t="s">
        <v>183</v>
      </c>
      <c r="B4135" t="s">
        <v>216</v>
      </c>
      <c r="C4135" s="7" t="s">
        <v>161</v>
      </c>
      <c r="D4135" t="s">
        <v>105</v>
      </c>
      <c r="F4135" s="35">
        <v>10.829833921897823</v>
      </c>
      <c r="G4135" s="35">
        <v>-91.247763575698471</v>
      </c>
      <c r="H4135" s="35">
        <v>-1.8009880180704669</v>
      </c>
      <c r="I4135" s="35">
        <v>1.0080387124289165E-2</v>
      </c>
      <c r="J4135" s="35">
        <v>2.6183362679258573E-5</v>
      </c>
      <c r="K4135" s="35">
        <v>-6.2731576661565605E-2</v>
      </c>
      <c r="L4135" s="35">
        <v>15.2251106797424</v>
      </c>
      <c r="M4135" s="58" t="s">
        <v>23</v>
      </c>
      <c r="N4135" s="7">
        <v>11.333333333333334</v>
      </c>
      <c r="O4135" s="7" t="s">
        <v>180</v>
      </c>
      <c r="P4135" s="7" t="s">
        <v>180</v>
      </c>
    </row>
    <row r="4136" spans="1:16" x14ac:dyDescent="0.25">
      <c r="A4136" t="s">
        <v>183</v>
      </c>
      <c r="B4136" t="s">
        <v>216</v>
      </c>
      <c r="C4136" s="7" t="s">
        <v>161</v>
      </c>
      <c r="D4136" t="s">
        <v>15</v>
      </c>
      <c r="F4136" s="35">
        <v>0</v>
      </c>
      <c r="G4136" s="35">
        <v>127.81320781305068</v>
      </c>
      <c r="H4136" s="35">
        <v>5.570841818741723</v>
      </c>
      <c r="I4136" s="35">
        <v>-4.6002951668209766</v>
      </c>
      <c r="J4136" s="35">
        <v>5.8082016003069877E-4</v>
      </c>
      <c r="K4136" s="35">
        <v>-5.0404723962182931</v>
      </c>
      <c r="L4136" s="35">
        <v>18.497054158543254</v>
      </c>
      <c r="M4136" s="58" t="s">
        <v>22</v>
      </c>
      <c r="N4136" s="7">
        <v>11.333333333333334</v>
      </c>
      <c r="O4136" s="7" t="s">
        <v>180</v>
      </c>
      <c r="P4136" s="7" t="s">
        <v>180</v>
      </c>
    </row>
    <row r="4137" spans="1:16" x14ac:dyDescent="0.25">
      <c r="A4137" t="s">
        <v>183</v>
      </c>
      <c r="B4137" t="s">
        <v>216</v>
      </c>
      <c r="C4137" s="7" t="s">
        <v>161</v>
      </c>
      <c r="D4137" t="s">
        <v>15</v>
      </c>
      <c r="F4137" s="35">
        <v>0.29999999999999988</v>
      </c>
      <c r="G4137" s="35">
        <v>127.95611365305066</v>
      </c>
      <c r="H4137" s="35">
        <v>5.570841818741723</v>
      </c>
      <c r="I4137" s="35">
        <v>-4.6002951668209766</v>
      </c>
      <c r="J4137" s="35">
        <v>5.8082016003069877E-4</v>
      </c>
      <c r="K4137" s="35">
        <v>-3.6603838461720013</v>
      </c>
      <c r="L4137" s="35">
        <v>16.825801612920738</v>
      </c>
      <c r="M4137" s="58" t="s">
        <v>22</v>
      </c>
      <c r="N4137" s="7">
        <v>11.333333333333334</v>
      </c>
      <c r="O4137" s="7" t="s">
        <v>180</v>
      </c>
      <c r="P4137" s="7" t="s">
        <v>180</v>
      </c>
    </row>
    <row r="4138" spans="1:16" x14ac:dyDescent="0.25">
      <c r="A4138" t="s">
        <v>183</v>
      </c>
      <c r="B4138" t="s">
        <v>216</v>
      </c>
      <c r="C4138" s="7" t="s">
        <v>161</v>
      </c>
      <c r="D4138" t="s">
        <v>15</v>
      </c>
      <c r="F4138" s="35">
        <v>0.29999999999999988</v>
      </c>
      <c r="G4138" s="35">
        <v>71.874021190011732</v>
      </c>
      <c r="H4138" s="35">
        <v>5.5708418187417159</v>
      </c>
      <c r="I4138" s="35">
        <v>-1.1883953730079688</v>
      </c>
      <c r="J4138" s="35">
        <v>4.7326778357338303E-4</v>
      </c>
      <c r="K4138" s="35">
        <v>-3.6603838461720049</v>
      </c>
      <c r="L4138" s="35">
        <v>16.825808066063331</v>
      </c>
      <c r="M4138" s="58" t="s">
        <v>22</v>
      </c>
      <c r="N4138" s="7">
        <v>11.333333333333334</v>
      </c>
      <c r="O4138" s="7" t="s">
        <v>180</v>
      </c>
      <c r="P4138" s="7" t="s">
        <v>180</v>
      </c>
    </row>
    <row r="4139" spans="1:16" x14ac:dyDescent="0.25">
      <c r="A4139" t="s">
        <v>183</v>
      </c>
      <c r="B4139" t="s">
        <v>216</v>
      </c>
      <c r="C4139" s="7" t="s">
        <v>161</v>
      </c>
      <c r="D4139" t="s">
        <v>15</v>
      </c>
      <c r="F4139" s="35">
        <v>5.3</v>
      </c>
      <c r="G4139" s="35">
        <v>74.255785190011736</v>
      </c>
      <c r="H4139" s="35">
        <v>5.5708418187417159</v>
      </c>
      <c r="I4139" s="35">
        <v>-1.1883953730079688</v>
      </c>
      <c r="J4139" s="35">
        <v>4.7326778357338303E-4</v>
      </c>
      <c r="K4139" s="35">
        <v>2.2815930188678388</v>
      </c>
      <c r="L4139" s="35">
        <v>-11.02840102764525</v>
      </c>
      <c r="M4139" s="58" t="s">
        <v>24</v>
      </c>
      <c r="N4139" s="7">
        <v>11.333333333333334</v>
      </c>
      <c r="O4139" s="7" t="s">
        <v>180</v>
      </c>
      <c r="P4139" s="7" t="s">
        <v>180</v>
      </c>
    </row>
    <row r="4140" spans="1:16" x14ac:dyDescent="0.25">
      <c r="A4140" t="s">
        <v>183</v>
      </c>
      <c r="B4140" t="s">
        <v>216</v>
      </c>
      <c r="C4140" s="7" t="s">
        <v>161</v>
      </c>
      <c r="D4140" t="s">
        <v>15</v>
      </c>
      <c r="F4140" s="35">
        <v>5.3</v>
      </c>
      <c r="G4140" s="35">
        <v>126.07303352350783</v>
      </c>
      <c r="H4140" s="35">
        <v>5.5707890115487357</v>
      </c>
      <c r="I4140" s="35">
        <v>0.3897161097882223</v>
      </c>
      <c r="J4140" s="35">
        <v>2.1294452889127356E-4</v>
      </c>
      <c r="K4140" s="35">
        <v>2.281593018867841</v>
      </c>
      <c r="L4140" s="35">
        <v>-11.028258591284661</v>
      </c>
      <c r="M4140" s="58" t="s">
        <v>24</v>
      </c>
      <c r="N4140" s="7">
        <v>11.333333333333334</v>
      </c>
      <c r="O4140" s="7" t="s">
        <v>180</v>
      </c>
      <c r="P4140" s="7" t="s">
        <v>180</v>
      </c>
    </row>
    <row r="4141" spans="1:16" x14ac:dyDescent="0.25">
      <c r="A4141" t="s">
        <v>183</v>
      </c>
      <c r="B4141" t="s">
        <v>216</v>
      </c>
      <c r="C4141" s="7" t="s">
        <v>161</v>
      </c>
      <c r="D4141" t="s">
        <v>15</v>
      </c>
      <c r="F4141" s="35">
        <v>5.4149169609489114</v>
      </c>
      <c r="G4141" s="35">
        <v>126.12777453962333</v>
      </c>
      <c r="H4141" s="35">
        <v>5.5707890115487357</v>
      </c>
      <c r="I4141" s="35">
        <v>0.3897161097882223</v>
      </c>
      <c r="J4141" s="35">
        <v>2.1294452889127356E-4</v>
      </c>
      <c r="K4141" s="35">
        <v>2.2368080278981464</v>
      </c>
      <c r="L4141" s="35">
        <v>-11.668436734579434</v>
      </c>
      <c r="M4141" s="58" t="s">
        <v>24</v>
      </c>
      <c r="N4141" s="7">
        <v>11.333333333333334</v>
      </c>
      <c r="O4141" s="7" t="s">
        <v>180</v>
      </c>
      <c r="P4141" s="7" t="s">
        <v>180</v>
      </c>
    </row>
    <row r="4142" spans="1:16" x14ac:dyDescent="0.25">
      <c r="A4142" t="s">
        <v>183</v>
      </c>
      <c r="B4142" t="s">
        <v>216</v>
      </c>
      <c r="C4142" s="7" t="s">
        <v>161</v>
      </c>
      <c r="D4142" t="s">
        <v>15</v>
      </c>
      <c r="F4142" s="35">
        <v>10.829833921897823</v>
      </c>
      <c r="G4142" s="35">
        <v>128.70718539573883</v>
      </c>
      <c r="H4142" s="35">
        <v>5.5707890115487357</v>
      </c>
      <c r="I4142" s="35">
        <v>0.3897161097882223</v>
      </c>
      <c r="J4142" s="35">
        <v>2.1294452889127356E-4</v>
      </c>
      <c r="K4142" s="35">
        <v>0.12652765505087363</v>
      </c>
      <c r="L4142" s="35">
        <v>-41.833796639082493</v>
      </c>
      <c r="M4142" s="58" t="s">
        <v>23</v>
      </c>
      <c r="N4142" s="7">
        <v>11.333333333333334</v>
      </c>
      <c r="O4142" s="7" t="s">
        <v>180</v>
      </c>
      <c r="P4142" s="7" t="s">
        <v>180</v>
      </c>
    </row>
    <row r="4143" spans="1:16" x14ac:dyDescent="0.25">
      <c r="A4143" t="s">
        <v>183</v>
      </c>
      <c r="B4143" t="s">
        <v>216</v>
      </c>
      <c r="C4143" s="7" t="s">
        <v>161</v>
      </c>
      <c r="D4143" t="s">
        <v>16</v>
      </c>
      <c r="F4143" s="35">
        <v>0</v>
      </c>
      <c r="G4143" s="35">
        <v>46.307507871677117</v>
      </c>
      <c r="H4143" s="35">
        <v>2.4783091684308687</v>
      </c>
      <c r="I4143" s="35">
        <v>-3.4469825879783365</v>
      </c>
      <c r="J4143" s="35">
        <v>4.6420858908394278E-4</v>
      </c>
      <c r="K4143" s="35">
        <v>-4.3421920210859515</v>
      </c>
      <c r="L4143" s="35">
        <v>8.5430786867724446</v>
      </c>
      <c r="M4143" s="58" t="s">
        <v>22</v>
      </c>
      <c r="N4143" s="7">
        <v>11.333333333333334</v>
      </c>
      <c r="O4143" s="7" t="s">
        <v>180</v>
      </c>
      <c r="P4143" s="7" t="s">
        <v>180</v>
      </c>
    </row>
    <row r="4144" spans="1:16" x14ac:dyDescent="0.25">
      <c r="A4144" t="s">
        <v>183</v>
      </c>
      <c r="B4144" t="s">
        <v>216</v>
      </c>
      <c r="C4144" s="7" t="s">
        <v>161</v>
      </c>
      <c r="D4144" t="s">
        <v>16</v>
      </c>
      <c r="F4144" s="35">
        <v>0.29999999999999988</v>
      </c>
      <c r="G4144" s="35">
        <v>46.450413711677108</v>
      </c>
      <c r="H4144" s="35">
        <v>2.4783091684308687</v>
      </c>
      <c r="I4144" s="35">
        <v>-3.4469825879783365</v>
      </c>
      <c r="J4144" s="35">
        <v>4.6420858908394278E-4</v>
      </c>
      <c r="K4144" s="35">
        <v>-3.3080972446924508</v>
      </c>
      <c r="L4144" s="35">
        <v>7.7995859362431839</v>
      </c>
      <c r="M4144" s="58" t="s">
        <v>22</v>
      </c>
      <c r="N4144" s="7">
        <v>11.333333333333334</v>
      </c>
      <c r="O4144" s="7" t="s">
        <v>180</v>
      </c>
      <c r="P4144" s="7" t="s">
        <v>180</v>
      </c>
    </row>
    <row r="4145" spans="1:16" x14ac:dyDescent="0.25">
      <c r="A4145" t="s">
        <v>183</v>
      </c>
      <c r="B4145" t="s">
        <v>216</v>
      </c>
      <c r="C4145" s="7" t="s">
        <v>161</v>
      </c>
      <c r="D4145" t="s">
        <v>16</v>
      </c>
      <c r="F4145" s="35">
        <v>0.29999999999999988</v>
      </c>
      <c r="G4145" s="35">
        <v>7.6594623521454217</v>
      </c>
      <c r="H4145" s="35">
        <v>2.4783091684308789</v>
      </c>
      <c r="I4145" s="35">
        <v>-1.0725512603757394</v>
      </c>
      <c r="J4145" s="35">
        <v>3.6534908786558921E-4</v>
      </c>
      <c r="K4145" s="35">
        <v>-3.3080972446924544</v>
      </c>
      <c r="L4145" s="35">
        <v>7.799591867813259</v>
      </c>
      <c r="M4145" s="58" t="s">
        <v>22</v>
      </c>
      <c r="N4145" s="7">
        <v>11.333333333333334</v>
      </c>
      <c r="O4145" s="7" t="s">
        <v>180</v>
      </c>
      <c r="P4145" s="7" t="s">
        <v>180</v>
      </c>
    </row>
    <row r="4146" spans="1:16" x14ac:dyDescent="0.25">
      <c r="A4146" t="s">
        <v>183</v>
      </c>
      <c r="B4146" t="s">
        <v>216</v>
      </c>
      <c r="C4146" s="7" t="s">
        <v>161</v>
      </c>
      <c r="D4146" t="s">
        <v>16</v>
      </c>
      <c r="F4146" s="35">
        <v>5.3</v>
      </c>
      <c r="G4146" s="35">
        <v>10.04122635214542</v>
      </c>
      <c r="H4146" s="35">
        <v>2.4783091684308789</v>
      </c>
      <c r="I4146" s="35">
        <v>-1.0725512603757394</v>
      </c>
      <c r="J4146" s="35">
        <v>3.6534908786558921E-4</v>
      </c>
      <c r="K4146" s="35">
        <v>2.0546590571862433</v>
      </c>
      <c r="L4146" s="35">
        <v>-4.5919539743411342</v>
      </c>
      <c r="M4146" s="58" t="s">
        <v>24</v>
      </c>
      <c r="N4146" s="7">
        <v>11.333333333333334</v>
      </c>
      <c r="O4146" s="7" t="s">
        <v>180</v>
      </c>
      <c r="P4146" s="7" t="s">
        <v>180</v>
      </c>
    </row>
    <row r="4147" spans="1:16" x14ac:dyDescent="0.25">
      <c r="A4147" t="s">
        <v>183</v>
      </c>
      <c r="B4147" t="s">
        <v>216</v>
      </c>
      <c r="C4147" s="7" t="s">
        <v>161</v>
      </c>
      <c r="D4147" t="s">
        <v>16</v>
      </c>
      <c r="F4147" s="35">
        <v>5.3</v>
      </c>
      <c r="G4147" s="35">
        <v>46.071505937324176</v>
      </c>
      <c r="H4147" s="35">
        <v>2.4782737124054774</v>
      </c>
      <c r="I4147" s="35">
        <v>0.35204598561966755</v>
      </c>
      <c r="J4147" s="35">
        <v>2.5364905952213217E-4</v>
      </c>
      <c r="K4147" s="35">
        <v>2.0546590571862433</v>
      </c>
      <c r="L4147" s="35">
        <v>-4.5919750718411771</v>
      </c>
      <c r="M4147" s="58" t="s">
        <v>24</v>
      </c>
      <c r="N4147" s="7">
        <v>11.333333333333334</v>
      </c>
      <c r="O4147" s="7" t="s">
        <v>180</v>
      </c>
      <c r="P4147" s="7" t="s">
        <v>180</v>
      </c>
    </row>
    <row r="4148" spans="1:16" x14ac:dyDescent="0.25">
      <c r="A4148" t="s">
        <v>183</v>
      </c>
      <c r="B4148" t="s">
        <v>216</v>
      </c>
      <c r="C4148" s="7" t="s">
        <v>161</v>
      </c>
      <c r="D4148" t="s">
        <v>16</v>
      </c>
      <c r="F4148" s="35">
        <v>5.4149169609489114</v>
      </c>
      <c r="G4148" s="35">
        <v>46.126246953439676</v>
      </c>
      <c r="H4148" s="35">
        <v>2.4782737124054774</v>
      </c>
      <c r="I4148" s="35">
        <v>0.35204598561966755</v>
      </c>
      <c r="J4148" s="35">
        <v>2.5364905952213217E-4</v>
      </c>
      <c r="K4148" s="35">
        <v>2.0142030024045665</v>
      </c>
      <c r="L4148" s="35">
        <v>-4.8767707552703907</v>
      </c>
      <c r="M4148" s="58" t="s">
        <v>24</v>
      </c>
      <c r="N4148" s="7">
        <v>11.333333333333334</v>
      </c>
      <c r="O4148" s="7" t="s">
        <v>180</v>
      </c>
      <c r="P4148" s="7" t="s">
        <v>180</v>
      </c>
    </row>
    <row r="4149" spans="1:16" x14ac:dyDescent="0.25">
      <c r="A4149" t="s">
        <v>183</v>
      </c>
      <c r="B4149" t="s">
        <v>216</v>
      </c>
      <c r="C4149" s="7" t="s">
        <v>161</v>
      </c>
      <c r="D4149" t="s">
        <v>16</v>
      </c>
      <c r="F4149" s="35">
        <v>10.829833921897823</v>
      </c>
      <c r="G4149" s="35">
        <v>48.705657809555177</v>
      </c>
      <c r="H4149" s="35">
        <v>2.4782737124054774</v>
      </c>
      <c r="I4149" s="35">
        <v>0.35204598561966755</v>
      </c>
      <c r="J4149" s="35">
        <v>2.5364905952213217E-4</v>
      </c>
      <c r="K4149" s="35">
        <v>0.10790322383865289</v>
      </c>
      <c r="L4149" s="35">
        <v>-18.29641711444863</v>
      </c>
      <c r="M4149" s="58" t="s">
        <v>23</v>
      </c>
      <c r="N4149" s="7">
        <v>11.333333333333334</v>
      </c>
      <c r="O4149" s="7" t="s">
        <v>180</v>
      </c>
      <c r="P4149" s="7" t="s">
        <v>180</v>
      </c>
    </row>
    <row r="4150" spans="1:16" x14ac:dyDescent="0.25">
      <c r="A4150" t="s">
        <v>183</v>
      </c>
      <c r="B4150" t="s">
        <v>216</v>
      </c>
      <c r="C4150" s="7" t="s">
        <v>161</v>
      </c>
      <c r="D4150" t="s">
        <v>106</v>
      </c>
      <c r="F4150" s="35">
        <v>0</v>
      </c>
      <c r="G4150" s="35">
        <v>107.40169546565585</v>
      </c>
      <c r="H4150" s="35">
        <v>6.5187574425184298</v>
      </c>
      <c r="I4150" s="35">
        <v>2.6996704802932179</v>
      </c>
      <c r="J4150" s="35">
        <v>-3.271158375296034E-4</v>
      </c>
      <c r="K4150" s="35">
        <v>4.3779957852930194</v>
      </c>
      <c r="L4150" s="35">
        <v>22.414492444815604</v>
      </c>
      <c r="M4150" s="58" t="s">
        <v>22</v>
      </c>
      <c r="N4150" s="7">
        <v>11.333333333333334</v>
      </c>
      <c r="O4150" s="7" t="s">
        <v>180</v>
      </c>
      <c r="P4150" s="7" t="s">
        <v>180</v>
      </c>
    </row>
    <row r="4151" spans="1:16" x14ac:dyDescent="0.25">
      <c r="A4151" t="s">
        <v>183</v>
      </c>
      <c r="B4151" t="s">
        <v>216</v>
      </c>
      <c r="C4151" s="7" t="s">
        <v>161</v>
      </c>
      <c r="D4151" t="s">
        <v>106</v>
      </c>
      <c r="F4151" s="35">
        <v>0.29999999999999988</v>
      </c>
      <c r="G4151" s="35">
        <v>107.54460130565583</v>
      </c>
      <c r="H4151" s="35">
        <v>6.5187574425184298</v>
      </c>
      <c r="I4151" s="35">
        <v>2.6996704802932179</v>
      </c>
      <c r="J4151" s="35">
        <v>-3.271158375296034E-4</v>
      </c>
      <c r="K4151" s="35">
        <v>3.5680946412050538</v>
      </c>
      <c r="L4151" s="35">
        <v>20.458865212060079</v>
      </c>
      <c r="M4151" s="58" t="s">
        <v>22</v>
      </c>
      <c r="N4151" s="7">
        <v>11.333333333333334</v>
      </c>
      <c r="O4151" s="7" t="s">
        <v>180</v>
      </c>
      <c r="P4151" s="7" t="s">
        <v>180</v>
      </c>
    </row>
    <row r="4152" spans="1:16" x14ac:dyDescent="0.25">
      <c r="A4152" t="s">
        <v>183</v>
      </c>
      <c r="B4152" t="s">
        <v>216</v>
      </c>
      <c r="C4152" s="7" t="s">
        <v>161</v>
      </c>
      <c r="D4152" t="s">
        <v>106</v>
      </c>
      <c r="F4152" s="35">
        <v>0.29999999999999988</v>
      </c>
      <c r="G4152" s="35">
        <v>134.14899635798025</v>
      </c>
      <c r="H4152" s="35">
        <v>6.5187574425184271</v>
      </c>
      <c r="I4152" s="35">
        <v>1.1503810231845617</v>
      </c>
      <c r="J4152" s="35">
        <v>-1.6358097274417693E-4</v>
      </c>
      <c r="K4152" s="35">
        <v>3.568094641205052</v>
      </c>
      <c r="L4152" s="35">
        <v>20.458855399968201</v>
      </c>
      <c r="M4152" s="58" t="s">
        <v>22</v>
      </c>
      <c r="N4152" s="7">
        <v>11.333333333333334</v>
      </c>
      <c r="O4152" s="7" t="s">
        <v>180</v>
      </c>
      <c r="P4152" s="7" t="s">
        <v>180</v>
      </c>
    </row>
    <row r="4153" spans="1:16" x14ac:dyDescent="0.25">
      <c r="A4153" t="s">
        <v>183</v>
      </c>
      <c r="B4153" t="s">
        <v>216</v>
      </c>
      <c r="C4153" s="7" t="s">
        <v>161</v>
      </c>
      <c r="D4153" t="s">
        <v>106</v>
      </c>
      <c r="F4153" s="35">
        <v>5.3</v>
      </c>
      <c r="G4153" s="35">
        <v>136.53076035798023</v>
      </c>
      <c r="H4153" s="35">
        <v>6.5187574425184271</v>
      </c>
      <c r="I4153" s="35">
        <v>1.1503810231845617</v>
      </c>
      <c r="J4153" s="35">
        <v>-1.6358097274417693E-4</v>
      </c>
      <c r="K4153" s="35">
        <v>-2.1838104747177551</v>
      </c>
      <c r="L4153" s="35">
        <v>-12.134931812623933</v>
      </c>
      <c r="M4153" s="58" t="s">
        <v>24</v>
      </c>
      <c r="N4153" s="7">
        <v>11.333333333333334</v>
      </c>
      <c r="O4153" s="7" t="s">
        <v>180</v>
      </c>
      <c r="P4153" s="7" t="s">
        <v>180</v>
      </c>
    </row>
    <row r="4154" spans="1:16" x14ac:dyDescent="0.25">
      <c r="A4154" t="s">
        <v>183</v>
      </c>
      <c r="B4154" t="s">
        <v>216</v>
      </c>
      <c r="C4154" s="7" t="s">
        <v>161</v>
      </c>
      <c r="D4154" t="s">
        <v>106</v>
      </c>
      <c r="F4154" s="35">
        <v>5.3</v>
      </c>
      <c r="G4154" s="35">
        <v>117.908847934181</v>
      </c>
      <c r="H4154" s="35">
        <v>6.5187582553791117</v>
      </c>
      <c r="I4154" s="35">
        <v>-0.35094235307241056</v>
      </c>
      <c r="J4154" s="35">
        <v>-4.5804905776619312E-4</v>
      </c>
      <c r="K4154" s="35">
        <v>-2.1838104747177547</v>
      </c>
      <c r="L4154" s="35">
        <v>-12.134367146606547</v>
      </c>
      <c r="M4154" s="58" t="s">
        <v>24</v>
      </c>
      <c r="N4154" s="7">
        <v>11.333333333333334</v>
      </c>
      <c r="O4154" s="7" t="s">
        <v>180</v>
      </c>
      <c r="P4154" s="7" t="s">
        <v>180</v>
      </c>
    </row>
    <row r="4155" spans="1:16" x14ac:dyDescent="0.25">
      <c r="A4155" t="s">
        <v>183</v>
      </c>
      <c r="B4155" t="s">
        <v>216</v>
      </c>
      <c r="C4155" s="7" t="s">
        <v>161</v>
      </c>
      <c r="D4155" t="s">
        <v>106</v>
      </c>
      <c r="F4155" s="35">
        <v>5.4149169609489114</v>
      </c>
      <c r="G4155" s="35">
        <v>117.9635889502965</v>
      </c>
      <c r="H4155" s="35">
        <v>6.5187582553791117</v>
      </c>
      <c r="I4155" s="35">
        <v>-0.35094235307241056</v>
      </c>
      <c r="J4155" s="35">
        <v>-4.5804905776619312E-4</v>
      </c>
      <c r="K4155" s="35">
        <v>-2.1434812460344128</v>
      </c>
      <c r="L4155" s="35">
        <v>-12.88348303447534</v>
      </c>
      <c r="M4155" s="58" t="s">
        <v>24</v>
      </c>
      <c r="N4155" s="7">
        <v>11.333333333333334</v>
      </c>
      <c r="O4155" s="7" t="s">
        <v>180</v>
      </c>
      <c r="P4155" s="7" t="s">
        <v>180</v>
      </c>
    </row>
    <row r="4156" spans="1:16" x14ac:dyDescent="0.25">
      <c r="A4156" t="s">
        <v>183</v>
      </c>
      <c r="B4156" t="s">
        <v>216</v>
      </c>
      <c r="C4156" s="7" t="s">
        <v>161</v>
      </c>
      <c r="D4156" t="s">
        <v>106</v>
      </c>
      <c r="F4156" s="35">
        <v>10.829833921897823</v>
      </c>
      <c r="G4156" s="35">
        <v>120.54299980641201</v>
      </c>
      <c r="H4156" s="35">
        <v>6.5187582553791117</v>
      </c>
      <c r="I4156" s="35">
        <v>-0.35094235307241056</v>
      </c>
      <c r="J4156" s="35">
        <v>-4.5804905776619312E-4</v>
      </c>
      <c r="K4156" s="35">
        <v>-0.24315754606729653</v>
      </c>
      <c r="L4156" s="35">
        <v>-48.182017675853416</v>
      </c>
      <c r="M4156" s="58" t="s">
        <v>23</v>
      </c>
      <c r="N4156" s="7">
        <v>11.333333333333334</v>
      </c>
      <c r="O4156" s="7" t="s">
        <v>180</v>
      </c>
      <c r="P4156" s="7" t="s">
        <v>180</v>
      </c>
    </row>
    <row r="4157" spans="1:16" x14ac:dyDescent="0.25">
      <c r="A4157" t="s">
        <v>183</v>
      </c>
      <c r="B4157" t="s">
        <v>216</v>
      </c>
      <c r="C4157" s="7" t="s">
        <v>161</v>
      </c>
      <c r="D4157" t="s">
        <v>107</v>
      </c>
      <c r="F4157" s="35">
        <v>0</v>
      </c>
      <c r="G4157" s="35">
        <v>25.905810166123114</v>
      </c>
      <c r="H4157" s="35">
        <v>3.4247747316779806</v>
      </c>
      <c r="I4157" s="35">
        <v>3.850312587705254</v>
      </c>
      <c r="J4157" s="35">
        <v>-4.4257150848760662E-4</v>
      </c>
      <c r="K4157" s="35">
        <v>5.0728592022207719</v>
      </c>
      <c r="L4157" s="35">
        <v>12.454480136441855</v>
      </c>
      <c r="M4157" s="58" t="s">
        <v>22</v>
      </c>
      <c r="N4157" s="7">
        <v>11.333333333333334</v>
      </c>
      <c r="O4157" s="7" t="s">
        <v>180</v>
      </c>
      <c r="P4157" s="7" t="s">
        <v>180</v>
      </c>
    </row>
    <row r="4158" spans="1:16" x14ac:dyDescent="0.25">
      <c r="A4158" t="s">
        <v>183</v>
      </c>
      <c r="B4158" t="s">
        <v>216</v>
      </c>
      <c r="C4158" s="7" t="s">
        <v>161</v>
      </c>
      <c r="D4158" t="s">
        <v>107</v>
      </c>
      <c r="F4158" s="35">
        <v>0.29999999999999988</v>
      </c>
      <c r="G4158" s="35">
        <v>26.048716006123108</v>
      </c>
      <c r="H4158" s="35">
        <v>3.4247747316779806</v>
      </c>
      <c r="I4158" s="35">
        <v>3.850312587705254</v>
      </c>
      <c r="J4158" s="35">
        <v>-4.4257150848760662E-4</v>
      </c>
      <c r="K4158" s="35">
        <v>3.9177654259091961</v>
      </c>
      <c r="L4158" s="35">
        <v>11.427047716938462</v>
      </c>
      <c r="M4158" s="58" t="s">
        <v>22</v>
      </c>
      <c r="N4158" s="7">
        <v>11.333333333333334</v>
      </c>
      <c r="O4158" s="7" t="s">
        <v>180</v>
      </c>
      <c r="P4158" s="7" t="s">
        <v>180</v>
      </c>
    </row>
    <row r="4159" spans="1:16" x14ac:dyDescent="0.25">
      <c r="A4159" t="s">
        <v>183</v>
      </c>
      <c r="B4159" t="s">
        <v>216</v>
      </c>
      <c r="C4159" s="7" t="s">
        <v>161</v>
      </c>
      <c r="D4159" t="s">
        <v>107</v>
      </c>
      <c r="F4159" s="35">
        <v>0.29999999999999988</v>
      </c>
      <c r="G4159" s="35">
        <v>69.913827535133819</v>
      </c>
      <c r="H4159" s="35">
        <v>3.4247747316779886</v>
      </c>
      <c r="I4159" s="35">
        <v>1.2653801419954238</v>
      </c>
      <c r="J4159" s="35">
        <v>-2.7077392376211918E-4</v>
      </c>
      <c r="K4159" s="35">
        <v>3.9177654259092005</v>
      </c>
      <c r="L4159" s="35">
        <v>11.427037409083379</v>
      </c>
      <c r="M4159" s="58" t="s">
        <v>22</v>
      </c>
      <c r="N4159" s="7">
        <v>11.333333333333334</v>
      </c>
      <c r="O4159" s="7" t="s">
        <v>180</v>
      </c>
      <c r="P4159" s="7" t="s">
        <v>180</v>
      </c>
    </row>
    <row r="4160" spans="1:16" x14ac:dyDescent="0.25">
      <c r="A4160" t="s">
        <v>183</v>
      </c>
      <c r="B4160" t="s">
        <v>216</v>
      </c>
      <c r="C4160" s="7" t="s">
        <v>161</v>
      </c>
      <c r="D4160" t="s">
        <v>107</v>
      </c>
      <c r="F4160" s="35">
        <v>5.3</v>
      </c>
      <c r="G4160" s="35">
        <v>72.295591535133823</v>
      </c>
      <c r="H4160" s="35">
        <v>3.4247747316779886</v>
      </c>
      <c r="I4160" s="35">
        <v>1.2653801419954238</v>
      </c>
      <c r="J4160" s="35">
        <v>-2.7077392376211918E-4</v>
      </c>
      <c r="K4160" s="35">
        <v>-2.4091352840679181</v>
      </c>
      <c r="L4160" s="35">
        <v>-5.6968362493065641</v>
      </c>
      <c r="M4160" s="58" t="s">
        <v>24</v>
      </c>
      <c r="N4160" s="7">
        <v>11.333333333333334</v>
      </c>
      <c r="O4160" s="7" t="s">
        <v>180</v>
      </c>
      <c r="P4160" s="7" t="s">
        <v>180</v>
      </c>
    </row>
    <row r="4161" spans="1:16" x14ac:dyDescent="0.25">
      <c r="A4161" t="s">
        <v>183</v>
      </c>
      <c r="B4161" t="s">
        <v>216</v>
      </c>
      <c r="C4161" s="7" t="s">
        <v>161</v>
      </c>
      <c r="D4161" t="s">
        <v>107</v>
      </c>
      <c r="F4161" s="35">
        <v>5.3</v>
      </c>
      <c r="G4161" s="35">
        <v>37.912643215217869</v>
      </c>
      <c r="H4161" s="35">
        <v>3.4247928056576602</v>
      </c>
      <c r="I4161" s="35">
        <v>-0.3883452781706519</v>
      </c>
      <c r="J4161" s="35">
        <v>-4.1657784838611403E-4</v>
      </c>
      <c r="K4161" s="35">
        <v>-2.4091352840679177</v>
      </c>
      <c r="L4161" s="35">
        <v>-5.6964357603614939</v>
      </c>
      <c r="M4161" s="58" t="s">
        <v>24</v>
      </c>
      <c r="N4161" s="7">
        <v>11.333333333333334</v>
      </c>
      <c r="O4161" s="7" t="s">
        <v>180</v>
      </c>
      <c r="P4161" s="7" t="s">
        <v>180</v>
      </c>
    </row>
    <row r="4162" spans="1:16" x14ac:dyDescent="0.25">
      <c r="A4162" t="s">
        <v>183</v>
      </c>
      <c r="B4162" t="s">
        <v>216</v>
      </c>
      <c r="C4162" s="7" t="s">
        <v>161</v>
      </c>
      <c r="D4162" t="s">
        <v>107</v>
      </c>
      <c r="F4162" s="35">
        <v>5.4149169609489114</v>
      </c>
      <c r="G4162" s="35">
        <v>37.967384231333376</v>
      </c>
      <c r="H4162" s="35">
        <v>3.4247928056576602</v>
      </c>
      <c r="I4162" s="35">
        <v>-0.3883452781706519</v>
      </c>
      <c r="J4162" s="35">
        <v>-4.1657784838611403E-4</v>
      </c>
      <c r="K4162" s="35">
        <v>-2.3645078249016862</v>
      </c>
      <c r="L4162" s="35">
        <v>-6.0900025414673671</v>
      </c>
      <c r="M4162" s="58" t="s">
        <v>24</v>
      </c>
      <c r="N4162" s="7">
        <v>11.333333333333334</v>
      </c>
      <c r="O4162" s="7" t="s">
        <v>180</v>
      </c>
      <c r="P4162" s="7" t="s">
        <v>180</v>
      </c>
    </row>
    <row r="4163" spans="1:16" x14ac:dyDescent="0.25">
      <c r="A4163" t="s">
        <v>183</v>
      </c>
      <c r="B4163" t="s">
        <v>216</v>
      </c>
      <c r="C4163" s="7" t="s">
        <v>161</v>
      </c>
      <c r="D4163" t="s">
        <v>107</v>
      </c>
      <c r="F4163" s="35">
        <v>10.829833921897823</v>
      </c>
      <c r="G4163" s="35">
        <v>40.546795087448871</v>
      </c>
      <c r="H4163" s="35">
        <v>3.4247928056576602</v>
      </c>
      <c r="I4163" s="35">
        <v>-0.3883452781706519</v>
      </c>
      <c r="J4163" s="35">
        <v>-4.1657784838611403E-4</v>
      </c>
      <c r="K4163" s="35">
        <v>-0.26165039143100149</v>
      </c>
      <c r="L4163" s="35">
        <v>-24.634971192558833</v>
      </c>
      <c r="M4163" s="58" t="s">
        <v>23</v>
      </c>
      <c r="N4163" s="7">
        <v>11.333333333333334</v>
      </c>
      <c r="O4163" s="7" t="s">
        <v>180</v>
      </c>
      <c r="P4163" s="7" t="s">
        <v>180</v>
      </c>
    </row>
    <row r="4164" spans="1:16" x14ac:dyDescent="0.25">
      <c r="A4164" t="s">
        <v>183</v>
      </c>
      <c r="B4164" t="s">
        <v>216</v>
      </c>
      <c r="C4164" s="7" t="s">
        <v>161</v>
      </c>
      <c r="D4164" t="s">
        <v>108</v>
      </c>
      <c r="F4164" s="35">
        <v>0</v>
      </c>
      <c r="G4164" s="35">
        <v>121.00768762364483</v>
      </c>
      <c r="H4164" s="35">
        <v>9.9066471751576142</v>
      </c>
      <c r="I4164" s="35">
        <v>-1.8233725088869202</v>
      </c>
      <c r="J4164" s="35">
        <v>5.5638284190896048E-5</v>
      </c>
      <c r="K4164" s="35">
        <v>-1.4342508087004509</v>
      </c>
      <c r="L4164" s="35">
        <v>49.055494007393285</v>
      </c>
      <c r="M4164" s="58" t="s">
        <v>22</v>
      </c>
      <c r="N4164" s="7">
        <v>11.333333333333334</v>
      </c>
      <c r="O4164" s="7" t="s">
        <v>180</v>
      </c>
      <c r="P4164" s="7" t="s">
        <v>180</v>
      </c>
    </row>
    <row r="4165" spans="1:16" x14ac:dyDescent="0.25">
      <c r="A4165" t="s">
        <v>183</v>
      </c>
      <c r="B4165" t="s">
        <v>216</v>
      </c>
      <c r="C4165" s="7" t="s">
        <v>161</v>
      </c>
      <c r="D4165" t="s">
        <v>108</v>
      </c>
      <c r="F4165" s="35">
        <v>0.29999999999999988</v>
      </c>
      <c r="G4165" s="35">
        <v>121.15059346364481</v>
      </c>
      <c r="H4165" s="35">
        <v>9.9066471751576142</v>
      </c>
      <c r="I4165" s="35">
        <v>-1.8233725088869202</v>
      </c>
      <c r="J4165" s="35">
        <v>5.5638284190896048E-5</v>
      </c>
      <c r="K4165" s="35">
        <v>-0.88723905603437492</v>
      </c>
      <c r="L4165" s="35">
        <v>46.083499854846004</v>
      </c>
      <c r="M4165" s="58" t="s">
        <v>22</v>
      </c>
      <c r="N4165" s="7">
        <v>11.333333333333334</v>
      </c>
      <c r="O4165" s="7" t="s">
        <v>180</v>
      </c>
      <c r="P4165" s="7" t="s">
        <v>180</v>
      </c>
    </row>
    <row r="4166" spans="1:16" x14ac:dyDescent="0.25">
      <c r="A4166" t="s">
        <v>183</v>
      </c>
      <c r="B4166" t="s">
        <v>216</v>
      </c>
      <c r="C4166" s="7" t="s">
        <v>161</v>
      </c>
      <c r="D4166" t="s">
        <v>108</v>
      </c>
      <c r="F4166" s="35">
        <v>0.29999999999999988</v>
      </c>
      <c r="G4166" s="35">
        <v>96.422711479231054</v>
      </c>
      <c r="H4166" s="35">
        <v>9.906647175157639</v>
      </c>
      <c r="I4166" s="35">
        <v>-0.29272534379138532</v>
      </c>
      <c r="J4166" s="35">
        <v>2.1508136157598749E-4</v>
      </c>
      <c r="K4166" s="35">
        <v>-0.88723905603437336</v>
      </c>
      <c r="L4166" s="35">
        <v>46.083490288261352</v>
      </c>
      <c r="M4166" s="58" t="s">
        <v>22</v>
      </c>
      <c r="N4166" s="7">
        <v>11.333333333333334</v>
      </c>
      <c r="O4166" s="7" t="s">
        <v>180</v>
      </c>
      <c r="P4166" s="7" t="s">
        <v>180</v>
      </c>
    </row>
    <row r="4167" spans="1:16" x14ac:dyDescent="0.25">
      <c r="A4167" t="s">
        <v>183</v>
      </c>
      <c r="B4167" t="s">
        <v>216</v>
      </c>
      <c r="C4167" s="7" t="s">
        <v>161</v>
      </c>
      <c r="D4167" t="s">
        <v>108</v>
      </c>
      <c r="F4167" s="35">
        <v>5.3</v>
      </c>
      <c r="G4167" s="35">
        <v>98.804475479231044</v>
      </c>
      <c r="H4167" s="35">
        <v>9.906647175157639</v>
      </c>
      <c r="I4167" s="35">
        <v>-0.29272534379138532</v>
      </c>
      <c r="J4167" s="35">
        <v>2.1508136157598749E-4</v>
      </c>
      <c r="K4167" s="35">
        <v>0.57638766292255339</v>
      </c>
      <c r="L4167" s="35">
        <v>-3.4497455875268437</v>
      </c>
      <c r="M4167" s="58" t="s">
        <v>24</v>
      </c>
      <c r="N4167" s="7">
        <v>11.333333333333334</v>
      </c>
      <c r="O4167" s="7" t="s">
        <v>180</v>
      </c>
      <c r="P4167" s="7" t="s">
        <v>180</v>
      </c>
    </row>
    <row r="4168" spans="1:16" x14ac:dyDescent="0.25">
      <c r="A4168" t="s">
        <v>183</v>
      </c>
      <c r="B4168" t="s">
        <v>216</v>
      </c>
      <c r="C4168" s="7" t="s">
        <v>161</v>
      </c>
      <c r="D4168" t="s">
        <v>108</v>
      </c>
      <c r="F4168" s="35">
        <v>5.3</v>
      </c>
      <c r="G4168" s="35">
        <v>123.94850579069643</v>
      </c>
      <c r="H4168" s="35">
        <v>9.9065979186827331</v>
      </c>
      <c r="I4168" s="35">
        <v>0.10692602492764565</v>
      </c>
      <c r="J4168" s="35">
        <v>-7.3057189128571516E-5</v>
      </c>
      <c r="K4168" s="35">
        <v>0.57638766292255306</v>
      </c>
      <c r="L4168" s="35">
        <v>-3.4494290251929591</v>
      </c>
      <c r="M4168" s="58" t="s">
        <v>24</v>
      </c>
      <c r="N4168" s="7">
        <v>11.333333333333334</v>
      </c>
      <c r="O4168" s="7" t="s">
        <v>180</v>
      </c>
      <c r="P4168" s="7" t="s">
        <v>180</v>
      </c>
    </row>
    <row r="4169" spans="1:16" x14ac:dyDescent="0.25">
      <c r="A4169" t="s">
        <v>183</v>
      </c>
      <c r="B4169" t="s">
        <v>216</v>
      </c>
      <c r="C4169" s="7" t="s">
        <v>161</v>
      </c>
      <c r="D4169" t="s">
        <v>108</v>
      </c>
      <c r="F4169" s="35">
        <v>5.4149169609489114</v>
      </c>
      <c r="G4169" s="35">
        <v>124.00324680681193</v>
      </c>
      <c r="H4169" s="35">
        <v>9.9065979186827331</v>
      </c>
      <c r="I4169" s="35">
        <v>0.10692602492764565</v>
      </c>
      <c r="J4169" s="35">
        <v>-7.3057189128571516E-5</v>
      </c>
      <c r="K4169" s="35">
        <v>0.56410004909152056</v>
      </c>
      <c r="L4169" s="35">
        <v>-4.5878651513507895</v>
      </c>
      <c r="M4169" s="58" t="s">
        <v>24</v>
      </c>
      <c r="N4169" s="7">
        <v>11.333333333333334</v>
      </c>
      <c r="O4169" s="7" t="s">
        <v>180</v>
      </c>
      <c r="P4169" s="7" t="s">
        <v>180</v>
      </c>
    </row>
    <row r="4170" spans="1:16" x14ac:dyDescent="0.25">
      <c r="A4170" t="s">
        <v>183</v>
      </c>
      <c r="B4170" t="s">
        <v>216</v>
      </c>
      <c r="C4170" s="7" t="s">
        <v>161</v>
      </c>
      <c r="D4170" t="s">
        <v>108</v>
      </c>
      <c r="F4170" s="35">
        <v>10.829833921897823</v>
      </c>
      <c r="G4170" s="35">
        <v>126.58265766292745</v>
      </c>
      <c r="H4170" s="35">
        <v>9.9065979186827331</v>
      </c>
      <c r="I4170" s="35">
        <v>0.10692602492764565</v>
      </c>
      <c r="J4170" s="35">
        <v>-7.3057189128571516E-5</v>
      </c>
      <c r="K4170" s="35">
        <v>-1.4895496856033747E-2</v>
      </c>
      <c r="L4170" s="35">
        <v>-58.231270246527096</v>
      </c>
      <c r="M4170" s="58" t="s">
        <v>23</v>
      </c>
      <c r="N4170" s="7">
        <v>11.333333333333334</v>
      </c>
      <c r="O4170" s="7" t="s">
        <v>180</v>
      </c>
      <c r="P4170" s="7" t="s">
        <v>180</v>
      </c>
    </row>
    <row r="4171" spans="1:16" x14ac:dyDescent="0.25">
      <c r="A4171" t="s">
        <v>183</v>
      </c>
      <c r="B4171" t="s">
        <v>216</v>
      </c>
      <c r="C4171" s="7" t="s">
        <v>161</v>
      </c>
      <c r="D4171" t="s">
        <v>109</v>
      </c>
      <c r="F4171" s="35">
        <v>0</v>
      </c>
      <c r="G4171" s="35">
        <v>1.443920633448244</v>
      </c>
      <c r="H4171" s="35">
        <v>21.986781817883035</v>
      </c>
      <c r="I4171" s="35">
        <v>-0.21833570181950662</v>
      </c>
      <c r="J4171" s="35">
        <v>-2.5107441165651357E-4</v>
      </c>
      <c r="K4171" s="35">
        <v>-0.52184777080745914</v>
      </c>
      <c r="L4171" s="35">
        <v>118.45040213509952</v>
      </c>
      <c r="M4171" s="58" t="s">
        <v>22</v>
      </c>
      <c r="N4171" s="7">
        <v>11.333333333333334</v>
      </c>
      <c r="O4171" s="7" t="s">
        <v>180</v>
      </c>
      <c r="P4171" s="7" t="s">
        <v>180</v>
      </c>
    </row>
    <row r="4172" spans="1:16" x14ac:dyDescent="0.25">
      <c r="A4172" t="s">
        <v>183</v>
      </c>
      <c r="B4172" t="s">
        <v>216</v>
      </c>
      <c r="C4172" s="7" t="s">
        <v>161</v>
      </c>
      <c r="D4172" t="s">
        <v>109</v>
      </c>
      <c r="F4172" s="35">
        <v>0.29999999999999988</v>
      </c>
      <c r="G4172" s="35">
        <v>1.586826473448236</v>
      </c>
      <c r="H4172" s="35">
        <v>21.986781817883035</v>
      </c>
      <c r="I4172" s="35">
        <v>-0.21833570181950662</v>
      </c>
      <c r="J4172" s="35">
        <v>-2.5107441165651357E-4</v>
      </c>
      <c r="K4172" s="35">
        <v>-0.45634706026160726</v>
      </c>
      <c r="L4172" s="35">
        <v>111.85436758973462</v>
      </c>
      <c r="M4172" s="58" t="s">
        <v>22</v>
      </c>
      <c r="N4172" s="7">
        <v>11.333333333333334</v>
      </c>
      <c r="O4172" s="7" t="s">
        <v>180</v>
      </c>
      <c r="P4172" s="7" t="s">
        <v>180</v>
      </c>
    </row>
    <row r="4173" spans="1:16" x14ac:dyDescent="0.25">
      <c r="A4173" t="s">
        <v>183</v>
      </c>
      <c r="B4173" t="s">
        <v>216</v>
      </c>
      <c r="C4173" s="7" t="s">
        <v>161</v>
      </c>
      <c r="D4173" t="s">
        <v>109</v>
      </c>
      <c r="F4173" s="35">
        <v>0.29999999999999988</v>
      </c>
      <c r="G4173" s="35">
        <v>1.2466648126189064</v>
      </c>
      <c r="H4173" s="35">
        <v>21.986781817883067</v>
      </c>
      <c r="I4173" s="35">
        <v>-0.15095175613899742</v>
      </c>
      <c r="J4173" s="35">
        <v>3.0277849693256749E-4</v>
      </c>
      <c r="K4173" s="35">
        <v>-0.45634706026160804</v>
      </c>
      <c r="L4173" s="35">
        <v>111.85433435856005</v>
      </c>
      <c r="M4173" s="58" t="s">
        <v>22</v>
      </c>
      <c r="N4173" s="7">
        <v>11.333333333333334</v>
      </c>
      <c r="O4173" s="7" t="s">
        <v>180</v>
      </c>
      <c r="P4173" s="7" t="s">
        <v>180</v>
      </c>
    </row>
    <row r="4174" spans="1:16" x14ac:dyDescent="0.25">
      <c r="A4174" t="s">
        <v>183</v>
      </c>
      <c r="B4174" t="s">
        <v>216</v>
      </c>
      <c r="C4174" s="7" t="s">
        <v>161</v>
      </c>
      <c r="D4174" t="s">
        <v>109</v>
      </c>
      <c r="F4174" s="35">
        <v>5.3</v>
      </c>
      <c r="G4174" s="35">
        <v>3.628428812618905</v>
      </c>
      <c r="H4174" s="35">
        <v>21.986781817883067</v>
      </c>
      <c r="I4174" s="35">
        <v>-0.15095175613899742</v>
      </c>
      <c r="J4174" s="35">
        <v>3.0277849693256749E-4</v>
      </c>
      <c r="K4174" s="35">
        <v>0.29841172043337905</v>
      </c>
      <c r="L4174" s="35">
        <v>1.9204252691447297</v>
      </c>
      <c r="M4174" s="58" t="s">
        <v>24</v>
      </c>
      <c r="N4174" s="7">
        <v>11.333333333333334</v>
      </c>
      <c r="O4174" s="7" t="s">
        <v>180</v>
      </c>
      <c r="P4174" s="7" t="s">
        <v>180</v>
      </c>
    </row>
    <row r="4175" spans="1:16" x14ac:dyDescent="0.25">
      <c r="A4175" t="s">
        <v>183</v>
      </c>
      <c r="B4175" t="s">
        <v>216</v>
      </c>
      <c r="C4175" s="7" t="s">
        <v>161</v>
      </c>
      <c r="D4175" t="s">
        <v>109</v>
      </c>
      <c r="F4175" s="35">
        <v>5.3</v>
      </c>
      <c r="G4175" s="35">
        <v>6.4424284470773845</v>
      </c>
      <c r="H4175" s="35">
        <v>21.986697292116453</v>
      </c>
      <c r="I4175" s="35">
        <v>6.073805996885584E-2</v>
      </c>
      <c r="J4175" s="35">
        <v>-2.2415724992497693E-4</v>
      </c>
      <c r="K4175" s="35">
        <v>0.29841172043337921</v>
      </c>
      <c r="L4175" s="35">
        <v>1.9211379053939204</v>
      </c>
      <c r="M4175" s="58" t="s">
        <v>24</v>
      </c>
      <c r="N4175" s="7">
        <v>11.333333333333334</v>
      </c>
      <c r="O4175" s="7" t="s">
        <v>180</v>
      </c>
      <c r="P4175" s="7" t="s">
        <v>180</v>
      </c>
    </row>
    <row r="4176" spans="1:16" x14ac:dyDescent="0.25">
      <c r="A4176" t="s">
        <v>183</v>
      </c>
      <c r="B4176" t="s">
        <v>216</v>
      </c>
      <c r="C4176" s="7" t="s">
        <v>161</v>
      </c>
      <c r="D4176" t="s">
        <v>109</v>
      </c>
      <c r="F4176" s="35">
        <v>5.4149169609489114</v>
      </c>
      <c r="G4176" s="35">
        <v>6.4971694631928898</v>
      </c>
      <c r="H4176" s="35">
        <v>21.986697292116453</v>
      </c>
      <c r="I4176" s="35">
        <v>6.073805996885584E-2</v>
      </c>
      <c r="J4176" s="35">
        <v>-2.2415724992497693E-4</v>
      </c>
      <c r="K4176" s="35">
        <v>0.29143188716782559</v>
      </c>
      <c r="L4176" s="35">
        <v>-0.60550652871976307</v>
      </c>
      <c r="M4176" s="58" t="s">
        <v>24</v>
      </c>
      <c r="N4176" s="7">
        <v>11.333333333333334</v>
      </c>
      <c r="O4176" s="7" t="s">
        <v>180</v>
      </c>
      <c r="P4176" s="7" t="s">
        <v>180</v>
      </c>
    </row>
    <row r="4177" spans="1:16" x14ac:dyDescent="0.25">
      <c r="A4177" t="s">
        <v>183</v>
      </c>
      <c r="B4177" t="s">
        <v>216</v>
      </c>
      <c r="C4177" s="7" t="s">
        <v>161</v>
      </c>
      <c r="D4177" t="s">
        <v>109</v>
      </c>
      <c r="F4177" s="35">
        <v>10.829833921897823</v>
      </c>
      <c r="G4177" s="35">
        <v>9.0765803193083912</v>
      </c>
      <c r="H4177" s="35">
        <v>21.986697292116453</v>
      </c>
      <c r="I4177" s="35">
        <v>6.073805996885584E-2</v>
      </c>
      <c r="J4177" s="35">
        <v>-2.2415724992497693E-4</v>
      </c>
      <c r="K4177" s="35">
        <v>-3.7459663932663922E-2</v>
      </c>
      <c r="L4177" s="35">
        <v>-119.6616466110506</v>
      </c>
      <c r="M4177" s="58" t="s">
        <v>23</v>
      </c>
      <c r="N4177" s="7">
        <v>11.333333333333334</v>
      </c>
      <c r="O4177" s="7" t="s">
        <v>180</v>
      </c>
      <c r="P4177" s="7" t="s">
        <v>180</v>
      </c>
    </row>
    <row r="4178" spans="1:16" x14ac:dyDescent="0.25">
      <c r="A4178" t="s">
        <v>183</v>
      </c>
      <c r="B4178" t="s">
        <v>216</v>
      </c>
      <c r="C4178" s="7" t="s">
        <v>161</v>
      </c>
      <c r="D4178" t="s">
        <v>110</v>
      </c>
      <c r="F4178" s="35">
        <v>0</v>
      </c>
      <c r="G4178" s="35">
        <v>119.1299863829108</v>
      </c>
      <c r="H4178" s="35">
        <v>-5.0630135549846175E-2</v>
      </c>
      <c r="I4178" s="35">
        <v>-1.8250063847943931</v>
      </c>
      <c r="J4178" s="35">
        <v>3.6443127214213426E-4</v>
      </c>
      <c r="K4178" s="35">
        <v>-1.4553220235952595</v>
      </c>
      <c r="L4178" s="35">
        <v>-17.529799171572108</v>
      </c>
      <c r="M4178" s="58" t="s">
        <v>22</v>
      </c>
      <c r="N4178" s="7">
        <v>11.333333333333334</v>
      </c>
      <c r="O4178" s="7" t="s">
        <v>180</v>
      </c>
      <c r="P4178" s="7" t="s">
        <v>180</v>
      </c>
    </row>
    <row r="4179" spans="1:16" x14ac:dyDescent="0.25">
      <c r="A4179" t="s">
        <v>183</v>
      </c>
      <c r="B4179" t="s">
        <v>216</v>
      </c>
      <c r="C4179" s="7" t="s">
        <v>161</v>
      </c>
      <c r="D4179" t="s">
        <v>110</v>
      </c>
      <c r="F4179" s="35">
        <v>0.29999999999999988</v>
      </c>
      <c r="G4179" s="35">
        <v>119.27289222291078</v>
      </c>
      <c r="H4179" s="35">
        <v>-5.0630135549846175E-2</v>
      </c>
      <c r="I4179" s="35">
        <v>-1.8250063847943931</v>
      </c>
      <c r="J4179" s="35">
        <v>3.6443127214213426E-4</v>
      </c>
      <c r="K4179" s="35">
        <v>-0.90782010815694181</v>
      </c>
      <c r="L4179" s="35">
        <v>-17.514610130907151</v>
      </c>
      <c r="M4179" s="58" t="s">
        <v>22</v>
      </c>
      <c r="N4179" s="7">
        <v>11.333333333333334</v>
      </c>
      <c r="O4179" s="7" t="s">
        <v>180</v>
      </c>
      <c r="P4179" s="7" t="s">
        <v>180</v>
      </c>
    </row>
    <row r="4180" spans="1:16" x14ac:dyDescent="0.25">
      <c r="A4180" t="s">
        <v>183</v>
      </c>
      <c r="B4180" t="s">
        <v>216</v>
      </c>
      <c r="C4180" s="7" t="s">
        <v>161</v>
      </c>
      <c r="D4180" t="s">
        <v>110</v>
      </c>
      <c r="F4180" s="35">
        <v>0.29999999999999988</v>
      </c>
      <c r="G4180" s="35">
        <v>94.628456399442868</v>
      </c>
      <c r="H4180" s="35">
        <v>-5.0630135549842512E-2</v>
      </c>
      <c r="I4180" s="35">
        <v>-0.29936598935560893</v>
      </c>
      <c r="J4180" s="35">
        <v>1.4634084408209083E-4</v>
      </c>
      <c r="K4180" s="35">
        <v>-0.90782010815694336</v>
      </c>
      <c r="L4180" s="35">
        <v>-17.514597045481473</v>
      </c>
      <c r="M4180" s="58" t="s">
        <v>22</v>
      </c>
      <c r="N4180" s="7">
        <v>11.333333333333334</v>
      </c>
      <c r="O4180" s="7" t="s">
        <v>180</v>
      </c>
      <c r="P4180" s="7" t="s">
        <v>180</v>
      </c>
    </row>
    <row r="4181" spans="1:16" x14ac:dyDescent="0.25">
      <c r="A4181" t="s">
        <v>183</v>
      </c>
      <c r="B4181" t="s">
        <v>216</v>
      </c>
      <c r="C4181" s="7" t="s">
        <v>161</v>
      </c>
      <c r="D4181" t="s">
        <v>110</v>
      </c>
      <c r="F4181" s="35">
        <v>5.3</v>
      </c>
      <c r="G4181" s="35">
        <v>97.010220399442872</v>
      </c>
      <c r="H4181" s="35">
        <v>-5.0630135549842512E-2</v>
      </c>
      <c r="I4181" s="35">
        <v>-0.29936598935560893</v>
      </c>
      <c r="J4181" s="35">
        <v>1.4634084408209083E-4</v>
      </c>
      <c r="K4181" s="35">
        <v>0.58900983862110123</v>
      </c>
      <c r="L4181" s="35">
        <v>-17.261446367732258</v>
      </c>
      <c r="M4181" s="58" t="s">
        <v>24</v>
      </c>
      <c r="N4181" s="7">
        <v>11.333333333333334</v>
      </c>
      <c r="O4181" s="7" t="s">
        <v>180</v>
      </c>
      <c r="P4181" s="7" t="s">
        <v>180</v>
      </c>
    </row>
    <row r="4182" spans="1:16" x14ac:dyDescent="0.25">
      <c r="A4182" t="s">
        <v>183</v>
      </c>
      <c r="B4182" t="s">
        <v>216</v>
      </c>
      <c r="C4182" s="7" t="s">
        <v>161</v>
      </c>
      <c r="D4182" t="s">
        <v>110</v>
      </c>
      <c r="F4182" s="35">
        <v>5.3</v>
      </c>
      <c r="G4182" s="35">
        <v>122.05559248999734</v>
      </c>
      <c r="H4182" s="35">
        <v>-5.0642557721460223E-2</v>
      </c>
      <c r="I4182" s="35">
        <v>0.10902124498367211</v>
      </c>
      <c r="J4182" s="35">
        <v>-4.4739352198853096E-5</v>
      </c>
      <c r="K4182" s="35">
        <v>0.58900983862110046</v>
      </c>
      <c r="L4182" s="35">
        <v>-17.261275066903519</v>
      </c>
      <c r="M4182" s="58" t="s">
        <v>24</v>
      </c>
      <c r="N4182" s="7">
        <v>11.333333333333334</v>
      </c>
      <c r="O4182" s="7" t="s">
        <v>180</v>
      </c>
      <c r="P4182" s="7" t="s">
        <v>180</v>
      </c>
    </row>
    <row r="4183" spans="1:16" x14ac:dyDescent="0.25">
      <c r="A4183" t="s">
        <v>183</v>
      </c>
      <c r="B4183" t="s">
        <v>216</v>
      </c>
      <c r="C4183" s="7" t="s">
        <v>161</v>
      </c>
      <c r="D4183" t="s">
        <v>110</v>
      </c>
      <c r="F4183" s="35">
        <v>5.4149169609489114</v>
      </c>
      <c r="G4183" s="35">
        <v>122.11033350611284</v>
      </c>
      <c r="H4183" s="35">
        <v>-5.0642557721460223E-2</v>
      </c>
      <c r="I4183" s="35">
        <v>0.10902124498367211</v>
      </c>
      <c r="J4183" s="35">
        <v>-4.4739352198853096E-5</v>
      </c>
      <c r="K4183" s="35">
        <v>0.57648144846871019</v>
      </c>
      <c r="L4183" s="35">
        <v>-17.255455378075492</v>
      </c>
      <c r="M4183" s="58" t="s">
        <v>24</v>
      </c>
      <c r="N4183" s="7">
        <v>11.333333333333334</v>
      </c>
      <c r="O4183" s="7" t="s">
        <v>180</v>
      </c>
      <c r="P4183" s="7" t="s">
        <v>180</v>
      </c>
    </row>
    <row r="4184" spans="1:16" x14ac:dyDescent="0.25">
      <c r="A4184" t="s">
        <v>183</v>
      </c>
      <c r="B4184" t="s">
        <v>216</v>
      </c>
      <c r="C4184" s="7" t="s">
        <v>161</v>
      </c>
      <c r="D4184" t="s">
        <v>110</v>
      </c>
      <c r="F4184" s="35">
        <v>10.829833921897823</v>
      </c>
      <c r="G4184" s="35">
        <v>124.68974436222835</v>
      </c>
      <c r="H4184" s="35">
        <v>-5.0642557721460223E-2</v>
      </c>
      <c r="I4184" s="35">
        <v>0.10902124498367211</v>
      </c>
      <c r="J4184" s="35">
        <v>-4.4739352198853096E-5</v>
      </c>
      <c r="K4184" s="35">
        <v>-1.3859540097142188E-2</v>
      </c>
      <c r="L4184" s="35">
        <v>-16.98123013332372</v>
      </c>
      <c r="M4184" s="58" t="s">
        <v>23</v>
      </c>
      <c r="N4184" s="7">
        <v>11.333333333333334</v>
      </c>
      <c r="O4184" s="7" t="s">
        <v>180</v>
      </c>
      <c r="P4184" s="7" t="s">
        <v>180</v>
      </c>
    </row>
    <row r="4185" spans="1:16" x14ac:dyDescent="0.25">
      <c r="A4185" t="s">
        <v>183</v>
      </c>
      <c r="B4185" t="s">
        <v>216</v>
      </c>
      <c r="C4185" s="7" t="s">
        <v>161</v>
      </c>
      <c r="D4185" t="s">
        <v>111</v>
      </c>
      <c r="F4185" s="35">
        <v>0</v>
      </c>
      <c r="G4185" s="35">
        <v>-95.032504756858827</v>
      </c>
      <c r="H4185" s="35">
        <v>-13.427258787154537</v>
      </c>
      <c r="I4185" s="35">
        <v>0.69394039751464121</v>
      </c>
      <c r="J4185" s="35">
        <v>3.2136190285847417E-4</v>
      </c>
      <c r="K4185" s="35">
        <v>-0.28569633192488392</v>
      </c>
      <c r="L4185" s="35">
        <v>-81.896285975127228</v>
      </c>
      <c r="M4185" s="58" t="s">
        <v>22</v>
      </c>
      <c r="N4185" s="7">
        <v>11.333333333333334</v>
      </c>
      <c r="O4185" s="7" t="s">
        <v>180</v>
      </c>
      <c r="P4185" s="7" t="s">
        <v>180</v>
      </c>
    </row>
    <row r="4186" spans="1:16" x14ac:dyDescent="0.25">
      <c r="A4186" t="s">
        <v>183</v>
      </c>
      <c r="B4186" t="s">
        <v>216</v>
      </c>
      <c r="C4186" s="7" t="s">
        <v>161</v>
      </c>
      <c r="D4186" t="s">
        <v>111</v>
      </c>
      <c r="F4186" s="35">
        <v>0.29999999999999988</v>
      </c>
      <c r="G4186" s="35">
        <v>-94.889598916858844</v>
      </c>
      <c r="H4186" s="35">
        <v>-13.427258787154537</v>
      </c>
      <c r="I4186" s="35">
        <v>0.69394039751464121</v>
      </c>
      <c r="J4186" s="35">
        <v>3.2136190285847417E-4</v>
      </c>
      <c r="K4186" s="35">
        <v>-0.49387845117927615</v>
      </c>
      <c r="L4186" s="35">
        <v>-77.868108338980875</v>
      </c>
      <c r="M4186" s="58" t="s">
        <v>22</v>
      </c>
      <c r="N4186" s="7">
        <v>11.333333333333334</v>
      </c>
      <c r="O4186" s="7" t="s">
        <v>180</v>
      </c>
      <c r="P4186" s="7" t="s">
        <v>180</v>
      </c>
    </row>
    <row r="4187" spans="1:16" x14ac:dyDescent="0.25">
      <c r="A4187" t="s">
        <v>183</v>
      </c>
      <c r="B4187" t="s">
        <v>216</v>
      </c>
      <c r="C4187" s="7" t="s">
        <v>161</v>
      </c>
      <c r="D4187" t="s">
        <v>111</v>
      </c>
      <c r="F4187" s="35">
        <v>0.29999999999999988</v>
      </c>
      <c r="G4187" s="35">
        <v>-79.851244892376471</v>
      </c>
      <c r="H4187" s="35">
        <v>-13.427258787154569</v>
      </c>
      <c r="I4187" s="35">
        <v>-0.16138659792352761</v>
      </c>
      <c r="J4187" s="35">
        <v>-1.2716125513486108E-4</v>
      </c>
      <c r="K4187" s="35">
        <v>-0.49387845117927587</v>
      </c>
      <c r="L4187" s="35">
        <v>-77.86808142759142</v>
      </c>
      <c r="M4187" s="58" t="s">
        <v>22</v>
      </c>
      <c r="N4187" s="7">
        <v>11.333333333333334</v>
      </c>
      <c r="O4187" s="7" t="s">
        <v>180</v>
      </c>
      <c r="P4187" s="7" t="s">
        <v>180</v>
      </c>
    </row>
    <row r="4188" spans="1:16" x14ac:dyDescent="0.25">
      <c r="A4188" t="s">
        <v>183</v>
      </c>
      <c r="B4188" t="s">
        <v>216</v>
      </c>
      <c r="C4188" s="7" t="s">
        <v>161</v>
      </c>
      <c r="D4188" t="s">
        <v>111</v>
      </c>
      <c r="F4188" s="35">
        <v>5.3</v>
      </c>
      <c r="G4188" s="35">
        <v>-77.469480892376467</v>
      </c>
      <c r="H4188" s="35">
        <v>-13.427258787154569</v>
      </c>
      <c r="I4188" s="35">
        <v>-0.16138659792352761</v>
      </c>
      <c r="J4188" s="35">
        <v>-1.2716125513486108E-4</v>
      </c>
      <c r="K4188" s="35">
        <v>0.31305453843836206</v>
      </c>
      <c r="L4188" s="35">
        <v>-10.731787491818585</v>
      </c>
      <c r="M4188" s="58" t="s">
        <v>24</v>
      </c>
      <c r="N4188" s="7">
        <v>11.333333333333334</v>
      </c>
      <c r="O4188" s="7" t="s">
        <v>180</v>
      </c>
      <c r="P4188" s="7" t="s">
        <v>180</v>
      </c>
    </row>
    <row r="4189" spans="1:16" x14ac:dyDescent="0.25">
      <c r="A4189" t="s">
        <v>183</v>
      </c>
      <c r="B4189" t="s">
        <v>216</v>
      </c>
      <c r="C4189" s="7" t="s">
        <v>161</v>
      </c>
      <c r="D4189" t="s">
        <v>111</v>
      </c>
      <c r="F4189" s="35">
        <v>5.3</v>
      </c>
      <c r="G4189" s="35">
        <v>-88.986026808950072</v>
      </c>
      <c r="H4189" s="35">
        <v>-13.427211562409108</v>
      </c>
      <c r="I4189" s="35">
        <v>6.3191539809765454E-2</v>
      </c>
      <c r="J4189" s="35">
        <v>8.8018856208577491E-5</v>
      </c>
      <c r="K4189" s="35">
        <v>0.31305453843836245</v>
      </c>
      <c r="L4189" s="35">
        <v>-10.732112991086733</v>
      </c>
      <c r="M4189" s="58" t="s">
        <v>24</v>
      </c>
      <c r="N4189" s="7">
        <v>11.333333333333334</v>
      </c>
      <c r="O4189" s="7" t="s">
        <v>180</v>
      </c>
      <c r="P4189" s="7" t="s">
        <v>180</v>
      </c>
    </row>
    <row r="4190" spans="1:16" x14ac:dyDescent="0.25">
      <c r="A4190" t="s">
        <v>183</v>
      </c>
      <c r="B4190" t="s">
        <v>216</v>
      </c>
      <c r="C4190" s="7" t="s">
        <v>161</v>
      </c>
      <c r="D4190" t="s">
        <v>111</v>
      </c>
      <c r="F4190" s="35">
        <v>5.4149169609489114</v>
      </c>
      <c r="G4190" s="35">
        <v>-88.931285792834558</v>
      </c>
      <c r="H4190" s="35">
        <v>-13.427211562409108</v>
      </c>
      <c r="I4190" s="35">
        <v>6.3191539809765454E-2</v>
      </c>
      <c r="J4190" s="35">
        <v>8.8018856208577491E-5</v>
      </c>
      <c r="K4190" s="35">
        <v>0.30579275872574196</v>
      </c>
      <c r="L4190" s="35">
        <v>-9.1890986443165925</v>
      </c>
      <c r="M4190" s="58" t="s">
        <v>24</v>
      </c>
      <c r="N4190" s="7">
        <v>11.333333333333334</v>
      </c>
      <c r="O4190" s="7" t="s">
        <v>180</v>
      </c>
      <c r="P4190" s="7" t="s">
        <v>180</v>
      </c>
    </row>
    <row r="4191" spans="1:16" x14ac:dyDescent="0.25">
      <c r="A4191" t="s">
        <v>183</v>
      </c>
      <c r="B4191" t="s">
        <v>216</v>
      </c>
      <c r="C4191" s="7" t="s">
        <v>161</v>
      </c>
      <c r="D4191" t="s">
        <v>111</v>
      </c>
      <c r="F4191" s="35">
        <v>10.829833921897823</v>
      </c>
      <c r="G4191" s="35">
        <v>-86.351874936719057</v>
      </c>
      <c r="H4191" s="35">
        <v>-13.427211562409108</v>
      </c>
      <c r="I4191" s="35">
        <v>6.3191539809765454E-2</v>
      </c>
      <c r="J4191" s="35">
        <v>8.8018856208577491E-5</v>
      </c>
      <c r="K4191" s="35">
        <v>-3.6384181978635202E-2</v>
      </c>
      <c r="L4191" s="35">
        <v>63.51813698322178</v>
      </c>
      <c r="M4191" s="58" t="s">
        <v>23</v>
      </c>
      <c r="N4191" s="7">
        <v>11.333333333333334</v>
      </c>
      <c r="O4191" s="7" t="s">
        <v>180</v>
      </c>
      <c r="P4191" s="7" t="s">
        <v>180</v>
      </c>
    </row>
    <row r="4192" spans="1:16" x14ac:dyDescent="0.25">
      <c r="A4192" t="s">
        <v>183</v>
      </c>
      <c r="B4192" t="s">
        <v>216</v>
      </c>
      <c r="C4192" s="7" t="s">
        <v>161</v>
      </c>
      <c r="D4192" t="s">
        <v>112</v>
      </c>
      <c r="F4192" s="35">
        <v>0</v>
      </c>
      <c r="G4192" s="35">
        <v>53.608494370952108</v>
      </c>
      <c r="H4192" s="35">
        <v>3.4014657635137322</v>
      </c>
      <c r="I4192" s="35">
        <v>-3.4940089245260042</v>
      </c>
      <c r="J4192" s="35">
        <v>4.6417680588767718E-4</v>
      </c>
      <c r="K4192" s="35">
        <v>-4.325467397174581</v>
      </c>
      <c r="L4192" s="35">
        <v>12.122558834285215</v>
      </c>
      <c r="M4192" s="58" t="s">
        <v>22</v>
      </c>
      <c r="N4192" s="7">
        <v>11.333333333333334</v>
      </c>
      <c r="O4192" s="7" t="s">
        <v>180</v>
      </c>
      <c r="P4192" s="7" t="s">
        <v>180</v>
      </c>
    </row>
    <row r="4193" spans="1:16" x14ac:dyDescent="0.25">
      <c r="A4193" t="s">
        <v>183</v>
      </c>
      <c r="B4193" t="s">
        <v>216</v>
      </c>
      <c r="C4193" s="7" t="s">
        <v>161</v>
      </c>
      <c r="D4193" t="s">
        <v>112</v>
      </c>
      <c r="F4193" s="35">
        <v>0.29999999999999988</v>
      </c>
      <c r="G4193" s="35">
        <v>53.751400210952099</v>
      </c>
      <c r="H4193" s="35">
        <v>3.4014657635137322</v>
      </c>
      <c r="I4193" s="35">
        <v>-3.4940089245260042</v>
      </c>
      <c r="J4193" s="35">
        <v>4.6417680588767718E-4</v>
      </c>
      <c r="K4193" s="35">
        <v>-3.2772647198167797</v>
      </c>
      <c r="L4193" s="35">
        <v>11.102119105231097</v>
      </c>
      <c r="M4193" s="58" t="s">
        <v>22</v>
      </c>
      <c r="N4193" s="7">
        <v>11.333333333333334</v>
      </c>
      <c r="O4193" s="7" t="s">
        <v>180</v>
      </c>
      <c r="P4193" s="7" t="s">
        <v>180</v>
      </c>
    </row>
    <row r="4194" spans="1:16" x14ac:dyDescent="0.25">
      <c r="A4194" t="s">
        <v>183</v>
      </c>
      <c r="B4194" t="s">
        <v>216</v>
      </c>
      <c r="C4194" s="7" t="s">
        <v>161</v>
      </c>
      <c r="D4194" t="s">
        <v>112</v>
      </c>
      <c r="F4194" s="35">
        <v>0.29999999999999988</v>
      </c>
      <c r="G4194" s="35">
        <v>14.021261021983632</v>
      </c>
      <c r="H4194" s="35">
        <v>3.4014657635137273</v>
      </c>
      <c r="I4194" s="35">
        <v>-1.0632263271572</v>
      </c>
      <c r="J4194" s="35">
        <v>3.7215112023006541E-4</v>
      </c>
      <c r="K4194" s="35">
        <v>-3.2772647198167837</v>
      </c>
      <c r="L4194" s="35">
        <v>11.102124626772241</v>
      </c>
      <c r="M4194" s="58" t="s">
        <v>22</v>
      </c>
      <c r="N4194" s="7">
        <v>11.333333333333334</v>
      </c>
      <c r="O4194" s="7" t="s">
        <v>180</v>
      </c>
      <c r="P4194" s="7" t="s">
        <v>180</v>
      </c>
    </row>
    <row r="4195" spans="1:16" x14ac:dyDescent="0.25">
      <c r="A4195" t="s">
        <v>183</v>
      </c>
      <c r="B4195" t="s">
        <v>216</v>
      </c>
      <c r="C4195" s="7" t="s">
        <v>161</v>
      </c>
      <c r="D4195" t="s">
        <v>112</v>
      </c>
      <c r="F4195" s="35">
        <v>5.3</v>
      </c>
      <c r="G4195" s="35">
        <v>16.403025021983641</v>
      </c>
      <c r="H4195" s="35">
        <v>3.4014657635137273</v>
      </c>
      <c r="I4195" s="35">
        <v>-1.0632263271572</v>
      </c>
      <c r="J4195" s="35">
        <v>3.7215112023006541E-4</v>
      </c>
      <c r="K4195" s="35">
        <v>2.0388669159692157</v>
      </c>
      <c r="L4195" s="35">
        <v>-5.9052041907963941</v>
      </c>
      <c r="M4195" s="58" t="s">
        <v>24</v>
      </c>
      <c r="N4195" s="7">
        <v>11.333333333333334</v>
      </c>
      <c r="O4195" s="7" t="s">
        <v>180</v>
      </c>
      <c r="P4195" s="7" t="s">
        <v>180</v>
      </c>
    </row>
    <row r="4196" spans="1:16" x14ac:dyDescent="0.25">
      <c r="A4196" t="s">
        <v>183</v>
      </c>
      <c r="B4196" t="s">
        <v>216</v>
      </c>
      <c r="C4196" s="7" t="s">
        <v>161</v>
      </c>
      <c r="D4196" t="s">
        <v>112</v>
      </c>
      <c r="F4196" s="35">
        <v>5.3</v>
      </c>
      <c r="G4196" s="35">
        <v>53.351718099778829</v>
      </c>
      <c r="H4196" s="35">
        <v>3.4014260030837291</v>
      </c>
      <c r="I4196" s="35">
        <v>0.34944193105292154</v>
      </c>
      <c r="J4196" s="35">
        <v>2.2200600517182669E-4</v>
      </c>
      <c r="K4196" s="35">
        <v>2.0388669159692174</v>
      </c>
      <c r="L4196" s="35">
        <v>-5.9051784246182484</v>
      </c>
      <c r="M4196" s="58" t="s">
        <v>24</v>
      </c>
      <c r="N4196" s="7">
        <v>11.333333333333334</v>
      </c>
      <c r="O4196" s="7" t="s">
        <v>180</v>
      </c>
      <c r="P4196" s="7" t="s">
        <v>180</v>
      </c>
    </row>
    <row r="4197" spans="1:16" x14ac:dyDescent="0.25">
      <c r="A4197" t="s">
        <v>183</v>
      </c>
      <c r="B4197" t="s">
        <v>216</v>
      </c>
      <c r="C4197" s="7" t="s">
        <v>161</v>
      </c>
      <c r="D4197" t="s">
        <v>112</v>
      </c>
      <c r="F4197" s="35">
        <v>5.4149169609489114</v>
      </c>
      <c r="G4197" s="35">
        <v>53.406459115894343</v>
      </c>
      <c r="H4197" s="35">
        <v>3.4014260030837291</v>
      </c>
      <c r="I4197" s="35">
        <v>0.34944193105292154</v>
      </c>
      <c r="J4197" s="35">
        <v>2.2200600517182669E-4</v>
      </c>
      <c r="K4197" s="35">
        <v>1.9987101112244967</v>
      </c>
      <c r="L4197" s="35">
        <v>-6.2960599637852352</v>
      </c>
      <c r="M4197" s="58" t="s">
        <v>24</v>
      </c>
      <c r="N4197" s="7">
        <v>11.333333333333334</v>
      </c>
      <c r="O4197" s="7" t="s">
        <v>180</v>
      </c>
      <c r="P4197" s="7" t="s">
        <v>180</v>
      </c>
    </row>
    <row r="4198" spans="1:16" x14ac:dyDescent="0.25">
      <c r="A4198" t="s">
        <v>183</v>
      </c>
      <c r="B4198" t="s">
        <v>216</v>
      </c>
      <c r="C4198" s="7" t="s">
        <v>161</v>
      </c>
      <c r="D4198" t="s">
        <v>112</v>
      </c>
      <c r="F4198" s="35">
        <v>10.829833921897823</v>
      </c>
      <c r="G4198" s="35">
        <v>55.985869972009844</v>
      </c>
      <c r="H4198" s="35">
        <v>3.4014260030837291</v>
      </c>
      <c r="I4198" s="35">
        <v>0.34944193105292154</v>
      </c>
      <c r="J4198" s="35">
        <v>2.2200600517182669E-4</v>
      </c>
      <c r="K4198" s="35">
        <v>0.10651107189929222</v>
      </c>
      <c r="L4198" s="35">
        <v>-24.714499319295975</v>
      </c>
      <c r="M4198" s="58" t="s">
        <v>23</v>
      </c>
      <c r="N4198" s="7">
        <v>11.333333333333334</v>
      </c>
      <c r="O4198" s="7" t="s">
        <v>180</v>
      </c>
      <c r="P4198" s="7" t="s">
        <v>180</v>
      </c>
    </row>
    <row r="4199" spans="1:16" x14ac:dyDescent="0.25">
      <c r="A4199" t="s">
        <v>183</v>
      </c>
      <c r="B4199" t="s">
        <v>216</v>
      </c>
      <c r="C4199" s="7" t="s">
        <v>161</v>
      </c>
      <c r="D4199" t="s">
        <v>113</v>
      </c>
      <c r="F4199" s="35">
        <v>0</v>
      </c>
      <c r="G4199" s="35">
        <v>-19.746635576284095</v>
      </c>
      <c r="H4199" s="35">
        <v>0.61818637823396361</v>
      </c>
      <c r="I4199" s="35">
        <v>-2.4560276035676276</v>
      </c>
      <c r="J4199" s="35">
        <v>3.5922639203559678E-4</v>
      </c>
      <c r="K4199" s="35">
        <v>-3.6970150595554729</v>
      </c>
      <c r="L4199" s="35">
        <v>3.1639809096914857</v>
      </c>
      <c r="M4199" s="58" t="s">
        <v>22</v>
      </c>
      <c r="N4199" s="7">
        <v>11.333333333333334</v>
      </c>
      <c r="O4199" s="7" t="s">
        <v>180</v>
      </c>
      <c r="P4199" s="7" t="s">
        <v>180</v>
      </c>
    </row>
    <row r="4200" spans="1:16" x14ac:dyDescent="0.25">
      <c r="A4200" t="s">
        <v>183</v>
      </c>
      <c r="B4200" t="s">
        <v>216</v>
      </c>
      <c r="C4200" s="7" t="s">
        <v>161</v>
      </c>
      <c r="D4200" t="s">
        <v>113</v>
      </c>
      <c r="F4200" s="35">
        <v>0.29999999999999988</v>
      </c>
      <c r="G4200" s="35">
        <v>-19.603729736284102</v>
      </c>
      <c r="H4200" s="35">
        <v>0.61818637823396361</v>
      </c>
      <c r="I4200" s="35">
        <v>-2.4560276035676276</v>
      </c>
      <c r="J4200" s="35">
        <v>3.5922639203559678E-4</v>
      </c>
      <c r="K4200" s="35">
        <v>-2.9602067784851851</v>
      </c>
      <c r="L4200" s="35">
        <v>2.9785249962212959</v>
      </c>
      <c r="M4200" s="58" t="s">
        <v>22</v>
      </c>
      <c r="N4200" s="7">
        <v>11.333333333333334</v>
      </c>
      <c r="O4200" s="7" t="s">
        <v>180</v>
      </c>
      <c r="P4200" s="7" t="s">
        <v>180</v>
      </c>
    </row>
    <row r="4201" spans="1:16" x14ac:dyDescent="0.25">
      <c r="A4201" t="s">
        <v>183</v>
      </c>
      <c r="B4201" t="s">
        <v>216</v>
      </c>
      <c r="C4201" s="7" t="s">
        <v>161</v>
      </c>
      <c r="D4201" t="s">
        <v>113</v>
      </c>
      <c r="F4201" s="35">
        <v>0.29999999999999988</v>
      </c>
      <c r="G4201" s="35">
        <v>-43.771841932096045</v>
      </c>
      <c r="H4201" s="35">
        <v>0.61818637823397316</v>
      </c>
      <c r="I4201" s="35">
        <v>-0.95896662578819347</v>
      </c>
      <c r="J4201" s="35">
        <v>2.7502429409305098E-4</v>
      </c>
      <c r="K4201" s="35">
        <v>-2.9602067784851873</v>
      </c>
      <c r="L4201" s="35">
        <v>2.9785300483471744</v>
      </c>
      <c r="M4201" s="58" t="s">
        <v>22</v>
      </c>
      <c r="N4201" s="7">
        <v>11.333333333333334</v>
      </c>
      <c r="O4201" s="7" t="s">
        <v>180</v>
      </c>
      <c r="P4201" s="7" t="s">
        <v>180</v>
      </c>
    </row>
    <row r="4202" spans="1:16" x14ac:dyDescent="0.25">
      <c r="A4202" t="s">
        <v>183</v>
      </c>
      <c r="B4202" t="s">
        <v>216</v>
      </c>
      <c r="C4202" s="7" t="s">
        <v>161</v>
      </c>
      <c r="D4202" t="s">
        <v>113</v>
      </c>
      <c r="F4202" s="35">
        <v>5.3</v>
      </c>
      <c r="G4202" s="35">
        <v>-41.390077932096034</v>
      </c>
      <c r="H4202" s="35">
        <v>0.61818637823397316</v>
      </c>
      <c r="I4202" s="35">
        <v>-0.95896662578819347</v>
      </c>
      <c r="J4202" s="35">
        <v>2.7502429409305098E-4</v>
      </c>
      <c r="K4202" s="35">
        <v>1.8346263504557798</v>
      </c>
      <c r="L4202" s="35">
        <v>-0.1124018428226914</v>
      </c>
      <c r="M4202" s="58" t="s">
        <v>24</v>
      </c>
      <c r="N4202" s="7">
        <v>11.333333333333334</v>
      </c>
      <c r="O4202" s="7" t="s">
        <v>180</v>
      </c>
      <c r="P4202" s="7" t="s">
        <v>180</v>
      </c>
    </row>
    <row r="4203" spans="1:16" x14ac:dyDescent="0.25">
      <c r="A4203" t="s">
        <v>183</v>
      </c>
      <c r="B4203" t="s">
        <v>216</v>
      </c>
      <c r="C4203" s="7" t="s">
        <v>161</v>
      </c>
      <c r="D4203" t="s">
        <v>113</v>
      </c>
      <c r="F4203" s="35">
        <v>5.3</v>
      </c>
      <c r="G4203" s="35">
        <v>-18.64965672778645</v>
      </c>
      <c r="H4203" s="35">
        <v>0.61816223385479663</v>
      </c>
      <c r="I4203" s="35">
        <v>0.3155388193012223</v>
      </c>
      <c r="J4203" s="35">
        <v>2.5864008273959944E-4</v>
      </c>
      <c r="K4203" s="35">
        <v>1.8346263504557796</v>
      </c>
      <c r="L4203" s="35">
        <v>-0.11252325711911169</v>
      </c>
      <c r="M4203" s="58" t="s">
        <v>24</v>
      </c>
      <c r="N4203" s="7">
        <v>11.333333333333334</v>
      </c>
      <c r="O4203" s="7" t="s">
        <v>180</v>
      </c>
      <c r="P4203" s="7" t="s">
        <v>180</v>
      </c>
    </row>
    <row r="4204" spans="1:16" x14ac:dyDescent="0.25">
      <c r="A4204" t="s">
        <v>183</v>
      </c>
      <c r="B4204" t="s">
        <v>216</v>
      </c>
      <c r="C4204" s="7" t="s">
        <v>161</v>
      </c>
      <c r="D4204" t="s">
        <v>113</v>
      </c>
      <c r="F4204" s="35">
        <v>5.4149169609489114</v>
      </c>
      <c r="G4204" s="35">
        <v>-18.594915711670936</v>
      </c>
      <c r="H4204" s="35">
        <v>0.61816223385479663</v>
      </c>
      <c r="I4204" s="35">
        <v>0.3155388193012223</v>
      </c>
      <c r="J4204" s="35">
        <v>2.5864008273959944E-4</v>
      </c>
      <c r="K4204" s="35">
        <v>1.7983655882802752</v>
      </c>
      <c r="L4204" s="35">
        <v>-0.18356058240709541</v>
      </c>
      <c r="M4204" s="58" t="s">
        <v>24</v>
      </c>
      <c r="N4204" s="7">
        <v>11.333333333333334</v>
      </c>
      <c r="O4204" s="7" t="s">
        <v>180</v>
      </c>
      <c r="P4204" s="7" t="s">
        <v>180</v>
      </c>
    </row>
    <row r="4205" spans="1:16" x14ac:dyDescent="0.25">
      <c r="A4205" t="s">
        <v>183</v>
      </c>
      <c r="B4205" t="s">
        <v>216</v>
      </c>
      <c r="C4205" s="7" t="s">
        <v>161</v>
      </c>
      <c r="D4205" t="s">
        <v>113</v>
      </c>
      <c r="F4205" s="35">
        <v>10.829833921897823</v>
      </c>
      <c r="G4205" s="35">
        <v>-16.015504855555434</v>
      </c>
      <c r="H4205" s="35">
        <v>0.61816223385479663</v>
      </c>
      <c r="I4205" s="35">
        <v>0.3155388193012223</v>
      </c>
      <c r="J4205" s="35">
        <v>2.5864008273959944E-4</v>
      </c>
      <c r="K4205" s="35">
        <v>8.9749083808293564E-2</v>
      </c>
      <c r="L4205" s="35">
        <v>-3.530857747125498</v>
      </c>
      <c r="M4205" s="58" t="s">
        <v>23</v>
      </c>
      <c r="N4205" s="7">
        <v>11.333333333333334</v>
      </c>
      <c r="O4205" s="7" t="s">
        <v>180</v>
      </c>
      <c r="P4205" s="7" t="s">
        <v>180</v>
      </c>
    </row>
    <row r="4206" spans="1:16" x14ac:dyDescent="0.25">
      <c r="A4206" t="s">
        <v>183</v>
      </c>
      <c r="B4206" t="s">
        <v>216</v>
      </c>
      <c r="C4206" s="7" t="s">
        <v>161</v>
      </c>
      <c r="D4206" t="s">
        <v>114</v>
      </c>
      <c r="F4206" s="35">
        <v>0</v>
      </c>
      <c r="G4206" s="35">
        <v>35.238133258296763</v>
      </c>
      <c r="H4206" s="35">
        <v>4.2545898249127685</v>
      </c>
      <c r="I4206" s="35">
        <v>3.075960157876771</v>
      </c>
      <c r="J4206" s="35">
        <v>-3.5296559191659485E-4</v>
      </c>
      <c r="K4206" s="35">
        <v>4.1511539661856007</v>
      </c>
      <c r="L4206" s="35">
        <v>15.648253291930333</v>
      </c>
      <c r="M4206" s="58" t="s">
        <v>22</v>
      </c>
      <c r="N4206" s="7">
        <v>11.333333333333334</v>
      </c>
      <c r="O4206" s="7" t="s">
        <v>180</v>
      </c>
      <c r="P4206" s="7" t="s">
        <v>180</v>
      </c>
    </row>
    <row r="4207" spans="1:16" x14ac:dyDescent="0.25">
      <c r="A4207" t="s">
        <v>183</v>
      </c>
      <c r="B4207" t="s">
        <v>216</v>
      </c>
      <c r="C4207" s="7" t="s">
        <v>161</v>
      </c>
      <c r="D4207" t="s">
        <v>114</v>
      </c>
      <c r="F4207" s="35">
        <v>0.29999999999999988</v>
      </c>
      <c r="G4207" s="35">
        <v>35.38103909829676</v>
      </c>
      <c r="H4207" s="35">
        <v>4.2545898249127685</v>
      </c>
      <c r="I4207" s="35">
        <v>3.075960157876771</v>
      </c>
      <c r="J4207" s="35">
        <v>-3.5296559191659485E-4</v>
      </c>
      <c r="K4207" s="35">
        <v>3.2283659188225697</v>
      </c>
      <c r="L4207" s="35">
        <v>14.371876344456499</v>
      </c>
      <c r="M4207" s="58" t="s">
        <v>22</v>
      </c>
      <c r="N4207" s="7">
        <v>11.333333333333334</v>
      </c>
      <c r="O4207" s="7" t="s">
        <v>180</v>
      </c>
      <c r="P4207" s="7" t="s">
        <v>180</v>
      </c>
    </row>
    <row r="4208" spans="1:16" x14ac:dyDescent="0.25">
      <c r="A4208" t="s">
        <v>183</v>
      </c>
      <c r="B4208" t="s">
        <v>216</v>
      </c>
      <c r="C4208" s="7" t="s">
        <v>161</v>
      </c>
      <c r="D4208" t="s">
        <v>114</v>
      </c>
      <c r="F4208" s="35">
        <v>0.29999999999999988</v>
      </c>
      <c r="G4208" s="35">
        <v>70.068738673155309</v>
      </c>
      <c r="H4208" s="35">
        <v>4.2545898249127667</v>
      </c>
      <c r="I4208" s="35">
        <v>1.0416724294160775</v>
      </c>
      <c r="J4208" s="35">
        <v>-2.0101276045573861E-4</v>
      </c>
      <c r="K4208" s="35">
        <v>3.228365918822568</v>
      </c>
      <c r="L4208" s="35">
        <v>14.371867227286621</v>
      </c>
      <c r="M4208" s="58" t="s">
        <v>22</v>
      </c>
      <c r="N4208" s="7">
        <v>11.333333333333334</v>
      </c>
      <c r="O4208" s="7" t="s">
        <v>180</v>
      </c>
      <c r="P4208" s="7" t="s">
        <v>180</v>
      </c>
    </row>
    <row r="4209" spans="1:16" x14ac:dyDescent="0.25">
      <c r="A4209" t="s">
        <v>183</v>
      </c>
      <c r="B4209" t="s">
        <v>216</v>
      </c>
      <c r="C4209" s="7" t="s">
        <v>161</v>
      </c>
      <c r="D4209" t="s">
        <v>114</v>
      </c>
      <c r="F4209" s="35">
        <v>5.3</v>
      </c>
      <c r="G4209" s="35">
        <v>72.450502673155327</v>
      </c>
      <c r="H4209" s="35">
        <v>4.2545898249127667</v>
      </c>
      <c r="I4209" s="35">
        <v>1.0416724294160775</v>
      </c>
      <c r="J4209" s="35">
        <v>-2.0101276045573861E-4</v>
      </c>
      <c r="K4209" s="35">
        <v>-1.979996228257819</v>
      </c>
      <c r="L4209" s="35">
        <v>-6.9010818972772086</v>
      </c>
      <c r="M4209" s="58" t="s">
        <v>24</v>
      </c>
      <c r="N4209" s="7">
        <v>11.333333333333334</v>
      </c>
      <c r="O4209" s="7" t="s">
        <v>180</v>
      </c>
      <c r="P4209" s="7" t="s">
        <v>180</v>
      </c>
    </row>
    <row r="4210" spans="1:16" x14ac:dyDescent="0.25">
      <c r="A4210" t="s">
        <v>183</v>
      </c>
      <c r="B4210" t="s">
        <v>216</v>
      </c>
      <c r="C4210" s="7" t="s">
        <v>161</v>
      </c>
      <c r="D4210" t="s">
        <v>114</v>
      </c>
      <c r="F4210" s="35">
        <v>5.3</v>
      </c>
      <c r="G4210" s="35">
        <v>46.003951069384691</v>
      </c>
      <c r="H4210" s="35">
        <v>4.2545983225310673</v>
      </c>
      <c r="I4210" s="35">
        <v>-0.31715068552164805</v>
      </c>
      <c r="J4210" s="35">
        <v>-3.8188822281989327E-4</v>
      </c>
      <c r="K4210" s="35">
        <v>-1.9799962282578185</v>
      </c>
      <c r="L4210" s="35">
        <v>-6.9006761244079433</v>
      </c>
      <c r="M4210" s="58" t="s">
        <v>24</v>
      </c>
      <c r="N4210" s="7">
        <v>11.333333333333334</v>
      </c>
      <c r="O4210" s="7" t="s">
        <v>180</v>
      </c>
      <c r="P4210" s="7" t="s">
        <v>180</v>
      </c>
    </row>
    <row r="4211" spans="1:16" x14ac:dyDescent="0.25">
      <c r="A4211" t="s">
        <v>183</v>
      </c>
      <c r="B4211" t="s">
        <v>216</v>
      </c>
      <c r="C4211" s="7" t="s">
        <v>161</v>
      </c>
      <c r="D4211" t="s">
        <v>114</v>
      </c>
      <c r="F4211" s="35">
        <v>5.4149169609489114</v>
      </c>
      <c r="G4211" s="35">
        <v>46.058692085500198</v>
      </c>
      <c r="H4211" s="35">
        <v>4.2545983225310673</v>
      </c>
      <c r="I4211" s="35">
        <v>-0.31715068552164805</v>
      </c>
      <c r="J4211" s="35">
        <v>-3.8188822281989327E-4</v>
      </c>
      <c r="K4211" s="35">
        <v>-1.9435502353148066</v>
      </c>
      <c r="L4211" s="35">
        <v>-7.3896016336915489</v>
      </c>
      <c r="M4211" s="58" t="s">
        <v>24</v>
      </c>
      <c r="N4211" s="7">
        <v>11.333333333333334</v>
      </c>
      <c r="O4211" s="7" t="s">
        <v>180</v>
      </c>
      <c r="P4211" s="7" t="s">
        <v>180</v>
      </c>
    </row>
    <row r="4212" spans="1:16" x14ac:dyDescent="0.25">
      <c r="A4212" t="s">
        <v>183</v>
      </c>
      <c r="B4212" t="s">
        <v>216</v>
      </c>
      <c r="C4212" s="7" t="s">
        <v>161</v>
      </c>
      <c r="D4212" t="s">
        <v>114</v>
      </c>
      <c r="F4212" s="35">
        <v>10.829833921897823</v>
      </c>
      <c r="G4212" s="35">
        <v>48.638102941615699</v>
      </c>
      <c r="H4212" s="35">
        <v>4.2545983225310673</v>
      </c>
      <c r="I4212" s="35">
        <v>-0.31715068552164805</v>
      </c>
      <c r="J4212" s="35">
        <v>-3.8188822281989327E-4</v>
      </c>
      <c r="K4212" s="35">
        <v>-0.22620560910706095</v>
      </c>
      <c r="L4212" s="35">
        <v>-30.427898252389802</v>
      </c>
      <c r="M4212" s="58" t="s">
        <v>23</v>
      </c>
      <c r="N4212" s="7">
        <v>11.333333333333334</v>
      </c>
      <c r="O4212" s="7" t="s">
        <v>180</v>
      </c>
      <c r="P4212" s="7" t="s">
        <v>180</v>
      </c>
    </row>
    <row r="4213" spans="1:16" x14ac:dyDescent="0.25">
      <c r="A4213" t="s">
        <v>183</v>
      </c>
      <c r="B4213" t="s">
        <v>216</v>
      </c>
      <c r="C4213" s="7" t="s">
        <v>161</v>
      </c>
      <c r="D4213" t="s">
        <v>115</v>
      </c>
      <c r="F4213" s="35">
        <v>0</v>
      </c>
      <c r="G4213" s="35">
        <v>-38.10816351128269</v>
      </c>
      <c r="H4213" s="35">
        <v>1.4700053851563646</v>
      </c>
      <c r="I4213" s="35">
        <v>4.1115380545476032</v>
      </c>
      <c r="J4213" s="35">
        <v>-4.5687569577879778E-4</v>
      </c>
      <c r="K4213" s="35">
        <v>4.7765310414205775</v>
      </c>
      <c r="L4213" s="35">
        <v>6.684242214393957</v>
      </c>
      <c r="M4213" s="58" t="s">
        <v>22</v>
      </c>
      <c r="N4213" s="7">
        <v>11.333333333333334</v>
      </c>
      <c r="O4213" s="7" t="s">
        <v>180</v>
      </c>
      <c r="P4213" s="7" t="s">
        <v>180</v>
      </c>
    </row>
    <row r="4214" spans="1:16" x14ac:dyDescent="0.25">
      <c r="A4214" t="s">
        <v>183</v>
      </c>
      <c r="B4214" t="s">
        <v>216</v>
      </c>
      <c r="C4214" s="7" t="s">
        <v>161</v>
      </c>
      <c r="D4214" t="s">
        <v>115</v>
      </c>
      <c r="F4214" s="35">
        <v>0.29999999999999988</v>
      </c>
      <c r="G4214" s="35">
        <v>-37.9652576712827</v>
      </c>
      <c r="H4214" s="35">
        <v>1.4700053851563646</v>
      </c>
      <c r="I4214" s="35">
        <v>4.1115380545476032</v>
      </c>
      <c r="J4214" s="35">
        <v>-4.5687569577879778E-4</v>
      </c>
      <c r="K4214" s="35">
        <v>3.5430696250562974</v>
      </c>
      <c r="L4214" s="35">
        <v>6.2432405988470467</v>
      </c>
      <c r="M4214" s="58" t="s">
        <v>22</v>
      </c>
      <c r="N4214" s="7">
        <v>11.333333333333334</v>
      </c>
      <c r="O4214" s="7" t="s">
        <v>180</v>
      </c>
      <c r="P4214" s="7" t="s">
        <v>180</v>
      </c>
    </row>
    <row r="4215" spans="1:16" x14ac:dyDescent="0.25">
      <c r="A4215" t="s">
        <v>183</v>
      </c>
      <c r="B4215" t="s">
        <v>216</v>
      </c>
      <c r="C4215" s="7" t="s">
        <v>161</v>
      </c>
      <c r="D4215" t="s">
        <v>115</v>
      </c>
      <c r="F4215" s="35">
        <v>0.29999999999999988</v>
      </c>
      <c r="G4215" s="35">
        <v>12.257086732593523</v>
      </c>
      <c r="H4215" s="35">
        <v>1.4700053851563724</v>
      </c>
      <c r="I4215" s="35">
        <v>1.1451716363458535</v>
      </c>
      <c r="J4215" s="35">
        <v>-2.9748641637188659E-4</v>
      </c>
      <c r="K4215" s="35">
        <v>3.5430696250563019</v>
      </c>
      <c r="L4215" s="35">
        <v>6.2432310354902834</v>
      </c>
      <c r="M4215" s="58" t="s">
        <v>22</v>
      </c>
      <c r="N4215" s="7">
        <v>11.333333333333334</v>
      </c>
      <c r="O4215" s="7" t="s">
        <v>180</v>
      </c>
      <c r="P4215" s="7" t="s">
        <v>180</v>
      </c>
    </row>
    <row r="4216" spans="1:16" x14ac:dyDescent="0.25">
      <c r="A4216" t="s">
        <v>183</v>
      </c>
      <c r="B4216" t="s">
        <v>216</v>
      </c>
      <c r="C4216" s="7" t="s">
        <v>161</v>
      </c>
      <c r="D4216" t="s">
        <v>115</v>
      </c>
      <c r="F4216" s="35">
        <v>5.3</v>
      </c>
      <c r="G4216" s="35">
        <v>14.638850732593532</v>
      </c>
      <c r="H4216" s="35">
        <v>1.4700053851563724</v>
      </c>
      <c r="I4216" s="35">
        <v>1.1451716363458535</v>
      </c>
      <c r="J4216" s="35">
        <v>-2.9748641637188659E-4</v>
      </c>
      <c r="K4216" s="35">
        <v>-2.1827885566729659</v>
      </c>
      <c r="L4216" s="35">
        <v>-1.1067958902915789</v>
      </c>
      <c r="M4216" s="58" t="s">
        <v>24</v>
      </c>
      <c r="N4216" s="7">
        <v>11.333333333333334</v>
      </c>
      <c r="O4216" s="7" t="s">
        <v>180</v>
      </c>
      <c r="P4216" s="7" t="s">
        <v>180</v>
      </c>
    </row>
    <row r="4217" spans="1:16" x14ac:dyDescent="0.25">
      <c r="A4217" t="s">
        <v>183</v>
      </c>
      <c r="B4217" t="s">
        <v>216</v>
      </c>
      <c r="C4217" s="7" t="s">
        <v>161</v>
      </c>
      <c r="D4217" t="s">
        <v>115</v>
      </c>
      <c r="F4217" s="35">
        <v>5.3</v>
      </c>
      <c r="G4217" s="35">
        <v>-25.992633177682126</v>
      </c>
      <c r="H4217" s="35">
        <v>1.470029417781761</v>
      </c>
      <c r="I4217" s="35">
        <v>-0.35081331811006528</v>
      </c>
      <c r="J4217" s="35">
        <v>-3.4456413437782208E-4</v>
      </c>
      <c r="K4217" s="35">
        <v>-2.1827885566729655</v>
      </c>
      <c r="L4217" s="35">
        <v>-1.1065378767873968</v>
      </c>
      <c r="M4217" s="58" t="s">
        <v>24</v>
      </c>
      <c r="N4217" s="7">
        <v>11.333333333333334</v>
      </c>
      <c r="O4217" s="7" t="s">
        <v>180</v>
      </c>
      <c r="P4217" s="7" t="s">
        <v>180</v>
      </c>
    </row>
    <row r="4218" spans="1:16" x14ac:dyDescent="0.25">
      <c r="A4218" t="s">
        <v>183</v>
      </c>
      <c r="B4218" t="s">
        <v>216</v>
      </c>
      <c r="C4218" s="7" t="s">
        <v>161</v>
      </c>
      <c r="D4218" t="s">
        <v>115</v>
      </c>
      <c r="F4218" s="35">
        <v>5.4149169609489114</v>
      </c>
      <c r="G4218" s="35">
        <v>-25.937892161566612</v>
      </c>
      <c r="H4218" s="35">
        <v>1.470029417781761</v>
      </c>
      <c r="I4218" s="35">
        <v>-0.35081331811006528</v>
      </c>
      <c r="J4218" s="35">
        <v>-3.4456413437782208E-4</v>
      </c>
      <c r="K4218" s="35">
        <v>-2.1424741562953531</v>
      </c>
      <c r="L4218" s="35">
        <v>-1.2754691899843744</v>
      </c>
      <c r="M4218" s="58" t="s">
        <v>24</v>
      </c>
      <c r="N4218" s="7">
        <v>11.333333333333334</v>
      </c>
      <c r="O4218" s="7" t="s">
        <v>180</v>
      </c>
      <c r="P4218" s="7" t="s">
        <v>180</v>
      </c>
    </row>
    <row r="4219" spans="1:16" x14ac:dyDescent="0.25">
      <c r="A4219" t="s">
        <v>183</v>
      </c>
      <c r="B4219" t="s">
        <v>216</v>
      </c>
      <c r="C4219" s="7" t="s">
        <v>161</v>
      </c>
      <c r="D4219" t="s">
        <v>115</v>
      </c>
      <c r="F4219" s="35">
        <v>10.829833921897823</v>
      </c>
      <c r="G4219" s="35">
        <v>-23.358481305451114</v>
      </c>
      <c r="H4219" s="35">
        <v>1.470029417781761</v>
      </c>
      <c r="I4219" s="35">
        <v>-0.35081331811006528</v>
      </c>
      <c r="J4219" s="35">
        <v>-3.4456413437782208E-4</v>
      </c>
      <c r="K4219" s="35">
        <v>-0.2428491699343954</v>
      </c>
      <c r="L4219" s="35">
        <v>-9.2355564174246805</v>
      </c>
      <c r="M4219" s="58" t="s">
        <v>23</v>
      </c>
      <c r="N4219" s="7">
        <v>11.333333333333334</v>
      </c>
      <c r="O4219" s="7" t="s">
        <v>180</v>
      </c>
      <c r="P4219" s="7" t="s">
        <v>180</v>
      </c>
    </row>
    <row r="4220" spans="1:16" x14ac:dyDescent="0.25">
      <c r="A4220" t="s">
        <v>183</v>
      </c>
      <c r="B4220" t="s">
        <v>216</v>
      </c>
      <c r="C4220" s="7" t="s">
        <v>161</v>
      </c>
      <c r="D4220" t="s">
        <v>116</v>
      </c>
      <c r="F4220" s="35">
        <v>0</v>
      </c>
      <c r="G4220" s="35">
        <v>47.48352620048685</v>
      </c>
      <c r="H4220" s="35">
        <v>7.3036905842880335</v>
      </c>
      <c r="I4220" s="35">
        <v>-0.99477853238535341</v>
      </c>
      <c r="J4220" s="35">
        <v>-8.4868823681453293E-6</v>
      </c>
      <c r="K4220" s="35">
        <v>-1.0798679684085222</v>
      </c>
      <c r="L4220" s="35">
        <v>39.625154698250249</v>
      </c>
      <c r="M4220" s="58" t="s">
        <v>22</v>
      </c>
      <c r="N4220" s="7">
        <v>11.333333333333334</v>
      </c>
      <c r="O4220" s="7" t="s">
        <v>180</v>
      </c>
      <c r="P4220" s="7" t="s">
        <v>180</v>
      </c>
    </row>
    <row r="4221" spans="1:16" x14ac:dyDescent="0.25">
      <c r="A4221" t="s">
        <v>183</v>
      </c>
      <c r="B4221" t="s">
        <v>216</v>
      </c>
      <c r="C4221" s="7" t="s">
        <v>161</v>
      </c>
      <c r="D4221" t="s">
        <v>116</v>
      </c>
      <c r="F4221" s="35">
        <v>0.29999999999999988</v>
      </c>
      <c r="G4221" s="35">
        <v>47.62643204048684</v>
      </c>
      <c r="H4221" s="35">
        <v>7.3036905842880335</v>
      </c>
      <c r="I4221" s="35">
        <v>-0.99477853238535341</v>
      </c>
      <c r="J4221" s="35">
        <v>-8.4868823681453293E-6</v>
      </c>
      <c r="K4221" s="35">
        <v>-0.78143440869291636</v>
      </c>
      <c r="L4221" s="35">
        <v>37.434047522963837</v>
      </c>
      <c r="M4221" s="58" t="s">
        <v>22</v>
      </c>
      <c r="N4221" s="7">
        <v>11.333333333333334</v>
      </c>
      <c r="O4221" s="7" t="s">
        <v>180</v>
      </c>
      <c r="P4221" s="7" t="s">
        <v>180</v>
      </c>
    </row>
    <row r="4222" spans="1:16" x14ac:dyDescent="0.25">
      <c r="A4222" t="s">
        <v>183</v>
      </c>
      <c r="B4222" t="s">
        <v>216</v>
      </c>
      <c r="C4222" s="7" t="s">
        <v>161</v>
      </c>
      <c r="D4222" t="s">
        <v>116</v>
      </c>
      <c r="F4222" s="35">
        <v>0.29999999999999988</v>
      </c>
      <c r="G4222" s="35">
        <v>36.115082282281023</v>
      </c>
      <c r="H4222" s="35">
        <v>7.3036905842880593</v>
      </c>
      <c r="I4222" s="35">
        <v>-0.2571233008622747</v>
      </c>
      <c r="J4222" s="35">
        <v>1.3978334043240941E-4</v>
      </c>
      <c r="K4222" s="35">
        <v>-0.78143440869291481</v>
      </c>
      <c r="L4222" s="35">
        <v>37.434038626750457</v>
      </c>
      <c r="M4222" s="58" t="s">
        <v>22</v>
      </c>
      <c r="N4222" s="7">
        <v>11.333333333333334</v>
      </c>
      <c r="O4222" s="7" t="s">
        <v>180</v>
      </c>
      <c r="P4222" s="7" t="s">
        <v>180</v>
      </c>
    </row>
    <row r="4223" spans="1:16" x14ac:dyDescent="0.25">
      <c r="A4223" t="s">
        <v>183</v>
      </c>
      <c r="B4223" t="s">
        <v>216</v>
      </c>
      <c r="C4223" s="7" t="s">
        <v>161</v>
      </c>
      <c r="D4223" t="s">
        <v>116</v>
      </c>
      <c r="F4223" s="35">
        <v>5.3</v>
      </c>
      <c r="G4223" s="35">
        <v>38.496846282281034</v>
      </c>
      <c r="H4223" s="35">
        <v>7.3036905842880593</v>
      </c>
      <c r="I4223" s="35">
        <v>-0.2571233008622747</v>
      </c>
      <c r="J4223" s="35">
        <v>1.3978334043240941E-4</v>
      </c>
      <c r="K4223" s="35">
        <v>0.5041820956184585</v>
      </c>
      <c r="L4223" s="35">
        <v>0.91558570531016936</v>
      </c>
      <c r="M4223" s="58" t="s">
        <v>24</v>
      </c>
      <c r="N4223" s="7">
        <v>11.333333333333334</v>
      </c>
      <c r="O4223" s="7" t="s">
        <v>180</v>
      </c>
      <c r="P4223" s="7" t="s">
        <v>180</v>
      </c>
    </row>
    <row r="4224" spans="1:16" x14ac:dyDescent="0.25">
      <c r="A4224" t="s">
        <v>183</v>
      </c>
      <c r="B4224" t="s">
        <v>216</v>
      </c>
      <c r="C4224" s="7" t="s">
        <v>161</v>
      </c>
      <c r="D4224" t="s">
        <v>116</v>
      </c>
      <c r="F4224" s="35">
        <v>5.3</v>
      </c>
      <c r="G4224" s="35">
        <v>51.439643140248563</v>
      </c>
      <c r="H4224" s="35">
        <v>7.3036540195043278</v>
      </c>
      <c r="I4224" s="35">
        <v>9.4930854678402524E-2</v>
      </c>
      <c r="J4224" s="35">
        <v>-3.5395541046033865E-5</v>
      </c>
      <c r="K4224" s="35">
        <v>0.50418209561845828</v>
      </c>
      <c r="L4224" s="35">
        <v>0.91576818486428424</v>
      </c>
      <c r="M4224" s="58" t="s">
        <v>24</v>
      </c>
      <c r="N4224" s="7">
        <v>11.333333333333334</v>
      </c>
      <c r="O4224" s="7" t="s">
        <v>180</v>
      </c>
      <c r="P4224" s="7" t="s">
        <v>180</v>
      </c>
    </row>
    <row r="4225" spans="1:16" x14ac:dyDescent="0.25">
      <c r="A4225" t="s">
        <v>183</v>
      </c>
      <c r="B4225" t="s">
        <v>216</v>
      </c>
      <c r="C4225" s="7" t="s">
        <v>161</v>
      </c>
      <c r="D4225" t="s">
        <v>116</v>
      </c>
      <c r="F4225" s="35">
        <v>5.4149169609489114</v>
      </c>
      <c r="G4225" s="35">
        <v>51.494384156364077</v>
      </c>
      <c r="H4225" s="35">
        <v>7.3036540195043278</v>
      </c>
      <c r="I4225" s="35">
        <v>9.4930854678402524E-2</v>
      </c>
      <c r="J4225" s="35">
        <v>-3.5395541046033865E-5</v>
      </c>
      <c r="K4225" s="35">
        <v>0.49327293029853359</v>
      </c>
      <c r="L4225" s="35">
        <v>7.6454461120544909E-2</v>
      </c>
      <c r="M4225" s="58" t="s">
        <v>24</v>
      </c>
      <c r="N4225" s="7">
        <v>11.333333333333334</v>
      </c>
      <c r="O4225" s="7" t="s">
        <v>180</v>
      </c>
      <c r="P4225" s="7" t="s">
        <v>180</v>
      </c>
    </row>
    <row r="4226" spans="1:16" x14ac:dyDescent="0.25">
      <c r="A4226" t="s">
        <v>183</v>
      </c>
      <c r="B4226" t="s">
        <v>216</v>
      </c>
      <c r="C4226" s="7" t="s">
        <v>161</v>
      </c>
      <c r="D4226" t="s">
        <v>116</v>
      </c>
      <c r="F4226" s="35">
        <v>10.829833921897823</v>
      </c>
      <c r="G4226" s="35">
        <v>54.073795012479579</v>
      </c>
      <c r="H4226" s="35">
        <v>7.3036540195043278</v>
      </c>
      <c r="I4226" s="35">
        <v>9.4930854678402524E-2</v>
      </c>
      <c r="J4226" s="35">
        <v>-3.5395541046033865E-5</v>
      </c>
      <c r="K4226" s="35">
        <v>-2.0769764816924437E-2</v>
      </c>
      <c r="L4226" s="35">
        <v>-39.472225565996112</v>
      </c>
      <c r="M4226" s="58" t="s">
        <v>23</v>
      </c>
      <c r="N4226" s="7">
        <v>11.333333333333334</v>
      </c>
      <c r="O4226" s="7" t="s">
        <v>180</v>
      </c>
      <c r="P4226" s="7" t="s">
        <v>180</v>
      </c>
    </row>
    <row r="4227" spans="1:16" x14ac:dyDescent="0.25">
      <c r="A4227" t="s">
        <v>183</v>
      </c>
      <c r="B4227" t="s">
        <v>216</v>
      </c>
      <c r="C4227" s="7" t="s">
        <v>161</v>
      </c>
      <c r="D4227" t="s">
        <v>117</v>
      </c>
      <c r="F4227" s="35">
        <v>0</v>
      </c>
      <c r="G4227" s="35">
        <v>-60.12386409069007</v>
      </c>
      <c r="H4227" s="35">
        <v>18.175811762740913</v>
      </c>
      <c r="I4227" s="35">
        <v>0.44975459397531886</v>
      </c>
      <c r="J4227" s="35">
        <v>-2.8452830863081403E-4</v>
      </c>
      <c r="K4227" s="35">
        <v>-0.25870523430482983</v>
      </c>
      <c r="L4227" s="35">
        <v>102.08057201318586</v>
      </c>
      <c r="M4227" s="58" t="s">
        <v>22</v>
      </c>
      <c r="N4227" s="7">
        <v>11.333333333333334</v>
      </c>
      <c r="O4227" s="7" t="s">
        <v>180</v>
      </c>
      <c r="P4227" s="7" t="s">
        <v>180</v>
      </c>
    </row>
    <row r="4228" spans="1:16" x14ac:dyDescent="0.25">
      <c r="A4228" t="s">
        <v>183</v>
      </c>
      <c r="B4228" t="s">
        <v>216</v>
      </c>
      <c r="C4228" s="7" t="s">
        <v>161</v>
      </c>
      <c r="D4228" t="s">
        <v>117</v>
      </c>
      <c r="F4228" s="35">
        <v>0.29999999999999988</v>
      </c>
      <c r="G4228" s="35">
        <v>-59.98095825069008</v>
      </c>
      <c r="H4228" s="35">
        <v>18.175811762740913</v>
      </c>
      <c r="I4228" s="35">
        <v>0.44975459397531886</v>
      </c>
      <c r="J4228" s="35">
        <v>-2.8452830863081403E-4</v>
      </c>
      <c r="K4228" s="35">
        <v>-0.39363161249742545</v>
      </c>
      <c r="L4228" s="35">
        <v>96.62782848436359</v>
      </c>
      <c r="M4228" s="58" t="s">
        <v>22</v>
      </c>
      <c r="N4228" s="7">
        <v>11.333333333333334</v>
      </c>
      <c r="O4228" s="7" t="s">
        <v>180</v>
      </c>
      <c r="P4228" s="7" t="s">
        <v>180</v>
      </c>
    </row>
    <row r="4229" spans="1:16" x14ac:dyDescent="0.25">
      <c r="A4229" t="s">
        <v>183</v>
      </c>
      <c r="B4229" t="s">
        <v>216</v>
      </c>
      <c r="C4229" s="7" t="s">
        <v>161</v>
      </c>
      <c r="D4229" t="s">
        <v>117</v>
      </c>
      <c r="F4229" s="35">
        <v>0.29999999999999988</v>
      </c>
      <c r="G4229" s="35">
        <v>-49.543359717669908</v>
      </c>
      <c r="H4229" s="35">
        <v>18.175811762740942</v>
      </c>
      <c r="I4229" s="35">
        <v>-0.12952707197512556</v>
      </c>
      <c r="J4229" s="35">
        <v>2.1871076225333139E-4</v>
      </c>
      <c r="K4229" s="35">
        <v>-0.39363161249742606</v>
      </c>
      <c r="L4229" s="35">
        <v>96.6277982900193</v>
      </c>
      <c r="M4229" s="58" t="s">
        <v>22</v>
      </c>
      <c r="N4229" s="7">
        <v>11.333333333333334</v>
      </c>
      <c r="O4229" s="7" t="s">
        <v>180</v>
      </c>
      <c r="P4229" s="7" t="s">
        <v>180</v>
      </c>
    </row>
    <row r="4230" spans="1:16" x14ac:dyDescent="0.25">
      <c r="A4230" t="s">
        <v>183</v>
      </c>
      <c r="B4230" t="s">
        <v>216</v>
      </c>
      <c r="C4230" s="7" t="s">
        <v>161</v>
      </c>
      <c r="D4230" t="s">
        <v>117</v>
      </c>
      <c r="F4230" s="35">
        <v>5.3</v>
      </c>
      <c r="G4230" s="35">
        <v>-47.161595717669897</v>
      </c>
      <c r="H4230" s="35">
        <v>18.175811762740942</v>
      </c>
      <c r="I4230" s="35">
        <v>-0.12952707197512556</v>
      </c>
      <c r="J4230" s="35">
        <v>2.1871076225333139E-4</v>
      </c>
      <c r="K4230" s="35">
        <v>0.25400374737820175</v>
      </c>
      <c r="L4230" s="35">
        <v>5.7487394763145865</v>
      </c>
      <c r="M4230" s="58" t="s">
        <v>24</v>
      </c>
      <c r="N4230" s="7">
        <v>11.333333333333334</v>
      </c>
      <c r="O4230" s="7" t="s">
        <v>180</v>
      </c>
      <c r="P4230" s="7" t="s">
        <v>180</v>
      </c>
    </row>
    <row r="4231" spans="1:16" x14ac:dyDescent="0.25">
      <c r="A4231" t="s">
        <v>183</v>
      </c>
      <c r="B4231" t="s">
        <v>216</v>
      </c>
      <c r="C4231" s="7" t="s">
        <v>161</v>
      </c>
      <c r="D4231" t="s">
        <v>117</v>
      </c>
      <c r="F4231" s="35">
        <v>5.3</v>
      </c>
      <c r="G4231" s="35">
        <v>-54.31582646900857</v>
      </c>
      <c r="H4231" s="35">
        <v>18.175743455594674</v>
      </c>
      <c r="I4231" s="35">
        <v>5.3361686215491713E-2</v>
      </c>
      <c r="J4231" s="35">
        <v>-1.7138559576279874E-4</v>
      </c>
      <c r="K4231" s="35">
        <v>0.25400374737820181</v>
      </c>
      <c r="L4231" s="35">
        <v>5.749278422392476</v>
      </c>
      <c r="M4231" s="58" t="s">
        <v>24</v>
      </c>
      <c r="N4231" s="7">
        <v>11.333333333333334</v>
      </c>
      <c r="O4231" s="7" t="s">
        <v>180</v>
      </c>
      <c r="P4231" s="7" t="s">
        <v>180</v>
      </c>
    </row>
    <row r="4232" spans="1:16" x14ac:dyDescent="0.25">
      <c r="A4232" t="s">
        <v>183</v>
      </c>
      <c r="B4232" t="s">
        <v>216</v>
      </c>
      <c r="C4232" s="7" t="s">
        <v>161</v>
      </c>
      <c r="D4232" t="s">
        <v>117</v>
      </c>
      <c r="F4232" s="35">
        <v>5.4149169609489114</v>
      </c>
      <c r="G4232" s="35">
        <v>-54.261085452893056</v>
      </c>
      <c r="H4232" s="35">
        <v>18.175743455594674</v>
      </c>
      <c r="I4232" s="35">
        <v>5.3361686215491713E-2</v>
      </c>
      <c r="J4232" s="35">
        <v>-1.7138559576279874E-4</v>
      </c>
      <c r="K4232" s="35">
        <v>0.24787158456720809</v>
      </c>
      <c r="L4232" s="35">
        <v>3.6605772214884693</v>
      </c>
      <c r="M4232" s="58" t="s">
        <v>24</v>
      </c>
      <c r="N4232" s="7">
        <v>11.333333333333334</v>
      </c>
      <c r="O4232" s="7" t="s">
        <v>180</v>
      </c>
      <c r="P4232" s="7" t="s">
        <v>180</v>
      </c>
    </row>
    <row r="4233" spans="1:16" x14ac:dyDescent="0.25">
      <c r="A4233" t="s">
        <v>183</v>
      </c>
      <c r="B4233" t="s">
        <v>216</v>
      </c>
      <c r="C4233" s="7" t="s">
        <v>161</v>
      </c>
      <c r="D4233" t="s">
        <v>117</v>
      </c>
      <c r="F4233" s="35">
        <v>10.829833921897823</v>
      </c>
      <c r="G4233" s="35">
        <v>-51.681674596777555</v>
      </c>
      <c r="H4233" s="35">
        <v>18.175743455594674</v>
      </c>
      <c r="I4233" s="35">
        <v>5.3361686215491713E-2</v>
      </c>
      <c r="J4233" s="35">
        <v>-1.7138559576279874E-4</v>
      </c>
      <c r="K4233" s="35">
        <v>-4.1077515185891596E-2</v>
      </c>
      <c r="L4233" s="35">
        <v>-94.759564294067275</v>
      </c>
      <c r="M4233" s="58" t="s">
        <v>23</v>
      </c>
      <c r="N4233" s="7">
        <v>11.333333333333334</v>
      </c>
      <c r="O4233" s="7" t="s">
        <v>180</v>
      </c>
      <c r="P4233" s="7" t="s">
        <v>180</v>
      </c>
    </row>
    <row r="4234" spans="1:16" x14ac:dyDescent="0.25">
      <c r="A4234" t="s">
        <v>183</v>
      </c>
      <c r="B4234" t="s">
        <v>216</v>
      </c>
      <c r="C4234" s="7" t="s">
        <v>161</v>
      </c>
      <c r="D4234" t="s">
        <v>118</v>
      </c>
      <c r="F4234" s="35">
        <v>0</v>
      </c>
      <c r="G4234" s="35">
        <v>45.793595083826226</v>
      </c>
      <c r="H4234" s="35">
        <v>-1.65785899534868</v>
      </c>
      <c r="I4234" s="35">
        <v>-0.99624902070207899</v>
      </c>
      <c r="J4234" s="35">
        <v>2.6942680678796902E-4</v>
      </c>
      <c r="K4234" s="35">
        <v>-1.0988320618138501</v>
      </c>
      <c r="L4234" s="35">
        <v>-20.301609162818608</v>
      </c>
      <c r="M4234" s="58" t="s">
        <v>22</v>
      </c>
      <c r="N4234" s="7">
        <v>11.333333333333334</v>
      </c>
      <c r="O4234" s="7" t="s">
        <v>180</v>
      </c>
      <c r="P4234" s="7" t="s">
        <v>180</v>
      </c>
    </row>
    <row r="4235" spans="1:16" x14ac:dyDescent="0.25">
      <c r="A4235" t="s">
        <v>183</v>
      </c>
      <c r="B4235" t="s">
        <v>216</v>
      </c>
      <c r="C4235" s="7" t="s">
        <v>161</v>
      </c>
      <c r="D4235" t="s">
        <v>118</v>
      </c>
      <c r="F4235" s="35">
        <v>0.29999999999999988</v>
      </c>
      <c r="G4235" s="35">
        <v>45.936500923826216</v>
      </c>
      <c r="H4235" s="35">
        <v>-1.65785899534868</v>
      </c>
      <c r="I4235" s="35">
        <v>-0.99624902070207899</v>
      </c>
      <c r="J4235" s="35">
        <v>2.6942680678796902E-4</v>
      </c>
      <c r="K4235" s="35">
        <v>-0.79995735560322656</v>
      </c>
      <c r="L4235" s="35">
        <v>-19.804251464214008</v>
      </c>
      <c r="M4235" s="58" t="s">
        <v>22</v>
      </c>
      <c r="N4235" s="7">
        <v>11.333333333333334</v>
      </c>
      <c r="O4235" s="7" t="s">
        <v>180</v>
      </c>
      <c r="P4235" s="7" t="s">
        <v>180</v>
      </c>
    </row>
    <row r="4236" spans="1:16" x14ac:dyDescent="0.25">
      <c r="A4236" t="s">
        <v>183</v>
      </c>
      <c r="B4236" t="s">
        <v>216</v>
      </c>
      <c r="C4236" s="7" t="s">
        <v>161</v>
      </c>
      <c r="D4236" t="s">
        <v>118</v>
      </c>
      <c r="F4236" s="35">
        <v>0.29999999999999988</v>
      </c>
      <c r="G4236" s="35">
        <v>34.500252710471663</v>
      </c>
      <c r="H4236" s="35">
        <v>-1.657858995348676</v>
      </c>
      <c r="I4236" s="35">
        <v>-0.26309988187007588</v>
      </c>
      <c r="J4236" s="35">
        <v>7.7916874687902353E-5</v>
      </c>
      <c r="K4236" s="35">
        <v>-0.79995735560322778</v>
      </c>
      <c r="L4236" s="35">
        <v>-19.804239973618085</v>
      </c>
      <c r="M4236" s="58" t="s">
        <v>22</v>
      </c>
      <c r="N4236" s="7">
        <v>11.333333333333334</v>
      </c>
      <c r="O4236" s="7" t="s">
        <v>180</v>
      </c>
      <c r="P4236" s="7" t="s">
        <v>180</v>
      </c>
    </row>
    <row r="4237" spans="1:16" x14ac:dyDescent="0.25">
      <c r="A4237" t="s">
        <v>183</v>
      </c>
      <c r="B4237" t="s">
        <v>216</v>
      </c>
      <c r="C4237" s="7" t="s">
        <v>161</v>
      </c>
      <c r="D4237" t="s">
        <v>118</v>
      </c>
      <c r="F4237" s="35">
        <v>5.3</v>
      </c>
      <c r="G4237" s="35">
        <v>36.882016710471675</v>
      </c>
      <c r="H4237" s="35">
        <v>-1.657858995348676</v>
      </c>
      <c r="I4237" s="35">
        <v>-0.26309988187007588</v>
      </c>
      <c r="J4237" s="35">
        <v>7.7916874687902353E-5</v>
      </c>
      <c r="K4237" s="35">
        <v>0.51554205374715156</v>
      </c>
      <c r="L4237" s="35">
        <v>-11.514944996874704</v>
      </c>
      <c r="M4237" s="58" t="s">
        <v>24</v>
      </c>
      <c r="N4237" s="7">
        <v>11.333333333333334</v>
      </c>
      <c r="O4237" s="7" t="s">
        <v>180</v>
      </c>
      <c r="P4237" s="7" t="s">
        <v>180</v>
      </c>
    </row>
    <row r="4238" spans="1:16" x14ac:dyDescent="0.25">
      <c r="A4238" t="s">
        <v>183</v>
      </c>
      <c r="B4238" t="s">
        <v>216</v>
      </c>
      <c r="C4238" s="7" t="s">
        <v>161</v>
      </c>
      <c r="D4238" t="s">
        <v>118</v>
      </c>
      <c r="F4238" s="35">
        <v>5.3</v>
      </c>
      <c r="G4238" s="35">
        <v>49.736021169619391</v>
      </c>
      <c r="H4238" s="35">
        <v>-1.6578624092594472</v>
      </c>
      <c r="I4238" s="35">
        <v>9.6816552728826347E-2</v>
      </c>
      <c r="J4238" s="35">
        <v>-9.9094878092872821E-6</v>
      </c>
      <c r="K4238" s="35">
        <v>0.51554205374715101</v>
      </c>
      <c r="L4238" s="35">
        <v>-11.514893252675222</v>
      </c>
      <c r="M4238" s="58" t="s">
        <v>24</v>
      </c>
      <c r="N4238" s="7">
        <v>11.333333333333334</v>
      </c>
      <c r="O4238" s="7" t="s">
        <v>180</v>
      </c>
      <c r="P4238" s="7" t="s">
        <v>180</v>
      </c>
    </row>
    <row r="4239" spans="1:16" x14ac:dyDescent="0.25">
      <c r="A4239" t="s">
        <v>183</v>
      </c>
      <c r="B4239" t="s">
        <v>216</v>
      </c>
      <c r="C4239" s="7" t="s">
        <v>161</v>
      </c>
      <c r="D4239" t="s">
        <v>118</v>
      </c>
      <c r="F4239" s="35">
        <v>5.4149169609489114</v>
      </c>
      <c r="G4239" s="35">
        <v>49.790762185734906</v>
      </c>
      <c r="H4239" s="35">
        <v>-1.6578624092594472</v>
      </c>
      <c r="I4239" s="35">
        <v>9.6816552728826347E-2</v>
      </c>
      <c r="J4239" s="35">
        <v>-9.9094878092872821E-6</v>
      </c>
      <c r="K4239" s="35">
        <v>0.50441618973800417</v>
      </c>
      <c r="L4239" s="35">
        <v>-11.324376742931683</v>
      </c>
      <c r="M4239" s="58" t="s">
        <v>24</v>
      </c>
      <c r="N4239" s="7">
        <v>11.333333333333334</v>
      </c>
      <c r="O4239" s="7" t="s">
        <v>180</v>
      </c>
      <c r="P4239" s="7" t="s">
        <v>180</v>
      </c>
    </row>
    <row r="4240" spans="1:16" x14ac:dyDescent="0.25">
      <c r="A4240" t="s">
        <v>183</v>
      </c>
      <c r="B4240" t="s">
        <v>216</v>
      </c>
      <c r="C4240" s="7" t="s">
        <v>161</v>
      </c>
      <c r="D4240" t="s">
        <v>118</v>
      </c>
      <c r="F4240" s="35">
        <v>10.829833921897823</v>
      </c>
      <c r="G4240" s="35">
        <v>52.370173041850407</v>
      </c>
      <c r="H4240" s="35">
        <v>-1.6578624092594472</v>
      </c>
      <c r="I4240" s="35">
        <v>9.6816552728826347E-2</v>
      </c>
      <c r="J4240" s="35">
        <v>-9.9094878092872821E-6</v>
      </c>
      <c r="K4240" s="35">
        <v>-1.9837403733922034E-2</v>
      </c>
      <c r="L4240" s="35">
        <v>-2.3471894641130784</v>
      </c>
      <c r="M4240" s="58" t="s">
        <v>23</v>
      </c>
      <c r="N4240" s="7">
        <v>11.333333333333334</v>
      </c>
      <c r="O4240" s="7" t="s">
        <v>180</v>
      </c>
      <c r="P4240" s="7" t="s">
        <v>180</v>
      </c>
    </row>
    <row r="4241" spans="1:16" x14ac:dyDescent="0.25">
      <c r="A4241" t="s">
        <v>183</v>
      </c>
      <c r="B4241" t="s">
        <v>216</v>
      </c>
      <c r="C4241" s="7" t="s">
        <v>161</v>
      </c>
      <c r="D4241" t="s">
        <v>119</v>
      </c>
      <c r="F4241" s="35">
        <v>0</v>
      </c>
      <c r="G4241" s="35">
        <v>-146.95264694196644</v>
      </c>
      <c r="H4241" s="35">
        <v>-13.696824781792902</v>
      </c>
      <c r="I4241" s="35">
        <v>1.270803083376052</v>
      </c>
      <c r="J4241" s="35">
        <v>2.30664374432675E-4</v>
      </c>
      <c r="K4241" s="35">
        <v>-4.6168939310512087E-2</v>
      </c>
      <c r="L4241" s="35">
        <v>-78.231447286018238</v>
      </c>
      <c r="M4241" s="58" t="s">
        <v>22</v>
      </c>
      <c r="N4241" s="7">
        <v>11.333333333333334</v>
      </c>
      <c r="O4241" s="7" t="s">
        <v>180</v>
      </c>
      <c r="P4241" s="7" t="s">
        <v>180</v>
      </c>
    </row>
    <row r="4242" spans="1:16" x14ac:dyDescent="0.25">
      <c r="A4242" t="s">
        <v>183</v>
      </c>
      <c r="B4242" t="s">
        <v>216</v>
      </c>
      <c r="C4242" s="7" t="s">
        <v>161</v>
      </c>
      <c r="D4242" t="s">
        <v>119</v>
      </c>
      <c r="F4242" s="35">
        <v>0.29999999999999988</v>
      </c>
      <c r="G4242" s="35">
        <v>-146.80974110196644</v>
      </c>
      <c r="H4242" s="35">
        <v>-13.696824781792902</v>
      </c>
      <c r="I4242" s="35">
        <v>1.270803083376052</v>
      </c>
      <c r="J4242" s="35">
        <v>2.30664374432675E-4</v>
      </c>
      <c r="K4242" s="35">
        <v>-0.4274098643233275</v>
      </c>
      <c r="L4242" s="35">
        <v>-74.122399851480367</v>
      </c>
      <c r="M4242" s="58" t="s">
        <v>22</v>
      </c>
      <c r="N4242" s="7">
        <v>11.333333333333334</v>
      </c>
      <c r="O4242" s="7" t="s">
        <v>180</v>
      </c>
      <c r="P4242" s="7" t="s">
        <v>180</v>
      </c>
    </row>
    <row r="4243" spans="1:16" x14ac:dyDescent="0.25">
      <c r="A4243" t="s">
        <v>183</v>
      </c>
      <c r="B4243" t="s">
        <v>216</v>
      </c>
      <c r="C4243" s="7" t="s">
        <v>161</v>
      </c>
      <c r="D4243" t="s">
        <v>119</v>
      </c>
      <c r="F4243" s="35">
        <v>0.29999999999999988</v>
      </c>
      <c r="G4243" s="35">
        <v>-122.53147845216574</v>
      </c>
      <c r="H4243" s="35">
        <v>-13.696824781792929</v>
      </c>
      <c r="I4243" s="35">
        <v>-0.13891842958120273</v>
      </c>
      <c r="J4243" s="35">
        <v>-1.6823501460735434E-4</v>
      </c>
      <c r="K4243" s="35">
        <v>-0.42740986432332717</v>
      </c>
      <c r="L4243" s="35">
        <v>-74.122375917517047</v>
      </c>
      <c r="M4243" s="58" t="s">
        <v>22</v>
      </c>
      <c r="N4243" s="7">
        <v>11.333333333333334</v>
      </c>
      <c r="O4243" s="7" t="s">
        <v>180</v>
      </c>
      <c r="P4243" s="7" t="s">
        <v>180</v>
      </c>
    </row>
    <row r="4244" spans="1:16" x14ac:dyDescent="0.25">
      <c r="A4244" t="s">
        <v>183</v>
      </c>
      <c r="B4244" t="s">
        <v>216</v>
      </c>
      <c r="C4244" s="7" t="s">
        <v>161</v>
      </c>
      <c r="D4244" t="s">
        <v>119</v>
      </c>
      <c r="F4244" s="35">
        <v>5.3</v>
      </c>
      <c r="G4244" s="35">
        <v>-120.14971445216574</v>
      </c>
      <c r="H4244" s="35">
        <v>-13.696824781792929</v>
      </c>
      <c r="I4244" s="35">
        <v>-0.13891842958120273</v>
      </c>
      <c r="J4244" s="35">
        <v>-1.6823501460735434E-4</v>
      </c>
      <c r="K4244" s="35">
        <v>0.26718228358268642</v>
      </c>
      <c r="L4244" s="35">
        <v>-5.6382520085523993</v>
      </c>
      <c r="M4244" s="58" t="s">
        <v>24</v>
      </c>
      <c r="N4244" s="7">
        <v>11.333333333333334</v>
      </c>
      <c r="O4244" s="7" t="s">
        <v>180</v>
      </c>
      <c r="P4244" s="7" t="s">
        <v>180</v>
      </c>
    </row>
    <row r="4245" spans="1:16" x14ac:dyDescent="0.25">
      <c r="A4245" t="s">
        <v>183</v>
      </c>
      <c r="B4245" t="s">
        <v>216</v>
      </c>
      <c r="C4245" s="7" t="s">
        <v>161</v>
      </c>
      <c r="D4245" t="s">
        <v>119</v>
      </c>
      <c r="F4245" s="35">
        <v>5.3</v>
      </c>
      <c r="G4245" s="35">
        <v>-140.20143619943326</v>
      </c>
      <c r="H4245" s="35">
        <v>-13.69677451347833</v>
      </c>
      <c r="I4245" s="35">
        <v>5.5569818072310373E-2</v>
      </c>
      <c r="J4245" s="35">
        <v>1.0957289975740025E-4</v>
      </c>
      <c r="K4245" s="35">
        <v>0.26718228358268675</v>
      </c>
      <c r="L4245" s="35">
        <v>-5.6386473844401133</v>
      </c>
      <c r="M4245" s="58" t="s">
        <v>24</v>
      </c>
      <c r="N4245" s="7">
        <v>11.333333333333334</v>
      </c>
      <c r="O4245" s="7" t="s">
        <v>180</v>
      </c>
      <c r="P4245" s="7" t="s">
        <v>180</v>
      </c>
    </row>
    <row r="4246" spans="1:16" x14ac:dyDescent="0.25">
      <c r="A4246" t="s">
        <v>183</v>
      </c>
      <c r="B4246" t="s">
        <v>216</v>
      </c>
      <c r="C4246" s="7" t="s">
        <v>161</v>
      </c>
      <c r="D4246" t="s">
        <v>119</v>
      </c>
      <c r="F4246" s="35">
        <v>5.4149169609489114</v>
      </c>
      <c r="G4246" s="35">
        <v>-140.14669518331777</v>
      </c>
      <c r="H4246" s="35">
        <v>-13.69677451347833</v>
      </c>
      <c r="I4246" s="35">
        <v>5.5569818072310373E-2</v>
      </c>
      <c r="J4246" s="35">
        <v>1.0957289975740025E-4</v>
      </c>
      <c r="K4246" s="35">
        <v>0.26079636896933289</v>
      </c>
      <c r="L4246" s="35">
        <v>-4.0646556825486782</v>
      </c>
      <c r="M4246" s="58" t="s">
        <v>24</v>
      </c>
      <c r="N4246" s="7">
        <v>11.333333333333334</v>
      </c>
      <c r="O4246" s="7" t="s">
        <v>180</v>
      </c>
      <c r="P4246" s="7" t="s">
        <v>180</v>
      </c>
    </row>
    <row r="4247" spans="1:16" x14ac:dyDescent="0.25">
      <c r="A4247" t="s">
        <v>183</v>
      </c>
      <c r="B4247" t="s">
        <v>216</v>
      </c>
      <c r="C4247" s="7" t="s">
        <v>161</v>
      </c>
      <c r="D4247" t="s">
        <v>119</v>
      </c>
      <c r="F4247" s="35">
        <v>10.829833921897823</v>
      </c>
      <c r="G4247" s="35">
        <v>-137.56728432720229</v>
      </c>
      <c r="H4247" s="35">
        <v>-13.69677451347833</v>
      </c>
      <c r="I4247" s="35">
        <v>5.5569818072310373E-2</v>
      </c>
      <c r="J4247" s="35">
        <v>1.0957289975740025E-4</v>
      </c>
      <c r="K4247" s="35">
        <v>-4.0109581427265742E-2</v>
      </c>
      <c r="L4247" s="35">
        <v>70.102240940777875</v>
      </c>
      <c r="M4247" s="58" t="s">
        <v>23</v>
      </c>
      <c r="N4247" s="7">
        <v>11.333333333333334</v>
      </c>
      <c r="O4247" s="7" t="s">
        <v>180</v>
      </c>
      <c r="P4247" s="7" t="s">
        <v>180</v>
      </c>
    </row>
    <row r="4248" spans="1:16" x14ac:dyDescent="0.25">
      <c r="A4248" t="s">
        <v>183</v>
      </c>
      <c r="B4248" t="s">
        <v>216</v>
      </c>
      <c r="C4248" s="7" t="s">
        <v>161</v>
      </c>
      <c r="D4248" t="s">
        <v>120</v>
      </c>
      <c r="F4248" s="35">
        <v>0</v>
      </c>
      <c r="G4248" s="35">
        <v>76.474240701954628</v>
      </c>
      <c r="H4248" s="35">
        <v>4.138649699215498</v>
      </c>
      <c r="I4248" s="35">
        <v>-4.0800324752308343</v>
      </c>
      <c r="J4248" s="35">
        <v>5.3147644726661883E-4</v>
      </c>
      <c r="K4248" s="35">
        <v>-4.8689219571457159</v>
      </c>
      <c r="L4248" s="35">
        <v>14.400186266391339</v>
      </c>
      <c r="M4248" s="58" t="s">
        <v>22</v>
      </c>
      <c r="N4248" s="7">
        <v>11.333333333333334</v>
      </c>
      <c r="O4248" s="7" t="s">
        <v>180</v>
      </c>
      <c r="P4248" s="7" t="s">
        <v>180</v>
      </c>
    </row>
    <row r="4249" spans="1:16" x14ac:dyDescent="0.25">
      <c r="A4249" t="s">
        <v>183</v>
      </c>
      <c r="B4249" t="s">
        <v>216</v>
      </c>
      <c r="C4249" s="7" t="s">
        <v>161</v>
      </c>
      <c r="D4249" t="s">
        <v>120</v>
      </c>
      <c r="F4249" s="35">
        <v>0.29999999999999988</v>
      </c>
      <c r="G4249" s="35">
        <v>76.617146541954611</v>
      </c>
      <c r="H4249" s="35">
        <v>4.138649699215498</v>
      </c>
      <c r="I4249" s="35">
        <v>-4.0800324752308343</v>
      </c>
      <c r="J4249" s="35">
        <v>5.3147644726661883E-4</v>
      </c>
      <c r="K4249" s="35">
        <v>-3.6449122145764665</v>
      </c>
      <c r="L4249" s="35">
        <v>13.15859135662669</v>
      </c>
      <c r="M4249" s="58" t="s">
        <v>22</v>
      </c>
      <c r="N4249" s="7">
        <v>11.333333333333334</v>
      </c>
      <c r="O4249" s="7" t="s">
        <v>180</v>
      </c>
      <c r="P4249" s="7" t="s">
        <v>180</v>
      </c>
    </row>
    <row r="4250" spans="1:16" x14ac:dyDescent="0.25">
      <c r="A4250" t="s">
        <v>183</v>
      </c>
      <c r="B4250" t="s">
        <v>216</v>
      </c>
      <c r="C4250" s="7" t="s">
        <v>161</v>
      </c>
      <c r="D4250" t="s">
        <v>120</v>
      </c>
      <c r="F4250" s="35">
        <v>0.29999999999999988</v>
      </c>
      <c r="G4250" s="35">
        <v>29.108300400058937</v>
      </c>
      <c r="H4250" s="35">
        <v>4.1386496992154918</v>
      </c>
      <c r="I4250" s="35">
        <v>-1.1825274606864102</v>
      </c>
      <c r="J4250" s="35">
        <v>4.2708052117755471E-4</v>
      </c>
      <c r="K4250" s="35">
        <v>-3.6449122145764701</v>
      </c>
      <c r="L4250" s="35">
        <v>13.158597620382261</v>
      </c>
      <c r="M4250" s="58" t="s">
        <v>22</v>
      </c>
      <c r="N4250" s="7">
        <v>11.333333333333334</v>
      </c>
      <c r="O4250" s="7" t="s">
        <v>180</v>
      </c>
      <c r="P4250" s="7" t="s">
        <v>180</v>
      </c>
    </row>
    <row r="4251" spans="1:16" x14ac:dyDescent="0.25">
      <c r="A4251" t="s">
        <v>183</v>
      </c>
      <c r="B4251" t="s">
        <v>216</v>
      </c>
      <c r="C4251" s="7" t="s">
        <v>161</v>
      </c>
      <c r="D4251" t="s">
        <v>120</v>
      </c>
      <c r="F4251" s="35">
        <v>5.3</v>
      </c>
      <c r="G4251" s="35">
        <v>31.49006440005893</v>
      </c>
      <c r="H4251" s="35">
        <v>4.1386496992154918</v>
      </c>
      <c r="I4251" s="35">
        <v>-1.1825274606864102</v>
      </c>
      <c r="J4251" s="35">
        <v>4.2708052117755471E-4</v>
      </c>
      <c r="K4251" s="35">
        <v>2.2677250888555807</v>
      </c>
      <c r="L4251" s="35">
        <v>-7.5346508756952009</v>
      </c>
      <c r="M4251" s="58" t="s">
        <v>24</v>
      </c>
      <c r="N4251" s="7">
        <v>11.333333333333334</v>
      </c>
      <c r="O4251" s="7" t="s">
        <v>180</v>
      </c>
      <c r="P4251" s="7" t="s">
        <v>180</v>
      </c>
    </row>
    <row r="4252" spans="1:16" x14ac:dyDescent="0.25">
      <c r="A4252" t="s">
        <v>183</v>
      </c>
      <c r="B4252" t="s">
        <v>216</v>
      </c>
      <c r="C4252" s="7" t="s">
        <v>161</v>
      </c>
      <c r="D4252" t="s">
        <v>120</v>
      </c>
      <c r="F4252" s="35">
        <v>5.3</v>
      </c>
      <c r="G4252" s="35">
        <v>75.347212996922565</v>
      </c>
      <c r="H4252" s="35">
        <v>4.1386037060456493</v>
      </c>
      <c r="I4252" s="35">
        <v>0.38740550331931484</v>
      </c>
      <c r="J4252" s="35">
        <v>2.406821217930282E-4</v>
      </c>
      <c r="K4252" s="35">
        <v>2.267725088855582</v>
      </c>
      <c r="L4252" s="35">
        <v>-7.5345988881951946</v>
      </c>
      <c r="M4252" s="58" t="s">
        <v>24</v>
      </c>
      <c r="N4252" s="7">
        <v>11.333333333333334</v>
      </c>
      <c r="O4252" s="7" t="s">
        <v>180</v>
      </c>
      <c r="P4252" s="7" t="s">
        <v>180</v>
      </c>
    </row>
    <row r="4253" spans="1:16" x14ac:dyDescent="0.25">
      <c r="A4253" t="s">
        <v>183</v>
      </c>
      <c r="B4253" t="s">
        <v>216</v>
      </c>
      <c r="C4253" s="7" t="s">
        <v>161</v>
      </c>
      <c r="D4253" t="s">
        <v>120</v>
      </c>
      <c r="F4253" s="35">
        <v>5.4149169609489114</v>
      </c>
      <c r="G4253" s="35">
        <v>75.401954013038065</v>
      </c>
      <c r="H4253" s="35">
        <v>4.1386037060456493</v>
      </c>
      <c r="I4253" s="35">
        <v>0.38740550331931484</v>
      </c>
      <c r="J4253" s="35">
        <v>2.406821217930282E-4</v>
      </c>
      <c r="K4253" s="35">
        <v>2.2232056257592432</v>
      </c>
      <c r="L4253" s="35">
        <v>-8.0101946486658626</v>
      </c>
      <c r="M4253" s="58" t="s">
        <v>24</v>
      </c>
      <c r="N4253" s="7">
        <v>11.333333333333334</v>
      </c>
      <c r="O4253" s="7" t="s">
        <v>180</v>
      </c>
      <c r="P4253" s="7" t="s">
        <v>180</v>
      </c>
    </row>
    <row r="4254" spans="1:16" x14ac:dyDescent="0.25">
      <c r="A4254" t="s">
        <v>183</v>
      </c>
      <c r="B4254" t="s">
        <v>216</v>
      </c>
      <c r="C4254" s="7" t="s">
        <v>161</v>
      </c>
      <c r="D4254" t="s">
        <v>120</v>
      </c>
      <c r="F4254" s="35">
        <v>10.829833921897823</v>
      </c>
      <c r="G4254" s="35">
        <v>77.98136486915358</v>
      </c>
      <c r="H4254" s="35">
        <v>4.1386037060456493</v>
      </c>
      <c r="I4254" s="35">
        <v>0.38740550331931484</v>
      </c>
      <c r="J4254" s="35">
        <v>2.406821217930282E-4</v>
      </c>
      <c r="K4254" s="35">
        <v>0.12543699507053613</v>
      </c>
      <c r="L4254" s="35">
        <v>-30.420390051178462</v>
      </c>
      <c r="M4254" s="58" t="s">
        <v>23</v>
      </c>
      <c r="N4254" s="7">
        <v>11.333333333333334</v>
      </c>
      <c r="O4254" s="7" t="s">
        <v>180</v>
      </c>
      <c r="P4254" s="7" t="s">
        <v>180</v>
      </c>
    </row>
    <row r="4255" spans="1:16" x14ac:dyDescent="0.25">
      <c r="A4255" t="s">
        <v>183</v>
      </c>
      <c r="B4255" t="s">
        <v>216</v>
      </c>
      <c r="C4255" s="7" t="s">
        <v>161</v>
      </c>
      <c r="D4255" t="s">
        <v>121</v>
      </c>
      <c r="F4255" s="35">
        <v>0</v>
      </c>
      <c r="G4255" s="35">
        <v>-5.0314592394189379</v>
      </c>
      <c r="H4255" s="35">
        <v>1.0461170489046439</v>
      </c>
      <c r="I4255" s="35">
        <v>-2.9267198963881942</v>
      </c>
      <c r="J4255" s="35">
        <v>4.1486487631986279E-4</v>
      </c>
      <c r="K4255" s="35">
        <v>-4.1706415820133742</v>
      </c>
      <c r="L4255" s="35">
        <v>4.4462107946205274</v>
      </c>
      <c r="M4255" s="58" t="s">
        <v>22</v>
      </c>
      <c r="N4255" s="7">
        <v>11.333333333333334</v>
      </c>
      <c r="O4255" s="7" t="s">
        <v>180</v>
      </c>
      <c r="P4255" s="7" t="s">
        <v>180</v>
      </c>
    </row>
    <row r="4256" spans="1:16" x14ac:dyDescent="0.25">
      <c r="A4256" t="s">
        <v>183</v>
      </c>
      <c r="B4256" t="s">
        <v>216</v>
      </c>
      <c r="C4256" s="7" t="s">
        <v>161</v>
      </c>
      <c r="D4256" t="s">
        <v>121</v>
      </c>
      <c r="F4256" s="35">
        <v>0.29999999999999988</v>
      </c>
      <c r="G4256" s="35">
        <v>-4.888553399418945</v>
      </c>
      <c r="H4256" s="35">
        <v>1.0461170489046439</v>
      </c>
      <c r="I4256" s="35">
        <v>-2.9267198963881942</v>
      </c>
      <c r="J4256" s="35">
        <v>4.1486487631986279E-4</v>
      </c>
      <c r="K4256" s="35">
        <v>-3.292625613096916</v>
      </c>
      <c r="L4256" s="35">
        <v>4.1323756799491358</v>
      </c>
      <c r="M4256" s="58" t="s">
        <v>22</v>
      </c>
      <c r="N4256" s="7">
        <v>11.333333333333334</v>
      </c>
      <c r="O4256" s="7" t="s">
        <v>180</v>
      </c>
      <c r="P4256" s="7" t="s">
        <v>180</v>
      </c>
    </row>
    <row r="4257" spans="1:16" x14ac:dyDescent="0.25">
      <c r="A4257" t="s">
        <v>183</v>
      </c>
      <c r="B4257" t="s">
        <v>216</v>
      </c>
      <c r="C4257" s="7" t="s">
        <v>161</v>
      </c>
      <c r="D4257" t="s">
        <v>121</v>
      </c>
      <c r="F4257" s="35">
        <v>0.29999999999999988</v>
      </c>
      <c r="G4257" s="35">
        <v>-35.106258437807377</v>
      </c>
      <c r="H4257" s="35">
        <v>1.0461170489046543</v>
      </c>
      <c r="I4257" s="35">
        <v>-1.0666833480541809</v>
      </c>
      <c r="J4257" s="35">
        <v>3.1916182546976089E-4</v>
      </c>
      <c r="K4257" s="35">
        <v>-3.2926256130969196</v>
      </c>
      <c r="L4257" s="35">
        <v>4.1323814221321875</v>
      </c>
      <c r="M4257" s="58" t="s">
        <v>22</v>
      </c>
      <c r="N4257" s="7">
        <v>11.333333333333334</v>
      </c>
      <c r="O4257" s="7" t="s">
        <v>180</v>
      </c>
      <c r="P4257" s="7" t="s">
        <v>180</v>
      </c>
    </row>
    <row r="4258" spans="1:16" x14ac:dyDescent="0.25">
      <c r="A4258" t="s">
        <v>183</v>
      </c>
      <c r="B4258" t="s">
        <v>216</v>
      </c>
      <c r="C4258" s="7" t="s">
        <v>161</v>
      </c>
      <c r="D4258" t="s">
        <v>121</v>
      </c>
      <c r="F4258" s="35">
        <v>5.3</v>
      </c>
      <c r="G4258" s="35">
        <v>-32.72449443780738</v>
      </c>
      <c r="H4258" s="35">
        <v>1.0461170489046543</v>
      </c>
      <c r="I4258" s="35">
        <v>-1.0666833480541809</v>
      </c>
      <c r="J4258" s="35">
        <v>3.1916182546976089E-4</v>
      </c>
      <c r="K4258" s="35">
        <v>2.0407911271739851</v>
      </c>
      <c r="L4258" s="35">
        <v>-1.098203822391085</v>
      </c>
      <c r="M4258" s="58" t="s">
        <v>24</v>
      </c>
      <c r="N4258" s="7">
        <v>11.333333333333334</v>
      </c>
      <c r="O4258" s="7" t="s">
        <v>180</v>
      </c>
      <c r="P4258" s="7" t="s">
        <v>180</v>
      </c>
    </row>
    <row r="4259" spans="1:16" x14ac:dyDescent="0.25">
      <c r="A4259" t="s">
        <v>183</v>
      </c>
      <c r="B4259" t="s">
        <v>216</v>
      </c>
      <c r="C4259" s="7" t="s">
        <v>161</v>
      </c>
      <c r="D4259" t="s">
        <v>121</v>
      </c>
      <c r="F4259" s="35">
        <v>5.3</v>
      </c>
      <c r="G4259" s="35">
        <v>-4.6543145892610909</v>
      </c>
      <c r="H4259" s="35">
        <v>1.046088406902391</v>
      </c>
      <c r="I4259" s="35">
        <v>0.34973537915076008</v>
      </c>
      <c r="J4259" s="35">
        <v>2.8138665242388684E-4</v>
      </c>
      <c r="K4259" s="35">
        <v>2.0407911271739847</v>
      </c>
      <c r="L4259" s="35">
        <v>-1.09831536875171</v>
      </c>
      <c r="M4259" s="58" t="s">
        <v>24</v>
      </c>
      <c r="N4259" s="7">
        <v>11.333333333333334</v>
      </c>
      <c r="O4259" s="7" t="s">
        <v>180</v>
      </c>
      <c r="P4259" s="7" t="s">
        <v>180</v>
      </c>
    </row>
    <row r="4260" spans="1:16" x14ac:dyDescent="0.25">
      <c r="A4260" t="s">
        <v>183</v>
      </c>
      <c r="B4260" t="s">
        <v>216</v>
      </c>
      <c r="C4260" s="7" t="s">
        <v>161</v>
      </c>
      <c r="D4260" t="s">
        <v>121</v>
      </c>
      <c r="F4260" s="35">
        <v>5.4149169609489114</v>
      </c>
      <c r="G4260" s="35">
        <v>-4.5995735731455927</v>
      </c>
      <c r="H4260" s="35">
        <v>1.046088406902391</v>
      </c>
      <c r="I4260" s="35">
        <v>0.34973537915076008</v>
      </c>
      <c r="J4260" s="35">
        <v>2.8138665242388684E-4</v>
      </c>
      <c r="K4260" s="35">
        <v>2.0006006002656638</v>
      </c>
      <c r="L4260" s="35">
        <v>-1.2185286693568198</v>
      </c>
      <c r="M4260" s="58" t="s">
        <v>24</v>
      </c>
      <c r="N4260" s="7">
        <v>11.333333333333334</v>
      </c>
      <c r="O4260" s="7" t="s">
        <v>180</v>
      </c>
      <c r="P4260" s="7" t="s">
        <v>180</v>
      </c>
    </row>
    <row r="4261" spans="1:16" x14ac:dyDescent="0.25">
      <c r="A4261" t="s">
        <v>183</v>
      </c>
      <c r="B4261" t="s">
        <v>216</v>
      </c>
      <c r="C4261" s="7" t="s">
        <v>161</v>
      </c>
      <c r="D4261" t="s">
        <v>121</v>
      </c>
      <c r="F4261" s="35">
        <v>10.829833921897823</v>
      </c>
      <c r="G4261" s="35">
        <v>-2.0201627170300775</v>
      </c>
      <c r="H4261" s="35">
        <v>1.046088406902391</v>
      </c>
      <c r="I4261" s="35">
        <v>0.34973537915076008</v>
      </c>
      <c r="J4261" s="35">
        <v>2.8138665242388684E-4</v>
      </c>
      <c r="K4261" s="35">
        <v>0.10681256385831539</v>
      </c>
      <c r="L4261" s="35">
        <v>-6.8830105265445987</v>
      </c>
      <c r="M4261" s="58" t="s">
        <v>23</v>
      </c>
      <c r="N4261" s="7">
        <v>11.333333333333334</v>
      </c>
      <c r="O4261" s="7" t="s">
        <v>180</v>
      </c>
      <c r="P4261" s="7" t="s">
        <v>180</v>
      </c>
    </row>
    <row r="4262" spans="1:16" x14ac:dyDescent="0.25">
      <c r="A4262" t="s">
        <v>183</v>
      </c>
      <c r="B4262" t="s">
        <v>216</v>
      </c>
      <c r="C4262" s="7" t="s">
        <v>161</v>
      </c>
      <c r="D4262" t="s">
        <v>122</v>
      </c>
      <c r="F4262" s="35">
        <v>0</v>
      </c>
      <c r="G4262" s="35">
        <v>56.062728354559795</v>
      </c>
      <c r="H4262" s="35">
        <v>5.0865653229922057</v>
      </c>
      <c r="I4262" s="35">
        <v>3.2199331718833601</v>
      </c>
      <c r="J4262" s="35">
        <v>-3.7645955029368339E-4</v>
      </c>
      <c r="K4262" s="35">
        <v>4.5495462243655966</v>
      </c>
      <c r="L4262" s="35">
        <v>18.317624552663688</v>
      </c>
      <c r="M4262" s="58" t="s">
        <v>22</v>
      </c>
      <c r="N4262" s="7">
        <v>11.333333333333334</v>
      </c>
      <c r="O4262" s="7" t="s">
        <v>180</v>
      </c>
      <c r="P4262" s="7" t="s">
        <v>180</v>
      </c>
    </row>
    <row r="4263" spans="1:16" x14ac:dyDescent="0.25">
      <c r="A4263" t="s">
        <v>183</v>
      </c>
      <c r="B4263" t="s">
        <v>216</v>
      </c>
      <c r="C4263" s="7" t="s">
        <v>161</v>
      </c>
      <c r="D4263" t="s">
        <v>122</v>
      </c>
      <c r="F4263" s="35">
        <v>0.29999999999999988</v>
      </c>
      <c r="G4263" s="35">
        <v>56.205634194559785</v>
      </c>
      <c r="H4263" s="35">
        <v>5.0865653229922057</v>
      </c>
      <c r="I4263" s="35">
        <v>3.2199331718833601</v>
      </c>
      <c r="J4263" s="35">
        <v>-3.7645955029368339E-4</v>
      </c>
      <c r="K4263" s="35">
        <v>3.5835662728005886</v>
      </c>
      <c r="L4263" s="35">
        <v>16.791654955766028</v>
      </c>
      <c r="M4263" s="58" t="s">
        <v>22</v>
      </c>
      <c r="N4263" s="7">
        <v>11.333333333333334</v>
      </c>
      <c r="O4263" s="7" t="s">
        <v>180</v>
      </c>
      <c r="P4263" s="7" t="s">
        <v>180</v>
      </c>
    </row>
    <row r="4264" spans="1:16" x14ac:dyDescent="0.25">
      <c r="A4264" t="s">
        <v>183</v>
      </c>
      <c r="B4264" t="s">
        <v>216</v>
      </c>
      <c r="C4264" s="7" t="s">
        <v>161</v>
      </c>
      <c r="D4264" t="s">
        <v>122</v>
      </c>
      <c r="F4264" s="35">
        <v>0.29999999999999988</v>
      </c>
      <c r="G4264" s="35">
        <v>91.383275568027457</v>
      </c>
      <c r="H4264" s="35">
        <v>5.086565322992203</v>
      </c>
      <c r="I4264" s="35">
        <v>1.1562489355061203</v>
      </c>
      <c r="J4264" s="35">
        <v>-2.0976823514000525E-4</v>
      </c>
      <c r="K4264" s="35">
        <v>3.5835662728005868</v>
      </c>
      <c r="L4264" s="35">
        <v>16.791644954287129</v>
      </c>
      <c r="M4264" s="58" t="s">
        <v>22</v>
      </c>
      <c r="N4264" s="7">
        <v>11.333333333333334</v>
      </c>
      <c r="O4264" s="7" t="s">
        <v>180</v>
      </c>
      <c r="P4264" s="7" t="s">
        <v>180</v>
      </c>
    </row>
    <row r="4265" spans="1:16" x14ac:dyDescent="0.25">
      <c r="A4265" t="s">
        <v>183</v>
      </c>
      <c r="B4265" t="s">
        <v>216</v>
      </c>
      <c r="C4265" s="7" t="s">
        <v>161</v>
      </c>
      <c r="D4265" t="s">
        <v>122</v>
      </c>
      <c r="F4265" s="35">
        <v>5.3</v>
      </c>
      <c r="G4265" s="35">
        <v>93.765039568027447</v>
      </c>
      <c r="H4265" s="35">
        <v>5.086565322992203</v>
      </c>
      <c r="I4265" s="35">
        <v>1.1562489355061203</v>
      </c>
      <c r="J4265" s="35">
        <v>-2.0976823514000525E-4</v>
      </c>
      <c r="K4265" s="35">
        <v>-2.1976784047300133</v>
      </c>
      <c r="L4265" s="35">
        <v>-8.6411816606738832</v>
      </c>
      <c r="M4265" s="58" t="s">
        <v>24</v>
      </c>
      <c r="N4265" s="7">
        <v>11.333333333333334</v>
      </c>
      <c r="O4265" s="7" t="s">
        <v>180</v>
      </c>
      <c r="P4265" s="7" t="s">
        <v>180</v>
      </c>
    </row>
    <row r="4266" spans="1:16" x14ac:dyDescent="0.25">
      <c r="A4266" t="s">
        <v>183</v>
      </c>
      <c r="B4266" t="s">
        <v>216</v>
      </c>
      <c r="C4266" s="7" t="s">
        <v>161</v>
      </c>
      <c r="D4266" t="s">
        <v>122</v>
      </c>
      <c r="F4266" s="35">
        <v>5.3</v>
      </c>
      <c r="G4266" s="35">
        <v>67.183027407595731</v>
      </c>
      <c r="H4266" s="35">
        <v>5.0865729498760244</v>
      </c>
      <c r="I4266" s="35">
        <v>-0.35325295954131802</v>
      </c>
      <c r="J4266" s="35">
        <v>-4.3031146486443845E-4</v>
      </c>
      <c r="K4266" s="35">
        <v>-2.1976784047300133</v>
      </c>
      <c r="L4266" s="35">
        <v>-8.6407074435170799</v>
      </c>
      <c r="M4266" s="58" t="s">
        <v>24</v>
      </c>
      <c r="N4266" s="7">
        <v>11.333333333333334</v>
      </c>
      <c r="O4266" s="7" t="s">
        <v>180</v>
      </c>
      <c r="P4266" s="7" t="s">
        <v>180</v>
      </c>
    </row>
    <row r="4267" spans="1:16" x14ac:dyDescent="0.25">
      <c r="A4267" t="s">
        <v>183</v>
      </c>
      <c r="B4267" t="s">
        <v>216</v>
      </c>
      <c r="C4267" s="7" t="s">
        <v>161</v>
      </c>
      <c r="D4267" t="s">
        <v>122</v>
      </c>
      <c r="F4267" s="35">
        <v>5.4149169609489114</v>
      </c>
      <c r="G4267" s="35">
        <v>67.237768423711231</v>
      </c>
      <c r="H4267" s="35">
        <v>5.0865729498760244</v>
      </c>
      <c r="I4267" s="35">
        <v>-0.35325295954131802</v>
      </c>
      <c r="J4267" s="35">
        <v>-4.3031146486443845E-4</v>
      </c>
      <c r="K4267" s="35">
        <v>-2.157083648173316</v>
      </c>
      <c r="L4267" s="35">
        <v>-9.225240948561769</v>
      </c>
      <c r="M4267" s="58" t="s">
        <v>24</v>
      </c>
      <c r="N4267" s="7">
        <v>11.333333333333334</v>
      </c>
      <c r="O4267" s="7" t="s">
        <v>180</v>
      </c>
      <c r="P4267" s="7" t="s">
        <v>180</v>
      </c>
    </row>
    <row r="4268" spans="1:16" x14ac:dyDescent="0.25">
      <c r="A4268" t="s">
        <v>183</v>
      </c>
      <c r="B4268" t="s">
        <v>216</v>
      </c>
      <c r="C4268" s="7" t="s">
        <v>161</v>
      </c>
      <c r="D4268" t="s">
        <v>122</v>
      </c>
      <c r="F4268" s="35">
        <v>10.829833921897823</v>
      </c>
      <c r="G4268" s="35">
        <v>69.817179279826746</v>
      </c>
      <c r="H4268" s="35">
        <v>5.0865729498760244</v>
      </c>
      <c r="I4268" s="35">
        <v>-0.35325295954131802</v>
      </c>
      <c r="J4268" s="35">
        <v>-4.3031146486443845E-4</v>
      </c>
      <c r="K4268" s="35">
        <v>-0.244248206047634</v>
      </c>
      <c r="L4268" s="35">
        <v>-36.768611087949388</v>
      </c>
      <c r="M4268" s="58" t="s">
        <v>23</v>
      </c>
      <c r="N4268" s="7">
        <v>11.333333333333334</v>
      </c>
      <c r="O4268" s="7" t="s">
        <v>180</v>
      </c>
      <c r="P4268" s="7" t="s">
        <v>180</v>
      </c>
    </row>
    <row r="4269" spans="1:16" x14ac:dyDescent="0.25">
      <c r="A4269" t="s">
        <v>183</v>
      </c>
      <c r="B4269" t="s">
        <v>216</v>
      </c>
      <c r="C4269" s="7" t="s">
        <v>161</v>
      </c>
      <c r="D4269" t="s">
        <v>123</v>
      </c>
      <c r="F4269" s="35">
        <v>0</v>
      </c>
      <c r="G4269" s="35">
        <v>-25.433156944972939</v>
      </c>
      <c r="H4269" s="35">
        <v>1.9925826121517558</v>
      </c>
      <c r="I4269" s="35">
        <v>4.3705752792953962</v>
      </c>
      <c r="J4269" s="35">
        <v>-4.9191522125168667E-4</v>
      </c>
      <c r="K4269" s="35">
        <v>5.2444096412933492</v>
      </c>
      <c r="L4269" s="35">
        <v>8.3576122442899408</v>
      </c>
      <c r="M4269" s="58" t="s">
        <v>22</v>
      </c>
      <c r="N4269" s="7">
        <v>11.333333333333334</v>
      </c>
      <c r="O4269" s="7" t="s">
        <v>180</v>
      </c>
      <c r="P4269" s="7" t="s">
        <v>180</v>
      </c>
    </row>
    <row r="4270" spans="1:16" x14ac:dyDescent="0.25">
      <c r="A4270" t="s">
        <v>183</v>
      </c>
      <c r="B4270" t="s">
        <v>216</v>
      </c>
      <c r="C4270" s="7" t="s">
        <v>161</v>
      </c>
      <c r="D4270" t="s">
        <v>123</v>
      </c>
      <c r="F4270" s="35">
        <v>0.29999999999999988</v>
      </c>
      <c r="G4270" s="35">
        <v>-25.290251104972945</v>
      </c>
      <c r="H4270" s="35">
        <v>1.9925826121517558</v>
      </c>
      <c r="I4270" s="35">
        <v>4.3705752792953962</v>
      </c>
      <c r="J4270" s="35">
        <v>-4.9191522125168667E-4</v>
      </c>
      <c r="K4270" s="35">
        <v>3.9332370575047308</v>
      </c>
      <c r="L4270" s="35">
        <v>7.7598374606444134</v>
      </c>
      <c r="M4270" s="58" t="s">
        <v>22</v>
      </c>
      <c r="N4270" s="7">
        <v>11.333333333333334</v>
      </c>
      <c r="O4270" s="7" t="s">
        <v>180</v>
      </c>
      <c r="P4270" s="7" t="s">
        <v>180</v>
      </c>
    </row>
    <row r="4271" spans="1:16" x14ac:dyDescent="0.25">
      <c r="A4271" t="s">
        <v>183</v>
      </c>
      <c r="B4271" t="s">
        <v>216</v>
      </c>
      <c r="C4271" s="7" t="s">
        <v>161</v>
      </c>
      <c r="D4271" t="s">
        <v>123</v>
      </c>
      <c r="F4271" s="35">
        <v>0.29999999999999988</v>
      </c>
      <c r="G4271" s="35">
        <v>27.148106745181032</v>
      </c>
      <c r="H4271" s="35">
        <v>1.992582612151764</v>
      </c>
      <c r="I4271" s="35">
        <v>1.2712480543169824</v>
      </c>
      <c r="J4271" s="35">
        <v>-3.169611861579475E-4</v>
      </c>
      <c r="K4271" s="35">
        <v>3.9332370575047353</v>
      </c>
      <c r="L4271" s="35">
        <v>7.7598269634023076</v>
      </c>
      <c r="M4271" s="58" t="s">
        <v>22</v>
      </c>
      <c r="N4271" s="7">
        <v>11.333333333333334</v>
      </c>
      <c r="O4271" s="7" t="s">
        <v>180</v>
      </c>
      <c r="P4271" s="7" t="s">
        <v>180</v>
      </c>
    </row>
    <row r="4272" spans="1:16" x14ac:dyDescent="0.25">
      <c r="A4272" t="s">
        <v>183</v>
      </c>
      <c r="B4272" t="s">
        <v>216</v>
      </c>
      <c r="C4272" s="7" t="s">
        <v>161</v>
      </c>
      <c r="D4272" t="s">
        <v>123</v>
      </c>
      <c r="F4272" s="35">
        <v>5.3</v>
      </c>
      <c r="G4272" s="35">
        <v>29.529870745181029</v>
      </c>
      <c r="H4272" s="35">
        <v>1.992582612151764</v>
      </c>
      <c r="I4272" s="35">
        <v>1.2712480543169824</v>
      </c>
      <c r="J4272" s="35">
        <v>-3.169611861579475E-4</v>
      </c>
      <c r="K4272" s="35">
        <v>-2.4230032140801763</v>
      </c>
      <c r="L4272" s="35">
        <v>-2.2030860973565152</v>
      </c>
      <c r="M4272" s="58" t="s">
        <v>24</v>
      </c>
      <c r="N4272" s="7">
        <v>11.333333333333334</v>
      </c>
      <c r="O4272" s="7" t="s">
        <v>180</v>
      </c>
      <c r="P4272" s="7" t="s">
        <v>180</v>
      </c>
    </row>
    <row r="4273" spans="1:16" x14ac:dyDescent="0.25">
      <c r="A4273" t="s">
        <v>183</v>
      </c>
      <c r="B4273" t="s">
        <v>216</v>
      </c>
      <c r="C4273" s="7" t="s">
        <v>161</v>
      </c>
      <c r="D4273" t="s">
        <v>123</v>
      </c>
      <c r="F4273" s="35">
        <v>5.3</v>
      </c>
      <c r="G4273" s="35">
        <v>-12.813177311367397</v>
      </c>
      <c r="H4273" s="35">
        <v>1.9926075001545736</v>
      </c>
      <c r="I4273" s="35">
        <v>-0.39065588463955936</v>
      </c>
      <c r="J4273" s="35">
        <v>-3.8884025548435931E-4</v>
      </c>
      <c r="K4273" s="35">
        <v>-2.4230032140801763</v>
      </c>
      <c r="L4273" s="35">
        <v>-2.2027760572720267</v>
      </c>
      <c r="M4273" s="58" t="s">
        <v>24</v>
      </c>
      <c r="N4273" s="7">
        <v>11.333333333333334</v>
      </c>
      <c r="O4273" s="7" t="s">
        <v>180</v>
      </c>
      <c r="P4273" s="7" t="s">
        <v>180</v>
      </c>
    </row>
    <row r="4274" spans="1:16" x14ac:dyDescent="0.25">
      <c r="A4274" t="s">
        <v>183</v>
      </c>
      <c r="B4274" t="s">
        <v>216</v>
      </c>
      <c r="C4274" s="7" t="s">
        <v>161</v>
      </c>
      <c r="D4274" t="s">
        <v>123</v>
      </c>
      <c r="F4274" s="35">
        <v>5.4149169609489114</v>
      </c>
      <c r="G4274" s="35">
        <v>-12.758436295251897</v>
      </c>
      <c r="H4274" s="35">
        <v>1.9926075001545736</v>
      </c>
      <c r="I4274" s="35">
        <v>-0.39065588463955936</v>
      </c>
      <c r="J4274" s="35">
        <v>-3.8884025548435931E-4</v>
      </c>
      <c r="K4274" s="35">
        <v>-2.3781102270405894</v>
      </c>
      <c r="L4274" s="35">
        <v>-2.4317604555537966</v>
      </c>
      <c r="M4274" s="58" t="s">
        <v>24</v>
      </c>
      <c r="N4274" s="7">
        <v>11.333333333333334</v>
      </c>
      <c r="O4274" s="7" t="s">
        <v>180</v>
      </c>
      <c r="P4274" s="7" t="s">
        <v>180</v>
      </c>
    </row>
    <row r="4275" spans="1:16" x14ac:dyDescent="0.25">
      <c r="A4275" t="s">
        <v>183</v>
      </c>
      <c r="B4275" t="s">
        <v>216</v>
      </c>
      <c r="C4275" s="7" t="s">
        <v>161</v>
      </c>
      <c r="D4275" t="s">
        <v>123</v>
      </c>
      <c r="F4275" s="35">
        <v>10.829833921897823</v>
      </c>
      <c r="G4275" s="35">
        <v>-10.179025439136383</v>
      </c>
      <c r="H4275" s="35">
        <v>1.9926075001545736</v>
      </c>
      <c r="I4275" s="35">
        <v>-0.39065588463955936</v>
      </c>
      <c r="J4275" s="35">
        <v>-3.8884025548435931E-4</v>
      </c>
      <c r="K4275" s="35">
        <v>-0.26274105141133897</v>
      </c>
      <c r="L4275" s="35">
        <v>-13.221564604654803</v>
      </c>
      <c r="M4275" s="58" t="s">
        <v>23</v>
      </c>
      <c r="N4275" s="7">
        <v>11.333333333333334</v>
      </c>
      <c r="O4275" s="7" t="s">
        <v>180</v>
      </c>
      <c r="P4275" s="7" t="s">
        <v>180</v>
      </c>
    </row>
    <row r="4276" spans="1:16" x14ac:dyDescent="0.25">
      <c r="A4276" t="s">
        <v>183</v>
      </c>
      <c r="B4276" t="s">
        <v>216</v>
      </c>
      <c r="C4276" s="7" t="s">
        <v>161</v>
      </c>
      <c r="D4276" t="s">
        <v>124</v>
      </c>
      <c r="F4276" s="35">
        <v>0</v>
      </c>
      <c r="G4276" s="35">
        <v>69.668720512548774</v>
      </c>
      <c r="H4276" s="35">
        <v>8.47445505563139</v>
      </c>
      <c r="I4276" s="35">
        <v>-1.3031098172967781</v>
      </c>
      <c r="J4276" s="35">
        <v>6.2945714268160046E-6</v>
      </c>
      <c r="K4276" s="35">
        <v>-1.2627003696278734</v>
      </c>
      <c r="L4276" s="35">
        <v>44.958626115241366</v>
      </c>
      <c r="M4276" s="58" t="s">
        <v>22</v>
      </c>
      <c r="N4276" s="7">
        <v>11.333333333333334</v>
      </c>
      <c r="O4276" s="7" t="s">
        <v>180</v>
      </c>
      <c r="P4276" s="7" t="s">
        <v>180</v>
      </c>
    </row>
    <row r="4277" spans="1:16" x14ac:dyDescent="0.25">
      <c r="A4277" t="s">
        <v>183</v>
      </c>
      <c r="B4277" t="s">
        <v>216</v>
      </c>
      <c r="C4277" s="7" t="s">
        <v>161</v>
      </c>
      <c r="D4277" t="s">
        <v>124</v>
      </c>
      <c r="F4277" s="35">
        <v>0.29999999999999988</v>
      </c>
      <c r="G4277" s="35">
        <v>69.811626352548757</v>
      </c>
      <c r="H4277" s="35">
        <v>8.47445505563139</v>
      </c>
      <c r="I4277" s="35">
        <v>-1.3031098172967781</v>
      </c>
      <c r="J4277" s="35">
        <v>6.2945714268160046E-6</v>
      </c>
      <c r="K4277" s="35">
        <v>-0.87176742443884003</v>
      </c>
      <c r="L4277" s="35">
        <v>42.416289598551955</v>
      </c>
      <c r="M4277" s="58" t="s">
        <v>22</v>
      </c>
      <c r="N4277" s="7">
        <v>11.333333333333334</v>
      </c>
      <c r="O4277" s="7" t="s">
        <v>180</v>
      </c>
      <c r="P4277" s="7" t="s">
        <v>180</v>
      </c>
    </row>
    <row r="4278" spans="1:16" x14ac:dyDescent="0.25">
      <c r="A4278" t="s">
        <v>183</v>
      </c>
      <c r="B4278" t="s">
        <v>216</v>
      </c>
      <c r="C4278" s="7" t="s">
        <v>161</v>
      </c>
      <c r="D4278" t="s">
        <v>124</v>
      </c>
      <c r="F4278" s="35">
        <v>0.29999999999999988</v>
      </c>
      <c r="G4278" s="35">
        <v>53.656990689278267</v>
      </c>
      <c r="H4278" s="35">
        <v>8.4744550556314149</v>
      </c>
      <c r="I4278" s="35">
        <v>-0.28685743146982662</v>
      </c>
      <c r="J4278" s="35">
        <v>1.6889409918015917E-4</v>
      </c>
      <c r="K4278" s="35">
        <v>-0.87176742443883837</v>
      </c>
      <c r="L4278" s="35">
        <v>42.416279842580281</v>
      </c>
      <c r="M4278" s="58" t="s">
        <v>22</v>
      </c>
      <c r="N4278" s="7">
        <v>11.333333333333334</v>
      </c>
      <c r="O4278" s="7" t="s">
        <v>180</v>
      </c>
      <c r="P4278" s="7" t="s">
        <v>180</v>
      </c>
    </row>
    <row r="4279" spans="1:16" x14ac:dyDescent="0.25">
      <c r="A4279" t="s">
        <v>183</v>
      </c>
      <c r="B4279" t="s">
        <v>216</v>
      </c>
      <c r="C4279" s="7" t="s">
        <v>161</v>
      </c>
      <c r="D4279" t="s">
        <v>124</v>
      </c>
      <c r="F4279" s="35">
        <v>5.3</v>
      </c>
      <c r="G4279" s="35">
        <v>56.038754689278257</v>
      </c>
      <c r="H4279" s="35">
        <v>8.4744550556314149</v>
      </c>
      <c r="I4279" s="35">
        <v>-0.28685743146982662</v>
      </c>
      <c r="J4279" s="35">
        <v>1.6889409918015917E-4</v>
      </c>
      <c r="K4279" s="35">
        <v>0.56251973291029478</v>
      </c>
      <c r="L4279" s="35">
        <v>4.4004564423205321E-2</v>
      </c>
      <c r="M4279" s="58" t="s">
        <v>24</v>
      </c>
      <c r="N4279" s="7">
        <v>11.333333333333334</v>
      </c>
      <c r="O4279" s="7" t="s">
        <v>180</v>
      </c>
      <c r="P4279" s="7" t="s">
        <v>180</v>
      </c>
    </row>
    <row r="4280" spans="1:16" x14ac:dyDescent="0.25">
      <c r="A4280" t="s">
        <v>183</v>
      </c>
      <c r="B4280" t="s">
        <v>216</v>
      </c>
      <c r="C4280" s="7" t="s">
        <v>161</v>
      </c>
      <c r="D4280" t="s">
        <v>124</v>
      </c>
      <c r="F4280" s="35">
        <v>5.3</v>
      </c>
      <c r="G4280" s="35">
        <v>73.222685264111163</v>
      </c>
      <c r="H4280" s="35">
        <v>8.4744126131796484</v>
      </c>
      <c r="I4280" s="35">
        <v>0.10461541845873819</v>
      </c>
      <c r="J4280" s="35">
        <v>-4.5319596226816871E-5</v>
      </c>
      <c r="K4280" s="35">
        <v>0.56251973291029467</v>
      </c>
      <c r="L4280" s="35">
        <v>4.4230677896508003E-2</v>
      </c>
      <c r="M4280" s="58" t="s">
        <v>24</v>
      </c>
      <c r="N4280" s="7">
        <v>11.333333333333334</v>
      </c>
      <c r="O4280" s="7" t="s">
        <v>180</v>
      </c>
      <c r="P4280" s="7" t="s">
        <v>180</v>
      </c>
    </row>
    <row r="4281" spans="1:16" x14ac:dyDescent="0.25">
      <c r="A4281" t="s">
        <v>183</v>
      </c>
      <c r="B4281" t="s">
        <v>216</v>
      </c>
      <c r="C4281" s="7" t="s">
        <v>161</v>
      </c>
      <c r="D4281" t="s">
        <v>124</v>
      </c>
      <c r="F4281" s="35">
        <v>5.4149169609489114</v>
      </c>
      <c r="G4281" s="35">
        <v>73.277426280226663</v>
      </c>
      <c r="H4281" s="35">
        <v>8.4744126131796484</v>
      </c>
      <c r="I4281" s="35">
        <v>0.10461541845873819</v>
      </c>
      <c r="J4281" s="35">
        <v>-4.5319596226816871E-5</v>
      </c>
      <c r="K4281" s="35">
        <v>0.55049764695261783</v>
      </c>
      <c r="L4281" s="35">
        <v>-0.92962306543721884</v>
      </c>
      <c r="M4281" s="58" t="s">
        <v>24</v>
      </c>
      <c r="N4281" s="7">
        <v>11.333333333333334</v>
      </c>
      <c r="O4281" s="7" t="s">
        <v>180</v>
      </c>
      <c r="P4281" s="7" t="s">
        <v>180</v>
      </c>
    </row>
    <row r="4282" spans="1:16" x14ac:dyDescent="0.25">
      <c r="A4282" t="s">
        <v>183</v>
      </c>
      <c r="B4282" t="s">
        <v>216</v>
      </c>
      <c r="C4282" s="7" t="s">
        <v>161</v>
      </c>
      <c r="D4282" t="s">
        <v>124</v>
      </c>
      <c r="F4282" s="35">
        <v>10.829833921897823</v>
      </c>
      <c r="G4282" s="35">
        <v>75.856837136342179</v>
      </c>
      <c r="H4282" s="35">
        <v>8.4744126131796484</v>
      </c>
      <c r="I4282" s="35">
        <v>0.10461541845873819</v>
      </c>
      <c r="J4282" s="35">
        <v>-4.5319596226816871E-5</v>
      </c>
      <c r="K4282" s="35">
        <v>-1.5986156836371255E-2</v>
      </c>
      <c r="L4282" s="35">
        <v>-46.817863658623068</v>
      </c>
      <c r="M4282" s="58" t="s">
        <v>23</v>
      </c>
      <c r="N4282" s="7">
        <v>11.333333333333334</v>
      </c>
      <c r="O4282" s="7" t="s">
        <v>180</v>
      </c>
      <c r="P4282" s="7" t="s">
        <v>180</v>
      </c>
    </row>
    <row r="4283" spans="1:16" x14ac:dyDescent="0.25">
      <c r="A4283" t="s">
        <v>183</v>
      </c>
      <c r="B4283" t="s">
        <v>216</v>
      </c>
      <c r="C4283" s="7" t="s">
        <v>161</v>
      </c>
      <c r="D4283" t="s">
        <v>125</v>
      </c>
      <c r="F4283" s="35">
        <v>0</v>
      </c>
      <c r="G4283" s="35">
        <v>-49.89504647764781</v>
      </c>
      <c r="H4283" s="35">
        <v>20.554589698356807</v>
      </c>
      <c r="I4283" s="35">
        <v>0.30192698977063542</v>
      </c>
      <c r="J4283" s="35">
        <v>-3.0041812442059362E-4</v>
      </c>
      <c r="K4283" s="35">
        <v>-0.35029733173488181</v>
      </c>
      <c r="L4283" s="35">
        <v>114.3535342429476</v>
      </c>
      <c r="M4283" s="58" t="s">
        <v>22</v>
      </c>
      <c r="N4283" s="7">
        <v>11.333333333333334</v>
      </c>
      <c r="O4283" s="7" t="s">
        <v>180</v>
      </c>
      <c r="P4283" s="7" t="s">
        <v>180</v>
      </c>
    </row>
    <row r="4284" spans="1:16" x14ac:dyDescent="0.25">
      <c r="A4284" t="s">
        <v>183</v>
      </c>
      <c r="B4284" t="s">
        <v>216</v>
      </c>
      <c r="C4284" s="7" t="s">
        <v>161</v>
      </c>
      <c r="D4284" t="s">
        <v>125</v>
      </c>
      <c r="F4284" s="35">
        <v>0.29999999999999988</v>
      </c>
      <c r="G4284" s="35">
        <v>-49.75214063764782</v>
      </c>
      <c r="H4284" s="35">
        <v>20.554589698356807</v>
      </c>
      <c r="I4284" s="35">
        <v>0.30192698977063542</v>
      </c>
      <c r="J4284" s="35">
        <v>-3.0041812442059362E-4</v>
      </c>
      <c r="K4284" s="35">
        <v>-0.44087542866607243</v>
      </c>
      <c r="L4284" s="35">
        <v>108.18715733344058</v>
      </c>
      <c r="M4284" s="58" t="s">
        <v>22</v>
      </c>
      <c r="N4284" s="7">
        <v>11.333333333333334</v>
      </c>
      <c r="O4284" s="7" t="s">
        <v>180</v>
      </c>
      <c r="P4284" s="7" t="s">
        <v>180</v>
      </c>
    </row>
    <row r="4285" spans="1:16" x14ac:dyDescent="0.25">
      <c r="A4285" t="s">
        <v>183</v>
      </c>
      <c r="B4285" t="s">
        <v>216</v>
      </c>
      <c r="C4285" s="7" t="s">
        <v>161</v>
      </c>
      <c r="D4285" t="s">
        <v>125</v>
      </c>
      <c r="F4285" s="35">
        <v>0.29999999999999988</v>
      </c>
      <c r="G4285" s="35">
        <v>-41.519055977333892</v>
      </c>
      <c r="H4285" s="35">
        <v>20.554589698356843</v>
      </c>
      <c r="I4285" s="35">
        <v>-0.14508384381743875</v>
      </c>
      <c r="J4285" s="35">
        <v>2.5659123453673917E-4</v>
      </c>
      <c r="K4285" s="35">
        <v>-0.44087542866607321</v>
      </c>
      <c r="L4285" s="35">
        <v>108.18712391287897</v>
      </c>
      <c r="M4285" s="58" t="s">
        <v>22</v>
      </c>
      <c r="N4285" s="7">
        <v>11.333333333333334</v>
      </c>
      <c r="O4285" s="7" t="s">
        <v>180</v>
      </c>
      <c r="P4285" s="7" t="s">
        <v>180</v>
      </c>
    </row>
    <row r="4286" spans="1:16" x14ac:dyDescent="0.25">
      <c r="A4286" t="s">
        <v>183</v>
      </c>
      <c r="B4286" t="s">
        <v>216</v>
      </c>
      <c r="C4286" s="7" t="s">
        <v>161</v>
      </c>
      <c r="D4286" t="s">
        <v>125</v>
      </c>
      <c r="F4286" s="35">
        <v>5.3</v>
      </c>
      <c r="G4286" s="35">
        <v>-39.137291977333895</v>
      </c>
      <c r="H4286" s="35">
        <v>20.554589698356843</v>
      </c>
      <c r="I4286" s="35">
        <v>-0.14508384381743875</v>
      </c>
      <c r="J4286" s="35">
        <v>2.5659123453673917E-4</v>
      </c>
      <c r="K4286" s="35">
        <v>0.2845437904211206</v>
      </c>
      <c r="L4286" s="35">
        <v>5.4141754210947788</v>
      </c>
      <c r="M4286" s="58" t="s">
        <v>24</v>
      </c>
      <c r="N4286" s="7">
        <v>11.333333333333334</v>
      </c>
      <c r="O4286" s="7" t="s">
        <v>180</v>
      </c>
      <c r="P4286" s="7" t="s">
        <v>180</v>
      </c>
    </row>
    <row r="4287" spans="1:16" x14ac:dyDescent="0.25">
      <c r="A4287" t="s">
        <v>183</v>
      </c>
      <c r="B4287" t="s">
        <v>216</v>
      </c>
      <c r="C4287" s="7" t="s">
        <v>161</v>
      </c>
      <c r="D4287" t="s">
        <v>125</v>
      </c>
      <c r="F4287" s="35">
        <v>5.3</v>
      </c>
      <c r="G4287" s="35">
        <v>-44.283392079507877</v>
      </c>
      <c r="H4287" s="35">
        <v>20.554511986613367</v>
      </c>
      <c r="I4287" s="35">
        <v>5.8427453499948379E-2</v>
      </c>
      <c r="J4287" s="35">
        <v>-1.9641965702322229E-4</v>
      </c>
      <c r="K4287" s="35">
        <v>0.28454379042112071</v>
      </c>
      <c r="L4287" s="35">
        <v>5.4147976084833873</v>
      </c>
      <c r="M4287" s="58" t="s">
        <v>24</v>
      </c>
      <c r="N4287" s="7">
        <v>11.333333333333334</v>
      </c>
      <c r="O4287" s="7" t="s">
        <v>180</v>
      </c>
      <c r="P4287" s="7" t="s">
        <v>180</v>
      </c>
    </row>
    <row r="4288" spans="1:16" x14ac:dyDescent="0.25">
      <c r="A4288" t="s">
        <v>183</v>
      </c>
      <c r="B4288" t="s">
        <v>216</v>
      </c>
      <c r="C4288" s="7" t="s">
        <v>161</v>
      </c>
      <c r="D4288" t="s">
        <v>125</v>
      </c>
      <c r="F4288" s="35">
        <v>5.4149169609489114</v>
      </c>
      <c r="G4288" s="35">
        <v>-44.228651063392384</v>
      </c>
      <c r="H4288" s="35">
        <v>20.554511986613367</v>
      </c>
      <c r="I4288" s="35">
        <v>5.8427453499948379E-2</v>
      </c>
      <c r="J4288" s="35">
        <v>-1.9641965702322229E-4</v>
      </c>
      <c r="K4288" s="35">
        <v>0.27782948502892285</v>
      </c>
      <c r="L4288" s="35">
        <v>3.0527355571938077</v>
      </c>
      <c r="M4288" s="58" t="s">
        <v>24</v>
      </c>
      <c r="N4288" s="7">
        <v>11.333333333333334</v>
      </c>
      <c r="O4288" s="7" t="s">
        <v>180</v>
      </c>
      <c r="P4288" s="7" t="s">
        <v>180</v>
      </c>
    </row>
    <row r="4289" spans="1:16" x14ac:dyDescent="0.25">
      <c r="A4289" t="s">
        <v>183</v>
      </c>
      <c r="B4289" t="s">
        <v>216</v>
      </c>
      <c r="C4289" s="7" t="s">
        <v>161</v>
      </c>
      <c r="D4289" t="s">
        <v>125</v>
      </c>
      <c r="F4289" s="35">
        <v>10.829833921897823</v>
      </c>
      <c r="G4289" s="35">
        <v>-41.649240207276868</v>
      </c>
      <c r="H4289" s="35">
        <v>20.554511986613367</v>
      </c>
      <c r="I4289" s="35">
        <v>5.8427453499948379E-2</v>
      </c>
      <c r="J4289" s="35">
        <v>-1.9641965702322229E-4</v>
      </c>
      <c r="K4289" s="35">
        <v>-3.8550323913001429E-2</v>
      </c>
      <c r="L4289" s="35">
        <v>-108.24824002314656</v>
      </c>
      <c r="M4289" s="58" t="s">
        <v>23</v>
      </c>
      <c r="N4289" s="7">
        <v>11.333333333333334</v>
      </c>
      <c r="O4289" s="7" t="s">
        <v>180</v>
      </c>
      <c r="P4289" s="7" t="s">
        <v>180</v>
      </c>
    </row>
    <row r="4290" spans="1:16" x14ac:dyDescent="0.25">
      <c r="A4290" t="s">
        <v>183</v>
      </c>
      <c r="B4290" t="s">
        <v>216</v>
      </c>
      <c r="C4290" s="7" t="s">
        <v>161</v>
      </c>
      <c r="D4290" t="s">
        <v>126</v>
      </c>
      <c r="F4290" s="35">
        <v>0</v>
      </c>
      <c r="G4290" s="35">
        <v>67.791019271814747</v>
      </c>
      <c r="H4290" s="35">
        <v>-1.482822255076071</v>
      </c>
      <c r="I4290" s="35">
        <v>-1.3047436932042511</v>
      </c>
      <c r="J4290" s="35">
        <v>3.1508755937805416E-4</v>
      </c>
      <c r="K4290" s="35">
        <v>-1.2837715845226823</v>
      </c>
      <c r="L4290" s="35">
        <v>-21.626667063724025</v>
      </c>
      <c r="M4290" s="58" t="s">
        <v>22</v>
      </c>
      <c r="N4290" s="7">
        <v>11.333333333333334</v>
      </c>
      <c r="O4290" s="7" t="s">
        <v>180</v>
      </c>
      <c r="P4290" s="7" t="s">
        <v>180</v>
      </c>
    </row>
    <row r="4291" spans="1:16" x14ac:dyDescent="0.25">
      <c r="A4291" t="s">
        <v>183</v>
      </c>
      <c r="B4291" t="s">
        <v>216</v>
      </c>
      <c r="C4291" s="7" t="s">
        <v>161</v>
      </c>
      <c r="D4291" t="s">
        <v>126</v>
      </c>
      <c r="F4291" s="35">
        <v>0.29999999999999988</v>
      </c>
      <c r="G4291" s="35">
        <v>67.933925111814744</v>
      </c>
      <c r="H4291" s="35">
        <v>-1.482822255076071</v>
      </c>
      <c r="I4291" s="35">
        <v>-1.3047436932042511</v>
      </c>
      <c r="J4291" s="35">
        <v>3.1508755937805416E-4</v>
      </c>
      <c r="K4291" s="35">
        <v>-0.89234847656140703</v>
      </c>
      <c r="L4291" s="35">
        <v>-21.181820387201199</v>
      </c>
      <c r="M4291" s="58" t="s">
        <v>22</v>
      </c>
      <c r="N4291" s="7">
        <v>11.333333333333334</v>
      </c>
      <c r="O4291" s="7" t="s">
        <v>180</v>
      </c>
      <c r="P4291" s="7" t="s">
        <v>180</v>
      </c>
    </row>
    <row r="4292" spans="1:16" x14ac:dyDescent="0.25">
      <c r="A4292" t="s">
        <v>183</v>
      </c>
      <c r="B4292" t="s">
        <v>216</v>
      </c>
      <c r="C4292" s="7" t="s">
        <v>161</v>
      </c>
      <c r="D4292" t="s">
        <v>126</v>
      </c>
      <c r="F4292" s="35">
        <v>0.29999999999999988</v>
      </c>
      <c r="G4292" s="35">
        <v>51.86273560949008</v>
      </c>
      <c r="H4292" s="35">
        <v>-1.482822255076067</v>
      </c>
      <c r="I4292" s="35">
        <v>-0.29349807703405018</v>
      </c>
      <c r="J4292" s="35">
        <v>1.0015358168626249E-4</v>
      </c>
      <c r="K4292" s="35">
        <v>-0.89234847656140837</v>
      </c>
      <c r="L4292" s="35">
        <v>-21.181807491162544</v>
      </c>
      <c r="M4292" s="58" t="s">
        <v>22</v>
      </c>
      <c r="N4292" s="7">
        <v>11.333333333333334</v>
      </c>
      <c r="O4292" s="7" t="s">
        <v>180</v>
      </c>
      <c r="P4292" s="7" t="s">
        <v>180</v>
      </c>
    </row>
    <row r="4293" spans="1:16" x14ac:dyDescent="0.25">
      <c r="A4293" t="s">
        <v>183</v>
      </c>
      <c r="B4293" t="s">
        <v>216</v>
      </c>
      <c r="C4293" s="7" t="s">
        <v>161</v>
      </c>
      <c r="D4293" t="s">
        <v>126</v>
      </c>
      <c r="F4293" s="35">
        <v>5.3</v>
      </c>
      <c r="G4293" s="35">
        <v>54.244499609490077</v>
      </c>
      <c r="H4293" s="35">
        <v>-1.482822255076067</v>
      </c>
      <c r="I4293" s="35">
        <v>-0.29349807703405018</v>
      </c>
      <c r="J4293" s="35">
        <v>1.0015358168626249E-4</v>
      </c>
      <c r="K4293" s="35">
        <v>0.57514190860884262</v>
      </c>
      <c r="L4293" s="35">
        <v>-13.767696215782212</v>
      </c>
      <c r="M4293" s="58" t="s">
        <v>24</v>
      </c>
      <c r="N4293" s="7">
        <v>11.333333333333334</v>
      </c>
      <c r="O4293" s="7" t="s">
        <v>180</v>
      </c>
      <c r="P4293" s="7" t="s">
        <v>180</v>
      </c>
    </row>
    <row r="4294" spans="1:16" x14ac:dyDescent="0.25">
      <c r="A4294" t="s">
        <v>183</v>
      </c>
      <c r="B4294" t="s">
        <v>216</v>
      </c>
      <c r="C4294" s="7" t="s">
        <v>161</v>
      </c>
      <c r="D4294" t="s">
        <v>126</v>
      </c>
      <c r="F4294" s="35">
        <v>5.3</v>
      </c>
      <c r="G4294" s="35">
        <v>71.329771963412071</v>
      </c>
      <c r="H4294" s="35">
        <v>-1.4828278632245466</v>
      </c>
      <c r="I4294" s="35">
        <v>0.10671063851476464</v>
      </c>
      <c r="J4294" s="35">
        <v>-1.7001759297098448E-5</v>
      </c>
      <c r="K4294" s="35">
        <v>0.57514190860884207</v>
      </c>
      <c r="L4294" s="35">
        <v>-13.767615363814054</v>
      </c>
      <c r="M4294" s="58" t="s">
        <v>24</v>
      </c>
      <c r="N4294" s="7">
        <v>11.333333333333334</v>
      </c>
      <c r="O4294" s="7" t="s">
        <v>180</v>
      </c>
      <c r="P4294" s="7" t="s">
        <v>180</v>
      </c>
    </row>
    <row r="4295" spans="1:16" x14ac:dyDescent="0.25">
      <c r="A4295" t="s">
        <v>183</v>
      </c>
      <c r="B4295" t="s">
        <v>216</v>
      </c>
      <c r="C4295" s="7" t="s">
        <v>161</v>
      </c>
      <c r="D4295" t="s">
        <v>126</v>
      </c>
      <c r="F4295" s="35">
        <v>5.4149169609489114</v>
      </c>
      <c r="G4295" s="35">
        <v>71.384512979527571</v>
      </c>
      <c r="H4295" s="35">
        <v>-1.4828278632245466</v>
      </c>
      <c r="I4295" s="35">
        <v>0.10671063851476464</v>
      </c>
      <c r="J4295" s="35">
        <v>-1.7001759297098448E-5</v>
      </c>
      <c r="K4295" s="35">
        <v>0.56287904632980734</v>
      </c>
      <c r="L4295" s="35">
        <v>-13.59721329216192</v>
      </c>
      <c r="M4295" s="58" t="s">
        <v>24</v>
      </c>
      <c r="N4295" s="7">
        <v>11.333333333333334</v>
      </c>
      <c r="O4295" s="7" t="s">
        <v>180</v>
      </c>
      <c r="P4295" s="7" t="s">
        <v>180</v>
      </c>
    </row>
    <row r="4296" spans="1:16" x14ac:dyDescent="0.25">
      <c r="A4296" t="s">
        <v>183</v>
      </c>
      <c r="B4296" t="s">
        <v>216</v>
      </c>
      <c r="C4296" s="7" t="s">
        <v>161</v>
      </c>
      <c r="D4296" t="s">
        <v>126</v>
      </c>
      <c r="F4296" s="35">
        <v>10.829833921897823</v>
      </c>
      <c r="G4296" s="35">
        <v>73.963923835643087</v>
      </c>
      <c r="H4296" s="35">
        <v>-1.4828278632245466</v>
      </c>
      <c r="I4296" s="35">
        <v>0.10671063851476464</v>
      </c>
      <c r="J4296" s="35">
        <v>-1.7001759297098448E-5</v>
      </c>
      <c r="K4296" s="35">
        <v>-1.4950200077479695E-2</v>
      </c>
      <c r="L4296" s="35">
        <v>-5.5678235454196914</v>
      </c>
      <c r="M4296" s="58" t="s">
        <v>23</v>
      </c>
      <c r="N4296" s="7">
        <v>11.333333333333334</v>
      </c>
      <c r="O4296" s="7" t="s">
        <v>180</v>
      </c>
      <c r="P4296" s="7" t="s">
        <v>180</v>
      </c>
    </row>
    <row r="4297" spans="1:16" x14ac:dyDescent="0.25">
      <c r="A4297" t="s">
        <v>183</v>
      </c>
      <c r="B4297" t="s">
        <v>216</v>
      </c>
      <c r="C4297" s="7" t="s">
        <v>161</v>
      </c>
      <c r="D4297" t="s">
        <v>127</v>
      </c>
      <c r="F4297" s="35">
        <v>0</v>
      </c>
      <c r="G4297" s="35">
        <v>-146.37147186795488</v>
      </c>
      <c r="H4297" s="35">
        <v>-14.859450906680761</v>
      </c>
      <c r="I4297" s="35">
        <v>1.2142030891047833</v>
      </c>
      <c r="J4297" s="35">
        <v>2.7201819009439412E-4</v>
      </c>
      <c r="K4297" s="35">
        <v>-0.11414589285230657</v>
      </c>
      <c r="L4297" s="35">
        <v>-85.993153867279148</v>
      </c>
      <c r="M4297" s="58" t="s">
        <v>22</v>
      </c>
      <c r="N4297" s="7">
        <v>11.333333333333334</v>
      </c>
      <c r="O4297" s="7" t="s">
        <v>180</v>
      </c>
      <c r="P4297" s="7" t="s">
        <v>180</v>
      </c>
    </row>
    <row r="4298" spans="1:16" x14ac:dyDescent="0.25">
      <c r="A4298" t="s">
        <v>183</v>
      </c>
      <c r="B4298" t="s">
        <v>216</v>
      </c>
      <c r="C4298" s="7" t="s">
        <v>161</v>
      </c>
      <c r="D4298" t="s">
        <v>127</v>
      </c>
      <c r="F4298" s="35">
        <v>0.29999999999999988</v>
      </c>
      <c r="G4298" s="35">
        <v>-146.22856602795488</v>
      </c>
      <c r="H4298" s="35">
        <v>-14.859450906680761</v>
      </c>
      <c r="I4298" s="35">
        <v>1.2142030891047833</v>
      </c>
      <c r="J4298" s="35">
        <v>2.7201819009439412E-4</v>
      </c>
      <c r="K4298" s="35">
        <v>-0.47840681958374132</v>
      </c>
      <c r="L4298" s="35">
        <v>-81.535318595274916</v>
      </c>
      <c r="M4298" s="58" t="s">
        <v>22</v>
      </c>
      <c r="N4298" s="7">
        <v>11.333333333333334</v>
      </c>
      <c r="O4298" s="7" t="s">
        <v>180</v>
      </c>
      <c r="P4298" s="7" t="s">
        <v>180</v>
      </c>
    </row>
    <row r="4299" spans="1:16" x14ac:dyDescent="0.25">
      <c r="A4299" t="s">
        <v>183</v>
      </c>
      <c r="B4299" t="s">
        <v>216</v>
      </c>
      <c r="C4299" s="7" t="s">
        <v>161</v>
      </c>
      <c r="D4299" t="s">
        <v>127</v>
      </c>
      <c r="F4299" s="35">
        <v>0.29999999999999988</v>
      </c>
      <c r="G4299" s="35">
        <v>-122.61696568232927</v>
      </c>
      <c r="H4299" s="35">
        <v>-14.859450906680792</v>
      </c>
      <c r="I4299" s="35">
        <v>-0.15551868560196894</v>
      </c>
      <c r="J4299" s="35">
        <v>-1.733485175306894E-4</v>
      </c>
      <c r="K4299" s="35">
        <v>-0.47840681958374098</v>
      </c>
      <c r="L4299" s="35">
        <v>-81.535291873272499</v>
      </c>
      <c r="M4299" s="58" t="s">
        <v>22</v>
      </c>
      <c r="N4299" s="7">
        <v>11.333333333333334</v>
      </c>
      <c r="O4299" s="7" t="s">
        <v>180</v>
      </c>
      <c r="P4299" s="7" t="s">
        <v>180</v>
      </c>
    </row>
    <row r="4300" spans="1:16" x14ac:dyDescent="0.25">
      <c r="A4300" t="s">
        <v>183</v>
      </c>
      <c r="B4300" t="s">
        <v>216</v>
      </c>
      <c r="C4300" s="7" t="s">
        <v>161</v>
      </c>
      <c r="D4300" t="s">
        <v>127</v>
      </c>
      <c r="F4300" s="35">
        <v>5.3</v>
      </c>
      <c r="G4300" s="35">
        <v>-120.23520168232928</v>
      </c>
      <c r="H4300" s="35">
        <v>-14.859450906680792</v>
      </c>
      <c r="I4300" s="35">
        <v>-0.15551868560196894</v>
      </c>
      <c r="J4300" s="35">
        <v>-1.733485175306894E-4</v>
      </c>
      <c r="K4300" s="35">
        <v>0.29918660842610356</v>
      </c>
      <c r="L4300" s="35">
        <v>-7.2380373398685363</v>
      </c>
      <c r="M4300" s="58" t="s">
        <v>24</v>
      </c>
      <c r="N4300" s="7">
        <v>11.333333333333334</v>
      </c>
      <c r="O4300" s="7" t="s">
        <v>180</v>
      </c>
      <c r="P4300" s="7" t="s">
        <v>180</v>
      </c>
    </row>
    <row r="4301" spans="1:16" x14ac:dyDescent="0.25">
      <c r="A4301" t="s">
        <v>183</v>
      </c>
      <c r="B4301" t="s">
        <v>216</v>
      </c>
      <c r="C4301" s="7" t="s">
        <v>161</v>
      </c>
      <c r="D4301" t="s">
        <v>127</v>
      </c>
      <c r="F4301" s="35">
        <v>5.3</v>
      </c>
      <c r="G4301" s="35">
        <v>-139.71184733553534</v>
      </c>
      <c r="H4301" s="35">
        <v>-14.859396867912192</v>
      </c>
      <c r="I4301" s="35">
        <v>6.0880933340858E-2</v>
      </c>
      <c r="J4301" s="35">
        <v>1.1575644911033214E-4</v>
      </c>
      <c r="K4301" s="35">
        <v>0.29918660842610395</v>
      </c>
      <c r="L4301" s="35">
        <v>-7.2384532879972658</v>
      </c>
      <c r="M4301" s="58" t="s">
        <v>24</v>
      </c>
      <c r="N4301" s="7">
        <v>11.333333333333334</v>
      </c>
      <c r="O4301" s="7" t="s">
        <v>180</v>
      </c>
      <c r="P4301" s="7" t="s">
        <v>180</v>
      </c>
    </row>
    <row r="4302" spans="1:16" x14ac:dyDescent="0.25">
      <c r="A4302" t="s">
        <v>183</v>
      </c>
      <c r="B4302" t="s">
        <v>216</v>
      </c>
      <c r="C4302" s="7" t="s">
        <v>161</v>
      </c>
      <c r="D4302" t="s">
        <v>127</v>
      </c>
      <c r="F4302" s="35">
        <v>5.4149169609489114</v>
      </c>
      <c r="G4302" s="35">
        <v>-139.65710631941982</v>
      </c>
      <c r="H4302" s="35">
        <v>-14.859396867912192</v>
      </c>
      <c r="I4302" s="35">
        <v>6.0880933340858E-2</v>
      </c>
      <c r="J4302" s="35">
        <v>1.1575644911033214E-4</v>
      </c>
      <c r="K4302" s="35">
        <v>0.29219035658683923</v>
      </c>
      <c r="L4302" s="35">
        <v>-5.5308565584030216</v>
      </c>
      <c r="M4302" s="58" t="s">
        <v>24</v>
      </c>
      <c r="N4302" s="7">
        <v>11.333333333333334</v>
      </c>
      <c r="O4302" s="7" t="s">
        <v>180</v>
      </c>
      <c r="P4302" s="7" t="s">
        <v>180</v>
      </c>
    </row>
    <row r="4303" spans="1:16" x14ac:dyDescent="0.25">
      <c r="A4303" t="s">
        <v>183</v>
      </c>
      <c r="B4303" t="s">
        <v>216</v>
      </c>
      <c r="C4303" s="7" t="s">
        <v>161</v>
      </c>
      <c r="D4303" t="s">
        <v>127</v>
      </c>
      <c r="F4303" s="35">
        <v>10.829833921897823</v>
      </c>
      <c r="G4303" s="35">
        <v>-137.07769546330431</v>
      </c>
      <c r="H4303" s="35">
        <v>-14.859396867912192</v>
      </c>
      <c r="I4303" s="35">
        <v>6.0880933340858E-2</v>
      </c>
      <c r="J4303" s="35">
        <v>1.1575644911033214E-4</v>
      </c>
      <c r="K4303" s="35">
        <v>-3.7474841958972702E-2</v>
      </c>
      <c r="L4303" s="35">
        <v>74.931543571125815</v>
      </c>
      <c r="M4303" s="58" t="s">
        <v>23</v>
      </c>
      <c r="N4303" s="7">
        <v>11.333333333333334</v>
      </c>
      <c r="O4303" s="7" t="s">
        <v>180</v>
      </c>
      <c r="P4303" s="7" t="s">
        <v>180</v>
      </c>
    </row>
    <row r="4304" spans="1:16" x14ac:dyDescent="0.25">
      <c r="A4304" t="s">
        <v>181</v>
      </c>
      <c r="B4304" t="s">
        <v>217</v>
      </c>
      <c r="C4304" s="7" t="s">
        <v>102</v>
      </c>
      <c r="D4304" t="s">
        <v>105</v>
      </c>
      <c r="F4304" s="35">
        <v>0</v>
      </c>
      <c r="G4304" s="35">
        <v>-48.754752908799553</v>
      </c>
      <c r="H4304" s="35">
        <v>18.975151390322821</v>
      </c>
      <c r="I4304" s="35">
        <v>5.5824750282790075E-2</v>
      </c>
      <c r="J4304" s="35">
        <v>3.2048364741404277E-5</v>
      </c>
      <c r="K4304" s="35">
        <v>7.7590095301736703E-2</v>
      </c>
      <c r="L4304" s="35">
        <v>60.761316371528551</v>
      </c>
      <c r="M4304" s="58" t="s">
        <v>22</v>
      </c>
      <c r="N4304" s="7">
        <v>9.5</v>
      </c>
      <c r="O4304" s="7" t="s">
        <v>179</v>
      </c>
      <c r="P4304" s="7" t="s">
        <v>179</v>
      </c>
    </row>
    <row r="4305" spans="1:16" x14ac:dyDescent="0.25">
      <c r="A4305" t="s">
        <v>181</v>
      </c>
      <c r="B4305" t="s">
        <v>217</v>
      </c>
      <c r="C4305" s="7" t="s">
        <v>102</v>
      </c>
      <c r="D4305" t="s">
        <v>105</v>
      </c>
      <c r="F4305" s="35">
        <v>2</v>
      </c>
      <c r="G4305" s="35">
        <v>-47.940955308799566</v>
      </c>
      <c r="H4305" s="35">
        <v>18.975151390322821</v>
      </c>
      <c r="I4305" s="35">
        <v>5.5824750282790075E-2</v>
      </c>
      <c r="J4305" s="35">
        <v>3.2048364741404277E-5</v>
      </c>
      <c r="K4305" s="35">
        <v>-3.4059405263843413E-2</v>
      </c>
      <c r="L4305" s="35">
        <v>22.811013590882904</v>
      </c>
      <c r="M4305" s="58" t="s">
        <v>22</v>
      </c>
      <c r="N4305" s="7">
        <v>9.5</v>
      </c>
      <c r="O4305" s="7" t="s">
        <v>179</v>
      </c>
      <c r="P4305" s="7" t="s">
        <v>179</v>
      </c>
    </row>
    <row r="4306" spans="1:16" x14ac:dyDescent="0.25">
      <c r="A4306" t="s">
        <v>181</v>
      </c>
      <c r="B4306" t="s">
        <v>217</v>
      </c>
      <c r="C4306" s="7" t="s">
        <v>102</v>
      </c>
      <c r="D4306" t="s">
        <v>105</v>
      </c>
      <c r="F4306" s="35">
        <v>2</v>
      </c>
      <c r="G4306" s="35">
        <v>-47.865390670196604</v>
      </c>
      <c r="H4306" s="35">
        <v>18.975140288840365</v>
      </c>
      <c r="I4306" s="35">
        <v>-3.7667575570628931E-3</v>
      </c>
      <c r="J4306" s="35">
        <v>-2.7374348777398993E-5</v>
      </c>
      <c r="K4306" s="35">
        <v>-3.4059405263843399E-2</v>
      </c>
      <c r="L4306" s="35">
        <v>22.811076975110637</v>
      </c>
      <c r="M4306" s="58" t="s">
        <v>22</v>
      </c>
      <c r="N4306" s="7">
        <v>9.5</v>
      </c>
      <c r="O4306" s="7" t="s">
        <v>179</v>
      </c>
      <c r="P4306" s="7" t="s">
        <v>179</v>
      </c>
    </row>
    <row r="4307" spans="1:16" x14ac:dyDescent="0.25">
      <c r="A4307" t="s">
        <v>181</v>
      </c>
      <c r="B4307" t="s">
        <v>217</v>
      </c>
      <c r="C4307" s="7" t="s">
        <v>102</v>
      </c>
      <c r="D4307" t="s">
        <v>105</v>
      </c>
      <c r="F4307" s="35">
        <v>4.4982502942822453</v>
      </c>
      <c r="G4307" s="35">
        <v>-46.848855623353508</v>
      </c>
      <c r="H4307" s="35">
        <v>18.975140288840365</v>
      </c>
      <c r="I4307" s="35">
        <v>-3.7667575570628931E-3</v>
      </c>
      <c r="J4307" s="35">
        <v>-2.7374348777398993E-5</v>
      </c>
      <c r="K4307" s="35">
        <v>-2.4649102088421155E-2</v>
      </c>
      <c r="L4307" s="35">
        <v>-24.593572835531674</v>
      </c>
      <c r="M4307" s="58" t="s">
        <v>24</v>
      </c>
      <c r="N4307" s="7">
        <v>9.5</v>
      </c>
      <c r="O4307" s="7" t="s">
        <v>179</v>
      </c>
      <c r="P4307" s="7" t="s">
        <v>179</v>
      </c>
    </row>
    <row r="4308" spans="1:16" x14ac:dyDescent="0.25">
      <c r="A4308" t="s">
        <v>181</v>
      </c>
      <c r="B4308" t="s">
        <v>217</v>
      </c>
      <c r="C4308" s="7" t="s">
        <v>102</v>
      </c>
      <c r="D4308" t="s">
        <v>105</v>
      </c>
      <c r="F4308" s="35">
        <v>8.9965005885644906</v>
      </c>
      <c r="G4308" s="35">
        <v>-45.018522976510418</v>
      </c>
      <c r="H4308" s="35">
        <v>18.975140288840365</v>
      </c>
      <c r="I4308" s="35">
        <v>-3.7667575570628931E-3</v>
      </c>
      <c r="J4308" s="35">
        <v>-2.7374348777398993E-5</v>
      </c>
      <c r="K4308" s="35">
        <v>-7.7052837988731268E-3</v>
      </c>
      <c r="L4308" s="35">
        <v>-109.9485032238547</v>
      </c>
      <c r="M4308" s="58" t="s">
        <v>23</v>
      </c>
      <c r="N4308" s="7">
        <v>9.5</v>
      </c>
      <c r="O4308" s="7" t="s">
        <v>179</v>
      </c>
      <c r="P4308" s="7" t="s">
        <v>179</v>
      </c>
    </row>
    <row r="4309" spans="1:16" x14ac:dyDescent="0.25">
      <c r="A4309" t="s">
        <v>181</v>
      </c>
      <c r="B4309" t="s">
        <v>217</v>
      </c>
      <c r="C4309" s="7" t="s">
        <v>102</v>
      </c>
      <c r="D4309" t="s">
        <v>15</v>
      </c>
      <c r="F4309" s="35">
        <v>0</v>
      </c>
      <c r="G4309" s="35">
        <v>70.941102010066061</v>
      </c>
      <c r="H4309" s="35">
        <v>-4.8153985265296093</v>
      </c>
      <c r="I4309" s="35">
        <v>-4.4173054390449877</v>
      </c>
      <c r="J4309" s="35">
        <v>1.3192813258404586E-4</v>
      </c>
      <c r="K4309" s="35">
        <v>-7.0384336319406815</v>
      </c>
      <c r="L4309" s="35">
        <v>-46.801178472674849</v>
      </c>
      <c r="M4309" s="58" t="s">
        <v>22</v>
      </c>
      <c r="N4309" s="7">
        <v>9.5</v>
      </c>
      <c r="O4309" s="7" t="s">
        <v>179</v>
      </c>
      <c r="P4309" s="7" t="s">
        <v>179</v>
      </c>
    </row>
    <row r="4310" spans="1:16" x14ac:dyDescent="0.25">
      <c r="A4310" t="s">
        <v>181</v>
      </c>
      <c r="B4310" t="s">
        <v>217</v>
      </c>
      <c r="C4310" s="7" t="s">
        <v>102</v>
      </c>
      <c r="D4310" t="s">
        <v>15</v>
      </c>
      <c r="F4310" s="35">
        <v>2</v>
      </c>
      <c r="G4310" s="35">
        <v>71.754899610066047</v>
      </c>
      <c r="H4310" s="35">
        <v>-13.21539852652961</v>
      </c>
      <c r="I4310" s="35">
        <v>-4.4173054390449886</v>
      </c>
      <c r="J4310" s="35">
        <v>1.3192813258404586E-4</v>
      </c>
      <c r="K4310" s="35">
        <v>1.7961772461492946</v>
      </c>
      <c r="L4310" s="35">
        <v>-28.770381419615635</v>
      </c>
      <c r="M4310" s="58" t="s">
        <v>22</v>
      </c>
      <c r="N4310" s="7">
        <v>9.5</v>
      </c>
      <c r="O4310" s="7" t="s">
        <v>179</v>
      </c>
      <c r="P4310" s="7" t="s">
        <v>179</v>
      </c>
    </row>
    <row r="4311" spans="1:16" x14ac:dyDescent="0.25">
      <c r="A4311" t="s">
        <v>181</v>
      </c>
      <c r="B4311" t="s">
        <v>217</v>
      </c>
      <c r="C4311" s="7" t="s">
        <v>102</v>
      </c>
      <c r="D4311" t="s">
        <v>15</v>
      </c>
      <c r="F4311" s="35">
        <v>2</v>
      </c>
      <c r="G4311" s="35">
        <v>67.40815273773508</v>
      </c>
      <c r="H4311" s="35">
        <v>-13.215378923208275</v>
      </c>
      <c r="I4311" s="35">
        <v>0.24023144368669674</v>
      </c>
      <c r="J4311" s="35">
        <v>1.9565530020395459E-4</v>
      </c>
      <c r="K4311" s="35">
        <v>1.7961772461492993</v>
      </c>
      <c r="L4311" s="35">
        <v>-28.770449395261092</v>
      </c>
      <c r="M4311" s="58" t="s">
        <v>22</v>
      </c>
      <c r="N4311" s="7">
        <v>9.5</v>
      </c>
      <c r="O4311" s="7" t="s">
        <v>179</v>
      </c>
      <c r="P4311" s="7" t="s">
        <v>179</v>
      </c>
    </row>
    <row r="4312" spans="1:16" x14ac:dyDescent="0.25">
      <c r="A4312" t="s">
        <v>181</v>
      </c>
      <c r="B4312" t="s">
        <v>217</v>
      </c>
      <c r="C4312" s="7" t="s">
        <v>102</v>
      </c>
      <c r="D4312" t="s">
        <v>15</v>
      </c>
      <c r="F4312" s="35">
        <v>4.4982502942822453</v>
      </c>
      <c r="G4312" s="35">
        <v>68.424687784578154</v>
      </c>
      <c r="H4312" s="35">
        <v>-23.708030159193708</v>
      </c>
      <c r="I4312" s="35">
        <v>0.24023144368669608</v>
      </c>
      <c r="J4312" s="35">
        <v>1.9565530020395459E-4</v>
      </c>
      <c r="K4312" s="35">
        <v>1.1960189712631615</v>
      </c>
      <c r="L4312" s="35">
        <v>17.351509407746136</v>
      </c>
      <c r="M4312" s="58" t="s">
        <v>24</v>
      </c>
      <c r="N4312" s="7">
        <v>9.5</v>
      </c>
      <c r="O4312" s="7" t="s">
        <v>179</v>
      </c>
      <c r="P4312" s="7" t="s">
        <v>179</v>
      </c>
    </row>
    <row r="4313" spans="1:16" x14ac:dyDescent="0.25">
      <c r="A4313" t="s">
        <v>181</v>
      </c>
      <c r="B4313" t="s">
        <v>217</v>
      </c>
      <c r="C4313" s="7" t="s">
        <v>102</v>
      </c>
      <c r="D4313" t="s">
        <v>15</v>
      </c>
      <c r="F4313" s="35">
        <v>8.9965005885644906</v>
      </c>
      <c r="G4313" s="35">
        <v>70.255020431421244</v>
      </c>
      <c r="H4313" s="35">
        <v>-42.600681395179137</v>
      </c>
      <c r="I4313" s="35">
        <v>0.24023144368669494</v>
      </c>
      <c r="J4313" s="35">
        <v>1.9565530020395459E-4</v>
      </c>
      <c r="K4313" s="35">
        <v>0.11539780900363482</v>
      </c>
      <c r="L4313" s="35">
        <v>166.48810003921321</v>
      </c>
      <c r="M4313" s="58" t="s">
        <v>23</v>
      </c>
      <c r="N4313" s="7">
        <v>9.5</v>
      </c>
      <c r="O4313" s="7" t="s">
        <v>179</v>
      </c>
      <c r="P4313" s="7" t="s">
        <v>179</v>
      </c>
    </row>
    <row r="4314" spans="1:16" x14ac:dyDescent="0.25">
      <c r="A4314" t="s">
        <v>181</v>
      </c>
      <c r="B4314" t="s">
        <v>217</v>
      </c>
      <c r="C4314" s="7" t="s">
        <v>102</v>
      </c>
      <c r="D4314" t="s">
        <v>16</v>
      </c>
      <c r="F4314" s="35">
        <v>0</v>
      </c>
      <c r="G4314" s="35">
        <v>28.348100949015404</v>
      </c>
      <c r="H4314" s="35">
        <v>-0.30691016014896827</v>
      </c>
      <c r="I4314" s="35">
        <v>-3.9447463864828829</v>
      </c>
      <c r="J4314" s="35">
        <v>1.1656823818799321E-4</v>
      </c>
      <c r="K4314" s="35">
        <v>-6.3111655066438956</v>
      </c>
      <c r="L4314" s="35">
        <v>-14.680103464039899</v>
      </c>
      <c r="M4314" s="58" t="s">
        <v>22</v>
      </c>
      <c r="N4314" s="7">
        <v>9.5</v>
      </c>
      <c r="O4314" s="7" t="s">
        <v>179</v>
      </c>
      <c r="P4314" s="7" t="s">
        <v>179</v>
      </c>
    </row>
    <row r="4315" spans="1:16" x14ac:dyDescent="0.25">
      <c r="A4315" t="s">
        <v>181</v>
      </c>
      <c r="B4315" t="s">
        <v>217</v>
      </c>
      <c r="C4315" s="7" t="s">
        <v>102</v>
      </c>
      <c r="D4315" t="s">
        <v>16</v>
      </c>
      <c r="F4315" s="35">
        <v>2</v>
      </c>
      <c r="G4315" s="35">
        <v>29.161898549015401</v>
      </c>
      <c r="H4315" s="35">
        <v>-4.0029101601489687</v>
      </c>
      <c r="I4315" s="35">
        <v>-3.9447463864828829</v>
      </c>
      <c r="J4315" s="35">
        <v>1.1656823818799321E-4</v>
      </c>
      <c r="K4315" s="35">
        <v>1.5783272663218701</v>
      </c>
      <c r="L4315" s="35">
        <v>-10.370283143741968</v>
      </c>
      <c r="M4315" s="58" t="s">
        <v>22</v>
      </c>
      <c r="N4315" s="7">
        <v>9.5</v>
      </c>
      <c r="O4315" s="7" t="s">
        <v>179</v>
      </c>
      <c r="P4315" s="7" t="s">
        <v>179</v>
      </c>
    </row>
    <row r="4316" spans="1:16" x14ac:dyDescent="0.25">
      <c r="A4316" t="s">
        <v>181</v>
      </c>
      <c r="B4316" t="s">
        <v>217</v>
      </c>
      <c r="C4316" s="7" t="s">
        <v>102</v>
      </c>
      <c r="D4316" t="s">
        <v>16</v>
      </c>
      <c r="F4316" s="35">
        <v>2</v>
      </c>
      <c r="G4316" s="35">
        <v>25.285398832570941</v>
      </c>
      <c r="H4316" s="35">
        <v>-4.0029013250545304</v>
      </c>
      <c r="I4316" s="35">
        <v>0.21119571466359052</v>
      </c>
      <c r="J4316" s="35">
        <v>1.3941389755025676E-4</v>
      </c>
      <c r="K4316" s="35">
        <v>1.578327266321871</v>
      </c>
      <c r="L4316" s="35">
        <v>-10.370307512445253</v>
      </c>
      <c r="M4316" s="58" t="s">
        <v>22</v>
      </c>
      <c r="N4316" s="7">
        <v>9.5</v>
      </c>
      <c r="O4316" s="7" t="s">
        <v>179</v>
      </c>
      <c r="P4316" s="7" t="s">
        <v>179</v>
      </c>
    </row>
    <row r="4317" spans="1:16" x14ac:dyDescent="0.25">
      <c r="A4317" t="s">
        <v>181</v>
      </c>
      <c r="B4317" t="s">
        <v>217</v>
      </c>
      <c r="C4317" s="7" t="s">
        <v>102</v>
      </c>
      <c r="D4317" t="s">
        <v>16</v>
      </c>
      <c r="F4317" s="35">
        <v>4.4982502942822453</v>
      </c>
      <c r="G4317" s="35">
        <v>26.301933879414033</v>
      </c>
      <c r="H4317" s="35">
        <v>-8.6196678688881203</v>
      </c>
      <c r="I4317" s="35">
        <v>0.21119571466359027</v>
      </c>
      <c r="J4317" s="35">
        <v>1.3941389755025676E-4</v>
      </c>
      <c r="K4317" s="35">
        <v>1.0507075100124073</v>
      </c>
      <c r="L4317" s="35">
        <v>5.396861089237353</v>
      </c>
      <c r="M4317" s="58" t="s">
        <v>24</v>
      </c>
      <c r="N4317" s="7">
        <v>9.5</v>
      </c>
      <c r="O4317" s="7" t="s">
        <v>179</v>
      </c>
      <c r="P4317" s="7" t="s">
        <v>179</v>
      </c>
    </row>
    <row r="4318" spans="1:16" x14ac:dyDescent="0.25">
      <c r="A4318" t="s">
        <v>181</v>
      </c>
      <c r="B4318" t="s">
        <v>217</v>
      </c>
      <c r="C4318" s="7" t="s">
        <v>102</v>
      </c>
      <c r="D4318" t="s">
        <v>16</v>
      </c>
      <c r="F4318" s="35">
        <v>8.9965005885644906</v>
      </c>
      <c r="G4318" s="35">
        <v>28.132266526257126</v>
      </c>
      <c r="H4318" s="35">
        <v>-16.932434412721708</v>
      </c>
      <c r="I4318" s="35">
        <v>0.21119571466358975</v>
      </c>
      <c r="J4318" s="35">
        <v>1.3941389755025676E-4</v>
      </c>
      <c r="K4318" s="35">
        <v>0.10069632437576453</v>
      </c>
      <c r="L4318" s="35">
        <v>62.866736893128063</v>
      </c>
      <c r="M4318" s="58" t="s">
        <v>23</v>
      </c>
      <c r="N4318" s="7">
        <v>9.5</v>
      </c>
      <c r="O4318" s="7" t="s">
        <v>179</v>
      </c>
      <c r="P4318" s="7" t="s">
        <v>179</v>
      </c>
    </row>
    <row r="4319" spans="1:16" x14ac:dyDescent="0.25">
      <c r="A4319" t="s">
        <v>181</v>
      </c>
      <c r="B4319" t="s">
        <v>217</v>
      </c>
      <c r="C4319" s="7" t="s">
        <v>102</v>
      </c>
      <c r="D4319" t="s">
        <v>106</v>
      </c>
      <c r="F4319" s="35">
        <v>0</v>
      </c>
      <c r="G4319" s="35">
        <v>54.018477947822305</v>
      </c>
      <c r="H4319" s="35">
        <v>-4.8299823188657891</v>
      </c>
      <c r="I4319" s="35">
        <v>4.2754400213964177</v>
      </c>
      <c r="J4319" s="35">
        <v>-2.0710087934440788E-4</v>
      </c>
      <c r="K4319" s="35">
        <v>6.8424088421645015</v>
      </c>
      <c r="L4319" s="35">
        <v>-46.316404122176429</v>
      </c>
      <c r="M4319" s="58" t="s">
        <v>22</v>
      </c>
      <c r="N4319" s="7">
        <v>9.5</v>
      </c>
      <c r="O4319" s="7" t="s">
        <v>179</v>
      </c>
      <c r="P4319" s="7" t="s">
        <v>179</v>
      </c>
    </row>
    <row r="4320" spans="1:16" x14ac:dyDescent="0.25">
      <c r="A4320" t="s">
        <v>181</v>
      </c>
      <c r="B4320" t="s">
        <v>217</v>
      </c>
      <c r="C4320" s="7" t="s">
        <v>102</v>
      </c>
      <c r="D4320" t="s">
        <v>106</v>
      </c>
      <c r="F4320" s="35">
        <v>2</v>
      </c>
      <c r="G4320" s="35">
        <v>54.832275547822299</v>
      </c>
      <c r="H4320" s="35">
        <v>-13.229982318865785</v>
      </c>
      <c r="I4320" s="35">
        <v>4.2754400213964168</v>
      </c>
      <c r="J4320" s="35">
        <v>-2.0710087934440788E-4</v>
      </c>
      <c r="K4320" s="35">
        <v>-1.7084712006283316</v>
      </c>
      <c r="L4320" s="35">
        <v>-28.256439484444858</v>
      </c>
      <c r="M4320" s="58" t="s">
        <v>22</v>
      </c>
      <c r="N4320" s="7">
        <v>9.5</v>
      </c>
      <c r="O4320" s="7" t="s">
        <v>179</v>
      </c>
      <c r="P4320" s="7" t="s">
        <v>179</v>
      </c>
    </row>
    <row r="4321" spans="1:16" x14ac:dyDescent="0.25">
      <c r="A4321" t="s">
        <v>181</v>
      </c>
      <c r="B4321" t="s">
        <v>217</v>
      </c>
      <c r="C4321" s="7" t="s">
        <v>102</v>
      </c>
      <c r="D4321" t="s">
        <v>106</v>
      </c>
      <c r="F4321" s="35">
        <v>2</v>
      </c>
      <c r="G4321" s="35">
        <v>59.073067807536617</v>
      </c>
      <c r="H4321" s="35">
        <v>-13.22996798033652</v>
      </c>
      <c r="I4321" s="35">
        <v>-0.22706413616670174</v>
      </c>
      <c r="J4321" s="35">
        <v>-1.4386373693605939E-4</v>
      </c>
      <c r="K4321" s="35">
        <v>-1.70847120062833</v>
      </c>
      <c r="L4321" s="35">
        <v>-28.256506937396786</v>
      </c>
      <c r="M4321" s="58" t="s">
        <v>22</v>
      </c>
      <c r="N4321" s="7">
        <v>9.5</v>
      </c>
      <c r="O4321" s="7" t="s">
        <v>179</v>
      </c>
      <c r="P4321" s="7" t="s">
        <v>179</v>
      </c>
    </row>
    <row r="4322" spans="1:16" x14ac:dyDescent="0.25">
      <c r="A4322" t="s">
        <v>181</v>
      </c>
      <c r="B4322" t="s">
        <v>217</v>
      </c>
      <c r="C4322" s="7" t="s">
        <v>102</v>
      </c>
      <c r="D4322" t="s">
        <v>106</v>
      </c>
      <c r="F4322" s="35">
        <v>4.4982502942822453</v>
      </c>
      <c r="G4322" s="35">
        <v>60.089602854379706</v>
      </c>
      <c r="H4322" s="35">
        <v>-23.722619216321952</v>
      </c>
      <c r="I4322" s="35">
        <v>-0.2270641361667024</v>
      </c>
      <c r="J4322" s="35">
        <v>-1.4386373693605939E-4</v>
      </c>
      <c r="K4322" s="35">
        <v>-1.1412081556289231</v>
      </c>
      <c r="L4322" s="35">
        <v>17.901898981874375</v>
      </c>
      <c r="M4322" s="58" t="s">
        <v>24</v>
      </c>
      <c r="N4322" s="7">
        <v>9.5</v>
      </c>
      <c r="O4322" s="7" t="s">
        <v>179</v>
      </c>
      <c r="P4322" s="7" t="s">
        <v>179</v>
      </c>
    </row>
    <row r="4323" spans="1:16" x14ac:dyDescent="0.25">
      <c r="A4323" t="s">
        <v>181</v>
      </c>
      <c r="B4323" t="s">
        <v>217</v>
      </c>
      <c r="C4323" s="7" t="s">
        <v>102</v>
      </c>
      <c r="D4323" t="s">
        <v>106</v>
      </c>
      <c r="F4323" s="35">
        <v>8.9965005885644906</v>
      </c>
      <c r="G4323" s="35">
        <v>61.919935501222803</v>
      </c>
      <c r="H4323" s="35">
        <v>-42.615270452307385</v>
      </c>
      <c r="I4323" s="35">
        <v>-0.22706413616670357</v>
      </c>
      <c r="J4323" s="35">
        <v>-1.4386373693605939E-4</v>
      </c>
      <c r="K4323" s="35">
        <v>-0.11981683829610788</v>
      </c>
      <c r="L4323" s="35">
        <v>167.10411484386182</v>
      </c>
      <c r="M4323" s="58" t="s">
        <v>23</v>
      </c>
      <c r="N4323" s="7">
        <v>9.5</v>
      </c>
      <c r="O4323" s="7" t="s">
        <v>179</v>
      </c>
      <c r="P4323" s="7" t="s">
        <v>179</v>
      </c>
    </row>
    <row r="4324" spans="1:16" x14ac:dyDescent="0.25">
      <c r="A4324" t="s">
        <v>181</v>
      </c>
      <c r="B4324" t="s">
        <v>217</v>
      </c>
      <c r="C4324" s="7" t="s">
        <v>102</v>
      </c>
      <c r="D4324" t="s">
        <v>107</v>
      </c>
      <c r="F4324" s="35">
        <v>0</v>
      </c>
      <c r="G4324" s="35">
        <v>11.418725812377636</v>
      </c>
      <c r="H4324" s="35">
        <v>-0.32155123843754513</v>
      </c>
      <c r="I4324" s="35">
        <v>4.7513761910866092</v>
      </c>
      <c r="J4324" s="35">
        <v>-2.2192681679755351E-4</v>
      </c>
      <c r="K4324" s="35">
        <v>7.5750672195778757</v>
      </c>
      <c r="L4324" s="35">
        <v>-14.196477418653652</v>
      </c>
      <c r="M4324" s="58" t="s">
        <v>22</v>
      </c>
      <c r="N4324" s="7">
        <v>9.5</v>
      </c>
      <c r="O4324" s="7" t="s">
        <v>179</v>
      </c>
      <c r="P4324" s="7" t="s">
        <v>179</v>
      </c>
    </row>
    <row r="4325" spans="1:16" x14ac:dyDescent="0.25">
      <c r="A4325" t="s">
        <v>181</v>
      </c>
      <c r="B4325" t="s">
        <v>217</v>
      </c>
      <c r="C4325" s="7" t="s">
        <v>102</v>
      </c>
      <c r="D4325" t="s">
        <v>107</v>
      </c>
      <c r="F4325" s="35">
        <v>2</v>
      </c>
      <c r="G4325" s="35">
        <v>12.232523412377633</v>
      </c>
      <c r="H4325" s="35">
        <v>-4.0175512384375462</v>
      </c>
      <c r="I4325" s="35">
        <v>4.7513761910866092</v>
      </c>
      <c r="J4325" s="35">
        <v>-2.2192681679755351E-4</v>
      </c>
      <c r="K4325" s="35">
        <v>-1.9276851625953433</v>
      </c>
      <c r="L4325" s="35">
        <v>-9.8573749417785663</v>
      </c>
      <c r="M4325" s="58" t="s">
        <v>22</v>
      </c>
      <c r="N4325" s="7">
        <v>9.5</v>
      </c>
      <c r="O4325" s="7" t="s">
        <v>179</v>
      </c>
      <c r="P4325" s="7" t="s">
        <v>179</v>
      </c>
    </row>
    <row r="4326" spans="1:16" x14ac:dyDescent="0.25">
      <c r="A4326" t="s">
        <v>181</v>
      </c>
      <c r="B4326" t="s">
        <v>217</v>
      </c>
      <c r="C4326" s="7" t="s">
        <v>102</v>
      </c>
      <c r="D4326" t="s">
        <v>107</v>
      </c>
      <c r="F4326" s="35">
        <v>2</v>
      </c>
      <c r="G4326" s="35">
        <v>16.946899396836759</v>
      </c>
      <c r="H4326" s="35">
        <v>-4.0175476662527441</v>
      </c>
      <c r="I4326" s="35">
        <v>-0.2562817543452372</v>
      </c>
      <c r="J4326" s="35">
        <v>-1.9957117991031628E-4</v>
      </c>
      <c r="K4326" s="35">
        <v>-1.9276851625953433</v>
      </c>
      <c r="L4326" s="35">
        <v>-9.8573987877912863</v>
      </c>
      <c r="M4326" s="58" t="s">
        <v>22</v>
      </c>
      <c r="N4326" s="7">
        <v>9.5</v>
      </c>
      <c r="O4326" s="7" t="s">
        <v>179</v>
      </c>
      <c r="P4326" s="7" t="s">
        <v>179</v>
      </c>
    </row>
    <row r="4327" spans="1:16" x14ac:dyDescent="0.25">
      <c r="A4327" t="s">
        <v>181</v>
      </c>
      <c r="B4327" t="s">
        <v>217</v>
      </c>
      <c r="C4327" s="7" t="s">
        <v>102</v>
      </c>
      <c r="D4327" t="s">
        <v>107</v>
      </c>
      <c r="F4327" s="35">
        <v>4.4982502942822453</v>
      </c>
      <c r="G4327" s="35">
        <v>17.963434443679848</v>
      </c>
      <c r="H4327" s="35">
        <v>-8.6343142100863322</v>
      </c>
      <c r="I4327" s="35">
        <v>-0.25628175434523748</v>
      </c>
      <c r="J4327" s="35">
        <v>-1.9957117991031628E-4</v>
      </c>
      <c r="K4327" s="35">
        <v>-1.2874291943831842</v>
      </c>
      <c r="L4327" s="35">
        <v>5.9463600400999139</v>
      </c>
      <c r="M4327" s="58" t="s">
        <v>24</v>
      </c>
      <c r="N4327" s="7">
        <v>9.5</v>
      </c>
      <c r="O4327" s="7" t="s">
        <v>179</v>
      </c>
      <c r="P4327" s="7" t="s">
        <v>179</v>
      </c>
    </row>
    <row r="4328" spans="1:16" x14ac:dyDescent="0.25">
      <c r="A4328" t="s">
        <v>181</v>
      </c>
      <c r="B4328" t="s">
        <v>217</v>
      </c>
      <c r="C4328" s="7" t="s">
        <v>102</v>
      </c>
      <c r="D4328" t="s">
        <v>107</v>
      </c>
      <c r="F4328" s="35">
        <v>8.9965005885644906</v>
      </c>
      <c r="G4328" s="35">
        <v>19.793767090522941</v>
      </c>
      <c r="H4328" s="35">
        <v>-16.94708075391992</v>
      </c>
      <c r="I4328" s="35">
        <v>-0.25628175434523798</v>
      </c>
      <c r="J4328" s="35">
        <v>-1.9957117991031628E-4</v>
      </c>
      <c r="K4328" s="35">
        <v>-0.1346097174805487</v>
      </c>
      <c r="L4328" s="35">
        <v>63.482118752595632</v>
      </c>
      <c r="M4328" s="58" t="s">
        <v>23</v>
      </c>
      <c r="N4328" s="7">
        <v>9.5</v>
      </c>
      <c r="O4328" s="7" t="s">
        <v>179</v>
      </c>
      <c r="P4328" s="7" t="s">
        <v>179</v>
      </c>
    </row>
    <row r="4329" spans="1:16" x14ac:dyDescent="0.25">
      <c r="A4329" t="s">
        <v>181</v>
      </c>
      <c r="B4329" t="s">
        <v>217</v>
      </c>
      <c r="C4329" s="7" t="s">
        <v>102</v>
      </c>
      <c r="D4329" t="s">
        <v>108</v>
      </c>
      <c r="F4329" s="35">
        <v>0</v>
      </c>
      <c r="G4329" s="35">
        <v>59.005939284005855</v>
      </c>
      <c r="H4329" s="35">
        <v>-3.559111171879656</v>
      </c>
      <c r="I4329" s="35">
        <v>-1.0630331857966127</v>
      </c>
      <c r="J4329" s="35">
        <v>4.1416174695412437E-5</v>
      </c>
      <c r="K4329" s="35">
        <v>-1.6429511179582081</v>
      </c>
      <c r="L4329" s="35">
        <v>-17.894813219132335</v>
      </c>
      <c r="M4329" s="58" t="s">
        <v>22</v>
      </c>
      <c r="N4329" s="7">
        <v>9.5</v>
      </c>
      <c r="O4329" s="7" t="s">
        <v>179</v>
      </c>
      <c r="P4329" s="7" t="s">
        <v>179</v>
      </c>
    </row>
    <row r="4330" spans="1:16" x14ac:dyDescent="0.25">
      <c r="A4330" t="s">
        <v>181</v>
      </c>
      <c r="B4330" t="s">
        <v>217</v>
      </c>
      <c r="C4330" s="7" t="s">
        <v>102</v>
      </c>
      <c r="D4330" t="s">
        <v>108</v>
      </c>
      <c r="F4330" s="35">
        <v>2</v>
      </c>
      <c r="G4330" s="35">
        <v>59.819736884005849</v>
      </c>
      <c r="H4330" s="35">
        <v>-9.9431111718796572</v>
      </c>
      <c r="I4330" s="35">
        <v>-1.0630331857966131</v>
      </c>
      <c r="J4330" s="35">
        <v>4.1416174695412437E-5</v>
      </c>
      <c r="K4330" s="35">
        <v>0.48311525363501717</v>
      </c>
      <c r="L4330" s="35">
        <v>-4.392590875373025</v>
      </c>
      <c r="M4330" s="58" t="s">
        <v>22</v>
      </c>
      <c r="N4330" s="7">
        <v>9.5</v>
      </c>
      <c r="O4330" s="7" t="s">
        <v>179</v>
      </c>
      <c r="P4330" s="7" t="s">
        <v>179</v>
      </c>
    </row>
    <row r="4331" spans="1:16" x14ac:dyDescent="0.25">
      <c r="A4331" t="s">
        <v>181</v>
      </c>
      <c r="B4331" t="s">
        <v>217</v>
      </c>
      <c r="C4331" s="7" t="s">
        <v>102</v>
      </c>
      <c r="D4331" t="s">
        <v>108</v>
      </c>
      <c r="F4331" s="35">
        <v>2</v>
      </c>
      <c r="G4331" s="35">
        <v>58.781755007383929</v>
      </c>
      <c r="H4331" s="35">
        <v>-9.9430977651473995</v>
      </c>
      <c r="I4331" s="35">
        <v>6.5152884948311562E-2</v>
      </c>
      <c r="J4331" s="35">
        <v>1.2464936733287173E-4</v>
      </c>
      <c r="K4331" s="35">
        <v>0.48311525363501751</v>
      </c>
      <c r="L4331" s="35">
        <v>-4.3926796574451803</v>
      </c>
      <c r="M4331" s="58" t="s">
        <v>22</v>
      </c>
      <c r="N4331" s="7">
        <v>9.5</v>
      </c>
      <c r="O4331" s="7" t="s">
        <v>179</v>
      </c>
      <c r="P4331" s="7" t="s">
        <v>179</v>
      </c>
    </row>
    <row r="4332" spans="1:16" x14ac:dyDescent="0.25">
      <c r="A4332" t="s">
        <v>181</v>
      </c>
      <c r="B4332" t="s">
        <v>217</v>
      </c>
      <c r="C4332" s="7" t="s">
        <v>102</v>
      </c>
      <c r="D4332" t="s">
        <v>108</v>
      </c>
      <c r="F4332" s="35">
        <v>4.4982502942822453</v>
      </c>
      <c r="G4332" s="35">
        <v>59.79829005422701</v>
      </c>
      <c r="H4332" s="35">
        <v>-17.917512704496328</v>
      </c>
      <c r="I4332" s="35">
        <v>6.5152884948311077E-2</v>
      </c>
      <c r="J4332" s="35">
        <v>1.2464936733287173E-4</v>
      </c>
      <c r="K4332" s="35">
        <v>0.32034703963956146</v>
      </c>
      <c r="L4332" s="35">
        <v>30.408709494890033</v>
      </c>
      <c r="M4332" s="58" t="s">
        <v>24</v>
      </c>
      <c r="N4332" s="7">
        <v>9.5</v>
      </c>
      <c r="O4332" s="7" t="s">
        <v>179</v>
      </c>
      <c r="P4332" s="7" t="s">
        <v>179</v>
      </c>
    </row>
    <row r="4333" spans="1:16" x14ac:dyDescent="0.25">
      <c r="A4333" t="s">
        <v>181</v>
      </c>
      <c r="B4333" t="s">
        <v>217</v>
      </c>
      <c r="C4333" s="7" t="s">
        <v>102</v>
      </c>
      <c r="D4333" t="s">
        <v>108</v>
      </c>
      <c r="F4333" s="35">
        <v>8.9965005885644906</v>
      </c>
      <c r="G4333" s="35">
        <v>61.628622701070107</v>
      </c>
      <c r="H4333" s="35">
        <v>-32.275927643845257</v>
      </c>
      <c r="I4333" s="35">
        <v>6.5152884948310202E-2</v>
      </c>
      <c r="J4333" s="35">
        <v>1.2464936733287173E-4</v>
      </c>
      <c r="K4333" s="35">
        <v>2.7273055747485942E-2</v>
      </c>
      <c r="L4333" s="35">
        <v>143.30003840387292</v>
      </c>
      <c r="M4333" s="58" t="s">
        <v>23</v>
      </c>
      <c r="N4333" s="7">
        <v>9.5</v>
      </c>
      <c r="O4333" s="7" t="s">
        <v>179</v>
      </c>
      <c r="P4333" s="7" t="s">
        <v>179</v>
      </c>
    </row>
    <row r="4334" spans="1:16" x14ac:dyDescent="0.25">
      <c r="A4334" t="s">
        <v>181</v>
      </c>
      <c r="B4334" t="s">
        <v>217</v>
      </c>
      <c r="C4334" s="7" t="s">
        <v>102</v>
      </c>
      <c r="D4334" t="s">
        <v>109</v>
      </c>
      <c r="F4334" s="35">
        <v>0</v>
      </c>
      <c r="G4334" s="35">
        <v>5.3588063412029285</v>
      </c>
      <c r="H4334" s="35">
        <v>12.702493381104869</v>
      </c>
      <c r="I4334" s="35">
        <v>-0.76290577743064902</v>
      </c>
      <c r="J4334" s="35">
        <v>-1.8143348621726747E-7</v>
      </c>
      <c r="K4334" s="35">
        <v>-1.1863253148185549</v>
      </c>
      <c r="L4334" s="35">
        <v>79.038358092834457</v>
      </c>
      <c r="M4334" s="58" t="s">
        <v>22</v>
      </c>
      <c r="N4334" s="7">
        <v>9.5</v>
      </c>
      <c r="O4334" s="7" t="s">
        <v>179</v>
      </c>
      <c r="P4334" s="7" t="s">
        <v>179</v>
      </c>
    </row>
    <row r="4335" spans="1:16" x14ac:dyDescent="0.25">
      <c r="A4335" t="s">
        <v>181</v>
      </c>
      <c r="B4335" t="s">
        <v>217</v>
      </c>
      <c r="C4335" s="7" t="s">
        <v>102</v>
      </c>
      <c r="D4335" t="s">
        <v>109</v>
      </c>
      <c r="F4335" s="35">
        <v>2</v>
      </c>
      <c r="G4335" s="35">
        <v>6.1726039412029268</v>
      </c>
      <c r="H4335" s="35">
        <v>11.022493381104868</v>
      </c>
      <c r="I4335" s="35">
        <v>-0.76290577743064913</v>
      </c>
      <c r="J4335" s="35">
        <v>-1.8143348621726747E-7</v>
      </c>
      <c r="K4335" s="35">
        <v>0.33948624004274314</v>
      </c>
      <c r="L4335" s="35">
        <v>55.313371330624705</v>
      </c>
      <c r="M4335" s="58" t="s">
        <v>22</v>
      </c>
      <c r="N4335" s="7">
        <v>9.5</v>
      </c>
      <c r="O4335" s="7" t="s">
        <v>179</v>
      </c>
      <c r="P4335" s="7" t="s">
        <v>179</v>
      </c>
    </row>
    <row r="4336" spans="1:16" x14ac:dyDescent="0.25">
      <c r="A4336" t="s">
        <v>181</v>
      </c>
      <c r="B4336" t="s">
        <v>217</v>
      </c>
      <c r="C4336" s="7" t="s">
        <v>102</v>
      </c>
      <c r="D4336" t="s">
        <v>109</v>
      </c>
      <c r="F4336" s="35">
        <v>2</v>
      </c>
      <c r="G4336" s="35">
        <v>5.4339413862033785</v>
      </c>
      <c r="H4336" s="35">
        <v>11.022489094325458</v>
      </c>
      <c r="I4336" s="35">
        <v>4.6008501628562085E-2</v>
      </c>
      <c r="J4336" s="35">
        <v>6.0630376688444299E-5</v>
      </c>
      <c r="K4336" s="35">
        <v>0.33948624004274269</v>
      </c>
      <c r="L4336" s="35">
        <v>55.31330646469371</v>
      </c>
      <c r="M4336" s="58" t="s">
        <v>22</v>
      </c>
      <c r="N4336" s="7">
        <v>9.5</v>
      </c>
      <c r="O4336" s="7" t="s">
        <v>179</v>
      </c>
      <c r="P4336" s="7" t="s">
        <v>179</v>
      </c>
    </row>
    <row r="4337" spans="1:16" x14ac:dyDescent="0.25">
      <c r="A4337" t="s">
        <v>181</v>
      </c>
      <c r="B4337" t="s">
        <v>217</v>
      </c>
      <c r="C4337" s="7" t="s">
        <v>102</v>
      </c>
      <c r="D4337" t="s">
        <v>109</v>
      </c>
      <c r="F4337" s="35">
        <v>4.4982502942822453</v>
      </c>
      <c r="G4337" s="35">
        <v>6.4504764330464699</v>
      </c>
      <c r="H4337" s="35">
        <v>8.9239588471283717</v>
      </c>
      <c r="I4337" s="35">
        <v>4.600850162856196E-2</v>
      </c>
      <c r="J4337" s="35">
        <v>6.0630376688444299E-5</v>
      </c>
      <c r="K4337" s="35">
        <v>0.22454548730970245</v>
      </c>
      <c r="L4337" s="35">
        <v>30.397696744882456</v>
      </c>
      <c r="M4337" s="58" t="s">
        <v>24</v>
      </c>
      <c r="N4337" s="7">
        <v>9.5</v>
      </c>
      <c r="O4337" s="7" t="s">
        <v>179</v>
      </c>
      <c r="P4337" s="7" t="s">
        <v>179</v>
      </c>
    </row>
    <row r="4338" spans="1:16" x14ac:dyDescent="0.25">
      <c r="A4338" t="s">
        <v>181</v>
      </c>
      <c r="B4338" t="s">
        <v>217</v>
      </c>
      <c r="C4338" s="7" t="s">
        <v>102</v>
      </c>
      <c r="D4338" t="s">
        <v>109</v>
      </c>
      <c r="F4338" s="35">
        <v>8.9965005885644906</v>
      </c>
      <c r="G4338" s="35">
        <v>8.2808090798895631</v>
      </c>
      <c r="H4338" s="35">
        <v>5.1454285999312859</v>
      </c>
      <c r="I4338" s="35">
        <v>4.6008501628561724E-2</v>
      </c>
      <c r="J4338" s="35">
        <v>6.0630376688444299E-5</v>
      </c>
      <c r="K4338" s="35">
        <v>1.7587731319539023E-2</v>
      </c>
      <c r="L4338" s="35">
        <v>-1.2461163671710489</v>
      </c>
      <c r="M4338" s="58" t="s">
        <v>23</v>
      </c>
      <c r="N4338" s="7">
        <v>9.5</v>
      </c>
      <c r="O4338" s="7" t="s">
        <v>179</v>
      </c>
      <c r="P4338" s="7" t="s">
        <v>179</v>
      </c>
    </row>
    <row r="4339" spans="1:16" x14ac:dyDescent="0.25">
      <c r="A4339" t="s">
        <v>181</v>
      </c>
      <c r="B4339" t="s">
        <v>217</v>
      </c>
      <c r="C4339" s="7" t="s">
        <v>102</v>
      </c>
      <c r="D4339" t="s">
        <v>110</v>
      </c>
      <c r="F4339" s="35">
        <v>0</v>
      </c>
      <c r="G4339" s="35">
        <v>76.246878632477589</v>
      </c>
      <c r="H4339" s="35">
        <v>-51.705499874200711</v>
      </c>
      <c r="I4339" s="35">
        <v>-1.2784279804836978</v>
      </c>
      <c r="J4339" s="35">
        <v>3.2877704039952501E-5</v>
      </c>
      <c r="K4339" s="35">
        <v>-1.9739836433702631</v>
      </c>
      <c r="L4339" s="35">
        <v>-157.40124464474795</v>
      </c>
      <c r="M4339" s="58" t="s">
        <v>22</v>
      </c>
      <c r="N4339" s="7">
        <v>9.5</v>
      </c>
      <c r="O4339" s="7" t="s">
        <v>179</v>
      </c>
      <c r="P4339" s="7" t="s">
        <v>179</v>
      </c>
    </row>
    <row r="4340" spans="1:16" x14ac:dyDescent="0.25">
      <c r="A4340" t="s">
        <v>181</v>
      </c>
      <c r="B4340" t="s">
        <v>217</v>
      </c>
      <c r="C4340" s="7" t="s">
        <v>102</v>
      </c>
      <c r="D4340" t="s">
        <v>110</v>
      </c>
      <c r="F4340" s="35">
        <v>2</v>
      </c>
      <c r="G4340" s="35">
        <v>77.06067623247759</v>
      </c>
      <c r="H4340" s="35">
        <v>-45.657499874200717</v>
      </c>
      <c r="I4340" s="35">
        <v>-1.2784279804836973</v>
      </c>
      <c r="J4340" s="35">
        <v>3.2877704039952501E-5</v>
      </c>
      <c r="K4340" s="35">
        <v>0.58287231759713221</v>
      </c>
      <c r="L4340" s="35">
        <v>-60.038244896346555</v>
      </c>
      <c r="M4340" s="58" t="s">
        <v>22</v>
      </c>
      <c r="N4340" s="7">
        <v>9.5</v>
      </c>
      <c r="O4340" s="7" t="s">
        <v>179</v>
      </c>
      <c r="P4340" s="7" t="s">
        <v>179</v>
      </c>
    </row>
    <row r="4341" spans="1:16" x14ac:dyDescent="0.25">
      <c r="A4341" t="s">
        <v>181</v>
      </c>
      <c r="B4341" t="s">
        <v>217</v>
      </c>
      <c r="C4341" s="7" t="s">
        <v>102</v>
      </c>
      <c r="D4341" t="s">
        <v>110</v>
      </c>
      <c r="F4341" s="35">
        <v>2</v>
      </c>
      <c r="G4341" s="35">
        <v>75.808284886887932</v>
      </c>
      <c r="H4341" s="35">
        <v>-45.657479249053914</v>
      </c>
      <c r="I4341" s="35">
        <v>7.8460578771198122E-2</v>
      </c>
      <c r="J4341" s="35">
        <v>1.313858509110466E-4</v>
      </c>
      <c r="K4341" s="35">
        <v>0.58287231759713309</v>
      </c>
      <c r="L4341" s="35">
        <v>-60.038349971703134</v>
      </c>
      <c r="M4341" s="58" t="s">
        <v>22</v>
      </c>
      <c r="N4341" s="7">
        <v>9.5</v>
      </c>
      <c r="O4341" s="7" t="s">
        <v>179</v>
      </c>
      <c r="P4341" s="7" t="s">
        <v>179</v>
      </c>
    </row>
    <row r="4342" spans="1:16" x14ac:dyDescent="0.25">
      <c r="A4342" t="s">
        <v>181</v>
      </c>
      <c r="B4342" t="s">
        <v>217</v>
      </c>
      <c r="C4342" s="7" t="s">
        <v>102</v>
      </c>
      <c r="D4342" t="s">
        <v>110</v>
      </c>
      <c r="F4342" s="35">
        <v>4.4982502942822453</v>
      </c>
      <c r="G4342" s="35">
        <v>76.824819933731021</v>
      </c>
      <c r="H4342" s="35">
        <v>-38.102770359144415</v>
      </c>
      <c r="I4342" s="35">
        <v>7.846057877119858E-2</v>
      </c>
      <c r="J4342" s="35">
        <v>1.313858509110466E-4</v>
      </c>
      <c r="K4342" s="35">
        <v>0.38685815359243153</v>
      </c>
      <c r="L4342" s="35">
        <v>44.588684144714726</v>
      </c>
      <c r="M4342" s="58" t="s">
        <v>24</v>
      </c>
      <c r="N4342" s="7">
        <v>9.5</v>
      </c>
      <c r="O4342" s="7" t="s">
        <v>179</v>
      </c>
      <c r="P4342" s="7" t="s">
        <v>179</v>
      </c>
    </row>
    <row r="4343" spans="1:16" x14ac:dyDescent="0.25">
      <c r="A4343" t="s">
        <v>181</v>
      </c>
      <c r="B4343" t="s">
        <v>217</v>
      </c>
      <c r="C4343" s="7" t="s">
        <v>102</v>
      </c>
      <c r="D4343" t="s">
        <v>110</v>
      </c>
      <c r="F4343" s="35">
        <v>8.9965005885644906</v>
      </c>
      <c r="G4343" s="35">
        <v>78.655152580574111</v>
      </c>
      <c r="H4343" s="35">
        <v>-24.5000614692349</v>
      </c>
      <c r="I4343" s="35">
        <v>7.8460578771199427E-2</v>
      </c>
      <c r="J4343" s="35">
        <v>1.313858509110466E-4</v>
      </c>
      <c r="K4343" s="35">
        <v>3.3922832045330441E-2</v>
      </c>
      <c r="L4343" s="35">
        <v>185.39028749216928</v>
      </c>
      <c r="M4343" s="58" t="s">
        <v>23</v>
      </c>
      <c r="N4343" s="7">
        <v>9.5</v>
      </c>
      <c r="O4343" s="7" t="s">
        <v>179</v>
      </c>
      <c r="P4343" s="7" t="s">
        <v>179</v>
      </c>
    </row>
    <row r="4344" spans="1:16" x14ac:dyDescent="0.25">
      <c r="A4344" t="s">
        <v>181</v>
      </c>
      <c r="B4344" t="s">
        <v>217</v>
      </c>
      <c r="C4344" s="7" t="s">
        <v>102</v>
      </c>
      <c r="D4344" t="s">
        <v>111</v>
      </c>
      <c r="F4344" s="35">
        <v>0</v>
      </c>
      <c r="G4344" s="35">
        <v>-42.261401069583378</v>
      </c>
      <c r="H4344" s="35">
        <v>-26.051797745303027</v>
      </c>
      <c r="I4344" s="35">
        <v>-0.71807784201161617</v>
      </c>
      <c r="J4344" s="35">
        <v>8.7641406476504741E-5</v>
      </c>
      <c r="K4344" s="35">
        <v>-1.1249154438158149</v>
      </c>
      <c r="L4344" s="35">
        <v>-81.265856413978184</v>
      </c>
      <c r="M4344" s="58" t="s">
        <v>22</v>
      </c>
      <c r="N4344" s="7">
        <v>9.5</v>
      </c>
      <c r="O4344" s="7" t="s">
        <v>179</v>
      </c>
      <c r="P4344" s="7" t="s">
        <v>179</v>
      </c>
    </row>
    <row r="4345" spans="1:16" x14ac:dyDescent="0.25">
      <c r="A4345" t="s">
        <v>181</v>
      </c>
      <c r="B4345" t="s">
        <v>217</v>
      </c>
      <c r="C4345" s="7" t="s">
        <v>102</v>
      </c>
      <c r="D4345" t="s">
        <v>111</v>
      </c>
      <c r="F4345" s="35">
        <v>2</v>
      </c>
      <c r="G4345" s="35">
        <v>-41.447603469583377</v>
      </c>
      <c r="H4345" s="35">
        <v>-15.299797745303028</v>
      </c>
      <c r="I4345" s="35">
        <v>-0.71807784201161551</v>
      </c>
      <c r="J4345" s="35">
        <v>8.7641406476504741E-5</v>
      </c>
      <c r="K4345" s="35">
        <v>0.31124024020741653</v>
      </c>
      <c r="L4345" s="35">
        <v>-39.914260923372133</v>
      </c>
      <c r="M4345" s="58" t="s">
        <v>22</v>
      </c>
      <c r="N4345" s="7">
        <v>9.5</v>
      </c>
      <c r="O4345" s="7" t="s">
        <v>179</v>
      </c>
      <c r="P4345" s="7" t="s">
        <v>179</v>
      </c>
    </row>
    <row r="4346" spans="1:16" x14ac:dyDescent="0.25">
      <c r="A4346" t="s">
        <v>181</v>
      </c>
      <c r="B4346" t="s">
        <v>217</v>
      </c>
      <c r="C4346" s="7" t="s">
        <v>102</v>
      </c>
      <c r="D4346" t="s">
        <v>111</v>
      </c>
      <c r="F4346" s="35">
        <v>2</v>
      </c>
      <c r="G4346" s="35">
        <v>-42.140748404608011</v>
      </c>
      <c r="H4346" s="35">
        <v>-15.299800265808688</v>
      </c>
      <c r="I4346" s="35">
        <v>4.2285816123298063E-2</v>
      </c>
      <c r="J4346" s="35">
        <v>3.0895491975689017E-5</v>
      </c>
      <c r="K4346" s="35">
        <v>0.31124024020741614</v>
      </c>
      <c r="L4346" s="35">
        <v>-39.914200394396666</v>
      </c>
      <c r="M4346" s="58" t="s">
        <v>22</v>
      </c>
      <c r="N4346" s="7">
        <v>9.5</v>
      </c>
      <c r="O4346" s="7" t="s">
        <v>179</v>
      </c>
      <c r="P4346" s="7" t="s">
        <v>179</v>
      </c>
    </row>
    <row r="4347" spans="1:16" x14ac:dyDescent="0.25">
      <c r="A4347" t="s">
        <v>181</v>
      </c>
      <c r="B4347" t="s">
        <v>217</v>
      </c>
      <c r="C4347" s="7" t="s">
        <v>102</v>
      </c>
      <c r="D4347" t="s">
        <v>111</v>
      </c>
      <c r="F4347" s="35">
        <v>4.4982502942822453</v>
      </c>
      <c r="G4347" s="35">
        <v>-41.12421335776493</v>
      </c>
      <c r="H4347" s="35">
        <v>-1.8692066837473418</v>
      </c>
      <c r="I4347" s="35">
        <v>4.2285816123298882E-2</v>
      </c>
      <c r="J4347" s="35">
        <v>3.0895491975689017E-5</v>
      </c>
      <c r="K4347" s="35">
        <v>0.20559968763342082</v>
      </c>
      <c r="L4347" s="35">
        <v>-18.467962062265542</v>
      </c>
      <c r="M4347" s="58" t="s">
        <v>24</v>
      </c>
      <c r="N4347" s="7">
        <v>9.5</v>
      </c>
      <c r="O4347" s="7" t="s">
        <v>179</v>
      </c>
      <c r="P4347" s="7" t="s">
        <v>179</v>
      </c>
    </row>
    <row r="4348" spans="1:16" x14ac:dyDescent="0.25">
      <c r="A4348" t="s">
        <v>181</v>
      </c>
      <c r="B4348" t="s">
        <v>217</v>
      </c>
      <c r="C4348" s="7" t="s">
        <v>102</v>
      </c>
      <c r="D4348" t="s">
        <v>111</v>
      </c>
      <c r="F4348" s="35">
        <v>8.9965005885644906</v>
      </c>
      <c r="G4348" s="35">
        <v>-39.293880710921833</v>
      </c>
      <c r="H4348" s="35">
        <v>22.313386898314008</v>
      </c>
      <c r="I4348" s="35">
        <v>4.228581612330036E-2</v>
      </c>
      <c r="J4348" s="35">
        <v>3.0895491975689017E-5</v>
      </c>
      <c r="K4348" s="35">
        <v>1.5387502812823408E-2</v>
      </c>
      <c r="L4348" s="35">
        <v>-64.449481895532415</v>
      </c>
      <c r="M4348" s="58" t="s">
        <v>23</v>
      </c>
      <c r="N4348" s="7">
        <v>9.5</v>
      </c>
      <c r="O4348" s="7" t="s">
        <v>179</v>
      </c>
      <c r="P4348" s="7" t="s">
        <v>179</v>
      </c>
    </row>
    <row r="4349" spans="1:16" x14ac:dyDescent="0.25">
      <c r="A4349" t="s">
        <v>181</v>
      </c>
      <c r="B4349" t="s">
        <v>217</v>
      </c>
      <c r="C4349" s="7" t="s">
        <v>102</v>
      </c>
      <c r="D4349" t="s">
        <v>112</v>
      </c>
      <c r="F4349" s="35">
        <v>0</v>
      </c>
      <c r="G4349" s="35">
        <v>34.08617520836421</v>
      </c>
      <c r="H4349" s="35">
        <v>8.3643185420866217</v>
      </c>
      <c r="I4349" s="35">
        <v>-3.9460182125483452</v>
      </c>
      <c r="J4349" s="35">
        <v>1.4265406965573334E-4</v>
      </c>
      <c r="K4349" s="35">
        <v>-6.2944040909186407</v>
      </c>
      <c r="L4349" s="35">
        <v>-1.6638243275654758</v>
      </c>
      <c r="M4349" s="58" t="s">
        <v>22</v>
      </c>
      <c r="N4349" s="7">
        <v>9.5</v>
      </c>
      <c r="O4349" s="7" t="s">
        <v>179</v>
      </c>
      <c r="P4349" s="7" t="s">
        <v>179</v>
      </c>
    </row>
    <row r="4350" spans="1:16" x14ac:dyDescent="0.25">
      <c r="A4350" t="s">
        <v>181</v>
      </c>
      <c r="B4350" t="s">
        <v>217</v>
      </c>
      <c r="C4350" s="7" t="s">
        <v>102</v>
      </c>
      <c r="D4350" t="s">
        <v>112</v>
      </c>
      <c r="F4350" s="35">
        <v>2</v>
      </c>
      <c r="G4350" s="35">
        <v>34.899972808364204</v>
      </c>
      <c r="H4350" s="35">
        <v>0.80431854208662468</v>
      </c>
      <c r="I4350" s="35">
        <v>-3.9460182125483461</v>
      </c>
      <c r="J4350" s="35">
        <v>1.4265406965573334E-4</v>
      </c>
      <c r="K4350" s="35">
        <v>1.5976323341780485</v>
      </c>
      <c r="L4350" s="35">
        <v>-10.832461411738732</v>
      </c>
      <c r="M4350" s="58" t="s">
        <v>22</v>
      </c>
      <c r="N4350" s="7">
        <v>9.5</v>
      </c>
      <c r="O4350" s="7" t="s">
        <v>179</v>
      </c>
      <c r="P4350" s="7" t="s">
        <v>179</v>
      </c>
    </row>
    <row r="4351" spans="1:16" x14ac:dyDescent="0.25">
      <c r="A4351" t="s">
        <v>181</v>
      </c>
      <c r="B4351" t="s">
        <v>217</v>
      </c>
      <c r="C4351" s="7" t="s">
        <v>102</v>
      </c>
      <c r="D4351" t="s">
        <v>112</v>
      </c>
      <c r="F4351" s="35">
        <v>2</v>
      </c>
      <c r="G4351" s="35">
        <v>31.019865064135956</v>
      </c>
      <c r="H4351" s="35">
        <v>0.80432875645981383</v>
      </c>
      <c r="I4351" s="35">
        <v>0.21377143937224993</v>
      </c>
      <c r="J4351" s="35">
        <v>1.5984521453368762E-4</v>
      </c>
      <c r="K4351" s="35">
        <v>1.5976323341780527</v>
      </c>
      <c r="L4351" s="35">
        <v>-10.83247974895994</v>
      </c>
      <c r="M4351" s="58" t="s">
        <v>22</v>
      </c>
      <c r="N4351" s="7">
        <v>9.5</v>
      </c>
      <c r="O4351" s="7" t="s">
        <v>179</v>
      </c>
      <c r="P4351" s="7" t="s">
        <v>179</v>
      </c>
    </row>
    <row r="4352" spans="1:16" x14ac:dyDescent="0.25">
      <c r="A4352" t="s">
        <v>181</v>
      </c>
      <c r="B4352" t="s">
        <v>217</v>
      </c>
      <c r="C4352" s="7" t="s">
        <v>102</v>
      </c>
      <c r="D4352" t="s">
        <v>112</v>
      </c>
      <c r="F4352" s="35">
        <v>4.4982502942822453</v>
      </c>
      <c r="G4352" s="35">
        <v>32.036400110979052</v>
      </c>
      <c r="H4352" s="35">
        <v>-8.639057355927072</v>
      </c>
      <c r="I4352" s="35">
        <v>0.21377143937224932</v>
      </c>
      <c r="J4352" s="35">
        <v>1.5984521453368762E-4</v>
      </c>
      <c r="K4352" s="35">
        <v>1.0635777728571911</v>
      </c>
      <c r="L4352" s="35">
        <v>-1.045923234339643</v>
      </c>
      <c r="M4352" s="58" t="s">
        <v>24</v>
      </c>
      <c r="N4352" s="7">
        <v>9.5</v>
      </c>
      <c r="O4352" s="7" t="s">
        <v>179</v>
      </c>
      <c r="P4352" s="7" t="s">
        <v>179</v>
      </c>
    </row>
    <row r="4353" spans="1:16" x14ac:dyDescent="0.25">
      <c r="A4353" t="s">
        <v>181</v>
      </c>
      <c r="B4353" t="s">
        <v>217</v>
      </c>
      <c r="C4353" s="7" t="s">
        <v>102</v>
      </c>
      <c r="D4353" t="s">
        <v>112</v>
      </c>
      <c r="F4353" s="35">
        <v>8.9965005885644906</v>
      </c>
      <c r="G4353" s="35">
        <v>33.866732757822135</v>
      </c>
      <c r="H4353" s="35">
        <v>-25.642443468313957</v>
      </c>
      <c r="I4353" s="35">
        <v>0.2137714393722483</v>
      </c>
      <c r="J4353" s="35">
        <v>1.5984521453368762E-4</v>
      </c>
      <c r="K4353" s="35">
        <v>0.10198033279183387</v>
      </c>
      <c r="L4353" s="35">
        <v>76.057462351199973</v>
      </c>
      <c r="M4353" s="58" t="s">
        <v>23</v>
      </c>
      <c r="N4353" s="7">
        <v>9.5</v>
      </c>
      <c r="O4353" s="7" t="s">
        <v>179</v>
      </c>
      <c r="P4353" s="7" t="s">
        <v>179</v>
      </c>
    </row>
    <row r="4354" spans="1:16" x14ac:dyDescent="0.25">
      <c r="A4354" t="s">
        <v>181</v>
      </c>
      <c r="B4354" t="s">
        <v>217</v>
      </c>
      <c r="C4354" s="7" t="s">
        <v>102</v>
      </c>
      <c r="D4354" t="s">
        <v>113</v>
      </c>
      <c r="F4354" s="35">
        <v>0</v>
      </c>
      <c r="G4354" s="35">
        <v>-4.2475257465813696</v>
      </c>
      <c r="H4354" s="35">
        <v>12.421958071829199</v>
      </c>
      <c r="I4354" s="35">
        <v>-3.5207150652424506</v>
      </c>
      <c r="J4354" s="35">
        <v>1.2883016469928597E-4</v>
      </c>
      <c r="K4354" s="35">
        <v>-5.6398627781515334</v>
      </c>
      <c r="L4354" s="35">
        <v>27.245143180205975</v>
      </c>
      <c r="M4354" s="58" t="s">
        <v>22</v>
      </c>
      <c r="N4354" s="7">
        <v>9.5</v>
      </c>
      <c r="O4354" s="7" t="s">
        <v>179</v>
      </c>
      <c r="P4354" s="7" t="s">
        <v>179</v>
      </c>
    </row>
    <row r="4355" spans="1:16" x14ac:dyDescent="0.25">
      <c r="A4355" t="s">
        <v>181</v>
      </c>
      <c r="B4355" t="s">
        <v>217</v>
      </c>
      <c r="C4355" s="7" t="s">
        <v>102</v>
      </c>
      <c r="D4355" t="s">
        <v>113</v>
      </c>
      <c r="F4355" s="35">
        <v>2</v>
      </c>
      <c r="G4355" s="35">
        <v>-3.4337281465813789</v>
      </c>
      <c r="H4355" s="35">
        <v>9.0955580718292008</v>
      </c>
      <c r="I4355" s="35">
        <v>-3.5207150652424506</v>
      </c>
      <c r="J4355" s="35">
        <v>1.2883016469928597E-4</v>
      </c>
      <c r="K4355" s="35">
        <v>1.4015673523333665</v>
      </c>
      <c r="L4355" s="35">
        <v>5.7276270365475703</v>
      </c>
      <c r="M4355" s="58" t="s">
        <v>22</v>
      </c>
      <c r="N4355" s="7">
        <v>9.5</v>
      </c>
      <c r="O4355" s="7" t="s">
        <v>179</v>
      </c>
      <c r="P4355" s="7" t="s">
        <v>179</v>
      </c>
    </row>
    <row r="4356" spans="1:16" x14ac:dyDescent="0.25">
      <c r="A4356" t="s">
        <v>181</v>
      </c>
      <c r="B4356" t="s">
        <v>217</v>
      </c>
      <c r="C4356" s="7" t="s">
        <v>102</v>
      </c>
      <c r="D4356" t="s">
        <v>113</v>
      </c>
      <c r="F4356" s="35">
        <v>2</v>
      </c>
      <c r="G4356" s="35">
        <v>-6.8906134505117507</v>
      </c>
      <c r="H4356" s="35">
        <v>9.0955585947981881</v>
      </c>
      <c r="I4356" s="35">
        <v>0.18763928325145435</v>
      </c>
      <c r="J4356" s="35">
        <v>1.0922795214535958E-4</v>
      </c>
      <c r="K4356" s="35">
        <v>1.4015673523333672</v>
      </c>
      <c r="L4356" s="35">
        <v>5.7276479455743079</v>
      </c>
      <c r="M4356" s="58" t="s">
        <v>22</v>
      </c>
      <c r="N4356" s="7">
        <v>9.5</v>
      </c>
      <c r="O4356" s="7" t="s">
        <v>179</v>
      </c>
      <c r="P4356" s="7" t="s">
        <v>179</v>
      </c>
    </row>
    <row r="4357" spans="1:16" x14ac:dyDescent="0.25">
      <c r="A4357" t="s">
        <v>181</v>
      </c>
      <c r="B4357" t="s">
        <v>217</v>
      </c>
      <c r="C4357" s="7" t="s">
        <v>102</v>
      </c>
      <c r="D4357" t="s">
        <v>113</v>
      </c>
      <c r="F4357" s="35">
        <v>4.4982502942822453</v>
      </c>
      <c r="G4357" s="35">
        <v>-5.8740784036686593</v>
      </c>
      <c r="H4357" s="35">
        <v>4.9404687053479561</v>
      </c>
      <c r="I4357" s="35">
        <v>0.18763928325145407</v>
      </c>
      <c r="J4357" s="35">
        <v>1.0922795214535958E-4</v>
      </c>
      <c r="K4357" s="35">
        <v>0.93279745773151246</v>
      </c>
      <c r="L4357" s="35">
        <v>-11.805106720997546</v>
      </c>
      <c r="M4357" s="58" t="s">
        <v>24</v>
      </c>
      <c r="N4357" s="7">
        <v>9.5</v>
      </c>
      <c r="O4357" s="7" t="s">
        <v>179</v>
      </c>
      <c r="P4357" s="7" t="s">
        <v>179</v>
      </c>
    </row>
    <row r="4358" spans="1:16" x14ac:dyDescent="0.25">
      <c r="A4358" t="s">
        <v>181</v>
      </c>
      <c r="B4358" t="s">
        <v>217</v>
      </c>
      <c r="C4358" s="7" t="s">
        <v>102</v>
      </c>
      <c r="D4358" t="s">
        <v>113</v>
      </c>
      <c r="F4358" s="35">
        <v>8.9965005885644906</v>
      </c>
      <c r="G4358" s="35">
        <v>-4.0437457568255697</v>
      </c>
      <c r="H4358" s="35">
        <v>-2.541021184102275</v>
      </c>
      <c r="I4358" s="35">
        <v>0.18763928325145363</v>
      </c>
      <c r="J4358" s="35">
        <v>1.0922795214535958E-4</v>
      </c>
      <c r="K4358" s="35">
        <v>8.874899662675062E-2</v>
      </c>
      <c r="L4358" s="35">
        <v>-17.201764480276641</v>
      </c>
      <c r="M4358" s="58" t="s">
        <v>23</v>
      </c>
      <c r="N4358" s="7">
        <v>9.5</v>
      </c>
      <c r="O4358" s="7" t="s">
        <v>179</v>
      </c>
      <c r="P4358" s="7" t="s">
        <v>179</v>
      </c>
    </row>
    <row r="4359" spans="1:16" x14ac:dyDescent="0.25">
      <c r="A4359" t="s">
        <v>181</v>
      </c>
      <c r="B4359" t="s">
        <v>217</v>
      </c>
      <c r="C4359" s="7" t="s">
        <v>102</v>
      </c>
      <c r="D4359" t="s">
        <v>114</v>
      </c>
      <c r="F4359" s="35">
        <v>0</v>
      </c>
      <c r="G4359" s="35">
        <v>18.855813552344841</v>
      </c>
      <c r="H4359" s="35">
        <v>8.3511931289840611</v>
      </c>
      <c r="I4359" s="35">
        <v>3.8774527018489198</v>
      </c>
      <c r="J4359" s="35">
        <v>-1.62472041079875E-4</v>
      </c>
      <c r="K4359" s="35">
        <v>6.1983541357760243</v>
      </c>
      <c r="L4359" s="35">
        <v>-1.2275274121168998</v>
      </c>
      <c r="M4359" s="58" t="s">
        <v>22</v>
      </c>
      <c r="N4359" s="7">
        <v>9.5</v>
      </c>
      <c r="O4359" s="7" t="s">
        <v>179</v>
      </c>
      <c r="P4359" s="7" t="s">
        <v>179</v>
      </c>
    </row>
    <row r="4360" spans="1:16" x14ac:dyDescent="0.25">
      <c r="A4360" t="s">
        <v>181</v>
      </c>
      <c r="B4360" t="s">
        <v>217</v>
      </c>
      <c r="C4360" s="7" t="s">
        <v>102</v>
      </c>
      <c r="D4360" t="s">
        <v>114</v>
      </c>
      <c r="F4360" s="35">
        <v>2</v>
      </c>
      <c r="G4360" s="35">
        <v>19.669611152344832</v>
      </c>
      <c r="H4360" s="35">
        <v>0.79119312898406113</v>
      </c>
      <c r="I4360" s="35">
        <v>3.8774527018489193</v>
      </c>
      <c r="J4360" s="35">
        <v>-1.62472041079875E-4</v>
      </c>
      <c r="K4360" s="35">
        <v>-1.5565512679218152</v>
      </c>
      <c r="L4360" s="35">
        <v>-10.36991367008503</v>
      </c>
      <c r="M4360" s="58" t="s">
        <v>22</v>
      </c>
      <c r="N4360" s="7">
        <v>9.5</v>
      </c>
      <c r="O4360" s="7" t="s">
        <v>179</v>
      </c>
      <c r="P4360" s="7" t="s">
        <v>179</v>
      </c>
    </row>
    <row r="4361" spans="1:16" x14ac:dyDescent="0.25">
      <c r="A4361" t="s">
        <v>181</v>
      </c>
      <c r="B4361" t="s">
        <v>217</v>
      </c>
      <c r="C4361" s="7" t="s">
        <v>102</v>
      </c>
      <c r="D4361" t="s">
        <v>114</v>
      </c>
      <c r="F4361" s="35">
        <v>2</v>
      </c>
      <c r="G4361" s="35">
        <v>23.518288626957368</v>
      </c>
      <c r="H4361" s="35">
        <v>0.79119860504439554</v>
      </c>
      <c r="I4361" s="35">
        <v>-0.2067945824958087</v>
      </c>
      <c r="J4361" s="35">
        <v>-1.4572191889232499E-4</v>
      </c>
      <c r="K4361" s="35">
        <v>-1.5565512679218136</v>
      </c>
      <c r="L4361" s="35">
        <v>-10.369931536882067</v>
      </c>
      <c r="M4361" s="58" t="s">
        <v>22</v>
      </c>
      <c r="N4361" s="7">
        <v>9.5</v>
      </c>
      <c r="O4361" s="7" t="s">
        <v>179</v>
      </c>
      <c r="P4361" s="7" t="s">
        <v>179</v>
      </c>
    </row>
    <row r="4362" spans="1:16" x14ac:dyDescent="0.25">
      <c r="A4362" t="s">
        <v>181</v>
      </c>
      <c r="B4362" t="s">
        <v>217</v>
      </c>
      <c r="C4362" s="7" t="s">
        <v>102</v>
      </c>
      <c r="D4362" t="s">
        <v>114</v>
      </c>
      <c r="F4362" s="35">
        <v>4.4982502942822453</v>
      </c>
      <c r="G4362" s="35">
        <v>24.53482367380046</v>
      </c>
      <c r="H4362" s="35">
        <v>-8.6521875073424912</v>
      </c>
      <c r="I4362" s="35">
        <v>-0.20679458249580931</v>
      </c>
      <c r="J4362" s="35">
        <v>-1.4572191889232499E-4</v>
      </c>
      <c r="K4362" s="35">
        <v>-1.0399266413456849</v>
      </c>
      <c r="L4362" s="35">
        <v>-0.55057261762422682</v>
      </c>
      <c r="M4362" s="58" t="s">
        <v>24</v>
      </c>
      <c r="N4362" s="7">
        <v>9.5</v>
      </c>
      <c r="O4362" s="7" t="s">
        <v>179</v>
      </c>
      <c r="P4362" s="7" t="s">
        <v>179</v>
      </c>
    </row>
    <row r="4363" spans="1:16" x14ac:dyDescent="0.25">
      <c r="A4363" t="s">
        <v>181</v>
      </c>
      <c r="B4363" t="s">
        <v>217</v>
      </c>
      <c r="C4363" s="7" t="s">
        <v>102</v>
      </c>
      <c r="D4363" t="s">
        <v>114</v>
      </c>
      <c r="F4363" s="35">
        <v>8.9965005885644906</v>
      </c>
      <c r="G4363" s="35">
        <v>26.365156320643546</v>
      </c>
      <c r="H4363" s="35">
        <v>-25.655573619729385</v>
      </c>
      <c r="I4363" s="35">
        <v>-0.20679458249581037</v>
      </c>
      <c r="J4363" s="35">
        <v>-1.4572191889232499E-4</v>
      </c>
      <c r="K4363" s="35">
        <v>-0.10971284977793457</v>
      </c>
      <c r="L4363" s="35">
        <v>76.611875675383772</v>
      </c>
      <c r="M4363" s="58" t="s">
        <v>23</v>
      </c>
      <c r="N4363" s="7">
        <v>9.5</v>
      </c>
      <c r="O4363" s="7" t="s">
        <v>179</v>
      </c>
      <c r="P4363" s="7" t="s">
        <v>179</v>
      </c>
    </row>
    <row r="4364" spans="1:16" x14ac:dyDescent="0.25">
      <c r="A4364" t="s">
        <v>181</v>
      </c>
      <c r="B4364" t="s">
        <v>217</v>
      </c>
      <c r="C4364" s="7" t="s">
        <v>102</v>
      </c>
      <c r="D4364" t="s">
        <v>115</v>
      </c>
      <c r="F4364" s="35">
        <v>0</v>
      </c>
      <c r="G4364" s="35">
        <v>-19.483963369555365</v>
      </c>
      <c r="H4364" s="35">
        <v>12.408781101369481</v>
      </c>
      <c r="I4364" s="35">
        <v>4.3057952545700928</v>
      </c>
      <c r="J4364" s="35">
        <v>-1.758153847877061E-4</v>
      </c>
      <c r="K4364" s="35">
        <v>6.8577466754480607</v>
      </c>
      <c r="L4364" s="35">
        <v>27.680406621053599</v>
      </c>
      <c r="M4364" s="58" t="s">
        <v>22</v>
      </c>
      <c r="N4364" s="7">
        <v>9.5</v>
      </c>
      <c r="O4364" s="7" t="s">
        <v>179</v>
      </c>
      <c r="P4364" s="7" t="s">
        <v>179</v>
      </c>
    </row>
    <row r="4365" spans="1:16" x14ac:dyDescent="0.25">
      <c r="A4365" t="s">
        <v>181</v>
      </c>
      <c r="B4365" t="s">
        <v>217</v>
      </c>
      <c r="C4365" s="7" t="s">
        <v>102</v>
      </c>
      <c r="D4365" t="s">
        <v>115</v>
      </c>
      <c r="F4365" s="35">
        <v>2</v>
      </c>
      <c r="G4365" s="35">
        <v>-18.670165769555371</v>
      </c>
      <c r="H4365" s="35">
        <v>9.0823811013694797</v>
      </c>
      <c r="I4365" s="35">
        <v>4.3057952545700928</v>
      </c>
      <c r="J4365" s="35">
        <v>-1.758153847877061E-4</v>
      </c>
      <c r="K4365" s="35">
        <v>-1.7538438336921256</v>
      </c>
      <c r="L4365" s="35">
        <v>6.189244418314634</v>
      </c>
      <c r="M4365" s="58" t="s">
        <v>22</v>
      </c>
      <c r="N4365" s="7">
        <v>9.5</v>
      </c>
      <c r="O4365" s="7" t="s">
        <v>179</v>
      </c>
      <c r="P4365" s="7" t="s">
        <v>179</v>
      </c>
    </row>
    <row r="4366" spans="1:16" x14ac:dyDescent="0.25">
      <c r="A4366" t="s">
        <v>181</v>
      </c>
      <c r="B4366" t="s">
        <v>217</v>
      </c>
      <c r="C4366" s="7" t="s">
        <v>102</v>
      </c>
      <c r="D4366" t="s">
        <v>115</v>
      </c>
      <c r="F4366" s="35">
        <v>2</v>
      </c>
      <c r="G4366" s="35">
        <v>-14.395262942672515</v>
      </c>
      <c r="H4366" s="35">
        <v>9.0823768877197963</v>
      </c>
      <c r="I4366" s="35">
        <v>-0.23309043885649064</v>
      </c>
      <c r="J4366" s="35">
        <v>-1.9585861756915617E-4</v>
      </c>
      <c r="K4366" s="35">
        <v>-1.7538438336921256</v>
      </c>
      <c r="L4366" s="35">
        <v>6.1892657977628822</v>
      </c>
      <c r="M4366" s="58" t="s">
        <v>22</v>
      </c>
      <c r="N4366" s="7">
        <v>9.5</v>
      </c>
      <c r="O4366" s="7" t="s">
        <v>179</v>
      </c>
      <c r="P4366" s="7" t="s">
        <v>179</v>
      </c>
    </row>
    <row r="4367" spans="1:16" x14ac:dyDescent="0.25">
      <c r="A4367" t="s">
        <v>181</v>
      </c>
      <c r="B4367" t="s">
        <v>217</v>
      </c>
      <c r="C4367" s="7" t="s">
        <v>102</v>
      </c>
      <c r="D4367" t="s">
        <v>115</v>
      </c>
      <c r="F4367" s="35">
        <v>4.4982502942822453</v>
      </c>
      <c r="G4367" s="35">
        <v>-13.378727895829424</v>
      </c>
      <c r="H4367" s="35">
        <v>4.9272869982695653</v>
      </c>
      <c r="I4367" s="35">
        <v>-0.23309043885649089</v>
      </c>
      <c r="J4367" s="35">
        <v>-1.9585861756915617E-4</v>
      </c>
      <c r="K4367" s="35">
        <v>-1.17152557622452</v>
      </c>
      <c r="L4367" s="35">
        <v>-11.310557665221243</v>
      </c>
      <c r="M4367" s="58" t="s">
        <v>24</v>
      </c>
      <c r="N4367" s="7">
        <v>9.5</v>
      </c>
      <c r="O4367" s="7" t="s">
        <v>179</v>
      </c>
      <c r="P4367" s="7" t="s">
        <v>179</v>
      </c>
    </row>
    <row r="4368" spans="1:16" x14ac:dyDescent="0.25">
      <c r="A4368" t="s">
        <v>181</v>
      </c>
      <c r="B4368" t="s">
        <v>217</v>
      </c>
      <c r="C4368" s="7" t="s">
        <v>102</v>
      </c>
      <c r="D4368" t="s">
        <v>115</v>
      </c>
      <c r="F4368" s="35">
        <v>8.9965005885644906</v>
      </c>
      <c r="G4368" s="35">
        <v>-11.548395248986335</v>
      </c>
      <c r="H4368" s="35">
        <v>-2.5542028911806658</v>
      </c>
      <c r="I4368" s="35">
        <v>-0.23309043885649136</v>
      </c>
      <c r="J4368" s="35">
        <v>-1.9585861756915617E-4</v>
      </c>
      <c r="K4368" s="35">
        <v>-0.1230264410439313</v>
      </c>
      <c r="L4368" s="35">
        <v>-16.64792080675582</v>
      </c>
      <c r="M4368" s="58" t="s">
        <v>23</v>
      </c>
      <c r="N4368" s="7">
        <v>9.5</v>
      </c>
      <c r="O4368" s="7" t="s">
        <v>179</v>
      </c>
      <c r="P4368" s="7" t="s">
        <v>179</v>
      </c>
    </row>
    <row r="4369" spans="1:16" x14ac:dyDescent="0.25">
      <c r="A4369" t="s">
        <v>181</v>
      </c>
      <c r="B4369" t="s">
        <v>217</v>
      </c>
      <c r="C4369" s="7" t="s">
        <v>102</v>
      </c>
      <c r="D4369" t="s">
        <v>116</v>
      </c>
      <c r="F4369" s="35">
        <v>0</v>
      </c>
      <c r="G4369" s="35">
        <v>23.344528754910026</v>
      </c>
      <c r="H4369" s="35">
        <v>9.4949771612715814</v>
      </c>
      <c r="I4369" s="35">
        <v>-0.92717318462480691</v>
      </c>
      <c r="J4369" s="35">
        <v>6.119330755596325E-5</v>
      </c>
      <c r="K4369" s="35">
        <v>-1.4384698283344151</v>
      </c>
      <c r="L4369" s="35">
        <v>24.351904400622786</v>
      </c>
      <c r="M4369" s="58" t="s">
        <v>22</v>
      </c>
      <c r="N4369" s="7">
        <v>9.5</v>
      </c>
      <c r="O4369" s="7" t="s">
        <v>179</v>
      </c>
      <c r="P4369" s="7" t="s">
        <v>179</v>
      </c>
    </row>
    <row r="4370" spans="1:16" x14ac:dyDescent="0.25">
      <c r="A4370" t="s">
        <v>181</v>
      </c>
      <c r="B4370" t="s">
        <v>217</v>
      </c>
      <c r="C4370" s="7" t="s">
        <v>102</v>
      </c>
      <c r="D4370" t="s">
        <v>116</v>
      </c>
      <c r="F4370" s="35">
        <v>2</v>
      </c>
      <c r="G4370" s="35">
        <v>24.158326354910017</v>
      </c>
      <c r="H4370" s="35">
        <v>3.7493771612715801</v>
      </c>
      <c r="I4370" s="35">
        <v>-0.92717318462480736</v>
      </c>
      <c r="J4370" s="35">
        <v>6.119330755596325E-5</v>
      </c>
      <c r="K4370" s="35">
        <v>0.41587654091519888</v>
      </c>
      <c r="L4370" s="35">
        <v>11.107550078079621</v>
      </c>
      <c r="M4370" s="58" t="s">
        <v>22</v>
      </c>
      <c r="N4370" s="7">
        <v>9.5</v>
      </c>
      <c r="O4370" s="7" t="s">
        <v>179</v>
      </c>
      <c r="P4370" s="7" t="s">
        <v>179</v>
      </c>
    </row>
    <row r="4371" spans="1:16" x14ac:dyDescent="0.25">
      <c r="A4371" t="s">
        <v>181</v>
      </c>
      <c r="B4371" t="s">
        <v>217</v>
      </c>
      <c r="C4371" s="7" t="s">
        <v>102</v>
      </c>
      <c r="D4371" t="s">
        <v>116</v>
      </c>
      <c r="F4371" s="35">
        <v>2</v>
      </c>
      <c r="G4371" s="35">
        <v>23.25610710681994</v>
      </c>
      <c r="H4371" s="35">
        <v>3.7493817987146043</v>
      </c>
      <c r="I4371" s="35">
        <v>5.6200736507703242E-2</v>
      </c>
      <c r="J4371" s="35">
        <v>9.5939874949713054E-5</v>
      </c>
      <c r="K4371" s="35">
        <v>0.41587654091519916</v>
      </c>
      <c r="L4371" s="35">
        <v>11.107513015074376</v>
      </c>
      <c r="M4371" s="58" t="s">
        <v>22</v>
      </c>
      <c r="N4371" s="7">
        <v>9.5</v>
      </c>
      <c r="O4371" s="7" t="s">
        <v>179</v>
      </c>
      <c r="P4371" s="7" t="s">
        <v>179</v>
      </c>
    </row>
    <row r="4372" spans="1:16" x14ac:dyDescent="0.25">
      <c r="A4372" t="s">
        <v>181</v>
      </c>
      <c r="B4372" t="s">
        <v>217</v>
      </c>
      <c r="C4372" s="7" t="s">
        <v>102</v>
      </c>
      <c r="D4372" t="s">
        <v>116</v>
      </c>
      <c r="F4372" s="35">
        <v>4.4982502942822453</v>
      </c>
      <c r="G4372" s="35">
        <v>24.272642153663032</v>
      </c>
      <c r="H4372" s="35">
        <v>-3.4275916466994305</v>
      </c>
      <c r="I4372" s="35">
        <v>5.6200736507702811E-2</v>
      </c>
      <c r="J4372" s="35">
        <v>9.5939874949713054E-5</v>
      </c>
      <c r="K4372" s="35">
        <v>0.27547303439595117</v>
      </c>
      <c r="L4372" s="35">
        <v>10.70555684408987</v>
      </c>
      <c r="M4372" s="58" t="s">
        <v>24</v>
      </c>
      <c r="N4372" s="7">
        <v>9.5</v>
      </c>
      <c r="O4372" s="7" t="s">
        <v>179</v>
      </c>
      <c r="P4372" s="7" t="s">
        <v>179</v>
      </c>
    </row>
    <row r="4373" spans="1:16" x14ac:dyDescent="0.25">
      <c r="A4373" t="s">
        <v>181</v>
      </c>
      <c r="B4373" t="s">
        <v>217</v>
      </c>
      <c r="C4373" s="7" t="s">
        <v>102</v>
      </c>
      <c r="D4373" t="s">
        <v>116</v>
      </c>
      <c r="F4373" s="35">
        <v>8.9965005885644906</v>
      </c>
      <c r="G4373" s="35">
        <v>26.102974800506122</v>
      </c>
      <c r="H4373" s="35">
        <v>-16.350165092113468</v>
      </c>
      <c r="I4373" s="35">
        <v>5.620073650770202E-2</v>
      </c>
      <c r="J4373" s="35">
        <v>9.5939874949713054E-5</v>
      </c>
      <c r="K4373" s="35">
        <v>2.2668054861299892E-2</v>
      </c>
      <c r="L4373" s="35">
        <v>55.188206879393761</v>
      </c>
      <c r="M4373" s="58" t="s">
        <v>23</v>
      </c>
      <c r="N4373" s="7">
        <v>9.5</v>
      </c>
      <c r="O4373" s="7" t="s">
        <v>179</v>
      </c>
      <c r="P4373" s="7" t="s">
        <v>179</v>
      </c>
    </row>
    <row r="4374" spans="1:16" x14ac:dyDescent="0.25">
      <c r="A4374" t="s">
        <v>181</v>
      </c>
      <c r="B4374" t="s">
        <v>217</v>
      </c>
      <c r="C4374" s="7" t="s">
        <v>102</v>
      </c>
      <c r="D4374" t="s">
        <v>117</v>
      </c>
      <c r="F4374" s="35">
        <v>0</v>
      </c>
      <c r="G4374" s="35">
        <v>-24.937890893612597</v>
      </c>
      <c r="H4374" s="35">
        <v>24.13042125895765</v>
      </c>
      <c r="I4374" s="35">
        <v>-0.65705851709543972</v>
      </c>
      <c r="J4374" s="35">
        <v>2.3755460192496515E-5</v>
      </c>
      <c r="K4374" s="35">
        <v>-1.0275066055087274</v>
      </c>
      <c r="L4374" s="35">
        <v>111.59175858139288</v>
      </c>
      <c r="M4374" s="58" t="s">
        <v>22</v>
      </c>
      <c r="N4374" s="7">
        <v>9.5</v>
      </c>
      <c r="O4374" s="7" t="s">
        <v>179</v>
      </c>
      <c r="P4374" s="7" t="s">
        <v>179</v>
      </c>
    </row>
    <row r="4375" spans="1:16" x14ac:dyDescent="0.25">
      <c r="A4375" t="s">
        <v>181</v>
      </c>
      <c r="B4375" t="s">
        <v>217</v>
      </c>
      <c r="C4375" s="7" t="s">
        <v>102</v>
      </c>
      <c r="D4375" t="s">
        <v>117</v>
      </c>
      <c r="F4375" s="35">
        <v>2</v>
      </c>
      <c r="G4375" s="35">
        <v>-24.124093293612606</v>
      </c>
      <c r="H4375" s="35">
        <v>22.618421258957653</v>
      </c>
      <c r="I4375" s="35">
        <v>-0.65705851709543983</v>
      </c>
      <c r="J4375" s="35">
        <v>2.3755460192496515E-5</v>
      </c>
      <c r="K4375" s="35">
        <v>0.28661042868215225</v>
      </c>
      <c r="L4375" s="35">
        <v>64.842916063477588</v>
      </c>
      <c r="M4375" s="58" t="s">
        <v>22</v>
      </c>
      <c r="N4375" s="7">
        <v>9.5</v>
      </c>
      <c r="O4375" s="7" t="s">
        <v>179</v>
      </c>
      <c r="P4375" s="7" t="s">
        <v>179</v>
      </c>
    </row>
    <row r="4376" spans="1:16" x14ac:dyDescent="0.25">
      <c r="A4376" t="s">
        <v>181</v>
      </c>
      <c r="B4376" t="s">
        <v>217</v>
      </c>
      <c r="C4376" s="7" t="s">
        <v>102</v>
      </c>
      <c r="D4376" t="s">
        <v>117</v>
      </c>
      <c r="F4376" s="35">
        <v>2</v>
      </c>
      <c r="G4376" s="35">
        <v>-24.756925152242555</v>
      </c>
      <c r="H4376" s="35">
        <v>22.618409972240176</v>
      </c>
      <c r="I4376" s="35">
        <v>3.8970791519928723E-2</v>
      </c>
      <c r="J4376" s="35">
        <v>3.8322783369728369E-5</v>
      </c>
      <c r="K4376" s="35">
        <v>0.28661042868215186</v>
      </c>
      <c r="L4376" s="35">
        <v>64.842900524999379</v>
      </c>
      <c r="M4376" s="58" t="s">
        <v>22</v>
      </c>
      <c r="N4376" s="7">
        <v>9.5</v>
      </c>
      <c r="O4376" s="7" t="s">
        <v>179</v>
      </c>
      <c r="P4376" s="7" t="s">
        <v>179</v>
      </c>
    </row>
    <row r="4377" spans="1:16" x14ac:dyDescent="0.25">
      <c r="A4377" t="s">
        <v>181</v>
      </c>
      <c r="B4377" t="s">
        <v>217</v>
      </c>
      <c r="C4377" s="7" t="s">
        <v>102</v>
      </c>
      <c r="D4377" t="s">
        <v>117</v>
      </c>
      <c r="F4377" s="35">
        <v>4.4982502942822453</v>
      </c>
      <c r="G4377" s="35">
        <v>-23.740390105399463</v>
      </c>
      <c r="H4377" s="35">
        <v>20.7297327497628</v>
      </c>
      <c r="I4377" s="35">
        <v>3.8970791519928612E-2</v>
      </c>
      <c r="J4377" s="35">
        <v>3.8322783369728369E-5</v>
      </c>
      <c r="K4377" s="35">
        <v>0.18925163729907807</v>
      </c>
      <c r="L4377" s="35">
        <v>10.695645369083051</v>
      </c>
      <c r="M4377" s="58" t="s">
        <v>24</v>
      </c>
      <c r="N4377" s="7">
        <v>9.5</v>
      </c>
      <c r="O4377" s="7" t="s">
        <v>179</v>
      </c>
      <c r="P4377" s="7" t="s">
        <v>179</v>
      </c>
    </row>
    <row r="4378" spans="1:16" x14ac:dyDescent="0.25">
      <c r="A4378" t="s">
        <v>181</v>
      </c>
      <c r="B4378" t="s">
        <v>217</v>
      </c>
      <c r="C4378" s="7" t="s">
        <v>102</v>
      </c>
      <c r="D4378" t="s">
        <v>117</v>
      </c>
      <c r="F4378" s="35">
        <v>8.9965005885644906</v>
      </c>
      <c r="G4378" s="35">
        <v>-21.910057458556373</v>
      </c>
      <c r="H4378" s="35">
        <v>17.329055527285423</v>
      </c>
      <c r="I4378" s="35">
        <v>3.8970791519928397E-2</v>
      </c>
      <c r="J4378" s="35">
        <v>3.8322783369728369E-5</v>
      </c>
      <c r="K4378" s="35">
        <v>1.3951262876147659E-2</v>
      </c>
      <c r="L4378" s="35">
        <v>-74.903332414545844</v>
      </c>
      <c r="M4378" s="58" t="s">
        <v>23</v>
      </c>
      <c r="N4378" s="7">
        <v>9.5</v>
      </c>
      <c r="O4378" s="7" t="s">
        <v>179</v>
      </c>
      <c r="P4378" s="7" t="s">
        <v>179</v>
      </c>
    </row>
    <row r="4379" spans="1:16" x14ac:dyDescent="0.25">
      <c r="A4379" t="s">
        <v>181</v>
      </c>
      <c r="B4379" t="s">
        <v>217</v>
      </c>
      <c r="C4379" s="7" t="s">
        <v>102</v>
      </c>
      <c r="D4379" t="s">
        <v>118</v>
      </c>
      <c r="F4379" s="35">
        <v>0</v>
      </c>
      <c r="G4379" s="35">
        <v>38.86137416853461</v>
      </c>
      <c r="H4379" s="35">
        <v>-33.836772670817368</v>
      </c>
      <c r="I4379" s="35">
        <v>-1.1210284998431836</v>
      </c>
      <c r="J4379" s="35">
        <v>5.3508683966049308E-5</v>
      </c>
      <c r="K4379" s="35">
        <v>-1.7363991012052642</v>
      </c>
      <c r="L4379" s="35">
        <v>-101.20388388243127</v>
      </c>
      <c r="M4379" s="58" t="s">
        <v>22</v>
      </c>
      <c r="N4379" s="7">
        <v>9.5</v>
      </c>
      <c r="O4379" s="7" t="s">
        <v>179</v>
      </c>
      <c r="P4379" s="7" t="s">
        <v>179</v>
      </c>
    </row>
    <row r="4380" spans="1:16" x14ac:dyDescent="0.25">
      <c r="A4380" t="s">
        <v>181</v>
      </c>
      <c r="B4380" t="s">
        <v>217</v>
      </c>
      <c r="C4380" s="7" t="s">
        <v>102</v>
      </c>
      <c r="D4380" t="s">
        <v>118</v>
      </c>
      <c r="F4380" s="35">
        <v>2</v>
      </c>
      <c r="G4380" s="35">
        <v>39.675171768534604</v>
      </c>
      <c r="H4380" s="35">
        <v>-28.39357267081737</v>
      </c>
      <c r="I4380" s="35">
        <v>-1.1210284998431832</v>
      </c>
      <c r="J4380" s="35">
        <v>5.3508683966049308E-5</v>
      </c>
      <c r="K4380" s="35">
        <v>0.50565789848110243</v>
      </c>
      <c r="L4380" s="35">
        <v>-38.973538540796554</v>
      </c>
      <c r="M4380" s="58" t="s">
        <v>22</v>
      </c>
      <c r="N4380" s="7">
        <v>9.5</v>
      </c>
      <c r="O4380" s="7" t="s">
        <v>179</v>
      </c>
      <c r="P4380" s="7" t="s">
        <v>179</v>
      </c>
    </row>
    <row r="4381" spans="1:16" x14ac:dyDescent="0.25">
      <c r="A4381" t="s">
        <v>181</v>
      </c>
      <c r="B4381" t="s">
        <v>217</v>
      </c>
      <c r="C4381" s="7" t="s">
        <v>102</v>
      </c>
      <c r="D4381" t="s">
        <v>118</v>
      </c>
      <c r="F4381" s="35">
        <v>2</v>
      </c>
      <c r="G4381" s="35">
        <v>38.579983998373542</v>
      </c>
      <c r="H4381" s="35">
        <v>-28.393561536801261</v>
      </c>
      <c r="I4381" s="35">
        <v>6.8177660948301147E-2</v>
      </c>
      <c r="J4381" s="35">
        <v>1.020027101700704E-4</v>
      </c>
      <c r="K4381" s="35">
        <v>0.50565789848110321</v>
      </c>
      <c r="L4381" s="35">
        <v>-38.973590267757785</v>
      </c>
      <c r="M4381" s="58" t="s">
        <v>22</v>
      </c>
      <c r="N4381" s="7">
        <v>9.5</v>
      </c>
      <c r="O4381" s="7" t="s">
        <v>179</v>
      </c>
      <c r="P4381" s="7" t="s">
        <v>179</v>
      </c>
    </row>
    <row r="4382" spans="1:16" x14ac:dyDescent="0.25">
      <c r="A4382" t="s">
        <v>181</v>
      </c>
      <c r="B4382" t="s">
        <v>217</v>
      </c>
      <c r="C4382" s="7" t="s">
        <v>102</v>
      </c>
      <c r="D4382" t="s">
        <v>118</v>
      </c>
      <c r="F4382" s="35">
        <v>4.4982502942822453</v>
      </c>
      <c r="G4382" s="35">
        <v>39.596519045216638</v>
      </c>
      <c r="H4382" s="35">
        <v>-21.594323535882705</v>
      </c>
      <c r="I4382" s="35">
        <v>6.8177660948301577E-2</v>
      </c>
      <c r="J4382" s="35">
        <v>1.020027101700704E-4</v>
      </c>
      <c r="K4382" s="35">
        <v>0.33533303695353428</v>
      </c>
      <c r="L4382" s="35">
        <v>23.467534028932089</v>
      </c>
      <c r="M4382" s="58" t="s">
        <v>24</v>
      </c>
      <c r="N4382" s="7">
        <v>9.5</v>
      </c>
      <c r="O4382" s="7" t="s">
        <v>179</v>
      </c>
      <c r="P4382" s="7" t="s">
        <v>179</v>
      </c>
    </row>
    <row r="4383" spans="1:16" x14ac:dyDescent="0.25">
      <c r="A4383" t="s">
        <v>181</v>
      </c>
      <c r="B4383" t="s">
        <v>217</v>
      </c>
      <c r="C4383" s="7" t="s">
        <v>102</v>
      </c>
      <c r="D4383" t="s">
        <v>118</v>
      </c>
      <c r="F4383" s="35">
        <v>8.9965005885644906</v>
      </c>
      <c r="G4383" s="35">
        <v>41.426851692059721</v>
      </c>
      <c r="H4383" s="35">
        <v>-9.351885534964147</v>
      </c>
      <c r="I4383" s="35">
        <v>6.8177660948302327E-2</v>
      </c>
      <c r="J4383" s="35">
        <v>1.020027101700704E-4</v>
      </c>
      <c r="K4383" s="35">
        <v>2.8652853529359937E-2</v>
      </c>
      <c r="L4383" s="35">
        <v>93.069431058860445</v>
      </c>
      <c r="M4383" s="58" t="s">
        <v>23</v>
      </c>
      <c r="N4383" s="7">
        <v>9.5</v>
      </c>
      <c r="O4383" s="7" t="s">
        <v>179</v>
      </c>
      <c r="P4383" s="7" t="s">
        <v>179</v>
      </c>
    </row>
    <row r="4384" spans="1:16" x14ac:dyDescent="0.25">
      <c r="A4384" t="s">
        <v>181</v>
      </c>
      <c r="B4384" t="s">
        <v>217</v>
      </c>
      <c r="C4384" s="7" t="s">
        <v>102</v>
      </c>
      <c r="D4384" t="s">
        <v>119</v>
      </c>
      <c r="F4384" s="35">
        <v>0</v>
      </c>
      <c r="G4384" s="35">
        <v>-67.796077563320267</v>
      </c>
      <c r="H4384" s="35">
        <v>-10.748440754809454</v>
      </c>
      <c r="I4384" s="35">
        <v>-0.61671337521831016</v>
      </c>
      <c r="J4384" s="35">
        <v>1.0279601615894633E-4</v>
      </c>
      <c r="K4384" s="35">
        <v>-0.97223772160626121</v>
      </c>
      <c r="L4384" s="35">
        <v>-32.682034474738487</v>
      </c>
      <c r="M4384" s="58" t="s">
        <v>22</v>
      </c>
      <c r="N4384" s="7">
        <v>9.5</v>
      </c>
      <c r="O4384" s="7" t="s">
        <v>179</v>
      </c>
      <c r="P4384" s="7" t="s">
        <v>179</v>
      </c>
    </row>
    <row r="4385" spans="1:16" x14ac:dyDescent="0.25">
      <c r="A4385" t="s">
        <v>181</v>
      </c>
      <c r="B4385" t="s">
        <v>217</v>
      </c>
      <c r="C4385" s="7" t="s">
        <v>102</v>
      </c>
      <c r="D4385" t="s">
        <v>119</v>
      </c>
      <c r="F4385" s="35">
        <v>2</v>
      </c>
      <c r="G4385" s="35">
        <v>-66.982279963320281</v>
      </c>
      <c r="H4385" s="35">
        <v>-1.0716407548094538</v>
      </c>
      <c r="I4385" s="35">
        <v>-0.61671337521830949</v>
      </c>
      <c r="J4385" s="35">
        <v>1.0279601615894633E-4</v>
      </c>
      <c r="K4385" s="35">
        <v>0.26118902883035827</v>
      </c>
      <c r="L4385" s="35">
        <v>-20.861952965119578</v>
      </c>
      <c r="M4385" s="58" t="s">
        <v>22</v>
      </c>
      <c r="N4385" s="7">
        <v>9.5</v>
      </c>
      <c r="O4385" s="7" t="s">
        <v>179</v>
      </c>
      <c r="P4385" s="7" t="s">
        <v>179</v>
      </c>
    </row>
    <row r="4386" spans="1:16" x14ac:dyDescent="0.25">
      <c r="A4386" t="s">
        <v>181</v>
      </c>
      <c r="B4386" t="s">
        <v>217</v>
      </c>
      <c r="C4386" s="7" t="s">
        <v>102</v>
      </c>
      <c r="D4386" t="s">
        <v>119</v>
      </c>
      <c r="F4386" s="35">
        <v>2</v>
      </c>
      <c r="G4386" s="35">
        <v>-67.574145963972811</v>
      </c>
      <c r="H4386" s="35">
        <v>-1.0716504518805594</v>
      </c>
      <c r="I4386" s="35">
        <v>3.5620374565191106E-2</v>
      </c>
      <c r="J4386" s="35">
        <v>1.1561387128248624E-5</v>
      </c>
      <c r="K4386" s="35">
        <v>0.26118902883035799</v>
      </c>
      <c r="L4386" s="35">
        <v>-20.861855648181962</v>
      </c>
      <c r="M4386" s="58" t="s">
        <v>22</v>
      </c>
      <c r="N4386" s="7">
        <v>9.5</v>
      </c>
      <c r="O4386" s="7" t="s">
        <v>179</v>
      </c>
      <c r="P4386" s="7" t="s">
        <v>179</v>
      </c>
    </row>
    <row r="4387" spans="1:16" x14ac:dyDescent="0.25">
      <c r="A4387" t="s">
        <v>181</v>
      </c>
      <c r="B4387" t="s">
        <v>217</v>
      </c>
      <c r="C4387" s="7" t="s">
        <v>102</v>
      </c>
      <c r="D4387" t="s">
        <v>119</v>
      </c>
      <c r="F4387" s="35">
        <v>4.4982502942822453</v>
      </c>
      <c r="G4387" s="35">
        <v>-66.557610917129722</v>
      </c>
      <c r="H4387" s="35">
        <v>11.015883771974657</v>
      </c>
      <c r="I4387" s="35">
        <v>3.5620374565191848E-2</v>
      </c>
      <c r="J4387" s="35">
        <v>1.1561387128248624E-5</v>
      </c>
      <c r="K4387" s="35">
        <v>0.17220041759042462</v>
      </c>
      <c r="L4387" s="35">
        <v>-33.283447557350151</v>
      </c>
      <c r="M4387" s="58" t="s">
        <v>24</v>
      </c>
      <c r="N4387" s="7">
        <v>9.5</v>
      </c>
      <c r="O4387" s="7" t="s">
        <v>179</v>
      </c>
      <c r="P4387" s="7" t="s">
        <v>179</v>
      </c>
    </row>
    <row r="4388" spans="1:16" x14ac:dyDescent="0.25">
      <c r="A4388" t="s">
        <v>181</v>
      </c>
      <c r="B4388" t="s">
        <v>217</v>
      </c>
      <c r="C4388" s="7" t="s">
        <v>102</v>
      </c>
      <c r="D4388" t="s">
        <v>119</v>
      </c>
      <c r="F4388" s="35">
        <v>8.9965005885644906</v>
      </c>
      <c r="G4388" s="35">
        <v>-64.727278270286632</v>
      </c>
      <c r="H4388" s="35">
        <v>32.780217995829872</v>
      </c>
      <c r="I4388" s="35">
        <v>3.5620374565193173E-2</v>
      </c>
      <c r="J4388" s="35">
        <v>1.1561387128248624E-5</v>
      </c>
      <c r="K4388" s="35">
        <v>1.1971057220103609E-2</v>
      </c>
      <c r="L4388" s="35">
        <v>-131.78636139007105</v>
      </c>
      <c r="M4388" s="58" t="s">
        <v>23</v>
      </c>
      <c r="N4388" s="7">
        <v>9.5</v>
      </c>
      <c r="O4388" s="7" t="s">
        <v>179</v>
      </c>
      <c r="P4388" s="7" t="s">
        <v>179</v>
      </c>
    </row>
    <row r="4389" spans="1:16" x14ac:dyDescent="0.25">
      <c r="A4389" t="s">
        <v>181</v>
      </c>
      <c r="B4389" t="s">
        <v>217</v>
      </c>
      <c r="C4389" s="7" t="s">
        <v>102</v>
      </c>
      <c r="D4389" t="s">
        <v>120</v>
      </c>
      <c r="F4389" s="35">
        <v>0</v>
      </c>
      <c r="G4389" s="35">
        <v>46.055760700250765</v>
      </c>
      <c r="H4389" s="35">
        <v>5.985263550401382</v>
      </c>
      <c r="I4389" s="35">
        <v>-4.3933312314811221</v>
      </c>
      <c r="J4389" s="35">
        <v>1.526420464399975E-4</v>
      </c>
      <c r="K4389" s="35">
        <v>-7.0060064636428834</v>
      </c>
      <c r="L4389" s="35">
        <v>-12.420073811985818</v>
      </c>
      <c r="M4389" s="58" t="s">
        <v>22</v>
      </c>
      <c r="N4389" s="7">
        <v>9.5</v>
      </c>
      <c r="O4389" s="7" t="s">
        <v>179</v>
      </c>
      <c r="P4389" s="7" t="s">
        <v>179</v>
      </c>
    </row>
    <row r="4390" spans="1:16" x14ac:dyDescent="0.25">
      <c r="A4390" t="s">
        <v>181</v>
      </c>
      <c r="B4390" t="s">
        <v>217</v>
      </c>
      <c r="C4390" s="7" t="s">
        <v>102</v>
      </c>
      <c r="D4390" t="s">
        <v>120</v>
      </c>
      <c r="F4390" s="35">
        <v>2</v>
      </c>
      <c r="G4390" s="35">
        <v>46.869558300250759</v>
      </c>
      <c r="H4390" s="35">
        <v>-2.4147364495986179</v>
      </c>
      <c r="I4390" s="35">
        <v>-4.393331231481123</v>
      </c>
      <c r="J4390" s="35">
        <v>1.526420464399975E-4</v>
      </c>
      <c r="K4390" s="35">
        <v>1.7806559993193622</v>
      </c>
      <c r="L4390" s="35">
        <v>-15.990600912788581</v>
      </c>
      <c r="M4390" s="58" t="s">
        <v>22</v>
      </c>
      <c r="N4390" s="7">
        <v>9.5</v>
      </c>
      <c r="O4390" s="7" t="s">
        <v>179</v>
      </c>
      <c r="P4390" s="7" t="s">
        <v>179</v>
      </c>
    </row>
    <row r="4391" spans="1:16" x14ac:dyDescent="0.25">
      <c r="A4391" t="s">
        <v>181</v>
      </c>
      <c r="B4391" t="s">
        <v>217</v>
      </c>
      <c r="C4391" s="7" t="s">
        <v>102</v>
      </c>
      <c r="D4391" t="s">
        <v>120</v>
      </c>
      <c r="F4391" s="35">
        <v>2</v>
      </c>
      <c r="G4391" s="35">
        <v>42.547219404929137</v>
      </c>
      <c r="H4391" s="35">
        <v>-2.4147231647450496</v>
      </c>
      <c r="I4391" s="35">
        <v>0.23817125949662588</v>
      </c>
      <c r="J4391" s="35">
        <v>1.8214817943182297E-4</v>
      </c>
      <c r="K4391" s="35">
        <v>1.7806559993193669</v>
      </c>
      <c r="L4391" s="35">
        <v>-15.990632385997113</v>
      </c>
      <c r="M4391" s="58" t="s">
        <v>22</v>
      </c>
      <c r="N4391" s="7">
        <v>9.5</v>
      </c>
      <c r="O4391" s="7" t="s">
        <v>179</v>
      </c>
      <c r="P4391" s="7" t="s">
        <v>179</v>
      </c>
    </row>
    <row r="4392" spans="1:16" x14ac:dyDescent="0.25">
      <c r="A4392" t="s">
        <v>181</v>
      </c>
      <c r="B4392" t="s">
        <v>217</v>
      </c>
      <c r="C4392" s="7" t="s">
        <v>102</v>
      </c>
      <c r="D4392" t="s">
        <v>120</v>
      </c>
      <c r="F4392" s="35">
        <v>4.4982502942822453</v>
      </c>
      <c r="G4392" s="35">
        <v>43.563754451772219</v>
      </c>
      <c r="H4392" s="35">
        <v>-12.907374400730482</v>
      </c>
      <c r="I4392" s="35">
        <v>0.23817125949662524</v>
      </c>
      <c r="J4392" s="35">
        <v>1.8214817943182297E-4</v>
      </c>
      <c r="K4392" s="35">
        <v>1.1856445801923494</v>
      </c>
      <c r="L4392" s="35">
        <v>3.1485849899881364</v>
      </c>
      <c r="M4392" s="58" t="s">
        <v>24</v>
      </c>
      <c r="N4392" s="7">
        <v>9.5</v>
      </c>
      <c r="O4392" s="7" t="s">
        <v>179</v>
      </c>
      <c r="P4392" s="7" t="s">
        <v>179</v>
      </c>
    </row>
    <row r="4393" spans="1:16" x14ac:dyDescent="0.25">
      <c r="A4393" t="s">
        <v>181</v>
      </c>
      <c r="B4393" t="s">
        <v>217</v>
      </c>
      <c r="C4393" s="7" t="s">
        <v>102</v>
      </c>
      <c r="D4393" t="s">
        <v>120</v>
      </c>
      <c r="F4393" s="35">
        <v>8.9965005885644906</v>
      </c>
      <c r="G4393" s="35">
        <v>45.394087098615316</v>
      </c>
      <c r="H4393" s="35">
        <v>-31.800025636715912</v>
      </c>
      <c r="I4393" s="35">
        <v>0.23817125949662407</v>
      </c>
      <c r="J4393" s="35">
        <v>1.8214817943182297E-4</v>
      </c>
      <c r="K4393" s="35">
        <v>0.11429064207208467</v>
      </c>
      <c r="L4393" s="35">
        <v>103.70112267750675</v>
      </c>
      <c r="M4393" s="58" t="s">
        <v>23</v>
      </c>
      <c r="N4393" s="7">
        <v>9.5</v>
      </c>
      <c r="O4393" s="7" t="s">
        <v>179</v>
      </c>
      <c r="P4393" s="7" t="s">
        <v>179</v>
      </c>
    </row>
    <row r="4394" spans="1:16" x14ac:dyDescent="0.25">
      <c r="A4394" t="s">
        <v>181</v>
      </c>
      <c r="B4394" t="s">
        <v>217</v>
      </c>
      <c r="C4394" s="7" t="s">
        <v>102</v>
      </c>
      <c r="D4394" t="s">
        <v>121</v>
      </c>
      <c r="F4394" s="35">
        <v>0</v>
      </c>
      <c r="G4394" s="35">
        <v>3.462759639200121</v>
      </c>
      <c r="H4394" s="35">
        <v>10.493751916782022</v>
      </c>
      <c r="I4394" s="35">
        <v>-3.9207721789190173</v>
      </c>
      <c r="J4394" s="35">
        <v>1.3728215204394484E-4</v>
      </c>
      <c r="K4394" s="35">
        <v>-6.2787383383460966</v>
      </c>
      <c r="L4394" s="35">
        <v>19.701001196649138</v>
      </c>
      <c r="M4394" s="58" t="s">
        <v>22</v>
      </c>
      <c r="N4394" s="7">
        <v>9.5</v>
      </c>
      <c r="O4394" s="7" t="s">
        <v>179</v>
      </c>
      <c r="P4394" s="7" t="s">
        <v>179</v>
      </c>
    </row>
    <row r="4395" spans="1:16" x14ac:dyDescent="0.25">
      <c r="A4395" t="s">
        <v>181</v>
      </c>
      <c r="B4395" t="s">
        <v>217</v>
      </c>
      <c r="C4395" s="7" t="s">
        <v>102</v>
      </c>
      <c r="D4395" t="s">
        <v>121</v>
      </c>
      <c r="F4395" s="35">
        <v>2</v>
      </c>
      <c r="G4395" s="35">
        <v>4.2765572392001188</v>
      </c>
      <c r="H4395" s="35">
        <v>6.7977519167820235</v>
      </c>
      <c r="I4395" s="35">
        <v>-3.9207721789190173</v>
      </c>
      <c r="J4395" s="35">
        <v>1.3728215204394484E-4</v>
      </c>
      <c r="K4395" s="35">
        <v>1.5628060194919378</v>
      </c>
      <c r="L4395" s="35">
        <v>2.4094973630850829</v>
      </c>
      <c r="M4395" s="58" t="s">
        <v>22</v>
      </c>
      <c r="N4395" s="7">
        <v>9.5</v>
      </c>
      <c r="O4395" s="7" t="s">
        <v>179</v>
      </c>
      <c r="P4395" s="7" t="s">
        <v>179</v>
      </c>
    </row>
    <row r="4396" spans="1:16" x14ac:dyDescent="0.25">
      <c r="A4396" t="s">
        <v>181</v>
      </c>
      <c r="B4396" t="s">
        <v>217</v>
      </c>
      <c r="C4396" s="7" t="s">
        <v>102</v>
      </c>
      <c r="D4396" t="s">
        <v>121</v>
      </c>
      <c r="F4396" s="35">
        <v>2</v>
      </c>
      <c r="G4396" s="35">
        <v>0.42446549976500675</v>
      </c>
      <c r="H4396" s="35">
        <v>6.7977544334086968</v>
      </c>
      <c r="I4396" s="35">
        <v>0.20913553047351965</v>
      </c>
      <c r="J4396" s="35">
        <v>1.2590677677812515E-4</v>
      </c>
      <c r="K4396" s="35">
        <v>1.5628060194919386</v>
      </c>
      <c r="L4396" s="35">
        <v>2.4095094968187283</v>
      </c>
      <c r="M4396" s="58" t="s">
        <v>22</v>
      </c>
      <c r="N4396" s="7">
        <v>9.5</v>
      </c>
      <c r="O4396" s="7" t="s">
        <v>179</v>
      </c>
      <c r="P4396" s="7" t="s">
        <v>179</v>
      </c>
    </row>
    <row r="4397" spans="1:16" x14ac:dyDescent="0.25">
      <c r="A4397" t="s">
        <v>181</v>
      </c>
      <c r="B4397" t="s">
        <v>217</v>
      </c>
      <c r="C4397" s="7" t="s">
        <v>102</v>
      </c>
      <c r="D4397" t="s">
        <v>121</v>
      </c>
      <c r="F4397" s="35">
        <v>4.4982502942822453</v>
      </c>
      <c r="G4397" s="35">
        <v>1.4410005466080908</v>
      </c>
      <c r="H4397" s="35">
        <v>2.1809878895751078</v>
      </c>
      <c r="I4397" s="35">
        <v>0.2091355304735194</v>
      </c>
      <c r="J4397" s="35">
        <v>1.2590677677812515E-4</v>
      </c>
      <c r="K4397" s="35">
        <v>1.0403331189415952</v>
      </c>
      <c r="L4397" s="35">
        <v>-8.8060633285206453</v>
      </c>
      <c r="M4397" s="58" t="s">
        <v>24</v>
      </c>
      <c r="N4397" s="7">
        <v>9.5</v>
      </c>
      <c r="O4397" s="7" t="s">
        <v>179</v>
      </c>
      <c r="P4397" s="7" t="s">
        <v>179</v>
      </c>
    </row>
    <row r="4398" spans="1:16" x14ac:dyDescent="0.25">
      <c r="A4398" t="s">
        <v>181</v>
      </c>
      <c r="B4398" t="s">
        <v>217</v>
      </c>
      <c r="C4398" s="7" t="s">
        <v>102</v>
      </c>
      <c r="D4398" t="s">
        <v>121</v>
      </c>
      <c r="F4398" s="35">
        <v>8.9965005885644906</v>
      </c>
      <c r="G4398" s="35">
        <v>3.2713331934511873</v>
      </c>
      <c r="H4398" s="35">
        <v>-6.1317786542584827</v>
      </c>
      <c r="I4398" s="35">
        <v>0.2091355304735189</v>
      </c>
      <c r="J4398" s="35">
        <v>1.2590677677812515E-4</v>
      </c>
      <c r="K4398" s="35">
        <v>9.9589157444214385E-2</v>
      </c>
      <c r="L4398" s="35">
        <v>7.9759531421631558E-2</v>
      </c>
      <c r="M4398" s="58" t="s">
        <v>23</v>
      </c>
      <c r="N4398" s="7">
        <v>9.5</v>
      </c>
      <c r="O4398" s="7" t="s">
        <v>179</v>
      </c>
      <c r="P4398" s="7" t="s">
        <v>179</v>
      </c>
    </row>
    <row r="4399" spans="1:16" x14ac:dyDescent="0.25">
      <c r="A4399" t="s">
        <v>181</v>
      </c>
      <c r="B4399" t="s">
        <v>217</v>
      </c>
      <c r="C4399" s="7" t="s">
        <v>102</v>
      </c>
      <c r="D4399" t="s">
        <v>122</v>
      </c>
      <c r="F4399" s="35">
        <v>0</v>
      </c>
      <c r="G4399" s="35">
        <v>29.13313663800702</v>
      </c>
      <c r="H4399" s="35">
        <v>5.9706797580652022</v>
      </c>
      <c r="I4399" s="35">
        <v>4.2994142289602832</v>
      </c>
      <c r="J4399" s="35">
        <v>-1.8638696548845622E-4</v>
      </c>
      <c r="K4399" s="35">
        <v>6.8748360104622996</v>
      </c>
      <c r="L4399" s="35">
        <v>-11.935299461487395</v>
      </c>
      <c r="M4399" s="58" t="s">
        <v>22</v>
      </c>
      <c r="N4399" s="7">
        <v>9.5</v>
      </c>
      <c r="O4399" s="7" t="s">
        <v>179</v>
      </c>
      <c r="P4399" s="7" t="s">
        <v>179</v>
      </c>
    </row>
    <row r="4400" spans="1:16" x14ac:dyDescent="0.25">
      <c r="A4400" t="s">
        <v>181</v>
      </c>
      <c r="B4400" t="s">
        <v>217</v>
      </c>
      <c r="C4400" s="7" t="s">
        <v>102</v>
      </c>
      <c r="D4400" t="s">
        <v>122</v>
      </c>
      <c r="F4400" s="35">
        <v>2</v>
      </c>
      <c r="G4400" s="35">
        <v>29.946934238007017</v>
      </c>
      <c r="H4400" s="35">
        <v>-2.4293202419347941</v>
      </c>
      <c r="I4400" s="35">
        <v>4.2994142289602824</v>
      </c>
      <c r="J4400" s="35">
        <v>-1.8638696548845622E-4</v>
      </c>
      <c r="K4400" s="35">
        <v>-1.723992447458264</v>
      </c>
      <c r="L4400" s="35">
        <v>-15.476658977617804</v>
      </c>
      <c r="M4400" s="58" t="s">
        <v>22</v>
      </c>
      <c r="N4400" s="7">
        <v>9.5</v>
      </c>
      <c r="O4400" s="7" t="s">
        <v>179</v>
      </c>
      <c r="P4400" s="7" t="s">
        <v>179</v>
      </c>
    </row>
    <row r="4401" spans="1:16" x14ac:dyDescent="0.25">
      <c r="A4401" t="s">
        <v>181</v>
      </c>
      <c r="B4401" t="s">
        <v>217</v>
      </c>
      <c r="C4401" s="7" t="s">
        <v>102</v>
      </c>
      <c r="D4401" t="s">
        <v>122</v>
      </c>
      <c r="F4401" s="35">
        <v>2</v>
      </c>
      <c r="G4401" s="35">
        <v>34.212134474730682</v>
      </c>
      <c r="H4401" s="35">
        <v>-2.429312221873293</v>
      </c>
      <c r="I4401" s="35">
        <v>-0.2291243203567726</v>
      </c>
      <c r="J4401" s="35">
        <v>-1.57370857708191E-4</v>
      </c>
      <c r="K4401" s="35">
        <v>-1.7239924474582624</v>
      </c>
      <c r="L4401" s="35">
        <v>-15.476689928132807</v>
      </c>
      <c r="M4401" s="58" t="s">
        <v>22</v>
      </c>
      <c r="N4401" s="7">
        <v>9.5</v>
      </c>
      <c r="O4401" s="7" t="s">
        <v>179</v>
      </c>
      <c r="P4401" s="7" t="s">
        <v>179</v>
      </c>
    </row>
    <row r="4402" spans="1:16" x14ac:dyDescent="0.25">
      <c r="A4402" t="s">
        <v>181</v>
      </c>
      <c r="B4402" t="s">
        <v>217</v>
      </c>
      <c r="C4402" s="7" t="s">
        <v>102</v>
      </c>
      <c r="D4402" t="s">
        <v>122</v>
      </c>
      <c r="F4402" s="35">
        <v>4.4982502942822453</v>
      </c>
      <c r="G4402" s="35">
        <v>35.228669521573764</v>
      </c>
      <c r="H4402" s="35">
        <v>-12.921963457858725</v>
      </c>
      <c r="I4402" s="35">
        <v>-0.22912432035677324</v>
      </c>
      <c r="J4402" s="35">
        <v>-1.57370857708191E-4</v>
      </c>
      <c r="K4402" s="35">
        <v>-1.1515825466997354</v>
      </c>
      <c r="L4402" s="35">
        <v>3.6989745641163765</v>
      </c>
      <c r="M4402" s="58" t="s">
        <v>24</v>
      </c>
      <c r="N4402" s="7">
        <v>9.5</v>
      </c>
      <c r="O4402" s="7" t="s">
        <v>179</v>
      </c>
      <c r="P4402" s="7" t="s">
        <v>179</v>
      </c>
    </row>
    <row r="4403" spans="1:16" x14ac:dyDescent="0.25">
      <c r="A4403" t="s">
        <v>181</v>
      </c>
      <c r="B4403" t="s">
        <v>217</v>
      </c>
      <c r="C4403" s="7" t="s">
        <v>102</v>
      </c>
      <c r="D4403" t="s">
        <v>122</v>
      </c>
      <c r="F4403" s="35">
        <v>8.9965005885644906</v>
      </c>
      <c r="G4403" s="35">
        <v>37.05900216841686</v>
      </c>
      <c r="H4403" s="35">
        <v>-31.814614693844153</v>
      </c>
      <c r="I4403" s="35">
        <v>-0.22912432035677441</v>
      </c>
      <c r="J4403" s="35">
        <v>-1.57370857708191E-4</v>
      </c>
      <c r="K4403" s="35">
        <v>-0.12092400522765803</v>
      </c>
      <c r="L4403" s="35">
        <v>104.31713748215542</v>
      </c>
      <c r="M4403" s="58" t="s">
        <v>23</v>
      </c>
      <c r="N4403" s="7">
        <v>9.5</v>
      </c>
      <c r="O4403" s="7" t="s">
        <v>179</v>
      </c>
      <c r="P4403" s="7" t="s">
        <v>179</v>
      </c>
    </row>
    <row r="4404" spans="1:16" x14ac:dyDescent="0.25">
      <c r="A4404" t="s">
        <v>181</v>
      </c>
      <c r="B4404" t="s">
        <v>217</v>
      </c>
      <c r="C4404" s="7" t="s">
        <v>102</v>
      </c>
      <c r="D4404" t="s">
        <v>123</v>
      </c>
      <c r="F4404" s="35">
        <v>0</v>
      </c>
      <c r="G4404" s="35">
        <v>-13.466615497437649</v>
      </c>
      <c r="H4404" s="35">
        <v>10.479110838493447</v>
      </c>
      <c r="I4404" s="35">
        <v>4.7753503986504757</v>
      </c>
      <c r="J4404" s="35">
        <v>-2.0121290294160184E-4</v>
      </c>
      <c r="K4404" s="35">
        <v>7.6074943878756738</v>
      </c>
      <c r="L4404" s="35">
        <v>20.184627242035383</v>
      </c>
      <c r="M4404" s="58" t="s">
        <v>22</v>
      </c>
      <c r="N4404" s="7">
        <v>9.5</v>
      </c>
      <c r="O4404" s="7" t="s">
        <v>179</v>
      </c>
      <c r="P4404" s="7" t="s">
        <v>179</v>
      </c>
    </row>
    <row r="4405" spans="1:16" x14ac:dyDescent="0.25">
      <c r="A4405" t="s">
        <v>181</v>
      </c>
      <c r="B4405" t="s">
        <v>217</v>
      </c>
      <c r="C4405" s="7" t="s">
        <v>102</v>
      </c>
      <c r="D4405" t="s">
        <v>123</v>
      </c>
      <c r="F4405" s="35">
        <v>2</v>
      </c>
      <c r="G4405" s="35">
        <v>-12.65281789743765</v>
      </c>
      <c r="H4405" s="35">
        <v>6.7831108384934451</v>
      </c>
      <c r="I4405" s="35">
        <v>4.7753503986504757</v>
      </c>
      <c r="J4405" s="35">
        <v>-2.0121290294160184E-4</v>
      </c>
      <c r="K4405" s="35">
        <v>-1.9432064094252757</v>
      </c>
      <c r="L4405" s="35">
        <v>2.9224055650484853</v>
      </c>
      <c r="M4405" s="58" t="s">
        <v>22</v>
      </c>
      <c r="N4405" s="7">
        <v>9.5</v>
      </c>
      <c r="O4405" s="7" t="s">
        <v>179</v>
      </c>
      <c r="P4405" s="7" t="s">
        <v>179</v>
      </c>
    </row>
    <row r="4406" spans="1:16" x14ac:dyDescent="0.25">
      <c r="A4406" t="s">
        <v>181</v>
      </c>
      <c r="B4406" t="s">
        <v>217</v>
      </c>
      <c r="C4406" s="7" t="s">
        <v>102</v>
      </c>
      <c r="D4406" t="s">
        <v>123</v>
      </c>
      <c r="F4406" s="35">
        <v>2</v>
      </c>
      <c r="G4406" s="35">
        <v>-7.9140339359691776</v>
      </c>
      <c r="H4406" s="35">
        <v>6.7831080922104832</v>
      </c>
      <c r="I4406" s="35">
        <v>-0.25834193853530801</v>
      </c>
      <c r="J4406" s="35">
        <v>-2.1307830068244786E-4</v>
      </c>
      <c r="K4406" s="35">
        <v>-1.9432064094252757</v>
      </c>
      <c r="L4406" s="35">
        <v>2.9224182214726948</v>
      </c>
      <c r="M4406" s="58" t="s">
        <v>22</v>
      </c>
      <c r="N4406" s="7">
        <v>9.5</v>
      </c>
      <c r="O4406" s="7" t="s">
        <v>179</v>
      </c>
      <c r="P4406" s="7" t="s">
        <v>179</v>
      </c>
    </row>
    <row r="4407" spans="1:16" x14ac:dyDescent="0.25">
      <c r="A4407" t="s">
        <v>181</v>
      </c>
      <c r="B4407" t="s">
        <v>217</v>
      </c>
      <c r="C4407" s="7" t="s">
        <v>102</v>
      </c>
      <c r="D4407" t="s">
        <v>123</v>
      </c>
      <c r="F4407" s="35">
        <v>4.4982502942822453</v>
      </c>
      <c r="G4407" s="35">
        <v>-6.8974988891260933</v>
      </c>
      <c r="H4407" s="35">
        <v>2.1663415483768946</v>
      </c>
      <c r="I4407" s="35">
        <v>-0.25834193853530835</v>
      </c>
      <c r="J4407" s="35">
        <v>-2.1307830068244786E-4</v>
      </c>
      <c r="K4407" s="35">
        <v>-1.2978035854539964</v>
      </c>
      <c r="L4407" s="35">
        <v>-8.2565643776580853</v>
      </c>
      <c r="M4407" s="58" t="s">
        <v>24</v>
      </c>
      <c r="N4407" s="7">
        <v>9.5</v>
      </c>
      <c r="O4407" s="7" t="s">
        <v>179</v>
      </c>
      <c r="P4407" s="7" t="s">
        <v>179</v>
      </c>
    </row>
    <row r="4408" spans="1:16" x14ac:dyDescent="0.25">
      <c r="A4408" t="s">
        <v>181</v>
      </c>
      <c r="B4408" t="s">
        <v>217</v>
      </c>
      <c r="C4408" s="7" t="s">
        <v>102</v>
      </c>
      <c r="D4408" t="s">
        <v>123</v>
      </c>
      <c r="F4408" s="35">
        <v>8.9965005885644906</v>
      </c>
      <c r="G4408" s="35">
        <v>-5.0671662422829966</v>
      </c>
      <c r="H4408" s="35">
        <v>-6.1464249954566936</v>
      </c>
      <c r="I4408" s="35">
        <v>-0.25834193853530885</v>
      </c>
      <c r="J4408" s="35">
        <v>-2.1307830068244786E-4</v>
      </c>
      <c r="K4408" s="35">
        <v>-0.13571688441209886</v>
      </c>
      <c r="L4408" s="35">
        <v>0.69514139088919746</v>
      </c>
      <c r="M4408" s="58" t="s">
        <v>23</v>
      </c>
      <c r="N4408" s="7">
        <v>9.5</v>
      </c>
      <c r="O4408" s="7" t="s">
        <v>179</v>
      </c>
      <c r="P4408" s="7" t="s">
        <v>179</v>
      </c>
    </row>
    <row r="4409" spans="1:16" x14ac:dyDescent="0.25">
      <c r="A4409" t="s">
        <v>181</v>
      </c>
      <c r="B4409" t="s">
        <v>217</v>
      </c>
      <c r="C4409" s="7" t="s">
        <v>102</v>
      </c>
      <c r="D4409" t="s">
        <v>124</v>
      </c>
      <c r="F4409" s="35">
        <v>0</v>
      </c>
      <c r="G4409" s="35">
        <v>34.120597974190567</v>
      </c>
      <c r="H4409" s="35">
        <v>7.2415509050513363</v>
      </c>
      <c r="I4409" s="35">
        <v>-1.0390589782327473</v>
      </c>
      <c r="J4409" s="35">
        <v>6.2130088551364066E-5</v>
      </c>
      <c r="K4409" s="35">
        <v>-1.6105239496604096</v>
      </c>
      <c r="L4409" s="35">
        <v>16.486291441556702</v>
      </c>
      <c r="M4409" s="58" t="s">
        <v>22</v>
      </c>
      <c r="N4409" s="7">
        <v>9.5</v>
      </c>
      <c r="O4409" s="7" t="s">
        <v>179</v>
      </c>
      <c r="P4409" s="7" t="s">
        <v>179</v>
      </c>
    </row>
    <row r="4410" spans="1:16" x14ac:dyDescent="0.25">
      <c r="A4410" t="s">
        <v>181</v>
      </c>
      <c r="B4410" t="s">
        <v>217</v>
      </c>
      <c r="C4410" s="7" t="s">
        <v>102</v>
      </c>
      <c r="D4410" t="s">
        <v>124</v>
      </c>
      <c r="F4410" s="35">
        <v>2</v>
      </c>
      <c r="G4410" s="35">
        <v>34.934395574190567</v>
      </c>
      <c r="H4410" s="35">
        <v>0.85755090505133535</v>
      </c>
      <c r="I4410" s="35">
        <v>-1.0390589782327477</v>
      </c>
      <c r="J4410" s="35">
        <v>6.2130088551364066E-5</v>
      </c>
      <c r="K4410" s="35">
        <v>0.46759400680508495</v>
      </c>
      <c r="L4410" s="35">
        <v>8.3871896314540262</v>
      </c>
      <c r="M4410" s="58" t="s">
        <v>22</v>
      </c>
      <c r="N4410" s="7">
        <v>9.5</v>
      </c>
      <c r="O4410" s="7" t="s">
        <v>179</v>
      </c>
      <c r="P4410" s="7" t="s">
        <v>179</v>
      </c>
    </row>
    <row r="4411" spans="1:16" x14ac:dyDescent="0.25">
      <c r="A4411" t="s">
        <v>181</v>
      </c>
      <c r="B4411" t="s">
        <v>217</v>
      </c>
      <c r="C4411" s="7" t="s">
        <v>102</v>
      </c>
      <c r="D4411" t="s">
        <v>124</v>
      </c>
      <c r="F4411" s="35">
        <v>2</v>
      </c>
      <c r="G4411" s="35">
        <v>33.920821674577986</v>
      </c>
      <c r="H4411" s="35">
        <v>0.85755799331582583</v>
      </c>
      <c r="I4411" s="35">
        <v>6.3092700758240694E-2</v>
      </c>
      <c r="J4411" s="35">
        <v>1.1114224656074011E-4</v>
      </c>
      <c r="K4411" s="35">
        <v>0.46759400680508523</v>
      </c>
      <c r="L4411" s="35">
        <v>8.3871373518188008</v>
      </c>
      <c r="M4411" s="58" t="s">
        <v>22</v>
      </c>
      <c r="N4411" s="7">
        <v>9.5</v>
      </c>
      <c r="O4411" s="7" t="s">
        <v>179</v>
      </c>
      <c r="P4411" s="7" t="s">
        <v>179</v>
      </c>
    </row>
    <row r="4412" spans="1:16" x14ac:dyDescent="0.25">
      <c r="A4412" t="s">
        <v>181</v>
      </c>
      <c r="B4412" t="s">
        <v>217</v>
      </c>
      <c r="C4412" s="7" t="s">
        <v>102</v>
      </c>
      <c r="D4412" t="s">
        <v>124</v>
      </c>
      <c r="F4412" s="35">
        <v>4.4982502942822453</v>
      </c>
      <c r="G4412" s="35">
        <v>34.937356721421068</v>
      </c>
      <c r="H4412" s="35">
        <v>-7.1168569460331002</v>
      </c>
      <c r="I4412" s="35">
        <v>6.3092700758240194E-2</v>
      </c>
      <c r="J4412" s="35">
        <v>1.1114224656074011E-4</v>
      </c>
      <c r="K4412" s="35">
        <v>0.30997264856874945</v>
      </c>
      <c r="L4412" s="35">
        <v>16.205785077132035</v>
      </c>
      <c r="M4412" s="58" t="s">
        <v>24</v>
      </c>
      <c r="N4412" s="7">
        <v>9.5</v>
      </c>
      <c r="O4412" s="7" t="s">
        <v>179</v>
      </c>
      <c r="P4412" s="7" t="s">
        <v>179</v>
      </c>
    </row>
    <row r="4413" spans="1:16" x14ac:dyDescent="0.25">
      <c r="A4413" t="s">
        <v>181</v>
      </c>
      <c r="B4413" t="s">
        <v>217</v>
      </c>
      <c r="C4413" s="7" t="s">
        <v>102</v>
      </c>
      <c r="D4413" t="s">
        <v>124</v>
      </c>
      <c r="F4413" s="35">
        <v>8.9965005885644906</v>
      </c>
      <c r="G4413" s="35">
        <v>36.767689368264165</v>
      </c>
      <c r="H4413" s="35">
        <v>-21.475271885382028</v>
      </c>
      <c r="I4413" s="35">
        <v>6.3092700758239334E-2</v>
      </c>
      <c r="J4413" s="35">
        <v>1.1114224656074011E-4</v>
      </c>
      <c r="K4413" s="35">
        <v>2.6165888815935796E-2</v>
      </c>
      <c r="L4413" s="35">
        <v>80.513061042166512</v>
      </c>
      <c r="M4413" s="58" t="s">
        <v>23</v>
      </c>
      <c r="N4413" s="7">
        <v>9.5</v>
      </c>
      <c r="O4413" s="7" t="s">
        <v>179</v>
      </c>
      <c r="P4413" s="7" t="s">
        <v>179</v>
      </c>
    </row>
    <row r="4414" spans="1:16" x14ac:dyDescent="0.25">
      <c r="A4414" t="s">
        <v>181</v>
      </c>
      <c r="B4414" t="s">
        <v>217</v>
      </c>
      <c r="C4414" s="7" t="s">
        <v>102</v>
      </c>
      <c r="D4414" t="s">
        <v>125</v>
      </c>
      <c r="F4414" s="35">
        <v>0</v>
      </c>
      <c r="G4414" s="35">
        <v>-19.526534968612356</v>
      </c>
      <c r="H4414" s="35">
        <v>23.503155458035859</v>
      </c>
      <c r="I4414" s="35">
        <v>-0.73893156986678366</v>
      </c>
      <c r="J4414" s="35">
        <v>2.053248036973436E-5</v>
      </c>
      <c r="K4414" s="35">
        <v>-1.1538981465207563</v>
      </c>
      <c r="L4414" s="35">
        <v>113.41946275352349</v>
      </c>
      <c r="M4414" s="58" t="s">
        <v>22</v>
      </c>
      <c r="N4414" s="7">
        <v>9.5</v>
      </c>
      <c r="O4414" s="7" t="s">
        <v>179</v>
      </c>
      <c r="P4414" s="7" t="s">
        <v>179</v>
      </c>
    </row>
    <row r="4415" spans="1:16" x14ac:dyDescent="0.25">
      <c r="A4415" t="s">
        <v>181</v>
      </c>
      <c r="B4415" t="s">
        <v>217</v>
      </c>
      <c r="C4415" s="7" t="s">
        <v>102</v>
      </c>
      <c r="D4415" t="s">
        <v>125</v>
      </c>
      <c r="F4415" s="35">
        <v>2</v>
      </c>
      <c r="G4415" s="35">
        <v>-18.712737368612359</v>
      </c>
      <c r="H4415" s="35">
        <v>21.82315545803586</v>
      </c>
      <c r="I4415" s="35">
        <v>-0.73893156986678377</v>
      </c>
      <c r="J4415" s="35">
        <v>2.053248036973436E-5</v>
      </c>
      <c r="K4415" s="35">
        <v>0.32396499321281086</v>
      </c>
      <c r="L4415" s="35">
        <v>68.093151837451771</v>
      </c>
      <c r="M4415" s="58" t="s">
        <v>22</v>
      </c>
      <c r="N4415" s="7">
        <v>9.5</v>
      </c>
      <c r="O4415" s="7" t="s">
        <v>179</v>
      </c>
      <c r="P4415" s="7" t="s">
        <v>179</v>
      </c>
    </row>
    <row r="4416" spans="1:16" x14ac:dyDescent="0.25">
      <c r="A4416" t="s">
        <v>181</v>
      </c>
      <c r="B4416" t="s">
        <v>217</v>
      </c>
      <c r="C4416" s="7" t="s">
        <v>102</v>
      </c>
      <c r="D4416" t="s">
        <v>125</v>
      </c>
      <c r="F4416" s="35">
        <v>2</v>
      </c>
      <c r="G4416" s="35">
        <v>-19.426991946602556</v>
      </c>
      <c r="H4416" s="35">
        <v>21.823144852788687</v>
      </c>
      <c r="I4416" s="35">
        <v>4.3948317438491223E-2</v>
      </c>
      <c r="J4416" s="35">
        <v>4.7123255916312701E-5</v>
      </c>
      <c r="K4416" s="35">
        <v>0.32396499321281053</v>
      </c>
      <c r="L4416" s="35">
        <v>68.093123473957704</v>
      </c>
      <c r="M4416" s="58" t="s">
        <v>22</v>
      </c>
      <c r="N4416" s="7">
        <v>9.5</v>
      </c>
      <c r="O4416" s="7" t="s">
        <v>179</v>
      </c>
      <c r="P4416" s="7" t="s">
        <v>179</v>
      </c>
    </row>
    <row r="4417" spans="1:16" x14ac:dyDescent="0.25">
      <c r="A4417" t="s">
        <v>181</v>
      </c>
      <c r="B4417" t="s">
        <v>217</v>
      </c>
      <c r="C4417" s="7" t="s">
        <v>102</v>
      </c>
      <c r="D4417" t="s">
        <v>125</v>
      </c>
      <c r="F4417" s="35">
        <v>4.4982502942822453</v>
      </c>
      <c r="G4417" s="35">
        <v>-18.410456899759474</v>
      </c>
      <c r="H4417" s="35">
        <v>19.724614605591601</v>
      </c>
      <c r="I4417" s="35">
        <v>4.3948317438491091E-2</v>
      </c>
      <c r="J4417" s="35">
        <v>4.7123255916312701E-5</v>
      </c>
      <c r="K4417" s="35">
        <v>0.21417109623889041</v>
      </c>
      <c r="L4417" s="35">
        <v>16.194772327124458</v>
      </c>
      <c r="M4417" s="58" t="s">
        <v>24</v>
      </c>
      <c r="N4417" s="7">
        <v>9.5</v>
      </c>
      <c r="O4417" s="7" t="s">
        <v>179</v>
      </c>
      <c r="P4417" s="7" t="s">
        <v>179</v>
      </c>
    </row>
    <row r="4418" spans="1:16" x14ac:dyDescent="0.25">
      <c r="A4418" t="s">
        <v>181</v>
      </c>
      <c r="B4418" t="s">
        <v>217</v>
      </c>
      <c r="C4418" s="7" t="s">
        <v>102</v>
      </c>
      <c r="D4418" t="s">
        <v>125</v>
      </c>
      <c r="F4418" s="35">
        <v>8.9965005885644906</v>
      </c>
      <c r="G4418" s="35">
        <v>-16.580124252916377</v>
      </c>
      <c r="H4418" s="35">
        <v>15.946084358394511</v>
      </c>
      <c r="I4418" s="35">
        <v>4.3948317438490862E-2</v>
      </c>
      <c r="J4418" s="35">
        <v>4.7123255916312701E-5</v>
      </c>
      <c r="K4418" s="35">
        <v>1.6480564387988877E-2</v>
      </c>
      <c r="L4418" s="35">
        <v>-64.033093728877489</v>
      </c>
      <c r="M4418" s="58" t="s">
        <v>23</v>
      </c>
      <c r="N4418" s="7">
        <v>9.5</v>
      </c>
      <c r="O4418" s="7" t="s">
        <v>179</v>
      </c>
      <c r="P4418" s="7" t="s">
        <v>179</v>
      </c>
    </row>
    <row r="4419" spans="1:16" x14ac:dyDescent="0.25">
      <c r="A4419" t="s">
        <v>181</v>
      </c>
      <c r="B4419" t="s">
        <v>217</v>
      </c>
      <c r="C4419" s="7" t="s">
        <v>102</v>
      </c>
      <c r="D4419" t="s">
        <v>126</v>
      </c>
      <c r="F4419" s="35">
        <v>0</v>
      </c>
      <c r="G4419" s="35">
        <v>51.361537322662308</v>
      </c>
      <c r="H4419" s="35">
        <v>-40.904837797269721</v>
      </c>
      <c r="I4419" s="35">
        <v>-1.2544537729198326</v>
      </c>
      <c r="J4419" s="35">
        <v>5.3591617895904129E-5</v>
      </c>
      <c r="K4419" s="35">
        <v>-1.9415564750724643</v>
      </c>
      <c r="L4419" s="35">
        <v>-123.02013998405893</v>
      </c>
      <c r="M4419" s="58" t="s">
        <v>22</v>
      </c>
      <c r="N4419" s="7">
        <v>9.5</v>
      </c>
      <c r="O4419" s="7" t="s">
        <v>179</v>
      </c>
      <c r="P4419" s="7" t="s">
        <v>179</v>
      </c>
    </row>
    <row r="4420" spans="1:16" x14ac:dyDescent="0.25">
      <c r="A4420" t="s">
        <v>181</v>
      </c>
      <c r="B4420" t="s">
        <v>217</v>
      </c>
      <c r="C4420" s="7" t="s">
        <v>102</v>
      </c>
      <c r="D4420" t="s">
        <v>126</v>
      </c>
      <c r="F4420" s="35">
        <v>2</v>
      </c>
      <c r="G4420" s="35">
        <v>52.175334922662309</v>
      </c>
      <c r="H4420" s="35">
        <v>-34.856837797269719</v>
      </c>
      <c r="I4420" s="35">
        <v>-1.2544537729198322</v>
      </c>
      <c r="J4420" s="35">
        <v>5.3591617895904129E-5</v>
      </c>
      <c r="K4420" s="35">
        <v>0.56735107076720004</v>
      </c>
      <c r="L4420" s="35">
        <v>-47.258464389519503</v>
      </c>
      <c r="M4420" s="58" t="s">
        <v>22</v>
      </c>
      <c r="N4420" s="7">
        <v>9.5</v>
      </c>
      <c r="O4420" s="7" t="s">
        <v>179</v>
      </c>
      <c r="P4420" s="7" t="s">
        <v>179</v>
      </c>
    </row>
    <row r="4421" spans="1:16" x14ac:dyDescent="0.25">
      <c r="A4421" t="s">
        <v>181</v>
      </c>
      <c r="B4421" t="s">
        <v>217</v>
      </c>
      <c r="C4421" s="7" t="s">
        <v>102</v>
      </c>
      <c r="D4421" t="s">
        <v>126</v>
      </c>
      <c r="F4421" s="35">
        <v>2</v>
      </c>
      <c r="G4421" s="35">
        <v>50.947351554081997</v>
      </c>
      <c r="H4421" s="35">
        <v>-34.856823490590685</v>
      </c>
      <c r="I4421" s="35">
        <v>7.6400394581127254E-2</v>
      </c>
      <c r="J4421" s="35">
        <v>1.1787873013891498E-4</v>
      </c>
      <c r="K4421" s="35">
        <v>0.56735107076720093</v>
      </c>
      <c r="L4421" s="35">
        <v>-47.258532962439155</v>
      </c>
      <c r="M4421" s="58" t="s">
        <v>22</v>
      </c>
      <c r="N4421" s="7">
        <v>9.5</v>
      </c>
      <c r="O4421" s="7" t="s">
        <v>179</v>
      </c>
      <c r="P4421" s="7" t="s">
        <v>179</v>
      </c>
    </row>
    <row r="4422" spans="1:16" x14ac:dyDescent="0.25">
      <c r="A4422" t="s">
        <v>181</v>
      </c>
      <c r="B4422" t="s">
        <v>217</v>
      </c>
      <c r="C4422" s="7" t="s">
        <v>102</v>
      </c>
      <c r="D4422" t="s">
        <v>126</v>
      </c>
      <c r="F4422" s="35">
        <v>4.4982502942822453</v>
      </c>
      <c r="G4422" s="35">
        <v>51.963886600925079</v>
      </c>
      <c r="H4422" s="35">
        <v>-27.302114600681186</v>
      </c>
      <c r="I4422" s="35">
        <v>7.6400394581127712E-2</v>
      </c>
      <c r="J4422" s="35">
        <v>1.1787873013891498E-4</v>
      </c>
      <c r="K4422" s="35">
        <v>0.37648376252161947</v>
      </c>
      <c r="L4422" s="35">
        <v>30.385759726956724</v>
      </c>
      <c r="M4422" s="58" t="s">
        <v>24</v>
      </c>
      <c r="N4422" s="7">
        <v>9.5</v>
      </c>
      <c r="O4422" s="7" t="s">
        <v>179</v>
      </c>
      <c r="P4422" s="7" t="s">
        <v>179</v>
      </c>
    </row>
    <row r="4423" spans="1:16" x14ac:dyDescent="0.25">
      <c r="A4423" t="s">
        <v>181</v>
      </c>
      <c r="B4423" t="s">
        <v>217</v>
      </c>
      <c r="C4423" s="7" t="s">
        <v>102</v>
      </c>
      <c r="D4423" t="s">
        <v>126</v>
      </c>
      <c r="F4423" s="35">
        <v>8.9965005885644906</v>
      </c>
      <c r="G4423" s="35">
        <v>53.794219247768176</v>
      </c>
      <c r="H4423" s="35">
        <v>-13.699405710771673</v>
      </c>
      <c r="I4423" s="35">
        <v>7.6400394581128545E-2</v>
      </c>
      <c r="J4423" s="35">
        <v>1.1787873013891498E-4</v>
      </c>
      <c r="K4423" s="35">
        <v>3.2815665113780298E-2</v>
      </c>
      <c r="L4423" s="35">
        <v>122.60331013046283</v>
      </c>
      <c r="M4423" s="58" t="s">
        <v>23</v>
      </c>
      <c r="N4423" s="7">
        <v>9.5</v>
      </c>
      <c r="O4423" s="7" t="s">
        <v>179</v>
      </c>
      <c r="P4423" s="7" t="s">
        <v>179</v>
      </c>
    </row>
    <row r="4424" spans="1:16" x14ac:dyDescent="0.25">
      <c r="A4424" t="s">
        <v>181</v>
      </c>
      <c r="B4424" t="s">
        <v>217</v>
      </c>
      <c r="C4424" s="7" t="s">
        <v>102</v>
      </c>
      <c r="D4424" t="s">
        <v>127</v>
      </c>
      <c r="F4424" s="35">
        <v>0</v>
      </c>
      <c r="G4424" s="35">
        <v>-67.14674237939866</v>
      </c>
      <c r="H4424" s="35">
        <v>-15.251135668372035</v>
      </c>
      <c r="I4424" s="35">
        <v>-0.69410363444775081</v>
      </c>
      <c r="J4424" s="35">
        <v>1.0835532033245638E-4</v>
      </c>
      <c r="K4424" s="35">
        <v>-1.0924882755180163</v>
      </c>
      <c r="L4424" s="35">
        <v>-46.884751753289152</v>
      </c>
      <c r="M4424" s="58" t="s">
        <v>22</v>
      </c>
      <c r="N4424" s="7">
        <v>9.5</v>
      </c>
      <c r="O4424" s="7" t="s">
        <v>179</v>
      </c>
      <c r="P4424" s="7" t="s">
        <v>179</v>
      </c>
    </row>
    <row r="4425" spans="1:16" x14ac:dyDescent="0.25">
      <c r="A4425" t="s">
        <v>181</v>
      </c>
      <c r="B4425" t="s">
        <v>217</v>
      </c>
      <c r="C4425" s="7" t="s">
        <v>102</v>
      </c>
      <c r="D4425" t="s">
        <v>127</v>
      </c>
      <c r="F4425" s="35">
        <v>2</v>
      </c>
      <c r="G4425" s="35">
        <v>-66.332944779398659</v>
      </c>
      <c r="H4425" s="35">
        <v>-4.4991356683720358</v>
      </c>
      <c r="I4425" s="35">
        <v>-0.69410363444775003</v>
      </c>
      <c r="J4425" s="35">
        <v>1.0835532033245638E-4</v>
      </c>
      <c r="K4425" s="35">
        <v>0.29571899337748425</v>
      </c>
      <c r="L4425" s="35">
        <v>-27.134480416545077</v>
      </c>
      <c r="M4425" s="58" t="s">
        <v>22</v>
      </c>
      <c r="N4425" s="7">
        <v>9.5</v>
      </c>
      <c r="O4425" s="7" t="s">
        <v>179</v>
      </c>
      <c r="P4425" s="7" t="s">
        <v>179</v>
      </c>
    </row>
    <row r="4426" spans="1:16" x14ac:dyDescent="0.25">
      <c r="A4426" t="s">
        <v>181</v>
      </c>
      <c r="B4426" t="s">
        <v>217</v>
      </c>
      <c r="C4426" s="7" t="s">
        <v>102</v>
      </c>
      <c r="D4426" t="s">
        <v>127</v>
      </c>
      <c r="F4426" s="35">
        <v>2</v>
      </c>
      <c r="G4426" s="35">
        <v>-67.001681737413946</v>
      </c>
      <c r="H4426" s="35">
        <v>-4.4991445073454628</v>
      </c>
      <c r="I4426" s="35">
        <v>4.0225631933227195E-2</v>
      </c>
      <c r="J4426" s="35">
        <v>1.7388371203557421E-5</v>
      </c>
      <c r="K4426" s="35">
        <v>0.29571899337748397</v>
      </c>
      <c r="L4426" s="35">
        <v>-27.134383385132686</v>
      </c>
      <c r="M4426" s="58" t="s">
        <v>22</v>
      </c>
      <c r="N4426" s="7">
        <v>9.5</v>
      </c>
      <c r="O4426" s="7" t="s">
        <v>179</v>
      </c>
      <c r="P4426" s="7" t="s">
        <v>179</v>
      </c>
    </row>
    <row r="4427" spans="1:16" x14ac:dyDescent="0.25">
      <c r="A4427" t="s">
        <v>181</v>
      </c>
      <c r="B4427" t="s">
        <v>217</v>
      </c>
      <c r="C4427" s="7" t="s">
        <v>102</v>
      </c>
      <c r="D4427" t="s">
        <v>127</v>
      </c>
      <c r="F4427" s="35">
        <v>4.4982502942822453</v>
      </c>
      <c r="G4427" s="35">
        <v>-65.985146690570872</v>
      </c>
      <c r="H4427" s="35">
        <v>8.9314490747158857</v>
      </c>
      <c r="I4427" s="35">
        <v>4.022563193322802E-2</v>
      </c>
      <c r="J4427" s="35">
        <v>1.7388371203557421E-5</v>
      </c>
      <c r="K4427" s="35">
        <v>0.19522529656260879</v>
      </c>
      <c r="L4427" s="35">
        <v>-32.67088648002354</v>
      </c>
      <c r="M4427" s="58" t="s">
        <v>24</v>
      </c>
      <c r="N4427" s="7">
        <v>9.5</v>
      </c>
      <c r="O4427" s="7" t="s">
        <v>179</v>
      </c>
      <c r="P4427" s="7" t="s">
        <v>179</v>
      </c>
    </row>
    <row r="4428" spans="1:16" x14ac:dyDescent="0.25">
      <c r="A4428" t="s">
        <v>181</v>
      </c>
      <c r="B4428" t="s">
        <v>217</v>
      </c>
      <c r="C4428" s="7" t="s">
        <v>102</v>
      </c>
      <c r="D4428" t="s">
        <v>127</v>
      </c>
      <c r="F4428" s="35">
        <v>8.9965005885644906</v>
      </c>
      <c r="G4428" s="35">
        <v>-64.154814043727768</v>
      </c>
      <c r="H4428" s="35">
        <v>33.114042656777229</v>
      </c>
      <c r="I4428" s="35">
        <v>4.0225631933229498E-2</v>
      </c>
      <c r="J4428" s="35">
        <v>1.7388371203557421E-5</v>
      </c>
      <c r="K4428" s="35">
        <v>1.4280335881273263E-2</v>
      </c>
      <c r="L4428" s="35">
        <v>-127.23645925723885</v>
      </c>
      <c r="M4428" s="58" t="s">
        <v>23</v>
      </c>
      <c r="N4428" s="7">
        <v>9.5</v>
      </c>
      <c r="O4428" s="7" t="s">
        <v>179</v>
      </c>
      <c r="P4428" s="7" t="s">
        <v>179</v>
      </c>
    </row>
    <row r="4429" spans="1:16" x14ac:dyDescent="0.25">
      <c r="A4429" t="s">
        <v>181</v>
      </c>
      <c r="B4429" t="s">
        <v>218</v>
      </c>
      <c r="C4429" s="7" t="s">
        <v>162</v>
      </c>
      <c r="D4429" t="s">
        <v>105</v>
      </c>
      <c r="F4429" s="35">
        <v>0</v>
      </c>
      <c r="G4429" s="35">
        <v>-49.933858077758607</v>
      </c>
      <c r="H4429" s="35">
        <v>-18.849943889428268</v>
      </c>
      <c r="I4429" s="35">
        <v>-0.26487588536400453</v>
      </c>
      <c r="J4429" s="35">
        <v>-1.7494884530381652E-4</v>
      </c>
      <c r="K4429" s="35">
        <v>-0.41322326629219636</v>
      </c>
      <c r="L4429" s="35">
        <v>-60.592385723643964</v>
      </c>
      <c r="M4429" s="58" t="s">
        <v>22</v>
      </c>
      <c r="N4429" s="7">
        <v>9.5</v>
      </c>
      <c r="O4429" s="7" t="s">
        <v>179</v>
      </c>
      <c r="P4429" s="7" t="s">
        <v>179</v>
      </c>
    </row>
    <row r="4430" spans="1:16" x14ac:dyDescent="0.25">
      <c r="A4430" t="s">
        <v>181</v>
      </c>
      <c r="B4430" t="s">
        <v>218</v>
      </c>
      <c r="C4430" s="7" t="s">
        <v>162</v>
      </c>
      <c r="D4430" t="s">
        <v>105</v>
      </c>
      <c r="F4430" s="35">
        <v>2</v>
      </c>
      <c r="G4430" s="35">
        <v>-49.120060477758621</v>
      </c>
      <c r="H4430" s="35">
        <v>-18.849943889428268</v>
      </c>
      <c r="I4430" s="35">
        <v>-0.26487588536400453</v>
      </c>
      <c r="J4430" s="35">
        <v>-1.7494884530381652E-4</v>
      </c>
      <c r="K4430" s="35">
        <v>0.11652850443581271</v>
      </c>
      <c r="L4430" s="35">
        <v>-22.892497944787429</v>
      </c>
      <c r="M4430" s="58" t="s">
        <v>22</v>
      </c>
      <c r="N4430" s="7">
        <v>9.5</v>
      </c>
      <c r="O4430" s="7" t="s">
        <v>179</v>
      </c>
      <c r="P4430" s="7" t="s">
        <v>179</v>
      </c>
    </row>
    <row r="4431" spans="1:16" x14ac:dyDescent="0.25">
      <c r="A4431" t="s">
        <v>181</v>
      </c>
      <c r="B4431" t="s">
        <v>218</v>
      </c>
      <c r="C4431" s="7" t="s">
        <v>162</v>
      </c>
      <c r="D4431" t="s">
        <v>105</v>
      </c>
      <c r="F4431" s="35">
        <v>2</v>
      </c>
      <c r="G4431" s="35">
        <v>-48.837951862457707</v>
      </c>
      <c r="H4431" s="35">
        <v>-18.84993283234315</v>
      </c>
      <c r="I4431" s="35">
        <v>1.5029182710767098E-2</v>
      </c>
      <c r="J4431" s="35">
        <v>-2.3528363870447248E-4</v>
      </c>
      <c r="K4431" s="35">
        <v>0.11652850443581279</v>
      </c>
      <c r="L4431" s="35">
        <v>-22.892562301900405</v>
      </c>
      <c r="M4431" s="58" t="s">
        <v>22</v>
      </c>
      <c r="N4431" s="7">
        <v>9.5</v>
      </c>
      <c r="O4431" s="7" t="s">
        <v>179</v>
      </c>
      <c r="P4431" s="7" t="s">
        <v>179</v>
      </c>
    </row>
    <row r="4432" spans="1:16" x14ac:dyDescent="0.25">
      <c r="A4432" t="s">
        <v>181</v>
      </c>
      <c r="B4432" t="s">
        <v>218</v>
      </c>
      <c r="C4432" s="7" t="s">
        <v>162</v>
      </c>
      <c r="D4432" t="s">
        <v>105</v>
      </c>
      <c r="F4432" s="35">
        <v>4.5</v>
      </c>
      <c r="G4432" s="35">
        <v>-47.82070486245771</v>
      </c>
      <c r="H4432" s="35">
        <v>-18.84993283234315</v>
      </c>
      <c r="I4432" s="35">
        <v>1.5029182710767098E-2</v>
      </c>
      <c r="J4432" s="35">
        <v>-2.3528363870447248E-4</v>
      </c>
      <c r="K4432" s="35">
        <v>7.8955547658895037E-2</v>
      </c>
      <c r="L4432" s="35">
        <v>24.232269778957466</v>
      </c>
      <c r="M4432" s="58" t="s">
        <v>24</v>
      </c>
      <c r="N4432" s="7">
        <v>9.5</v>
      </c>
      <c r="O4432" s="7" t="s">
        <v>179</v>
      </c>
      <c r="P4432" s="7" t="s">
        <v>179</v>
      </c>
    </row>
    <row r="4433" spans="1:16" x14ac:dyDescent="0.25">
      <c r="A4433" t="s">
        <v>181</v>
      </c>
      <c r="B4433" t="s">
        <v>218</v>
      </c>
      <c r="C4433" s="7" t="s">
        <v>162</v>
      </c>
      <c r="D4433" t="s">
        <v>105</v>
      </c>
      <c r="F4433" s="35">
        <v>4.5</v>
      </c>
      <c r="G4433" s="35">
        <v>-47.043757895137745</v>
      </c>
      <c r="H4433" s="35">
        <v>-18.849933489594083</v>
      </c>
      <c r="I4433" s="35">
        <v>1.4626721649110859E-2</v>
      </c>
      <c r="J4433" s="35">
        <v>2.141893796078922E-4</v>
      </c>
      <c r="K4433" s="35">
        <v>7.8954483276699419E-2</v>
      </c>
      <c r="L4433" s="35">
        <v>25.203452292649775</v>
      </c>
      <c r="M4433" s="58" t="s">
        <v>24</v>
      </c>
      <c r="N4433" s="7">
        <v>9.5</v>
      </c>
      <c r="O4433" s="7" t="s">
        <v>179</v>
      </c>
      <c r="P4433" s="7" t="s">
        <v>179</v>
      </c>
    </row>
    <row r="4434" spans="1:16" x14ac:dyDescent="0.25">
      <c r="A4434" t="s">
        <v>181</v>
      </c>
      <c r="B4434" t="s">
        <v>218</v>
      </c>
      <c r="C4434" s="7" t="s">
        <v>162</v>
      </c>
      <c r="D4434" t="s">
        <v>105</v>
      </c>
      <c r="F4434" s="35">
        <v>8.9965005885644871</v>
      </c>
      <c r="G4434" s="35">
        <v>-45.214137201451557</v>
      </c>
      <c r="H4434" s="35">
        <v>-18.849933489594083</v>
      </c>
      <c r="I4434" s="35">
        <v>1.4626721649110859E-2</v>
      </c>
      <c r="J4434" s="35">
        <v>2.141893796078922E-4</v>
      </c>
      <c r="K4434" s="35">
        <v>1.3185420772703498E-2</v>
      </c>
      <c r="L4434" s="35">
        <v>109.962189323011</v>
      </c>
      <c r="M4434" s="58" t="s">
        <v>23</v>
      </c>
      <c r="N4434" s="7">
        <v>9.5</v>
      </c>
      <c r="O4434" s="7" t="s">
        <v>179</v>
      </c>
      <c r="P4434" s="7" t="s">
        <v>179</v>
      </c>
    </row>
    <row r="4435" spans="1:16" x14ac:dyDescent="0.25">
      <c r="A4435" t="s">
        <v>181</v>
      </c>
      <c r="B4435" t="s">
        <v>218</v>
      </c>
      <c r="C4435" s="7" t="s">
        <v>162</v>
      </c>
      <c r="D4435" t="s">
        <v>15</v>
      </c>
      <c r="F4435" s="35">
        <v>0</v>
      </c>
      <c r="G4435" s="35">
        <v>54.019285658396939</v>
      </c>
      <c r="H4435" s="35">
        <v>4.9403490999314137</v>
      </c>
      <c r="I4435" s="35">
        <v>-3.8286752094213989</v>
      </c>
      <c r="J4435" s="35">
        <v>-3.4091013517883319E-3</v>
      </c>
      <c r="K4435" s="35">
        <v>-6.1346540077770548</v>
      </c>
      <c r="L4435" s="35">
        <v>46.308494464147984</v>
      </c>
      <c r="M4435" s="58" t="s">
        <v>22</v>
      </c>
      <c r="N4435" s="7">
        <v>9.5</v>
      </c>
      <c r="O4435" s="7" t="s">
        <v>179</v>
      </c>
      <c r="P4435" s="7" t="s">
        <v>179</v>
      </c>
    </row>
    <row r="4436" spans="1:16" x14ac:dyDescent="0.25">
      <c r="A4436" t="s">
        <v>181</v>
      </c>
      <c r="B4436" t="s">
        <v>218</v>
      </c>
      <c r="C4436" s="7" t="s">
        <v>162</v>
      </c>
      <c r="D4436" t="s">
        <v>15</v>
      </c>
      <c r="F4436" s="35">
        <v>2</v>
      </c>
      <c r="G4436" s="35">
        <v>54.833083258396933</v>
      </c>
      <c r="H4436" s="35">
        <v>13.340349099931414</v>
      </c>
      <c r="I4436" s="35">
        <v>-3.8286752094213981</v>
      </c>
      <c r="J4436" s="35">
        <v>-3.4091013517883319E-3</v>
      </c>
      <c r="K4436" s="35">
        <v>1.5226964110657415</v>
      </c>
      <c r="L4436" s="35">
        <v>28.027796264285154</v>
      </c>
      <c r="M4436" s="58" t="s">
        <v>22</v>
      </c>
      <c r="N4436" s="7">
        <v>9.5</v>
      </c>
      <c r="O4436" s="7" t="s">
        <v>179</v>
      </c>
      <c r="P4436" s="7" t="s">
        <v>179</v>
      </c>
    </row>
    <row r="4437" spans="1:16" x14ac:dyDescent="0.25">
      <c r="A4437" t="s">
        <v>181</v>
      </c>
      <c r="B4437" t="s">
        <v>218</v>
      </c>
      <c r="C4437" s="7" t="s">
        <v>162</v>
      </c>
      <c r="D4437" t="s">
        <v>15</v>
      </c>
      <c r="F4437" s="35">
        <v>2</v>
      </c>
      <c r="G4437" s="35">
        <v>58.635082019006717</v>
      </c>
      <c r="H4437" s="35">
        <v>13.340333263672088</v>
      </c>
      <c r="I4437" s="35">
        <v>0.20578304730381228</v>
      </c>
      <c r="J4437" s="35">
        <v>-3.3580747723156315E-3</v>
      </c>
      <c r="K4437" s="35">
        <v>1.5226964110657464</v>
      </c>
      <c r="L4437" s="35">
        <v>28.027850692636719</v>
      </c>
      <c r="M4437" s="58" t="s">
        <v>22</v>
      </c>
      <c r="N4437" s="7">
        <v>9.5</v>
      </c>
      <c r="O4437" s="7" t="s">
        <v>179</v>
      </c>
      <c r="P4437" s="7" t="s">
        <v>179</v>
      </c>
    </row>
    <row r="4438" spans="1:16" x14ac:dyDescent="0.25">
      <c r="A4438" t="s">
        <v>181</v>
      </c>
      <c r="B4438" t="s">
        <v>218</v>
      </c>
      <c r="C4438" s="7" t="s">
        <v>162</v>
      </c>
      <c r="D4438" t="s">
        <v>15</v>
      </c>
      <c r="F4438" s="35">
        <v>4.5</v>
      </c>
      <c r="G4438" s="35">
        <v>59.652329019006714</v>
      </c>
      <c r="H4438" s="35">
        <v>23.84033326367209</v>
      </c>
      <c r="I4438" s="35">
        <v>0.20578304730381292</v>
      </c>
      <c r="J4438" s="35">
        <v>-3.3580747723156315E-3</v>
      </c>
      <c r="K4438" s="35">
        <v>1.0082387928062149</v>
      </c>
      <c r="L4438" s="35">
        <v>-18.447982466543493</v>
      </c>
      <c r="M4438" s="58" t="s">
        <v>24</v>
      </c>
      <c r="N4438" s="7">
        <v>9.5</v>
      </c>
      <c r="O4438" s="7" t="s">
        <v>179</v>
      </c>
      <c r="P4438" s="7" t="s">
        <v>179</v>
      </c>
    </row>
    <row r="4439" spans="1:16" x14ac:dyDescent="0.25">
      <c r="A4439" t="s">
        <v>181</v>
      </c>
      <c r="B4439" t="s">
        <v>218</v>
      </c>
      <c r="C4439" s="7" t="s">
        <v>162</v>
      </c>
      <c r="D4439" t="s">
        <v>15</v>
      </c>
      <c r="F4439" s="35">
        <v>4.5</v>
      </c>
      <c r="G4439" s="35">
        <v>60.429274503484343</v>
      </c>
      <c r="H4439" s="35">
        <v>23.840376834524594</v>
      </c>
      <c r="I4439" s="35">
        <v>0.20048468686979962</v>
      </c>
      <c r="J4439" s="35">
        <v>2.6858506793641028E-3</v>
      </c>
      <c r="K4439" s="35">
        <v>1.0082319393640535</v>
      </c>
      <c r="L4439" s="35">
        <v>-17.476804626986155</v>
      </c>
      <c r="M4439" s="58" t="s">
        <v>24</v>
      </c>
      <c r="N4439" s="7">
        <v>9.5</v>
      </c>
      <c r="O4439" s="7" t="s">
        <v>179</v>
      </c>
      <c r="P4439" s="7" t="s">
        <v>179</v>
      </c>
    </row>
    <row r="4440" spans="1:16" x14ac:dyDescent="0.25">
      <c r="A4440" t="s">
        <v>181</v>
      </c>
      <c r="B4440" t="s">
        <v>218</v>
      </c>
      <c r="C4440" s="7" t="s">
        <v>162</v>
      </c>
      <c r="D4440" t="s">
        <v>15</v>
      </c>
      <c r="F4440" s="35">
        <v>8.9965005885644871</v>
      </c>
      <c r="G4440" s="35">
        <v>62.258895197170524</v>
      </c>
      <c r="H4440" s="35">
        <v>42.725679306495444</v>
      </c>
      <c r="I4440" s="35">
        <v>0.20048468686980078</v>
      </c>
      <c r="J4440" s="35">
        <v>2.6858506793641028E-3</v>
      </c>
      <c r="K4440" s="35">
        <v>0.10675242685582988</v>
      </c>
      <c r="L4440" s="35">
        <v>-167.13395993524279</v>
      </c>
      <c r="M4440" s="58" t="s">
        <v>23</v>
      </c>
      <c r="N4440" s="7">
        <v>9.5</v>
      </c>
      <c r="O4440" s="7" t="s">
        <v>179</v>
      </c>
      <c r="P4440" s="7" t="s">
        <v>179</v>
      </c>
    </row>
    <row r="4441" spans="1:16" x14ac:dyDescent="0.25">
      <c r="A4441" t="s">
        <v>181</v>
      </c>
      <c r="B4441" t="s">
        <v>218</v>
      </c>
      <c r="C4441" s="7" t="s">
        <v>162</v>
      </c>
      <c r="D4441" t="s">
        <v>16</v>
      </c>
      <c r="F4441" s="35">
        <v>0</v>
      </c>
      <c r="G4441" s="35">
        <v>12.523671705499696</v>
      </c>
      <c r="H4441" s="35">
        <v>0.43449547589430393</v>
      </c>
      <c r="I4441" s="35">
        <v>-3.734157501139713</v>
      </c>
      <c r="J4441" s="35">
        <v>-3.3567805953706141E-3</v>
      </c>
      <c r="K4441" s="35">
        <v>-5.9589629949071883</v>
      </c>
      <c r="L4441" s="35">
        <v>14.297102767451692</v>
      </c>
      <c r="M4441" s="58" t="s">
        <v>22</v>
      </c>
      <c r="N4441" s="7">
        <v>9.5</v>
      </c>
      <c r="O4441" s="7" t="s">
        <v>179</v>
      </c>
      <c r="P4441" s="7" t="s">
        <v>179</v>
      </c>
    </row>
    <row r="4442" spans="1:16" x14ac:dyDescent="0.25">
      <c r="A4442" t="s">
        <v>181</v>
      </c>
      <c r="B4442" t="s">
        <v>218</v>
      </c>
      <c r="C4442" s="7" t="s">
        <v>162</v>
      </c>
      <c r="D4442" t="s">
        <v>16</v>
      </c>
      <c r="F4442" s="35">
        <v>2</v>
      </c>
      <c r="G4442" s="35">
        <v>13.337469305499694</v>
      </c>
      <c r="H4442" s="35">
        <v>4.1304954758943033</v>
      </c>
      <c r="I4442" s="35">
        <v>-3.734157501139713</v>
      </c>
      <c r="J4442" s="35">
        <v>-3.3567805953706141E-3</v>
      </c>
      <c r="K4442" s="35">
        <v>1.5093520073722362</v>
      </c>
      <c r="L4442" s="35">
        <v>9.7321118156630888</v>
      </c>
      <c r="M4442" s="58" t="s">
        <v>22</v>
      </c>
      <c r="N4442" s="7">
        <v>9.5</v>
      </c>
      <c r="O4442" s="7" t="s">
        <v>179</v>
      </c>
      <c r="P4442" s="7" t="s">
        <v>179</v>
      </c>
    </row>
    <row r="4443" spans="1:16" x14ac:dyDescent="0.25">
      <c r="A4443" t="s">
        <v>181</v>
      </c>
      <c r="B4443" t="s">
        <v>218</v>
      </c>
      <c r="C4443" s="7" t="s">
        <v>162</v>
      </c>
      <c r="D4443" t="s">
        <v>16</v>
      </c>
      <c r="F4443" s="35">
        <v>2</v>
      </c>
      <c r="G4443" s="35">
        <v>17.049180558936904</v>
      </c>
      <c r="H4443" s="35">
        <v>4.1304900633465502</v>
      </c>
      <c r="I4443" s="35">
        <v>0.20399192723460777</v>
      </c>
      <c r="J4443" s="35">
        <v>-3.3465803986896222E-3</v>
      </c>
      <c r="K4443" s="35">
        <v>1.5093520073722362</v>
      </c>
      <c r="L4443" s="35">
        <v>9.7321226958728975</v>
      </c>
      <c r="M4443" s="58" t="s">
        <v>22</v>
      </c>
      <c r="N4443" s="7">
        <v>9.5</v>
      </c>
      <c r="O4443" s="7" t="s">
        <v>179</v>
      </c>
      <c r="P4443" s="7" t="s">
        <v>179</v>
      </c>
    </row>
    <row r="4444" spans="1:16" x14ac:dyDescent="0.25">
      <c r="A4444" t="s">
        <v>181</v>
      </c>
      <c r="B4444" t="s">
        <v>218</v>
      </c>
      <c r="C4444" s="7" t="s">
        <v>162</v>
      </c>
      <c r="D4444" t="s">
        <v>16</v>
      </c>
      <c r="F4444" s="35">
        <v>4.5</v>
      </c>
      <c r="G4444" s="35">
        <v>18.066427558936901</v>
      </c>
      <c r="H4444" s="35">
        <v>8.7504900633465521</v>
      </c>
      <c r="I4444" s="35">
        <v>0.20399192723460804</v>
      </c>
      <c r="J4444" s="35">
        <v>-3.3465803986896222E-3</v>
      </c>
      <c r="K4444" s="35">
        <v>0.99937218928571636</v>
      </c>
      <c r="L4444" s="35">
        <v>-6.369102462493478</v>
      </c>
      <c r="M4444" s="58" t="s">
        <v>24</v>
      </c>
      <c r="N4444" s="7">
        <v>9.5</v>
      </c>
      <c r="O4444" s="7" t="s">
        <v>179</v>
      </c>
      <c r="P4444" s="7" t="s">
        <v>179</v>
      </c>
    </row>
    <row r="4445" spans="1:16" x14ac:dyDescent="0.25">
      <c r="A4445" t="s">
        <v>181</v>
      </c>
      <c r="B4445" t="s">
        <v>218</v>
      </c>
      <c r="C4445" s="7" t="s">
        <v>162</v>
      </c>
      <c r="D4445" t="s">
        <v>16</v>
      </c>
      <c r="F4445" s="35">
        <v>4.5</v>
      </c>
      <c r="G4445" s="35">
        <v>18.843373210974477</v>
      </c>
      <c r="H4445" s="35">
        <v>8.7505288205682206</v>
      </c>
      <c r="I4445" s="35">
        <v>0.19869596005374141</v>
      </c>
      <c r="J4445" s="35">
        <v>2.6821640863979243E-3</v>
      </c>
      <c r="K4445" s="35">
        <v>0.99936590818345594</v>
      </c>
      <c r="L4445" s="35">
        <v>-5.3979241052805484</v>
      </c>
      <c r="M4445" s="58" t="s">
        <v>24</v>
      </c>
      <c r="N4445" s="7">
        <v>9.5</v>
      </c>
      <c r="O4445" s="7" t="s">
        <v>179</v>
      </c>
      <c r="P4445" s="7" t="s">
        <v>179</v>
      </c>
    </row>
    <row r="4446" spans="1:16" x14ac:dyDescent="0.25">
      <c r="A4446" t="s">
        <v>181</v>
      </c>
      <c r="B4446" t="s">
        <v>218</v>
      </c>
      <c r="C4446" s="7" t="s">
        <v>162</v>
      </c>
      <c r="D4446" t="s">
        <v>16</v>
      </c>
      <c r="F4446" s="35">
        <v>8.9965005885644871</v>
      </c>
      <c r="G4446" s="35">
        <v>20.672993904660657</v>
      </c>
      <c r="H4446" s="35">
        <v>17.060061908235394</v>
      </c>
      <c r="I4446" s="35">
        <v>0.1986959600537419</v>
      </c>
      <c r="J4446" s="35">
        <v>2.6821640863979243E-3</v>
      </c>
      <c r="K4446" s="35">
        <v>0.10592940685642073</v>
      </c>
      <c r="L4446" s="35">
        <v>-63.426592306911843</v>
      </c>
      <c r="M4446" s="58" t="s">
        <v>23</v>
      </c>
      <c r="N4446" s="7">
        <v>9.5</v>
      </c>
      <c r="O4446" s="7" t="s">
        <v>179</v>
      </c>
      <c r="P4446" s="7" t="s">
        <v>179</v>
      </c>
    </row>
    <row r="4447" spans="1:16" x14ac:dyDescent="0.25">
      <c r="A4447" t="s">
        <v>181</v>
      </c>
      <c r="B4447" t="s">
        <v>218</v>
      </c>
      <c r="C4447" s="7" t="s">
        <v>162</v>
      </c>
      <c r="D4447" t="s">
        <v>106</v>
      </c>
      <c r="F4447" s="35">
        <v>0</v>
      </c>
      <c r="G4447" s="35">
        <v>70.375725028562258</v>
      </c>
      <c r="H4447" s="35">
        <v>4.947606503564951</v>
      </c>
      <c r="I4447" s="35">
        <v>4.4424282448448196</v>
      </c>
      <c r="J4447" s="35">
        <v>3.7328273684149836E-3</v>
      </c>
      <c r="K4447" s="35">
        <v>7.079003999968398</v>
      </c>
      <c r="L4447" s="35">
        <v>46.907293536385573</v>
      </c>
      <c r="M4447" s="58" t="s">
        <v>22</v>
      </c>
      <c r="N4447" s="7">
        <v>9.5</v>
      </c>
      <c r="O4447" s="7" t="s">
        <v>179</v>
      </c>
      <c r="P4447" s="7" t="s">
        <v>179</v>
      </c>
    </row>
    <row r="4448" spans="1:16" x14ac:dyDescent="0.25">
      <c r="A4448" t="s">
        <v>181</v>
      </c>
      <c r="B4448" t="s">
        <v>218</v>
      </c>
      <c r="C4448" s="7" t="s">
        <v>162</v>
      </c>
      <c r="D4448" t="s">
        <v>106</v>
      </c>
      <c r="F4448" s="35">
        <v>2</v>
      </c>
      <c r="G4448" s="35">
        <v>71.189522628562244</v>
      </c>
      <c r="H4448" s="35">
        <v>13.347606503564952</v>
      </c>
      <c r="I4448" s="35">
        <v>4.4424282448448205</v>
      </c>
      <c r="J4448" s="35">
        <v>3.7328273684149836E-3</v>
      </c>
      <c r="K4448" s="35">
        <v>-1.8058524897212396</v>
      </c>
      <c r="L4448" s="35">
        <v>28.612080529255682</v>
      </c>
      <c r="M4448" s="58" t="s">
        <v>22</v>
      </c>
      <c r="N4448" s="7">
        <v>9.5</v>
      </c>
      <c r="O4448" s="7" t="s">
        <v>179</v>
      </c>
      <c r="P4448" s="7" t="s">
        <v>179</v>
      </c>
    </row>
    <row r="4449" spans="1:16" x14ac:dyDescent="0.25">
      <c r="A4449" t="s">
        <v>181</v>
      </c>
      <c r="B4449" t="s">
        <v>218</v>
      </c>
      <c r="C4449" s="7" t="s">
        <v>162</v>
      </c>
      <c r="D4449" t="s">
        <v>106</v>
      </c>
      <c r="F4449" s="35">
        <v>2</v>
      </c>
      <c r="G4449" s="35">
        <v>66.814202210518559</v>
      </c>
      <c r="H4449" s="35">
        <v>13.347588682586384</v>
      </c>
      <c r="I4449" s="35">
        <v>-0.24558757907070286</v>
      </c>
      <c r="J4449" s="35">
        <v>3.8105855081496205E-3</v>
      </c>
      <c r="K4449" s="35">
        <v>-1.8058524897212436</v>
      </c>
      <c r="L4449" s="35">
        <v>28.612163471271497</v>
      </c>
      <c r="M4449" s="58" t="s">
        <v>22</v>
      </c>
      <c r="N4449" s="7">
        <v>9.5</v>
      </c>
      <c r="O4449" s="7" t="s">
        <v>179</v>
      </c>
      <c r="P4449" s="7" t="s">
        <v>179</v>
      </c>
    </row>
    <row r="4450" spans="1:16" x14ac:dyDescent="0.25">
      <c r="A4450" t="s">
        <v>181</v>
      </c>
      <c r="B4450" t="s">
        <v>218</v>
      </c>
      <c r="C4450" s="7" t="s">
        <v>162</v>
      </c>
      <c r="D4450" t="s">
        <v>106</v>
      </c>
      <c r="F4450" s="35">
        <v>4.5</v>
      </c>
      <c r="G4450" s="35">
        <v>67.831449210518556</v>
      </c>
      <c r="H4450" s="35">
        <v>23.847588682586387</v>
      </c>
      <c r="I4450" s="35">
        <v>-0.24558757907070219</v>
      </c>
      <c r="J4450" s="35">
        <v>3.8105855081496205E-3</v>
      </c>
      <c r="K4450" s="35">
        <v>-1.1918835420444873</v>
      </c>
      <c r="L4450" s="35">
        <v>-17.881808235194459</v>
      </c>
      <c r="M4450" s="58" t="s">
        <v>24</v>
      </c>
      <c r="N4450" s="7">
        <v>9.5</v>
      </c>
      <c r="O4450" s="7" t="s">
        <v>179</v>
      </c>
      <c r="P4450" s="7" t="s">
        <v>179</v>
      </c>
    </row>
    <row r="4451" spans="1:16" x14ac:dyDescent="0.25">
      <c r="A4451" t="s">
        <v>181</v>
      </c>
      <c r="B4451" t="s">
        <v>218</v>
      </c>
      <c r="C4451" s="7" t="s">
        <v>162</v>
      </c>
      <c r="D4451" t="s">
        <v>106</v>
      </c>
      <c r="F4451" s="35">
        <v>4.5</v>
      </c>
      <c r="G4451" s="35">
        <v>68.608397881483526</v>
      </c>
      <c r="H4451" s="35">
        <v>23.847570315940423</v>
      </c>
      <c r="I4451" s="35">
        <v>-0.23941981766896026</v>
      </c>
      <c r="J4451" s="35">
        <v>-3.1101126495681015E-3</v>
      </c>
      <c r="K4451" s="35">
        <v>-1.19187815580143</v>
      </c>
      <c r="L4451" s="35">
        <v>-16.910625906455145</v>
      </c>
      <c r="M4451" s="58" t="s">
        <v>24</v>
      </c>
      <c r="N4451" s="7">
        <v>9.5</v>
      </c>
      <c r="O4451" s="7" t="s">
        <v>179</v>
      </c>
      <c r="P4451" s="7" t="s">
        <v>179</v>
      </c>
    </row>
    <row r="4452" spans="1:16" x14ac:dyDescent="0.25">
      <c r="A4452" t="s">
        <v>181</v>
      </c>
      <c r="B4452" t="s">
        <v>218</v>
      </c>
      <c r="C4452" s="7" t="s">
        <v>162</v>
      </c>
      <c r="D4452" t="s">
        <v>106</v>
      </c>
      <c r="F4452" s="35">
        <v>8.9965005885644871</v>
      </c>
      <c r="G4452" s="35">
        <v>70.438018575169721</v>
      </c>
      <c r="H4452" s="35">
        <v>42.732872787911276</v>
      </c>
      <c r="I4452" s="35">
        <v>-0.23941981766895909</v>
      </c>
      <c r="J4452" s="35">
        <v>-3.1101126495681015E-3</v>
      </c>
      <c r="K4452" s="35">
        <v>-0.11532680473895075</v>
      </c>
      <c r="L4452" s="35">
        <v>-166.60012670813194</v>
      </c>
      <c r="M4452" s="58" t="s">
        <v>23</v>
      </c>
      <c r="N4452" s="7">
        <v>9.5</v>
      </c>
      <c r="O4452" s="7" t="s">
        <v>179</v>
      </c>
      <c r="P4452" s="7" t="s">
        <v>179</v>
      </c>
    </row>
    <row r="4453" spans="1:16" x14ac:dyDescent="0.25">
      <c r="A4453" t="s">
        <v>181</v>
      </c>
      <c r="B4453" t="s">
        <v>218</v>
      </c>
      <c r="C4453" s="7" t="s">
        <v>162</v>
      </c>
      <c r="D4453" t="s">
        <v>107</v>
      </c>
      <c r="F4453" s="35">
        <v>0</v>
      </c>
      <c r="G4453" s="35">
        <v>28.886968971418348</v>
      </c>
      <c r="H4453" s="35">
        <v>0.4416882376376815</v>
      </c>
      <c r="I4453" s="35">
        <v>4.5402908871763001</v>
      </c>
      <c r="J4453" s="35">
        <v>3.78808348911313E-3</v>
      </c>
      <c r="K4453" s="35">
        <v>7.2600445383080103</v>
      </c>
      <c r="L4453" s="35">
        <v>14.894723047243815</v>
      </c>
      <c r="M4453" s="58" t="s">
        <v>22</v>
      </c>
      <c r="N4453" s="7">
        <v>9.5</v>
      </c>
      <c r="O4453" s="7" t="s">
        <v>179</v>
      </c>
      <c r="P4453" s="7" t="s">
        <v>179</v>
      </c>
    </row>
    <row r="4454" spans="1:16" x14ac:dyDescent="0.25">
      <c r="A4454" t="s">
        <v>181</v>
      </c>
      <c r="B4454" t="s">
        <v>218</v>
      </c>
      <c r="C4454" s="7" t="s">
        <v>162</v>
      </c>
      <c r="D4454" t="s">
        <v>107</v>
      </c>
      <c r="F4454" s="35">
        <v>2</v>
      </c>
      <c r="G4454" s="35">
        <v>29.700766571418349</v>
      </c>
      <c r="H4454" s="35">
        <v>4.1376882376376809</v>
      </c>
      <c r="I4454" s="35">
        <v>4.5402908871763001</v>
      </c>
      <c r="J4454" s="35">
        <v>3.78808348911313E-3</v>
      </c>
      <c r="K4454" s="35">
        <v>-1.8205372360445895</v>
      </c>
      <c r="L4454" s="35">
        <v>10.315346571968457</v>
      </c>
      <c r="M4454" s="58" t="s">
        <v>22</v>
      </c>
      <c r="N4454" s="7">
        <v>9.5</v>
      </c>
      <c r="O4454" s="7" t="s">
        <v>179</v>
      </c>
      <c r="P4454" s="7" t="s">
        <v>179</v>
      </c>
    </row>
    <row r="4455" spans="1:16" x14ac:dyDescent="0.25">
      <c r="A4455" t="s">
        <v>181</v>
      </c>
      <c r="B4455" t="s">
        <v>218</v>
      </c>
      <c r="C4455" s="7" t="s">
        <v>162</v>
      </c>
      <c r="D4455" t="s">
        <v>107</v>
      </c>
      <c r="F4455" s="35">
        <v>2</v>
      </c>
      <c r="G4455" s="35">
        <v>25.231852057086542</v>
      </c>
      <c r="H4455" s="35">
        <v>4.1376808439676616</v>
      </c>
      <c r="I4455" s="35">
        <v>-0.24756079376397158</v>
      </c>
      <c r="J4455" s="35">
        <v>3.8250286301883033E-3</v>
      </c>
      <c r="K4455" s="35">
        <v>-1.8205372360445868</v>
      </c>
      <c r="L4455" s="35">
        <v>10.315385980118897</v>
      </c>
      <c r="M4455" s="58" t="s">
        <v>22</v>
      </c>
      <c r="N4455" s="7">
        <v>9.5</v>
      </c>
      <c r="O4455" s="7" t="s">
        <v>179</v>
      </c>
      <c r="P4455" s="7" t="s">
        <v>179</v>
      </c>
    </row>
    <row r="4456" spans="1:16" x14ac:dyDescent="0.25">
      <c r="A4456" t="s">
        <v>181</v>
      </c>
      <c r="B4456" t="s">
        <v>218</v>
      </c>
      <c r="C4456" s="7" t="s">
        <v>162</v>
      </c>
      <c r="D4456" t="s">
        <v>107</v>
      </c>
      <c r="F4456" s="35">
        <v>4.5</v>
      </c>
      <c r="G4456" s="35">
        <v>26.249099057086543</v>
      </c>
      <c r="H4456" s="35">
        <v>8.7576808439676626</v>
      </c>
      <c r="I4456" s="35">
        <v>-0.24756079376397128</v>
      </c>
      <c r="J4456" s="35">
        <v>3.8250286301883033E-3</v>
      </c>
      <c r="K4456" s="35">
        <v>-1.2016352516346585</v>
      </c>
      <c r="L4456" s="35">
        <v>-5.8038161298002544</v>
      </c>
      <c r="M4456" s="58" t="s">
        <v>24</v>
      </c>
      <c r="N4456" s="7">
        <v>9.5</v>
      </c>
      <c r="O4456" s="7" t="s">
        <v>179</v>
      </c>
      <c r="P4456" s="7" t="s">
        <v>179</v>
      </c>
    </row>
    <row r="4457" spans="1:16" x14ac:dyDescent="0.25">
      <c r="A4457" t="s">
        <v>181</v>
      </c>
      <c r="B4457" t="s">
        <v>218</v>
      </c>
      <c r="C4457" s="7" t="s">
        <v>162</v>
      </c>
      <c r="D4457" t="s">
        <v>107</v>
      </c>
      <c r="F4457" s="35">
        <v>4.5</v>
      </c>
      <c r="G4457" s="35">
        <v>27.026047896910214</v>
      </c>
      <c r="H4457" s="35">
        <v>8.7576574345269123</v>
      </c>
      <c r="I4457" s="35">
        <v>-0.24138553467087506</v>
      </c>
      <c r="J4457" s="35">
        <v>-3.1174968470003856E-3</v>
      </c>
      <c r="K4457" s="35">
        <v>-1.2016292881272277</v>
      </c>
      <c r="L4457" s="35">
        <v>-4.83263328531112</v>
      </c>
      <c r="M4457" s="58" t="s">
        <v>24</v>
      </c>
      <c r="N4457" s="7">
        <v>9.5</v>
      </c>
      <c r="O4457" s="7" t="s">
        <v>179</v>
      </c>
      <c r="P4457" s="7" t="s">
        <v>179</v>
      </c>
    </row>
    <row r="4458" spans="1:16" x14ac:dyDescent="0.25">
      <c r="A4458" t="s">
        <v>181</v>
      </c>
      <c r="B4458" t="s">
        <v>218</v>
      </c>
      <c r="C4458" s="7" t="s">
        <v>162</v>
      </c>
      <c r="D4458" t="s">
        <v>107</v>
      </c>
      <c r="F4458" s="35">
        <v>8.9965005885644871</v>
      </c>
      <c r="G4458" s="35">
        <v>28.855668590596395</v>
      </c>
      <c r="H4458" s="35">
        <v>17.067190522194089</v>
      </c>
      <c r="I4458" s="35">
        <v>-0.24138553467087456</v>
      </c>
      <c r="J4458" s="35">
        <v>-3.1174968470003856E-3</v>
      </c>
      <c r="K4458" s="35">
        <v>-0.11623908940868573</v>
      </c>
      <c r="L4458" s="35">
        <v>-62.893355303803311</v>
      </c>
      <c r="M4458" s="58" t="s">
        <v>23</v>
      </c>
      <c r="N4458" s="7">
        <v>9.5</v>
      </c>
      <c r="O4458" s="7" t="s">
        <v>179</v>
      </c>
      <c r="P4458" s="7" t="s">
        <v>179</v>
      </c>
    </row>
    <row r="4459" spans="1:16" x14ac:dyDescent="0.25">
      <c r="A4459" t="s">
        <v>181</v>
      </c>
      <c r="B4459" t="s">
        <v>218</v>
      </c>
      <c r="C4459" s="7" t="s">
        <v>162</v>
      </c>
      <c r="D4459" t="s">
        <v>108</v>
      </c>
      <c r="F4459" s="35">
        <v>0</v>
      </c>
      <c r="G4459" s="35">
        <v>72.073650081629324</v>
      </c>
      <c r="H4459" s="35">
        <v>51.830887915369551</v>
      </c>
      <c r="I4459" s="35">
        <v>-0.47784137842995711</v>
      </c>
      <c r="J4459" s="35">
        <v>-2.9517582368558686E-4</v>
      </c>
      <c r="K4459" s="35">
        <v>-0.82326047739703212</v>
      </c>
      <c r="L4459" s="35">
        <v>157.32373387408271</v>
      </c>
      <c r="M4459" s="58" t="s">
        <v>22</v>
      </c>
      <c r="N4459" s="7">
        <v>9.5</v>
      </c>
      <c r="O4459" s="7" t="s">
        <v>179</v>
      </c>
      <c r="P4459" s="7" t="s">
        <v>179</v>
      </c>
    </row>
    <row r="4460" spans="1:16" x14ac:dyDescent="0.25">
      <c r="A4460" t="s">
        <v>181</v>
      </c>
      <c r="B4460" t="s">
        <v>218</v>
      </c>
      <c r="C4460" s="7" t="s">
        <v>162</v>
      </c>
      <c r="D4460" t="s">
        <v>108</v>
      </c>
      <c r="F4460" s="35">
        <v>2</v>
      </c>
      <c r="G4460" s="35">
        <v>72.887447681629325</v>
      </c>
      <c r="H4460" s="35">
        <v>45.78288791536955</v>
      </c>
      <c r="I4460" s="35">
        <v>-0.47784137842995744</v>
      </c>
      <c r="J4460" s="35">
        <v>-2.9517582368558686E-4</v>
      </c>
      <c r="K4460" s="35">
        <v>0.13242227946288251</v>
      </c>
      <c r="L4460" s="35">
        <v>59.709958043343605</v>
      </c>
      <c r="M4460" s="58" t="s">
        <v>22</v>
      </c>
      <c r="N4460" s="7">
        <v>9.5</v>
      </c>
      <c r="O4460" s="7" t="s">
        <v>179</v>
      </c>
      <c r="P4460" s="7" t="s">
        <v>179</v>
      </c>
    </row>
    <row r="4461" spans="1:16" x14ac:dyDescent="0.25">
      <c r="A4461" t="s">
        <v>181</v>
      </c>
      <c r="B4461" t="s">
        <v>218</v>
      </c>
      <c r="C4461" s="7" t="s">
        <v>162</v>
      </c>
      <c r="D4461" t="s">
        <v>108</v>
      </c>
      <c r="F4461" s="35">
        <v>2</v>
      </c>
      <c r="G4461" s="35">
        <v>73.371167737102397</v>
      </c>
      <c r="H4461" s="35">
        <v>45.782868072533404</v>
      </c>
      <c r="I4461" s="35">
        <v>1.7122128486540069E-2</v>
      </c>
      <c r="J4461" s="35">
        <v>-1.9752153068781678E-4</v>
      </c>
      <c r="K4461" s="35">
        <v>0.13242227946288229</v>
      </c>
      <c r="L4461" s="35">
        <v>59.710062207922725</v>
      </c>
      <c r="M4461" s="58" t="s">
        <v>22</v>
      </c>
      <c r="N4461" s="7">
        <v>9.5</v>
      </c>
      <c r="O4461" s="7" t="s">
        <v>179</v>
      </c>
      <c r="P4461" s="7" t="s">
        <v>179</v>
      </c>
    </row>
    <row r="4462" spans="1:16" x14ac:dyDescent="0.25">
      <c r="A4462" t="s">
        <v>181</v>
      </c>
      <c r="B4462" t="s">
        <v>218</v>
      </c>
      <c r="C4462" s="7" t="s">
        <v>162</v>
      </c>
      <c r="D4462" t="s">
        <v>108</v>
      </c>
      <c r="F4462" s="35">
        <v>4.5</v>
      </c>
      <c r="G4462" s="35">
        <v>74.38841473710238</v>
      </c>
      <c r="H4462" s="35">
        <v>38.222868072533402</v>
      </c>
      <c r="I4462" s="35">
        <v>1.7122128486539604E-2</v>
      </c>
      <c r="J4462" s="35">
        <v>-1.9752153068781678E-4</v>
      </c>
      <c r="K4462" s="35">
        <v>8.9616958246532694E-2</v>
      </c>
      <c r="L4462" s="35">
        <v>-45.297107973410768</v>
      </c>
      <c r="M4462" s="58" t="s">
        <v>24</v>
      </c>
      <c r="N4462" s="7">
        <v>9.5</v>
      </c>
      <c r="O4462" s="7" t="s">
        <v>179</v>
      </c>
      <c r="P4462" s="7" t="s">
        <v>179</v>
      </c>
    </row>
    <row r="4463" spans="1:16" x14ac:dyDescent="0.25">
      <c r="A4463" t="s">
        <v>181</v>
      </c>
      <c r="B4463" t="s">
        <v>218</v>
      </c>
      <c r="C4463" s="7" t="s">
        <v>162</v>
      </c>
      <c r="D4463" t="s">
        <v>108</v>
      </c>
      <c r="F4463" s="35">
        <v>4.5</v>
      </c>
      <c r="G4463" s="35">
        <v>75.165361248180147</v>
      </c>
      <c r="H4463" s="35">
        <v>38.222880868207028</v>
      </c>
      <c r="I4463" s="35">
        <v>1.680308424009495E-2</v>
      </c>
      <c r="J4463" s="35">
        <v>1.9289092326155947E-4</v>
      </c>
      <c r="K4463" s="35">
        <v>8.9614334292694178E-2</v>
      </c>
      <c r="L4463" s="35">
        <v>-44.325926823547547</v>
      </c>
      <c r="M4463" s="58" t="s">
        <v>24</v>
      </c>
      <c r="N4463" s="7">
        <v>9.5</v>
      </c>
      <c r="O4463" s="7" t="s">
        <v>179</v>
      </c>
      <c r="P4463" s="7" t="s">
        <v>179</v>
      </c>
    </row>
    <row r="4464" spans="1:16" x14ac:dyDescent="0.25">
      <c r="A4464" t="s">
        <v>181</v>
      </c>
      <c r="B4464" t="s">
        <v>218</v>
      </c>
      <c r="C4464" s="7" t="s">
        <v>162</v>
      </c>
      <c r="D4464" t="s">
        <v>108</v>
      </c>
      <c r="F4464" s="35">
        <v>8.9965005885644871</v>
      </c>
      <c r="G4464" s="35">
        <v>76.994981941866342</v>
      </c>
      <c r="H4464" s="35">
        <v>24.625463088388024</v>
      </c>
      <c r="I4464" s="35">
        <v>1.6803084240094118E-2</v>
      </c>
      <c r="J4464" s="35">
        <v>1.9289092326155947E-4</v>
      </c>
      <c r="K4464" s="35">
        <v>1.4059256117410442E-2</v>
      </c>
      <c r="L4464" s="35">
        <v>-185.62473461911407</v>
      </c>
      <c r="M4464" s="58" t="s">
        <v>23</v>
      </c>
      <c r="N4464" s="7">
        <v>9.5</v>
      </c>
      <c r="O4464" s="7" t="s">
        <v>179</v>
      </c>
      <c r="P4464" s="7" t="s">
        <v>179</v>
      </c>
    </row>
    <row r="4465" spans="1:16" x14ac:dyDescent="0.25">
      <c r="A4465" t="s">
        <v>181</v>
      </c>
      <c r="B4465" t="s">
        <v>218</v>
      </c>
      <c r="C4465" s="7" t="s">
        <v>162</v>
      </c>
      <c r="D4465" t="s">
        <v>109</v>
      </c>
      <c r="F4465" s="35">
        <v>0</v>
      </c>
      <c r="G4465" s="35">
        <v>-45.941871559175738</v>
      </c>
      <c r="H4465" s="35">
        <v>26.18375411587882</v>
      </c>
      <c r="I4465" s="35">
        <v>-0.77011029321676938</v>
      </c>
      <c r="J4465" s="35">
        <v>-5.0638038511521409E-4</v>
      </c>
      <c r="K4465" s="35">
        <v>-1.2463380002327582</v>
      </c>
      <c r="L4465" s="35">
        <v>81.386785373664353</v>
      </c>
      <c r="M4465" s="58" t="s">
        <v>22</v>
      </c>
      <c r="N4465" s="7">
        <v>9.5</v>
      </c>
      <c r="O4465" s="7" t="s">
        <v>179</v>
      </c>
      <c r="P4465" s="7" t="s">
        <v>179</v>
      </c>
    </row>
    <row r="4466" spans="1:16" x14ac:dyDescent="0.25">
      <c r="A4466" t="s">
        <v>181</v>
      </c>
      <c r="B4466" t="s">
        <v>218</v>
      </c>
      <c r="C4466" s="7" t="s">
        <v>162</v>
      </c>
      <c r="D4466" t="s">
        <v>109</v>
      </c>
      <c r="F4466" s="35">
        <v>2</v>
      </c>
      <c r="G4466" s="35">
        <v>-45.128073959175737</v>
      </c>
      <c r="H4466" s="35">
        <v>15.431754115878819</v>
      </c>
      <c r="I4466" s="35">
        <v>-0.77011029321677005</v>
      </c>
      <c r="J4466" s="35">
        <v>-5.0638038511521409E-4</v>
      </c>
      <c r="K4466" s="35">
        <v>0.29388258620078106</v>
      </c>
      <c r="L4466" s="35">
        <v>39.771277141906715</v>
      </c>
      <c r="M4466" s="58" t="s">
        <v>22</v>
      </c>
      <c r="N4466" s="7">
        <v>9.5</v>
      </c>
      <c r="O4466" s="7" t="s">
        <v>179</v>
      </c>
      <c r="P4466" s="7" t="s">
        <v>179</v>
      </c>
    </row>
    <row r="4467" spans="1:16" x14ac:dyDescent="0.25">
      <c r="A4467" t="s">
        <v>181</v>
      </c>
      <c r="B4467" t="s">
        <v>218</v>
      </c>
      <c r="C4467" s="7" t="s">
        <v>162</v>
      </c>
      <c r="D4467" t="s">
        <v>109</v>
      </c>
      <c r="F4467" s="35">
        <v>2</v>
      </c>
      <c r="G4467" s="35">
        <v>-44.34984914437883</v>
      </c>
      <c r="H4467" s="35">
        <v>15.43175696222902</v>
      </c>
      <c r="I4467" s="35">
        <v>3.8987039903878133E-2</v>
      </c>
      <c r="J4467" s="35">
        <v>-5.6539931058133459E-4</v>
      </c>
      <c r="K4467" s="35">
        <v>0.29388258620078161</v>
      </c>
      <c r="L4467" s="35">
        <v>39.771214188386253</v>
      </c>
      <c r="M4467" s="58" t="s">
        <v>22</v>
      </c>
      <c r="N4467" s="7">
        <v>9.5</v>
      </c>
      <c r="O4467" s="7" t="s">
        <v>179</v>
      </c>
      <c r="P4467" s="7" t="s">
        <v>179</v>
      </c>
    </row>
    <row r="4468" spans="1:16" x14ac:dyDescent="0.25">
      <c r="A4468" t="s">
        <v>181</v>
      </c>
      <c r="B4468" t="s">
        <v>218</v>
      </c>
      <c r="C4468" s="7" t="s">
        <v>162</v>
      </c>
      <c r="D4468" t="s">
        <v>109</v>
      </c>
      <c r="F4468" s="35">
        <v>4.5</v>
      </c>
      <c r="G4468" s="35">
        <v>-43.332602144378832</v>
      </c>
      <c r="H4468" s="35">
        <v>1.9917569622290208</v>
      </c>
      <c r="I4468" s="35">
        <v>3.8987039903877307E-2</v>
      </c>
      <c r="J4468" s="35">
        <v>-5.6539931058133459E-4</v>
      </c>
      <c r="K4468" s="35">
        <v>0.19641498644108732</v>
      </c>
      <c r="L4468" s="35">
        <v>17.991821782813698</v>
      </c>
      <c r="M4468" s="58" t="s">
        <v>24</v>
      </c>
      <c r="N4468" s="7">
        <v>9.5</v>
      </c>
      <c r="O4468" s="7" t="s">
        <v>179</v>
      </c>
      <c r="P4468" s="7" t="s">
        <v>179</v>
      </c>
    </row>
    <row r="4469" spans="1:16" x14ac:dyDescent="0.25">
      <c r="A4469" t="s">
        <v>181</v>
      </c>
      <c r="B4469" t="s">
        <v>218</v>
      </c>
      <c r="C4469" s="7" t="s">
        <v>162</v>
      </c>
      <c r="D4469" t="s">
        <v>109</v>
      </c>
      <c r="F4469" s="35">
        <v>4.5</v>
      </c>
      <c r="G4469" s="35">
        <v>-42.555655549234544</v>
      </c>
      <c r="H4469" s="35">
        <v>1.9917825538531975</v>
      </c>
      <c r="I4469" s="35">
        <v>3.8095395616410177E-2</v>
      </c>
      <c r="J4469" s="35">
        <v>5.277411873073146E-4</v>
      </c>
      <c r="K4469" s="35">
        <v>0.19641267777184665</v>
      </c>
      <c r="L4469" s="35">
        <v>18.96300371655283</v>
      </c>
      <c r="M4469" s="58" t="s">
        <v>24</v>
      </c>
      <c r="N4469" s="7">
        <v>9.5</v>
      </c>
      <c r="O4469" s="7" t="s">
        <v>179</v>
      </c>
      <c r="P4469" s="7" t="s">
        <v>179</v>
      </c>
    </row>
    <row r="4470" spans="1:16" x14ac:dyDescent="0.25">
      <c r="A4470" t="s">
        <v>181</v>
      </c>
      <c r="B4470" t="s">
        <v>218</v>
      </c>
      <c r="C4470" s="7" t="s">
        <v>162</v>
      </c>
      <c r="D4470" t="s">
        <v>109</v>
      </c>
      <c r="F4470" s="35">
        <v>8.9965005885644871</v>
      </c>
      <c r="G4470" s="35">
        <v>-40.726034855548356</v>
      </c>
      <c r="H4470" s="35">
        <v>-22.181404610269489</v>
      </c>
      <c r="I4470" s="35">
        <v>3.8095395616408699E-2</v>
      </c>
      <c r="J4470" s="35">
        <v>5.277411873073146E-4</v>
      </c>
      <c r="K4470" s="35">
        <v>2.5116708961064587E-2</v>
      </c>
      <c r="L4470" s="35">
        <v>64.354327446338047</v>
      </c>
      <c r="M4470" s="58" t="s">
        <v>23</v>
      </c>
      <c r="N4470" s="7">
        <v>9.5</v>
      </c>
      <c r="O4470" s="7" t="s">
        <v>179</v>
      </c>
      <c r="P4470" s="7" t="s">
        <v>179</v>
      </c>
    </row>
    <row r="4471" spans="1:16" x14ac:dyDescent="0.25">
      <c r="A4471" t="s">
        <v>181</v>
      </c>
      <c r="B4471" t="s">
        <v>218</v>
      </c>
      <c r="C4471" s="7" t="s">
        <v>162</v>
      </c>
      <c r="D4471" t="s">
        <v>110</v>
      </c>
      <c r="F4471" s="35">
        <v>0</v>
      </c>
      <c r="G4471" s="35">
        <v>55.29003518172928</v>
      </c>
      <c r="H4471" s="35">
        <v>3.6697971005249266</v>
      </c>
      <c r="I4471" s="35">
        <v>-0.45885160526864305</v>
      </c>
      <c r="J4471" s="35">
        <v>-2.9780803652006415E-4</v>
      </c>
      <c r="K4471" s="35">
        <v>-0.78260900048010851</v>
      </c>
      <c r="L4471" s="35">
        <v>17.729697049236918</v>
      </c>
      <c r="M4471" s="58" t="s">
        <v>22</v>
      </c>
      <c r="N4471" s="7">
        <v>9.5</v>
      </c>
      <c r="O4471" s="7" t="s">
        <v>179</v>
      </c>
      <c r="P4471" s="7" t="s">
        <v>179</v>
      </c>
    </row>
    <row r="4472" spans="1:16" x14ac:dyDescent="0.25">
      <c r="A4472" t="s">
        <v>181</v>
      </c>
      <c r="B4472" t="s">
        <v>218</v>
      </c>
      <c r="C4472" s="7" t="s">
        <v>162</v>
      </c>
      <c r="D4472" t="s">
        <v>110</v>
      </c>
      <c r="F4472" s="35">
        <v>2</v>
      </c>
      <c r="G4472" s="35">
        <v>56.103832781729274</v>
      </c>
      <c r="H4472" s="35">
        <v>10.053797100524928</v>
      </c>
      <c r="I4472" s="35">
        <v>-0.4588516052686426</v>
      </c>
      <c r="J4472" s="35">
        <v>-2.9780803652006415E-4</v>
      </c>
      <c r="K4472" s="35">
        <v>0.13509421005717714</v>
      </c>
      <c r="L4472" s="35">
        <v>4.006102848187064</v>
      </c>
      <c r="M4472" s="58" t="s">
        <v>22</v>
      </c>
      <c r="N4472" s="7">
        <v>9.5</v>
      </c>
      <c r="O4472" s="7" t="s">
        <v>179</v>
      </c>
      <c r="P4472" s="7" t="s">
        <v>179</v>
      </c>
    </row>
    <row r="4473" spans="1:16" x14ac:dyDescent="0.25">
      <c r="A4473" t="s">
        <v>181</v>
      </c>
      <c r="B4473" t="s">
        <v>218</v>
      </c>
      <c r="C4473" s="7" t="s">
        <v>162</v>
      </c>
      <c r="D4473" t="s">
        <v>110</v>
      </c>
      <c r="F4473" s="35">
        <v>2</v>
      </c>
      <c r="G4473" s="35">
        <v>56.570109918632333</v>
      </c>
      <c r="H4473" s="35">
        <v>10.053784602825454</v>
      </c>
      <c r="I4473" s="35">
        <v>1.7505183074736332E-2</v>
      </c>
      <c r="J4473" s="35">
        <v>-2.1542617965433813E-4</v>
      </c>
      <c r="K4473" s="35">
        <v>0.13509421005717751</v>
      </c>
      <c r="L4473" s="35">
        <v>4.0061907221677346</v>
      </c>
      <c r="M4473" s="58" t="s">
        <v>22</v>
      </c>
      <c r="N4473" s="7">
        <v>9.5</v>
      </c>
      <c r="O4473" s="7" t="s">
        <v>179</v>
      </c>
      <c r="P4473" s="7" t="s">
        <v>179</v>
      </c>
    </row>
    <row r="4474" spans="1:16" x14ac:dyDescent="0.25">
      <c r="A4474" t="s">
        <v>181</v>
      </c>
      <c r="B4474" t="s">
        <v>218</v>
      </c>
      <c r="C4474" s="7" t="s">
        <v>162</v>
      </c>
      <c r="D4474" t="s">
        <v>110</v>
      </c>
      <c r="F4474" s="35">
        <v>4.5</v>
      </c>
      <c r="G4474" s="35">
        <v>57.587356918632324</v>
      </c>
      <c r="H4474" s="35">
        <v>18.033784602825452</v>
      </c>
      <c r="I4474" s="35">
        <v>1.7505183074736825E-2</v>
      </c>
      <c r="J4474" s="35">
        <v>-2.1542617965433813E-4</v>
      </c>
      <c r="K4474" s="35">
        <v>9.1331252370336069E-2</v>
      </c>
      <c r="L4474" s="35">
        <v>-31.103270784895898</v>
      </c>
      <c r="M4474" s="58" t="s">
        <v>24</v>
      </c>
      <c r="N4474" s="7">
        <v>9.5</v>
      </c>
      <c r="O4474" s="7" t="s">
        <v>179</v>
      </c>
      <c r="P4474" s="7" t="s">
        <v>179</v>
      </c>
    </row>
    <row r="4475" spans="1:16" x14ac:dyDescent="0.25">
      <c r="A4475" t="s">
        <v>181</v>
      </c>
      <c r="B4475" t="s">
        <v>218</v>
      </c>
      <c r="C4475" s="7" t="s">
        <v>162</v>
      </c>
      <c r="D4475" t="s">
        <v>110</v>
      </c>
      <c r="F4475" s="35">
        <v>4.5</v>
      </c>
      <c r="G4475" s="35">
        <v>58.364303496376763</v>
      </c>
      <c r="H4475" s="35">
        <v>18.033788615741045</v>
      </c>
      <c r="I4475" s="35">
        <v>1.7154829853429573E-2</v>
      </c>
      <c r="J4475" s="35">
        <v>1.7604694239928899E-4</v>
      </c>
      <c r="K4475" s="35">
        <v>9.132884917012804E-2</v>
      </c>
      <c r="L4475" s="35">
        <v>-30.132089802678234</v>
      </c>
      <c r="M4475" s="58" t="s">
        <v>24</v>
      </c>
      <c r="N4475" s="7">
        <v>9.5</v>
      </c>
      <c r="O4475" s="7" t="s">
        <v>179</v>
      </c>
      <c r="P4475" s="7" t="s">
        <v>179</v>
      </c>
    </row>
    <row r="4476" spans="1:16" x14ac:dyDescent="0.25">
      <c r="A4476" t="s">
        <v>181</v>
      </c>
      <c r="B4476" t="s">
        <v>218</v>
      </c>
      <c r="C4476" s="7" t="s">
        <v>162</v>
      </c>
      <c r="D4476" t="s">
        <v>110</v>
      </c>
      <c r="F4476" s="35">
        <v>8.9965005885644871</v>
      </c>
      <c r="G4476" s="35">
        <v>60.193924190062944</v>
      </c>
      <c r="H4476" s="35">
        <v>32.386618494438892</v>
      </c>
      <c r="I4476" s="35">
        <v>1.7154829853430451E-2</v>
      </c>
      <c r="J4476" s="35">
        <v>1.7604694239928899E-4</v>
      </c>
      <c r="K4476" s="35">
        <v>1.4192146637456349E-2</v>
      </c>
      <c r="L4476" s="35">
        <v>-143.48978492597081</v>
      </c>
      <c r="M4476" s="58" t="s">
        <v>23</v>
      </c>
      <c r="N4476" s="7">
        <v>9.5</v>
      </c>
      <c r="O4476" s="7" t="s">
        <v>179</v>
      </c>
      <c r="P4476" s="7" t="s">
        <v>179</v>
      </c>
    </row>
    <row r="4477" spans="1:16" x14ac:dyDescent="0.25">
      <c r="A4477" t="s">
        <v>181</v>
      </c>
      <c r="B4477" t="s">
        <v>218</v>
      </c>
      <c r="C4477" s="7" t="s">
        <v>162</v>
      </c>
      <c r="D4477" t="s">
        <v>111</v>
      </c>
      <c r="F4477" s="35">
        <v>0</v>
      </c>
      <c r="G4477" s="35">
        <v>2.0719730480215945</v>
      </c>
      <c r="H4477" s="35">
        <v>-12.583297425897664</v>
      </c>
      <c r="I4477" s="35">
        <v>-0.52373746565124657</v>
      </c>
      <c r="J4477" s="35">
        <v>-3.7204301907209087E-4</v>
      </c>
      <c r="K4477" s="35">
        <v>-0.8662217078578387</v>
      </c>
      <c r="L4477" s="35">
        <v>-78.993484968802548</v>
      </c>
      <c r="M4477" s="58" t="s">
        <v>22</v>
      </c>
      <c r="N4477" s="7">
        <v>9.5</v>
      </c>
      <c r="O4477" s="7" t="s">
        <v>179</v>
      </c>
      <c r="P4477" s="7" t="s">
        <v>179</v>
      </c>
    </row>
    <row r="4478" spans="1:16" x14ac:dyDescent="0.25">
      <c r="A4478" t="s">
        <v>181</v>
      </c>
      <c r="B4478" t="s">
        <v>218</v>
      </c>
      <c r="C4478" s="7" t="s">
        <v>162</v>
      </c>
      <c r="D4478" t="s">
        <v>111</v>
      </c>
      <c r="F4478" s="35">
        <v>2</v>
      </c>
      <c r="G4478" s="35">
        <v>2.8857706480215923</v>
      </c>
      <c r="H4478" s="35">
        <v>-10.903297425897664</v>
      </c>
      <c r="I4478" s="35">
        <v>-0.52373746565124646</v>
      </c>
      <c r="J4478" s="35">
        <v>-3.7204301907209087E-4</v>
      </c>
      <c r="K4478" s="35">
        <v>0.18125322344465422</v>
      </c>
      <c r="L4478" s="35">
        <v>-55.506890117007224</v>
      </c>
      <c r="M4478" s="58" t="s">
        <v>22</v>
      </c>
      <c r="N4478" s="7">
        <v>9.5</v>
      </c>
      <c r="O4478" s="7" t="s">
        <v>179</v>
      </c>
      <c r="P4478" s="7" t="s">
        <v>179</v>
      </c>
    </row>
    <row r="4479" spans="1:16" x14ac:dyDescent="0.25">
      <c r="A4479" t="s">
        <v>181</v>
      </c>
      <c r="B4479" t="s">
        <v>218</v>
      </c>
      <c r="C4479" s="7" t="s">
        <v>162</v>
      </c>
      <c r="D4479" t="s">
        <v>111</v>
      </c>
      <c r="F4479" s="35">
        <v>2</v>
      </c>
      <c r="G4479" s="35">
        <v>3.4187694051441642</v>
      </c>
      <c r="H4479" s="35">
        <v>-10.903292804313097</v>
      </c>
      <c r="I4479" s="35">
        <v>2.3786919535175768E-2</v>
      </c>
      <c r="J4479" s="35">
        <v>-3.1258496835454697E-4</v>
      </c>
      <c r="K4479" s="35">
        <v>0.18125322344465433</v>
      </c>
      <c r="L4479" s="35">
        <v>-55.506826695086481</v>
      </c>
      <c r="M4479" s="58" t="s">
        <v>22</v>
      </c>
      <c r="N4479" s="7">
        <v>9.5</v>
      </c>
      <c r="O4479" s="7" t="s">
        <v>179</v>
      </c>
      <c r="P4479" s="7" t="s">
        <v>179</v>
      </c>
    </row>
    <row r="4480" spans="1:16" x14ac:dyDescent="0.25">
      <c r="A4480" t="s">
        <v>181</v>
      </c>
      <c r="B4480" t="s">
        <v>218</v>
      </c>
      <c r="C4480" s="7" t="s">
        <v>162</v>
      </c>
      <c r="D4480" t="s">
        <v>111</v>
      </c>
      <c r="F4480" s="35">
        <v>4.5</v>
      </c>
      <c r="G4480" s="35">
        <v>4.4360164051441631</v>
      </c>
      <c r="H4480" s="35">
        <v>-8.8032928043130969</v>
      </c>
      <c r="I4480" s="35">
        <v>2.3786919535175893E-2</v>
      </c>
      <c r="J4480" s="35">
        <v>-3.1258496835454697E-4</v>
      </c>
      <c r="K4480" s="35">
        <v>0.12178592460671475</v>
      </c>
      <c r="L4480" s="35">
        <v>-30.873594684303747</v>
      </c>
      <c r="M4480" s="58" t="s">
        <v>24</v>
      </c>
      <c r="N4480" s="7">
        <v>9.5</v>
      </c>
      <c r="O4480" s="7" t="s">
        <v>179</v>
      </c>
      <c r="P4480" s="7" t="s">
        <v>179</v>
      </c>
    </row>
    <row r="4481" spans="1:16" x14ac:dyDescent="0.25">
      <c r="A4481" t="s">
        <v>181</v>
      </c>
      <c r="B4481" t="s">
        <v>218</v>
      </c>
      <c r="C4481" s="7" t="s">
        <v>162</v>
      </c>
      <c r="D4481" t="s">
        <v>111</v>
      </c>
      <c r="F4481" s="35">
        <v>4.5</v>
      </c>
      <c r="G4481" s="35">
        <v>5.2129630561246803</v>
      </c>
      <c r="H4481" s="35">
        <v>-8.8032811060279297</v>
      </c>
      <c r="I4481" s="35">
        <v>2.3237928278617009E-2</v>
      </c>
      <c r="J4481" s="35">
        <v>3.4015393246930218E-4</v>
      </c>
      <c r="K4481" s="35">
        <v>0.121783793429772</v>
      </c>
      <c r="L4481" s="35">
        <v>-29.902412909882038</v>
      </c>
      <c r="M4481" s="58" t="s">
        <v>24</v>
      </c>
      <c r="N4481" s="7">
        <v>9.5</v>
      </c>
      <c r="O4481" s="7" t="s">
        <v>179</v>
      </c>
      <c r="P4481" s="7" t="s">
        <v>179</v>
      </c>
    </row>
    <row r="4482" spans="1:16" x14ac:dyDescent="0.25">
      <c r="A4482" t="s">
        <v>181</v>
      </c>
      <c r="B4482" t="s">
        <v>218</v>
      </c>
      <c r="C4482" s="7" t="s">
        <v>162</v>
      </c>
      <c r="D4482" t="s">
        <v>111</v>
      </c>
      <c r="F4482" s="35">
        <v>8.9965005885644871</v>
      </c>
      <c r="G4482" s="35">
        <v>7.0425837498108619</v>
      </c>
      <c r="H4482" s="35">
        <v>-5.0262206116337591</v>
      </c>
      <c r="I4482" s="35">
        <v>2.3237928278617242E-2</v>
      </c>
      <c r="J4482" s="35">
        <v>3.4015393246930218E-4</v>
      </c>
      <c r="K4482" s="35">
        <v>1.7294435247950754E-2</v>
      </c>
      <c r="L4482" s="35">
        <v>1.1897683966276493</v>
      </c>
      <c r="M4482" s="58" t="s">
        <v>23</v>
      </c>
      <c r="N4482" s="7">
        <v>9.5</v>
      </c>
      <c r="O4482" s="7" t="s">
        <v>179</v>
      </c>
      <c r="P4482" s="7" t="s">
        <v>179</v>
      </c>
    </row>
    <row r="4483" spans="1:16" x14ac:dyDescent="0.25">
      <c r="A4483" t="s">
        <v>181</v>
      </c>
      <c r="B4483" t="s">
        <v>218</v>
      </c>
      <c r="C4483" s="7" t="s">
        <v>162</v>
      </c>
      <c r="D4483" t="s">
        <v>112</v>
      </c>
      <c r="F4483" s="35">
        <v>0</v>
      </c>
      <c r="G4483" s="35">
        <v>18.524465605723464</v>
      </c>
      <c r="H4483" s="35">
        <v>-8.2377218754189077</v>
      </c>
      <c r="I4483" s="35">
        <v>-3.6024674632298841</v>
      </c>
      <c r="J4483" s="35">
        <v>-3.1764523929561249E-3</v>
      </c>
      <c r="K4483" s="35">
        <v>-5.7643638175565002</v>
      </c>
      <c r="L4483" s="35">
        <v>1.2682785363878082</v>
      </c>
      <c r="M4483" s="58" t="s">
        <v>22</v>
      </c>
      <c r="N4483" s="7">
        <v>9.5</v>
      </c>
      <c r="O4483" s="7" t="s">
        <v>179</v>
      </c>
      <c r="P4483" s="7" t="s">
        <v>179</v>
      </c>
    </row>
    <row r="4484" spans="1:16" x14ac:dyDescent="0.25">
      <c r="A4484" t="s">
        <v>181</v>
      </c>
      <c r="B4484" t="s">
        <v>218</v>
      </c>
      <c r="C4484" s="7" t="s">
        <v>162</v>
      </c>
      <c r="D4484" t="s">
        <v>112</v>
      </c>
      <c r="F4484" s="35">
        <v>2</v>
      </c>
      <c r="G4484" s="35">
        <v>19.338263205723454</v>
      </c>
      <c r="H4484" s="35">
        <v>-0.67772187541890871</v>
      </c>
      <c r="I4484" s="35">
        <v>-3.6024674632298836</v>
      </c>
      <c r="J4484" s="35">
        <v>-3.1764523929561249E-3</v>
      </c>
      <c r="K4484" s="35">
        <v>1.4405711089032669</v>
      </c>
      <c r="L4484" s="35">
        <v>10.183722287225624</v>
      </c>
      <c r="M4484" s="58" t="s">
        <v>22</v>
      </c>
      <c r="N4484" s="7">
        <v>9.5</v>
      </c>
      <c r="O4484" s="7" t="s">
        <v>179</v>
      </c>
      <c r="P4484" s="7" t="s">
        <v>179</v>
      </c>
    </row>
    <row r="4485" spans="1:16" x14ac:dyDescent="0.25">
      <c r="A4485" t="s">
        <v>181</v>
      </c>
      <c r="B4485" t="s">
        <v>218</v>
      </c>
      <c r="C4485" s="7" t="s">
        <v>162</v>
      </c>
      <c r="D4485" t="s">
        <v>112</v>
      </c>
      <c r="F4485" s="35">
        <v>2</v>
      </c>
      <c r="G4485" s="35">
        <v>22.917732258963131</v>
      </c>
      <c r="H4485" s="35">
        <v>-0.67772874245896664</v>
      </c>
      <c r="I4485" s="35">
        <v>0.19462461448052834</v>
      </c>
      <c r="J4485" s="35">
        <v>-3.1712754696404236E-3</v>
      </c>
      <c r="K4485" s="35">
        <v>1.4405711089032711</v>
      </c>
      <c r="L4485" s="35">
        <v>10.18372780927726</v>
      </c>
      <c r="M4485" s="58" t="s">
        <v>22</v>
      </c>
      <c r="N4485" s="7">
        <v>9.5</v>
      </c>
      <c r="O4485" s="7" t="s">
        <v>179</v>
      </c>
      <c r="P4485" s="7" t="s">
        <v>179</v>
      </c>
    </row>
    <row r="4486" spans="1:16" x14ac:dyDescent="0.25">
      <c r="A4486" t="s">
        <v>181</v>
      </c>
      <c r="B4486" t="s">
        <v>218</v>
      </c>
      <c r="C4486" s="7" t="s">
        <v>162</v>
      </c>
      <c r="D4486" t="s">
        <v>112</v>
      </c>
      <c r="F4486" s="35">
        <v>4.5</v>
      </c>
      <c r="G4486" s="35">
        <v>23.934979258963129</v>
      </c>
      <c r="H4486" s="35">
        <v>8.7722712575410355</v>
      </c>
      <c r="I4486" s="35">
        <v>0.19462461448052895</v>
      </c>
      <c r="J4486" s="35">
        <v>-3.1712754696404236E-3</v>
      </c>
      <c r="K4486" s="35">
        <v>0.9540095727019493</v>
      </c>
      <c r="L4486" s="35">
        <v>6.5549665424674733E-2</v>
      </c>
      <c r="M4486" s="58" t="s">
        <v>24</v>
      </c>
      <c r="N4486" s="7">
        <v>9.5</v>
      </c>
      <c r="O4486" s="7" t="s">
        <v>179</v>
      </c>
      <c r="P4486" s="7" t="s">
        <v>179</v>
      </c>
    </row>
    <row r="4487" spans="1:16" x14ac:dyDescent="0.25">
      <c r="A4487" t="s">
        <v>181</v>
      </c>
      <c r="B4487" t="s">
        <v>218</v>
      </c>
      <c r="C4487" s="7" t="s">
        <v>162</v>
      </c>
      <c r="D4487" t="s">
        <v>112</v>
      </c>
      <c r="F4487" s="35">
        <v>4.5</v>
      </c>
      <c r="G4487" s="35">
        <v>24.711924862145949</v>
      </c>
      <c r="H4487" s="35">
        <v>8.7723161755916426</v>
      </c>
      <c r="I4487" s="35">
        <v>0.18962341292173684</v>
      </c>
      <c r="J4487" s="35">
        <v>2.5529055800512322E-3</v>
      </c>
      <c r="K4487" s="35">
        <v>0.95400320643310499</v>
      </c>
      <c r="L4487" s="35">
        <v>1.0367280668912899</v>
      </c>
      <c r="M4487" s="58" t="s">
        <v>24</v>
      </c>
      <c r="N4487" s="7">
        <v>9.5</v>
      </c>
      <c r="O4487" s="7" t="s">
        <v>179</v>
      </c>
      <c r="P4487" s="7" t="s">
        <v>179</v>
      </c>
    </row>
    <row r="4488" spans="1:16" x14ac:dyDescent="0.25">
      <c r="A4488" t="s">
        <v>181</v>
      </c>
      <c r="B4488" t="s">
        <v>218</v>
      </c>
      <c r="C4488" s="7" t="s">
        <v>162</v>
      </c>
      <c r="D4488" t="s">
        <v>112</v>
      </c>
      <c r="F4488" s="35">
        <v>8.9965005885644871</v>
      </c>
      <c r="G4488" s="35">
        <v>26.541545555832137</v>
      </c>
      <c r="H4488" s="35">
        <v>25.769088400365408</v>
      </c>
      <c r="I4488" s="35">
        <v>0.1896234129217379</v>
      </c>
      <c r="J4488" s="35">
        <v>2.5529055800512322E-3</v>
      </c>
      <c r="K4488" s="35">
        <v>0.10136141862490608</v>
      </c>
      <c r="L4488" s="35">
        <v>-76.620994935926191</v>
      </c>
      <c r="M4488" s="58" t="s">
        <v>23</v>
      </c>
      <c r="N4488" s="7">
        <v>9.5</v>
      </c>
      <c r="O4488" s="7" t="s">
        <v>179</v>
      </c>
      <c r="P4488" s="7" t="s">
        <v>179</v>
      </c>
    </row>
    <row r="4489" spans="1:16" x14ac:dyDescent="0.25">
      <c r="A4489" t="s">
        <v>181</v>
      </c>
      <c r="B4489" t="s">
        <v>218</v>
      </c>
      <c r="C4489" s="7" t="s">
        <v>162</v>
      </c>
      <c r="D4489" t="s">
        <v>113</v>
      </c>
      <c r="F4489" s="35">
        <v>0</v>
      </c>
      <c r="G4489" s="35">
        <v>-18.821586951884051</v>
      </c>
      <c r="H4489" s="35">
        <v>-12.292990137052307</v>
      </c>
      <c r="I4489" s="35">
        <v>-3.5174015257763664</v>
      </c>
      <c r="J4489" s="35">
        <v>-3.129363712180179E-3</v>
      </c>
      <c r="K4489" s="35">
        <v>-5.6062419059736204</v>
      </c>
      <c r="L4489" s="35">
        <v>-27.541973990638848</v>
      </c>
      <c r="M4489" s="58" t="s">
        <v>22</v>
      </c>
      <c r="N4489" s="7">
        <v>9.5</v>
      </c>
      <c r="O4489" s="7" t="s">
        <v>179</v>
      </c>
      <c r="P4489" s="7" t="s">
        <v>179</v>
      </c>
    </row>
    <row r="4490" spans="1:16" x14ac:dyDescent="0.25">
      <c r="A4490" t="s">
        <v>181</v>
      </c>
      <c r="B4490" t="s">
        <v>218</v>
      </c>
      <c r="C4490" s="7" t="s">
        <v>162</v>
      </c>
      <c r="D4490" t="s">
        <v>113</v>
      </c>
      <c r="F4490" s="35">
        <v>2</v>
      </c>
      <c r="G4490" s="35">
        <v>-18.00778935188406</v>
      </c>
      <c r="H4490" s="35">
        <v>-8.9665901370523073</v>
      </c>
      <c r="I4490" s="35">
        <v>-3.5174015257763664</v>
      </c>
      <c r="J4490" s="35">
        <v>-3.129363712180179E-3</v>
      </c>
      <c r="K4490" s="35">
        <v>1.4285611455791121</v>
      </c>
      <c r="L4490" s="35">
        <v>-6.2823937165342327</v>
      </c>
      <c r="M4490" s="58" t="s">
        <v>22</v>
      </c>
      <c r="N4490" s="7">
        <v>9.5</v>
      </c>
      <c r="O4490" s="7" t="s">
        <v>179</v>
      </c>
      <c r="P4490" s="7" t="s">
        <v>179</v>
      </c>
    </row>
    <row r="4491" spans="1:16" x14ac:dyDescent="0.25">
      <c r="A4491" t="s">
        <v>181</v>
      </c>
      <c r="B4491" t="s">
        <v>218</v>
      </c>
      <c r="C4491" s="7" t="s">
        <v>162</v>
      </c>
      <c r="D4491" t="s">
        <v>113</v>
      </c>
      <c r="F4491" s="35">
        <v>2</v>
      </c>
      <c r="G4491" s="35">
        <v>-14.509579055099687</v>
      </c>
      <c r="H4491" s="35">
        <v>-8.9665876227519501</v>
      </c>
      <c r="I4491" s="35">
        <v>0.1930126064182443</v>
      </c>
      <c r="J4491" s="35">
        <v>-3.160930533377015E-3</v>
      </c>
      <c r="K4491" s="35">
        <v>1.4285611455791118</v>
      </c>
      <c r="L4491" s="35">
        <v>-6.2824273878101762</v>
      </c>
      <c r="M4491" s="58" t="s">
        <v>22</v>
      </c>
      <c r="N4491" s="7">
        <v>9.5</v>
      </c>
      <c r="O4491" s="7" t="s">
        <v>179</v>
      </c>
      <c r="P4491" s="7" t="s">
        <v>179</v>
      </c>
    </row>
    <row r="4492" spans="1:16" x14ac:dyDescent="0.25">
      <c r="A4492" t="s">
        <v>181</v>
      </c>
      <c r="B4492" t="s">
        <v>218</v>
      </c>
      <c r="C4492" s="7" t="s">
        <v>162</v>
      </c>
      <c r="D4492" t="s">
        <v>113</v>
      </c>
      <c r="F4492" s="35">
        <v>4.5</v>
      </c>
      <c r="G4492" s="35">
        <v>-13.492332055099691</v>
      </c>
      <c r="H4492" s="35">
        <v>-4.808587622751948</v>
      </c>
      <c r="I4492" s="35">
        <v>0.19301260641824455</v>
      </c>
      <c r="J4492" s="35">
        <v>-3.160930533377015E-3</v>
      </c>
      <c r="K4492" s="35">
        <v>0.94602962953350067</v>
      </c>
      <c r="L4492" s="35">
        <v>10.93654166906969</v>
      </c>
      <c r="M4492" s="58" t="s">
        <v>24</v>
      </c>
      <c r="N4492" s="7">
        <v>9.5</v>
      </c>
      <c r="O4492" s="7" t="s">
        <v>179</v>
      </c>
      <c r="P4492" s="7" t="s">
        <v>179</v>
      </c>
    </row>
    <row r="4493" spans="1:16" x14ac:dyDescent="0.25">
      <c r="A4493" t="s">
        <v>181</v>
      </c>
      <c r="B4493" t="s">
        <v>218</v>
      </c>
      <c r="C4493" s="7" t="s">
        <v>162</v>
      </c>
      <c r="D4493" t="s">
        <v>113</v>
      </c>
      <c r="F4493" s="35">
        <v>4.5</v>
      </c>
      <c r="G4493" s="35">
        <v>-12.715386301112927</v>
      </c>
      <c r="H4493" s="35">
        <v>-4.8085470369690944</v>
      </c>
      <c r="I4493" s="35">
        <v>0.18801355878728443</v>
      </c>
      <c r="J4493" s="35">
        <v>2.5495876463816711E-3</v>
      </c>
      <c r="K4493" s="35">
        <v>0.94602377837056728</v>
      </c>
      <c r="L4493" s="35">
        <v>11.907720536426336</v>
      </c>
      <c r="M4493" s="58" t="s">
        <v>24</v>
      </c>
      <c r="N4493" s="7">
        <v>9.5</v>
      </c>
      <c r="O4493" s="7" t="s">
        <v>179</v>
      </c>
      <c r="P4493" s="7" t="s">
        <v>179</v>
      </c>
    </row>
    <row r="4494" spans="1:16" x14ac:dyDescent="0.25">
      <c r="A4494" t="s">
        <v>181</v>
      </c>
      <c r="B4494" t="s">
        <v>218</v>
      </c>
      <c r="C4494" s="7" t="s">
        <v>162</v>
      </c>
      <c r="D4494" t="s">
        <v>113</v>
      </c>
      <c r="F4494" s="35">
        <v>8.9965005885644871</v>
      </c>
      <c r="G4494" s="35">
        <v>-10.885765607426741</v>
      </c>
      <c r="H4494" s="35">
        <v>2.6700327419313648</v>
      </c>
      <c r="I4494" s="35">
        <v>0.18801355878728487</v>
      </c>
      <c r="J4494" s="35">
        <v>2.5495876463816711E-3</v>
      </c>
      <c r="K4494" s="35">
        <v>0.10062070062543782</v>
      </c>
      <c r="L4494" s="35">
        <v>16.7156359295717</v>
      </c>
      <c r="M4494" s="58" t="s">
        <v>23</v>
      </c>
      <c r="N4494" s="7">
        <v>9.5</v>
      </c>
      <c r="O4494" s="7" t="s">
        <v>179</v>
      </c>
      <c r="P4494" s="7" t="s">
        <v>179</v>
      </c>
    </row>
    <row r="4495" spans="1:16" x14ac:dyDescent="0.25">
      <c r="A4495" t="s">
        <v>181</v>
      </c>
      <c r="B4495" t="s">
        <v>218</v>
      </c>
      <c r="C4495" s="7" t="s">
        <v>162</v>
      </c>
      <c r="D4495" t="s">
        <v>114</v>
      </c>
      <c r="F4495" s="35">
        <v>0</v>
      </c>
      <c r="G4495" s="35">
        <v>33.245261038872243</v>
      </c>
      <c r="H4495" s="35">
        <v>-8.2311902121487233</v>
      </c>
      <c r="I4495" s="35">
        <v>3.8415256456097122</v>
      </c>
      <c r="J4495" s="35">
        <v>3.251283455226859E-3</v>
      </c>
      <c r="K4495" s="35">
        <v>6.1279283894144081</v>
      </c>
      <c r="L4495" s="35">
        <v>1.8071977014016429</v>
      </c>
      <c r="M4495" s="58" t="s">
        <v>22</v>
      </c>
      <c r="N4495" s="7">
        <v>9.5</v>
      </c>
      <c r="O4495" s="7" t="s">
        <v>179</v>
      </c>
      <c r="P4495" s="7" t="s">
        <v>179</v>
      </c>
    </row>
    <row r="4496" spans="1:16" x14ac:dyDescent="0.25">
      <c r="A4496" t="s">
        <v>181</v>
      </c>
      <c r="B4496" t="s">
        <v>218</v>
      </c>
      <c r="C4496" s="7" t="s">
        <v>162</v>
      </c>
      <c r="D4496" t="s">
        <v>114</v>
      </c>
      <c r="F4496" s="35">
        <v>2</v>
      </c>
      <c r="G4496" s="35">
        <v>34.059058638872237</v>
      </c>
      <c r="H4496" s="35">
        <v>-0.67119021214872177</v>
      </c>
      <c r="I4496" s="35">
        <v>3.8415256456097131</v>
      </c>
      <c r="J4496" s="35">
        <v>3.251283455226859E-3</v>
      </c>
      <c r="K4496" s="35">
        <v>-1.5551229018050163</v>
      </c>
      <c r="L4496" s="35">
        <v>10.7095781256991</v>
      </c>
      <c r="M4496" s="58" t="s">
        <v>22</v>
      </c>
      <c r="N4496" s="7">
        <v>9.5</v>
      </c>
      <c r="O4496" s="7" t="s">
        <v>179</v>
      </c>
      <c r="P4496" s="7" t="s">
        <v>179</v>
      </c>
    </row>
    <row r="4497" spans="1:16" x14ac:dyDescent="0.25">
      <c r="A4497" t="s">
        <v>181</v>
      </c>
      <c r="B4497" t="s">
        <v>218</v>
      </c>
      <c r="C4497" s="7" t="s">
        <v>162</v>
      </c>
      <c r="D4497" t="s">
        <v>114</v>
      </c>
      <c r="F4497" s="35">
        <v>2</v>
      </c>
      <c r="G4497" s="35">
        <v>30.2789404313238</v>
      </c>
      <c r="H4497" s="35">
        <v>-0.67119886543610108</v>
      </c>
      <c r="I4497" s="35">
        <v>-0.21160894925653523</v>
      </c>
      <c r="J4497" s="35">
        <v>3.2805187827783036E-3</v>
      </c>
      <c r="K4497" s="35">
        <v>-1.5551229018050201</v>
      </c>
      <c r="L4497" s="35">
        <v>10.709609310048563</v>
      </c>
      <c r="M4497" s="58" t="s">
        <v>22</v>
      </c>
      <c r="N4497" s="7">
        <v>9.5</v>
      </c>
      <c r="O4497" s="7" t="s">
        <v>179</v>
      </c>
      <c r="P4497" s="7" t="s">
        <v>179</v>
      </c>
    </row>
    <row r="4498" spans="1:16" x14ac:dyDescent="0.25">
      <c r="A4498" t="s">
        <v>181</v>
      </c>
      <c r="B4498" t="s">
        <v>218</v>
      </c>
      <c r="C4498" s="7" t="s">
        <v>162</v>
      </c>
      <c r="D4498" t="s">
        <v>114</v>
      </c>
      <c r="F4498" s="35">
        <v>4.5</v>
      </c>
      <c r="G4498" s="35">
        <v>31.296187431323794</v>
      </c>
      <c r="H4498" s="35">
        <v>8.778801134563901</v>
      </c>
      <c r="I4498" s="35">
        <v>-0.21160894925653467</v>
      </c>
      <c r="J4498" s="35">
        <v>3.2805187827783036E-3</v>
      </c>
      <c r="K4498" s="35">
        <v>-1.0261005286636828</v>
      </c>
      <c r="L4498" s="35">
        <v>0.57510647363880629</v>
      </c>
      <c r="M4498" s="58" t="s">
        <v>24</v>
      </c>
      <c r="N4498" s="7">
        <v>9.5</v>
      </c>
      <c r="O4498" s="7" t="s">
        <v>179</v>
      </c>
      <c r="P4498" s="7" t="s">
        <v>179</v>
      </c>
    </row>
    <row r="4499" spans="1:16" x14ac:dyDescent="0.25">
      <c r="A4499" t="s">
        <v>181</v>
      </c>
      <c r="B4499" t="s">
        <v>218</v>
      </c>
      <c r="C4499" s="7" t="s">
        <v>162</v>
      </c>
      <c r="D4499" t="s">
        <v>114</v>
      </c>
      <c r="F4499" s="35">
        <v>4.5</v>
      </c>
      <c r="G4499" s="35">
        <v>32.073135902345236</v>
      </c>
      <c r="H4499" s="35">
        <v>8.7787903088658918</v>
      </c>
      <c r="I4499" s="35">
        <v>-0.20629064116314702</v>
      </c>
      <c r="J4499" s="35">
        <v>-2.6634614159877523E-3</v>
      </c>
      <c r="K4499" s="35">
        <v>-1.0260958792158301</v>
      </c>
      <c r="L4499" s="35">
        <v>1.546288915369201</v>
      </c>
      <c r="M4499" s="58" t="s">
        <v>24</v>
      </c>
      <c r="N4499" s="7">
        <v>9.5</v>
      </c>
      <c r="O4499" s="7" t="s">
        <v>179</v>
      </c>
      <c r="P4499" s="7" t="s">
        <v>179</v>
      </c>
    </row>
    <row r="4500" spans="1:16" x14ac:dyDescent="0.25">
      <c r="A4500" t="s">
        <v>181</v>
      </c>
      <c r="B4500" t="s">
        <v>218</v>
      </c>
      <c r="C4500" s="7" t="s">
        <v>162</v>
      </c>
      <c r="D4500" t="s">
        <v>114</v>
      </c>
      <c r="F4500" s="35">
        <v>8.9965005885644871</v>
      </c>
      <c r="G4500" s="35">
        <v>33.902756596031416</v>
      </c>
      <c r="H4500" s="35">
        <v>25.775562533639658</v>
      </c>
      <c r="I4500" s="35">
        <v>-0.20629064116314599</v>
      </c>
      <c r="J4500" s="35">
        <v>-2.6634614159877523E-3</v>
      </c>
      <c r="K4500" s="35">
        <v>-9.8509889810396503E-2</v>
      </c>
      <c r="L4500" s="35">
        <v>-76.140545031526386</v>
      </c>
      <c r="M4500" s="58" t="s">
        <v>23</v>
      </c>
      <c r="N4500" s="7">
        <v>9.5</v>
      </c>
      <c r="O4500" s="7" t="s">
        <v>179</v>
      </c>
      <c r="P4500" s="7" t="s">
        <v>179</v>
      </c>
    </row>
    <row r="4501" spans="1:16" x14ac:dyDescent="0.25">
      <c r="A4501" t="s">
        <v>181</v>
      </c>
      <c r="B4501" t="s">
        <v>218</v>
      </c>
      <c r="C4501" s="7" t="s">
        <v>162</v>
      </c>
      <c r="D4501" t="s">
        <v>115</v>
      </c>
      <c r="F4501" s="35">
        <v>0</v>
      </c>
      <c r="G4501" s="35">
        <v>-4.0946194125572717</v>
      </c>
      <c r="H4501" s="35">
        <v>-12.286516651483268</v>
      </c>
      <c r="I4501" s="35">
        <v>3.9296020237080449</v>
      </c>
      <c r="J4501" s="35">
        <v>3.3010139638551912E-3</v>
      </c>
      <c r="K4501" s="35">
        <v>6.2908648739200581</v>
      </c>
      <c r="L4501" s="35">
        <v>-27.004115738825941</v>
      </c>
      <c r="M4501" s="58" t="s">
        <v>22</v>
      </c>
      <c r="N4501" s="7">
        <v>9.5</v>
      </c>
      <c r="O4501" s="7" t="s">
        <v>179</v>
      </c>
      <c r="P4501" s="7" t="s">
        <v>179</v>
      </c>
    </row>
    <row r="4502" spans="1:16" x14ac:dyDescent="0.25">
      <c r="A4502" t="s">
        <v>181</v>
      </c>
      <c r="B4502" t="s">
        <v>218</v>
      </c>
      <c r="C4502" s="7" t="s">
        <v>162</v>
      </c>
      <c r="D4502" t="s">
        <v>115</v>
      </c>
      <c r="F4502" s="35">
        <v>2</v>
      </c>
      <c r="G4502" s="35">
        <v>-3.2808218125572814</v>
      </c>
      <c r="H4502" s="35">
        <v>-8.9601166514832684</v>
      </c>
      <c r="I4502" s="35">
        <v>3.9296020237080449</v>
      </c>
      <c r="J4502" s="35">
        <v>3.3010139638551912E-3</v>
      </c>
      <c r="K4502" s="35">
        <v>-1.5683391734960312</v>
      </c>
      <c r="L4502" s="35">
        <v>-5.7574824358594068</v>
      </c>
      <c r="M4502" s="58" t="s">
        <v>22</v>
      </c>
      <c r="N4502" s="7">
        <v>9.5</v>
      </c>
      <c r="O4502" s="7" t="s">
        <v>179</v>
      </c>
      <c r="P4502" s="7" t="s">
        <v>179</v>
      </c>
    </row>
    <row r="4503" spans="1:16" x14ac:dyDescent="0.25">
      <c r="A4503" t="s">
        <v>181</v>
      </c>
      <c r="B4503" t="s">
        <v>218</v>
      </c>
      <c r="C4503" s="7" t="s">
        <v>162</v>
      </c>
      <c r="D4503" t="s">
        <v>115</v>
      </c>
      <c r="F4503" s="35">
        <v>2</v>
      </c>
      <c r="G4503" s="35">
        <v>-7.1451747067650127</v>
      </c>
      <c r="H4503" s="35">
        <v>-8.9601159201929494</v>
      </c>
      <c r="I4503" s="35">
        <v>-0.21338484248047709</v>
      </c>
      <c r="J4503" s="35">
        <v>3.293517592613118E-3</v>
      </c>
      <c r="K4503" s="35">
        <v>-1.5683391734960292</v>
      </c>
      <c r="L4503" s="35">
        <v>-5.7574904319887743</v>
      </c>
      <c r="M4503" s="58" t="s">
        <v>22</v>
      </c>
      <c r="N4503" s="7">
        <v>9.5</v>
      </c>
      <c r="O4503" s="7" t="s">
        <v>179</v>
      </c>
      <c r="P4503" s="7" t="s">
        <v>179</v>
      </c>
    </row>
    <row r="4504" spans="1:16" x14ac:dyDescent="0.25">
      <c r="A4504" t="s">
        <v>181</v>
      </c>
      <c r="B4504" t="s">
        <v>218</v>
      </c>
      <c r="C4504" s="7" t="s">
        <v>162</v>
      </c>
      <c r="D4504" t="s">
        <v>115</v>
      </c>
      <c r="F4504" s="35">
        <v>4.5</v>
      </c>
      <c r="G4504" s="35">
        <v>-6.1279277067650169</v>
      </c>
      <c r="H4504" s="35">
        <v>-4.8021159201929482</v>
      </c>
      <c r="I4504" s="35">
        <v>-0.21338484248047684</v>
      </c>
      <c r="J4504" s="35">
        <v>3.293517592613118E-3</v>
      </c>
      <c r="K4504" s="35">
        <v>-1.0348770672948366</v>
      </c>
      <c r="L4504" s="35">
        <v>11.445299368493592</v>
      </c>
      <c r="M4504" s="58" t="s">
        <v>24</v>
      </c>
      <c r="N4504" s="7">
        <v>9.5</v>
      </c>
      <c r="O4504" s="7" t="s">
        <v>179</v>
      </c>
      <c r="P4504" s="7" t="s">
        <v>179</v>
      </c>
    </row>
    <row r="4505" spans="1:16" x14ac:dyDescent="0.25">
      <c r="A4505" t="s">
        <v>181</v>
      </c>
      <c r="B4505" t="s">
        <v>218</v>
      </c>
      <c r="C4505" s="7" t="s">
        <v>162</v>
      </c>
      <c r="D4505" t="s">
        <v>115</v>
      </c>
      <c r="F4505" s="35">
        <v>4.5</v>
      </c>
      <c r="G4505" s="35">
        <v>-5.3509790837707616</v>
      </c>
      <c r="H4505" s="35">
        <v>-4.8021312844062729</v>
      </c>
      <c r="I4505" s="35">
        <v>-0.20805978646487039</v>
      </c>
      <c r="J4505" s="35">
        <v>-2.6701071936768078E-3</v>
      </c>
      <c r="K4505" s="35">
        <v>-1.0348718983090481</v>
      </c>
      <c r="L4505" s="35">
        <v>12.416482274398822</v>
      </c>
      <c r="M4505" s="58" t="s">
        <v>24</v>
      </c>
      <c r="N4505" s="7">
        <v>9.5</v>
      </c>
      <c r="O4505" s="7" t="s">
        <v>179</v>
      </c>
      <c r="P4505" s="7" t="s">
        <v>179</v>
      </c>
    </row>
    <row r="4506" spans="1:16" x14ac:dyDescent="0.25">
      <c r="A4506" t="s">
        <v>181</v>
      </c>
      <c r="B4506" t="s">
        <v>218</v>
      </c>
      <c r="C4506" s="7" t="s">
        <v>162</v>
      </c>
      <c r="D4506" t="s">
        <v>115</v>
      </c>
      <c r="F4506" s="35">
        <v>8.9965005885644871</v>
      </c>
      <c r="G4506" s="35">
        <v>-3.5213583900845764</v>
      </c>
      <c r="H4506" s="35">
        <v>2.6764484944941862</v>
      </c>
      <c r="I4506" s="35">
        <v>-0.20805978646486994</v>
      </c>
      <c r="J4506" s="35">
        <v>-2.6701071936768078E-3</v>
      </c>
      <c r="K4506" s="35">
        <v>-9.9330946013157992E-2</v>
      </c>
      <c r="L4506" s="35">
        <v>17.195549232369359</v>
      </c>
      <c r="M4506" s="58" t="s">
        <v>23</v>
      </c>
      <c r="N4506" s="7">
        <v>9.5</v>
      </c>
      <c r="O4506" s="7" t="s">
        <v>179</v>
      </c>
      <c r="P4506" s="7" t="s">
        <v>179</v>
      </c>
    </row>
    <row r="4507" spans="1:16" x14ac:dyDescent="0.25">
      <c r="A4507" t="s">
        <v>181</v>
      </c>
      <c r="B4507" t="s">
        <v>218</v>
      </c>
      <c r="C4507" s="7" t="s">
        <v>162</v>
      </c>
      <c r="D4507" t="s">
        <v>116</v>
      </c>
      <c r="F4507" s="35">
        <v>0</v>
      </c>
      <c r="G4507" s="35">
        <v>34.773393586632615</v>
      </c>
      <c r="H4507" s="35">
        <v>33.963763058475415</v>
      </c>
      <c r="I4507" s="35">
        <v>-0.58671701533758636</v>
      </c>
      <c r="J4507" s="35">
        <v>-3.7391941766365448E-4</v>
      </c>
      <c r="K4507" s="35">
        <v>-0.98410964021447933</v>
      </c>
      <c r="L4507" s="35">
        <v>101.18199400532905</v>
      </c>
      <c r="M4507" s="58" t="s">
        <v>22</v>
      </c>
      <c r="N4507" s="7">
        <v>9.5</v>
      </c>
      <c r="O4507" s="7" t="s">
        <v>179</v>
      </c>
      <c r="P4507" s="7" t="s">
        <v>179</v>
      </c>
    </row>
    <row r="4508" spans="1:16" x14ac:dyDescent="0.25">
      <c r="A4508" t="s">
        <v>181</v>
      </c>
      <c r="B4508" t="s">
        <v>218</v>
      </c>
      <c r="C4508" s="7" t="s">
        <v>162</v>
      </c>
      <c r="D4508" t="s">
        <v>116</v>
      </c>
      <c r="F4508" s="35">
        <v>2</v>
      </c>
      <c r="G4508" s="35">
        <v>35.587191186632602</v>
      </c>
      <c r="H4508" s="35">
        <v>28.520563058475421</v>
      </c>
      <c r="I4508" s="35">
        <v>-0.58671701533758658</v>
      </c>
      <c r="J4508" s="35">
        <v>-3.7391941766365448E-4</v>
      </c>
      <c r="K4508" s="35">
        <v>0.18932439046069344</v>
      </c>
      <c r="L4508" s="35">
        <v>38.697667888378227</v>
      </c>
      <c r="M4508" s="58" t="s">
        <v>22</v>
      </c>
      <c r="N4508" s="7">
        <v>9.5</v>
      </c>
      <c r="O4508" s="7" t="s">
        <v>179</v>
      </c>
      <c r="P4508" s="7" t="s">
        <v>179</v>
      </c>
    </row>
    <row r="4509" spans="1:16" x14ac:dyDescent="0.25">
      <c r="A4509" t="s">
        <v>181</v>
      </c>
      <c r="B4509" t="s">
        <v>218</v>
      </c>
      <c r="C4509" s="7" t="s">
        <v>162</v>
      </c>
      <c r="D4509" t="s">
        <v>116</v>
      </c>
      <c r="F4509" s="35">
        <v>2</v>
      </c>
      <c r="G4509" s="35">
        <v>36.180209405249251</v>
      </c>
      <c r="H4509" s="35">
        <v>28.520552585516221</v>
      </c>
      <c r="I4509" s="35">
        <v>2.482978754498338E-2</v>
      </c>
      <c r="J4509" s="35">
        <v>-3.2677755217539015E-4</v>
      </c>
      <c r="K4509" s="35">
        <v>0.1893243904606933</v>
      </c>
      <c r="L4509" s="35">
        <v>38.69771817303468</v>
      </c>
      <c r="M4509" s="58" t="s">
        <v>22</v>
      </c>
      <c r="N4509" s="7">
        <v>9.5</v>
      </c>
      <c r="O4509" s="7" t="s">
        <v>179</v>
      </c>
      <c r="P4509" s="7" t="s">
        <v>179</v>
      </c>
    </row>
    <row r="4510" spans="1:16" x14ac:dyDescent="0.25">
      <c r="A4510" t="s">
        <v>181</v>
      </c>
      <c r="B4510" t="s">
        <v>218</v>
      </c>
      <c r="C4510" s="7" t="s">
        <v>162</v>
      </c>
      <c r="D4510" t="s">
        <v>116</v>
      </c>
      <c r="F4510" s="35">
        <v>4.5</v>
      </c>
      <c r="G4510" s="35">
        <v>37.197456405249248</v>
      </c>
      <c r="H4510" s="35">
        <v>21.716552585516215</v>
      </c>
      <c r="I4510" s="35">
        <v>2.4829787544982964E-2</v>
      </c>
      <c r="J4510" s="35">
        <v>-3.2677755217539015E-4</v>
      </c>
      <c r="K4510" s="35">
        <v>0.12724992159823534</v>
      </c>
      <c r="L4510" s="35">
        <v>-24.098663290755869</v>
      </c>
      <c r="M4510" s="58" t="s">
        <v>24</v>
      </c>
      <c r="N4510" s="7">
        <v>9.5</v>
      </c>
      <c r="O4510" s="7" t="s">
        <v>179</v>
      </c>
      <c r="P4510" s="7" t="s">
        <v>179</v>
      </c>
    </row>
    <row r="4511" spans="1:16" x14ac:dyDescent="0.25">
      <c r="A4511" t="s">
        <v>181</v>
      </c>
      <c r="B4511" t="s">
        <v>218</v>
      </c>
      <c r="C4511" s="7" t="s">
        <v>162</v>
      </c>
      <c r="D4511" t="s">
        <v>116</v>
      </c>
      <c r="F4511" s="35">
        <v>4.5</v>
      </c>
      <c r="G4511" s="35">
        <v>37.9744029323722</v>
      </c>
      <c r="H4511" s="35">
        <v>21.716569805905838</v>
      </c>
      <c r="I4511" s="35">
        <v>2.4309970555002631E-2</v>
      </c>
      <c r="J4511" s="35">
        <v>3.0924179955894296E-4</v>
      </c>
      <c r="K4511" s="35">
        <v>0.12724736186888161</v>
      </c>
      <c r="L4511" s="35">
        <v>-23.127481910013959</v>
      </c>
      <c r="M4511" s="58" t="s">
        <v>24</v>
      </c>
      <c r="N4511" s="7">
        <v>9.5</v>
      </c>
      <c r="O4511" s="7" t="s">
        <v>179</v>
      </c>
      <c r="P4511" s="7" t="s">
        <v>179</v>
      </c>
    </row>
    <row r="4512" spans="1:16" x14ac:dyDescent="0.25">
      <c r="A4512" t="s">
        <v>181</v>
      </c>
      <c r="B4512" t="s">
        <v>218</v>
      </c>
      <c r="C4512" s="7" t="s">
        <v>162</v>
      </c>
      <c r="D4512" t="s">
        <v>116</v>
      </c>
      <c r="F4512" s="35">
        <v>8.9965005885644871</v>
      </c>
      <c r="G4512" s="35">
        <v>39.804023626058381</v>
      </c>
      <c r="H4512" s="35">
        <v>9.4788938040687256</v>
      </c>
      <c r="I4512" s="35">
        <v>2.4309970555001885E-2</v>
      </c>
      <c r="J4512" s="35">
        <v>3.0924179955894296E-4</v>
      </c>
      <c r="K4512" s="35">
        <v>1.7937564960328577E-2</v>
      </c>
      <c r="L4512" s="35">
        <v>-93.262692151410306</v>
      </c>
      <c r="M4512" s="58" t="s">
        <v>23</v>
      </c>
      <c r="N4512" s="7">
        <v>9.5</v>
      </c>
      <c r="O4512" s="7" t="s">
        <v>179</v>
      </c>
      <c r="P4512" s="7" t="s">
        <v>179</v>
      </c>
    </row>
    <row r="4513" spans="1:16" x14ac:dyDescent="0.25">
      <c r="A4513" t="s">
        <v>181</v>
      </c>
      <c r="B4513" t="s">
        <v>218</v>
      </c>
      <c r="C4513" s="7" t="s">
        <v>162</v>
      </c>
      <c r="D4513" t="s">
        <v>117</v>
      </c>
      <c r="F4513" s="35">
        <v>0</v>
      </c>
      <c r="G4513" s="35">
        <v>-71.440575890091949</v>
      </c>
      <c r="H4513" s="35">
        <v>10.881342638933759</v>
      </c>
      <c r="I4513" s="35">
        <v>-0.84975903864571722</v>
      </c>
      <c r="J4513" s="35">
        <v>-5.6400352295031899E-4</v>
      </c>
      <c r="K4513" s="35">
        <v>-1.3648794107666329</v>
      </c>
      <c r="L4513" s="35">
        <v>32.838740354952556</v>
      </c>
      <c r="M4513" s="58" t="s">
        <v>22</v>
      </c>
      <c r="N4513" s="7">
        <v>9.5</v>
      </c>
      <c r="O4513" s="7" t="s">
        <v>179</v>
      </c>
      <c r="P4513" s="7" t="s">
        <v>179</v>
      </c>
    </row>
    <row r="4514" spans="1:16" x14ac:dyDescent="0.25">
      <c r="A4514" t="s">
        <v>181</v>
      </c>
      <c r="B4514" t="s">
        <v>218</v>
      </c>
      <c r="C4514" s="7" t="s">
        <v>162</v>
      </c>
      <c r="D4514" t="s">
        <v>117</v>
      </c>
      <c r="F4514" s="35">
        <v>2</v>
      </c>
      <c r="G4514" s="35">
        <v>-70.626778290091963</v>
      </c>
      <c r="H4514" s="35">
        <v>1.2045426389337588</v>
      </c>
      <c r="I4514" s="35">
        <v>-0.84975903864571789</v>
      </c>
      <c r="J4514" s="35">
        <v>-5.6400352295031899E-4</v>
      </c>
      <c r="K4514" s="35">
        <v>0.33463866652480212</v>
      </c>
      <c r="L4514" s="35">
        <v>20.752855077085027</v>
      </c>
      <c r="M4514" s="58" t="s">
        <v>22</v>
      </c>
      <c r="N4514" s="7">
        <v>9.5</v>
      </c>
      <c r="O4514" s="7" t="s">
        <v>179</v>
      </c>
      <c r="P4514" s="7" t="s">
        <v>179</v>
      </c>
    </row>
    <row r="4515" spans="1:16" x14ac:dyDescent="0.25">
      <c r="A4515" t="s">
        <v>181</v>
      </c>
      <c r="B4515" t="s">
        <v>218</v>
      </c>
      <c r="C4515" s="7" t="s">
        <v>162</v>
      </c>
      <c r="D4515" t="s">
        <v>117</v>
      </c>
      <c r="F4515" s="35">
        <v>2</v>
      </c>
      <c r="G4515" s="35">
        <v>-69.768705788083849</v>
      </c>
      <c r="H4515" s="35">
        <v>1.2045525862422726</v>
      </c>
      <c r="I4515" s="35">
        <v>4.4508207820587641E-2</v>
      </c>
      <c r="J4515" s="35">
        <v>-6.5786755407955624E-4</v>
      </c>
      <c r="K4515" s="35">
        <v>0.33463866652480273</v>
      </c>
      <c r="L4515" s="35">
        <v>20.752754955451842</v>
      </c>
      <c r="M4515" s="58" t="s">
        <v>22</v>
      </c>
      <c r="N4515" s="7">
        <v>9.5</v>
      </c>
      <c r="O4515" s="7" t="s">
        <v>179</v>
      </c>
      <c r="P4515" s="7" t="s">
        <v>179</v>
      </c>
    </row>
    <row r="4516" spans="1:16" x14ac:dyDescent="0.25">
      <c r="A4516" t="s">
        <v>181</v>
      </c>
      <c r="B4516" t="s">
        <v>218</v>
      </c>
      <c r="C4516" s="7" t="s">
        <v>162</v>
      </c>
      <c r="D4516" t="s">
        <v>117</v>
      </c>
      <c r="F4516" s="35">
        <v>4.5</v>
      </c>
      <c r="G4516" s="35">
        <v>-68.751458788083852</v>
      </c>
      <c r="H4516" s="35">
        <v>-10.891447413757724</v>
      </c>
      <c r="I4516" s="35">
        <v>4.4508207820586898E-2</v>
      </c>
      <c r="J4516" s="35">
        <v>-6.5786755407955624E-4</v>
      </c>
      <c r="K4516" s="35">
        <v>0.22336814697333451</v>
      </c>
      <c r="L4516" s="35">
        <v>32.861373489846152</v>
      </c>
      <c r="M4516" s="58" t="s">
        <v>24</v>
      </c>
      <c r="N4516" s="7">
        <v>9.5</v>
      </c>
      <c r="O4516" s="7" t="s">
        <v>179</v>
      </c>
      <c r="P4516" s="7" t="s">
        <v>179</v>
      </c>
    </row>
    <row r="4517" spans="1:16" x14ac:dyDescent="0.25">
      <c r="A4517" t="s">
        <v>181</v>
      </c>
      <c r="B4517" t="s">
        <v>218</v>
      </c>
      <c r="C4517" s="7" t="s">
        <v>162</v>
      </c>
      <c r="D4517" t="s">
        <v>117</v>
      </c>
      <c r="F4517" s="35">
        <v>4.5</v>
      </c>
      <c r="G4517" s="35">
        <v>-67.974512185301037</v>
      </c>
      <c r="H4517" s="35">
        <v>-10.891418677012616</v>
      </c>
      <c r="I4517" s="35">
        <v>4.3473050793686345E-2</v>
      </c>
      <c r="J4517" s="35">
        <v>6.1060703720012253E-4</v>
      </c>
      <c r="K4517" s="35">
        <v>0.22336587100011882</v>
      </c>
      <c r="L4517" s="35">
        <v>33.832555576076381</v>
      </c>
      <c r="M4517" s="58" t="s">
        <v>24</v>
      </c>
      <c r="N4517" s="7">
        <v>9.5</v>
      </c>
      <c r="O4517" s="7" t="s">
        <v>179</v>
      </c>
      <c r="P4517" s="7" t="s">
        <v>179</v>
      </c>
    </row>
    <row r="4518" spans="1:16" x14ac:dyDescent="0.25">
      <c r="A4518" t="s">
        <v>181</v>
      </c>
      <c r="B4518" t="s">
        <v>218</v>
      </c>
      <c r="C4518" s="7" t="s">
        <v>162</v>
      </c>
      <c r="D4518" t="s">
        <v>117</v>
      </c>
      <c r="F4518" s="35">
        <v>8.9965005885644871</v>
      </c>
      <c r="G4518" s="35">
        <v>-66.144891491614857</v>
      </c>
      <c r="H4518" s="35">
        <v>-32.647287124723036</v>
      </c>
      <c r="I4518" s="35">
        <v>4.3473050793685013E-2</v>
      </c>
      <c r="J4518" s="35">
        <v>6.1060703720012253E-4</v>
      </c>
      <c r="K4518" s="35">
        <v>2.7889272519617304E-2</v>
      </c>
      <c r="L4518" s="35">
        <v>131.71846370749657</v>
      </c>
      <c r="M4518" s="58" t="s">
        <v>23</v>
      </c>
      <c r="N4518" s="7">
        <v>9.5</v>
      </c>
      <c r="O4518" s="7" t="s">
        <v>179</v>
      </c>
      <c r="P4518" s="7" t="s">
        <v>179</v>
      </c>
    </row>
    <row r="4519" spans="1:16" x14ac:dyDescent="0.25">
      <c r="A4519" t="s">
        <v>181</v>
      </c>
      <c r="B4519" t="s">
        <v>218</v>
      </c>
      <c r="C4519" s="7" t="s">
        <v>162</v>
      </c>
      <c r="D4519" t="s">
        <v>118</v>
      </c>
      <c r="F4519" s="35">
        <v>0</v>
      </c>
      <c r="G4519" s="35">
        <v>19.668140176722574</v>
      </c>
      <c r="H4519" s="35">
        <v>-9.3812186748847459</v>
      </c>
      <c r="I4519" s="35">
        <v>-0.56962621949240344</v>
      </c>
      <c r="J4519" s="35">
        <v>-3.7628840921468396E-4</v>
      </c>
      <c r="K4519" s="35">
        <v>-0.94752331098924814</v>
      </c>
      <c r="L4519" s="35">
        <v>-24.452639137032143</v>
      </c>
      <c r="M4519" s="58" t="s">
        <v>22</v>
      </c>
      <c r="N4519" s="7">
        <v>9.5</v>
      </c>
      <c r="O4519" s="7" t="s">
        <v>179</v>
      </c>
      <c r="P4519" s="7" t="s">
        <v>179</v>
      </c>
    </row>
    <row r="4520" spans="1:16" x14ac:dyDescent="0.25">
      <c r="A4520" t="s">
        <v>181</v>
      </c>
      <c r="B4520" t="s">
        <v>218</v>
      </c>
      <c r="C4520" s="7" t="s">
        <v>162</v>
      </c>
      <c r="D4520" t="s">
        <v>118</v>
      </c>
      <c r="F4520" s="35">
        <v>2</v>
      </c>
      <c r="G4520" s="35">
        <v>20.481937776722564</v>
      </c>
      <c r="H4520" s="35">
        <v>-3.6356186748847441</v>
      </c>
      <c r="I4520" s="35">
        <v>-0.56962621949240322</v>
      </c>
      <c r="J4520" s="35">
        <v>-3.7628840921468396E-4</v>
      </c>
      <c r="K4520" s="35">
        <v>0.19172912799555861</v>
      </c>
      <c r="L4520" s="35">
        <v>-11.435801787262658</v>
      </c>
      <c r="M4520" s="58" t="s">
        <v>22</v>
      </c>
      <c r="N4520" s="7">
        <v>9.5</v>
      </c>
      <c r="O4520" s="7" t="s">
        <v>179</v>
      </c>
      <c r="P4520" s="7" t="s">
        <v>179</v>
      </c>
    </row>
    <row r="4521" spans="1:16" x14ac:dyDescent="0.25">
      <c r="A4521" t="s">
        <v>181</v>
      </c>
      <c r="B4521" t="s">
        <v>218</v>
      </c>
      <c r="C4521" s="7" t="s">
        <v>162</v>
      </c>
      <c r="D4521" t="s">
        <v>118</v>
      </c>
      <c r="F4521" s="35">
        <v>2</v>
      </c>
      <c r="G4521" s="35">
        <v>21.059257368626184</v>
      </c>
      <c r="H4521" s="35">
        <v>-3.6356225372209368</v>
      </c>
      <c r="I4521" s="35">
        <v>2.5174536674360017E-2</v>
      </c>
      <c r="J4521" s="35">
        <v>-3.4289173624525932E-4</v>
      </c>
      <c r="K4521" s="35">
        <v>0.191729127995559</v>
      </c>
      <c r="L4521" s="35">
        <v>-11.435766164144821</v>
      </c>
      <c r="M4521" s="58" t="s">
        <v>22</v>
      </c>
      <c r="N4521" s="7">
        <v>9.5</v>
      </c>
      <c r="O4521" s="7" t="s">
        <v>179</v>
      </c>
      <c r="P4521" s="7" t="s">
        <v>179</v>
      </c>
    </row>
    <row r="4522" spans="1:16" x14ac:dyDescent="0.25">
      <c r="A4522" t="s">
        <v>181</v>
      </c>
      <c r="B4522" t="s">
        <v>218</v>
      </c>
      <c r="C4522" s="7" t="s">
        <v>162</v>
      </c>
      <c r="D4522" t="s">
        <v>118</v>
      </c>
      <c r="F4522" s="35">
        <v>4.5</v>
      </c>
      <c r="G4522" s="35">
        <v>22.076504368626182</v>
      </c>
      <c r="H4522" s="35">
        <v>3.5463774627790654</v>
      </c>
      <c r="I4522" s="35">
        <v>2.5174536674360457E-2</v>
      </c>
      <c r="J4522" s="35">
        <v>-3.4289173624525932E-4</v>
      </c>
      <c r="K4522" s="35">
        <v>0.12879278630965837</v>
      </c>
      <c r="L4522" s="35">
        <v>-11.324209821092483</v>
      </c>
      <c r="M4522" s="58" t="s">
        <v>24</v>
      </c>
      <c r="N4522" s="7">
        <v>9.5</v>
      </c>
      <c r="O4522" s="7" t="s">
        <v>179</v>
      </c>
      <c r="P4522" s="7" t="s">
        <v>179</v>
      </c>
    </row>
    <row r="4523" spans="1:16" x14ac:dyDescent="0.25">
      <c r="A4523" t="s">
        <v>181</v>
      </c>
      <c r="B4523" t="s">
        <v>218</v>
      </c>
      <c r="C4523" s="7" t="s">
        <v>162</v>
      </c>
      <c r="D4523" t="s">
        <v>118</v>
      </c>
      <c r="F4523" s="35">
        <v>4.5</v>
      </c>
      <c r="G4523" s="35">
        <v>22.853450955749135</v>
      </c>
      <c r="H4523" s="35">
        <v>3.5463867786864496</v>
      </c>
      <c r="I4523" s="35">
        <v>2.4626541607003789E-2</v>
      </c>
      <c r="J4523" s="35">
        <v>2.9408221678289955E-4</v>
      </c>
      <c r="K4523" s="35">
        <v>0.12879042525857207</v>
      </c>
      <c r="L4523" s="35">
        <v>-10.353028591231574</v>
      </c>
      <c r="M4523" s="58" t="s">
        <v>24</v>
      </c>
      <c r="N4523" s="7">
        <v>9.5</v>
      </c>
      <c r="O4523" s="7" t="s">
        <v>179</v>
      </c>
      <c r="P4523" s="7" t="s">
        <v>179</v>
      </c>
    </row>
    <row r="4524" spans="1:16" x14ac:dyDescent="0.25">
      <c r="A4524" t="s">
        <v>181</v>
      </c>
      <c r="B4524" t="s">
        <v>218</v>
      </c>
      <c r="C4524" s="7" t="s">
        <v>162</v>
      </c>
      <c r="D4524" t="s">
        <v>118</v>
      </c>
      <c r="F4524" s="35">
        <v>8.9965005885644871</v>
      </c>
      <c r="G4524" s="35">
        <v>24.68307164943532</v>
      </c>
      <c r="H4524" s="35">
        <v>16.463933669514514</v>
      </c>
      <c r="I4524" s="35">
        <v>2.462654160700458E-2</v>
      </c>
      <c r="J4524" s="35">
        <v>2.9408221678289955E-4</v>
      </c>
      <c r="K4524" s="35">
        <v>1.8057166428369895E-2</v>
      </c>
      <c r="L4524" s="35">
        <v>-55.341237427581369</v>
      </c>
      <c r="M4524" s="58" t="s">
        <v>23</v>
      </c>
      <c r="N4524" s="7">
        <v>9.5</v>
      </c>
      <c r="O4524" s="7" t="s">
        <v>179</v>
      </c>
      <c r="P4524" s="7" t="s">
        <v>179</v>
      </c>
    </row>
    <row r="4525" spans="1:16" x14ac:dyDescent="0.25">
      <c r="A4525" t="s">
        <v>181</v>
      </c>
      <c r="B4525" t="s">
        <v>218</v>
      </c>
      <c r="C4525" s="7" t="s">
        <v>162</v>
      </c>
      <c r="D4525" t="s">
        <v>119</v>
      </c>
      <c r="F4525" s="35">
        <v>0</v>
      </c>
      <c r="G4525" s="35">
        <v>-28.228115743614346</v>
      </c>
      <c r="H4525" s="35">
        <v>-24.00900374866508</v>
      </c>
      <c r="I4525" s="35">
        <v>-0.62802349383674672</v>
      </c>
      <c r="J4525" s="35">
        <v>-4.4309989351150808E-4</v>
      </c>
      <c r="K4525" s="35">
        <v>-1.0227747476292053</v>
      </c>
      <c r="L4525" s="35">
        <v>-111.50350295326767</v>
      </c>
      <c r="M4525" s="58" t="s">
        <v>22</v>
      </c>
      <c r="N4525" s="7">
        <v>9.5</v>
      </c>
      <c r="O4525" s="7" t="s">
        <v>179</v>
      </c>
      <c r="P4525" s="7" t="s">
        <v>179</v>
      </c>
    </row>
    <row r="4526" spans="1:16" x14ac:dyDescent="0.25">
      <c r="A4526" t="s">
        <v>181</v>
      </c>
      <c r="B4526" t="s">
        <v>218</v>
      </c>
      <c r="C4526" s="7" t="s">
        <v>162</v>
      </c>
      <c r="D4526" t="s">
        <v>119</v>
      </c>
      <c r="F4526" s="35">
        <v>2</v>
      </c>
      <c r="G4526" s="35">
        <v>-27.414318143614356</v>
      </c>
      <c r="H4526" s="35">
        <v>-22.49700374866508</v>
      </c>
      <c r="I4526" s="35">
        <v>-0.6280234938367466</v>
      </c>
      <c r="J4526" s="35">
        <v>-4.4309989351150808E-4</v>
      </c>
      <c r="K4526" s="35">
        <v>0.23327224004428795</v>
      </c>
      <c r="L4526" s="35">
        <v>-64.997495455937525</v>
      </c>
      <c r="M4526" s="58" t="s">
        <v>22</v>
      </c>
      <c r="N4526" s="7">
        <v>9.5</v>
      </c>
      <c r="O4526" s="7" t="s">
        <v>179</v>
      </c>
      <c r="P4526" s="7" t="s">
        <v>179</v>
      </c>
    </row>
    <row r="4527" spans="1:16" x14ac:dyDescent="0.25">
      <c r="A4527" t="s">
        <v>181</v>
      </c>
      <c r="B4527" t="s">
        <v>218</v>
      </c>
      <c r="C4527" s="7" t="s">
        <v>162</v>
      </c>
      <c r="D4527" t="s">
        <v>119</v>
      </c>
      <c r="F4527" s="35">
        <v>2</v>
      </c>
      <c r="G4527" s="35">
        <v>-26.776949093513156</v>
      </c>
      <c r="H4527" s="35">
        <v>-22.496992203645632</v>
      </c>
      <c r="I4527" s="35">
        <v>3.0828099488755509E-2</v>
      </c>
      <c r="J4527" s="35">
        <v>-4.3033464607544731E-4</v>
      </c>
      <c r="K4527" s="35">
        <v>0.23327224004428809</v>
      </c>
      <c r="L4527" s="35">
        <v>-64.997481839673625</v>
      </c>
      <c r="M4527" s="58" t="s">
        <v>22</v>
      </c>
      <c r="N4527" s="7">
        <v>9.5</v>
      </c>
      <c r="O4527" s="7" t="s">
        <v>179</v>
      </c>
      <c r="P4527" s="7" t="s">
        <v>179</v>
      </c>
    </row>
    <row r="4528" spans="1:16" x14ac:dyDescent="0.25">
      <c r="A4528" t="s">
        <v>181</v>
      </c>
      <c r="B4528" t="s">
        <v>218</v>
      </c>
      <c r="C4528" s="7" t="s">
        <v>162</v>
      </c>
      <c r="D4528" t="s">
        <v>119</v>
      </c>
      <c r="F4528" s="35">
        <v>4.5</v>
      </c>
      <c r="G4528" s="35">
        <v>-25.759702093513162</v>
      </c>
      <c r="H4528" s="35">
        <v>-20.606992203645628</v>
      </c>
      <c r="I4528" s="35">
        <v>3.0828099488755624E-2</v>
      </c>
      <c r="J4528" s="35">
        <v>-4.3033464607544731E-4</v>
      </c>
      <c r="K4528" s="35">
        <v>0.1562019913223992</v>
      </c>
      <c r="L4528" s="35">
        <v>-11.117501330559548</v>
      </c>
      <c r="M4528" s="58" t="s">
        <v>24</v>
      </c>
      <c r="N4528" s="7">
        <v>9.5</v>
      </c>
      <c r="O4528" s="7" t="s">
        <v>179</v>
      </c>
      <c r="P4528" s="7" t="s">
        <v>179</v>
      </c>
    </row>
    <row r="4529" spans="1:16" x14ac:dyDescent="0.25">
      <c r="A4529" t="s">
        <v>181</v>
      </c>
      <c r="B4529" t="s">
        <v>218</v>
      </c>
      <c r="C4529" s="7" t="s">
        <v>162</v>
      </c>
      <c r="D4529" t="s">
        <v>119</v>
      </c>
      <c r="F4529" s="35">
        <v>4.5</v>
      </c>
      <c r="G4529" s="35">
        <v>-24.982755440477739</v>
      </c>
      <c r="H4529" s="35">
        <v>-20.60697597090563</v>
      </c>
      <c r="I4529" s="35">
        <v>3.0101330189672485E-2</v>
      </c>
      <c r="J4529" s="35">
        <v>4.4177850784591141E-4</v>
      </c>
      <c r="K4529" s="35">
        <v>0.15619987509225164</v>
      </c>
      <c r="L4529" s="35">
        <v>-10.146319387715009</v>
      </c>
      <c r="M4529" s="58" t="s">
        <v>24</v>
      </c>
      <c r="N4529" s="7">
        <v>9.5</v>
      </c>
      <c r="O4529" s="7" t="s">
        <v>179</v>
      </c>
      <c r="P4529" s="7" t="s">
        <v>179</v>
      </c>
    </row>
    <row r="4530" spans="1:16" x14ac:dyDescent="0.25">
      <c r="A4530" t="s">
        <v>181</v>
      </c>
      <c r="B4530" t="s">
        <v>218</v>
      </c>
      <c r="C4530" s="7" t="s">
        <v>162</v>
      </c>
      <c r="D4530" t="s">
        <v>119</v>
      </c>
      <c r="F4530" s="35">
        <v>8.9965005885644871</v>
      </c>
      <c r="G4530" s="35">
        <v>-23.153134746791554</v>
      </c>
      <c r="H4530" s="35">
        <v>-17.207621525950881</v>
      </c>
      <c r="I4530" s="35">
        <v>3.0101330189672697E-2</v>
      </c>
      <c r="J4530" s="35">
        <v>4.4177850784591141E-4</v>
      </c>
      <c r="K4530" s="35">
        <v>2.0849226177814859E-2</v>
      </c>
      <c r="L4530" s="35">
        <v>74.870360562757241</v>
      </c>
      <c r="M4530" s="58" t="s">
        <v>23</v>
      </c>
      <c r="N4530" s="7">
        <v>9.5</v>
      </c>
      <c r="O4530" s="7" t="s">
        <v>179</v>
      </c>
      <c r="P4530" s="7" t="s">
        <v>179</v>
      </c>
    </row>
    <row r="4531" spans="1:16" x14ac:dyDescent="0.25">
      <c r="A4531" t="s">
        <v>181</v>
      </c>
      <c r="B4531" t="s">
        <v>218</v>
      </c>
      <c r="C4531" s="7" t="s">
        <v>162</v>
      </c>
      <c r="D4531" t="s">
        <v>120</v>
      </c>
      <c r="F4531" s="35">
        <v>0</v>
      </c>
      <c r="G4531" s="35">
        <v>28.919779979339008</v>
      </c>
      <c r="H4531" s="35">
        <v>-5.8586925764829401</v>
      </c>
      <c r="I4531" s="35">
        <v>-3.9588473956356229</v>
      </c>
      <c r="J4531" s="35">
        <v>-3.4998676436045761E-3</v>
      </c>
      <c r="K4531" s="35">
        <v>-6.3365068917049863</v>
      </c>
      <c r="L4531" s="35">
        <v>11.958366555167002</v>
      </c>
      <c r="M4531" s="58" t="s">
        <v>22</v>
      </c>
      <c r="N4531" s="7">
        <v>9.5</v>
      </c>
      <c r="O4531" s="7" t="s">
        <v>179</v>
      </c>
      <c r="P4531" s="7" t="s">
        <v>179</v>
      </c>
    </row>
    <row r="4532" spans="1:16" x14ac:dyDescent="0.25">
      <c r="A4532" t="s">
        <v>181</v>
      </c>
      <c r="B4532" t="s">
        <v>218</v>
      </c>
      <c r="C4532" s="7" t="s">
        <v>162</v>
      </c>
      <c r="D4532" t="s">
        <v>120</v>
      </c>
      <c r="F4532" s="35">
        <v>2</v>
      </c>
      <c r="G4532" s="35">
        <v>29.733577579339016</v>
      </c>
      <c r="H4532" s="35">
        <v>2.5413074235170603</v>
      </c>
      <c r="I4532" s="35">
        <v>-3.9588473956356225</v>
      </c>
      <c r="J4532" s="35">
        <v>-3.4998676436045761E-3</v>
      </c>
      <c r="K4532" s="35">
        <v>1.5811878995662596</v>
      </c>
      <c r="L4532" s="35">
        <v>15.275751708132882</v>
      </c>
      <c r="M4532" s="58" t="s">
        <v>22</v>
      </c>
      <c r="N4532" s="7">
        <v>9.5</v>
      </c>
      <c r="O4532" s="7" t="s">
        <v>179</v>
      </c>
      <c r="P4532" s="7" t="s">
        <v>179</v>
      </c>
    </row>
    <row r="4533" spans="1:16" x14ac:dyDescent="0.25">
      <c r="A4533" t="s">
        <v>181</v>
      </c>
      <c r="B4533" t="s">
        <v>218</v>
      </c>
      <c r="C4533" s="7" t="s">
        <v>162</v>
      </c>
      <c r="D4533" t="s">
        <v>120</v>
      </c>
      <c r="F4533" s="35">
        <v>2</v>
      </c>
      <c r="G4533" s="35">
        <v>33.665035647109583</v>
      </c>
      <c r="H4533" s="35">
        <v>2.5412978671425583</v>
      </c>
      <c r="I4533" s="35">
        <v>0.21370000093983288</v>
      </c>
      <c r="J4533" s="35">
        <v>-3.4835545830015392E-3</v>
      </c>
      <c r="K4533" s="35">
        <v>1.5811878995662643</v>
      </c>
      <c r="L4533" s="35">
        <v>15.275769108730971</v>
      </c>
      <c r="M4533" s="58" t="s">
        <v>22</v>
      </c>
      <c r="N4533" s="7">
        <v>9.5</v>
      </c>
      <c r="O4533" s="7" t="s">
        <v>179</v>
      </c>
      <c r="P4533" s="7" t="s">
        <v>179</v>
      </c>
    </row>
    <row r="4534" spans="1:16" x14ac:dyDescent="0.25">
      <c r="A4534" t="s">
        <v>181</v>
      </c>
      <c r="B4534" t="s">
        <v>218</v>
      </c>
      <c r="C4534" s="7" t="s">
        <v>162</v>
      </c>
      <c r="D4534" t="s">
        <v>120</v>
      </c>
      <c r="F4534" s="35">
        <v>4.5</v>
      </c>
      <c r="G4534" s="35">
        <v>34.682282647109574</v>
      </c>
      <c r="H4534" s="35">
        <v>13.041297867142561</v>
      </c>
      <c r="I4534" s="35">
        <v>0.21370000093983355</v>
      </c>
      <c r="J4534" s="35">
        <v>-3.4835545830015392E-3</v>
      </c>
      <c r="K4534" s="35">
        <v>1.0469378972166812</v>
      </c>
      <c r="L4534" s="35">
        <v>-4.2024755591254186</v>
      </c>
      <c r="M4534" s="58" t="s">
        <v>24</v>
      </c>
      <c r="N4534" s="7">
        <v>9.5</v>
      </c>
      <c r="O4534" s="7" t="s">
        <v>179</v>
      </c>
      <c r="P4534" s="7" t="s">
        <v>179</v>
      </c>
    </row>
    <row r="4535" spans="1:16" x14ac:dyDescent="0.25">
      <c r="A4535" t="s">
        <v>181</v>
      </c>
      <c r="B4535" t="s">
        <v>218</v>
      </c>
      <c r="C4535" s="7" t="s">
        <v>162</v>
      </c>
      <c r="D4535" t="s">
        <v>120</v>
      </c>
      <c r="F4535" s="35">
        <v>4.5</v>
      </c>
      <c r="G4535" s="35">
        <v>35.459228102008161</v>
      </c>
      <c r="H4535" s="35">
        <v>13.041347208003508</v>
      </c>
      <c r="I4535" s="35">
        <v>0.20820920944380569</v>
      </c>
      <c r="J4535" s="35">
        <v>2.8000717100268532E-3</v>
      </c>
      <c r="K4535" s="35">
        <v>1.0469309520418404</v>
      </c>
      <c r="L4535" s="35">
        <v>-3.2312976250722998</v>
      </c>
      <c r="M4535" s="58" t="s">
        <v>24</v>
      </c>
      <c r="N4535" s="7">
        <v>9.5</v>
      </c>
      <c r="O4535" s="7" t="s">
        <v>179</v>
      </c>
      <c r="P4535" s="7" t="s">
        <v>179</v>
      </c>
    </row>
    <row r="4536" spans="1:16" x14ac:dyDescent="0.25">
      <c r="A4536" t="s">
        <v>181</v>
      </c>
      <c r="B4536" t="s">
        <v>218</v>
      </c>
      <c r="C4536" s="7" t="s">
        <v>162</v>
      </c>
      <c r="D4536" t="s">
        <v>120</v>
      </c>
      <c r="F4536" s="35">
        <v>8.9965005885644871</v>
      </c>
      <c r="G4536" s="35">
        <v>37.288848795694342</v>
      </c>
      <c r="H4536" s="35">
        <v>31.926649679974364</v>
      </c>
      <c r="I4536" s="35">
        <v>0.20820920944380686</v>
      </c>
      <c r="J4536" s="35">
        <v>2.8000717100268532E-3</v>
      </c>
      <c r="K4536" s="35">
        <v>0.11071811923321871</v>
      </c>
      <c r="L4536" s="35">
        <v>-104.33060986175155</v>
      </c>
      <c r="M4536" s="58" t="s">
        <v>23</v>
      </c>
      <c r="N4536" s="7">
        <v>9.5</v>
      </c>
      <c r="O4536" s="7" t="s">
        <v>179</v>
      </c>
      <c r="P4536" s="7" t="s">
        <v>179</v>
      </c>
    </row>
    <row r="4537" spans="1:16" x14ac:dyDescent="0.25">
      <c r="A4537" t="s">
        <v>181</v>
      </c>
      <c r="B4537" t="s">
        <v>218</v>
      </c>
      <c r="C4537" s="7" t="s">
        <v>162</v>
      </c>
      <c r="D4537" t="s">
        <v>121</v>
      </c>
      <c r="F4537" s="35">
        <v>0</v>
      </c>
      <c r="G4537" s="35">
        <v>-12.575833973558231</v>
      </c>
      <c r="H4537" s="35">
        <v>-10.364546200520049</v>
      </c>
      <c r="I4537" s="35">
        <v>-3.8643296873539366</v>
      </c>
      <c r="J4537" s="35">
        <v>-3.4475468871868588E-3</v>
      </c>
      <c r="K4537" s="35">
        <v>-6.1608158788351197</v>
      </c>
      <c r="L4537" s="35">
        <v>-20.053025141529286</v>
      </c>
      <c r="M4537" s="58" t="s">
        <v>22</v>
      </c>
      <c r="N4537" s="7">
        <v>9.5</v>
      </c>
      <c r="O4537" s="7" t="s">
        <v>179</v>
      </c>
      <c r="P4537" s="7" t="s">
        <v>179</v>
      </c>
    </row>
    <row r="4538" spans="1:16" x14ac:dyDescent="0.25">
      <c r="A4538" t="s">
        <v>181</v>
      </c>
      <c r="B4538" t="s">
        <v>218</v>
      </c>
      <c r="C4538" s="7" t="s">
        <v>162</v>
      </c>
      <c r="D4538" t="s">
        <v>121</v>
      </c>
      <c r="F4538" s="35">
        <v>2</v>
      </c>
      <c r="G4538" s="35">
        <v>-11.762036373558226</v>
      </c>
      <c r="H4538" s="35">
        <v>-6.6685462005200504</v>
      </c>
      <c r="I4538" s="35">
        <v>-3.8643296873539366</v>
      </c>
      <c r="J4538" s="35">
        <v>-3.4475468871868588E-3</v>
      </c>
      <c r="K4538" s="35">
        <v>1.5678434958727543</v>
      </c>
      <c r="L4538" s="35">
        <v>-3.019932740489184</v>
      </c>
      <c r="M4538" s="58" t="s">
        <v>22</v>
      </c>
      <c r="N4538" s="7">
        <v>9.5</v>
      </c>
      <c r="O4538" s="7" t="s">
        <v>179</v>
      </c>
      <c r="P4538" s="7" t="s">
        <v>179</v>
      </c>
    </row>
    <row r="4539" spans="1:16" x14ac:dyDescent="0.25">
      <c r="A4539" t="s">
        <v>181</v>
      </c>
      <c r="B4539" t="s">
        <v>218</v>
      </c>
      <c r="C4539" s="7" t="s">
        <v>162</v>
      </c>
      <c r="D4539" t="s">
        <v>121</v>
      </c>
      <c r="F4539" s="35">
        <v>2</v>
      </c>
      <c r="G4539" s="35">
        <v>-7.9208658129602316</v>
      </c>
      <c r="H4539" s="35">
        <v>-6.668545333182978</v>
      </c>
      <c r="I4539" s="35">
        <v>0.21190888087062837</v>
      </c>
      <c r="J4539" s="35">
        <v>-3.4720602093755303E-3</v>
      </c>
      <c r="K4539" s="35">
        <v>1.5678434958727541</v>
      </c>
      <c r="L4539" s="35">
        <v>-3.019958888032849</v>
      </c>
      <c r="M4539" s="58" t="s">
        <v>22</v>
      </c>
      <c r="N4539" s="7">
        <v>9.5</v>
      </c>
      <c r="O4539" s="7" t="s">
        <v>179</v>
      </c>
      <c r="P4539" s="7" t="s">
        <v>179</v>
      </c>
    </row>
    <row r="4540" spans="1:16" x14ac:dyDescent="0.25">
      <c r="A4540" t="s">
        <v>181</v>
      </c>
      <c r="B4540" t="s">
        <v>218</v>
      </c>
      <c r="C4540" s="7" t="s">
        <v>162</v>
      </c>
      <c r="D4540" t="s">
        <v>121</v>
      </c>
      <c r="F4540" s="35">
        <v>4.5</v>
      </c>
      <c r="G4540" s="35">
        <v>-6.9036188129602367</v>
      </c>
      <c r="H4540" s="35">
        <v>-2.048545333182977</v>
      </c>
      <c r="I4540" s="35">
        <v>0.21190888087062867</v>
      </c>
      <c r="J4540" s="35">
        <v>-3.4720602093755303E-3</v>
      </c>
      <c r="K4540" s="35">
        <v>1.0380712936961827</v>
      </c>
      <c r="L4540" s="35">
        <v>7.8764044449245985</v>
      </c>
      <c r="M4540" s="58" t="s">
        <v>24</v>
      </c>
      <c r="N4540" s="7">
        <v>9.5</v>
      </c>
      <c r="O4540" s="7" t="s">
        <v>179</v>
      </c>
      <c r="P4540" s="7" t="s">
        <v>179</v>
      </c>
    </row>
    <row r="4541" spans="1:16" x14ac:dyDescent="0.25">
      <c r="A4541" t="s">
        <v>181</v>
      </c>
      <c r="B4541" t="s">
        <v>218</v>
      </c>
      <c r="C4541" s="7" t="s">
        <v>162</v>
      </c>
      <c r="D4541" t="s">
        <v>121</v>
      </c>
      <c r="F4541" s="35">
        <v>4.5</v>
      </c>
      <c r="G4541" s="35">
        <v>-6.1266731905016991</v>
      </c>
      <c r="H4541" s="35">
        <v>-2.048500805952866</v>
      </c>
      <c r="I4541" s="35">
        <v>0.20642048262774748</v>
      </c>
      <c r="J4541" s="35">
        <v>2.7963851170606747E-3</v>
      </c>
      <c r="K4541" s="35">
        <v>1.0380649208612429</v>
      </c>
      <c r="L4541" s="35">
        <v>8.8475828966333072</v>
      </c>
      <c r="M4541" s="58" t="s">
        <v>24</v>
      </c>
      <c r="N4541" s="7">
        <v>9.5</v>
      </c>
      <c r="O4541" s="7" t="s">
        <v>179</v>
      </c>
      <c r="P4541" s="7" t="s">
        <v>179</v>
      </c>
    </row>
    <row r="4542" spans="1:16" x14ac:dyDescent="0.25">
      <c r="A4542" t="s">
        <v>181</v>
      </c>
      <c r="B4542" t="s">
        <v>218</v>
      </c>
      <c r="C4542" s="7" t="s">
        <v>162</v>
      </c>
      <c r="D4542" t="s">
        <v>121</v>
      </c>
      <c r="F4542" s="35">
        <v>8.9965005885644871</v>
      </c>
      <c r="G4542" s="35">
        <v>-4.297052496815521</v>
      </c>
      <c r="H4542" s="35">
        <v>6.261032281714308</v>
      </c>
      <c r="I4542" s="35">
        <v>0.20642048262774801</v>
      </c>
      <c r="J4542" s="35">
        <v>2.7963851170606747E-3</v>
      </c>
      <c r="K4542" s="35">
        <v>0.10989509923380955</v>
      </c>
      <c r="L4542" s="35">
        <v>-0.62324223342059537</v>
      </c>
      <c r="M4542" s="58" t="s">
        <v>23</v>
      </c>
      <c r="N4542" s="7">
        <v>9.5</v>
      </c>
      <c r="O4542" s="7" t="s">
        <v>179</v>
      </c>
      <c r="P4542" s="7" t="s">
        <v>179</v>
      </c>
    </row>
    <row r="4543" spans="1:16" x14ac:dyDescent="0.25">
      <c r="A4543" t="s">
        <v>181</v>
      </c>
      <c r="B4543" t="s">
        <v>218</v>
      </c>
      <c r="C4543" s="7" t="s">
        <v>162</v>
      </c>
      <c r="D4543" t="s">
        <v>122</v>
      </c>
      <c r="F4543" s="35">
        <v>0</v>
      </c>
      <c r="G4543" s="35">
        <v>45.276219349504323</v>
      </c>
      <c r="H4543" s="35">
        <v>-5.8514351728494027</v>
      </c>
      <c r="I4543" s="35">
        <v>4.3122560586305942</v>
      </c>
      <c r="J4543" s="35">
        <v>3.6420610765987389E-3</v>
      </c>
      <c r="K4543" s="35">
        <v>6.8771511160404675</v>
      </c>
      <c r="L4543" s="35">
        <v>12.557165627404597</v>
      </c>
      <c r="M4543" s="58" t="s">
        <v>22</v>
      </c>
      <c r="N4543" s="7">
        <v>9.5</v>
      </c>
      <c r="O4543" s="7" t="s">
        <v>179</v>
      </c>
      <c r="P4543" s="7" t="s">
        <v>179</v>
      </c>
    </row>
    <row r="4544" spans="1:16" x14ac:dyDescent="0.25">
      <c r="A4544" t="s">
        <v>181</v>
      </c>
      <c r="B4544" t="s">
        <v>218</v>
      </c>
      <c r="C4544" s="7" t="s">
        <v>162</v>
      </c>
      <c r="D4544" t="s">
        <v>122</v>
      </c>
      <c r="F4544" s="35">
        <v>2</v>
      </c>
      <c r="G4544" s="35">
        <v>46.090016949504331</v>
      </c>
      <c r="H4544" s="35">
        <v>2.5485648271505994</v>
      </c>
      <c r="I4544" s="35">
        <v>4.3122560586305951</v>
      </c>
      <c r="J4544" s="35">
        <v>3.6420610765987389E-3</v>
      </c>
      <c r="K4544" s="35">
        <v>-1.7473610012207215</v>
      </c>
      <c r="L4544" s="35">
        <v>15.860035973103408</v>
      </c>
      <c r="M4544" s="58" t="s">
        <v>22</v>
      </c>
      <c r="N4544" s="7">
        <v>9.5</v>
      </c>
      <c r="O4544" s="7" t="s">
        <v>179</v>
      </c>
      <c r="P4544" s="7" t="s">
        <v>179</v>
      </c>
    </row>
    <row r="4545" spans="1:16" x14ac:dyDescent="0.25">
      <c r="A4545" t="s">
        <v>181</v>
      </c>
      <c r="B4545" t="s">
        <v>218</v>
      </c>
      <c r="C4545" s="7" t="s">
        <v>162</v>
      </c>
      <c r="D4545" t="s">
        <v>122</v>
      </c>
      <c r="F4545" s="35">
        <v>2</v>
      </c>
      <c r="G4545" s="35">
        <v>41.844155838621425</v>
      </c>
      <c r="H4545" s="35">
        <v>2.548553286056856</v>
      </c>
      <c r="I4545" s="35">
        <v>-0.23767062543468223</v>
      </c>
      <c r="J4545" s="35">
        <v>3.6851056974637128E-3</v>
      </c>
      <c r="K4545" s="35">
        <v>-1.7473610012207257</v>
      </c>
      <c r="L4545" s="35">
        <v>15.86008188736575</v>
      </c>
      <c r="M4545" s="58" t="s">
        <v>22</v>
      </c>
      <c r="N4545" s="7">
        <v>9.5</v>
      </c>
      <c r="O4545" s="7" t="s">
        <v>179</v>
      </c>
      <c r="P4545" s="7" t="s">
        <v>179</v>
      </c>
    </row>
    <row r="4546" spans="1:16" x14ac:dyDescent="0.25">
      <c r="A4546" t="s">
        <v>181</v>
      </c>
      <c r="B4546" t="s">
        <v>218</v>
      </c>
      <c r="C4546" s="7" t="s">
        <v>162</v>
      </c>
      <c r="D4546" t="s">
        <v>122</v>
      </c>
      <c r="F4546" s="35">
        <v>4.5</v>
      </c>
      <c r="G4546" s="35">
        <v>42.861402838621416</v>
      </c>
      <c r="H4546" s="35">
        <v>13.048553286056858</v>
      </c>
      <c r="I4546" s="35">
        <v>-0.23767062543468156</v>
      </c>
      <c r="J4546" s="35">
        <v>3.6851056974637128E-3</v>
      </c>
      <c r="K4546" s="35">
        <v>-1.1531844376340208</v>
      </c>
      <c r="L4546" s="35">
        <v>-3.6363013277763825</v>
      </c>
      <c r="M4546" s="58" t="s">
        <v>24</v>
      </c>
      <c r="N4546" s="7">
        <v>9.5</v>
      </c>
      <c r="O4546" s="7" t="s">
        <v>179</v>
      </c>
      <c r="P4546" s="7" t="s">
        <v>179</v>
      </c>
    </row>
    <row r="4547" spans="1:16" x14ac:dyDescent="0.25">
      <c r="A4547" t="s">
        <v>181</v>
      </c>
      <c r="B4547" t="s">
        <v>218</v>
      </c>
      <c r="C4547" s="7" t="s">
        <v>162</v>
      </c>
      <c r="D4547" t="s">
        <v>122</v>
      </c>
      <c r="F4547" s="35">
        <v>4.5</v>
      </c>
      <c r="G4547" s="35">
        <v>43.638351480007351</v>
      </c>
      <c r="H4547" s="35">
        <v>13.048540689419337</v>
      </c>
      <c r="I4547" s="35">
        <v>-0.23169529509495415</v>
      </c>
      <c r="J4547" s="35">
        <v>-2.9958916189053511E-3</v>
      </c>
      <c r="K4547" s="35">
        <v>-1.1531791431236431</v>
      </c>
      <c r="L4547" s="35">
        <v>-2.6651189045412869</v>
      </c>
      <c r="M4547" s="58" t="s">
        <v>24</v>
      </c>
      <c r="N4547" s="7">
        <v>9.5</v>
      </c>
      <c r="O4547" s="7" t="s">
        <v>179</v>
      </c>
      <c r="P4547" s="7" t="s">
        <v>179</v>
      </c>
    </row>
    <row r="4548" spans="1:16" x14ac:dyDescent="0.25">
      <c r="A4548" t="s">
        <v>181</v>
      </c>
      <c r="B4548" t="s">
        <v>218</v>
      </c>
      <c r="C4548" s="7" t="s">
        <v>162</v>
      </c>
      <c r="D4548" t="s">
        <v>122</v>
      </c>
      <c r="F4548" s="35">
        <v>8.9965005885644871</v>
      </c>
      <c r="G4548" s="35">
        <v>45.467972173693532</v>
      </c>
      <c r="H4548" s="35">
        <v>31.933843161390193</v>
      </c>
      <c r="I4548" s="35">
        <v>-0.23169529509495299</v>
      </c>
      <c r="J4548" s="35">
        <v>-2.9958916189053511E-3</v>
      </c>
      <c r="K4548" s="35">
        <v>-0.11136111236156193</v>
      </c>
      <c r="L4548" s="35">
        <v>-103.79677663464069</v>
      </c>
      <c r="M4548" s="58" t="s">
        <v>23</v>
      </c>
      <c r="N4548" s="7">
        <v>9.5</v>
      </c>
      <c r="O4548" s="7" t="s">
        <v>179</v>
      </c>
      <c r="P4548" s="7" t="s">
        <v>179</v>
      </c>
    </row>
    <row r="4549" spans="1:16" x14ac:dyDescent="0.25">
      <c r="A4549" t="s">
        <v>181</v>
      </c>
      <c r="B4549" t="s">
        <v>218</v>
      </c>
      <c r="C4549" s="7" t="s">
        <v>162</v>
      </c>
      <c r="D4549" t="s">
        <v>123</v>
      </c>
      <c r="F4549" s="35">
        <v>0</v>
      </c>
      <c r="G4549" s="35">
        <v>3.7874632923604215</v>
      </c>
      <c r="H4549" s="35">
        <v>-10.357353438776672</v>
      </c>
      <c r="I4549" s="35">
        <v>4.4101187009620757</v>
      </c>
      <c r="J4549" s="35">
        <v>3.6973171972968853E-3</v>
      </c>
      <c r="K4549" s="35">
        <v>7.0581916543800798</v>
      </c>
      <c r="L4549" s="35">
        <v>-19.455404861737165</v>
      </c>
      <c r="M4549" s="58" t="s">
        <v>22</v>
      </c>
      <c r="N4549" s="7">
        <v>9.5</v>
      </c>
      <c r="O4549" s="7" t="s">
        <v>179</v>
      </c>
      <c r="P4549" s="7" t="s">
        <v>179</v>
      </c>
    </row>
    <row r="4550" spans="1:16" x14ac:dyDescent="0.25">
      <c r="A4550" t="s">
        <v>181</v>
      </c>
      <c r="B4550" t="s">
        <v>218</v>
      </c>
      <c r="C4550" s="7" t="s">
        <v>162</v>
      </c>
      <c r="D4550" t="s">
        <v>123</v>
      </c>
      <c r="F4550" s="35">
        <v>2</v>
      </c>
      <c r="G4550" s="35">
        <v>4.6012608923604263</v>
      </c>
      <c r="H4550" s="35">
        <v>-6.6613534387766729</v>
      </c>
      <c r="I4550" s="35">
        <v>4.4101187009620757</v>
      </c>
      <c r="J4550" s="35">
        <v>3.6973171972968853E-3</v>
      </c>
      <c r="K4550" s="35">
        <v>-1.7620457475440714</v>
      </c>
      <c r="L4550" s="35">
        <v>-2.4366979841838177</v>
      </c>
      <c r="M4550" s="58" t="s">
        <v>22</v>
      </c>
      <c r="N4550" s="7">
        <v>9.5</v>
      </c>
      <c r="O4550" s="7" t="s">
        <v>179</v>
      </c>
      <c r="P4550" s="7" t="s">
        <v>179</v>
      </c>
    </row>
    <row r="4551" spans="1:16" x14ac:dyDescent="0.25">
      <c r="A4551" t="s">
        <v>181</v>
      </c>
      <c r="B4551" t="s">
        <v>218</v>
      </c>
      <c r="C4551" s="7" t="s">
        <v>162</v>
      </c>
      <c r="D4551" t="s">
        <v>123</v>
      </c>
      <c r="F4551" s="35">
        <v>2</v>
      </c>
      <c r="G4551" s="35">
        <v>0.26180568518940706</v>
      </c>
      <c r="H4551" s="35">
        <v>-6.6613545525618667</v>
      </c>
      <c r="I4551" s="35">
        <v>-0.23964384012795095</v>
      </c>
      <c r="J4551" s="35">
        <v>3.6995488195023952E-3</v>
      </c>
      <c r="K4551" s="35">
        <v>-1.7620457475440692</v>
      </c>
      <c r="L4551" s="35">
        <v>-2.4366956037868479</v>
      </c>
      <c r="M4551" s="58" t="s">
        <v>22</v>
      </c>
      <c r="N4551" s="7">
        <v>9.5</v>
      </c>
      <c r="O4551" s="7" t="s">
        <v>179</v>
      </c>
      <c r="P4551" s="7" t="s">
        <v>179</v>
      </c>
    </row>
    <row r="4552" spans="1:16" x14ac:dyDescent="0.25">
      <c r="A4552" t="s">
        <v>181</v>
      </c>
      <c r="B4552" t="s">
        <v>218</v>
      </c>
      <c r="C4552" s="7" t="s">
        <v>162</v>
      </c>
      <c r="D4552" t="s">
        <v>123</v>
      </c>
      <c r="F4552" s="35">
        <v>4.5</v>
      </c>
      <c r="G4552" s="35">
        <v>1.2790526851894026</v>
      </c>
      <c r="H4552" s="35">
        <v>-2.0413545525618662</v>
      </c>
      <c r="I4552" s="35">
        <v>-0.23964384012795067</v>
      </c>
      <c r="J4552" s="35">
        <v>3.6995488195023952E-3</v>
      </c>
      <c r="K4552" s="35">
        <v>-1.1629361472241919</v>
      </c>
      <c r="L4552" s="35">
        <v>8.4416907776178221</v>
      </c>
      <c r="M4552" s="58" t="s">
        <v>24</v>
      </c>
      <c r="N4552" s="7">
        <v>9.5</v>
      </c>
      <c r="O4552" s="7" t="s">
        <v>179</v>
      </c>
      <c r="P4552" s="7" t="s">
        <v>179</v>
      </c>
    </row>
    <row r="4553" spans="1:16" x14ac:dyDescent="0.25">
      <c r="A4553" t="s">
        <v>181</v>
      </c>
      <c r="B4553" t="s">
        <v>218</v>
      </c>
      <c r="C4553" s="7" t="s">
        <v>162</v>
      </c>
      <c r="D4553" t="s">
        <v>123</v>
      </c>
      <c r="F4553" s="35">
        <v>4.5</v>
      </c>
      <c r="G4553" s="35">
        <v>2.0560014954340362</v>
      </c>
      <c r="H4553" s="35">
        <v>-2.0413721919941743</v>
      </c>
      <c r="I4553" s="35">
        <v>-0.23366101209686896</v>
      </c>
      <c r="J4553" s="35">
        <v>-3.0032758163376352E-3</v>
      </c>
      <c r="K4553" s="35">
        <v>-1.1629302754494408</v>
      </c>
      <c r="L4553" s="35">
        <v>9.4128737166027356</v>
      </c>
      <c r="M4553" s="58" t="s">
        <v>24</v>
      </c>
      <c r="N4553" s="7">
        <v>9.5</v>
      </c>
      <c r="O4553" s="7" t="s">
        <v>179</v>
      </c>
      <c r="P4553" s="7" t="s">
        <v>179</v>
      </c>
    </row>
    <row r="4554" spans="1:16" x14ac:dyDescent="0.25">
      <c r="A4554" t="s">
        <v>181</v>
      </c>
      <c r="B4554" t="s">
        <v>218</v>
      </c>
      <c r="C4554" s="7" t="s">
        <v>162</v>
      </c>
      <c r="D4554" t="s">
        <v>123</v>
      </c>
      <c r="F4554" s="35">
        <v>8.9965005885644871</v>
      </c>
      <c r="G4554" s="35">
        <v>3.8856221891202143</v>
      </c>
      <c r="H4554" s="35">
        <v>6.2681608956730006</v>
      </c>
      <c r="I4554" s="35">
        <v>-0.23366101209686846</v>
      </c>
      <c r="J4554" s="35">
        <v>-3.0032758163376352E-3</v>
      </c>
      <c r="K4554" s="35">
        <v>-0.11227339703129691</v>
      </c>
      <c r="L4554" s="35">
        <v>-9.0005230312064269E-2</v>
      </c>
      <c r="M4554" s="58" t="s">
        <v>23</v>
      </c>
      <c r="N4554" s="7">
        <v>9.5</v>
      </c>
      <c r="O4554" s="7" t="s">
        <v>179</v>
      </c>
      <c r="P4554" s="7" t="s">
        <v>179</v>
      </c>
    </row>
    <row r="4555" spans="1:16" x14ac:dyDescent="0.25">
      <c r="A4555" t="s">
        <v>181</v>
      </c>
      <c r="B4555" t="s">
        <v>218</v>
      </c>
      <c r="C4555" s="7" t="s">
        <v>162</v>
      </c>
      <c r="D4555" t="s">
        <v>124</v>
      </c>
      <c r="F4555" s="35">
        <v>0</v>
      </c>
      <c r="G4555" s="35">
        <v>46.974144402571405</v>
      </c>
      <c r="H4555" s="35">
        <v>41.031846238955197</v>
      </c>
      <c r="I4555" s="35">
        <v>-0.60801356464418155</v>
      </c>
      <c r="J4555" s="35">
        <v>-3.8594211550183153E-4</v>
      </c>
      <c r="K4555" s="35">
        <v>-1.025113361324963</v>
      </c>
      <c r="L4555" s="35">
        <v>122.97360596510173</v>
      </c>
      <c r="M4555" s="58" t="s">
        <v>22</v>
      </c>
      <c r="N4555" s="7">
        <v>9.5</v>
      </c>
      <c r="O4555" s="7" t="s">
        <v>179</v>
      </c>
      <c r="P4555" s="7" t="s">
        <v>179</v>
      </c>
    </row>
    <row r="4556" spans="1:16" x14ac:dyDescent="0.25">
      <c r="A4556" t="s">
        <v>181</v>
      </c>
      <c r="B4556" t="s">
        <v>218</v>
      </c>
      <c r="C4556" s="7" t="s">
        <v>162</v>
      </c>
      <c r="D4556" t="s">
        <v>124</v>
      </c>
      <c r="F4556" s="35">
        <v>2</v>
      </c>
      <c r="G4556" s="35">
        <v>47.787942002571413</v>
      </c>
      <c r="H4556" s="35">
        <v>34.983846238955202</v>
      </c>
      <c r="I4556" s="35">
        <v>-0.60801356464418188</v>
      </c>
      <c r="J4556" s="35">
        <v>-3.8594211550183153E-4</v>
      </c>
      <c r="K4556" s="35">
        <v>0.1909137679634004</v>
      </c>
      <c r="L4556" s="35">
        <v>46.957913487191327</v>
      </c>
      <c r="M4556" s="58" t="s">
        <v>22</v>
      </c>
      <c r="N4556" s="7">
        <v>9.5</v>
      </c>
      <c r="O4556" s="7" t="s">
        <v>179</v>
      </c>
      <c r="P4556" s="7" t="s">
        <v>179</v>
      </c>
    </row>
    <row r="4557" spans="1:16" x14ac:dyDescent="0.25">
      <c r="A4557" t="s">
        <v>181</v>
      </c>
      <c r="B4557" t="s">
        <v>218</v>
      </c>
      <c r="C4557" s="7" t="s">
        <v>162</v>
      </c>
      <c r="D4557" t="s">
        <v>124</v>
      </c>
      <c r="F4557" s="35">
        <v>2</v>
      </c>
      <c r="G4557" s="35">
        <v>48.401121365205256</v>
      </c>
      <c r="H4557" s="35">
        <v>34.983832676003871</v>
      </c>
      <c r="I4557" s="35">
        <v>2.5039082122560681E-2</v>
      </c>
      <c r="J4557" s="35">
        <v>-3.2300134137372454E-4</v>
      </c>
      <c r="K4557" s="35">
        <v>0.19091376796340023</v>
      </c>
      <c r="L4557" s="35">
        <v>46.95798062401699</v>
      </c>
      <c r="M4557" s="58" t="s">
        <v>22</v>
      </c>
      <c r="N4557" s="7">
        <v>9.5</v>
      </c>
      <c r="O4557" s="7" t="s">
        <v>179</v>
      </c>
      <c r="P4557" s="7" t="s">
        <v>179</v>
      </c>
    </row>
    <row r="4558" spans="1:16" x14ac:dyDescent="0.25">
      <c r="A4558" t="s">
        <v>181</v>
      </c>
      <c r="B4558" t="s">
        <v>218</v>
      </c>
      <c r="C4558" s="7" t="s">
        <v>162</v>
      </c>
      <c r="D4558" t="s">
        <v>124</v>
      </c>
      <c r="F4558" s="35">
        <v>4.5</v>
      </c>
      <c r="G4558" s="35">
        <v>49.418368365205254</v>
      </c>
      <c r="H4558" s="35">
        <v>27.423832676003876</v>
      </c>
      <c r="I4558" s="35">
        <v>2.503908212256022E-2</v>
      </c>
      <c r="J4558" s="35">
        <v>-3.2300134137372454E-4</v>
      </c>
      <c r="K4558" s="35">
        <v>0.1283160626569991</v>
      </c>
      <c r="L4558" s="35">
        <v>-31.051601065992688</v>
      </c>
      <c r="M4558" s="58" t="s">
        <v>24</v>
      </c>
      <c r="N4558" s="7">
        <v>9.5</v>
      </c>
      <c r="O4558" s="7" t="s">
        <v>179</v>
      </c>
      <c r="P4558" s="7" t="s">
        <v>179</v>
      </c>
    </row>
    <row r="4559" spans="1:16" x14ac:dyDescent="0.25">
      <c r="A4559" t="s">
        <v>181</v>
      </c>
      <c r="B4559" t="s">
        <v>218</v>
      </c>
      <c r="C4559" s="7" t="s">
        <v>162</v>
      </c>
      <c r="D4559" t="s">
        <v>124</v>
      </c>
      <c r="F4559" s="35">
        <v>4.5</v>
      </c>
      <c r="G4559" s="35">
        <v>50.19531484670398</v>
      </c>
      <c r="H4559" s="35">
        <v>27.423851241685938</v>
      </c>
      <c r="I4559" s="35">
        <v>2.4527606814101044E-2</v>
      </c>
      <c r="J4559" s="35">
        <v>3.0711195392430971E-4</v>
      </c>
      <c r="K4559" s="35">
        <v>0.12831334697048108</v>
      </c>
      <c r="L4559" s="35">
        <v>-30.08041982163369</v>
      </c>
      <c r="M4559" s="58" t="s">
        <v>24</v>
      </c>
      <c r="N4559" s="7">
        <v>9.5</v>
      </c>
      <c r="O4559" s="7" t="s">
        <v>179</v>
      </c>
      <c r="P4559" s="7" t="s">
        <v>179</v>
      </c>
    </row>
    <row r="4560" spans="1:16" x14ac:dyDescent="0.25">
      <c r="A4560" t="s">
        <v>181</v>
      </c>
      <c r="B4560" t="s">
        <v>218</v>
      </c>
      <c r="C4560" s="7" t="s">
        <v>162</v>
      </c>
      <c r="D4560" t="s">
        <v>124</v>
      </c>
      <c r="F4560" s="35">
        <v>8.9965005885644871</v>
      </c>
      <c r="G4560" s="35">
        <v>52.024935540390153</v>
      </c>
      <c r="H4560" s="35">
        <v>13.826433461866936</v>
      </c>
      <c r="I4560" s="35">
        <v>2.4527606814100211E-2</v>
      </c>
      <c r="J4560" s="35">
        <v>3.0711195392430971E-4</v>
      </c>
      <c r="K4560" s="35">
        <v>1.802494849479927E-2</v>
      </c>
      <c r="L4560" s="35">
        <v>-122.82138454562282</v>
      </c>
      <c r="M4560" s="58" t="s">
        <v>23</v>
      </c>
      <c r="N4560" s="7">
        <v>9.5</v>
      </c>
      <c r="O4560" s="7" t="s">
        <v>179</v>
      </c>
      <c r="P4560" s="7" t="s">
        <v>179</v>
      </c>
    </row>
    <row r="4561" spans="1:16" x14ac:dyDescent="0.25">
      <c r="A4561" t="s">
        <v>181</v>
      </c>
      <c r="B4561" t="s">
        <v>218</v>
      </c>
      <c r="C4561" s="7" t="s">
        <v>162</v>
      </c>
      <c r="D4561" t="s">
        <v>125</v>
      </c>
      <c r="F4561" s="35">
        <v>0</v>
      </c>
      <c r="G4561" s="35">
        <v>-71.041377238233665</v>
      </c>
      <c r="H4561" s="35">
        <v>15.384712439464467</v>
      </c>
      <c r="I4561" s="35">
        <v>-0.90028247943099371</v>
      </c>
      <c r="J4561" s="35">
        <v>-5.971466769314587E-4</v>
      </c>
      <c r="K4561" s="35">
        <v>-1.4481908841606892</v>
      </c>
      <c r="L4561" s="35">
        <v>47.036657464683387</v>
      </c>
      <c r="M4561" s="58" t="s">
        <v>22</v>
      </c>
      <c r="N4561" s="7">
        <v>9.5</v>
      </c>
      <c r="O4561" s="7" t="s">
        <v>179</v>
      </c>
      <c r="P4561" s="7" t="s">
        <v>179</v>
      </c>
    </row>
    <row r="4562" spans="1:16" x14ac:dyDescent="0.25">
      <c r="A4562" t="s">
        <v>181</v>
      </c>
      <c r="B4562" t="s">
        <v>218</v>
      </c>
      <c r="C4562" s="7" t="s">
        <v>162</v>
      </c>
      <c r="D4562" t="s">
        <v>125</v>
      </c>
      <c r="F4562" s="35">
        <v>2</v>
      </c>
      <c r="G4562" s="35">
        <v>-70.227579638233649</v>
      </c>
      <c r="H4562" s="35">
        <v>4.6327124394644663</v>
      </c>
      <c r="I4562" s="35">
        <v>-0.90028247943099449</v>
      </c>
      <c r="J4562" s="35">
        <v>-5.971466769314587E-4</v>
      </c>
      <c r="K4562" s="35">
        <v>0.35237407470129894</v>
      </c>
      <c r="L4562" s="35">
        <v>27.019232585754441</v>
      </c>
      <c r="M4562" s="58" t="s">
        <v>22</v>
      </c>
      <c r="N4562" s="7">
        <v>9.5</v>
      </c>
      <c r="O4562" s="7" t="s">
        <v>179</v>
      </c>
      <c r="P4562" s="7" t="s">
        <v>179</v>
      </c>
    </row>
    <row r="4563" spans="1:16" x14ac:dyDescent="0.25">
      <c r="A4563" t="s">
        <v>181</v>
      </c>
      <c r="B4563" t="s">
        <v>218</v>
      </c>
      <c r="C4563" s="7" t="s">
        <v>162</v>
      </c>
      <c r="D4563" t="s">
        <v>125</v>
      </c>
      <c r="F4563" s="35">
        <v>2</v>
      </c>
      <c r="G4563" s="35">
        <v>-69.319895516275963</v>
      </c>
      <c r="H4563" s="35">
        <v>4.6327215656994909</v>
      </c>
      <c r="I4563" s="35">
        <v>4.6903993539898742E-2</v>
      </c>
      <c r="J4563" s="35">
        <v>-6.9087912126724238E-4</v>
      </c>
      <c r="K4563" s="35">
        <v>0.35237407470129956</v>
      </c>
      <c r="L4563" s="35">
        <v>27.0191326044805</v>
      </c>
      <c r="M4563" s="58" t="s">
        <v>22</v>
      </c>
      <c r="N4563" s="7">
        <v>9.5</v>
      </c>
      <c r="O4563" s="7" t="s">
        <v>179</v>
      </c>
      <c r="P4563" s="7" t="s">
        <v>179</v>
      </c>
    </row>
    <row r="4564" spans="1:16" x14ac:dyDescent="0.25">
      <c r="A4564" t="s">
        <v>181</v>
      </c>
      <c r="B4564" t="s">
        <v>218</v>
      </c>
      <c r="C4564" s="7" t="s">
        <v>162</v>
      </c>
      <c r="D4564" t="s">
        <v>125</v>
      </c>
      <c r="F4564" s="35">
        <v>4.5</v>
      </c>
      <c r="G4564" s="35">
        <v>-68.302648516275966</v>
      </c>
      <c r="H4564" s="35">
        <v>-8.8072784343005086</v>
      </c>
      <c r="I4564" s="35">
        <v>4.6903993539897916E-2</v>
      </c>
      <c r="J4564" s="35">
        <v>-6.9087912126724238E-4</v>
      </c>
      <c r="K4564" s="35">
        <v>0.23511409085155371</v>
      </c>
      <c r="L4564" s="35">
        <v>32.23732869023177</v>
      </c>
      <c r="M4564" s="58" t="s">
        <v>24</v>
      </c>
      <c r="N4564" s="7">
        <v>9.5</v>
      </c>
      <c r="O4564" s="7" t="s">
        <v>179</v>
      </c>
      <c r="P4564" s="7" t="s">
        <v>179</v>
      </c>
    </row>
    <row r="4565" spans="1:16" x14ac:dyDescent="0.25">
      <c r="A4565" t="s">
        <v>181</v>
      </c>
      <c r="B4565" t="s">
        <v>218</v>
      </c>
      <c r="C4565" s="7" t="s">
        <v>162</v>
      </c>
      <c r="D4565" t="s">
        <v>125</v>
      </c>
      <c r="F4565" s="35">
        <v>4.5</v>
      </c>
      <c r="G4565" s="35">
        <v>-67.525701950710726</v>
      </c>
      <c r="H4565" s="35">
        <v>-8.8072470726678898</v>
      </c>
      <c r="I4565" s="35">
        <v>4.5819918190416274E-2</v>
      </c>
      <c r="J4565" s="35">
        <v>6.4196221797006479E-4</v>
      </c>
      <c r="K4565" s="35">
        <v>0.23511169044963354</v>
      </c>
      <c r="L4565" s="35">
        <v>33.208510718466684</v>
      </c>
      <c r="M4565" s="58" t="s">
        <v>24</v>
      </c>
      <c r="N4565" s="7">
        <v>9.5</v>
      </c>
      <c r="O4565" s="7" t="s">
        <v>179</v>
      </c>
      <c r="P4565" s="7" t="s">
        <v>179</v>
      </c>
    </row>
    <row r="4566" spans="1:16" x14ac:dyDescent="0.25">
      <c r="A4566" t="s">
        <v>181</v>
      </c>
      <c r="B4566" t="s">
        <v>218</v>
      </c>
      <c r="C4566" s="7" t="s">
        <v>162</v>
      </c>
      <c r="D4566" t="s">
        <v>125</v>
      </c>
      <c r="F4566" s="35">
        <v>8.9965005885644871</v>
      </c>
      <c r="G4566" s="35">
        <v>-65.696081257024531</v>
      </c>
      <c r="H4566" s="35">
        <v>-32.980434236790579</v>
      </c>
      <c r="I4566" s="35">
        <v>4.5819918190414796E-2</v>
      </c>
      <c r="J4566" s="35">
        <v>6.4196221797006479E-4</v>
      </c>
      <c r="K4566" s="35">
        <v>2.9082401338453419E-2</v>
      </c>
      <c r="L4566" s="35">
        <v>127.15767751982929</v>
      </c>
      <c r="M4566" s="58" t="s">
        <v>23</v>
      </c>
      <c r="N4566" s="7">
        <v>9.5</v>
      </c>
      <c r="O4566" s="7" t="s">
        <v>179</v>
      </c>
      <c r="P4566" s="7" t="s">
        <v>179</v>
      </c>
    </row>
    <row r="4567" spans="1:16" x14ac:dyDescent="0.25">
      <c r="A4567" t="s">
        <v>181</v>
      </c>
      <c r="B4567" t="s">
        <v>218</v>
      </c>
      <c r="C4567" s="7" t="s">
        <v>162</v>
      </c>
      <c r="D4567" t="s">
        <v>126</v>
      </c>
      <c r="F4567" s="35">
        <v>0</v>
      </c>
      <c r="G4567" s="35">
        <v>30.190529502671353</v>
      </c>
      <c r="H4567" s="35">
        <v>-7.1292445758894267</v>
      </c>
      <c r="I4567" s="35">
        <v>-0.58902379148286743</v>
      </c>
      <c r="J4567" s="35">
        <v>-3.8857432833630875E-4</v>
      </c>
      <c r="K4567" s="35">
        <v>-0.98446188440803928</v>
      </c>
      <c r="L4567" s="35">
        <v>-16.620430859744062</v>
      </c>
      <c r="M4567" s="58" t="s">
        <v>22</v>
      </c>
      <c r="N4567" s="7">
        <v>9.5</v>
      </c>
      <c r="O4567" s="7" t="s">
        <v>179</v>
      </c>
      <c r="P4567" s="7" t="s">
        <v>179</v>
      </c>
    </row>
    <row r="4568" spans="1:16" x14ac:dyDescent="0.25">
      <c r="A4568" t="s">
        <v>181</v>
      </c>
      <c r="B4568" t="s">
        <v>218</v>
      </c>
      <c r="C4568" s="7" t="s">
        <v>162</v>
      </c>
      <c r="D4568" t="s">
        <v>126</v>
      </c>
      <c r="F4568" s="35">
        <v>2</v>
      </c>
      <c r="G4568" s="35">
        <v>31.004327102671358</v>
      </c>
      <c r="H4568" s="35">
        <v>-0.7452445758894245</v>
      </c>
      <c r="I4568" s="35">
        <v>-0.58902379148286699</v>
      </c>
      <c r="J4568" s="35">
        <v>-3.8857432833630875E-4</v>
      </c>
      <c r="K4568" s="35">
        <v>0.19358569855769503</v>
      </c>
      <c r="L4568" s="35">
        <v>-8.7459417079652102</v>
      </c>
      <c r="M4568" s="58" t="s">
        <v>22</v>
      </c>
      <c r="N4568" s="7">
        <v>9.5</v>
      </c>
      <c r="O4568" s="7" t="s">
        <v>179</v>
      </c>
      <c r="P4568" s="7" t="s">
        <v>179</v>
      </c>
    </row>
    <row r="4569" spans="1:16" x14ac:dyDescent="0.25">
      <c r="A4569" t="s">
        <v>181</v>
      </c>
      <c r="B4569" t="s">
        <v>218</v>
      </c>
      <c r="C4569" s="7" t="s">
        <v>162</v>
      </c>
      <c r="D4569" t="s">
        <v>126</v>
      </c>
      <c r="F4569" s="35">
        <v>2</v>
      </c>
      <c r="G4569" s="35">
        <v>31.600063546735189</v>
      </c>
      <c r="H4569" s="35">
        <v>-0.74525079370407532</v>
      </c>
      <c r="I4569" s="35">
        <v>2.5422136710756941E-2</v>
      </c>
      <c r="J4569" s="35">
        <v>-3.4090599034024592E-4</v>
      </c>
      <c r="K4569" s="35">
        <v>0.19358569855769545</v>
      </c>
      <c r="L4569" s="35">
        <v>-8.74589086173801</v>
      </c>
      <c r="M4569" s="58" t="s">
        <v>22</v>
      </c>
      <c r="N4569" s="7">
        <v>9.5</v>
      </c>
      <c r="O4569" s="7" t="s">
        <v>179</v>
      </c>
      <c r="P4569" s="7" t="s">
        <v>179</v>
      </c>
    </row>
    <row r="4570" spans="1:16" x14ac:dyDescent="0.25">
      <c r="A4570" t="s">
        <v>181</v>
      </c>
      <c r="B4570" t="s">
        <v>218</v>
      </c>
      <c r="C4570" s="7" t="s">
        <v>162</v>
      </c>
      <c r="D4570" t="s">
        <v>126</v>
      </c>
      <c r="F4570" s="35">
        <v>4.5</v>
      </c>
      <c r="G4570" s="35">
        <v>32.617310546735183</v>
      </c>
      <c r="H4570" s="35">
        <v>7.2347492062959269</v>
      </c>
      <c r="I4570" s="35">
        <v>2.542213671075743E-2</v>
      </c>
      <c r="J4570" s="35">
        <v>-3.4090599034024592E-4</v>
      </c>
      <c r="K4570" s="35">
        <v>0.13003035678080249</v>
      </c>
      <c r="L4570" s="35">
        <v>-16.857763877477819</v>
      </c>
      <c r="M4570" s="58" t="s">
        <v>24</v>
      </c>
      <c r="N4570" s="7">
        <v>9.5</v>
      </c>
      <c r="O4570" s="7" t="s">
        <v>179</v>
      </c>
      <c r="P4570" s="7" t="s">
        <v>179</v>
      </c>
    </row>
    <row r="4571" spans="1:16" x14ac:dyDescent="0.25">
      <c r="A4571" t="s">
        <v>181</v>
      </c>
      <c r="B4571" t="s">
        <v>218</v>
      </c>
      <c r="C4571" s="7" t="s">
        <v>162</v>
      </c>
      <c r="D4571" t="s">
        <v>126</v>
      </c>
      <c r="F4571" s="35">
        <v>4.5</v>
      </c>
      <c r="G4571" s="35">
        <v>33.394257094900581</v>
      </c>
      <c r="H4571" s="35">
        <v>7.2347589892199595</v>
      </c>
      <c r="I4571" s="35">
        <v>2.4879352427435664E-2</v>
      </c>
      <c r="J4571" s="35">
        <v>2.9026797306203923E-4</v>
      </c>
      <c r="K4571" s="35">
        <v>0.13002786184791493</v>
      </c>
      <c r="L4571" s="35">
        <v>-15.886582800764378</v>
      </c>
      <c r="M4571" s="58" t="s">
        <v>24</v>
      </c>
      <c r="N4571" s="7">
        <v>9.5</v>
      </c>
      <c r="O4571" s="7" t="s">
        <v>179</v>
      </c>
      <c r="P4571" s="7" t="s">
        <v>179</v>
      </c>
    </row>
    <row r="4572" spans="1:16" x14ac:dyDescent="0.25">
      <c r="A4572" t="s">
        <v>181</v>
      </c>
      <c r="B4572" t="s">
        <v>218</v>
      </c>
      <c r="C4572" s="7" t="s">
        <v>162</v>
      </c>
      <c r="D4572" t="s">
        <v>126</v>
      </c>
      <c r="F4572" s="35">
        <v>8.9965005885644871</v>
      </c>
      <c r="G4572" s="35">
        <v>35.223877788586762</v>
      </c>
      <c r="H4572" s="35">
        <v>21.587588867917805</v>
      </c>
      <c r="I4572" s="35">
        <v>2.4879352427436538E-2</v>
      </c>
      <c r="J4572" s="35">
        <v>2.9026797306203923E-4</v>
      </c>
      <c r="K4572" s="35">
        <v>1.8157839014845179E-2</v>
      </c>
      <c r="L4572" s="35">
        <v>-80.68643485247955</v>
      </c>
      <c r="M4572" s="58" t="s">
        <v>23</v>
      </c>
      <c r="N4572" s="7">
        <v>9.5</v>
      </c>
      <c r="O4572" s="7" t="s">
        <v>179</v>
      </c>
      <c r="P4572" s="7" t="s">
        <v>179</v>
      </c>
    </row>
    <row r="4573" spans="1:16" x14ac:dyDescent="0.25">
      <c r="A4573" t="s">
        <v>181</v>
      </c>
      <c r="B4573" t="s">
        <v>218</v>
      </c>
      <c r="C4573" s="7" t="s">
        <v>162</v>
      </c>
      <c r="D4573" t="s">
        <v>127</v>
      </c>
      <c r="F4573" s="35">
        <v>0</v>
      </c>
      <c r="G4573" s="35">
        <v>-23.027532631036333</v>
      </c>
      <c r="H4573" s="35">
        <v>-23.382339102312017</v>
      </c>
      <c r="I4573" s="35">
        <v>-0.65390965186547101</v>
      </c>
      <c r="J4573" s="35">
        <v>-4.6280931088833554E-4</v>
      </c>
      <c r="K4573" s="35">
        <v>-1.0680745917857697</v>
      </c>
      <c r="L4573" s="35">
        <v>-113.34361287778354</v>
      </c>
      <c r="M4573" s="58" t="s">
        <v>22</v>
      </c>
      <c r="N4573" s="7">
        <v>9.5</v>
      </c>
      <c r="O4573" s="7" t="s">
        <v>179</v>
      </c>
      <c r="P4573" s="7" t="s">
        <v>179</v>
      </c>
    </row>
    <row r="4574" spans="1:16" x14ac:dyDescent="0.25">
      <c r="A4574" t="s">
        <v>181</v>
      </c>
      <c r="B4574" t="s">
        <v>218</v>
      </c>
      <c r="C4574" s="7" t="s">
        <v>162</v>
      </c>
      <c r="D4574" t="s">
        <v>127</v>
      </c>
      <c r="F4574" s="35">
        <v>2</v>
      </c>
      <c r="G4574" s="35">
        <v>-22.213735031036329</v>
      </c>
      <c r="H4574" s="35">
        <v>-21.702339102312017</v>
      </c>
      <c r="I4574" s="35">
        <v>-0.6539096518654709</v>
      </c>
      <c r="J4574" s="35">
        <v>-4.6280931088833554E-4</v>
      </c>
      <c r="K4574" s="35">
        <v>0.23974471194517211</v>
      </c>
      <c r="L4574" s="35">
        <v>-68.258934673159487</v>
      </c>
      <c r="M4574" s="58" t="s">
        <v>22</v>
      </c>
      <c r="N4574" s="7">
        <v>9.5</v>
      </c>
      <c r="O4574" s="7" t="s">
        <v>179</v>
      </c>
      <c r="P4574" s="7" t="s">
        <v>179</v>
      </c>
    </row>
    <row r="4575" spans="1:16" x14ac:dyDescent="0.25">
      <c r="A4575" t="s">
        <v>181</v>
      </c>
      <c r="B4575" t="s">
        <v>218</v>
      </c>
      <c r="C4575" s="7" t="s">
        <v>162</v>
      </c>
      <c r="D4575" t="s">
        <v>127</v>
      </c>
      <c r="F4575" s="35">
        <v>2</v>
      </c>
      <c r="G4575" s="35">
        <v>-21.551276966752972</v>
      </c>
      <c r="H4575" s="35">
        <v>-21.702328200842626</v>
      </c>
      <c r="I4575" s="35">
        <v>3.1703873171196377E-2</v>
      </c>
      <c r="J4575" s="35">
        <v>-4.3806477904045481E-4</v>
      </c>
      <c r="K4575" s="35">
        <v>0.23974471194517227</v>
      </c>
      <c r="L4575" s="35">
        <v>-68.258908278992237</v>
      </c>
      <c r="M4575" s="58" t="s">
        <v>22</v>
      </c>
      <c r="N4575" s="7">
        <v>9.5</v>
      </c>
      <c r="O4575" s="7" t="s">
        <v>179</v>
      </c>
      <c r="P4575" s="7" t="s">
        <v>179</v>
      </c>
    </row>
    <row r="4576" spans="1:16" x14ac:dyDescent="0.25">
      <c r="A4576" t="s">
        <v>181</v>
      </c>
      <c r="B4576" t="s">
        <v>218</v>
      </c>
      <c r="C4576" s="7" t="s">
        <v>162</v>
      </c>
      <c r="D4576" t="s">
        <v>127</v>
      </c>
      <c r="F4576" s="35">
        <v>4.5</v>
      </c>
      <c r="G4576" s="35">
        <v>-20.534029966752975</v>
      </c>
      <c r="H4576" s="35">
        <v>-19.602328200842624</v>
      </c>
      <c r="I4576" s="35">
        <v>3.1703873171196502E-2</v>
      </c>
      <c r="J4576" s="35">
        <v>-4.3806477904045481E-4</v>
      </c>
      <c r="K4576" s="35">
        <v>0.16048502901718115</v>
      </c>
      <c r="L4576" s="35">
        <v>-16.628087776885668</v>
      </c>
      <c r="M4576" s="58" t="s">
        <v>24</v>
      </c>
      <c r="N4576" s="7">
        <v>9.5</v>
      </c>
      <c r="O4576" s="7" t="s">
        <v>179</v>
      </c>
      <c r="P4576" s="7" t="s">
        <v>179</v>
      </c>
    </row>
    <row r="4577" spans="1:16" x14ac:dyDescent="0.25">
      <c r="A4577" t="s">
        <v>181</v>
      </c>
      <c r="B4577" t="s">
        <v>218</v>
      </c>
      <c r="C4577" s="7" t="s">
        <v>162</v>
      </c>
      <c r="D4577" t="s">
        <v>127</v>
      </c>
      <c r="F4577" s="35">
        <v>4.5</v>
      </c>
      <c r="G4577" s="35">
        <v>-19.757083345351496</v>
      </c>
      <c r="H4577" s="35">
        <v>-19.602310732549014</v>
      </c>
      <c r="I4577" s="35">
        <v>3.09624508526231E-2</v>
      </c>
      <c r="J4577" s="35">
        <v>4.5437496313205242E-4</v>
      </c>
      <c r="K4577" s="35">
        <v>0.16048280610755891</v>
      </c>
      <c r="L4577" s="35">
        <v>-15.656905907968182</v>
      </c>
      <c r="M4577" s="58" t="s">
        <v>24</v>
      </c>
      <c r="N4577" s="7">
        <v>9.5</v>
      </c>
      <c r="O4577" s="7" t="s">
        <v>179</v>
      </c>
      <c r="P4577" s="7" t="s">
        <v>179</v>
      </c>
    </row>
    <row r="4578" spans="1:16" x14ac:dyDescent="0.25">
      <c r="A4578" t="s">
        <v>181</v>
      </c>
      <c r="B4578" t="s">
        <v>218</v>
      </c>
      <c r="C4578" s="7" t="s">
        <v>162</v>
      </c>
      <c r="D4578" t="s">
        <v>127</v>
      </c>
      <c r="F4578" s="35">
        <v>8.9965005885644871</v>
      </c>
      <c r="G4578" s="35">
        <v>-17.927462651665319</v>
      </c>
      <c r="H4578" s="35">
        <v>-15.825250238154846</v>
      </c>
      <c r="I4578" s="35">
        <v>3.0962450852623336E-2</v>
      </c>
      <c r="J4578" s="35">
        <v>4.5437496313205242E-4</v>
      </c>
      <c r="K4578" s="35">
        <v>2.1260127625339586E-2</v>
      </c>
      <c r="L4578" s="35">
        <v>63.993118470118894</v>
      </c>
      <c r="M4578" s="58" t="s">
        <v>23</v>
      </c>
      <c r="N4578" s="7">
        <v>9.5</v>
      </c>
      <c r="O4578" s="7" t="s">
        <v>179</v>
      </c>
      <c r="P4578" s="7" t="s">
        <v>179</v>
      </c>
    </row>
    <row r="4579" spans="1:16" x14ac:dyDescent="0.25">
      <c r="A4579" t="s">
        <v>183</v>
      </c>
      <c r="B4579" t="s">
        <v>219</v>
      </c>
      <c r="C4579" s="7" t="s">
        <v>163</v>
      </c>
      <c r="D4579" t="s">
        <v>105</v>
      </c>
      <c r="F4579" s="35">
        <v>0</v>
      </c>
      <c r="G4579" s="35">
        <v>-100.37506254572537</v>
      </c>
      <c r="H4579" s="35">
        <v>1.8788371626201466</v>
      </c>
      <c r="I4579" s="35">
        <v>-1.1340264865222198</v>
      </c>
      <c r="J4579" s="35">
        <v>-3.0368034523478912E-5</v>
      </c>
      <c r="K4579" s="35">
        <v>-0.23753812780213146</v>
      </c>
      <c r="L4579" s="35">
        <v>4.6019506211017021</v>
      </c>
      <c r="M4579" s="58" t="s">
        <v>22</v>
      </c>
      <c r="N4579" s="7">
        <v>11.333333333333334</v>
      </c>
      <c r="O4579" s="7" t="s">
        <v>180</v>
      </c>
      <c r="P4579" s="7" t="s">
        <v>180</v>
      </c>
    </row>
    <row r="4580" spans="1:16" x14ac:dyDescent="0.25">
      <c r="A4580" t="s">
        <v>183</v>
      </c>
      <c r="B4580" t="s">
        <v>219</v>
      </c>
      <c r="C4580" s="7" t="s">
        <v>163</v>
      </c>
      <c r="D4580" t="s">
        <v>105</v>
      </c>
      <c r="F4580" s="35">
        <v>0.29999999999999988</v>
      </c>
      <c r="G4580" s="35">
        <v>-100.23215670572536</v>
      </c>
      <c r="H4580" s="35">
        <v>1.8788371626201466</v>
      </c>
      <c r="I4580" s="35">
        <v>-1.1340264865222198</v>
      </c>
      <c r="J4580" s="35">
        <v>-3.0368034523478912E-5</v>
      </c>
      <c r="K4580" s="35">
        <v>0.10266981815453431</v>
      </c>
      <c r="L4580" s="35">
        <v>4.038299472315658</v>
      </c>
      <c r="M4580" s="58" t="s">
        <v>22</v>
      </c>
      <c r="N4580" s="7">
        <v>11.333333333333334</v>
      </c>
      <c r="O4580" s="7" t="s">
        <v>180</v>
      </c>
      <c r="P4580" s="7" t="s">
        <v>180</v>
      </c>
    </row>
    <row r="4581" spans="1:16" x14ac:dyDescent="0.25">
      <c r="A4581" t="s">
        <v>183</v>
      </c>
      <c r="B4581" t="s">
        <v>219</v>
      </c>
      <c r="C4581" s="7" t="s">
        <v>163</v>
      </c>
      <c r="D4581" t="s">
        <v>105</v>
      </c>
      <c r="F4581" s="35">
        <v>0.29999999999999988</v>
      </c>
      <c r="G4581" s="35">
        <v>-79.978414991498397</v>
      </c>
      <c r="H4581" s="35">
        <v>1.8788371626201454</v>
      </c>
      <c r="I4581" s="35">
        <v>3.4223770300643941E-2</v>
      </c>
      <c r="J4581" s="35">
        <v>-3.7162014195015756E-5</v>
      </c>
      <c r="K4581" s="35">
        <v>0.10266981815453423</v>
      </c>
      <c r="L4581" s="35">
        <v>4.0382990646768748</v>
      </c>
      <c r="M4581" s="58" t="s">
        <v>22</v>
      </c>
      <c r="N4581" s="7">
        <v>11.333333333333334</v>
      </c>
      <c r="O4581" s="7" t="s">
        <v>180</v>
      </c>
      <c r="P4581" s="7" t="s">
        <v>180</v>
      </c>
    </row>
    <row r="4582" spans="1:16" x14ac:dyDescent="0.25">
      <c r="A4582" t="s">
        <v>183</v>
      </c>
      <c r="B4582" t="s">
        <v>219</v>
      </c>
      <c r="C4582" s="7" t="s">
        <v>163</v>
      </c>
      <c r="D4582" t="s">
        <v>105</v>
      </c>
      <c r="F4582" s="35">
        <v>5.3</v>
      </c>
      <c r="G4582" s="35">
        <v>-77.596650991498393</v>
      </c>
      <c r="H4582" s="35">
        <v>1.8788371626201454</v>
      </c>
      <c r="I4582" s="35">
        <v>3.4223770300643941E-2</v>
      </c>
      <c r="J4582" s="35">
        <v>-3.7162014195015756E-5</v>
      </c>
      <c r="K4582" s="35">
        <v>-6.844903334868549E-2</v>
      </c>
      <c r="L4582" s="35">
        <v>-5.3558867484238517</v>
      </c>
      <c r="M4582" s="58" t="s">
        <v>24</v>
      </c>
      <c r="N4582" s="7">
        <v>11.333333333333334</v>
      </c>
      <c r="O4582" s="7" t="s">
        <v>180</v>
      </c>
      <c r="P4582" s="7" t="s">
        <v>180</v>
      </c>
    </row>
    <row r="4583" spans="1:16" x14ac:dyDescent="0.25">
      <c r="A4583" t="s">
        <v>183</v>
      </c>
      <c r="B4583" t="s">
        <v>219</v>
      </c>
      <c r="C4583" s="7" t="s">
        <v>163</v>
      </c>
      <c r="D4583" t="s">
        <v>105</v>
      </c>
      <c r="F4583" s="35">
        <v>5.3</v>
      </c>
      <c r="G4583" s="35">
        <v>-93.625969706873562</v>
      </c>
      <c r="H4583" s="35">
        <v>1.8788324793589186</v>
      </c>
      <c r="I4583" s="35">
        <v>-2.2608684575969026E-2</v>
      </c>
      <c r="J4583" s="35">
        <v>6.7250282883172082E-5</v>
      </c>
      <c r="K4583" s="35">
        <v>-6.8449033348685531E-2</v>
      </c>
      <c r="L4583" s="35">
        <v>-5.3557327577898839</v>
      </c>
      <c r="M4583" s="58" t="s">
        <v>24</v>
      </c>
      <c r="N4583" s="7">
        <v>11.333333333333334</v>
      </c>
      <c r="O4583" s="7" t="s">
        <v>180</v>
      </c>
      <c r="P4583" s="7" t="s">
        <v>180</v>
      </c>
    </row>
    <row r="4584" spans="1:16" x14ac:dyDescent="0.25">
      <c r="A4584" t="s">
        <v>183</v>
      </c>
      <c r="B4584" t="s">
        <v>219</v>
      </c>
      <c r="C4584" s="7" t="s">
        <v>163</v>
      </c>
      <c r="D4584" t="s">
        <v>105</v>
      </c>
      <c r="F4584" s="35">
        <v>5.4149169609489114</v>
      </c>
      <c r="G4584" s="35">
        <v>-93.571228690758048</v>
      </c>
      <c r="H4584" s="35">
        <v>1.8788324793589186</v>
      </c>
      <c r="I4584" s="35">
        <v>-2.2608684575969026E-2</v>
      </c>
      <c r="J4584" s="35">
        <v>6.7250282883172082E-5</v>
      </c>
      <c r="K4584" s="35">
        <v>-6.5850912026162653E-2</v>
      </c>
      <c r="L4584" s="35">
        <v>-5.5716424764499193</v>
      </c>
      <c r="M4584" s="58" t="s">
        <v>24</v>
      </c>
      <c r="N4584" s="7">
        <v>11.333333333333334</v>
      </c>
      <c r="O4584" s="7" t="s">
        <v>180</v>
      </c>
      <c r="P4584" s="7" t="s">
        <v>180</v>
      </c>
    </row>
    <row r="4585" spans="1:16" x14ac:dyDescent="0.25">
      <c r="A4585" t="s">
        <v>183</v>
      </c>
      <c r="B4585" t="s">
        <v>219</v>
      </c>
      <c r="C4585" s="7" t="s">
        <v>163</v>
      </c>
      <c r="D4585" t="s">
        <v>105</v>
      </c>
      <c r="F4585" s="35">
        <v>10.829833921897823</v>
      </c>
      <c r="G4585" s="35">
        <v>-90.991817834642546</v>
      </c>
      <c r="H4585" s="35">
        <v>1.8788324793589186</v>
      </c>
      <c r="I4585" s="35">
        <v>-2.2608684575969026E-2</v>
      </c>
      <c r="J4585" s="35">
        <v>6.7250282883172082E-5</v>
      </c>
      <c r="K4585" s="35">
        <v>5.6573237548996021E-2</v>
      </c>
      <c r="L4585" s="35">
        <v>-15.745364335712221</v>
      </c>
      <c r="M4585" s="58" t="s">
        <v>23</v>
      </c>
      <c r="N4585" s="7">
        <v>11.333333333333334</v>
      </c>
      <c r="O4585" s="7" t="s">
        <v>180</v>
      </c>
      <c r="P4585" s="7" t="s">
        <v>180</v>
      </c>
    </row>
    <row r="4586" spans="1:16" x14ac:dyDescent="0.25">
      <c r="A4586" t="s">
        <v>183</v>
      </c>
      <c r="B4586" t="s">
        <v>219</v>
      </c>
      <c r="C4586" s="7" t="s">
        <v>163</v>
      </c>
      <c r="D4586" t="s">
        <v>15</v>
      </c>
      <c r="F4586" s="35">
        <v>0</v>
      </c>
      <c r="G4586" s="35">
        <v>106.95132141742555</v>
      </c>
      <c r="H4586" s="35">
        <v>-6.6077608390721352</v>
      </c>
      <c r="I4586" s="35">
        <v>-2.793876950401788</v>
      </c>
      <c r="J4586" s="35">
        <v>-4.1501576616845254E-4</v>
      </c>
      <c r="K4586" s="35">
        <v>-4.4869190511944694</v>
      </c>
      <c r="L4586" s="35">
        <v>-22.802390283605984</v>
      </c>
      <c r="M4586" s="58" t="s">
        <v>22</v>
      </c>
      <c r="N4586" s="7">
        <v>11.333333333333334</v>
      </c>
      <c r="O4586" s="7" t="s">
        <v>180</v>
      </c>
      <c r="P4586" s="7" t="s">
        <v>180</v>
      </c>
    </row>
    <row r="4587" spans="1:16" x14ac:dyDescent="0.25">
      <c r="A4587" t="s">
        <v>183</v>
      </c>
      <c r="B4587" t="s">
        <v>219</v>
      </c>
      <c r="C4587" s="7" t="s">
        <v>163</v>
      </c>
      <c r="D4587" t="s">
        <v>15</v>
      </c>
      <c r="F4587" s="35">
        <v>0.29999999999999988</v>
      </c>
      <c r="G4587" s="35">
        <v>107.09422725742556</v>
      </c>
      <c r="H4587" s="35">
        <v>-6.6077608390721352</v>
      </c>
      <c r="I4587" s="35">
        <v>-2.793876950401788</v>
      </c>
      <c r="J4587" s="35">
        <v>-4.1501576616845254E-4</v>
      </c>
      <c r="K4587" s="35">
        <v>-3.6487559660739333</v>
      </c>
      <c r="L4587" s="35">
        <v>-20.820062031884344</v>
      </c>
      <c r="M4587" s="58" t="s">
        <v>22</v>
      </c>
      <c r="N4587" s="7">
        <v>11.333333333333334</v>
      </c>
      <c r="O4587" s="7" t="s">
        <v>180</v>
      </c>
      <c r="P4587" s="7" t="s">
        <v>180</v>
      </c>
    </row>
    <row r="4588" spans="1:16" x14ac:dyDescent="0.25">
      <c r="A4588" t="s">
        <v>183</v>
      </c>
      <c r="B4588" t="s">
        <v>219</v>
      </c>
      <c r="C4588" s="7" t="s">
        <v>163</v>
      </c>
      <c r="D4588" t="s">
        <v>15</v>
      </c>
      <c r="F4588" s="35">
        <v>0.29999999999999988</v>
      </c>
      <c r="G4588" s="35">
        <v>134.82074899659102</v>
      </c>
      <c r="H4588" s="35">
        <v>-6.6077608390721059</v>
      </c>
      <c r="I4588" s="35">
        <v>-1.1772598920826185</v>
      </c>
      <c r="J4588" s="35">
        <v>-2.2301384997770228E-4</v>
      </c>
      <c r="K4588" s="35">
        <v>-3.6487559660739319</v>
      </c>
      <c r="L4588" s="35">
        <v>-20.820050511769367</v>
      </c>
      <c r="M4588" s="58" t="s">
        <v>22</v>
      </c>
      <c r="N4588" s="7">
        <v>11.333333333333334</v>
      </c>
      <c r="O4588" s="7" t="s">
        <v>180</v>
      </c>
      <c r="P4588" s="7" t="s">
        <v>180</v>
      </c>
    </row>
    <row r="4589" spans="1:16" x14ac:dyDescent="0.25">
      <c r="A4589" t="s">
        <v>183</v>
      </c>
      <c r="B4589" t="s">
        <v>219</v>
      </c>
      <c r="C4589" s="7" t="s">
        <v>163</v>
      </c>
      <c r="D4589" t="s">
        <v>15</v>
      </c>
      <c r="F4589" s="35">
        <v>5.3</v>
      </c>
      <c r="G4589" s="35">
        <v>137.20251299659103</v>
      </c>
      <c r="H4589" s="35">
        <v>-6.6077608390721059</v>
      </c>
      <c r="I4589" s="35">
        <v>-1.1772598920826185</v>
      </c>
      <c r="J4589" s="35">
        <v>-2.2301384997770228E-4</v>
      </c>
      <c r="K4589" s="35">
        <v>2.2375434943391603</v>
      </c>
      <c r="L4589" s="35">
        <v>12.218753683591164</v>
      </c>
      <c r="M4589" s="58" t="s">
        <v>24</v>
      </c>
      <c r="N4589" s="7">
        <v>11.333333333333334</v>
      </c>
      <c r="O4589" s="7" t="s">
        <v>180</v>
      </c>
      <c r="P4589" s="7" t="s">
        <v>180</v>
      </c>
    </row>
    <row r="4590" spans="1:16" x14ac:dyDescent="0.25">
      <c r="A4590" t="s">
        <v>183</v>
      </c>
      <c r="B4590" t="s">
        <v>219</v>
      </c>
      <c r="C4590" s="7" t="s">
        <v>163</v>
      </c>
      <c r="D4590" t="s">
        <v>15</v>
      </c>
      <c r="F4590" s="35">
        <v>5.3</v>
      </c>
      <c r="G4590" s="35">
        <v>117.63844831635524</v>
      </c>
      <c r="H4590" s="35">
        <v>-6.6077672205172275</v>
      </c>
      <c r="I4590" s="35">
        <v>0.35986524601614372</v>
      </c>
      <c r="J4590" s="35">
        <v>-5.2087644323228592E-4</v>
      </c>
      <c r="K4590" s="35">
        <v>2.2375434943391461</v>
      </c>
      <c r="L4590" s="35">
        <v>12.218143359315061</v>
      </c>
      <c r="M4590" s="58" t="s">
        <v>24</v>
      </c>
      <c r="N4590" s="7">
        <v>11.333333333333334</v>
      </c>
      <c r="O4590" s="7" t="s">
        <v>180</v>
      </c>
      <c r="P4590" s="7" t="s">
        <v>180</v>
      </c>
    </row>
    <row r="4591" spans="1:16" x14ac:dyDescent="0.25">
      <c r="A4591" t="s">
        <v>183</v>
      </c>
      <c r="B4591" t="s">
        <v>219</v>
      </c>
      <c r="C4591" s="7" t="s">
        <v>163</v>
      </c>
      <c r="D4591" t="s">
        <v>15</v>
      </c>
      <c r="F4591" s="35">
        <v>5.4149169609489114</v>
      </c>
      <c r="G4591" s="35">
        <v>117.69318933247075</v>
      </c>
      <c r="H4591" s="35">
        <v>-6.6077672205172275</v>
      </c>
      <c r="I4591" s="35">
        <v>0.35986524601614372</v>
      </c>
      <c r="J4591" s="35">
        <v>-5.2087644323228592E-4</v>
      </c>
      <c r="K4591" s="35">
        <v>2.1961888739158386</v>
      </c>
      <c r="L4591" s="35">
        <v>12.977487886954734</v>
      </c>
      <c r="M4591" s="58" t="s">
        <v>24</v>
      </c>
      <c r="N4591" s="7">
        <v>11.333333333333334</v>
      </c>
      <c r="O4591" s="7" t="s">
        <v>180</v>
      </c>
      <c r="P4591" s="7" t="s">
        <v>180</v>
      </c>
    </row>
    <row r="4592" spans="1:16" x14ac:dyDescent="0.25">
      <c r="A4592" t="s">
        <v>183</v>
      </c>
      <c r="B4592" t="s">
        <v>219</v>
      </c>
      <c r="C4592" s="7" t="s">
        <v>163</v>
      </c>
      <c r="D4592" t="s">
        <v>15</v>
      </c>
      <c r="F4592" s="35">
        <v>10.829833921897823</v>
      </c>
      <c r="G4592" s="35">
        <v>120.27260018858625</v>
      </c>
      <c r="H4592" s="35">
        <v>-6.6077672205172275</v>
      </c>
      <c r="I4592" s="35">
        <v>0.35986524601614372</v>
      </c>
      <c r="J4592" s="35">
        <v>-5.2087644323228592E-4</v>
      </c>
      <c r="K4592" s="35">
        <v>0.24754844960697006</v>
      </c>
      <c r="L4592" s="35">
        <v>48.7579986833357</v>
      </c>
      <c r="M4592" s="58" t="s">
        <v>23</v>
      </c>
      <c r="N4592" s="7">
        <v>11.333333333333334</v>
      </c>
      <c r="O4592" s="7" t="s">
        <v>180</v>
      </c>
      <c r="P4592" s="7" t="s">
        <v>180</v>
      </c>
    </row>
    <row r="4593" spans="1:16" x14ac:dyDescent="0.25">
      <c r="A4593" t="s">
        <v>183</v>
      </c>
      <c r="B4593" t="s">
        <v>219</v>
      </c>
      <c r="C4593" s="7" t="s">
        <v>163</v>
      </c>
      <c r="D4593" t="s">
        <v>16</v>
      </c>
      <c r="F4593" s="35">
        <v>0</v>
      </c>
      <c r="G4593" s="35">
        <v>27.755299422942766</v>
      </c>
      <c r="H4593" s="35">
        <v>-3.3526454781011381</v>
      </c>
      <c r="I4593" s="35">
        <v>-3.1702524426601442</v>
      </c>
      <c r="J4593" s="35">
        <v>-3.870019108889734E-4</v>
      </c>
      <c r="K4593" s="35">
        <v>-4.2056586326460401</v>
      </c>
      <c r="L4593" s="35">
        <v>-12.172574764132762</v>
      </c>
      <c r="M4593" s="58" t="s">
        <v>22</v>
      </c>
      <c r="N4593" s="7">
        <v>11.333333333333334</v>
      </c>
      <c r="O4593" s="7" t="s">
        <v>180</v>
      </c>
      <c r="P4593" s="7" t="s">
        <v>180</v>
      </c>
    </row>
    <row r="4594" spans="1:16" x14ac:dyDescent="0.25">
      <c r="A4594" t="s">
        <v>183</v>
      </c>
      <c r="B4594" t="s">
        <v>219</v>
      </c>
      <c r="C4594" s="7" t="s">
        <v>163</v>
      </c>
      <c r="D4594" t="s">
        <v>16</v>
      </c>
      <c r="F4594" s="35">
        <v>0.29999999999999988</v>
      </c>
      <c r="G4594" s="35">
        <v>27.898205262942767</v>
      </c>
      <c r="H4594" s="35">
        <v>-3.3526454781011381</v>
      </c>
      <c r="I4594" s="35">
        <v>-3.1702524426601442</v>
      </c>
      <c r="J4594" s="35">
        <v>-3.870019108889734E-4</v>
      </c>
      <c r="K4594" s="35">
        <v>-3.2545828998479971</v>
      </c>
      <c r="L4594" s="35">
        <v>-11.166781120702421</v>
      </c>
      <c r="M4594" s="58" t="s">
        <v>22</v>
      </c>
      <c r="N4594" s="7">
        <v>11.333333333333334</v>
      </c>
      <c r="O4594" s="7" t="s">
        <v>180</v>
      </c>
      <c r="P4594" s="7" t="s">
        <v>180</v>
      </c>
    </row>
    <row r="4595" spans="1:16" x14ac:dyDescent="0.25">
      <c r="A4595" t="s">
        <v>183</v>
      </c>
      <c r="B4595" t="s">
        <v>219</v>
      </c>
      <c r="C4595" s="7" t="s">
        <v>163</v>
      </c>
      <c r="D4595" t="s">
        <v>16</v>
      </c>
      <c r="F4595" s="35">
        <v>0.29999999999999988</v>
      </c>
      <c r="G4595" s="35">
        <v>64.028396948991173</v>
      </c>
      <c r="H4595" s="35">
        <v>-3.3526454781011394</v>
      </c>
      <c r="I4595" s="35">
        <v>-1.049415187527998</v>
      </c>
      <c r="J4595" s="35">
        <v>-2.3384145524021403E-4</v>
      </c>
      <c r="K4595" s="35">
        <v>-3.2545828998479989</v>
      </c>
      <c r="L4595" s="35">
        <v>-11.166771931075081</v>
      </c>
      <c r="M4595" s="58" t="s">
        <v>22</v>
      </c>
      <c r="N4595" s="7">
        <v>11.333333333333334</v>
      </c>
      <c r="O4595" s="7" t="s">
        <v>180</v>
      </c>
      <c r="P4595" s="7" t="s">
        <v>180</v>
      </c>
    </row>
    <row r="4596" spans="1:16" x14ac:dyDescent="0.25">
      <c r="A4596" t="s">
        <v>183</v>
      </c>
      <c r="B4596" t="s">
        <v>219</v>
      </c>
      <c r="C4596" s="7" t="s">
        <v>163</v>
      </c>
      <c r="D4596" t="s">
        <v>16</v>
      </c>
      <c r="F4596" s="35">
        <v>5.3</v>
      </c>
      <c r="G4596" s="35">
        <v>66.410160948991162</v>
      </c>
      <c r="H4596" s="35">
        <v>-3.3526454781011394</v>
      </c>
      <c r="I4596" s="35">
        <v>-1.049415187527998</v>
      </c>
      <c r="J4596" s="35">
        <v>-2.3384145524021403E-4</v>
      </c>
      <c r="K4596" s="35">
        <v>1.9924930377919907</v>
      </c>
      <c r="L4596" s="35">
        <v>5.5964554594306168</v>
      </c>
      <c r="M4596" s="58" t="s">
        <v>24</v>
      </c>
      <c r="N4596" s="7">
        <v>11.333333333333334</v>
      </c>
      <c r="O4596" s="7" t="s">
        <v>180</v>
      </c>
      <c r="P4596" s="7" t="s">
        <v>180</v>
      </c>
    </row>
    <row r="4597" spans="1:16" x14ac:dyDescent="0.25">
      <c r="A4597" t="s">
        <v>183</v>
      </c>
      <c r="B4597" t="s">
        <v>219</v>
      </c>
      <c r="C4597" s="7" t="s">
        <v>163</v>
      </c>
      <c r="D4597" t="s">
        <v>16</v>
      </c>
      <c r="F4597" s="35">
        <v>5.3</v>
      </c>
      <c r="G4597" s="35">
        <v>38.6350063841939</v>
      </c>
      <c r="H4597" s="35">
        <v>-3.3526595653522775</v>
      </c>
      <c r="I4597" s="35">
        <v>0.31923409989983492</v>
      </c>
      <c r="J4597" s="35">
        <v>-3.7775319423871321E-4</v>
      </c>
      <c r="K4597" s="35">
        <v>1.9924930377919976</v>
      </c>
      <c r="L4597" s="35">
        <v>5.5960815212887418</v>
      </c>
      <c r="M4597" s="58" t="s">
        <v>24</v>
      </c>
      <c r="N4597" s="7">
        <v>11.333333333333334</v>
      </c>
      <c r="O4597" s="7" t="s">
        <v>180</v>
      </c>
      <c r="P4597" s="7" t="s">
        <v>180</v>
      </c>
    </row>
    <row r="4598" spans="1:16" x14ac:dyDescent="0.25">
      <c r="A4598" t="s">
        <v>183</v>
      </c>
      <c r="B4598" t="s">
        <v>219</v>
      </c>
      <c r="C4598" s="7" t="s">
        <v>163</v>
      </c>
      <c r="D4598" t="s">
        <v>16</v>
      </c>
      <c r="F4598" s="35">
        <v>5.4149169609489114</v>
      </c>
      <c r="G4598" s="35">
        <v>38.6897474003094</v>
      </c>
      <c r="H4598" s="35">
        <v>-3.3526595653522775</v>
      </c>
      <c r="I4598" s="35">
        <v>0.31923409989983492</v>
      </c>
      <c r="J4598" s="35">
        <v>-3.7775319423871321E-4</v>
      </c>
      <c r="K4598" s="35">
        <v>1.9558076252002476</v>
      </c>
      <c r="L4598" s="35">
        <v>5.9813589696353233</v>
      </c>
      <c r="M4598" s="58" t="s">
        <v>24</v>
      </c>
      <c r="N4598" s="7">
        <v>11.333333333333334</v>
      </c>
      <c r="O4598" s="7" t="s">
        <v>180</v>
      </c>
      <c r="P4598" s="7" t="s">
        <v>180</v>
      </c>
    </row>
    <row r="4599" spans="1:16" x14ac:dyDescent="0.25">
      <c r="A4599" t="s">
        <v>183</v>
      </c>
      <c r="B4599" t="s">
        <v>219</v>
      </c>
      <c r="C4599" s="7" t="s">
        <v>163</v>
      </c>
      <c r="D4599" t="s">
        <v>16</v>
      </c>
      <c r="F4599" s="35">
        <v>10.829833921897823</v>
      </c>
      <c r="G4599" s="35">
        <v>41.269158256424902</v>
      </c>
      <c r="H4599" s="35">
        <v>-3.3526595653522775</v>
      </c>
      <c r="I4599" s="35">
        <v>0.31923409989983492</v>
      </c>
      <c r="J4599" s="35">
        <v>-3.7775319423871321E-4</v>
      </c>
      <c r="K4599" s="35">
        <v>0.22718148313937289</v>
      </c>
      <c r="L4599" s="35">
        <v>24.135732114348968</v>
      </c>
      <c r="M4599" s="58" t="s">
        <v>23</v>
      </c>
      <c r="N4599" s="7">
        <v>11.333333333333334</v>
      </c>
      <c r="O4599" s="7" t="s">
        <v>180</v>
      </c>
      <c r="P4599" s="7" t="s">
        <v>180</v>
      </c>
    </row>
    <row r="4600" spans="1:16" x14ac:dyDescent="0.25">
      <c r="A4600" t="s">
        <v>183</v>
      </c>
      <c r="B4600" t="s">
        <v>219</v>
      </c>
      <c r="C4600" s="7" t="s">
        <v>163</v>
      </c>
      <c r="D4600" t="s">
        <v>106</v>
      </c>
      <c r="F4600" s="35">
        <v>0</v>
      </c>
      <c r="G4600" s="35">
        <v>127.2355381363937</v>
      </c>
      <c r="H4600" s="35">
        <v>-5.6469296133479796</v>
      </c>
      <c r="I4600" s="35">
        <v>4.4351433046007003</v>
      </c>
      <c r="J4600" s="35">
        <v>5.3778054904623596E-4</v>
      </c>
      <c r="K4600" s="35">
        <v>4.805100965011726</v>
      </c>
      <c r="L4600" s="35">
        <v>-18.79939472898479</v>
      </c>
      <c r="M4600" s="58" t="s">
        <v>22</v>
      </c>
      <c r="N4600" s="7">
        <v>11.333333333333334</v>
      </c>
      <c r="O4600" s="7" t="s">
        <v>180</v>
      </c>
      <c r="P4600" s="7" t="s">
        <v>180</v>
      </c>
    </row>
    <row r="4601" spans="1:16" x14ac:dyDescent="0.25">
      <c r="A4601" t="s">
        <v>183</v>
      </c>
      <c r="B4601" t="s">
        <v>219</v>
      </c>
      <c r="C4601" s="7" t="s">
        <v>163</v>
      </c>
      <c r="D4601" t="s">
        <v>106</v>
      </c>
      <c r="F4601" s="35">
        <v>0.29999999999999988</v>
      </c>
      <c r="G4601" s="35">
        <v>127.3784439763937</v>
      </c>
      <c r="H4601" s="35">
        <v>-5.6469296133479796</v>
      </c>
      <c r="I4601" s="35">
        <v>4.4351433046007003</v>
      </c>
      <c r="J4601" s="35">
        <v>5.3778054904623596E-4</v>
      </c>
      <c r="K4601" s="35">
        <v>3.4745579736315162</v>
      </c>
      <c r="L4601" s="35">
        <v>-17.105315844980396</v>
      </c>
      <c r="M4601" s="58" t="s">
        <v>22</v>
      </c>
      <c r="N4601" s="7">
        <v>11.333333333333334</v>
      </c>
      <c r="O4601" s="7" t="s">
        <v>180</v>
      </c>
      <c r="P4601" s="7" t="s">
        <v>180</v>
      </c>
    </row>
    <row r="4602" spans="1:16" x14ac:dyDescent="0.25">
      <c r="A4602" t="s">
        <v>183</v>
      </c>
      <c r="B4602" t="s">
        <v>219</v>
      </c>
      <c r="C4602" s="7" t="s">
        <v>163</v>
      </c>
      <c r="D4602" t="s">
        <v>106</v>
      </c>
      <c r="F4602" s="35">
        <v>0.29999999999999988</v>
      </c>
      <c r="G4602" s="35">
        <v>73.086552114139309</v>
      </c>
      <c r="H4602" s="35">
        <v>-5.6469296133479805</v>
      </c>
      <c r="I4602" s="35">
        <v>1.1306555468347104</v>
      </c>
      <c r="J4602" s="35">
        <v>4.5119805467853035E-4</v>
      </c>
      <c r="K4602" s="35">
        <v>3.4745579736315153</v>
      </c>
      <c r="L4602" s="35">
        <v>-17.105321039930057</v>
      </c>
      <c r="M4602" s="58" t="s">
        <v>22</v>
      </c>
      <c r="N4602" s="7">
        <v>11.333333333333334</v>
      </c>
      <c r="O4602" s="7" t="s">
        <v>180</v>
      </c>
      <c r="P4602" s="7" t="s">
        <v>180</v>
      </c>
    </row>
    <row r="4603" spans="1:16" x14ac:dyDescent="0.25">
      <c r="A4603" t="s">
        <v>183</v>
      </c>
      <c r="B4603" t="s">
        <v>219</v>
      </c>
      <c r="C4603" s="7" t="s">
        <v>163</v>
      </c>
      <c r="D4603" t="s">
        <v>106</v>
      </c>
      <c r="F4603" s="35">
        <v>5.3</v>
      </c>
      <c r="G4603" s="35">
        <v>75.468316114139313</v>
      </c>
      <c r="H4603" s="35">
        <v>-5.6469296133479805</v>
      </c>
      <c r="I4603" s="35">
        <v>1.1306555468347104</v>
      </c>
      <c r="J4603" s="35">
        <v>4.5119805467853035E-4</v>
      </c>
      <c r="K4603" s="35">
        <v>-2.1787197605420356</v>
      </c>
      <c r="L4603" s="35">
        <v>11.129327026809856</v>
      </c>
      <c r="M4603" s="58" t="s">
        <v>24</v>
      </c>
      <c r="N4603" s="7">
        <v>11.333333333333334</v>
      </c>
      <c r="O4603" s="7" t="s">
        <v>180</v>
      </c>
      <c r="P4603" s="7" t="s">
        <v>180</v>
      </c>
    </row>
    <row r="4604" spans="1:16" x14ac:dyDescent="0.25">
      <c r="A4604" t="s">
        <v>183</v>
      </c>
      <c r="B4604" t="s">
        <v>219</v>
      </c>
      <c r="C4604" s="7" t="s">
        <v>163</v>
      </c>
      <c r="D4604" t="s">
        <v>106</v>
      </c>
      <c r="F4604" s="35">
        <v>5.3</v>
      </c>
      <c r="G4604" s="35">
        <v>125.74901891569482</v>
      </c>
      <c r="H4604" s="35">
        <v>-5.6468815734536548</v>
      </c>
      <c r="I4604" s="35">
        <v>-0.37262882704141448</v>
      </c>
      <c r="J4604" s="35">
        <v>1.8965286525069442E-4</v>
      </c>
      <c r="K4604" s="35">
        <v>-2.1787197605420312</v>
      </c>
      <c r="L4604" s="35">
        <v>11.129156217603731</v>
      </c>
      <c r="M4604" s="58" t="s">
        <v>24</v>
      </c>
      <c r="N4604" s="7">
        <v>11.333333333333334</v>
      </c>
      <c r="O4604" s="7" t="s">
        <v>180</v>
      </c>
      <c r="P4604" s="7" t="s">
        <v>180</v>
      </c>
    </row>
    <row r="4605" spans="1:16" x14ac:dyDescent="0.25">
      <c r="A4605" t="s">
        <v>183</v>
      </c>
      <c r="B4605" t="s">
        <v>219</v>
      </c>
      <c r="C4605" s="7" t="s">
        <v>163</v>
      </c>
      <c r="D4605" t="s">
        <v>106</v>
      </c>
      <c r="F4605" s="35">
        <v>5.4149169609489114</v>
      </c>
      <c r="G4605" s="35">
        <v>125.80375993181033</v>
      </c>
      <c r="H4605" s="35">
        <v>-5.6468815734536548</v>
      </c>
      <c r="I4605" s="35">
        <v>-0.37262882704141448</v>
      </c>
      <c r="J4605" s="35">
        <v>1.8965286525069442E-4</v>
      </c>
      <c r="K4605" s="35">
        <v>-2.1358983881764746</v>
      </c>
      <c r="L4605" s="35">
        <v>11.778078686863431</v>
      </c>
      <c r="M4605" s="58" t="s">
        <v>24</v>
      </c>
      <c r="N4605" s="7">
        <v>11.333333333333334</v>
      </c>
      <c r="O4605" s="7" t="s">
        <v>180</v>
      </c>
      <c r="P4605" s="7" t="s">
        <v>180</v>
      </c>
    </row>
    <row r="4606" spans="1:16" x14ac:dyDescent="0.25">
      <c r="A4606" t="s">
        <v>183</v>
      </c>
      <c r="B4606" t="s">
        <v>219</v>
      </c>
      <c r="C4606" s="7" t="s">
        <v>163</v>
      </c>
      <c r="D4606" t="s">
        <v>106</v>
      </c>
      <c r="F4606" s="35">
        <v>10.829833921897823</v>
      </c>
      <c r="G4606" s="35">
        <v>128.38317078792585</v>
      </c>
      <c r="H4606" s="35">
        <v>-5.6468815734536548</v>
      </c>
      <c r="I4606" s="35">
        <v>-0.37262882704141448</v>
      </c>
      <c r="J4606" s="35">
        <v>1.8965286525069442E-4</v>
      </c>
      <c r="K4606" s="35">
        <v>-0.11814423249142156</v>
      </c>
      <c r="L4606" s="35">
        <v>42.355473495427489</v>
      </c>
      <c r="M4606" s="58" t="s">
        <v>23</v>
      </c>
      <c r="N4606" s="7">
        <v>11.333333333333334</v>
      </c>
      <c r="O4606" s="7" t="s">
        <v>180</v>
      </c>
      <c r="P4606" s="7" t="s">
        <v>180</v>
      </c>
    </row>
    <row r="4607" spans="1:16" x14ac:dyDescent="0.25">
      <c r="A4607" t="s">
        <v>183</v>
      </c>
      <c r="B4607" t="s">
        <v>219</v>
      </c>
      <c r="C4607" s="7" t="s">
        <v>163</v>
      </c>
      <c r="D4607" t="s">
        <v>107</v>
      </c>
      <c r="F4607" s="35">
        <v>0</v>
      </c>
      <c r="G4607" s="35">
        <v>48.02972482836126</v>
      </c>
      <c r="H4607" s="35">
        <v>-2.3932657227258698</v>
      </c>
      <c r="I4607" s="35">
        <v>4.0561094186056748</v>
      </c>
      <c r="J4607" s="35">
        <v>5.6462235385825712E-4</v>
      </c>
      <c r="K4607" s="35">
        <v>5.082964552624448</v>
      </c>
      <c r="L4607" s="35">
        <v>-8.1756271662430233</v>
      </c>
      <c r="M4607" s="58" t="s">
        <v>22</v>
      </c>
      <c r="N4607" s="7">
        <v>11.333333333333334</v>
      </c>
      <c r="O4607" s="7" t="s">
        <v>180</v>
      </c>
      <c r="P4607" s="7" t="s">
        <v>180</v>
      </c>
    </row>
    <row r="4608" spans="1:16" x14ac:dyDescent="0.25">
      <c r="A4608" t="s">
        <v>183</v>
      </c>
      <c r="B4608" t="s">
        <v>219</v>
      </c>
      <c r="C4608" s="7" t="s">
        <v>163</v>
      </c>
      <c r="D4608" t="s">
        <v>107</v>
      </c>
      <c r="F4608" s="35">
        <v>0.29999999999999988</v>
      </c>
      <c r="G4608" s="35">
        <v>48.172630668361265</v>
      </c>
      <c r="H4608" s="35">
        <v>-2.3932657227258698</v>
      </c>
      <c r="I4608" s="35">
        <v>4.0561094186056748</v>
      </c>
      <c r="J4608" s="35">
        <v>5.6462235385825712E-4</v>
      </c>
      <c r="K4608" s="35">
        <v>3.8661317270427458</v>
      </c>
      <c r="L4608" s="35">
        <v>-7.4576474494252638</v>
      </c>
      <c r="M4608" s="58" t="s">
        <v>22</v>
      </c>
      <c r="N4608" s="7">
        <v>11.333333333333334</v>
      </c>
      <c r="O4608" s="7" t="s">
        <v>180</v>
      </c>
      <c r="P4608" s="7" t="s">
        <v>180</v>
      </c>
    </row>
    <row r="4609" spans="1:16" x14ac:dyDescent="0.25">
      <c r="A4609" t="s">
        <v>183</v>
      </c>
      <c r="B4609" t="s">
        <v>219</v>
      </c>
      <c r="C4609" s="7" t="s">
        <v>163</v>
      </c>
      <c r="D4609" t="s">
        <v>107</v>
      </c>
      <c r="F4609" s="35">
        <v>0.29999999999999988</v>
      </c>
      <c r="G4609" s="35">
        <v>2.3147135357677575</v>
      </c>
      <c r="H4609" s="35">
        <v>-2.3932657227258587</v>
      </c>
      <c r="I4609" s="35">
        <v>1.2576601446193139</v>
      </c>
      <c r="J4609" s="35">
        <v>4.3962943544155681E-4</v>
      </c>
      <c r="K4609" s="35">
        <v>3.8661317270427493</v>
      </c>
      <c r="L4609" s="35">
        <v>-7.4576549490003696</v>
      </c>
      <c r="M4609" s="58" t="s">
        <v>22</v>
      </c>
      <c r="N4609" s="7">
        <v>11.333333333333334</v>
      </c>
      <c r="O4609" s="7" t="s">
        <v>180</v>
      </c>
      <c r="P4609" s="7" t="s">
        <v>180</v>
      </c>
    </row>
    <row r="4610" spans="1:16" x14ac:dyDescent="0.25">
      <c r="A4610" t="s">
        <v>183</v>
      </c>
      <c r="B4610" t="s">
        <v>219</v>
      </c>
      <c r="C4610" s="7" t="s">
        <v>163</v>
      </c>
      <c r="D4610" t="s">
        <v>107</v>
      </c>
      <c r="F4610" s="35">
        <v>5.3</v>
      </c>
      <c r="G4610" s="35">
        <v>4.6964775357677562</v>
      </c>
      <c r="H4610" s="35">
        <v>-2.3932657227258587</v>
      </c>
      <c r="I4610" s="35">
        <v>1.2576601446193139</v>
      </c>
      <c r="J4610" s="35">
        <v>4.3962943544155681E-4</v>
      </c>
      <c r="K4610" s="35">
        <v>-2.4221689960538195</v>
      </c>
      <c r="L4610" s="35">
        <v>4.5086736646289234</v>
      </c>
      <c r="M4610" s="58" t="s">
        <v>24</v>
      </c>
      <c r="N4610" s="7">
        <v>11.333333333333334</v>
      </c>
      <c r="O4610" s="7" t="s">
        <v>180</v>
      </c>
      <c r="P4610" s="7" t="s">
        <v>180</v>
      </c>
    </row>
    <row r="4611" spans="1:16" x14ac:dyDescent="0.25">
      <c r="A4611" t="s">
        <v>183</v>
      </c>
      <c r="B4611" t="s">
        <v>219</v>
      </c>
      <c r="C4611" s="7" t="s">
        <v>163</v>
      </c>
      <c r="D4611" t="s">
        <v>107</v>
      </c>
      <c r="F4611" s="35">
        <v>5.3</v>
      </c>
      <c r="G4611" s="35">
        <v>46.740269441508701</v>
      </c>
      <c r="H4611" s="35">
        <v>-2.3932254787522549</v>
      </c>
      <c r="I4611" s="35">
        <v>-0.41299410648131551</v>
      </c>
      <c r="J4611" s="35">
        <v>3.3199321206026257E-4</v>
      </c>
      <c r="K4611" s="35">
        <v>-2.4221689960538146</v>
      </c>
      <c r="L4611" s="35">
        <v>4.5087385944083511</v>
      </c>
      <c r="M4611" s="58" t="s">
        <v>24</v>
      </c>
      <c r="N4611" s="7">
        <v>11.333333333333334</v>
      </c>
      <c r="O4611" s="7" t="s">
        <v>180</v>
      </c>
      <c r="P4611" s="7" t="s">
        <v>180</v>
      </c>
    </row>
    <row r="4612" spans="1:16" x14ac:dyDescent="0.25">
      <c r="A4612" t="s">
        <v>183</v>
      </c>
      <c r="B4612" t="s">
        <v>219</v>
      </c>
      <c r="C4612" s="7" t="s">
        <v>163</v>
      </c>
      <c r="D4612" t="s">
        <v>107</v>
      </c>
      <c r="F4612" s="35">
        <v>5.4149169609489114</v>
      </c>
      <c r="G4612" s="35">
        <v>46.795010457624208</v>
      </c>
      <c r="H4612" s="35">
        <v>-2.3932254787522549</v>
      </c>
      <c r="I4612" s="35">
        <v>-0.41299410648131551</v>
      </c>
      <c r="J4612" s="35">
        <v>3.3199321206026257E-4</v>
      </c>
      <c r="K4612" s="35">
        <v>-2.3747089684471709</v>
      </c>
      <c r="L4612" s="35">
        <v>4.7837607932920632</v>
      </c>
      <c r="M4612" s="58" t="s">
        <v>24</v>
      </c>
      <c r="N4612" s="7">
        <v>11.333333333333334</v>
      </c>
      <c r="O4612" s="7" t="s">
        <v>180</v>
      </c>
      <c r="P4612" s="7" t="s">
        <v>180</v>
      </c>
    </row>
    <row r="4613" spans="1:16" x14ac:dyDescent="0.25">
      <c r="A4613" t="s">
        <v>183</v>
      </c>
      <c r="B4613" t="s">
        <v>219</v>
      </c>
      <c r="C4613" s="7" t="s">
        <v>163</v>
      </c>
      <c r="D4613" t="s">
        <v>107</v>
      </c>
      <c r="F4613" s="35">
        <v>10.829833921897823</v>
      </c>
      <c r="G4613" s="35">
        <v>49.37442131373971</v>
      </c>
      <c r="H4613" s="35">
        <v>-2.3932254787522549</v>
      </c>
      <c r="I4613" s="35">
        <v>-0.41299410648131551</v>
      </c>
      <c r="J4613" s="35">
        <v>3.3199321206026257E-4</v>
      </c>
      <c r="K4613" s="35">
        <v>-0.13838017648955536</v>
      </c>
      <c r="L4613" s="35">
        <v>17.742878029562721</v>
      </c>
      <c r="M4613" s="58" t="s">
        <v>23</v>
      </c>
      <c r="N4613" s="7">
        <v>11.333333333333334</v>
      </c>
      <c r="O4613" s="7" t="s">
        <v>180</v>
      </c>
      <c r="P4613" s="7" t="s">
        <v>180</v>
      </c>
    </row>
    <row r="4614" spans="1:16" x14ac:dyDescent="0.25">
      <c r="A4614" t="s">
        <v>183</v>
      </c>
      <c r="B4614" t="s">
        <v>219</v>
      </c>
      <c r="C4614" s="7" t="s">
        <v>163</v>
      </c>
      <c r="D4614" t="s">
        <v>108</v>
      </c>
      <c r="F4614" s="35">
        <v>0</v>
      </c>
      <c r="G4614" s="35">
        <v>113.53295762780212</v>
      </c>
      <c r="H4614" s="35">
        <v>-0.29375769261940421</v>
      </c>
      <c r="I4614" s="35">
        <v>-8.8587878193906344E-2</v>
      </c>
      <c r="J4614" s="35">
        <v>5.5276831247628704E-5</v>
      </c>
      <c r="K4614" s="35">
        <v>-0.96223148099969724</v>
      </c>
      <c r="L4614" s="35">
        <v>16.111388904282482</v>
      </c>
      <c r="M4614" s="58" t="s">
        <v>22</v>
      </c>
      <c r="N4614" s="7">
        <v>11.333333333333334</v>
      </c>
      <c r="O4614" s="7" t="s">
        <v>180</v>
      </c>
      <c r="P4614" s="7" t="s">
        <v>180</v>
      </c>
    </row>
    <row r="4615" spans="1:16" x14ac:dyDescent="0.25">
      <c r="A4615" t="s">
        <v>183</v>
      </c>
      <c r="B4615" t="s">
        <v>219</v>
      </c>
      <c r="C4615" s="7" t="s">
        <v>163</v>
      </c>
      <c r="D4615" t="s">
        <v>108</v>
      </c>
      <c r="F4615" s="35">
        <v>0.29999999999999988</v>
      </c>
      <c r="G4615" s="35">
        <v>113.67586346780213</v>
      </c>
      <c r="H4615" s="35">
        <v>-0.29375769261940421</v>
      </c>
      <c r="I4615" s="35">
        <v>-8.8587878193906344E-2</v>
      </c>
      <c r="J4615" s="35">
        <v>5.5276831247628704E-5</v>
      </c>
      <c r="K4615" s="35">
        <v>-0.93565511754152553</v>
      </c>
      <c r="L4615" s="35">
        <v>16.1995162120683</v>
      </c>
      <c r="M4615" s="58" t="s">
        <v>22</v>
      </c>
      <c r="N4615" s="7">
        <v>11.333333333333334</v>
      </c>
      <c r="O4615" s="7" t="s">
        <v>180</v>
      </c>
      <c r="P4615" s="7" t="s">
        <v>180</v>
      </c>
    </row>
    <row r="4616" spans="1:16" x14ac:dyDescent="0.25">
      <c r="A4616" t="s">
        <v>183</v>
      </c>
      <c r="B4616" t="s">
        <v>219</v>
      </c>
      <c r="C4616" s="7" t="s">
        <v>163</v>
      </c>
      <c r="D4616" t="s">
        <v>108</v>
      </c>
      <c r="F4616" s="35">
        <v>0.29999999999999988</v>
      </c>
      <c r="G4616" s="35">
        <v>110.90059884244843</v>
      </c>
      <c r="H4616" s="35">
        <v>-0.29375769261940082</v>
      </c>
      <c r="I4616" s="35">
        <v>-0.30207800174589094</v>
      </c>
      <c r="J4616" s="35">
        <v>-6.3995145016947587E-5</v>
      </c>
      <c r="K4616" s="35">
        <v>-0.93565511754152397</v>
      </c>
      <c r="L4616" s="35">
        <v>16.19950905574969</v>
      </c>
      <c r="M4616" s="58" t="s">
        <v>22</v>
      </c>
      <c r="N4616" s="7">
        <v>11.333333333333334</v>
      </c>
      <c r="O4616" s="7" t="s">
        <v>180</v>
      </c>
      <c r="P4616" s="7" t="s">
        <v>180</v>
      </c>
    </row>
    <row r="4617" spans="1:16" x14ac:dyDescent="0.25">
      <c r="A4617" t="s">
        <v>183</v>
      </c>
      <c r="B4617" t="s">
        <v>219</v>
      </c>
      <c r="C4617" s="7" t="s">
        <v>163</v>
      </c>
      <c r="D4617" t="s">
        <v>108</v>
      </c>
      <c r="F4617" s="35">
        <v>5.3</v>
      </c>
      <c r="G4617" s="35">
        <v>113.28236284244842</v>
      </c>
      <c r="H4617" s="35">
        <v>-0.29375769261940082</v>
      </c>
      <c r="I4617" s="35">
        <v>-0.30207800174589094</v>
      </c>
      <c r="J4617" s="35">
        <v>-6.3995145016947587E-5</v>
      </c>
      <c r="K4617" s="35">
        <v>0.57473489118793053</v>
      </c>
      <c r="L4617" s="35">
        <v>17.668297518846696</v>
      </c>
      <c r="M4617" s="58" t="s">
        <v>24</v>
      </c>
      <c r="N4617" s="7">
        <v>11.333333333333334</v>
      </c>
      <c r="O4617" s="7" t="s">
        <v>180</v>
      </c>
      <c r="P4617" s="7" t="s">
        <v>180</v>
      </c>
    </row>
    <row r="4618" spans="1:16" x14ac:dyDescent="0.25">
      <c r="A4618" t="s">
        <v>183</v>
      </c>
      <c r="B4618" t="s">
        <v>219</v>
      </c>
      <c r="C4618" s="7" t="s">
        <v>163</v>
      </c>
      <c r="D4618" t="s">
        <v>108</v>
      </c>
      <c r="F4618" s="35">
        <v>5.3</v>
      </c>
      <c r="G4618" s="35">
        <v>119.68761100996082</v>
      </c>
      <c r="H4618" s="35">
        <v>-0.29376543799697091</v>
      </c>
      <c r="I4618" s="35">
        <v>8.4027821495265442E-2</v>
      </c>
      <c r="J4618" s="35">
        <v>-2.6661061985390765E-4</v>
      </c>
      <c r="K4618" s="35">
        <v>0.57473489118793164</v>
      </c>
      <c r="L4618" s="35">
        <v>17.667974939725546</v>
      </c>
      <c r="M4618" s="58" t="s">
        <v>24</v>
      </c>
      <c r="N4618" s="7">
        <v>11.333333333333334</v>
      </c>
      <c r="O4618" s="7" t="s">
        <v>180</v>
      </c>
      <c r="P4618" s="7" t="s">
        <v>180</v>
      </c>
    </row>
    <row r="4619" spans="1:16" x14ac:dyDescent="0.25">
      <c r="A4619" t="s">
        <v>183</v>
      </c>
      <c r="B4619" t="s">
        <v>219</v>
      </c>
      <c r="C4619" s="7" t="s">
        <v>163</v>
      </c>
      <c r="D4619" t="s">
        <v>108</v>
      </c>
      <c r="F4619" s="35">
        <v>5.4149169609489114</v>
      </c>
      <c r="G4619" s="35">
        <v>119.74235202607633</v>
      </c>
      <c r="H4619" s="35">
        <v>-0.29376543799697091</v>
      </c>
      <c r="I4619" s="35">
        <v>8.4027821495265442E-2</v>
      </c>
      <c r="J4619" s="35">
        <v>-2.6661061985390765E-4</v>
      </c>
      <c r="K4619" s="35">
        <v>0.56507866930653816</v>
      </c>
      <c r="L4619" s="35">
        <v>17.701733571091982</v>
      </c>
      <c r="M4619" s="58" t="s">
        <v>24</v>
      </c>
      <c r="N4619" s="7">
        <v>11.333333333333334</v>
      </c>
      <c r="O4619" s="7" t="s">
        <v>180</v>
      </c>
      <c r="P4619" s="7" t="s">
        <v>180</v>
      </c>
    </row>
    <row r="4620" spans="1:16" x14ac:dyDescent="0.25">
      <c r="A4620" t="s">
        <v>183</v>
      </c>
      <c r="B4620" t="s">
        <v>219</v>
      </c>
      <c r="C4620" s="7" t="s">
        <v>163</v>
      </c>
      <c r="D4620" t="s">
        <v>108</v>
      </c>
      <c r="F4620" s="35">
        <v>10.829833921897823</v>
      </c>
      <c r="G4620" s="35">
        <v>122.32176288219183</v>
      </c>
      <c r="H4620" s="35">
        <v>-0.29376543799697091</v>
      </c>
      <c r="I4620" s="35">
        <v>8.4027821495265442E-2</v>
      </c>
      <c r="J4620" s="35">
        <v>-2.6661061985390765E-4</v>
      </c>
      <c r="K4620" s="35">
        <v>0.1100749935002379</v>
      </c>
      <c r="L4620" s="35">
        <v>19.292449023842369</v>
      </c>
      <c r="M4620" s="58" t="s">
        <v>23</v>
      </c>
      <c r="N4620" s="7">
        <v>11.333333333333334</v>
      </c>
      <c r="O4620" s="7" t="s">
        <v>180</v>
      </c>
      <c r="P4620" s="7" t="s">
        <v>180</v>
      </c>
    </row>
    <row r="4621" spans="1:16" x14ac:dyDescent="0.25">
      <c r="A4621" t="s">
        <v>183</v>
      </c>
      <c r="B4621" t="s">
        <v>219</v>
      </c>
      <c r="C4621" s="7" t="s">
        <v>163</v>
      </c>
      <c r="D4621" t="s">
        <v>109</v>
      </c>
      <c r="F4621" s="35">
        <v>0</v>
      </c>
      <c r="G4621" s="35">
        <v>-97.574901081425622</v>
      </c>
      <c r="H4621" s="35">
        <v>13.362173275201901</v>
      </c>
      <c r="I4621" s="35">
        <v>-1.6341138638423065</v>
      </c>
      <c r="J4621" s="35">
        <v>2.4928385477271414E-4</v>
      </c>
      <c r="K4621" s="35">
        <v>-0.90012078993366407</v>
      </c>
      <c r="L4621" s="35">
        <v>81.638046049457614</v>
      </c>
      <c r="M4621" s="58" t="s">
        <v>22</v>
      </c>
      <c r="N4621" s="7">
        <v>11.333333333333334</v>
      </c>
      <c r="O4621" s="7" t="s">
        <v>180</v>
      </c>
      <c r="P4621" s="7" t="s">
        <v>180</v>
      </c>
    </row>
    <row r="4622" spans="1:16" x14ac:dyDescent="0.25">
      <c r="A4622" t="s">
        <v>183</v>
      </c>
      <c r="B4622" t="s">
        <v>219</v>
      </c>
      <c r="C4622" s="7" t="s">
        <v>163</v>
      </c>
      <c r="D4622" t="s">
        <v>109</v>
      </c>
      <c r="F4622" s="35">
        <v>0.29999999999999988</v>
      </c>
      <c r="G4622" s="35">
        <v>-97.431995241425625</v>
      </c>
      <c r="H4622" s="35">
        <v>13.362173275201901</v>
      </c>
      <c r="I4622" s="35">
        <v>-1.6341138638423065</v>
      </c>
      <c r="J4622" s="35">
        <v>2.4928385477271414E-4</v>
      </c>
      <c r="K4622" s="35">
        <v>-0.40988663078097243</v>
      </c>
      <c r="L4622" s="35">
        <v>77.629394066897049</v>
      </c>
      <c r="M4622" s="58" t="s">
        <v>22</v>
      </c>
      <c r="N4622" s="7">
        <v>11.333333333333334</v>
      </c>
      <c r="O4622" s="7" t="s">
        <v>180</v>
      </c>
      <c r="P4622" s="7" t="s">
        <v>180</v>
      </c>
    </row>
    <row r="4623" spans="1:16" x14ac:dyDescent="0.25">
      <c r="A4623" t="s">
        <v>183</v>
      </c>
      <c r="B4623" t="s">
        <v>219</v>
      </c>
      <c r="C4623" s="7" t="s">
        <v>163</v>
      </c>
      <c r="D4623" t="s">
        <v>109</v>
      </c>
      <c r="F4623" s="35">
        <v>0.29999999999999988</v>
      </c>
      <c r="G4623" s="35">
        <v>-71.64834057649594</v>
      </c>
      <c r="H4623" s="35">
        <v>13.362173275201883</v>
      </c>
      <c r="I4623" s="35">
        <v>-0.13406882997728192</v>
      </c>
      <c r="J4623" s="35">
        <v>-1.8242127729948751E-4</v>
      </c>
      <c r="K4623" s="35">
        <v>-0.40988663078097293</v>
      </c>
      <c r="L4623" s="35">
        <v>77.629368164589081</v>
      </c>
      <c r="M4623" s="58" t="s">
        <v>22</v>
      </c>
      <c r="N4623" s="7">
        <v>11.333333333333334</v>
      </c>
      <c r="O4623" s="7" t="s">
        <v>180</v>
      </c>
      <c r="P4623" s="7" t="s">
        <v>180</v>
      </c>
    </row>
    <row r="4624" spans="1:16" x14ac:dyDescent="0.25">
      <c r="A4624" t="s">
        <v>183</v>
      </c>
      <c r="B4624" t="s">
        <v>219</v>
      </c>
      <c r="C4624" s="7" t="s">
        <v>163</v>
      </c>
      <c r="D4624" t="s">
        <v>109</v>
      </c>
      <c r="F4624" s="35">
        <v>5.3</v>
      </c>
      <c r="G4624" s="35">
        <v>-69.26657657649595</v>
      </c>
      <c r="H4624" s="35">
        <v>13.362173275201883</v>
      </c>
      <c r="I4624" s="35">
        <v>-0.13406882997728192</v>
      </c>
      <c r="J4624" s="35">
        <v>-1.8242127729948751E-4</v>
      </c>
      <c r="K4624" s="35">
        <v>0.26045751910543674</v>
      </c>
      <c r="L4624" s="35">
        <v>10.818501788579685</v>
      </c>
      <c r="M4624" s="58" t="s">
        <v>24</v>
      </c>
      <c r="N4624" s="7">
        <v>11.333333333333334</v>
      </c>
      <c r="O4624" s="7" t="s">
        <v>180</v>
      </c>
      <c r="P4624" s="7" t="s">
        <v>180</v>
      </c>
    </row>
    <row r="4625" spans="1:16" x14ac:dyDescent="0.25">
      <c r="A4625" t="s">
        <v>183</v>
      </c>
      <c r="B4625" t="s">
        <v>219</v>
      </c>
      <c r="C4625" s="7" t="s">
        <v>163</v>
      </c>
      <c r="D4625" t="s">
        <v>109</v>
      </c>
      <c r="F4625" s="35">
        <v>5.3</v>
      </c>
      <c r="G4625" s="35">
        <v>-89.94170564747867</v>
      </c>
      <c r="H4625" s="35">
        <v>13.362122793727481</v>
      </c>
      <c r="I4625" s="35">
        <v>3.1919141462701382E-2</v>
      </c>
      <c r="J4625" s="35">
        <v>2.9840963087114879E-5</v>
      </c>
      <c r="K4625" s="35">
        <v>0.26045751910543724</v>
      </c>
      <c r="L4625" s="35">
        <v>10.818800258221742</v>
      </c>
      <c r="M4625" s="58" t="s">
        <v>24</v>
      </c>
      <c r="N4625" s="7">
        <v>11.333333333333334</v>
      </c>
      <c r="O4625" s="7" t="s">
        <v>180</v>
      </c>
      <c r="P4625" s="7" t="s">
        <v>180</v>
      </c>
    </row>
    <row r="4626" spans="1:16" x14ac:dyDescent="0.25">
      <c r="A4626" t="s">
        <v>183</v>
      </c>
      <c r="B4626" t="s">
        <v>219</v>
      </c>
      <c r="C4626" s="7" t="s">
        <v>163</v>
      </c>
      <c r="D4626" t="s">
        <v>109</v>
      </c>
      <c r="F4626" s="35">
        <v>5.4149169609489114</v>
      </c>
      <c r="G4626" s="35">
        <v>-89.886964631363185</v>
      </c>
      <c r="H4626" s="35">
        <v>13.362122793727481</v>
      </c>
      <c r="I4626" s="35">
        <v>3.1919141462701382E-2</v>
      </c>
      <c r="J4626" s="35">
        <v>2.9840963087114879E-5</v>
      </c>
      <c r="K4626" s="35">
        <v>0.25678946837244521</v>
      </c>
      <c r="L4626" s="35">
        <v>9.2832657149404021</v>
      </c>
      <c r="M4626" s="58" t="s">
        <v>24</v>
      </c>
      <c r="N4626" s="7">
        <v>11.333333333333334</v>
      </c>
      <c r="O4626" s="7" t="s">
        <v>180</v>
      </c>
      <c r="P4626" s="7" t="s">
        <v>180</v>
      </c>
    </row>
    <row r="4627" spans="1:16" x14ac:dyDescent="0.25">
      <c r="A4627" t="s">
        <v>183</v>
      </c>
      <c r="B4627" t="s">
        <v>219</v>
      </c>
      <c r="C4627" s="7" t="s">
        <v>163</v>
      </c>
      <c r="D4627" t="s">
        <v>109</v>
      </c>
      <c r="F4627" s="35">
        <v>10.829833921897823</v>
      </c>
      <c r="G4627" s="35">
        <v>-87.307553775247669</v>
      </c>
      <c r="H4627" s="35">
        <v>13.362122793727481</v>
      </c>
      <c r="I4627" s="35">
        <v>3.1919141462701382E-2</v>
      </c>
      <c r="J4627" s="35">
        <v>2.9840963087114879E-5</v>
      </c>
      <c r="K4627" s="35">
        <v>8.3949967887135948E-2</v>
      </c>
      <c r="L4627" s="35">
        <v>-63.071519635096557</v>
      </c>
      <c r="M4627" s="58" t="s">
        <v>23</v>
      </c>
      <c r="N4627" s="7">
        <v>11.333333333333334</v>
      </c>
      <c r="O4627" s="7" t="s">
        <v>180</v>
      </c>
      <c r="P4627" s="7" t="s">
        <v>180</v>
      </c>
    </row>
    <row r="4628" spans="1:16" x14ac:dyDescent="0.25">
      <c r="A4628" t="s">
        <v>183</v>
      </c>
      <c r="B4628" t="s">
        <v>219</v>
      </c>
      <c r="C4628" s="7" t="s">
        <v>163</v>
      </c>
      <c r="D4628" t="s">
        <v>110</v>
      </c>
      <c r="F4628" s="35">
        <v>0</v>
      </c>
      <c r="G4628" s="35">
        <v>115.51884822792736</v>
      </c>
      <c r="H4628" s="35">
        <v>-10.263531061122297</v>
      </c>
      <c r="I4628" s="35">
        <v>-4.7553864999282824E-2</v>
      </c>
      <c r="J4628" s="35">
        <v>-2.721529232704319E-4</v>
      </c>
      <c r="K4628" s="35">
        <v>-0.92808986884588418</v>
      </c>
      <c r="L4628" s="35">
        <v>-50.554036553456612</v>
      </c>
      <c r="M4628" s="58" t="s">
        <v>22</v>
      </c>
      <c r="N4628" s="7">
        <v>11.333333333333334</v>
      </c>
      <c r="O4628" s="7" t="s">
        <v>180</v>
      </c>
      <c r="P4628" s="7" t="s">
        <v>180</v>
      </c>
    </row>
    <row r="4629" spans="1:16" x14ac:dyDescent="0.25">
      <c r="A4629" t="s">
        <v>183</v>
      </c>
      <c r="B4629" t="s">
        <v>219</v>
      </c>
      <c r="C4629" s="7" t="s">
        <v>163</v>
      </c>
      <c r="D4629" t="s">
        <v>110</v>
      </c>
      <c r="F4629" s="35">
        <v>0.29999999999999988</v>
      </c>
      <c r="G4629" s="35">
        <v>115.66175406792738</v>
      </c>
      <c r="H4629" s="35">
        <v>-10.263531061122297</v>
      </c>
      <c r="I4629" s="35">
        <v>-4.7553864999282824E-2</v>
      </c>
      <c r="J4629" s="35">
        <v>-2.721529232704319E-4</v>
      </c>
      <c r="K4629" s="35">
        <v>-0.91382370934609936</v>
      </c>
      <c r="L4629" s="35">
        <v>-47.47497723511993</v>
      </c>
      <c r="M4629" s="58" t="s">
        <v>22</v>
      </c>
      <c r="N4629" s="7">
        <v>11.333333333333334</v>
      </c>
      <c r="O4629" s="7" t="s">
        <v>180</v>
      </c>
      <c r="P4629" s="7" t="s">
        <v>180</v>
      </c>
    </row>
    <row r="4630" spans="1:16" x14ac:dyDescent="0.25">
      <c r="A4630" t="s">
        <v>183</v>
      </c>
      <c r="B4630" t="s">
        <v>219</v>
      </c>
      <c r="C4630" s="7" t="s">
        <v>163</v>
      </c>
      <c r="D4630" t="s">
        <v>110</v>
      </c>
      <c r="F4630" s="35">
        <v>0.29999999999999988</v>
      </c>
      <c r="G4630" s="35">
        <v>112.32063994653367</v>
      </c>
      <c r="H4630" s="35">
        <v>-10.263531061122276</v>
      </c>
      <c r="I4630" s="35">
        <v>-0.29499495831365752</v>
      </c>
      <c r="J4630" s="35">
        <v>-6.7758902829198142E-6</v>
      </c>
      <c r="K4630" s="35">
        <v>-0.9138237093460998</v>
      </c>
      <c r="L4630" s="35">
        <v>-47.474961312497932</v>
      </c>
      <c r="M4630" s="58" t="s">
        <v>22</v>
      </c>
      <c r="N4630" s="7">
        <v>11.333333333333334</v>
      </c>
      <c r="O4630" s="7" t="s">
        <v>180</v>
      </c>
      <c r="P4630" s="7" t="s">
        <v>180</v>
      </c>
    </row>
    <row r="4631" spans="1:16" x14ac:dyDescent="0.25">
      <c r="A4631" t="s">
        <v>183</v>
      </c>
      <c r="B4631" t="s">
        <v>219</v>
      </c>
      <c r="C4631" s="7" t="s">
        <v>163</v>
      </c>
      <c r="D4631" t="s">
        <v>110</v>
      </c>
      <c r="F4631" s="35">
        <v>5.3</v>
      </c>
      <c r="G4631" s="35">
        <v>114.70240394653368</v>
      </c>
      <c r="H4631" s="35">
        <v>-10.263531061122276</v>
      </c>
      <c r="I4631" s="35">
        <v>-0.29499495831365752</v>
      </c>
      <c r="J4631" s="35">
        <v>-6.7758902829198142E-6</v>
      </c>
      <c r="K4631" s="35">
        <v>0.56115108222218735</v>
      </c>
      <c r="L4631" s="35">
        <v>3.8426939931134507</v>
      </c>
      <c r="M4631" s="58" t="s">
        <v>24</v>
      </c>
      <c r="N4631" s="7">
        <v>11.333333333333334</v>
      </c>
      <c r="O4631" s="7" t="s">
        <v>180</v>
      </c>
      <c r="P4631" s="7" t="s">
        <v>180</v>
      </c>
    </row>
    <row r="4632" spans="1:16" x14ac:dyDescent="0.25">
      <c r="A4632" t="s">
        <v>183</v>
      </c>
      <c r="B4632" t="s">
        <v>219</v>
      </c>
      <c r="C4632" s="7" t="s">
        <v>163</v>
      </c>
      <c r="D4632" t="s">
        <v>110</v>
      </c>
      <c r="F4632" s="35">
        <v>5.3</v>
      </c>
      <c r="G4632" s="35">
        <v>121.61708729438705</v>
      </c>
      <c r="H4632" s="35">
        <v>-10.263502859409421</v>
      </c>
      <c r="I4632" s="35">
        <v>8.1779804832230046E-2</v>
      </c>
      <c r="J4632" s="35">
        <v>-3.0697020840443878E-4</v>
      </c>
      <c r="K4632" s="35">
        <v>0.56115108222218668</v>
      </c>
      <c r="L4632" s="35">
        <v>3.8422132115548977</v>
      </c>
      <c r="M4632" s="58" t="s">
        <v>24</v>
      </c>
      <c r="N4632" s="7">
        <v>11.333333333333334</v>
      </c>
      <c r="O4632" s="7" t="s">
        <v>180</v>
      </c>
      <c r="P4632" s="7" t="s">
        <v>180</v>
      </c>
    </row>
    <row r="4633" spans="1:16" x14ac:dyDescent="0.25">
      <c r="A4633" t="s">
        <v>183</v>
      </c>
      <c r="B4633" t="s">
        <v>219</v>
      </c>
      <c r="C4633" s="7" t="s">
        <v>163</v>
      </c>
      <c r="D4633" t="s">
        <v>110</v>
      </c>
      <c r="F4633" s="35">
        <v>5.4149169609489114</v>
      </c>
      <c r="G4633" s="35">
        <v>121.67182831050256</v>
      </c>
      <c r="H4633" s="35">
        <v>-10.263502859409421</v>
      </c>
      <c r="I4633" s="35">
        <v>8.1779804832230046E-2</v>
      </c>
      <c r="J4633" s="35">
        <v>-3.0697020840443878E-4</v>
      </c>
      <c r="K4633" s="35">
        <v>0.5517531955838717</v>
      </c>
      <c r="L4633" s="35">
        <v>5.0216637688486898</v>
      </c>
      <c r="M4633" s="58" t="s">
        <v>24</v>
      </c>
      <c r="N4633" s="7">
        <v>11.333333333333334</v>
      </c>
      <c r="O4633" s="7" t="s">
        <v>180</v>
      </c>
      <c r="P4633" s="7" t="s">
        <v>180</v>
      </c>
    </row>
    <row r="4634" spans="1:16" x14ac:dyDescent="0.25">
      <c r="A4634" t="s">
        <v>183</v>
      </c>
      <c r="B4634" t="s">
        <v>219</v>
      </c>
      <c r="C4634" s="7" t="s">
        <v>163</v>
      </c>
      <c r="D4634" t="s">
        <v>110</v>
      </c>
      <c r="F4634" s="35">
        <v>10.829833921897823</v>
      </c>
      <c r="G4634" s="35">
        <v>124.25123916661806</v>
      </c>
      <c r="H4634" s="35">
        <v>-10.263502859409421</v>
      </c>
      <c r="I4634" s="35">
        <v>8.1779804832230046E-2</v>
      </c>
      <c r="J4634" s="35">
        <v>-3.0697020840443878E-4</v>
      </c>
      <c r="K4634" s="35">
        <v>0.10892234333473762</v>
      </c>
      <c r="L4634" s="35">
        <v>60.597679481012406</v>
      </c>
      <c r="M4634" s="58" t="s">
        <v>23</v>
      </c>
      <c r="N4634" s="7">
        <v>11.333333333333334</v>
      </c>
      <c r="O4634" s="7" t="s">
        <v>180</v>
      </c>
      <c r="P4634" s="7" t="s">
        <v>180</v>
      </c>
    </row>
    <row r="4635" spans="1:16" x14ac:dyDescent="0.25">
      <c r="A4635" t="s">
        <v>183</v>
      </c>
      <c r="B4635" t="s">
        <v>219</v>
      </c>
      <c r="C4635" s="7" t="s">
        <v>163</v>
      </c>
      <c r="D4635" t="s">
        <v>111</v>
      </c>
      <c r="F4635" s="35">
        <v>0</v>
      </c>
      <c r="G4635" s="35">
        <v>-1.0053528146065289</v>
      </c>
      <c r="H4635" s="35">
        <v>-22.062723368287987</v>
      </c>
      <c r="I4635" s="35">
        <v>-0.68518285984266836</v>
      </c>
      <c r="J4635" s="35">
        <v>-3.3942268209234038E-4</v>
      </c>
      <c r="K4635" s="35">
        <v>-0.61720376989333903</v>
      </c>
      <c r="L4635" s="35">
        <v>-118.77824930671913</v>
      </c>
      <c r="M4635" s="58" t="s">
        <v>22</v>
      </c>
      <c r="N4635" s="7">
        <v>11.333333333333334</v>
      </c>
      <c r="O4635" s="7" t="s">
        <v>180</v>
      </c>
      <c r="P4635" s="7" t="s">
        <v>180</v>
      </c>
    </row>
    <row r="4636" spans="1:16" x14ac:dyDescent="0.25">
      <c r="A4636" t="s">
        <v>183</v>
      </c>
      <c r="B4636" t="s">
        <v>219</v>
      </c>
      <c r="C4636" s="7" t="s">
        <v>163</v>
      </c>
      <c r="D4636" t="s">
        <v>111</v>
      </c>
      <c r="F4636" s="35">
        <v>0.29999999999999988</v>
      </c>
      <c r="G4636" s="35">
        <v>-0.86244697460652953</v>
      </c>
      <c r="H4636" s="35">
        <v>-22.062723368287987</v>
      </c>
      <c r="I4636" s="35">
        <v>-0.68518285984266836</v>
      </c>
      <c r="J4636" s="35">
        <v>-3.3942268209234038E-4</v>
      </c>
      <c r="K4636" s="35">
        <v>-0.41164891194053854</v>
      </c>
      <c r="L4636" s="35">
        <v>-112.15943229623275</v>
      </c>
      <c r="M4636" s="58" t="s">
        <v>22</v>
      </c>
      <c r="N4636" s="7">
        <v>11.333333333333334</v>
      </c>
      <c r="O4636" s="7" t="s">
        <v>180</v>
      </c>
      <c r="P4636" s="7" t="s">
        <v>180</v>
      </c>
    </row>
    <row r="4637" spans="1:16" x14ac:dyDescent="0.25">
      <c r="A4637" t="s">
        <v>183</v>
      </c>
      <c r="B4637" t="s">
        <v>219</v>
      </c>
      <c r="C4637" s="7" t="s">
        <v>163</v>
      </c>
      <c r="D4637" t="s">
        <v>111</v>
      </c>
      <c r="F4637" s="35">
        <v>0.29999999999999988</v>
      </c>
      <c r="G4637" s="35">
        <v>9.1258529082021003</v>
      </c>
      <c r="H4637" s="35">
        <v>-22.062723368287891</v>
      </c>
      <c r="I4637" s="35">
        <v>-0.13285911290490371</v>
      </c>
      <c r="J4637" s="35">
        <v>2.3742835952989037E-4</v>
      </c>
      <c r="K4637" s="35">
        <v>-0.41164891194053899</v>
      </c>
      <c r="L4637" s="35">
        <v>-112.15939768517023</v>
      </c>
      <c r="M4637" s="58" t="s">
        <v>22</v>
      </c>
      <c r="N4637" s="7">
        <v>11.333333333333334</v>
      </c>
      <c r="O4637" s="7" t="s">
        <v>180</v>
      </c>
      <c r="P4637" s="7" t="s">
        <v>180</v>
      </c>
    </row>
    <row r="4638" spans="1:16" x14ac:dyDescent="0.25">
      <c r="A4638" t="s">
        <v>183</v>
      </c>
      <c r="B4638" t="s">
        <v>219</v>
      </c>
      <c r="C4638" s="7" t="s">
        <v>163</v>
      </c>
      <c r="D4638" t="s">
        <v>111</v>
      </c>
      <c r="F4638" s="35">
        <v>5.3</v>
      </c>
      <c r="G4638" s="35">
        <v>11.507616908202099</v>
      </c>
      <c r="H4638" s="35">
        <v>-22.062723368287891</v>
      </c>
      <c r="I4638" s="35">
        <v>-0.13285911290490371</v>
      </c>
      <c r="J4638" s="35">
        <v>2.3742835952989037E-4</v>
      </c>
      <c r="K4638" s="35">
        <v>0.25264665258397934</v>
      </c>
      <c r="L4638" s="35">
        <v>-1.845780843730789</v>
      </c>
      <c r="M4638" s="58" t="s">
        <v>24</v>
      </c>
      <c r="N4638" s="7">
        <v>11.333333333333334</v>
      </c>
      <c r="O4638" s="7" t="s">
        <v>180</v>
      </c>
      <c r="P4638" s="7" t="s">
        <v>180</v>
      </c>
    </row>
    <row r="4639" spans="1:16" x14ac:dyDescent="0.25">
      <c r="A4639" t="s">
        <v>183</v>
      </c>
      <c r="B4639" t="s">
        <v>219</v>
      </c>
      <c r="C4639" s="7" t="s">
        <v>163</v>
      </c>
      <c r="D4639" t="s">
        <v>111</v>
      </c>
      <c r="F4639" s="35">
        <v>5.3</v>
      </c>
      <c r="G4639" s="35">
        <v>5.5182050758376056</v>
      </c>
      <c r="H4639" s="35">
        <v>-22.062642869887338</v>
      </c>
      <c r="I4639" s="35">
        <v>3.0651186024463779E-2</v>
      </c>
      <c r="J4639" s="35">
        <v>-2.9288316422779458E-4</v>
      </c>
      <c r="K4639" s="35">
        <v>0.25264665258397978</v>
      </c>
      <c r="L4639" s="35">
        <v>-1.8465317602278408</v>
      </c>
      <c r="M4639" s="58" t="s">
        <v>24</v>
      </c>
      <c r="N4639" s="7">
        <v>11.333333333333334</v>
      </c>
      <c r="O4639" s="7" t="s">
        <v>180</v>
      </c>
      <c r="P4639" s="7" t="s">
        <v>180</v>
      </c>
    </row>
    <row r="4640" spans="1:16" x14ac:dyDescent="0.25">
      <c r="A4640" t="s">
        <v>183</v>
      </c>
      <c r="B4640" t="s">
        <v>219</v>
      </c>
      <c r="C4640" s="7" t="s">
        <v>163</v>
      </c>
      <c r="D4640" t="s">
        <v>111</v>
      </c>
      <c r="F4640" s="35">
        <v>5.4149169609489114</v>
      </c>
      <c r="G4640" s="35">
        <v>5.5729460919531109</v>
      </c>
      <c r="H4640" s="35">
        <v>-22.062642869887338</v>
      </c>
      <c r="I4640" s="35">
        <v>3.0651186024463779E-2</v>
      </c>
      <c r="J4640" s="35">
        <v>-2.9288316422779458E-4</v>
      </c>
      <c r="K4640" s="35">
        <v>0.24912431143656863</v>
      </c>
      <c r="L4640" s="35">
        <v>0.68884010888078184</v>
      </c>
      <c r="M4640" s="58" t="s">
        <v>24</v>
      </c>
      <c r="N4640" s="7">
        <v>11.333333333333334</v>
      </c>
      <c r="O4640" s="7" t="s">
        <v>180</v>
      </c>
      <c r="P4640" s="7" t="s">
        <v>180</v>
      </c>
    </row>
    <row r="4641" spans="1:16" x14ac:dyDescent="0.25">
      <c r="A4641" t="s">
        <v>183</v>
      </c>
      <c r="B4641" t="s">
        <v>219</v>
      </c>
      <c r="C4641" s="7" t="s">
        <v>163</v>
      </c>
      <c r="D4641" t="s">
        <v>111</v>
      </c>
      <c r="F4641" s="35">
        <v>10.829833921897823</v>
      </c>
      <c r="G4641" s="35">
        <v>8.1523569480686113</v>
      </c>
      <c r="H4641" s="35">
        <v>-22.062642869887338</v>
      </c>
      <c r="I4641" s="35">
        <v>3.0651186024463779E-2</v>
      </c>
      <c r="J4641" s="35">
        <v>-2.9288316422779458E-4</v>
      </c>
      <c r="K4641" s="35">
        <v>8.3150684359499558E-2</v>
      </c>
      <c r="L4641" s="35">
        <v>120.15621918839227</v>
      </c>
      <c r="M4641" s="58" t="s">
        <v>23</v>
      </c>
      <c r="N4641" s="7">
        <v>11.333333333333334</v>
      </c>
      <c r="O4641" s="7" t="s">
        <v>180</v>
      </c>
      <c r="P4641" s="7" t="s">
        <v>180</v>
      </c>
    </row>
    <row r="4642" spans="1:16" x14ac:dyDescent="0.25">
      <c r="A4642" t="s">
        <v>183</v>
      </c>
      <c r="B4642" t="s">
        <v>219</v>
      </c>
      <c r="C4642" s="7" t="s">
        <v>163</v>
      </c>
      <c r="D4642" t="s">
        <v>112</v>
      </c>
      <c r="F4642" s="35">
        <v>0</v>
      </c>
      <c r="G4642" s="35">
        <v>35.116841625187902</v>
      </c>
      <c r="H4642" s="35">
        <v>-4.288490027877657</v>
      </c>
      <c r="I4642" s="35">
        <v>-3.0864484332412294</v>
      </c>
      <c r="J4642" s="35">
        <v>-3.9533757768552989E-4</v>
      </c>
      <c r="K4642" s="35">
        <v>-4.1542957148284634</v>
      </c>
      <c r="L4642" s="35">
        <v>-15.805055660596254</v>
      </c>
      <c r="M4642" s="58" t="s">
        <v>22</v>
      </c>
      <c r="N4642" s="7">
        <v>11.333333333333334</v>
      </c>
      <c r="O4642" s="7" t="s">
        <v>180</v>
      </c>
      <c r="P4642" s="7" t="s">
        <v>180</v>
      </c>
    </row>
    <row r="4643" spans="1:16" x14ac:dyDescent="0.25">
      <c r="A4643" t="s">
        <v>183</v>
      </c>
      <c r="B4643" t="s">
        <v>219</v>
      </c>
      <c r="C4643" s="7" t="s">
        <v>163</v>
      </c>
      <c r="D4643" t="s">
        <v>112</v>
      </c>
      <c r="F4643" s="35">
        <v>0.29999999999999988</v>
      </c>
      <c r="G4643" s="35">
        <v>35.259747465187907</v>
      </c>
      <c r="H4643" s="35">
        <v>-4.288490027877657</v>
      </c>
      <c r="I4643" s="35">
        <v>-3.0864484332412294</v>
      </c>
      <c r="J4643" s="35">
        <v>-3.9533757768552989E-4</v>
      </c>
      <c r="K4643" s="35">
        <v>-3.2283611848560949</v>
      </c>
      <c r="L4643" s="35">
        <v>-14.51850865223296</v>
      </c>
      <c r="M4643" s="58" t="s">
        <v>22</v>
      </c>
      <c r="N4643" s="7">
        <v>11.333333333333334</v>
      </c>
      <c r="O4643" s="7" t="s">
        <v>180</v>
      </c>
      <c r="P4643" s="7" t="s">
        <v>180</v>
      </c>
    </row>
    <row r="4644" spans="1:16" x14ac:dyDescent="0.25">
      <c r="A4644" t="s">
        <v>183</v>
      </c>
      <c r="B4644" t="s">
        <v>219</v>
      </c>
      <c r="C4644" s="7" t="s">
        <v>163</v>
      </c>
      <c r="D4644" t="s">
        <v>112</v>
      </c>
      <c r="F4644" s="35">
        <v>0.29999999999999988</v>
      </c>
      <c r="G4644" s="35">
        <v>70.109912013471188</v>
      </c>
      <c r="H4644" s="35">
        <v>-4.2884900278776339</v>
      </c>
      <c r="I4644" s="35">
        <v>-1.0424128063749933</v>
      </c>
      <c r="J4644" s="35">
        <v>-2.3147982271666954E-4</v>
      </c>
      <c r="K4644" s="35">
        <v>-3.228361184856094</v>
      </c>
      <c r="L4644" s="35">
        <v>-14.518498820767656</v>
      </c>
      <c r="M4644" s="58" t="s">
        <v>22</v>
      </c>
      <c r="N4644" s="7">
        <v>11.333333333333334</v>
      </c>
      <c r="O4644" s="7" t="s">
        <v>180</v>
      </c>
      <c r="P4644" s="7" t="s">
        <v>180</v>
      </c>
    </row>
    <row r="4645" spans="1:16" x14ac:dyDescent="0.25">
      <c r="A4645" t="s">
        <v>183</v>
      </c>
      <c r="B4645" t="s">
        <v>219</v>
      </c>
      <c r="C4645" s="7" t="s">
        <v>163</v>
      </c>
      <c r="D4645" t="s">
        <v>112</v>
      </c>
      <c r="F4645" s="35">
        <v>5.3</v>
      </c>
      <c r="G4645" s="35">
        <v>72.491676013471192</v>
      </c>
      <c r="H4645" s="35">
        <v>-4.2884900278776339</v>
      </c>
      <c r="I4645" s="35">
        <v>-1.0424128063749933</v>
      </c>
      <c r="J4645" s="35">
        <v>-2.3147982271666954E-4</v>
      </c>
      <c r="K4645" s="35">
        <v>1.9837028470188729</v>
      </c>
      <c r="L4645" s="35">
        <v>6.9239513186205111</v>
      </c>
      <c r="M4645" s="58" t="s">
        <v>24</v>
      </c>
      <c r="N4645" s="7">
        <v>11.333333333333334</v>
      </c>
      <c r="O4645" s="7" t="s">
        <v>180</v>
      </c>
      <c r="P4645" s="7" t="s">
        <v>180</v>
      </c>
    </row>
    <row r="4646" spans="1:16" x14ac:dyDescent="0.25">
      <c r="A4646" t="s">
        <v>183</v>
      </c>
      <c r="B4646" t="s">
        <v>219</v>
      </c>
      <c r="C4646" s="7" t="s">
        <v>163</v>
      </c>
      <c r="D4646" t="s">
        <v>112</v>
      </c>
      <c r="F4646" s="35">
        <v>5.3</v>
      </c>
      <c r="G4646" s="35">
        <v>45.919454333782568</v>
      </c>
      <c r="H4646" s="35">
        <v>-4.2885006581134855</v>
      </c>
      <c r="I4646" s="35">
        <v>0.31776537223054097</v>
      </c>
      <c r="J4646" s="35">
        <v>-4.1410688140552313E-4</v>
      </c>
      <c r="K4646" s="35">
        <v>1.9837028470188596</v>
      </c>
      <c r="L4646" s="35">
        <v>6.9235249484301562</v>
      </c>
      <c r="M4646" s="58" t="s">
        <v>24</v>
      </c>
      <c r="N4646" s="7">
        <v>11.333333333333334</v>
      </c>
      <c r="O4646" s="7" t="s">
        <v>180</v>
      </c>
      <c r="P4646" s="7" t="s">
        <v>180</v>
      </c>
    </row>
    <row r="4647" spans="1:16" x14ac:dyDescent="0.25">
      <c r="A4647" t="s">
        <v>183</v>
      </c>
      <c r="B4647" t="s">
        <v>219</v>
      </c>
      <c r="C4647" s="7" t="s">
        <v>163</v>
      </c>
      <c r="D4647" t="s">
        <v>112</v>
      </c>
      <c r="F4647" s="35">
        <v>5.4149169609489114</v>
      </c>
      <c r="G4647" s="35">
        <v>45.974195349898075</v>
      </c>
      <c r="H4647" s="35">
        <v>-4.2885006581134855</v>
      </c>
      <c r="I4647" s="35">
        <v>0.31776537223054097</v>
      </c>
      <c r="J4647" s="35">
        <v>-4.1410688140552313E-4</v>
      </c>
      <c r="K4647" s="35">
        <v>1.9471862161473263</v>
      </c>
      <c r="L4647" s="35">
        <v>7.4163464110879644</v>
      </c>
      <c r="M4647" s="58" t="s">
        <v>24</v>
      </c>
      <c r="N4647" s="7">
        <v>11.333333333333334</v>
      </c>
      <c r="O4647" s="7" t="s">
        <v>180</v>
      </c>
      <c r="P4647" s="7" t="s">
        <v>180</v>
      </c>
    </row>
    <row r="4648" spans="1:16" x14ac:dyDescent="0.25">
      <c r="A4648" t="s">
        <v>183</v>
      </c>
      <c r="B4648" t="s">
        <v>219</v>
      </c>
      <c r="C4648" s="7" t="s">
        <v>163</v>
      </c>
      <c r="D4648" t="s">
        <v>112</v>
      </c>
      <c r="F4648" s="35">
        <v>10.829833921897823</v>
      </c>
      <c r="G4648" s="35">
        <v>48.553606206013576</v>
      </c>
      <c r="H4648" s="35">
        <v>-4.2885006581134855</v>
      </c>
      <c r="I4648" s="35">
        <v>0.31776537223054097</v>
      </c>
      <c r="J4648" s="35">
        <v>-4.1410688140552313E-4</v>
      </c>
      <c r="K4648" s="35">
        <v>0.22651311245392652</v>
      </c>
      <c r="L4648" s="35">
        <v>30.638221361747242</v>
      </c>
      <c r="M4648" s="58" t="s">
        <v>23</v>
      </c>
      <c r="N4648" s="7">
        <v>11.333333333333334</v>
      </c>
      <c r="O4648" s="7" t="s">
        <v>180</v>
      </c>
      <c r="P4648" s="7" t="s">
        <v>180</v>
      </c>
    </row>
    <row r="4649" spans="1:16" x14ac:dyDescent="0.25">
      <c r="A4649" t="s">
        <v>183</v>
      </c>
      <c r="B4649" t="s">
        <v>219</v>
      </c>
      <c r="C4649" s="7" t="s">
        <v>163</v>
      </c>
      <c r="D4649" t="s">
        <v>113</v>
      </c>
      <c r="F4649" s="35">
        <v>0</v>
      </c>
      <c r="G4649" s="35">
        <v>-36.159578169846583</v>
      </c>
      <c r="H4649" s="35">
        <v>-1.3588862030037605</v>
      </c>
      <c r="I4649" s="35">
        <v>-3.4251863762737496</v>
      </c>
      <c r="J4649" s="35">
        <v>-3.7012510793399866E-4</v>
      </c>
      <c r="K4649" s="35">
        <v>-3.9011613381348775</v>
      </c>
      <c r="L4649" s="35">
        <v>-6.2382216930703542</v>
      </c>
      <c r="M4649" s="58" t="s">
        <v>22</v>
      </c>
      <c r="N4649" s="7">
        <v>11.333333333333334</v>
      </c>
      <c r="O4649" s="7" t="s">
        <v>180</v>
      </c>
      <c r="P4649" s="7" t="s">
        <v>180</v>
      </c>
    </row>
    <row r="4650" spans="1:16" x14ac:dyDescent="0.25">
      <c r="A4650" t="s">
        <v>183</v>
      </c>
      <c r="B4650" t="s">
        <v>219</v>
      </c>
      <c r="C4650" s="7" t="s">
        <v>163</v>
      </c>
      <c r="D4650" t="s">
        <v>113</v>
      </c>
      <c r="F4650" s="35">
        <v>0.29999999999999988</v>
      </c>
      <c r="G4650" s="35">
        <v>-36.016672329846571</v>
      </c>
      <c r="H4650" s="35">
        <v>-1.3588862030037605</v>
      </c>
      <c r="I4650" s="35">
        <v>-3.4251863762737496</v>
      </c>
      <c r="J4650" s="35">
        <v>-3.7012510793399866E-4</v>
      </c>
      <c r="K4650" s="35">
        <v>-2.8736054252527525</v>
      </c>
      <c r="L4650" s="35">
        <v>-5.8305558321692263</v>
      </c>
      <c r="M4650" s="58" t="s">
        <v>22</v>
      </c>
      <c r="N4650" s="7">
        <v>11.333333333333334</v>
      </c>
      <c r="O4650" s="7" t="s">
        <v>180</v>
      </c>
      <c r="P4650" s="7" t="s">
        <v>180</v>
      </c>
    </row>
    <row r="4651" spans="1:16" x14ac:dyDescent="0.25">
      <c r="A4651" t="s">
        <v>183</v>
      </c>
      <c r="B4651" t="s">
        <v>219</v>
      </c>
      <c r="C4651" s="7" t="s">
        <v>163</v>
      </c>
      <c r="D4651" t="s">
        <v>113</v>
      </c>
      <c r="F4651" s="35">
        <v>0.29999999999999988</v>
      </c>
      <c r="G4651" s="35">
        <v>6.3967951706312878</v>
      </c>
      <c r="H4651" s="35">
        <v>-1.3588862030037643</v>
      </c>
      <c r="I4651" s="35">
        <v>-0.92735257227583479</v>
      </c>
      <c r="J4651" s="35">
        <v>-2.4122466745293009E-4</v>
      </c>
      <c r="K4651" s="35">
        <v>-2.8736054252527543</v>
      </c>
      <c r="L4651" s="35">
        <v>-5.8305480981427982</v>
      </c>
      <c r="M4651" s="58" t="s">
        <v>22</v>
      </c>
      <c r="N4651" s="7">
        <v>11.333333333333334</v>
      </c>
      <c r="O4651" s="7" t="s">
        <v>180</v>
      </c>
      <c r="P4651" s="7" t="s">
        <v>180</v>
      </c>
    </row>
    <row r="4652" spans="1:16" x14ac:dyDescent="0.25">
      <c r="A4652" t="s">
        <v>183</v>
      </c>
      <c r="B4652" t="s">
        <v>219</v>
      </c>
      <c r="C4652" s="7" t="s">
        <v>163</v>
      </c>
      <c r="D4652" t="s">
        <v>113</v>
      </c>
      <c r="F4652" s="35">
        <v>5.3</v>
      </c>
      <c r="G4652" s="35">
        <v>8.7785591706312971</v>
      </c>
      <c r="H4652" s="35">
        <v>-1.3588862030037643</v>
      </c>
      <c r="I4652" s="35">
        <v>-0.92735257227583479</v>
      </c>
      <c r="J4652" s="35">
        <v>-2.4122466745293009E-4</v>
      </c>
      <c r="K4652" s="35">
        <v>1.7631574361264195</v>
      </c>
      <c r="L4652" s="35">
        <v>0.96388291687602157</v>
      </c>
      <c r="M4652" s="58" t="s">
        <v>24</v>
      </c>
      <c r="N4652" s="7">
        <v>11.333333333333334</v>
      </c>
      <c r="O4652" s="7" t="s">
        <v>180</v>
      </c>
      <c r="P4652" s="7" t="s">
        <v>180</v>
      </c>
    </row>
    <row r="4653" spans="1:16" x14ac:dyDescent="0.25">
      <c r="A4653" t="s">
        <v>183</v>
      </c>
      <c r="B4653" t="s">
        <v>219</v>
      </c>
      <c r="C4653" s="7" t="s">
        <v>163</v>
      </c>
      <c r="D4653" t="s">
        <v>113</v>
      </c>
      <c r="F4653" s="35">
        <v>5.3</v>
      </c>
      <c r="G4653" s="35">
        <v>-25.183643405162652</v>
      </c>
      <c r="H4653" s="35">
        <v>-1.3589037684650309</v>
      </c>
      <c r="I4653" s="35">
        <v>0.28119734072586305</v>
      </c>
      <c r="J4653" s="35">
        <v>-2.8529595731130773E-4</v>
      </c>
      <c r="K4653" s="35">
        <v>1.7631574361264262</v>
      </c>
      <c r="L4653" s="35">
        <v>0.96366929420646996</v>
      </c>
      <c r="M4653" s="58" t="s">
        <v>24</v>
      </c>
      <c r="N4653" s="7">
        <v>11.333333333333334</v>
      </c>
      <c r="O4653" s="7" t="s">
        <v>180</v>
      </c>
      <c r="P4653" s="7" t="s">
        <v>180</v>
      </c>
    </row>
    <row r="4654" spans="1:16" x14ac:dyDescent="0.25">
      <c r="A4654" t="s">
        <v>183</v>
      </c>
      <c r="B4654" t="s">
        <v>219</v>
      </c>
      <c r="C4654" s="7" t="s">
        <v>163</v>
      </c>
      <c r="D4654" t="s">
        <v>113</v>
      </c>
      <c r="F4654" s="35">
        <v>5.4149169609489114</v>
      </c>
      <c r="G4654" s="35">
        <v>-25.128902389047138</v>
      </c>
      <c r="H4654" s="35">
        <v>-1.3589037684650309</v>
      </c>
      <c r="I4654" s="35">
        <v>0.28119734072586305</v>
      </c>
      <c r="J4654" s="35">
        <v>-2.8529595731130773E-4</v>
      </c>
      <c r="K4654" s="35">
        <v>1.7308430923032945</v>
      </c>
      <c r="L4654" s="35">
        <v>1.1198303855004941</v>
      </c>
      <c r="M4654" s="58" t="s">
        <v>24</v>
      </c>
      <c r="N4654" s="7">
        <v>11.333333333333334</v>
      </c>
      <c r="O4654" s="7" t="s">
        <v>180</v>
      </c>
      <c r="P4654" s="7" t="s">
        <v>180</v>
      </c>
    </row>
    <row r="4655" spans="1:16" x14ac:dyDescent="0.25">
      <c r="A4655" t="s">
        <v>183</v>
      </c>
      <c r="B4655" t="s">
        <v>219</v>
      </c>
      <c r="C4655" s="7" t="s">
        <v>163</v>
      </c>
      <c r="D4655" t="s">
        <v>113</v>
      </c>
      <c r="F4655" s="35">
        <v>10.829833921897823</v>
      </c>
      <c r="G4655" s="35">
        <v>-22.54949153293164</v>
      </c>
      <c r="H4655" s="35">
        <v>-1.3589037684650309</v>
      </c>
      <c r="I4655" s="35">
        <v>0.28119734072586305</v>
      </c>
      <c r="J4655" s="35">
        <v>-2.8529595731130773E-4</v>
      </c>
      <c r="K4655" s="35">
        <v>0.20818284263308906</v>
      </c>
      <c r="L4655" s="35">
        <v>8.4781814496591785</v>
      </c>
      <c r="M4655" s="58" t="s">
        <v>23</v>
      </c>
      <c r="N4655" s="7">
        <v>11.333333333333334</v>
      </c>
      <c r="O4655" s="7" t="s">
        <v>180</v>
      </c>
      <c r="P4655" s="7" t="s">
        <v>180</v>
      </c>
    </row>
    <row r="4656" spans="1:16" x14ac:dyDescent="0.25">
      <c r="A4656" t="s">
        <v>183</v>
      </c>
      <c r="B4656" t="s">
        <v>219</v>
      </c>
      <c r="C4656" s="7" t="s">
        <v>163</v>
      </c>
      <c r="D4656" t="s">
        <v>114</v>
      </c>
      <c r="F4656" s="35">
        <v>0</v>
      </c>
      <c r="G4656" s="35">
        <v>53.372636672259254</v>
      </c>
      <c r="H4656" s="35">
        <v>-3.4237419247259178</v>
      </c>
      <c r="I4656" s="35">
        <v>3.4196697962610108</v>
      </c>
      <c r="J4656" s="35">
        <v>4.6217910600768967E-4</v>
      </c>
      <c r="K4656" s="35">
        <v>4.2085222997571119</v>
      </c>
      <c r="L4656" s="35">
        <v>-12.20235966143718</v>
      </c>
      <c r="M4656" s="58" t="s">
        <v>22</v>
      </c>
      <c r="N4656" s="7">
        <v>11.333333333333334</v>
      </c>
      <c r="O4656" s="7" t="s">
        <v>180</v>
      </c>
      <c r="P4656" s="7" t="s">
        <v>180</v>
      </c>
    </row>
    <row r="4657" spans="1:16" x14ac:dyDescent="0.25">
      <c r="A4657" t="s">
        <v>183</v>
      </c>
      <c r="B4657" t="s">
        <v>219</v>
      </c>
      <c r="C4657" s="7" t="s">
        <v>163</v>
      </c>
      <c r="D4657" t="s">
        <v>114</v>
      </c>
      <c r="F4657" s="35">
        <v>0.29999999999999988</v>
      </c>
      <c r="G4657" s="35">
        <v>53.515542512259259</v>
      </c>
      <c r="H4657" s="35">
        <v>-3.4237419247259178</v>
      </c>
      <c r="I4657" s="35">
        <v>3.4196697962610108</v>
      </c>
      <c r="J4657" s="35">
        <v>4.6217910600768967E-4</v>
      </c>
      <c r="K4657" s="35">
        <v>3.1826213608788096</v>
      </c>
      <c r="L4657" s="35">
        <v>-11.175237084019404</v>
      </c>
      <c r="M4657" s="58" t="s">
        <v>22</v>
      </c>
      <c r="N4657" s="7">
        <v>11.333333333333334</v>
      </c>
      <c r="O4657" s="7" t="s">
        <v>180</v>
      </c>
      <c r="P4657" s="7" t="s">
        <v>180</v>
      </c>
    </row>
    <row r="4658" spans="1:16" x14ac:dyDescent="0.25">
      <c r="A4658" t="s">
        <v>183</v>
      </c>
      <c r="B4658" t="s">
        <v>219</v>
      </c>
      <c r="C4658" s="7" t="s">
        <v>163</v>
      </c>
      <c r="D4658" t="s">
        <v>114</v>
      </c>
      <c r="F4658" s="35">
        <v>0.29999999999999988</v>
      </c>
      <c r="G4658" s="35">
        <v>14.549134819264623</v>
      </c>
      <c r="H4658" s="35">
        <v>-3.4237419247259218</v>
      </c>
      <c r="I4658" s="35">
        <v>1.0347110886506026</v>
      </c>
      <c r="J4658" s="35">
        <v>3.7531089147393982E-4</v>
      </c>
      <c r="K4658" s="35">
        <v>3.1826213608788088</v>
      </c>
      <c r="L4658" s="35">
        <v>-11.175242296112273</v>
      </c>
      <c r="M4658" s="58" t="s">
        <v>22</v>
      </c>
      <c r="N4658" s="7">
        <v>11.333333333333334</v>
      </c>
      <c r="O4658" s="7" t="s">
        <v>180</v>
      </c>
      <c r="P4658" s="7" t="s">
        <v>180</v>
      </c>
    </row>
    <row r="4659" spans="1:16" x14ac:dyDescent="0.25">
      <c r="A4659" t="s">
        <v>183</v>
      </c>
      <c r="B4659" t="s">
        <v>219</v>
      </c>
      <c r="C4659" s="7" t="s">
        <v>163</v>
      </c>
      <c r="D4659" t="s">
        <v>114</v>
      </c>
      <c r="F4659" s="35">
        <v>5.3</v>
      </c>
      <c r="G4659" s="35">
        <v>16.930898819264634</v>
      </c>
      <c r="H4659" s="35">
        <v>-3.4237419247259218</v>
      </c>
      <c r="I4659" s="35">
        <v>1.0347110886506026</v>
      </c>
      <c r="J4659" s="35">
        <v>3.7531089147393982E-4</v>
      </c>
      <c r="K4659" s="35">
        <v>-1.9909340823742039</v>
      </c>
      <c r="L4659" s="35">
        <v>5.943467327517336</v>
      </c>
      <c r="M4659" s="58" t="s">
        <v>24</v>
      </c>
      <c r="N4659" s="7">
        <v>11.333333333333334</v>
      </c>
      <c r="O4659" s="7" t="s">
        <v>180</v>
      </c>
      <c r="P4659" s="7" t="s">
        <v>180</v>
      </c>
    </row>
    <row r="4660" spans="1:16" x14ac:dyDescent="0.25">
      <c r="A4660" t="s">
        <v>183</v>
      </c>
      <c r="B4660" t="s">
        <v>219</v>
      </c>
      <c r="C4660" s="7" t="s">
        <v>163</v>
      </c>
      <c r="D4660" t="s">
        <v>114</v>
      </c>
      <c r="F4660" s="35">
        <v>5.3</v>
      </c>
      <c r="G4660" s="35">
        <v>53.218967873188191</v>
      </c>
      <c r="H4660" s="35">
        <v>-3.4237035757562699</v>
      </c>
      <c r="I4660" s="35">
        <v>-0.34147929352126144</v>
      </c>
      <c r="J4660" s="35">
        <v>2.2536949622915919E-4</v>
      </c>
      <c r="K4660" s="35">
        <v>-1.9909340823742001</v>
      </c>
      <c r="L4660" s="35">
        <v>5.9434365208899589</v>
      </c>
      <c r="M4660" s="58" t="s">
        <v>24</v>
      </c>
      <c r="N4660" s="7">
        <v>11.333333333333334</v>
      </c>
      <c r="O4660" s="7" t="s">
        <v>180</v>
      </c>
      <c r="P4660" s="7" t="s">
        <v>180</v>
      </c>
    </row>
    <row r="4661" spans="1:16" x14ac:dyDescent="0.25">
      <c r="A4661" t="s">
        <v>183</v>
      </c>
      <c r="B4661" t="s">
        <v>219</v>
      </c>
      <c r="C4661" s="7" t="s">
        <v>163</v>
      </c>
      <c r="D4661" t="s">
        <v>114</v>
      </c>
      <c r="F4661" s="35">
        <v>5.4149169609489114</v>
      </c>
      <c r="G4661" s="35">
        <v>53.273708889303705</v>
      </c>
      <c r="H4661" s="35">
        <v>-3.4237035757562699</v>
      </c>
      <c r="I4661" s="35">
        <v>-0.34147929352126144</v>
      </c>
      <c r="J4661" s="35">
        <v>2.2536949622915919E-4</v>
      </c>
      <c r="K4661" s="35">
        <v>-1.9516923197357556</v>
      </c>
      <c r="L4661" s="35">
        <v>6.3368781310057916</v>
      </c>
      <c r="M4661" s="58" t="s">
        <v>24</v>
      </c>
      <c r="N4661" s="7">
        <v>11.333333333333334</v>
      </c>
      <c r="O4661" s="7" t="s">
        <v>180</v>
      </c>
      <c r="P4661" s="7" t="s">
        <v>180</v>
      </c>
    </row>
    <row r="4662" spans="1:16" x14ac:dyDescent="0.25">
      <c r="A4662" t="s">
        <v>183</v>
      </c>
      <c r="B4662" t="s">
        <v>219</v>
      </c>
      <c r="C4662" s="7" t="s">
        <v>163</v>
      </c>
      <c r="D4662" t="s">
        <v>114</v>
      </c>
      <c r="F4662" s="35">
        <v>10.829833921897823</v>
      </c>
      <c r="G4662" s="35">
        <v>55.853119745419207</v>
      </c>
      <c r="H4662" s="35">
        <v>-3.4237035757562699</v>
      </c>
      <c r="I4662" s="35">
        <v>-0.34147929352126144</v>
      </c>
      <c r="J4662" s="35">
        <v>2.2536949622915919E-4</v>
      </c>
      <c r="K4662" s="35">
        <v>-0.10261030143462593</v>
      </c>
      <c r="L4662" s="35">
        <v>24.875948692629844</v>
      </c>
      <c r="M4662" s="58" t="s">
        <v>23</v>
      </c>
      <c r="N4662" s="7">
        <v>11.333333333333334</v>
      </c>
      <c r="O4662" s="7" t="s">
        <v>180</v>
      </c>
      <c r="P4662" s="7" t="s">
        <v>180</v>
      </c>
    </row>
    <row r="4663" spans="1:16" x14ac:dyDescent="0.25">
      <c r="A4663" t="s">
        <v>183</v>
      </c>
      <c r="B4663" t="s">
        <v>219</v>
      </c>
      <c r="C4663" s="7" t="s">
        <v>163</v>
      </c>
      <c r="D4663" t="s">
        <v>115</v>
      </c>
      <c r="F4663" s="35">
        <v>0</v>
      </c>
      <c r="G4663" s="35">
        <v>-17.912595304969926</v>
      </c>
      <c r="H4663" s="35">
        <v>-0.495444423166019</v>
      </c>
      <c r="I4663" s="35">
        <v>3.0785392988654872</v>
      </c>
      <c r="J4663" s="35">
        <v>4.8633673033850872E-4</v>
      </c>
      <c r="K4663" s="35">
        <v>4.4585995286085609</v>
      </c>
      <c r="L4663" s="35">
        <v>-2.6409688549695911</v>
      </c>
      <c r="M4663" s="58" t="s">
        <v>22</v>
      </c>
      <c r="N4663" s="7">
        <v>11.333333333333334</v>
      </c>
      <c r="O4663" s="7" t="s">
        <v>180</v>
      </c>
      <c r="P4663" s="7" t="s">
        <v>180</v>
      </c>
    </row>
    <row r="4664" spans="1:16" x14ac:dyDescent="0.25">
      <c r="A4664" t="s">
        <v>183</v>
      </c>
      <c r="B4664" t="s">
        <v>219</v>
      </c>
      <c r="C4664" s="7" t="s">
        <v>163</v>
      </c>
      <c r="D4664" t="s">
        <v>115</v>
      </c>
      <c r="F4664" s="35">
        <v>0.29999999999999988</v>
      </c>
      <c r="G4664" s="35">
        <v>-17.769689464969922</v>
      </c>
      <c r="H4664" s="35">
        <v>-0.495444423166019</v>
      </c>
      <c r="I4664" s="35">
        <v>3.0785392988654872</v>
      </c>
      <c r="J4664" s="35">
        <v>4.8633673033850872E-4</v>
      </c>
      <c r="K4664" s="35">
        <v>3.5350377389489163</v>
      </c>
      <c r="L4664" s="35">
        <v>-2.4923355280197863</v>
      </c>
      <c r="M4664" s="58" t="s">
        <v>22</v>
      </c>
      <c r="N4664" s="7">
        <v>11.333333333333334</v>
      </c>
      <c r="O4664" s="7" t="s">
        <v>180</v>
      </c>
      <c r="P4664" s="7" t="s">
        <v>180</v>
      </c>
    </row>
    <row r="4665" spans="1:16" x14ac:dyDescent="0.25">
      <c r="A4665" t="s">
        <v>183</v>
      </c>
      <c r="B4665" t="s">
        <v>219</v>
      </c>
      <c r="C4665" s="7" t="s">
        <v>163</v>
      </c>
      <c r="D4665" t="s">
        <v>115</v>
      </c>
      <c r="F4665" s="35">
        <v>0.29999999999999988</v>
      </c>
      <c r="G4665" s="35">
        <v>-49.145519901269772</v>
      </c>
      <c r="H4665" s="35">
        <v>-0.4954444231660115</v>
      </c>
      <c r="I4665" s="35">
        <v>1.1490152266567459</v>
      </c>
      <c r="J4665" s="35">
        <v>3.6489913416066361E-4</v>
      </c>
      <c r="K4665" s="35">
        <v>3.5350377389489194</v>
      </c>
      <c r="L4665" s="35">
        <v>-2.4923428142755593</v>
      </c>
      <c r="M4665" s="58" t="s">
        <v>22</v>
      </c>
      <c r="N4665" s="7">
        <v>11.333333333333334</v>
      </c>
      <c r="O4665" s="7" t="s">
        <v>180</v>
      </c>
      <c r="P4665" s="7" t="s">
        <v>180</v>
      </c>
    </row>
    <row r="4666" spans="1:16" x14ac:dyDescent="0.25">
      <c r="A4666" t="s">
        <v>183</v>
      </c>
      <c r="B4666" t="s">
        <v>219</v>
      </c>
      <c r="C4666" s="7" t="s">
        <v>163</v>
      </c>
      <c r="D4666" t="s">
        <v>115</v>
      </c>
      <c r="F4666" s="35">
        <v>5.3</v>
      </c>
      <c r="G4666" s="35">
        <v>-46.763755901269768</v>
      </c>
      <c r="H4666" s="35">
        <v>-0.4954444231660115</v>
      </c>
      <c r="I4666" s="35">
        <v>1.1490152266567459</v>
      </c>
      <c r="J4666" s="35">
        <v>3.6489913416066361E-4</v>
      </c>
      <c r="K4666" s="35">
        <v>-2.2100383943348092</v>
      </c>
      <c r="L4666" s="35">
        <v>-1.5120698445502664E-2</v>
      </c>
      <c r="M4666" s="58" t="s">
        <v>24</v>
      </c>
      <c r="N4666" s="7">
        <v>11.333333333333334</v>
      </c>
      <c r="O4666" s="7" t="s">
        <v>180</v>
      </c>
      <c r="P4666" s="7" t="s">
        <v>180</v>
      </c>
    </row>
    <row r="4667" spans="1:16" x14ac:dyDescent="0.25">
      <c r="A4667" t="s">
        <v>183</v>
      </c>
      <c r="B4667" t="s">
        <v>219</v>
      </c>
      <c r="C4667" s="7" t="s">
        <v>163</v>
      </c>
      <c r="D4667" t="s">
        <v>115</v>
      </c>
      <c r="F4667" s="35">
        <v>5.3</v>
      </c>
      <c r="G4667" s="35">
        <v>-17.888906653579323</v>
      </c>
      <c r="H4667" s="35">
        <v>-0.49541309052501026</v>
      </c>
      <c r="I4667" s="35">
        <v>-0.37780804501717236</v>
      </c>
      <c r="J4667" s="35">
        <v>3.5347580835777049E-4</v>
      </c>
      <c r="K4667" s="35">
        <v>-2.2100383943348052</v>
      </c>
      <c r="L4667" s="35">
        <v>-1.4939339985882859E-2</v>
      </c>
      <c r="M4667" s="58" t="s">
        <v>24</v>
      </c>
      <c r="N4667" s="7">
        <v>11.333333333333334</v>
      </c>
      <c r="O4667" s="7" t="s">
        <v>180</v>
      </c>
      <c r="P4667" s="7" t="s">
        <v>180</v>
      </c>
    </row>
    <row r="4668" spans="1:16" x14ac:dyDescent="0.25">
      <c r="A4668" t="s">
        <v>183</v>
      </c>
      <c r="B4668" t="s">
        <v>219</v>
      </c>
      <c r="C4668" s="7" t="s">
        <v>163</v>
      </c>
      <c r="D4668" t="s">
        <v>115</v>
      </c>
      <c r="F4668" s="35">
        <v>5.4149169609489114</v>
      </c>
      <c r="G4668" s="35">
        <v>-17.834165637463808</v>
      </c>
      <c r="H4668" s="35">
        <v>-0.49541309052501026</v>
      </c>
      <c r="I4668" s="35">
        <v>-0.37780804501717236</v>
      </c>
      <c r="J4668" s="35">
        <v>3.5347580835777049E-4</v>
      </c>
      <c r="K4668" s="35">
        <v>-2.1666218419793819</v>
      </c>
      <c r="L4668" s="35">
        <v>4.1992026791559521E-2</v>
      </c>
      <c r="M4668" s="58" t="s">
        <v>24</v>
      </c>
      <c r="N4668" s="7">
        <v>11.333333333333334</v>
      </c>
      <c r="O4668" s="7" t="s">
        <v>180</v>
      </c>
      <c r="P4668" s="7" t="s">
        <v>180</v>
      </c>
    </row>
    <row r="4669" spans="1:16" x14ac:dyDescent="0.25">
      <c r="A4669" t="s">
        <v>183</v>
      </c>
      <c r="B4669" t="s">
        <v>219</v>
      </c>
      <c r="C4669" s="7" t="s">
        <v>163</v>
      </c>
      <c r="D4669" t="s">
        <v>115</v>
      </c>
      <c r="F4669" s="35">
        <v>10.829833921897823</v>
      </c>
      <c r="G4669" s="35">
        <v>-15.254754781348307</v>
      </c>
      <c r="H4669" s="35">
        <v>-0.49541309052501026</v>
      </c>
      <c r="I4669" s="35">
        <v>-0.37780804501717236</v>
      </c>
      <c r="J4669" s="35">
        <v>3.5347580835777049E-4</v>
      </c>
      <c r="K4669" s="35">
        <v>-0.12082265103294636</v>
      </c>
      <c r="L4669" s="35">
        <v>2.724612773351557</v>
      </c>
      <c r="M4669" s="58" t="s">
        <v>23</v>
      </c>
      <c r="N4669" s="7">
        <v>11.333333333333334</v>
      </c>
      <c r="O4669" s="7" t="s">
        <v>180</v>
      </c>
      <c r="P4669" s="7" t="s">
        <v>180</v>
      </c>
    </row>
    <row r="4670" spans="1:16" x14ac:dyDescent="0.25">
      <c r="A4670" t="s">
        <v>183</v>
      </c>
      <c r="B4670" t="s">
        <v>219</v>
      </c>
      <c r="C4670" s="7" t="s">
        <v>163</v>
      </c>
      <c r="D4670" t="s">
        <v>116</v>
      </c>
      <c r="F4670" s="35">
        <v>0</v>
      </c>
      <c r="G4670" s="35">
        <v>41.04031421452683</v>
      </c>
      <c r="H4670" s="35">
        <v>1.3941128039298001</v>
      </c>
      <c r="I4670" s="35">
        <v>-0.65168826825413551</v>
      </c>
      <c r="J4670" s="35">
        <v>2.7925759988943228E-5</v>
      </c>
      <c r="K4670" s="35">
        <v>-0.98207690165316852</v>
      </c>
      <c r="L4670" s="35">
        <v>19.217345608503361</v>
      </c>
      <c r="M4670" s="58" t="s">
        <v>22</v>
      </c>
      <c r="N4670" s="7">
        <v>11.333333333333334</v>
      </c>
      <c r="O4670" s="7" t="s">
        <v>180</v>
      </c>
      <c r="P4670" s="7" t="s">
        <v>180</v>
      </c>
    </row>
    <row r="4671" spans="1:16" x14ac:dyDescent="0.25">
      <c r="A4671" t="s">
        <v>183</v>
      </c>
      <c r="B4671" t="s">
        <v>219</v>
      </c>
      <c r="C4671" s="7" t="s">
        <v>163</v>
      </c>
      <c r="D4671" t="s">
        <v>116</v>
      </c>
      <c r="F4671" s="35">
        <v>0.29999999999999988</v>
      </c>
      <c r="G4671" s="35">
        <v>41.183220054526835</v>
      </c>
      <c r="H4671" s="35">
        <v>1.3941128039298001</v>
      </c>
      <c r="I4671" s="35">
        <v>-0.65168826825413551</v>
      </c>
      <c r="J4671" s="35">
        <v>2.7925759988943228E-5</v>
      </c>
      <c r="K4671" s="35">
        <v>-0.78657042117692799</v>
      </c>
      <c r="L4671" s="35">
        <v>18.799111767324423</v>
      </c>
      <c r="M4671" s="58" t="s">
        <v>22</v>
      </c>
      <c r="N4671" s="7">
        <v>11.333333333333334</v>
      </c>
      <c r="O4671" s="7" t="s">
        <v>180</v>
      </c>
      <c r="P4671" s="7" t="s">
        <v>180</v>
      </c>
    </row>
    <row r="4672" spans="1:16" x14ac:dyDescent="0.25">
      <c r="A4672" t="s">
        <v>183</v>
      </c>
      <c r="B4672" t="s">
        <v>219</v>
      </c>
      <c r="C4672" s="7" t="s">
        <v>163</v>
      </c>
      <c r="D4672" t="s">
        <v>116</v>
      </c>
      <c r="F4672" s="35">
        <v>0.29999999999999988</v>
      </c>
      <c r="G4672" s="35">
        <v>48.581776874742822</v>
      </c>
      <c r="H4672" s="35">
        <v>1.394112803929801</v>
      </c>
      <c r="I4672" s="35">
        <v>-0.25474910507193854</v>
      </c>
      <c r="J4672" s="35">
        <v>-8.8362988251990311E-5</v>
      </c>
      <c r="K4672" s="35">
        <v>-0.78657042117692688</v>
      </c>
      <c r="L4672" s="35">
        <v>18.799104789999497</v>
      </c>
      <c r="M4672" s="58" t="s">
        <v>22</v>
      </c>
      <c r="N4672" s="7">
        <v>11.333333333333334</v>
      </c>
      <c r="O4672" s="7" t="s">
        <v>180</v>
      </c>
      <c r="P4672" s="7" t="s">
        <v>180</v>
      </c>
    </row>
    <row r="4673" spans="1:16" x14ac:dyDescent="0.25">
      <c r="A4673" t="s">
        <v>183</v>
      </c>
      <c r="B4673" t="s">
        <v>219</v>
      </c>
      <c r="C4673" s="7" t="s">
        <v>163</v>
      </c>
      <c r="D4673" t="s">
        <v>116</v>
      </c>
      <c r="F4673" s="35">
        <v>5.3</v>
      </c>
      <c r="G4673" s="35">
        <v>50.963540874742833</v>
      </c>
      <c r="H4673" s="35">
        <v>1.394112803929801</v>
      </c>
      <c r="I4673" s="35">
        <v>-0.25474910507193854</v>
      </c>
      <c r="J4673" s="35">
        <v>-8.8362988251990311E-5</v>
      </c>
      <c r="K4673" s="35">
        <v>0.48717510418276572</v>
      </c>
      <c r="L4673" s="35">
        <v>11.828540770350495</v>
      </c>
      <c r="M4673" s="58" t="s">
        <v>24</v>
      </c>
      <c r="N4673" s="7">
        <v>11.333333333333334</v>
      </c>
      <c r="O4673" s="7" t="s">
        <v>180</v>
      </c>
      <c r="P4673" s="7" t="s">
        <v>180</v>
      </c>
    </row>
    <row r="4674" spans="1:16" x14ac:dyDescent="0.25">
      <c r="A4674" t="s">
        <v>183</v>
      </c>
      <c r="B4674" t="s">
        <v>219</v>
      </c>
      <c r="C4674" s="7" t="s">
        <v>163</v>
      </c>
      <c r="D4674" t="s">
        <v>116</v>
      </c>
      <c r="F4674" s="35">
        <v>5.3</v>
      </c>
      <c r="G4674" s="35">
        <v>47.763700758027603</v>
      </c>
      <c r="H4674" s="35">
        <v>1.3941009461547453</v>
      </c>
      <c r="I4674" s="35">
        <v>6.9511690161750503E-2</v>
      </c>
      <c r="J4674" s="35">
        <v>-1.8526764036498267E-4</v>
      </c>
      <c r="K4674" s="35">
        <v>0.48717510418276655</v>
      </c>
      <c r="L4674" s="35">
        <v>11.828373370799593</v>
      </c>
      <c r="M4674" s="58" t="s">
        <v>24</v>
      </c>
      <c r="N4674" s="7">
        <v>11.333333333333334</v>
      </c>
      <c r="O4674" s="7" t="s">
        <v>180</v>
      </c>
      <c r="P4674" s="7" t="s">
        <v>180</v>
      </c>
    </row>
    <row r="4675" spans="1:16" x14ac:dyDescent="0.25">
      <c r="A4675" t="s">
        <v>183</v>
      </c>
      <c r="B4675" t="s">
        <v>219</v>
      </c>
      <c r="C4675" s="7" t="s">
        <v>163</v>
      </c>
      <c r="D4675" t="s">
        <v>116</v>
      </c>
      <c r="F4675" s="35">
        <v>5.4149169609489114</v>
      </c>
      <c r="G4675" s="35">
        <v>47.818441774143118</v>
      </c>
      <c r="H4675" s="35">
        <v>1.3941009461547453</v>
      </c>
      <c r="I4675" s="35">
        <v>6.9511690161750503E-2</v>
      </c>
      <c r="J4675" s="35">
        <v>-1.8526764036498267E-4</v>
      </c>
      <c r="K4675" s="35">
        <v>0.47918703199895579</v>
      </c>
      <c r="L4675" s="35">
        <v>11.668167526811489</v>
      </c>
      <c r="M4675" s="58" t="s">
        <v>24</v>
      </c>
      <c r="N4675" s="7">
        <v>11.333333333333334</v>
      </c>
      <c r="O4675" s="7" t="s">
        <v>180</v>
      </c>
      <c r="P4675" s="7" t="s">
        <v>180</v>
      </c>
    </row>
    <row r="4676" spans="1:16" x14ac:dyDescent="0.25">
      <c r="A4676" t="s">
        <v>183</v>
      </c>
      <c r="B4676" t="s">
        <v>219</v>
      </c>
      <c r="C4676" s="7" t="s">
        <v>163</v>
      </c>
      <c r="D4676" t="s">
        <v>116</v>
      </c>
      <c r="F4676" s="35">
        <v>10.829833921897823</v>
      </c>
      <c r="G4676" s="35">
        <v>50.397852630258612</v>
      </c>
      <c r="H4676" s="35">
        <v>1.3941009461547453</v>
      </c>
      <c r="I4676" s="35">
        <v>6.9511690161750503E-2</v>
      </c>
      <c r="J4676" s="35">
        <v>-1.8526764036498267E-4</v>
      </c>
      <c r="K4676" s="35">
        <v>0.10278700195786759</v>
      </c>
      <c r="L4676" s="35">
        <v>4.119226668203237</v>
      </c>
      <c r="M4676" s="58" t="s">
        <v>23</v>
      </c>
      <c r="N4676" s="7">
        <v>11.333333333333334</v>
      </c>
      <c r="O4676" s="7" t="s">
        <v>180</v>
      </c>
      <c r="P4676" s="7" t="s">
        <v>180</v>
      </c>
    </row>
    <row r="4677" spans="1:16" x14ac:dyDescent="0.25">
      <c r="A4677" t="s">
        <v>183</v>
      </c>
      <c r="B4677" t="s">
        <v>219</v>
      </c>
      <c r="C4677" s="7" t="s">
        <v>163</v>
      </c>
      <c r="D4677" t="s">
        <v>117</v>
      </c>
      <c r="F4677" s="35">
        <v>0</v>
      </c>
      <c r="G4677" s="35">
        <v>-148.95675862377814</v>
      </c>
      <c r="H4677" s="35">
        <v>13.684450674968973</v>
      </c>
      <c r="I4677" s="35">
        <v>-2.0426616553376959</v>
      </c>
      <c r="J4677" s="35">
        <v>2.0253208116152014E-4</v>
      </c>
      <c r="K4677" s="35">
        <v>-0.92617727969373875</v>
      </c>
      <c r="L4677" s="35">
        <v>78.191337039160985</v>
      </c>
      <c r="M4677" s="58" t="s">
        <v>22</v>
      </c>
      <c r="N4677" s="7">
        <v>11.333333333333334</v>
      </c>
      <c r="O4677" s="7" t="s">
        <v>180</v>
      </c>
      <c r="P4677" s="7" t="s">
        <v>180</v>
      </c>
    </row>
    <row r="4678" spans="1:16" x14ac:dyDescent="0.25">
      <c r="A4678" t="s">
        <v>183</v>
      </c>
      <c r="B4678" t="s">
        <v>219</v>
      </c>
      <c r="C4678" s="7" t="s">
        <v>163</v>
      </c>
      <c r="D4678" t="s">
        <v>117</v>
      </c>
      <c r="F4678" s="35">
        <v>0.29999999999999988</v>
      </c>
      <c r="G4678" s="35">
        <v>-148.81385278377812</v>
      </c>
      <c r="H4678" s="35">
        <v>13.684450674968973</v>
      </c>
      <c r="I4678" s="35">
        <v>-2.0426616553376959</v>
      </c>
      <c r="J4678" s="35">
        <v>2.0253208116152014E-4</v>
      </c>
      <c r="K4678" s="35">
        <v>-0.31337878309243028</v>
      </c>
      <c r="L4678" s="35">
        <v>74.086001836670292</v>
      </c>
      <c r="M4678" s="58" t="s">
        <v>22</v>
      </c>
      <c r="N4678" s="7">
        <v>11.333333333333334</v>
      </c>
      <c r="O4678" s="7" t="s">
        <v>180</v>
      </c>
      <c r="P4678" s="7" t="s">
        <v>180</v>
      </c>
    </row>
    <row r="4679" spans="1:16" x14ac:dyDescent="0.25">
      <c r="A4679" t="s">
        <v>183</v>
      </c>
      <c r="B4679" t="s">
        <v>219</v>
      </c>
      <c r="C4679" s="7" t="s">
        <v>163</v>
      </c>
      <c r="D4679" t="s">
        <v>117</v>
      </c>
      <c r="F4679" s="35">
        <v>0.29999999999999988</v>
      </c>
      <c r="G4679" s="35">
        <v>-115.71226860230711</v>
      </c>
      <c r="H4679" s="35">
        <v>13.684450674968957</v>
      </c>
      <c r="I4679" s="35">
        <v>-0.10354085048019041</v>
      </c>
      <c r="J4679" s="35">
        <v>-1.9494650730627624E-4</v>
      </c>
      <c r="K4679" s="35">
        <v>-0.31337878309243072</v>
      </c>
      <c r="L4679" s="35">
        <v>74.085977987954962</v>
      </c>
      <c r="M4679" s="58" t="s">
        <v>22</v>
      </c>
      <c r="N4679" s="7">
        <v>11.333333333333334</v>
      </c>
      <c r="O4679" s="7" t="s">
        <v>180</v>
      </c>
      <c r="P4679" s="7" t="s">
        <v>180</v>
      </c>
    </row>
    <row r="4680" spans="1:16" x14ac:dyDescent="0.25">
      <c r="A4680" t="s">
        <v>183</v>
      </c>
      <c r="B4680" t="s">
        <v>219</v>
      </c>
      <c r="C4680" s="7" t="s">
        <v>163</v>
      </c>
      <c r="D4680" t="s">
        <v>117</v>
      </c>
      <c r="F4680" s="35">
        <v>5.3</v>
      </c>
      <c r="G4680" s="35">
        <v>-113.3305046023071</v>
      </c>
      <c r="H4680" s="35">
        <v>13.684450674968957</v>
      </c>
      <c r="I4680" s="35">
        <v>-0.10354085048019041</v>
      </c>
      <c r="J4680" s="35">
        <v>-1.9494650730627624E-4</v>
      </c>
      <c r="K4680" s="35">
        <v>0.20432546930852116</v>
      </c>
      <c r="L4680" s="35">
        <v>5.6637246131101824</v>
      </c>
      <c r="M4680" s="58" t="s">
        <v>24</v>
      </c>
      <c r="N4680" s="7">
        <v>11.333333333333334</v>
      </c>
      <c r="O4680" s="7" t="s">
        <v>180</v>
      </c>
      <c r="P4680" s="7" t="s">
        <v>180</v>
      </c>
    </row>
    <row r="4681" spans="1:16" x14ac:dyDescent="0.25">
      <c r="A4681" t="s">
        <v>183</v>
      </c>
      <c r="B4681" t="s">
        <v>219</v>
      </c>
      <c r="C4681" s="7" t="s">
        <v>163</v>
      </c>
      <c r="D4681" t="s">
        <v>117</v>
      </c>
      <c r="F4681" s="35">
        <v>5.3</v>
      </c>
      <c r="G4681" s="35">
        <v>-140.90268423366797</v>
      </c>
      <c r="H4681" s="35">
        <v>13.684400354706753</v>
      </c>
      <c r="I4681" s="35">
        <v>2.2613878132442852E-2</v>
      </c>
      <c r="J4681" s="35">
        <v>8.1538784281937589E-5</v>
      </c>
      <c r="K4681" s="35">
        <v>0.20432546930852166</v>
      </c>
      <c r="L4681" s="35">
        <v>5.6641161574461707</v>
      </c>
      <c r="M4681" s="58" t="s">
        <v>24</v>
      </c>
      <c r="N4681" s="7">
        <v>11.333333333333334</v>
      </c>
      <c r="O4681" s="7" t="s">
        <v>180</v>
      </c>
      <c r="P4681" s="7" t="s">
        <v>180</v>
      </c>
    </row>
    <row r="4682" spans="1:16" x14ac:dyDescent="0.25">
      <c r="A4682" t="s">
        <v>183</v>
      </c>
      <c r="B4682" t="s">
        <v>219</v>
      </c>
      <c r="C4682" s="7" t="s">
        <v>163</v>
      </c>
      <c r="D4682" t="s">
        <v>117</v>
      </c>
      <c r="F4682" s="35">
        <v>5.4149169609489114</v>
      </c>
      <c r="G4682" s="35">
        <v>-140.84794321755248</v>
      </c>
      <c r="H4682" s="35">
        <v>13.684400354706753</v>
      </c>
      <c r="I4682" s="35">
        <v>2.2613878132442852E-2</v>
      </c>
      <c r="J4682" s="35">
        <v>8.1538784281937589E-5</v>
      </c>
      <c r="K4682" s="35">
        <v>0.20172675115827227</v>
      </c>
      <c r="L4682" s="35">
        <v>4.0915464562750659</v>
      </c>
      <c r="M4682" s="58" t="s">
        <v>24</v>
      </c>
      <c r="N4682" s="7">
        <v>11.333333333333334</v>
      </c>
      <c r="O4682" s="7" t="s">
        <v>180</v>
      </c>
      <c r="P4682" s="7" t="s">
        <v>180</v>
      </c>
    </row>
    <row r="4683" spans="1:16" x14ac:dyDescent="0.25">
      <c r="A4683" t="s">
        <v>183</v>
      </c>
      <c r="B4683" t="s">
        <v>219</v>
      </c>
      <c r="C4683" s="7" t="s">
        <v>163</v>
      </c>
      <c r="D4683" t="s">
        <v>117</v>
      </c>
      <c r="F4683" s="35">
        <v>10.829833921897823</v>
      </c>
      <c r="G4683" s="35">
        <v>-138.26853236143697</v>
      </c>
      <c r="H4683" s="35">
        <v>13.684400354706753</v>
      </c>
      <c r="I4683" s="35">
        <v>2.2613878132442852E-2</v>
      </c>
      <c r="J4683" s="35">
        <v>8.1538784281937589E-5</v>
      </c>
      <c r="K4683" s="35">
        <v>7.9274478906075793E-2</v>
      </c>
      <c r="L4683" s="35">
        <v>-70.008345124841796</v>
      </c>
      <c r="M4683" s="58" t="s">
        <v>23</v>
      </c>
      <c r="N4683" s="7">
        <v>11.333333333333334</v>
      </c>
      <c r="O4683" s="7" t="s">
        <v>180</v>
      </c>
      <c r="P4683" s="7" t="s">
        <v>180</v>
      </c>
    </row>
    <row r="4684" spans="1:16" x14ac:dyDescent="0.25">
      <c r="A4684" t="s">
        <v>183</v>
      </c>
      <c r="B4684" t="s">
        <v>219</v>
      </c>
      <c r="C4684" s="7" t="s">
        <v>163</v>
      </c>
      <c r="D4684" t="s">
        <v>118</v>
      </c>
      <c r="F4684" s="35">
        <v>0</v>
      </c>
      <c r="G4684" s="35">
        <v>42.827615754639531</v>
      </c>
      <c r="H4684" s="35">
        <v>-7.5786832277228031</v>
      </c>
      <c r="I4684" s="35">
        <v>-0.61475765637897439</v>
      </c>
      <c r="J4684" s="35">
        <v>-2.6676101907731131E-4</v>
      </c>
      <c r="K4684" s="35">
        <v>-0.95134945071473664</v>
      </c>
      <c r="L4684" s="35">
        <v>-40.781537303461825</v>
      </c>
      <c r="M4684" s="58" t="s">
        <v>22</v>
      </c>
      <c r="N4684" s="7">
        <v>11.333333333333334</v>
      </c>
      <c r="O4684" s="7" t="s">
        <v>180</v>
      </c>
      <c r="P4684" s="7" t="s">
        <v>180</v>
      </c>
    </row>
    <row r="4685" spans="1:16" x14ac:dyDescent="0.25">
      <c r="A4685" t="s">
        <v>183</v>
      </c>
      <c r="B4685" t="s">
        <v>219</v>
      </c>
      <c r="C4685" s="7" t="s">
        <v>163</v>
      </c>
      <c r="D4685" t="s">
        <v>118</v>
      </c>
      <c r="F4685" s="35">
        <v>0.29999999999999988</v>
      </c>
      <c r="G4685" s="35">
        <v>42.970521594639536</v>
      </c>
      <c r="H4685" s="35">
        <v>-7.5786832277228031</v>
      </c>
      <c r="I4685" s="35">
        <v>-0.61475765637897439</v>
      </c>
      <c r="J4685" s="35">
        <v>-2.6676101907731131E-4</v>
      </c>
      <c r="K4685" s="35">
        <v>-0.76692215380104445</v>
      </c>
      <c r="L4685" s="35">
        <v>-38.507932335144979</v>
      </c>
      <c r="M4685" s="58" t="s">
        <v>22</v>
      </c>
      <c r="N4685" s="7">
        <v>11.333333333333334</v>
      </c>
      <c r="O4685" s="7" t="s">
        <v>180</v>
      </c>
      <c r="P4685" s="7" t="s">
        <v>180</v>
      </c>
    </row>
    <row r="4686" spans="1:16" x14ac:dyDescent="0.25">
      <c r="A4686" t="s">
        <v>183</v>
      </c>
      <c r="B4686" t="s">
        <v>219</v>
      </c>
      <c r="C4686" s="7" t="s">
        <v>163</v>
      </c>
      <c r="D4686" t="s">
        <v>118</v>
      </c>
      <c r="F4686" s="35">
        <v>0.29999999999999988</v>
      </c>
      <c r="G4686" s="35">
        <v>49.859813868419565</v>
      </c>
      <c r="H4686" s="35">
        <v>-7.5786832277227862</v>
      </c>
      <c r="I4686" s="35">
        <v>-0.24837436598292839</v>
      </c>
      <c r="J4686" s="35">
        <v>-3.6865658991365308E-5</v>
      </c>
      <c r="K4686" s="35">
        <v>-0.766922153801045</v>
      </c>
      <c r="L4686" s="35">
        <v>-38.507918541423365</v>
      </c>
      <c r="M4686" s="58" t="s">
        <v>22</v>
      </c>
      <c r="N4686" s="7">
        <v>11.333333333333334</v>
      </c>
      <c r="O4686" s="7" t="s">
        <v>180</v>
      </c>
      <c r="P4686" s="7" t="s">
        <v>180</v>
      </c>
    </row>
    <row r="4687" spans="1:16" x14ac:dyDescent="0.25">
      <c r="A4687" t="s">
        <v>183</v>
      </c>
      <c r="B4687" t="s">
        <v>219</v>
      </c>
      <c r="C4687" s="7" t="s">
        <v>163</v>
      </c>
      <c r="D4687" t="s">
        <v>118</v>
      </c>
      <c r="F4687" s="35">
        <v>5.3</v>
      </c>
      <c r="G4687" s="35">
        <v>52.241577868419576</v>
      </c>
      <c r="H4687" s="35">
        <v>-7.5786832277227862</v>
      </c>
      <c r="I4687" s="35">
        <v>-0.24837436598292839</v>
      </c>
      <c r="J4687" s="35">
        <v>-3.6865658991365308E-5</v>
      </c>
      <c r="K4687" s="35">
        <v>0.4749496761135969</v>
      </c>
      <c r="L4687" s="35">
        <v>-0.61450240280942792</v>
      </c>
      <c r="M4687" s="58" t="s">
        <v>24</v>
      </c>
      <c r="N4687" s="7">
        <v>11.333333333333334</v>
      </c>
      <c r="O4687" s="7" t="s">
        <v>180</v>
      </c>
      <c r="P4687" s="7" t="s">
        <v>180</v>
      </c>
    </row>
    <row r="4688" spans="1:16" x14ac:dyDescent="0.25">
      <c r="A4688" t="s">
        <v>183</v>
      </c>
      <c r="B4688" t="s">
        <v>219</v>
      </c>
      <c r="C4688" s="7" t="s">
        <v>163</v>
      </c>
      <c r="D4688" t="s">
        <v>118</v>
      </c>
      <c r="F4688" s="35">
        <v>5.3</v>
      </c>
      <c r="G4688" s="35">
        <v>49.500229414011194</v>
      </c>
      <c r="H4688" s="35">
        <v>-7.5786627331164613</v>
      </c>
      <c r="I4688" s="35">
        <v>6.7488475165018644E-2</v>
      </c>
      <c r="J4688" s="35">
        <v>-2.2159127006046063E-4</v>
      </c>
      <c r="K4688" s="35">
        <v>0.47494967611359612</v>
      </c>
      <c r="L4688" s="35">
        <v>-0.61481218455399</v>
      </c>
      <c r="M4688" s="58" t="s">
        <v>24</v>
      </c>
      <c r="N4688" s="7">
        <v>11.333333333333334</v>
      </c>
      <c r="O4688" s="7" t="s">
        <v>180</v>
      </c>
      <c r="P4688" s="7" t="s">
        <v>180</v>
      </c>
    </row>
    <row r="4689" spans="1:16" x14ac:dyDescent="0.25">
      <c r="A4689" t="s">
        <v>183</v>
      </c>
      <c r="B4689" t="s">
        <v>219</v>
      </c>
      <c r="C4689" s="7" t="s">
        <v>163</v>
      </c>
      <c r="D4689" t="s">
        <v>118</v>
      </c>
      <c r="F4689" s="35">
        <v>5.4149169609489114</v>
      </c>
      <c r="G4689" s="35">
        <v>49.554970430126708</v>
      </c>
      <c r="H4689" s="35">
        <v>-7.5786627331164613</v>
      </c>
      <c r="I4689" s="35">
        <v>6.7488475165018644E-2</v>
      </c>
      <c r="J4689" s="35">
        <v>-2.2159127006046063E-4</v>
      </c>
      <c r="K4689" s="35">
        <v>0.46719410564855607</v>
      </c>
      <c r="L4689" s="35">
        <v>0.25610470479252462</v>
      </c>
      <c r="M4689" s="58" t="s">
        <v>24</v>
      </c>
      <c r="N4689" s="7">
        <v>11.333333333333334</v>
      </c>
      <c r="O4689" s="7" t="s">
        <v>180</v>
      </c>
      <c r="P4689" s="7" t="s">
        <v>180</v>
      </c>
    </row>
    <row r="4690" spans="1:16" x14ac:dyDescent="0.25">
      <c r="A4690" t="s">
        <v>183</v>
      </c>
      <c r="B4690" t="s">
        <v>219</v>
      </c>
      <c r="C4690" s="7" t="s">
        <v>163</v>
      </c>
      <c r="D4690" t="s">
        <v>118</v>
      </c>
      <c r="F4690" s="35">
        <v>10.829833921897823</v>
      </c>
      <c r="G4690" s="35">
        <v>52.13438128624221</v>
      </c>
      <c r="H4690" s="35">
        <v>-7.5786627331164613</v>
      </c>
      <c r="I4690" s="35">
        <v>6.7488475165018644E-2</v>
      </c>
      <c r="J4690" s="35">
        <v>-2.2159127006046063E-4</v>
      </c>
      <c r="K4690" s="35">
        <v>0.1017496168089173</v>
      </c>
      <c r="L4690" s="35">
        <v>41.293934079656267</v>
      </c>
      <c r="M4690" s="58" t="s">
        <v>23</v>
      </c>
      <c r="N4690" s="7">
        <v>11.333333333333334</v>
      </c>
      <c r="O4690" s="7" t="s">
        <v>180</v>
      </c>
      <c r="P4690" s="7" t="s">
        <v>180</v>
      </c>
    </row>
    <row r="4691" spans="1:16" x14ac:dyDescent="0.25">
      <c r="A4691" t="s">
        <v>183</v>
      </c>
      <c r="B4691" t="s">
        <v>219</v>
      </c>
      <c r="C4691" s="7" t="s">
        <v>163</v>
      </c>
      <c r="D4691" t="s">
        <v>119</v>
      </c>
      <c r="F4691" s="35">
        <v>0</v>
      </c>
      <c r="G4691" s="35">
        <v>-62.044165183640956</v>
      </c>
      <c r="H4691" s="35">
        <v>-18.197956304171928</v>
      </c>
      <c r="I4691" s="35">
        <v>-1.1886237517380214</v>
      </c>
      <c r="J4691" s="35">
        <v>-3.2730380201702894E-4</v>
      </c>
      <c r="K4691" s="35">
        <v>-0.67155196165744602</v>
      </c>
      <c r="L4691" s="35">
        <v>-102.18332878139809</v>
      </c>
      <c r="M4691" s="58" t="s">
        <v>22</v>
      </c>
      <c r="N4691" s="7">
        <v>11.333333333333334</v>
      </c>
      <c r="O4691" s="7" t="s">
        <v>180</v>
      </c>
      <c r="P4691" s="7" t="s">
        <v>180</v>
      </c>
    </row>
    <row r="4692" spans="1:16" x14ac:dyDescent="0.25">
      <c r="A4692" t="s">
        <v>183</v>
      </c>
      <c r="B4692" t="s">
        <v>219</v>
      </c>
      <c r="C4692" s="7" t="s">
        <v>163</v>
      </c>
      <c r="D4692" t="s">
        <v>119</v>
      </c>
      <c r="F4692" s="35">
        <v>0.29999999999999988</v>
      </c>
      <c r="G4692" s="35">
        <v>-61.901259343640945</v>
      </c>
      <c r="H4692" s="35">
        <v>-18.197956304171928</v>
      </c>
      <c r="I4692" s="35">
        <v>-1.1886237517380214</v>
      </c>
      <c r="J4692" s="35">
        <v>-3.2730380201702894E-4</v>
      </c>
      <c r="K4692" s="35">
        <v>-0.31496483613603987</v>
      </c>
      <c r="L4692" s="35">
        <v>-96.723941890146534</v>
      </c>
      <c r="M4692" s="58" t="s">
        <v>22</v>
      </c>
      <c r="N4692" s="7">
        <v>11.333333333333334</v>
      </c>
      <c r="O4692" s="7" t="s">
        <v>180</v>
      </c>
      <c r="P4692" s="7" t="s">
        <v>180</v>
      </c>
    </row>
    <row r="4693" spans="1:16" x14ac:dyDescent="0.25">
      <c r="A4693" t="s">
        <v>183</v>
      </c>
      <c r="B4693" t="s">
        <v>219</v>
      </c>
      <c r="C4693" s="7" t="s">
        <v>163</v>
      </c>
      <c r="D4693" t="s">
        <v>119</v>
      </c>
      <c r="F4693" s="35">
        <v>0.29999999999999988</v>
      </c>
      <c r="G4693" s="35">
        <v>-43.015494466078863</v>
      </c>
      <c r="H4693" s="35">
        <v>-18.197956304171839</v>
      </c>
      <c r="I4693" s="35">
        <v>-0.10245210511504996</v>
      </c>
      <c r="J4693" s="35">
        <v>1.8291816584016385E-4</v>
      </c>
      <c r="K4693" s="35">
        <v>-0.3149648361360402</v>
      </c>
      <c r="L4693" s="35">
        <v>-96.723911276828431</v>
      </c>
      <c r="M4693" s="58" t="s">
        <v>22</v>
      </c>
      <c r="N4693" s="7">
        <v>11.333333333333334</v>
      </c>
      <c r="O4693" s="7" t="s">
        <v>180</v>
      </c>
      <c r="P4693" s="7" t="s">
        <v>180</v>
      </c>
    </row>
    <row r="4694" spans="1:16" x14ac:dyDescent="0.25">
      <c r="A4694" t="s">
        <v>183</v>
      </c>
      <c r="B4694" t="s">
        <v>219</v>
      </c>
      <c r="C4694" s="7" t="s">
        <v>163</v>
      </c>
      <c r="D4694" t="s">
        <v>119</v>
      </c>
      <c r="F4694" s="35">
        <v>5.3</v>
      </c>
      <c r="G4694" s="35">
        <v>-40.633730466078852</v>
      </c>
      <c r="H4694" s="35">
        <v>-18.197956304171839</v>
      </c>
      <c r="I4694" s="35">
        <v>-0.10245210511504996</v>
      </c>
      <c r="J4694" s="35">
        <v>1.8291816584016385E-4</v>
      </c>
      <c r="K4694" s="35">
        <v>0.1972956894392095</v>
      </c>
      <c r="L4694" s="35">
        <v>-5.7341297559692448</v>
      </c>
      <c r="M4694" s="58" t="s">
        <v>24</v>
      </c>
      <c r="N4694" s="7">
        <v>11.333333333333334</v>
      </c>
      <c r="O4694" s="7" t="s">
        <v>180</v>
      </c>
      <c r="P4694" s="7" t="s">
        <v>180</v>
      </c>
    </row>
    <row r="4695" spans="1:16" x14ac:dyDescent="0.25">
      <c r="A4695" t="s">
        <v>183</v>
      </c>
      <c r="B4695" t="s">
        <v>219</v>
      </c>
      <c r="C4695" s="7" t="s">
        <v>163</v>
      </c>
      <c r="D4695" t="s">
        <v>119</v>
      </c>
      <c r="F4695" s="35">
        <v>5.3</v>
      </c>
      <c r="G4695" s="35">
        <v>-54.988764582683316</v>
      </c>
      <c r="H4695" s="35">
        <v>-18.197888742546589</v>
      </c>
      <c r="I4695" s="35">
        <v>2.1472718238029005E-2</v>
      </c>
      <c r="J4695" s="35">
        <v>-2.0891293030148093E-4</v>
      </c>
      <c r="K4695" s="35">
        <v>0.19729568943920994</v>
      </c>
      <c r="L4695" s="35">
        <v>-5.7346826591584543</v>
      </c>
      <c r="M4695" s="58" t="s">
        <v>24</v>
      </c>
      <c r="N4695" s="7">
        <v>11.333333333333334</v>
      </c>
      <c r="O4695" s="7" t="s">
        <v>180</v>
      </c>
      <c r="P4695" s="7" t="s">
        <v>180</v>
      </c>
    </row>
    <row r="4696" spans="1:16" x14ac:dyDescent="0.25">
      <c r="A4696" t="s">
        <v>183</v>
      </c>
      <c r="B4696" t="s">
        <v>219</v>
      </c>
      <c r="C4696" s="7" t="s">
        <v>163</v>
      </c>
      <c r="D4696" t="s">
        <v>119</v>
      </c>
      <c r="F4696" s="35">
        <v>5.4149169609489114</v>
      </c>
      <c r="G4696" s="35">
        <v>-54.934023566567802</v>
      </c>
      <c r="H4696" s="35">
        <v>-18.197888742546589</v>
      </c>
      <c r="I4696" s="35">
        <v>2.1472718238029005E-2</v>
      </c>
      <c r="J4696" s="35">
        <v>-2.0891293030148093E-4</v>
      </c>
      <c r="K4696" s="35">
        <v>0.19482810991598332</v>
      </c>
      <c r="L4696" s="35">
        <v>-3.6434365891785938</v>
      </c>
      <c r="M4696" s="58" t="s">
        <v>24</v>
      </c>
      <c r="N4696" s="7">
        <v>11.333333333333334</v>
      </c>
      <c r="O4696" s="7" t="s">
        <v>180</v>
      </c>
      <c r="P4696" s="7" t="s">
        <v>180</v>
      </c>
    </row>
    <row r="4697" spans="1:16" x14ac:dyDescent="0.25">
      <c r="A4697" t="s">
        <v>183</v>
      </c>
      <c r="B4697" t="s">
        <v>219</v>
      </c>
      <c r="C4697" s="7" t="s">
        <v>163</v>
      </c>
      <c r="D4697" t="s">
        <v>119</v>
      </c>
      <c r="F4697" s="35">
        <v>10.829833921897823</v>
      </c>
      <c r="G4697" s="35">
        <v>-52.354612710452301</v>
      </c>
      <c r="H4697" s="35">
        <v>-18.197888742546589</v>
      </c>
      <c r="I4697" s="35">
        <v>2.1472718238029005E-2</v>
      </c>
      <c r="J4697" s="35">
        <v>-2.0891293030148093E-4</v>
      </c>
      <c r="K4697" s="35">
        <v>7.8555123731203033E-2</v>
      </c>
      <c r="L4697" s="35">
        <v>94.896619816298141</v>
      </c>
      <c r="M4697" s="58" t="s">
        <v>23</v>
      </c>
      <c r="N4697" s="7">
        <v>11.333333333333334</v>
      </c>
      <c r="O4697" s="7" t="s">
        <v>180</v>
      </c>
      <c r="P4697" s="7" t="s">
        <v>180</v>
      </c>
    </row>
    <row r="4698" spans="1:16" x14ac:dyDescent="0.25">
      <c r="A4698" t="s">
        <v>183</v>
      </c>
      <c r="B4698" t="s">
        <v>219</v>
      </c>
      <c r="C4698" s="7" t="s">
        <v>163</v>
      </c>
      <c r="D4698" t="s">
        <v>120</v>
      </c>
      <c r="F4698" s="35">
        <v>0</v>
      </c>
      <c r="G4698" s="35">
        <v>55.849480021502998</v>
      </c>
      <c r="H4698" s="35">
        <v>-5.1371498280468852</v>
      </c>
      <c r="I4698" s="35">
        <v>-3.2524334796291861</v>
      </c>
      <c r="J4698" s="35">
        <v>-4.3380235085002726E-4</v>
      </c>
      <c r="K4698" s="35">
        <v>-4.5792338071676966</v>
      </c>
      <c r="L4698" s="35">
        <v>-18.545489751067024</v>
      </c>
      <c r="M4698" s="58" t="s">
        <v>22</v>
      </c>
      <c r="N4698" s="7">
        <v>11.333333333333334</v>
      </c>
      <c r="O4698" s="7" t="s">
        <v>180</v>
      </c>
      <c r="P4698" s="7" t="s">
        <v>180</v>
      </c>
    </row>
    <row r="4699" spans="1:16" x14ac:dyDescent="0.25">
      <c r="A4699" t="s">
        <v>183</v>
      </c>
      <c r="B4699" t="s">
        <v>219</v>
      </c>
      <c r="C4699" s="7" t="s">
        <v>163</v>
      </c>
      <c r="D4699" t="s">
        <v>120</v>
      </c>
      <c r="F4699" s="35">
        <v>0.29999999999999988</v>
      </c>
      <c r="G4699" s="35">
        <v>55.99238586150301</v>
      </c>
      <c r="H4699" s="35">
        <v>-5.1371498280468852</v>
      </c>
      <c r="I4699" s="35">
        <v>-3.2524334796291861</v>
      </c>
      <c r="J4699" s="35">
        <v>-4.3380235085002726E-4</v>
      </c>
      <c r="K4699" s="35">
        <v>-3.6035037632789417</v>
      </c>
      <c r="L4699" s="35">
        <v>-17.004344802652959</v>
      </c>
      <c r="M4699" s="58" t="s">
        <v>22</v>
      </c>
      <c r="N4699" s="7">
        <v>11.333333333333334</v>
      </c>
      <c r="O4699" s="7" t="s">
        <v>180</v>
      </c>
      <c r="P4699" s="7" t="s">
        <v>180</v>
      </c>
    </row>
    <row r="4700" spans="1:16" x14ac:dyDescent="0.25">
      <c r="A4700" t="s">
        <v>183</v>
      </c>
      <c r="B4700" t="s">
        <v>219</v>
      </c>
      <c r="C4700" s="7" t="s">
        <v>163</v>
      </c>
      <c r="D4700" t="s">
        <v>120</v>
      </c>
      <c r="F4700" s="35">
        <v>0.29999999999999988</v>
      </c>
      <c r="G4700" s="35">
        <v>91.589828412280127</v>
      </c>
      <c r="H4700" s="35">
        <v>-5.1371498280468595</v>
      </c>
      <c r="I4700" s="35">
        <v>-1.1635611726133197</v>
      </c>
      <c r="J4700" s="35">
        <v>-2.500650062949382E-4</v>
      </c>
      <c r="K4700" s="35">
        <v>-3.6035037632789408</v>
      </c>
      <c r="L4700" s="35">
        <v>-17.004333778412278</v>
      </c>
      <c r="M4700" s="58" t="s">
        <v>22</v>
      </c>
      <c r="N4700" s="7">
        <v>11.333333333333334</v>
      </c>
      <c r="O4700" s="7" t="s">
        <v>180</v>
      </c>
      <c r="P4700" s="7" t="s">
        <v>180</v>
      </c>
    </row>
    <row r="4701" spans="1:16" x14ac:dyDescent="0.25">
      <c r="A4701" t="s">
        <v>183</v>
      </c>
      <c r="B4701" t="s">
        <v>219</v>
      </c>
      <c r="C4701" s="7" t="s">
        <v>163</v>
      </c>
      <c r="D4701" t="s">
        <v>120</v>
      </c>
      <c r="F4701" s="35">
        <v>5.3</v>
      </c>
      <c r="G4701" s="35">
        <v>93.971592412280117</v>
      </c>
      <c r="H4701" s="35">
        <v>-5.1371498280468595</v>
      </c>
      <c r="I4701" s="35">
        <v>-1.1635611726133197</v>
      </c>
      <c r="J4701" s="35">
        <v>-2.500650062949382E-4</v>
      </c>
      <c r="K4701" s="35">
        <v>2.2143020997876577</v>
      </c>
      <c r="L4701" s="35">
        <v>8.6814153618220136</v>
      </c>
      <c r="M4701" s="58" t="s">
        <v>24</v>
      </c>
      <c r="N4701" s="7">
        <v>11.333333333333334</v>
      </c>
      <c r="O4701" s="7" t="s">
        <v>180</v>
      </c>
      <c r="P4701" s="7" t="s">
        <v>180</v>
      </c>
    </row>
    <row r="4702" spans="1:16" x14ac:dyDescent="0.25">
      <c r="A4702" t="s">
        <v>183</v>
      </c>
      <c r="B4702" t="s">
        <v>219</v>
      </c>
      <c r="C4702" s="7" t="s">
        <v>163</v>
      </c>
      <c r="D4702" t="s">
        <v>120</v>
      </c>
      <c r="F4702" s="35">
        <v>5.3</v>
      </c>
      <c r="G4702" s="35">
        <v>67.045896136105455</v>
      </c>
      <c r="H4702" s="35">
        <v>-5.1371606281010997</v>
      </c>
      <c r="I4702" s="35">
        <v>0.35601276528975223</v>
      </c>
      <c r="J4702" s="35">
        <v>-4.7291955401706891E-4</v>
      </c>
      <c r="K4702" s="35">
        <v>2.2143020997876426</v>
      </c>
      <c r="L4702" s="35">
        <v>8.6809125601406496</v>
      </c>
      <c r="M4702" s="58" t="s">
        <v>24</v>
      </c>
      <c r="N4702" s="7">
        <v>11.333333333333334</v>
      </c>
      <c r="O4702" s="7" t="s">
        <v>180</v>
      </c>
      <c r="P4702" s="7" t="s">
        <v>180</v>
      </c>
    </row>
    <row r="4703" spans="1:16" x14ac:dyDescent="0.25">
      <c r="A4703" t="s">
        <v>183</v>
      </c>
      <c r="B4703" t="s">
        <v>219</v>
      </c>
      <c r="C4703" s="7" t="s">
        <v>163</v>
      </c>
      <c r="D4703" t="s">
        <v>120</v>
      </c>
      <c r="F4703" s="35">
        <v>5.4149169609489114</v>
      </c>
      <c r="G4703" s="35">
        <v>67.100637152220955</v>
      </c>
      <c r="H4703" s="35">
        <v>-5.1371606281010997</v>
      </c>
      <c r="I4703" s="35">
        <v>0.35601276528975223</v>
      </c>
      <c r="J4703" s="35">
        <v>-4.7291955401706891E-4</v>
      </c>
      <c r="K4703" s="35">
        <v>2.1733901947415264</v>
      </c>
      <c r="L4703" s="35">
        <v>9.2712594474284291</v>
      </c>
      <c r="M4703" s="58" t="s">
        <v>24</v>
      </c>
      <c r="N4703" s="7">
        <v>11.333333333333334</v>
      </c>
      <c r="O4703" s="7" t="s">
        <v>180</v>
      </c>
      <c r="P4703" s="7" t="s">
        <v>180</v>
      </c>
    </row>
    <row r="4704" spans="1:16" x14ac:dyDescent="0.25">
      <c r="A4704" t="s">
        <v>183</v>
      </c>
      <c r="B4704" t="s">
        <v>219</v>
      </c>
      <c r="C4704" s="7" t="s">
        <v>163</v>
      </c>
      <c r="D4704" t="s">
        <v>120</v>
      </c>
      <c r="F4704" s="35">
        <v>10.829833921897823</v>
      </c>
      <c r="G4704" s="35">
        <v>69.680048008336456</v>
      </c>
      <c r="H4704" s="35">
        <v>-5.1371606281010997</v>
      </c>
      <c r="I4704" s="35">
        <v>0.35601276528975223</v>
      </c>
      <c r="J4704" s="35">
        <v>-4.7291955401706891E-4</v>
      </c>
      <c r="K4704" s="35">
        <v>0.24561063365972394</v>
      </c>
      <c r="L4704" s="35">
        <v>37.088557663652026</v>
      </c>
      <c r="M4704" s="58" t="s">
        <v>23</v>
      </c>
      <c r="N4704" s="7">
        <v>11.333333333333334</v>
      </c>
      <c r="O4704" s="7" t="s">
        <v>180</v>
      </c>
      <c r="P4704" s="7" t="s">
        <v>180</v>
      </c>
    </row>
    <row r="4705" spans="1:16" x14ac:dyDescent="0.25">
      <c r="A4705" t="s">
        <v>183</v>
      </c>
      <c r="B4705" t="s">
        <v>219</v>
      </c>
      <c r="C4705" s="7" t="s">
        <v>163</v>
      </c>
      <c r="D4705" t="s">
        <v>121</v>
      </c>
      <c r="F4705" s="35">
        <v>0</v>
      </c>
      <c r="G4705" s="35">
        <v>-23.346541972979782</v>
      </c>
      <c r="H4705" s="35">
        <v>-1.8820344670758886</v>
      </c>
      <c r="I4705" s="35">
        <v>-3.6288089718875423</v>
      </c>
      <c r="J4705" s="35">
        <v>-4.0578849557054811E-4</v>
      </c>
      <c r="K4705" s="35">
        <v>-4.2979733886192673</v>
      </c>
      <c r="L4705" s="35">
        <v>-7.9156742315938002</v>
      </c>
      <c r="M4705" s="58" t="s">
        <v>22</v>
      </c>
      <c r="N4705" s="7">
        <v>11.333333333333334</v>
      </c>
      <c r="O4705" s="7" t="s">
        <v>180</v>
      </c>
      <c r="P4705" s="7" t="s">
        <v>180</v>
      </c>
    </row>
    <row r="4706" spans="1:16" x14ac:dyDescent="0.25">
      <c r="A4706" t="s">
        <v>183</v>
      </c>
      <c r="B4706" t="s">
        <v>219</v>
      </c>
      <c r="C4706" s="7" t="s">
        <v>163</v>
      </c>
      <c r="D4706" t="s">
        <v>121</v>
      </c>
      <c r="F4706" s="35">
        <v>0.29999999999999988</v>
      </c>
      <c r="G4706" s="35">
        <v>-23.203636132979774</v>
      </c>
      <c r="H4706" s="35">
        <v>-1.8820344670758886</v>
      </c>
      <c r="I4706" s="35">
        <v>-3.6288089718875423</v>
      </c>
      <c r="J4706" s="35">
        <v>-4.0578849557054811E-4</v>
      </c>
      <c r="K4706" s="35">
        <v>-3.2093306970530056</v>
      </c>
      <c r="L4706" s="35">
        <v>-7.3510638914710338</v>
      </c>
      <c r="M4706" s="58" t="s">
        <v>22</v>
      </c>
      <c r="N4706" s="7">
        <v>11.333333333333334</v>
      </c>
      <c r="O4706" s="7" t="s">
        <v>180</v>
      </c>
      <c r="P4706" s="7" t="s">
        <v>180</v>
      </c>
    </row>
    <row r="4707" spans="1:16" x14ac:dyDescent="0.25">
      <c r="A4707" t="s">
        <v>183</v>
      </c>
      <c r="B4707" t="s">
        <v>219</v>
      </c>
      <c r="C4707" s="7" t="s">
        <v>163</v>
      </c>
      <c r="D4707" t="s">
        <v>121</v>
      </c>
      <c r="F4707" s="35">
        <v>0.29999999999999988</v>
      </c>
      <c r="G4707" s="35">
        <v>20.797476364680257</v>
      </c>
      <c r="H4707" s="35">
        <v>-1.8820344670758924</v>
      </c>
      <c r="I4707" s="35">
        <v>-1.0357164680586992</v>
      </c>
      <c r="J4707" s="35">
        <v>-2.608926115574499E-4</v>
      </c>
      <c r="K4707" s="35">
        <v>-3.2093306970530073</v>
      </c>
      <c r="L4707" s="35">
        <v>-7.3510551977179945</v>
      </c>
      <c r="M4707" s="58" t="s">
        <v>22</v>
      </c>
      <c r="N4707" s="7">
        <v>11.333333333333334</v>
      </c>
      <c r="O4707" s="7" t="s">
        <v>180</v>
      </c>
      <c r="P4707" s="7" t="s">
        <v>180</v>
      </c>
    </row>
    <row r="4708" spans="1:16" x14ac:dyDescent="0.25">
      <c r="A4708" t="s">
        <v>183</v>
      </c>
      <c r="B4708" t="s">
        <v>219</v>
      </c>
      <c r="C4708" s="7" t="s">
        <v>163</v>
      </c>
      <c r="D4708" t="s">
        <v>121</v>
      </c>
      <c r="F4708" s="35">
        <v>5.3</v>
      </c>
      <c r="G4708" s="35">
        <v>23.179240364680251</v>
      </c>
      <c r="H4708" s="35">
        <v>-1.8820344670758924</v>
      </c>
      <c r="I4708" s="35">
        <v>-1.0357164680586992</v>
      </c>
      <c r="J4708" s="35">
        <v>-2.608926115574499E-4</v>
      </c>
      <c r="K4708" s="35">
        <v>1.9692516432404872</v>
      </c>
      <c r="L4708" s="35">
        <v>2.0591171376614676</v>
      </c>
      <c r="M4708" s="58" t="s">
        <v>24</v>
      </c>
      <c r="N4708" s="7">
        <v>11.333333333333334</v>
      </c>
      <c r="O4708" s="7" t="s">
        <v>180</v>
      </c>
      <c r="P4708" s="7" t="s">
        <v>180</v>
      </c>
    </row>
    <row r="4709" spans="1:16" x14ac:dyDescent="0.25">
      <c r="A4709" t="s">
        <v>183</v>
      </c>
      <c r="B4709" t="s">
        <v>219</v>
      </c>
      <c r="C4709" s="7" t="s">
        <v>163</v>
      </c>
      <c r="D4709" t="s">
        <v>121</v>
      </c>
      <c r="F4709" s="35">
        <v>5.3</v>
      </c>
      <c r="G4709" s="35">
        <v>-11.957545796055898</v>
      </c>
      <c r="H4709" s="35">
        <v>-1.8820529729361501</v>
      </c>
      <c r="I4709" s="35">
        <v>0.31538161917344343</v>
      </c>
      <c r="J4709" s="35">
        <v>-3.2979630502349619E-4</v>
      </c>
      <c r="K4709" s="35">
        <v>1.9692516432404943</v>
      </c>
      <c r="L4709" s="35">
        <v>2.0588507221143315</v>
      </c>
      <c r="M4709" s="58" t="s">
        <v>24</v>
      </c>
      <c r="N4709" s="7">
        <v>11.333333333333334</v>
      </c>
      <c r="O4709" s="7" t="s">
        <v>180</v>
      </c>
      <c r="P4709" s="7" t="s">
        <v>180</v>
      </c>
    </row>
    <row r="4710" spans="1:16" x14ac:dyDescent="0.25">
      <c r="A4710" t="s">
        <v>183</v>
      </c>
      <c r="B4710" t="s">
        <v>219</v>
      </c>
      <c r="C4710" s="7" t="s">
        <v>163</v>
      </c>
      <c r="D4710" t="s">
        <v>121</v>
      </c>
      <c r="F4710" s="35">
        <v>5.4149169609489114</v>
      </c>
      <c r="G4710" s="35">
        <v>-11.902804779940398</v>
      </c>
      <c r="H4710" s="35">
        <v>-1.8820529729361501</v>
      </c>
      <c r="I4710" s="35">
        <v>0.31538161917344343</v>
      </c>
      <c r="J4710" s="35">
        <v>-3.2979630502349619E-4</v>
      </c>
      <c r="K4710" s="35">
        <v>1.9330089460259354</v>
      </c>
      <c r="L4710" s="35">
        <v>2.2751305301090174</v>
      </c>
      <c r="M4710" s="58" t="s">
        <v>24</v>
      </c>
      <c r="N4710" s="7">
        <v>11.333333333333334</v>
      </c>
      <c r="O4710" s="7" t="s">
        <v>180</v>
      </c>
      <c r="P4710" s="7" t="s">
        <v>180</v>
      </c>
    </row>
    <row r="4711" spans="1:16" x14ac:dyDescent="0.25">
      <c r="A4711" t="s">
        <v>183</v>
      </c>
      <c r="B4711" t="s">
        <v>219</v>
      </c>
      <c r="C4711" s="7" t="s">
        <v>163</v>
      </c>
      <c r="D4711" t="s">
        <v>121</v>
      </c>
      <c r="F4711" s="35">
        <v>10.829833921897823</v>
      </c>
      <c r="G4711" s="35">
        <v>-9.3233939238248986</v>
      </c>
      <c r="H4711" s="35">
        <v>-1.8820529729361501</v>
      </c>
      <c r="I4711" s="35">
        <v>0.31538161917344343</v>
      </c>
      <c r="J4711" s="35">
        <v>-3.2979630502349619E-4</v>
      </c>
      <c r="K4711" s="35">
        <v>0.22524366719212674</v>
      </c>
      <c r="L4711" s="35">
        <v>12.466291094665293</v>
      </c>
      <c r="M4711" s="58" t="s">
        <v>23</v>
      </c>
      <c r="N4711" s="7">
        <v>11.333333333333334</v>
      </c>
      <c r="O4711" s="7" t="s">
        <v>180</v>
      </c>
      <c r="P4711" s="7" t="s">
        <v>180</v>
      </c>
    </row>
    <row r="4712" spans="1:16" x14ac:dyDescent="0.25">
      <c r="A4712" t="s">
        <v>183</v>
      </c>
      <c r="B4712" t="s">
        <v>219</v>
      </c>
      <c r="C4712" s="7" t="s">
        <v>163</v>
      </c>
      <c r="D4712" t="s">
        <v>122</v>
      </c>
      <c r="F4712" s="35">
        <v>0</v>
      </c>
      <c r="G4712" s="35">
        <v>76.133696740471152</v>
      </c>
      <c r="H4712" s="35">
        <v>-4.1763186023227306</v>
      </c>
      <c r="I4712" s="35">
        <v>3.9765867753733026</v>
      </c>
      <c r="J4712" s="35">
        <v>5.1899396436466108E-4</v>
      </c>
      <c r="K4712" s="35">
        <v>4.7127862090384989</v>
      </c>
      <c r="L4712" s="35">
        <v>-14.542494196445828</v>
      </c>
      <c r="M4712" s="58" t="s">
        <v>22</v>
      </c>
      <c r="N4712" s="7">
        <v>11.333333333333334</v>
      </c>
      <c r="O4712" s="7" t="s">
        <v>180</v>
      </c>
      <c r="P4712" s="7" t="s">
        <v>180</v>
      </c>
    </row>
    <row r="4713" spans="1:16" x14ac:dyDescent="0.25">
      <c r="A4713" t="s">
        <v>183</v>
      </c>
      <c r="B4713" t="s">
        <v>219</v>
      </c>
      <c r="C4713" s="7" t="s">
        <v>163</v>
      </c>
      <c r="D4713" t="s">
        <v>122</v>
      </c>
      <c r="F4713" s="35">
        <v>0.29999999999999988</v>
      </c>
      <c r="G4713" s="35">
        <v>76.276602580471149</v>
      </c>
      <c r="H4713" s="35">
        <v>-4.1763186023227306</v>
      </c>
      <c r="I4713" s="35">
        <v>3.9765867753733026</v>
      </c>
      <c r="J4713" s="35">
        <v>5.1899396436466108E-4</v>
      </c>
      <c r="K4713" s="35">
        <v>3.5198101764265077</v>
      </c>
      <c r="L4713" s="35">
        <v>-13.289598615749009</v>
      </c>
      <c r="M4713" s="58" t="s">
        <v>22</v>
      </c>
      <c r="N4713" s="7">
        <v>11.333333333333334</v>
      </c>
      <c r="O4713" s="7" t="s">
        <v>180</v>
      </c>
      <c r="P4713" s="7" t="s">
        <v>180</v>
      </c>
    </row>
    <row r="4714" spans="1:16" x14ac:dyDescent="0.25">
      <c r="A4714" t="s">
        <v>183</v>
      </c>
      <c r="B4714" t="s">
        <v>219</v>
      </c>
      <c r="C4714" s="7" t="s">
        <v>163</v>
      </c>
      <c r="D4714" t="s">
        <v>122</v>
      </c>
      <c r="F4714" s="35">
        <v>0.29999999999999988</v>
      </c>
      <c r="G4714" s="35">
        <v>29.855631529828397</v>
      </c>
      <c r="H4714" s="35">
        <v>-4.176318602322735</v>
      </c>
      <c r="I4714" s="35">
        <v>1.1443542663040092</v>
      </c>
      <c r="J4714" s="35">
        <v>4.2414689836129445E-4</v>
      </c>
      <c r="K4714" s="35">
        <v>3.5198101764265068</v>
      </c>
      <c r="L4714" s="35">
        <v>-13.289604306572969</v>
      </c>
      <c r="M4714" s="58" t="s">
        <v>22</v>
      </c>
      <c r="N4714" s="7">
        <v>11.333333333333334</v>
      </c>
      <c r="O4714" s="7" t="s">
        <v>180</v>
      </c>
      <c r="P4714" s="7" t="s">
        <v>180</v>
      </c>
    </row>
    <row r="4715" spans="1:16" x14ac:dyDescent="0.25">
      <c r="A4715" t="s">
        <v>183</v>
      </c>
      <c r="B4715" t="s">
        <v>219</v>
      </c>
      <c r="C4715" s="7" t="s">
        <v>163</v>
      </c>
      <c r="D4715" t="s">
        <v>122</v>
      </c>
      <c r="F4715" s="35">
        <v>5.3</v>
      </c>
      <c r="G4715" s="35">
        <v>32.23739552982839</v>
      </c>
      <c r="H4715" s="35">
        <v>-4.176318602322735</v>
      </c>
      <c r="I4715" s="35">
        <v>1.1443542663040092</v>
      </c>
      <c r="J4715" s="35">
        <v>4.2414689836129445E-4</v>
      </c>
      <c r="K4715" s="35">
        <v>-2.2019611550935383</v>
      </c>
      <c r="L4715" s="35">
        <v>7.5919887050407056</v>
      </c>
      <c r="M4715" s="58" t="s">
        <v>24</v>
      </c>
      <c r="N4715" s="7">
        <v>11.333333333333334</v>
      </c>
      <c r="O4715" s="7" t="s">
        <v>180</v>
      </c>
      <c r="P4715" s="7" t="s">
        <v>180</v>
      </c>
    </row>
    <row r="4716" spans="1:16" x14ac:dyDescent="0.25">
      <c r="A4716" t="s">
        <v>183</v>
      </c>
      <c r="B4716" t="s">
        <v>219</v>
      </c>
      <c r="C4716" s="7" t="s">
        <v>163</v>
      </c>
      <c r="D4716" t="s">
        <v>122</v>
      </c>
      <c r="F4716" s="35">
        <v>5.3</v>
      </c>
      <c r="G4716" s="35">
        <v>75.156466735445036</v>
      </c>
      <c r="H4716" s="35">
        <v>-4.176274981037527</v>
      </c>
      <c r="I4716" s="35">
        <v>-0.37648130776780592</v>
      </c>
      <c r="J4716" s="35">
        <v>2.3760975446591144E-4</v>
      </c>
      <c r="K4716" s="35">
        <v>-2.2019611550935343</v>
      </c>
      <c r="L4716" s="35">
        <v>7.5919254184293203</v>
      </c>
      <c r="M4716" s="58" t="s">
        <v>24</v>
      </c>
      <c r="N4716" s="7">
        <v>11.333333333333334</v>
      </c>
      <c r="O4716" s="7" t="s">
        <v>180</v>
      </c>
      <c r="P4716" s="7" t="s">
        <v>180</v>
      </c>
    </row>
    <row r="4717" spans="1:16" x14ac:dyDescent="0.25">
      <c r="A4717" t="s">
        <v>183</v>
      </c>
      <c r="B4717" t="s">
        <v>219</v>
      </c>
      <c r="C4717" s="7" t="s">
        <v>163</v>
      </c>
      <c r="D4717" t="s">
        <v>122</v>
      </c>
      <c r="F4717" s="35">
        <v>5.4149169609489114</v>
      </c>
      <c r="G4717" s="35">
        <v>75.211207751560536</v>
      </c>
      <c r="H4717" s="35">
        <v>-4.176274981037527</v>
      </c>
      <c r="I4717" s="35">
        <v>-0.37648130776780592</v>
      </c>
      <c r="J4717" s="35">
        <v>2.3760975446591144E-4</v>
      </c>
      <c r="K4717" s="35">
        <v>-2.1586970673507864</v>
      </c>
      <c r="L4717" s="35">
        <v>8.0718502473371245</v>
      </c>
      <c r="M4717" s="58" t="s">
        <v>24</v>
      </c>
      <c r="N4717" s="7">
        <v>11.333333333333334</v>
      </c>
      <c r="O4717" s="7" t="s">
        <v>180</v>
      </c>
      <c r="P4717" s="7" t="s">
        <v>180</v>
      </c>
    </row>
    <row r="4718" spans="1:16" x14ac:dyDescent="0.25">
      <c r="A4718" t="s">
        <v>183</v>
      </c>
      <c r="B4718" t="s">
        <v>219</v>
      </c>
      <c r="C4718" s="7" t="s">
        <v>163</v>
      </c>
      <c r="D4718" t="s">
        <v>122</v>
      </c>
      <c r="F4718" s="35">
        <v>10.829833921897823</v>
      </c>
      <c r="G4718" s="35">
        <v>77.790618607676038</v>
      </c>
      <c r="H4718" s="35">
        <v>-4.176274981037527</v>
      </c>
      <c r="I4718" s="35">
        <v>-0.37648130776780592</v>
      </c>
      <c r="J4718" s="35">
        <v>2.3760975446591144E-4</v>
      </c>
      <c r="K4718" s="35">
        <v>-0.1200820484386677</v>
      </c>
      <c r="L4718" s="35">
        <v>30.686032475743811</v>
      </c>
      <c r="M4718" s="58" t="s">
        <v>23</v>
      </c>
      <c r="N4718" s="7">
        <v>11.333333333333334</v>
      </c>
      <c r="O4718" s="7" t="s">
        <v>180</v>
      </c>
      <c r="P4718" s="7" t="s">
        <v>180</v>
      </c>
    </row>
    <row r="4719" spans="1:16" x14ac:dyDescent="0.25">
      <c r="A4719" t="s">
        <v>183</v>
      </c>
      <c r="B4719" t="s">
        <v>219</v>
      </c>
      <c r="C4719" s="7" t="s">
        <v>163</v>
      </c>
      <c r="D4719" t="s">
        <v>123</v>
      </c>
      <c r="F4719" s="35">
        <v>0</v>
      </c>
      <c r="G4719" s="35">
        <v>-3.0721165675612858</v>
      </c>
      <c r="H4719" s="35">
        <v>-0.92265471170062008</v>
      </c>
      <c r="I4719" s="35">
        <v>3.5975528893782762</v>
      </c>
      <c r="J4719" s="35">
        <v>5.4583576917668236E-4</v>
      </c>
      <c r="K4719" s="35">
        <v>4.9906497966512209</v>
      </c>
      <c r="L4719" s="35">
        <v>-3.9187266337040638</v>
      </c>
      <c r="M4719" s="58" t="s">
        <v>22</v>
      </c>
      <c r="N4719" s="7">
        <v>11.333333333333334</v>
      </c>
      <c r="O4719" s="7" t="s">
        <v>180</v>
      </c>
      <c r="P4719" s="7" t="s">
        <v>180</v>
      </c>
    </row>
    <row r="4720" spans="1:16" x14ac:dyDescent="0.25">
      <c r="A4720" t="s">
        <v>183</v>
      </c>
      <c r="B4720" t="s">
        <v>219</v>
      </c>
      <c r="C4720" s="7" t="s">
        <v>163</v>
      </c>
      <c r="D4720" t="s">
        <v>123</v>
      </c>
      <c r="F4720" s="35">
        <v>0.29999999999999988</v>
      </c>
      <c r="G4720" s="35">
        <v>-2.9292107275612791</v>
      </c>
      <c r="H4720" s="35">
        <v>-0.92265471170062008</v>
      </c>
      <c r="I4720" s="35">
        <v>3.5975528893782762</v>
      </c>
      <c r="J4720" s="35">
        <v>5.4583576917668236E-4</v>
      </c>
      <c r="K4720" s="35">
        <v>3.9113839298377373</v>
      </c>
      <c r="L4720" s="35">
        <v>-3.6419302201938777</v>
      </c>
      <c r="M4720" s="58" t="s">
        <v>22</v>
      </c>
      <c r="N4720" s="7">
        <v>11.333333333333334</v>
      </c>
      <c r="O4720" s="7" t="s">
        <v>180</v>
      </c>
      <c r="P4720" s="7" t="s">
        <v>180</v>
      </c>
    </row>
    <row r="4721" spans="1:16" x14ac:dyDescent="0.25">
      <c r="A4721" t="s">
        <v>183</v>
      </c>
      <c r="B4721" t="s">
        <v>219</v>
      </c>
      <c r="C4721" s="7" t="s">
        <v>163</v>
      </c>
      <c r="D4721" t="s">
        <v>123</v>
      </c>
      <c r="F4721" s="35">
        <v>0.29999999999999988</v>
      </c>
      <c r="G4721" s="35">
        <v>-40.91620704854315</v>
      </c>
      <c r="H4721" s="35">
        <v>-0.92265471170061142</v>
      </c>
      <c r="I4721" s="35">
        <v>1.2713588640886127</v>
      </c>
      <c r="J4721" s="35">
        <v>4.1257827912432097E-4</v>
      </c>
      <c r="K4721" s="35">
        <v>3.9113839298377409</v>
      </c>
      <c r="L4721" s="35">
        <v>-3.6419382156432838</v>
      </c>
      <c r="M4721" s="58" t="s">
        <v>22</v>
      </c>
      <c r="N4721" s="7">
        <v>11.333333333333334</v>
      </c>
      <c r="O4721" s="7" t="s">
        <v>180</v>
      </c>
      <c r="P4721" s="7" t="s">
        <v>180</v>
      </c>
    </row>
    <row r="4722" spans="1:16" x14ac:dyDescent="0.25">
      <c r="A4722" t="s">
        <v>183</v>
      </c>
      <c r="B4722" t="s">
        <v>219</v>
      </c>
      <c r="C4722" s="7" t="s">
        <v>163</v>
      </c>
      <c r="D4722" t="s">
        <v>123</v>
      </c>
      <c r="F4722" s="35">
        <v>5.3</v>
      </c>
      <c r="G4722" s="35">
        <v>-38.53444304854316</v>
      </c>
      <c r="H4722" s="35">
        <v>-0.92265471170061142</v>
      </c>
      <c r="I4722" s="35">
        <v>1.2713588640886127</v>
      </c>
      <c r="J4722" s="35">
        <v>4.1257827912432097E-4</v>
      </c>
      <c r="K4722" s="35">
        <v>-2.4454103906053222</v>
      </c>
      <c r="L4722" s="35">
        <v>0.97133534285977463</v>
      </c>
      <c r="M4722" s="58" t="s">
        <v>24</v>
      </c>
      <c r="N4722" s="7">
        <v>11.333333333333334</v>
      </c>
      <c r="O4722" s="7" t="s">
        <v>180</v>
      </c>
      <c r="P4722" s="7" t="s">
        <v>180</v>
      </c>
    </row>
    <row r="4723" spans="1:16" x14ac:dyDescent="0.25">
      <c r="A4723" t="s">
        <v>183</v>
      </c>
      <c r="B4723" t="s">
        <v>219</v>
      </c>
      <c r="C4723" s="7" t="s">
        <v>163</v>
      </c>
      <c r="D4723" t="s">
        <v>123</v>
      </c>
      <c r="F4723" s="35">
        <v>5.3</v>
      </c>
      <c r="G4723" s="35">
        <v>-3.8522827387410934</v>
      </c>
      <c r="H4723" s="35">
        <v>-0.92261888633612743</v>
      </c>
      <c r="I4723" s="35">
        <v>-0.41684658720770701</v>
      </c>
      <c r="J4723" s="35">
        <v>3.7995010127547959E-4</v>
      </c>
      <c r="K4723" s="35">
        <v>-2.4454103906053177</v>
      </c>
      <c r="L4723" s="35">
        <v>0.97150779523394049</v>
      </c>
      <c r="M4723" s="58" t="s">
        <v>24</v>
      </c>
      <c r="N4723" s="7">
        <v>11.333333333333334</v>
      </c>
      <c r="O4723" s="7" t="s">
        <v>180</v>
      </c>
      <c r="P4723" s="7" t="s">
        <v>180</v>
      </c>
    </row>
    <row r="4724" spans="1:16" x14ac:dyDescent="0.25">
      <c r="A4724" t="s">
        <v>183</v>
      </c>
      <c r="B4724" t="s">
        <v>219</v>
      </c>
      <c r="C4724" s="7" t="s">
        <v>163</v>
      </c>
      <c r="D4724" t="s">
        <v>123</v>
      </c>
      <c r="F4724" s="35">
        <v>5.4149169609489114</v>
      </c>
      <c r="G4724" s="35">
        <v>-3.7975417226255952</v>
      </c>
      <c r="H4724" s="35">
        <v>-0.92261888633612743</v>
      </c>
      <c r="I4724" s="35">
        <v>-0.41684658720770701</v>
      </c>
      <c r="J4724" s="35">
        <v>3.7995010127547959E-4</v>
      </c>
      <c r="K4724" s="35">
        <v>-2.3975076476214827</v>
      </c>
      <c r="L4724" s="35">
        <v>1.0775323537657566</v>
      </c>
      <c r="M4724" s="58" t="s">
        <v>24</v>
      </c>
      <c r="N4724" s="7">
        <v>11.333333333333334</v>
      </c>
      <c r="O4724" s="7" t="s">
        <v>180</v>
      </c>
      <c r="P4724" s="7" t="s">
        <v>180</v>
      </c>
    </row>
    <row r="4725" spans="1:16" x14ac:dyDescent="0.25">
      <c r="A4725" t="s">
        <v>183</v>
      </c>
      <c r="B4725" t="s">
        <v>219</v>
      </c>
      <c r="C4725" s="7" t="s">
        <v>163</v>
      </c>
      <c r="D4725" t="s">
        <v>123</v>
      </c>
      <c r="F4725" s="35">
        <v>10.829833921897823</v>
      </c>
      <c r="G4725" s="35">
        <v>-1.2181308665100949</v>
      </c>
      <c r="H4725" s="35">
        <v>-0.92261888633612743</v>
      </c>
      <c r="I4725" s="35">
        <v>-0.41684658720770701</v>
      </c>
      <c r="J4725" s="35">
        <v>3.7995010127547959E-4</v>
      </c>
      <c r="K4725" s="35">
        <v>-0.14031799243680149</v>
      </c>
      <c r="L4725" s="35">
        <v>6.0734370098790471</v>
      </c>
      <c r="M4725" s="58" t="s">
        <v>23</v>
      </c>
      <c r="N4725" s="7">
        <v>11.333333333333334</v>
      </c>
      <c r="O4725" s="7" t="s">
        <v>180</v>
      </c>
      <c r="P4725" s="7" t="s">
        <v>180</v>
      </c>
    </row>
    <row r="4726" spans="1:16" x14ac:dyDescent="0.25">
      <c r="A4726" t="s">
        <v>183</v>
      </c>
      <c r="B4726" t="s">
        <v>219</v>
      </c>
      <c r="C4726" s="7" t="s">
        <v>163</v>
      </c>
      <c r="D4726" t="s">
        <v>124</v>
      </c>
      <c r="F4726" s="35">
        <v>0</v>
      </c>
      <c r="G4726" s="35">
        <v>62.431116231879571</v>
      </c>
      <c r="H4726" s="35">
        <v>1.1768533184058452</v>
      </c>
      <c r="I4726" s="35">
        <v>-0.54714440742130444</v>
      </c>
      <c r="J4726" s="35">
        <v>3.6490246566053983E-5</v>
      </c>
      <c r="K4726" s="35">
        <v>-1.054546236972925</v>
      </c>
      <c r="L4726" s="35">
        <v>20.368289436821442</v>
      </c>
      <c r="M4726" s="58" t="s">
        <v>22</v>
      </c>
      <c r="N4726" s="7">
        <v>11.333333333333334</v>
      </c>
      <c r="O4726" s="7" t="s">
        <v>180</v>
      </c>
      <c r="P4726" s="7" t="s">
        <v>180</v>
      </c>
    </row>
    <row r="4727" spans="1:16" x14ac:dyDescent="0.25">
      <c r="A4727" t="s">
        <v>183</v>
      </c>
      <c r="B4727" t="s">
        <v>219</v>
      </c>
      <c r="C4727" s="7" t="s">
        <v>163</v>
      </c>
      <c r="D4727" t="s">
        <v>124</v>
      </c>
      <c r="F4727" s="35">
        <v>0.29999999999999988</v>
      </c>
      <c r="G4727" s="35">
        <v>62.574022071879575</v>
      </c>
      <c r="H4727" s="35">
        <v>1.1768533184058452</v>
      </c>
      <c r="I4727" s="35">
        <v>-0.54714440742130444</v>
      </c>
      <c r="J4727" s="35">
        <v>3.6490246566053983E-5</v>
      </c>
      <c r="K4727" s="35">
        <v>-0.89040291474653399</v>
      </c>
      <c r="L4727" s="35">
        <v>20.015233441299685</v>
      </c>
      <c r="M4727" s="58" t="s">
        <v>22</v>
      </c>
      <c r="N4727" s="7">
        <v>11.333333333333334</v>
      </c>
      <c r="O4727" s="7" t="s">
        <v>180</v>
      </c>
      <c r="P4727" s="7" t="s">
        <v>180</v>
      </c>
    </row>
    <row r="4728" spans="1:16" x14ac:dyDescent="0.25">
      <c r="A4728" t="s">
        <v>183</v>
      </c>
      <c r="B4728" t="s">
        <v>219</v>
      </c>
      <c r="C4728" s="7" t="s">
        <v>163</v>
      </c>
      <c r="D4728" t="s">
        <v>124</v>
      </c>
      <c r="F4728" s="35">
        <v>0.29999999999999988</v>
      </c>
      <c r="G4728" s="35">
        <v>67.669678258137523</v>
      </c>
      <c r="H4728" s="35">
        <v>1.1768533184058463</v>
      </c>
      <c r="I4728" s="35">
        <v>-0.28837928227659199</v>
      </c>
      <c r="J4728" s="35">
        <v>-9.1046301334183485E-5</v>
      </c>
      <c r="K4728" s="35">
        <v>-0.89040291474653255</v>
      </c>
      <c r="L4728" s="35">
        <v>20.015225789106772</v>
      </c>
      <c r="M4728" s="58" t="s">
        <v>22</v>
      </c>
      <c r="N4728" s="7">
        <v>11.333333333333334</v>
      </c>
      <c r="O4728" s="7" t="s">
        <v>180</v>
      </c>
      <c r="P4728" s="7" t="s">
        <v>180</v>
      </c>
    </row>
    <row r="4729" spans="1:16" x14ac:dyDescent="0.25">
      <c r="A4729" t="s">
        <v>183</v>
      </c>
      <c r="B4729" t="s">
        <v>219</v>
      </c>
      <c r="C4729" s="7" t="s">
        <v>163</v>
      </c>
      <c r="D4729" t="s">
        <v>124</v>
      </c>
      <c r="F4729" s="35">
        <v>5.3</v>
      </c>
      <c r="G4729" s="35">
        <v>70.051442258137513</v>
      </c>
      <c r="H4729" s="35">
        <v>1.1768533184058463</v>
      </c>
      <c r="I4729" s="35">
        <v>-0.28837928227659199</v>
      </c>
      <c r="J4729" s="35">
        <v>-9.1046301334183485E-5</v>
      </c>
      <c r="K4729" s="35">
        <v>0.55149349663642722</v>
      </c>
      <c r="L4729" s="35">
        <v>14.130959197077546</v>
      </c>
      <c r="M4729" s="58" t="s">
        <v>24</v>
      </c>
      <c r="N4729" s="7">
        <v>11.333333333333334</v>
      </c>
      <c r="O4729" s="7" t="s">
        <v>180</v>
      </c>
      <c r="P4729" s="7" t="s">
        <v>180</v>
      </c>
    </row>
    <row r="4730" spans="1:16" x14ac:dyDescent="0.25">
      <c r="A4730" t="s">
        <v>183</v>
      </c>
      <c r="B4730" t="s">
        <v>219</v>
      </c>
      <c r="C4730" s="7" t="s">
        <v>163</v>
      </c>
      <c r="D4730" t="s">
        <v>124</v>
      </c>
      <c r="F4730" s="35">
        <v>5.3</v>
      </c>
      <c r="G4730" s="35">
        <v>69.095058829711036</v>
      </c>
      <c r="H4730" s="35">
        <v>1.1768411544191566</v>
      </c>
      <c r="I4730" s="35">
        <v>8.0175340768873948E-2</v>
      </c>
      <c r="J4730" s="35">
        <v>-2.1865373063869063E-4</v>
      </c>
      <c r="K4730" s="35">
        <v>0.55149349663642822</v>
      </c>
      <c r="L4730" s="35">
        <v>14.130744140551137</v>
      </c>
      <c r="M4730" s="58" t="s">
        <v>24</v>
      </c>
      <c r="N4730" s="7">
        <v>11.333333333333334</v>
      </c>
      <c r="O4730" s="7" t="s">
        <v>180</v>
      </c>
      <c r="P4730" s="7" t="s">
        <v>180</v>
      </c>
    </row>
    <row r="4731" spans="1:16" x14ac:dyDescent="0.25">
      <c r="A4731" t="s">
        <v>183</v>
      </c>
      <c r="B4731" t="s">
        <v>219</v>
      </c>
      <c r="C4731" s="7" t="s">
        <v>163</v>
      </c>
      <c r="D4731" t="s">
        <v>124</v>
      </c>
      <c r="F4731" s="35">
        <v>5.4149169609489114</v>
      </c>
      <c r="G4731" s="35">
        <v>69.149799845826536</v>
      </c>
      <c r="H4731" s="35">
        <v>1.1768411544191566</v>
      </c>
      <c r="I4731" s="35">
        <v>8.0175340768873948E-2</v>
      </c>
      <c r="J4731" s="35">
        <v>-2.1865373063869063E-4</v>
      </c>
      <c r="K4731" s="35">
        <v>0.54227999013222605</v>
      </c>
      <c r="L4731" s="35">
        <v>13.995505131565677</v>
      </c>
      <c r="M4731" s="58" t="s">
        <v>24</v>
      </c>
      <c r="N4731" s="7">
        <v>11.333333333333334</v>
      </c>
      <c r="O4731" s="7" t="s">
        <v>180</v>
      </c>
      <c r="P4731" s="7" t="s">
        <v>180</v>
      </c>
    </row>
    <row r="4732" spans="1:16" x14ac:dyDescent="0.25">
      <c r="A4732" t="s">
        <v>183</v>
      </c>
      <c r="B4732" t="s">
        <v>219</v>
      </c>
      <c r="C4732" s="7" t="s">
        <v>163</v>
      </c>
      <c r="D4732" t="s">
        <v>124</v>
      </c>
      <c r="F4732" s="35">
        <v>10.829833921897823</v>
      </c>
      <c r="G4732" s="35">
        <v>71.729210701942037</v>
      </c>
      <c r="H4732" s="35">
        <v>1.1768411544191566</v>
      </c>
      <c r="I4732" s="35">
        <v>8.0175340768873948E-2</v>
      </c>
      <c r="J4732" s="35">
        <v>-2.1865373063869063E-4</v>
      </c>
      <c r="K4732" s="35">
        <v>0.10813717755299176</v>
      </c>
      <c r="L4732" s="35">
        <v>7.6230080041586961</v>
      </c>
      <c r="M4732" s="58" t="s">
        <v>23</v>
      </c>
      <c r="N4732" s="7">
        <v>11.333333333333334</v>
      </c>
      <c r="O4732" s="7" t="s">
        <v>180</v>
      </c>
      <c r="P4732" s="7" t="s">
        <v>180</v>
      </c>
    </row>
    <row r="4733" spans="1:16" x14ac:dyDescent="0.25">
      <c r="A4733" t="s">
        <v>183</v>
      </c>
      <c r="B4733" t="s">
        <v>219</v>
      </c>
      <c r="C4733" s="7" t="s">
        <v>163</v>
      </c>
      <c r="D4733" t="s">
        <v>125</v>
      </c>
      <c r="F4733" s="35">
        <v>0</v>
      </c>
      <c r="G4733" s="35">
        <v>-148.67674247734817</v>
      </c>
      <c r="H4733" s="35">
        <v>14.832784286227151</v>
      </c>
      <c r="I4733" s="35">
        <v>-2.0926703930697044</v>
      </c>
      <c r="J4733" s="35">
        <v>2.3049727009113945E-4</v>
      </c>
      <c r="K4733" s="35">
        <v>-0.99243554590689187</v>
      </c>
      <c r="L4733" s="35">
        <v>85.894946581996578</v>
      </c>
      <c r="M4733" s="58" t="s">
        <v>22</v>
      </c>
      <c r="N4733" s="7">
        <v>11.333333333333334</v>
      </c>
      <c r="O4733" s="7" t="s">
        <v>180</v>
      </c>
      <c r="P4733" s="7" t="s">
        <v>180</v>
      </c>
    </row>
    <row r="4734" spans="1:16" x14ac:dyDescent="0.25">
      <c r="A4734" t="s">
        <v>183</v>
      </c>
      <c r="B4734" t="s">
        <v>219</v>
      </c>
      <c r="C4734" s="7" t="s">
        <v>163</v>
      </c>
      <c r="D4734" t="s">
        <v>125</v>
      </c>
      <c r="F4734" s="35">
        <v>0.29999999999999988</v>
      </c>
      <c r="G4734" s="35">
        <v>-148.53383663734817</v>
      </c>
      <c r="H4734" s="35">
        <v>14.832784286227151</v>
      </c>
      <c r="I4734" s="35">
        <v>-2.0926703930697044</v>
      </c>
      <c r="J4734" s="35">
        <v>2.3049727009113945E-4</v>
      </c>
      <c r="K4734" s="35">
        <v>-0.36463442798598095</v>
      </c>
      <c r="L4734" s="35">
        <v>81.445111296128431</v>
      </c>
      <c r="M4734" s="58" t="s">
        <v>22</v>
      </c>
      <c r="N4734" s="7">
        <v>11.333333333333334</v>
      </c>
      <c r="O4734" s="7" t="s">
        <v>180</v>
      </c>
      <c r="P4734" s="7" t="s">
        <v>180</v>
      </c>
    </row>
    <row r="4735" spans="1:16" x14ac:dyDescent="0.25">
      <c r="A4735" t="s">
        <v>183</v>
      </c>
      <c r="B4735" t="s">
        <v>219</v>
      </c>
      <c r="C4735" s="7" t="s">
        <v>163</v>
      </c>
      <c r="D4735" t="s">
        <v>125</v>
      </c>
      <c r="F4735" s="35">
        <v>0.29999999999999988</v>
      </c>
      <c r="G4735" s="35">
        <v>-114.87926116080686</v>
      </c>
      <c r="H4735" s="35">
        <v>14.832784286227129</v>
      </c>
      <c r="I4735" s="35">
        <v>-0.12037011050798298</v>
      </c>
      <c r="J4735" s="35">
        <v>-2.0947243361672344E-4</v>
      </c>
      <c r="K4735" s="35">
        <v>-0.3646344279859815</v>
      </c>
      <c r="L4735" s="35">
        <v>81.445084897946174</v>
      </c>
      <c r="M4735" s="58" t="s">
        <v>22</v>
      </c>
      <c r="N4735" s="7">
        <v>11.333333333333334</v>
      </c>
      <c r="O4735" s="7" t="s">
        <v>180</v>
      </c>
      <c r="P4735" s="7" t="s">
        <v>180</v>
      </c>
    </row>
    <row r="4736" spans="1:16" x14ac:dyDescent="0.25">
      <c r="A4736" t="s">
        <v>183</v>
      </c>
      <c r="B4736" t="s">
        <v>219</v>
      </c>
      <c r="C4736" s="7" t="s">
        <v>163</v>
      </c>
      <c r="D4736" t="s">
        <v>125</v>
      </c>
      <c r="F4736" s="35">
        <v>5.3</v>
      </c>
      <c r="G4736" s="35">
        <v>-112.49749716080687</v>
      </c>
      <c r="H4736" s="35">
        <v>14.832784286227129</v>
      </c>
      <c r="I4736" s="35">
        <v>-0.12037011050798298</v>
      </c>
      <c r="J4736" s="35">
        <v>-2.0947243361672344E-4</v>
      </c>
      <c r="K4736" s="35">
        <v>0.23721612455393346</v>
      </c>
      <c r="L4736" s="35">
        <v>7.2811634668105345</v>
      </c>
      <c r="M4736" s="58" t="s">
        <v>24</v>
      </c>
      <c r="N4736" s="7">
        <v>11.333333333333334</v>
      </c>
      <c r="O4736" s="7" t="s">
        <v>180</v>
      </c>
      <c r="P4736" s="7" t="s">
        <v>180</v>
      </c>
    </row>
    <row r="4737" spans="1:16" x14ac:dyDescent="0.25">
      <c r="A4737" t="s">
        <v>183</v>
      </c>
      <c r="B4737" t="s">
        <v>219</v>
      </c>
      <c r="C4737" s="7" t="s">
        <v>163</v>
      </c>
      <c r="D4737" t="s">
        <v>125</v>
      </c>
      <c r="F4737" s="35">
        <v>5.3</v>
      </c>
      <c r="G4737" s="35">
        <v>-140.53425782772845</v>
      </c>
      <c r="H4737" s="35">
        <v>14.832729386143608</v>
      </c>
      <c r="I4737" s="35">
        <v>2.8066660736309899E-2</v>
      </c>
      <c r="J4737" s="35">
        <v>7.7797852302331888E-5</v>
      </c>
      <c r="K4737" s="35">
        <v>0.2372161245539339</v>
      </c>
      <c r="L4737" s="35">
        <v>7.2815694590473328</v>
      </c>
      <c r="M4737" s="58" t="s">
        <v>24</v>
      </c>
      <c r="N4737" s="7">
        <v>11.333333333333334</v>
      </c>
      <c r="O4737" s="7" t="s">
        <v>180</v>
      </c>
      <c r="P4737" s="7" t="s">
        <v>180</v>
      </c>
    </row>
    <row r="4738" spans="1:16" x14ac:dyDescent="0.25">
      <c r="A4738" t="s">
        <v>183</v>
      </c>
      <c r="B4738" t="s">
        <v>219</v>
      </c>
      <c r="C4738" s="7" t="s">
        <v>163</v>
      </c>
      <c r="D4738" t="s">
        <v>125</v>
      </c>
      <c r="F4738" s="35">
        <v>5.4149169609489114</v>
      </c>
      <c r="G4738" s="35">
        <v>-140.47951681161297</v>
      </c>
      <c r="H4738" s="35">
        <v>14.832729386143608</v>
      </c>
      <c r="I4738" s="35">
        <v>2.8066660736309899E-2</v>
      </c>
      <c r="J4738" s="35">
        <v>7.7797852302331888E-5</v>
      </c>
      <c r="K4738" s="35">
        <v>0.23399078919813304</v>
      </c>
      <c r="L4738" s="35">
        <v>5.5770372754140967</v>
      </c>
      <c r="M4738" s="58" t="s">
        <v>24</v>
      </c>
      <c r="N4738" s="7">
        <v>11.333333333333334</v>
      </c>
      <c r="O4738" s="7" t="s">
        <v>180</v>
      </c>
      <c r="P4738" s="7" t="s">
        <v>180</v>
      </c>
    </row>
    <row r="4739" spans="1:16" x14ac:dyDescent="0.25">
      <c r="A4739" t="s">
        <v>183</v>
      </c>
      <c r="B4739" t="s">
        <v>219</v>
      </c>
      <c r="C4739" s="7" t="s">
        <v>163</v>
      </c>
      <c r="D4739" t="s">
        <v>125</v>
      </c>
      <c r="F4739" s="35">
        <v>10.829833921897823</v>
      </c>
      <c r="G4739" s="35">
        <v>-137.90010595549748</v>
      </c>
      <c r="H4739" s="35">
        <v>14.832729386143608</v>
      </c>
      <c r="I4739" s="35">
        <v>2.8066660736309899E-2</v>
      </c>
      <c r="J4739" s="35">
        <v>7.7797852302331888E-5</v>
      </c>
      <c r="K4739" s="35">
        <v>8.2012151939889796E-2</v>
      </c>
      <c r="L4739" s="35">
        <v>-74.740960654780238</v>
      </c>
      <c r="M4739" s="58" t="s">
        <v>23</v>
      </c>
      <c r="N4739" s="7">
        <v>11.333333333333334</v>
      </c>
      <c r="O4739" s="7" t="s">
        <v>180</v>
      </c>
      <c r="P4739" s="7" t="s">
        <v>180</v>
      </c>
    </row>
    <row r="4740" spans="1:16" x14ac:dyDescent="0.25">
      <c r="A4740" t="s">
        <v>183</v>
      </c>
      <c r="B4740" t="s">
        <v>219</v>
      </c>
      <c r="C4740" s="7" t="s">
        <v>163</v>
      </c>
      <c r="D4740" t="s">
        <v>126</v>
      </c>
      <c r="F4740" s="35">
        <v>0</v>
      </c>
      <c r="G4740" s="35">
        <v>64.417006832004816</v>
      </c>
      <c r="H4740" s="35">
        <v>-8.792920050097047</v>
      </c>
      <c r="I4740" s="35">
        <v>-0.50611039422668092</v>
      </c>
      <c r="J4740" s="35">
        <v>-2.9093950795200662E-4</v>
      </c>
      <c r="K4740" s="35">
        <v>-1.0204046248191119</v>
      </c>
      <c r="L4740" s="35">
        <v>-46.297136020917648</v>
      </c>
      <c r="M4740" s="58" t="s">
        <v>22</v>
      </c>
      <c r="N4740" s="7">
        <v>11.333333333333334</v>
      </c>
      <c r="O4740" s="7" t="s">
        <v>180</v>
      </c>
      <c r="P4740" s="7" t="s">
        <v>180</v>
      </c>
    </row>
    <row r="4741" spans="1:16" x14ac:dyDescent="0.25">
      <c r="A4741" t="s">
        <v>183</v>
      </c>
      <c r="B4741" t="s">
        <v>219</v>
      </c>
      <c r="C4741" s="7" t="s">
        <v>163</v>
      </c>
      <c r="D4741" t="s">
        <v>126</v>
      </c>
      <c r="F4741" s="35">
        <v>0.29999999999999988</v>
      </c>
      <c r="G4741" s="35">
        <v>64.559912672004828</v>
      </c>
      <c r="H4741" s="35">
        <v>-8.792920050097047</v>
      </c>
      <c r="I4741" s="35">
        <v>-0.50611039422668092</v>
      </c>
      <c r="J4741" s="35">
        <v>-2.9093950795200662E-4</v>
      </c>
      <c r="K4741" s="35">
        <v>-0.86857150655110782</v>
      </c>
      <c r="L4741" s="35">
        <v>-43.659260005888541</v>
      </c>
      <c r="M4741" s="58" t="s">
        <v>22</v>
      </c>
      <c r="N4741" s="7">
        <v>11.333333333333334</v>
      </c>
      <c r="O4741" s="7" t="s">
        <v>180</v>
      </c>
      <c r="P4741" s="7" t="s">
        <v>180</v>
      </c>
    </row>
    <row r="4742" spans="1:16" x14ac:dyDescent="0.25">
      <c r="A4742" t="s">
        <v>183</v>
      </c>
      <c r="B4742" t="s">
        <v>219</v>
      </c>
      <c r="C4742" s="7" t="s">
        <v>163</v>
      </c>
      <c r="D4742" t="s">
        <v>126</v>
      </c>
      <c r="F4742" s="35">
        <v>0.29999999999999988</v>
      </c>
      <c r="G4742" s="35">
        <v>69.089719362222766</v>
      </c>
      <c r="H4742" s="35">
        <v>-8.7929200500970293</v>
      </c>
      <c r="I4742" s="35">
        <v>-0.2812962388443585</v>
      </c>
      <c r="J4742" s="35">
        <v>-3.3827046600155714E-5</v>
      </c>
      <c r="K4742" s="35">
        <v>-0.86857150655110837</v>
      </c>
      <c r="L4742" s="35">
        <v>-43.659244579140847</v>
      </c>
      <c r="M4742" s="58" t="s">
        <v>22</v>
      </c>
      <c r="N4742" s="7">
        <v>11.333333333333334</v>
      </c>
      <c r="O4742" s="7" t="s">
        <v>180</v>
      </c>
      <c r="P4742" s="7" t="s">
        <v>180</v>
      </c>
    </row>
    <row r="4743" spans="1:16" x14ac:dyDescent="0.25">
      <c r="A4743" t="s">
        <v>183</v>
      </c>
      <c r="B4743" t="s">
        <v>219</v>
      </c>
      <c r="C4743" s="7" t="s">
        <v>163</v>
      </c>
      <c r="D4743" t="s">
        <v>126</v>
      </c>
      <c r="F4743" s="35">
        <v>5.3</v>
      </c>
      <c r="G4743" s="35">
        <v>71.471483362222756</v>
      </c>
      <c r="H4743" s="35">
        <v>-8.7929200500970293</v>
      </c>
      <c r="I4743" s="35">
        <v>-0.2812962388443585</v>
      </c>
      <c r="J4743" s="35">
        <v>-3.3827046600155714E-5</v>
      </c>
      <c r="K4743" s="35">
        <v>0.53790968767068403</v>
      </c>
      <c r="L4743" s="35">
        <v>0.30535567134430158</v>
      </c>
      <c r="M4743" s="58" t="s">
        <v>24</v>
      </c>
      <c r="N4743" s="7">
        <v>11.333333333333334</v>
      </c>
      <c r="O4743" s="7" t="s">
        <v>180</v>
      </c>
      <c r="P4743" s="7" t="s">
        <v>180</v>
      </c>
    </row>
    <row r="4744" spans="1:16" x14ac:dyDescent="0.25">
      <c r="A4744" t="s">
        <v>183</v>
      </c>
      <c r="B4744" t="s">
        <v>219</v>
      </c>
      <c r="C4744" s="7" t="s">
        <v>163</v>
      </c>
      <c r="D4744" t="s">
        <v>126</v>
      </c>
      <c r="F4744" s="35">
        <v>5.3</v>
      </c>
      <c r="G4744" s="35">
        <v>71.024535114137265</v>
      </c>
      <c r="H4744" s="35">
        <v>-8.792896266993294</v>
      </c>
      <c r="I4744" s="35">
        <v>7.7927324105838552E-2</v>
      </c>
      <c r="J4744" s="35">
        <v>-2.5901331918922171E-4</v>
      </c>
      <c r="K4744" s="35">
        <v>0.53790968767068337</v>
      </c>
      <c r="L4744" s="35">
        <v>0.30498241238048757</v>
      </c>
      <c r="M4744" s="58" t="s">
        <v>24</v>
      </c>
      <c r="N4744" s="7">
        <v>11.333333333333334</v>
      </c>
      <c r="O4744" s="7" t="s">
        <v>180</v>
      </c>
      <c r="P4744" s="7" t="s">
        <v>180</v>
      </c>
    </row>
    <row r="4745" spans="1:16" x14ac:dyDescent="0.25">
      <c r="A4745" t="s">
        <v>183</v>
      </c>
      <c r="B4745" t="s">
        <v>219</v>
      </c>
      <c r="C4745" s="7" t="s">
        <v>163</v>
      </c>
      <c r="D4745" t="s">
        <v>126</v>
      </c>
      <c r="F4745" s="35">
        <v>5.4149169609489114</v>
      </c>
      <c r="G4745" s="35">
        <v>71.079276130252765</v>
      </c>
      <c r="H4745" s="35">
        <v>-8.792896266993294</v>
      </c>
      <c r="I4745" s="35">
        <v>7.7927324105838552E-2</v>
      </c>
      <c r="J4745" s="35">
        <v>-2.5901331918922171E-4</v>
      </c>
      <c r="K4745" s="35">
        <v>0.52895451640955948</v>
      </c>
      <c r="L4745" s="35">
        <v>1.3154353293223844</v>
      </c>
      <c r="M4745" s="58" t="s">
        <v>24</v>
      </c>
      <c r="N4745" s="7">
        <v>11.333333333333334</v>
      </c>
      <c r="O4745" s="7" t="s">
        <v>180</v>
      </c>
      <c r="P4745" s="7" t="s">
        <v>180</v>
      </c>
    </row>
    <row r="4746" spans="1:16" x14ac:dyDescent="0.25">
      <c r="A4746" t="s">
        <v>183</v>
      </c>
      <c r="B4746" t="s">
        <v>219</v>
      </c>
      <c r="C4746" s="7" t="s">
        <v>163</v>
      </c>
      <c r="D4746" t="s">
        <v>126</v>
      </c>
      <c r="F4746" s="35">
        <v>10.829833921897823</v>
      </c>
      <c r="G4746" s="35">
        <v>73.658686986368267</v>
      </c>
      <c r="H4746" s="35">
        <v>-8.792896266993294</v>
      </c>
      <c r="I4746" s="35">
        <v>7.7927324105838552E-2</v>
      </c>
      <c r="J4746" s="35">
        <v>-2.5901331918922171E-4</v>
      </c>
      <c r="K4746" s="35">
        <v>0.10698452738749145</v>
      </c>
      <c r="L4746" s="35">
        <v>48.928238461328732</v>
      </c>
      <c r="M4746" s="58" t="s">
        <v>23</v>
      </c>
      <c r="N4746" s="7">
        <v>11.333333333333334</v>
      </c>
      <c r="O4746" s="7" t="s">
        <v>180</v>
      </c>
      <c r="P4746" s="7" t="s">
        <v>180</v>
      </c>
    </row>
    <row r="4747" spans="1:16" x14ac:dyDescent="0.25">
      <c r="A4747" t="s">
        <v>183</v>
      </c>
      <c r="B4747" t="s">
        <v>219</v>
      </c>
      <c r="C4747" s="7" t="s">
        <v>163</v>
      </c>
      <c r="D4747" t="s">
        <v>127</v>
      </c>
      <c r="F4747" s="35">
        <v>0</v>
      </c>
      <c r="G4747" s="35">
        <v>-52.10719421052908</v>
      </c>
      <c r="H4747" s="35">
        <v>-20.592112357262739</v>
      </c>
      <c r="I4747" s="35">
        <v>-1.1437393890700664</v>
      </c>
      <c r="J4747" s="35">
        <v>-3.5820926677391504E-4</v>
      </c>
      <c r="K4747" s="35">
        <v>-0.70951852586656672</v>
      </c>
      <c r="L4747" s="35">
        <v>-114.52134877418017</v>
      </c>
      <c r="M4747" s="58" t="s">
        <v>22</v>
      </c>
      <c r="N4747" s="7">
        <v>11.333333333333334</v>
      </c>
      <c r="O4747" s="7" t="s">
        <v>180</v>
      </c>
      <c r="P4747" s="7" t="s">
        <v>180</v>
      </c>
    </row>
    <row r="4748" spans="1:16" x14ac:dyDescent="0.25">
      <c r="A4748" t="s">
        <v>183</v>
      </c>
      <c r="B4748" t="s">
        <v>219</v>
      </c>
      <c r="C4748" s="7" t="s">
        <v>163</v>
      </c>
      <c r="D4748" t="s">
        <v>127</v>
      </c>
      <c r="F4748" s="35">
        <v>0.29999999999999988</v>
      </c>
      <c r="G4748" s="35">
        <v>-51.964288370529069</v>
      </c>
      <c r="H4748" s="35">
        <v>-20.592112357262739</v>
      </c>
      <c r="I4748" s="35">
        <v>-1.1437393890700664</v>
      </c>
      <c r="J4748" s="35">
        <v>-3.5820926677391504E-4</v>
      </c>
      <c r="K4748" s="35">
        <v>-0.36639670914554706</v>
      </c>
      <c r="L4748" s="35">
        <v>-108.34371506700136</v>
      </c>
      <c r="M4748" s="58" t="s">
        <v>22</v>
      </c>
      <c r="N4748" s="7">
        <v>11.333333333333334</v>
      </c>
      <c r="O4748" s="7" t="s">
        <v>180</v>
      </c>
      <c r="P4748" s="7" t="s">
        <v>180</v>
      </c>
    </row>
    <row r="4749" spans="1:16" x14ac:dyDescent="0.25">
      <c r="A4749" t="s">
        <v>183</v>
      </c>
      <c r="B4749" t="s">
        <v>219</v>
      </c>
      <c r="C4749" s="7" t="s">
        <v>163</v>
      </c>
      <c r="D4749" t="s">
        <v>127</v>
      </c>
      <c r="F4749" s="35">
        <v>0.29999999999999988</v>
      </c>
      <c r="G4749" s="35">
        <v>-34.10506767610881</v>
      </c>
      <c r="H4749" s="35">
        <v>-20.592112357262643</v>
      </c>
      <c r="I4749" s="35">
        <v>-0.11916039343560472</v>
      </c>
      <c r="J4749" s="35">
        <v>2.1037720321265448E-4</v>
      </c>
      <c r="K4749" s="35">
        <v>-0.36639670914554751</v>
      </c>
      <c r="L4749" s="35">
        <v>-108.34368095181316</v>
      </c>
      <c r="M4749" s="58" t="s">
        <v>22</v>
      </c>
      <c r="N4749" s="7">
        <v>11.333333333333334</v>
      </c>
      <c r="O4749" s="7" t="s">
        <v>180</v>
      </c>
      <c r="P4749" s="7" t="s">
        <v>180</v>
      </c>
    </row>
    <row r="4750" spans="1:16" x14ac:dyDescent="0.25">
      <c r="A4750" t="s">
        <v>183</v>
      </c>
      <c r="B4750" t="s">
        <v>219</v>
      </c>
      <c r="C4750" s="7" t="s">
        <v>163</v>
      </c>
      <c r="D4750" t="s">
        <v>127</v>
      </c>
      <c r="F4750" s="35">
        <v>5.3</v>
      </c>
      <c r="G4750" s="35">
        <v>-31.723303676108817</v>
      </c>
      <c r="H4750" s="35">
        <v>-20.592112357262643</v>
      </c>
      <c r="I4750" s="35">
        <v>-0.11916039343560472</v>
      </c>
      <c r="J4750" s="35">
        <v>2.1037720321265448E-4</v>
      </c>
      <c r="K4750" s="35">
        <v>0.22940525803247599</v>
      </c>
      <c r="L4750" s="35">
        <v>-5.383119165499938</v>
      </c>
      <c r="M4750" s="58" t="s">
        <v>24</v>
      </c>
      <c r="N4750" s="7">
        <v>11.333333333333334</v>
      </c>
      <c r="O4750" s="7" t="s">
        <v>180</v>
      </c>
      <c r="P4750" s="7" t="s">
        <v>180</v>
      </c>
    </row>
    <row r="4751" spans="1:16" x14ac:dyDescent="0.25">
      <c r="A4751" t="s">
        <v>183</v>
      </c>
      <c r="B4751" t="s">
        <v>219</v>
      </c>
      <c r="C4751" s="7" t="s">
        <v>163</v>
      </c>
      <c r="D4751" t="s">
        <v>127</v>
      </c>
      <c r="F4751" s="35">
        <v>5.3</v>
      </c>
      <c r="G4751" s="35">
        <v>-45.07434710441219</v>
      </c>
      <c r="H4751" s="35">
        <v>-20.592036277471212</v>
      </c>
      <c r="I4751" s="35">
        <v>2.6798705298072292E-2</v>
      </c>
      <c r="J4751" s="35">
        <v>-2.4492627501257756E-4</v>
      </c>
      <c r="K4751" s="35">
        <v>0.22940525803247641</v>
      </c>
      <c r="L4751" s="35">
        <v>-5.3837625594022516</v>
      </c>
      <c r="M4751" s="58" t="s">
        <v>24</v>
      </c>
      <c r="N4751" s="7">
        <v>11.333333333333334</v>
      </c>
      <c r="O4751" s="7" t="s">
        <v>180</v>
      </c>
      <c r="P4751" s="7" t="s">
        <v>180</v>
      </c>
    </row>
    <row r="4752" spans="1:16" x14ac:dyDescent="0.25">
      <c r="A4752" t="s">
        <v>183</v>
      </c>
      <c r="B4752" t="s">
        <v>219</v>
      </c>
      <c r="C4752" s="7" t="s">
        <v>163</v>
      </c>
      <c r="D4752" t="s">
        <v>127</v>
      </c>
      <c r="F4752" s="35">
        <v>5.4149169609489114</v>
      </c>
      <c r="G4752" s="35">
        <v>-45.01960608829669</v>
      </c>
      <c r="H4752" s="35">
        <v>-20.592036277471212</v>
      </c>
      <c r="I4752" s="35">
        <v>2.6798705298072292E-2</v>
      </c>
      <c r="J4752" s="35">
        <v>-2.4492627501257756E-4</v>
      </c>
      <c r="K4752" s="35">
        <v>0.22632563226225647</v>
      </c>
      <c r="L4752" s="35">
        <v>-3.0173883306455243</v>
      </c>
      <c r="M4752" s="58" t="s">
        <v>24</v>
      </c>
      <c r="N4752" s="7">
        <v>11.333333333333334</v>
      </c>
      <c r="O4752" s="7" t="s">
        <v>180</v>
      </c>
      <c r="P4752" s="7" t="s">
        <v>180</v>
      </c>
    </row>
    <row r="4753" spans="1:16" x14ac:dyDescent="0.25">
      <c r="A4753" t="s">
        <v>183</v>
      </c>
      <c r="B4753" t="s">
        <v>219</v>
      </c>
      <c r="C4753" s="7" t="s">
        <v>163</v>
      </c>
      <c r="D4753" t="s">
        <v>127</v>
      </c>
      <c r="F4753" s="35">
        <v>10.829833921897823</v>
      </c>
      <c r="G4753" s="35">
        <v>-42.440195232181189</v>
      </c>
      <c r="H4753" s="35">
        <v>-20.592036277471212</v>
      </c>
      <c r="I4753" s="35">
        <v>2.6798705298072292E-2</v>
      </c>
      <c r="J4753" s="35">
        <v>-2.4492627501257756E-4</v>
      </c>
      <c r="K4753" s="35">
        <v>8.1212868412253392E-2</v>
      </c>
      <c r="L4753" s="35">
        <v>108.4867781687086</v>
      </c>
      <c r="M4753" s="58" t="s">
        <v>23</v>
      </c>
      <c r="N4753" s="7">
        <v>11.333333333333334</v>
      </c>
      <c r="O4753" s="7" t="s">
        <v>180</v>
      </c>
      <c r="P4753" s="7" t="s">
        <v>180</v>
      </c>
    </row>
    <row r="4754" spans="1:16" x14ac:dyDescent="0.25">
      <c r="A4754" t="s">
        <v>183</v>
      </c>
      <c r="B4754" t="s">
        <v>220</v>
      </c>
      <c r="C4754" s="7" t="s">
        <v>164</v>
      </c>
      <c r="D4754" t="s">
        <v>105</v>
      </c>
      <c r="F4754" s="35">
        <v>0</v>
      </c>
      <c r="G4754" s="35">
        <v>-100.3717934096896</v>
      </c>
      <c r="H4754" s="35">
        <v>-1.8784614817803653</v>
      </c>
      <c r="I4754" s="35">
        <v>-1.1327387789208898</v>
      </c>
      <c r="J4754" s="35">
        <v>3.0929423577740924E-5</v>
      </c>
      <c r="K4754" s="35">
        <v>-0.23586140461839053</v>
      </c>
      <c r="L4754" s="35">
        <v>-4.5995418461830955</v>
      </c>
      <c r="M4754" s="58" t="s">
        <v>22</v>
      </c>
      <c r="N4754" s="7">
        <v>11.333333333333334</v>
      </c>
      <c r="O4754" s="7" t="s">
        <v>180</v>
      </c>
      <c r="P4754" s="7" t="s">
        <v>180</v>
      </c>
    </row>
    <row r="4755" spans="1:16" x14ac:dyDescent="0.25">
      <c r="A4755" t="s">
        <v>183</v>
      </c>
      <c r="B4755" t="s">
        <v>220</v>
      </c>
      <c r="C4755" s="7" t="s">
        <v>164</v>
      </c>
      <c r="D4755" t="s">
        <v>105</v>
      </c>
      <c r="F4755" s="35">
        <v>0.29999999999999988</v>
      </c>
      <c r="G4755" s="35">
        <v>-100.2288875696896</v>
      </c>
      <c r="H4755" s="35">
        <v>-1.8784614817803653</v>
      </c>
      <c r="I4755" s="35">
        <v>-1.1327387789208898</v>
      </c>
      <c r="J4755" s="35">
        <v>3.0929423577740924E-5</v>
      </c>
      <c r="K4755" s="35">
        <v>0.10396022905787632</v>
      </c>
      <c r="L4755" s="35">
        <v>-4.0360034016489861</v>
      </c>
      <c r="M4755" s="58" t="s">
        <v>22</v>
      </c>
      <c r="N4755" s="7">
        <v>11.333333333333334</v>
      </c>
      <c r="O4755" s="7" t="s">
        <v>180</v>
      </c>
      <c r="P4755" s="7" t="s">
        <v>180</v>
      </c>
    </row>
    <row r="4756" spans="1:16" x14ac:dyDescent="0.25">
      <c r="A4756" t="s">
        <v>183</v>
      </c>
      <c r="B4756" t="s">
        <v>220</v>
      </c>
      <c r="C4756" s="7" t="s">
        <v>164</v>
      </c>
      <c r="D4756" t="s">
        <v>105</v>
      </c>
      <c r="F4756" s="35">
        <v>0.29999999999999988</v>
      </c>
      <c r="G4756" s="35">
        <v>-79.989668585242669</v>
      </c>
      <c r="H4756" s="35">
        <v>-1.878461481780368</v>
      </c>
      <c r="I4756" s="35">
        <v>3.4640114115171081E-2</v>
      </c>
      <c r="J4756" s="35">
        <v>3.7509807531670103E-5</v>
      </c>
      <c r="K4756" s="35">
        <v>0.10396022905787623</v>
      </c>
      <c r="L4756" s="35">
        <v>-4.0360030068259487</v>
      </c>
      <c r="M4756" s="58" t="s">
        <v>22</v>
      </c>
      <c r="N4756" s="7">
        <v>11.333333333333334</v>
      </c>
      <c r="O4756" s="7" t="s">
        <v>180</v>
      </c>
      <c r="P4756" s="7" t="s">
        <v>180</v>
      </c>
    </row>
    <row r="4757" spans="1:16" x14ac:dyDescent="0.25">
      <c r="A4757" t="s">
        <v>183</v>
      </c>
      <c r="B4757" t="s">
        <v>220</v>
      </c>
      <c r="C4757" s="7" t="s">
        <v>164</v>
      </c>
      <c r="D4757" t="s">
        <v>105</v>
      </c>
      <c r="F4757" s="35">
        <v>5.3</v>
      </c>
      <c r="G4757" s="35">
        <v>-77.607904585242665</v>
      </c>
      <c r="H4757" s="35">
        <v>-1.878461481780368</v>
      </c>
      <c r="I4757" s="35">
        <v>3.4640114115171081E-2</v>
      </c>
      <c r="J4757" s="35">
        <v>3.7509807531670103E-5</v>
      </c>
      <c r="K4757" s="35">
        <v>-6.9240341517979143E-2</v>
      </c>
      <c r="L4757" s="35">
        <v>5.3563044020758905</v>
      </c>
      <c r="M4757" s="58" t="s">
        <v>24</v>
      </c>
      <c r="N4757" s="7">
        <v>11.333333333333334</v>
      </c>
      <c r="O4757" s="7" t="s">
        <v>180</v>
      </c>
      <c r="P4757" s="7" t="s">
        <v>180</v>
      </c>
    </row>
    <row r="4758" spans="1:16" x14ac:dyDescent="0.25">
      <c r="A4758" t="s">
        <v>183</v>
      </c>
      <c r="B4758" t="s">
        <v>220</v>
      </c>
      <c r="C4758" s="7" t="s">
        <v>164</v>
      </c>
      <c r="D4758" t="s">
        <v>105</v>
      </c>
      <c r="F4758" s="35">
        <v>5.3</v>
      </c>
      <c r="G4758" s="35">
        <v>-93.624863761284757</v>
      </c>
      <c r="H4758" s="35">
        <v>-1.8784567718842424</v>
      </c>
      <c r="I4758" s="35">
        <v>-2.273982714689254E-2</v>
      </c>
      <c r="J4758" s="35">
        <v>-6.6886713718813267E-5</v>
      </c>
      <c r="K4758" s="35">
        <v>-6.924034151797917E-2</v>
      </c>
      <c r="L4758" s="35">
        <v>5.3561508002597034</v>
      </c>
      <c r="M4758" s="58" t="s">
        <v>24</v>
      </c>
      <c r="N4758" s="7">
        <v>11.333333333333334</v>
      </c>
      <c r="O4758" s="7" t="s">
        <v>180</v>
      </c>
      <c r="P4758" s="7" t="s">
        <v>180</v>
      </c>
    </row>
    <row r="4759" spans="1:16" x14ac:dyDescent="0.25">
      <c r="A4759" t="s">
        <v>183</v>
      </c>
      <c r="B4759" t="s">
        <v>220</v>
      </c>
      <c r="C4759" s="7" t="s">
        <v>164</v>
      </c>
      <c r="D4759" t="s">
        <v>105</v>
      </c>
      <c r="F4759" s="35">
        <v>5.4149169609489114</v>
      </c>
      <c r="G4759" s="35">
        <v>-93.570122745169243</v>
      </c>
      <c r="H4759" s="35">
        <v>-1.8784567718842424</v>
      </c>
      <c r="I4759" s="35">
        <v>-2.273982714689254E-2</v>
      </c>
      <c r="J4759" s="35">
        <v>-6.6886713718813267E-5</v>
      </c>
      <c r="K4759" s="35">
        <v>-6.6627149689754722E-2</v>
      </c>
      <c r="L4759" s="35">
        <v>5.5720173437585432</v>
      </c>
      <c r="M4759" s="58" t="s">
        <v>24</v>
      </c>
      <c r="N4759" s="7">
        <v>11.333333333333334</v>
      </c>
      <c r="O4759" s="7" t="s">
        <v>180</v>
      </c>
      <c r="P4759" s="7" t="s">
        <v>180</v>
      </c>
    </row>
    <row r="4760" spans="1:16" x14ac:dyDescent="0.25">
      <c r="A4760" t="s">
        <v>183</v>
      </c>
      <c r="B4760" t="s">
        <v>220</v>
      </c>
      <c r="C4760" s="7" t="s">
        <v>164</v>
      </c>
      <c r="D4760" t="s">
        <v>105</v>
      </c>
      <c r="F4760" s="35">
        <v>10.829833921897823</v>
      </c>
      <c r="G4760" s="35">
        <v>-90.990711889053756</v>
      </c>
      <c r="H4760" s="35">
        <v>-1.8784567718842424</v>
      </c>
      <c r="I4760" s="35">
        <v>-2.273982714689254E-2</v>
      </c>
      <c r="J4760" s="35">
        <v>-6.6886713718813267E-5</v>
      </c>
      <c r="K4760" s="35">
        <v>5.6507126017000135E-2</v>
      </c>
      <c r="L4760" s="35">
        <v>15.743704778243863</v>
      </c>
      <c r="M4760" s="58" t="s">
        <v>23</v>
      </c>
      <c r="N4760" s="7">
        <v>11.333333333333334</v>
      </c>
      <c r="O4760" s="7" t="s">
        <v>180</v>
      </c>
      <c r="P4760" s="7" t="s">
        <v>180</v>
      </c>
    </row>
    <row r="4761" spans="1:16" x14ac:dyDescent="0.25">
      <c r="A4761" t="s">
        <v>183</v>
      </c>
      <c r="B4761" t="s">
        <v>220</v>
      </c>
      <c r="C4761" s="7" t="s">
        <v>164</v>
      </c>
      <c r="D4761" t="s">
        <v>15</v>
      </c>
      <c r="F4761" s="35">
        <v>0</v>
      </c>
      <c r="G4761" s="35">
        <v>106.88169313123908</v>
      </c>
      <c r="H4761" s="35">
        <v>6.5997646986662941</v>
      </c>
      <c r="I4761" s="35">
        <v>-2.8212991432196035</v>
      </c>
      <c r="J4761" s="35">
        <v>4.0306738327806457E-4</v>
      </c>
      <c r="K4761" s="35">
        <v>-4.5226478351761319</v>
      </c>
      <c r="L4761" s="35">
        <v>22.751120981600145</v>
      </c>
      <c r="M4761" s="58" t="s">
        <v>22</v>
      </c>
      <c r="N4761" s="7">
        <v>11.333333333333334</v>
      </c>
      <c r="O4761" s="7" t="s">
        <v>180</v>
      </c>
      <c r="P4761" s="7" t="s">
        <v>180</v>
      </c>
    </row>
    <row r="4762" spans="1:16" x14ac:dyDescent="0.25">
      <c r="A4762" t="s">
        <v>183</v>
      </c>
      <c r="B4762" t="s">
        <v>220</v>
      </c>
      <c r="C4762" s="7" t="s">
        <v>164</v>
      </c>
      <c r="D4762" t="s">
        <v>15</v>
      </c>
      <c r="F4762" s="35">
        <v>0.29999999999999988</v>
      </c>
      <c r="G4762" s="35">
        <v>107.02459897123907</v>
      </c>
      <c r="H4762" s="35">
        <v>6.5997646986662941</v>
      </c>
      <c r="I4762" s="35">
        <v>-2.8212991432196035</v>
      </c>
      <c r="J4762" s="35">
        <v>4.0306738327806457E-4</v>
      </c>
      <c r="K4762" s="35">
        <v>-3.6762580922102504</v>
      </c>
      <c r="L4762" s="35">
        <v>20.771191572000259</v>
      </c>
      <c r="M4762" s="58" t="s">
        <v>22</v>
      </c>
      <c r="N4762" s="7">
        <v>11.333333333333334</v>
      </c>
      <c r="O4762" s="7" t="s">
        <v>180</v>
      </c>
      <c r="P4762" s="7" t="s">
        <v>180</v>
      </c>
    </row>
    <row r="4763" spans="1:16" x14ac:dyDescent="0.25">
      <c r="A4763" t="s">
        <v>183</v>
      </c>
      <c r="B4763" t="s">
        <v>220</v>
      </c>
      <c r="C4763" s="7" t="s">
        <v>164</v>
      </c>
      <c r="D4763" t="s">
        <v>15</v>
      </c>
      <c r="F4763" s="35">
        <v>0.29999999999999988</v>
      </c>
      <c r="G4763" s="35">
        <v>135.0603105501429</v>
      </c>
      <c r="H4763" s="35">
        <v>6.5997646986662959</v>
      </c>
      <c r="I4763" s="35">
        <v>-1.1861306945161485</v>
      </c>
      <c r="J4763" s="35">
        <v>2.156117332878689E-4</v>
      </c>
      <c r="K4763" s="35">
        <v>-3.6762580922102459</v>
      </c>
      <c r="L4763" s="35">
        <v>20.77118032466127</v>
      </c>
      <c r="M4763" s="58" t="s">
        <v>22</v>
      </c>
      <c r="N4763" s="7">
        <v>11.333333333333334</v>
      </c>
      <c r="O4763" s="7" t="s">
        <v>180</v>
      </c>
      <c r="P4763" s="7" t="s">
        <v>180</v>
      </c>
    </row>
    <row r="4764" spans="1:16" x14ac:dyDescent="0.25">
      <c r="A4764" t="s">
        <v>183</v>
      </c>
      <c r="B4764" t="s">
        <v>220</v>
      </c>
      <c r="C4764" s="7" t="s">
        <v>164</v>
      </c>
      <c r="D4764" t="s">
        <v>15</v>
      </c>
      <c r="F4764" s="35">
        <v>5.3</v>
      </c>
      <c r="G4764" s="35">
        <v>137.44207455014291</v>
      </c>
      <c r="H4764" s="35">
        <v>6.5997646986662959</v>
      </c>
      <c r="I4764" s="35">
        <v>-1.1861306945161485</v>
      </c>
      <c r="J4764" s="35">
        <v>2.156117332878689E-4</v>
      </c>
      <c r="K4764" s="35">
        <v>2.2543953803704957</v>
      </c>
      <c r="L4764" s="35">
        <v>-12.227643168670216</v>
      </c>
      <c r="M4764" s="58" t="s">
        <v>24</v>
      </c>
      <c r="N4764" s="7">
        <v>11.333333333333334</v>
      </c>
      <c r="O4764" s="7" t="s">
        <v>180</v>
      </c>
      <c r="P4764" s="7" t="s">
        <v>180</v>
      </c>
    </row>
    <row r="4765" spans="1:16" x14ac:dyDescent="0.25">
      <c r="A4765" t="s">
        <v>183</v>
      </c>
      <c r="B4765" t="s">
        <v>220</v>
      </c>
      <c r="C4765" s="7" t="s">
        <v>164</v>
      </c>
      <c r="D4765" t="s">
        <v>15</v>
      </c>
      <c r="F4765" s="35">
        <v>5.3</v>
      </c>
      <c r="G4765" s="35">
        <v>117.6148900236341</v>
      </c>
      <c r="H4765" s="35">
        <v>6.5997705131858044</v>
      </c>
      <c r="I4765" s="35">
        <v>0.36265808990595971</v>
      </c>
      <c r="J4765" s="35">
        <v>5.131385639601788E-4</v>
      </c>
      <c r="K4765" s="35">
        <v>2.2543953803704966</v>
      </c>
      <c r="L4765" s="35">
        <v>-12.227041120113471</v>
      </c>
      <c r="M4765" s="58" t="s">
        <v>24</v>
      </c>
      <c r="N4765" s="7">
        <v>11.333333333333334</v>
      </c>
      <c r="O4765" s="7" t="s">
        <v>180</v>
      </c>
      <c r="P4765" s="7" t="s">
        <v>180</v>
      </c>
    </row>
    <row r="4766" spans="1:16" x14ac:dyDescent="0.25">
      <c r="A4766" t="s">
        <v>183</v>
      </c>
      <c r="B4766" t="s">
        <v>220</v>
      </c>
      <c r="C4766" s="7" t="s">
        <v>164</v>
      </c>
      <c r="D4766" t="s">
        <v>15</v>
      </c>
      <c r="F4766" s="35">
        <v>5.4149169609489114</v>
      </c>
      <c r="G4766" s="35">
        <v>117.6696310397496</v>
      </c>
      <c r="H4766" s="35">
        <v>6.5997705131858044</v>
      </c>
      <c r="I4766" s="35">
        <v>0.36265808990595971</v>
      </c>
      <c r="J4766" s="35">
        <v>5.131385639601788E-4</v>
      </c>
      <c r="K4766" s="35">
        <v>2.2127198148149669</v>
      </c>
      <c r="L4766" s="35">
        <v>-12.985466690449019</v>
      </c>
      <c r="M4766" s="58" t="s">
        <v>24</v>
      </c>
      <c r="N4766" s="7">
        <v>11.333333333333334</v>
      </c>
      <c r="O4766" s="7" t="s">
        <v>180</v>
      </c>
      <c r="P4766" s="7" t="s">
        <v>180</v>
      </c>
    </row>
    <row r="4767" spans="1:16" x14ac:dyDescent="0.25">
      <c r="A4767" t="s">
        <v>183</v>
      </c>
      <c r="B4767" t="s">
        <v>220</v>
      </c>
      <c r="C4767" s="7" t="s">
        <v>164</v>
      </c>
      <c r="D4767" t="s">
        <v>15</v>
      </c>
      <c r="F4767" s="35">
        <v>10.829833921897823</v>
      </c>
      <c r="G4767" s="35">
        <v>120.24904189586512</v>
      </c>
      <c r="H4767" s="35">
        <v>6.5997705131858044</v>
      </c>
      <c r="I4767" s="35">
        <v>0.36265808990595971</v>
      </c>
      <c r="J4767" s="35">
        <v>5.131385639601788E-4</v>
      </c>
      <c r="K4767" s="35">
        <v>0.24895637275785121</v>
      </c>
      <c r="L4767" s="35">
        <v>-48.722675980669322</v>
      </c>
      <c r="M4767" s="58" t="s">
        <v>23</v>
      </c>
      <c r="N4767" s="7">
        <v>11.333333333333334</v>
      </c>
      <c r="O4767" s="7" t="s">
        <v>180</v>
      </c>
      <c r="P4767" s="7" t="s">
        <v>180</v>
      </c>
    </row>
    <row r="4768" spans="1:16" x14ac:dyDescent="0.25">
      <c r="A4768" t="s">
        <v>183</v>
      </c>
      <c r="B4768" t="s">
        <v>220</v>
      </c>
      <c r="C4768" s="7" t="s">
        <v>164</v>
      </c>
      <c r="D4768" t="s">
        <v>16</v>
      </c>
      <c r="F4768" s="35">
        <v>0</v>
      </c>
      <c r="G4768" s="35">
        <v>27.657177880639924</v>
      </c>
      <c r="H4768" s="35">
        <v>3.3413778481554055</v>
      </c>
      <c r="I4768" s="35">
        <v>-3.2088957845155606</v>
      </c>
      <c r="J4768" s="35">
        <v>3.7016510023271665E-4</v>
      </c>
      <c r="K4768" s="35">
        <v>-4.2560104843677582</v>
      </c>
      <c r="L4768" s="35">
        <v>12.100329471924903</v>
      </c>
      <c r="M4768" s="58" t="s">
        <v>22</v>
      </c>
      <c r="N4768" s="7">
        <v>11.333333333333334</v>
      </c>
      <c r="O4768" s="7" t="s">
        <v>180</v>
      </c>
      <c r="P4768" s="7" t="s">
        <v>180</v>
      </c>
    </row>
    <row r="4769" spans="1:16" x14ac:dyDescent="0.25">
      <c r="A4769" t="s">
        <v>183</v>
      </c>
      <c r="B4769" t="s">
        <v>220</v>
      </c>
      <c r="C4769" s="7" t="s">
        <v>164</v>
      </c>
      <c r="D4769" t="s">
        <v>16</v>
      </c>
      <c r="F4769" s="35">
        <v>0.29999999999999988</v>
      </c>
      <c r="G4769" s="35">
        <v>27.800083720639925</v>
      </c>
      <c r="H4769" s="35">
        <v>3.3413778481554055</v>
      </c>
      <c r="I4769" s="35">
        <v>-3.2088957845155606</v>
      </c>
      <c r="J4769" s="35">
        <v>3.7016510023271665E-4</v>
      </c>
      <c r="K4769" s="35">
        <v>-3.2933417490130896</v>
      </c>
      <c r="L4769" s="35">
        <v>11.097916117478283</v>
      </c>
      <c r="M4769" s="58" t="s">
        <v>22</v>
      </c>
      <c r="N4769" s="7">
        <v>11.333333333333334</v>
      </c>
      <c r="O4769" s="7" t="s">
        <v>180</v>
      </c>
      <c r="P4769" s="7" t="s">
        <v>180</v>
      </c>
    </row>
    <row r="4770" spans="1:16" x14ac:dyDescent="0.25">
      <c r="A4770" t="s">
        <v>183</v>
      </c>
      <c r="B4770" t="s">
        <v>220</v>
      </c>
      <c r="C4770" s="7" t="s">
        <v>164</v>
      </c>
      <c r="D4770" t="s">
        <v>16</v>
      </c>
      <c r="F4770" s="35">
        <v>0.29999999999999988</v>
      </c>
      <c r="G4770" s="35">
        <v>64.365975742242696</v>
      </c>
      <c r="H4770" s="35">
        <v>3.3413778481553984</v>
      </c>
      <c r="I4770" s="35">
        <v>-1.0619165092501457</v>
      </c>
      <c r="J4770" s="35">
        <v>2.2341094228450905E-4</v>
      </c>
      <c r="K4770" s="35">
        <v>-3.2933417490130923</v>
      </c>
      <c r="L4770" s="35">
        <v>11.097907312228804</v>
      </c>
      <c r="M4770" s="58" t="s">
        <v>22</v>
      </c>
      <c r="N4770" s="7">
        <v>11.333333333333334</v>
      </c>
      <c r="O4770" s="7" t="s">
        <v>180</v>
      </c>
      <c r="P4770" s="7" t="s">
        <v>180</v>
      </c>
    </row>
    <row r="4771" spans="1:16" x14ac:dyDescent="0.25">
      <c r="A4771" t="s">
        <v>183</v>
      </c>
      <c r="B4771" t="s">
        <v>220</v>
      </c>
      <c r="C4771" s="7" t="s">
        <v>164</v>
      </c>
      <c r="D4771" t="s">
        <v>16</v>
      </c>
      <c r="F4771" s="35">
        <v>5.3</v>
      </c>
      <c r="G4771" s="35">
        <v>66.7477397422427</v>
      </c>
      <c r="H4771" s="35">
        <v>3.3413778481553984</v>
      </c>
      <c r="I4771" s="35">
        <v>-1.0619165092501457</v>
      </c>
      <c r="J4771" s="35">
        <v>2.2341094228450905E-4</v>
      </c>
      <c r="K4771" s="35">
        <v>2.0162407972376366</v>
      </c>
      <c r="L4771" s="35">
        <v>-5.6089819285481841</v>
      </c>
      <c r="M4771" s="58" t="s">
        <v>24</v>
      </c>
      <c r="N4771" s="7">
        <v>11.333333333333334</v>
      </c>
      <c r="O4771" s="7" t="s">
        <v>180</v>
      </c>
      <c r="P4771" s="7" t="s">
        <v>180</v>
      </c>
    </row>
    <row r="4772" spans="1:16" x14ac:dyDescent="0.25">
      <c r="A4772" t="s">
        <v>183</v>
      </c>
      <c r="B4772" t="s">
        <v>220</v>
      </c>
      <c r="C4772" s="7" t="s">
        <v>164</v>
      </c>
      <c r="D4772" t="s">
        <v>16</v>
      </c>
      <c r="F4772" s="35">
        <v>5.3</v>
      </c>
      <c r="G4772" s="35">
        <v>38.601807179019055</v>
      </c>
      <c r="H4772" s="35">
        <v>3.3413911365301168</v>
      </c>
      <c r="I4772" s="35">
        <v>0.32316978912642119</v>
      </c>
      <c r="J4772" s="35">
        <v>3.6684954905363978E-4</v>
      </c>
      <c r="K4772" s="35">
        <v>2.0162407972376344</v>
      </c>
      <c r="L4772" s="35">
        <v>-5.6086196519962064</v>
      </c>
      <c r="M4772" s="58" t="s">
        <v>24</v>
      </c>
      <c r="N4772" s="7">
        <v>11.333333333333334</v>
      </c>
      <c r="O4772" s="7" t="s">
        <v>180</v>
      </c>
      <c r="P4772" s="7" t="s">
        <v>180</v>
      </c>
    </row>
    <row r="4773" spans="1:16" x14ac:dyDescent="0.25">
      <c r="A4773" t="s">
        <v>183</v>
      </c>
      <c r="B4773" t="s">
        <v>220</v>
      </c>
      <c r="C4773" s="7" t="s">
        <v>164</v>
      </c>
      <c r="D4773" t="s">
        <v>16</v>
      </c>
      <c r="F4773" s="35">
        <v>5.4149169609489114</v>
      </c>
      <c r="G4773" s="35">
        <v>38.656548195134555</v>
      </c>
      <c r="H4773" s="35">
        <v>3.3413911365301168</v>
      </c>
      <c r="I4773" s="35">
        <v>0.32316978912642119</v>
      </c>
      <c r="J4773" s="35">
        <v>3.6684954905363978E-4</v>
      </c>
      <c r="K4773" s="35">
        <v>1.9791031072007257</v>
      </c>
      <c r="L4773" s="35">
        <v>-5.9926021667478775</v>
      </c>
      <c r="M4773" s="58" t="s">
        <v>24</v>
      </c>
      <c r="N4773" s="7">
        <v>11.333333333333334</v>
      </c>
      <c r="O4773" s="7" t="s">
        <v>180</v>
      </c>
      <c r="P4773" s="7" t="s">
        <v>180</v>
      </c>
    </row>
    <row r="4774" spans="1:16" x14ac:dyDescent="0.25">
      <c r="A4774" t="s">
        <v>183</v>
      </c>
      <c r="B4774" t="s">
        <v>220</v>
      </c>
      <c r="C4774" s="7" t="s">
        <v>164</v>
      </c>
      <c r="D4774" t="s">
        <v>16</v>
      </c>
      <c r="F4774" s="35">
        <v>10.829833921897823</v>
      </c>
      <c r="G4774" s="35">
        <v>41.235959051250063</v>
      </c>
      <c r="H4774" s="35">
        <v>3.3413911365301168</v>
      </c>
      <c r="I4774" s="35">
        <v>0.32316978912642119</v>
      </c>
      <c r="J4774" s="35">
        <v>3.6684954905363978E-4</v>
      </c>
      <c r="K4774" s="35">
        <v>0.22916553479378501</v>
      </c>
      <c r="L4774" s="35">
        <v>-24.085957705109159</v>
      </c>
      <c r="M4774" s="58" t="s">
        <v>23</v>
      </c>
      <c r="N4774" s="7">
        <v>11.333333333333334</v>
      </c>
      <c r="O4774" s="7" t="s">
        <v>180</v>
      </c>
      <c r="P4774" s="7" t="s">
        <v>180</v>
      </c>
    </row>
    <row r="4775" spans="1:16" x14ac:dyDescent="0.25">
      <c r="A4775" t="s">
        <v>183</v>
      </c>
      <c r="B4775" t="s">
        <v>220</v>
      </c>
      <c r="C4775" s="7" t="s">
        <v>164</v>
      </c>
      <c r="D4775" t="s">
        <v>106</v>
      </c>
      <c r="F4775" s="35">
        <v>0</v>
      </c>
      <c r="G4775" s="35">
        <v>127.29449179913826</v>
      </c>
      <c r="H4775" s="35">
        <v>5.6536977875651315</v>
      </c>
      <c r="I4775" s="35">
        <v>4.4583597705336171</v>
      </c>
      <c r="J4775" s="35">
        <v>-5.2766724985619639E-4</v>
      </c>
      <c r="K4775" s="35">
        <v>4.8353587466552908</v>
      </c>
      <c r="L4775" s="35">
        <v>18.842790602723323</v>
      </c>
      <c r="M4775" s="58" t="s">
        <v>22</v>
      </c>
      <c r="N4775" s="7">
        <v>11.333333333333334</v>
      </c>
      <c r="O4775" s="7" t="s">
        <v>180</v>
      </c>
      <c r="P4775" s="7" t="s">
        <v>180</v>
      </c>
    </row>
    <row r="4776" spans="1:16" x14ac:dyDescent="0.25">
      <c r="A4776" t="s">
        <v>183</v>
      </c>
      <c r="B4776" t="s">
        <v>220</v>
      </c>
      <c r="C4776" s="7" t="s">
        <v>164</v>
      </c>
      <c r="D4776" t="s">
        <v>106</v>
      </c>
      <c r="F4776" s="35">
        <v>0.29999999999999988</v>
      </c>
      <c r="G4776" s="35">
        <v>127.43739763913825</v>
      </c>
      <c r="H4776" s="35">
        <v>5.6536977875651315</v>
      </c>
      <c r="I4776" s="35">
        <v>4.4583597705336171</v>
      </c>
      <c r="J4776" s="35">
        <v>-5.2766724985619639E-4</v>
      </c>
      <c r="K4776" s="35">
        <v>3.4978508154952066</v>
      </c>
      <c r="L4776" s="35">
        <v>17.146681266453783</v>
      </c>
      <c r="M4776" s="58" t="s">
        <v>22</v>
      </c>
      <c r="N4776" s="7">
        <v>11.333333333333334</v>
      </c>
      <c r="O4776" s="7" t="s">
        <v>180</v>
      </c>
      <c r="P4776" s="7" t="s">
        <v>180</v>
      </c>
    </row>
    <row r="4777" spans="1:16" x14ac:dyDescent="0.25">
      <c r="A4777" t="s">
        <v>183</v>
      </c>
      <c r="B4777" t="s">
        <v>220</v>
      </c>
      <c r="C4777" s="7" t="s">
        <v>164</v>
      </c>
      <c r="D4777" t="s">
        <v>106</v>
      </c>
      <c r="F4777" s="35">
        <v>0.29999999999999988</v>
      </c>
      <c r="G4777" s="35">
        <v>72.883766125016393</v>
      </c>
      <c r="H4777" s="35">
        <v>5.6536977875651448</v>
      </c>
      <c r="I4777" s="35">
        <v>1.138167633655548</v>
      </c>
      <c r="J4777" s="35">
        <v>-4.449328565217738E-4</v>
      </c>
      <c r="K4777" s="35">
        <v>3.4978508154952062</v>
      </c>
      <c r="L4777" s="35">
        <v>17.146686230517371</v>
      </c>
      <c r="M4777" s="58" t="s">
        <v>22</v>
      </c>
      <c r="N4777" s="7">
        <v>11.333333333333334</v>
      </c>
      <c r="O4777" s="7" t="s">
        <v>180</v>
      </c>
      <c r="P4777" s="7" t="s">
        <v>180</v>
      </c>
    </row>
    <row r="4778" spans="1:16" x14ac:dyDescent="0.25">
      <c r="A4778" t="s">
        <v>183</v>
      </c>
      <c r="B4778" t="s">
        <v>220</v>
      </c>
      <c r="C4778" s="7" t="s">
        <v>164</v>
      </c>
      <c r="D4778" t="s">
        <v>106</v>
      </c>
      <c r="F4778" s="35">
        <v>5.3</v>
      </c>
      <c r="G4778" s="35">
        <v>75.265530125016383</v>
      </c>
      <c r="H4778" s="35">
        <v>5.6536977875651448</v>
      </c>
      <c r="I4778" s="35">
        <v>1.138167633655548</v>
      </c>
      <c r="J4778" s="35">
        <v>-4.449328565217738E-4</v>
      </c>
      <c r="K4778" s="35">
        <v>-2.1929873527825334</v>
      </c>
      <c r="L4778" s="35">
        <v>-11.121802707308348</v>
      </c>
      <c r="M4778" s="58" t="s">
        <v>24</v>
      </c>
      <c r="N4778" s="7">
        <v>11.333333333333334</v>
      </c>
      <c r="O4778" s="7" t="s">
        <v>180</v>
      </c>
      <c r="P4778" s="7" t="s">
        <v>180</v>
      </c>
    </row>
    <row r="4779" spans="1:16" x14ac:dyDescent="0.25">
      <c r="A4779" t="s">
        <v>183</v>
      </c>
      <c r="B4779" t="s">
        <v>220</v>
      </c>
      <c r="C4779" s="7" t="s">
        <v>164</v>
      </c>
      <c r="D4779" t="s">
        <v>106</v>
      </c>
      <c r="F4779" s="35">
        <v>5.3</v>
      </c>
      <c r="G4779" s="35">
        <v>125.7689667268009</v>
      </c>
      <c r="H4779" s="35">
        <v>5.6536502275408935</v>
      </c>
      <c r="I4779" s="35">
        <v>-0.3749933791219075</v>
      </c>
      <c r="J4779" s="35">
        <v>-1.8310347389331266E-4</v>
      </c>
      <c r="K4779" s="35">
        <v>-2.1929873527825321</v>
      </c>
      <c r="L4779" s="35">
        <v>-11.121624893296165</v>
      </c>
      <c r="M4779" s="58" t="s">
        <v>24</v>
      </c>
      <c r="N4779" s="7">
        <v>11.333333333333334</v>
      </c>
      <c r="O4779" s="7" t="s">
        <v>180</v>
      </c>
      <c r="P4779" s="7" t="s">
        <v>180</v>
      </c>
    </row>
    <row r="4780" spans="1:16" x14ac:dyDescent="0.25">
      <c r="A4780" t="s">
        <v>183</v>
      </c>
      <c r="B4780" t="s">
        <v>220</v>
      </c>
      <c r="C4780" s="7" t="s">
        <v>164</v>
      </c>
      <c r="D4780" t="s">
        <v>106</v>
      </c>
      <c r="F4780" s="35">
        <v>5.4149169609489114</v>
      </c>
      <c r="G4780" s="35">
        <v>125.8237077429164</v>
      </c>
      <c r="H4780" s="35">
        <v>5.6536502275408935</v>
      </c>
      <c r="I4780" s="35">
        <v>-0.3749933791219075</v>
      </c>
      <c r="J4780" s="35">
        <v>-1.8310347389331266E-4</v>
      </c>
      <c r="K4780" s="35">
        <v>-2.1498942532778793</v>
      </c>
      <c r="L4780" s="35">
        <v>-11.771325195713287</v>
      </c>
      <c r="M4780" s="58" t="s">
        <v>24</v>
      </c>
      <c r="N4780" s="7">
        <v>11.333333333333334</v>
      </c>
      <c r="O4780" s="7" t="s">
        <v>180</v>
      </c>
      <c r="P4780" s="7" t="s">
        <v>180</v>
      </c>
    </row>
    <row r="4781" spans="1:16" x14ac:dyDescent="0.25">
      <c r="A4781" t="s">
        <v>183</v>
      </c>
      <c r="B4781" t="s">
        <v>220</v>
      </c>
      <c r="C4781" s="7" t="s">
        <v>164</v>
      </c>
      <c r="D4781" t="s">
        <v>106</v>
      </c>
      <c r="F4781" s="35">
        <v>10.829833921897823</v>
      </c>
      <c r="G4781" s="35">
        <v>128.4031185990319</v>
      </c>
      <c r="H4781" s="35">
        <v>5.6536502275408935</v>
      </c>
      <c r="I4781" s="35">
        <v>-0.3749933791219075</v>
      </c>
      <c r="J4781" s="35">
        <v>-1.8310347389331266E-4</v>
      </c>
      <c r="K4781" s="35">
        <v>-0.11933624442711739</v>
      </c>
      <c r="L4781" s="35">
        <v>-42.385371704097139</v>
      </c>
      <c r="M4781" s="58" t="s">
        <v>23</v>
      </c>
      <c r="N4781" s="7">
        <v>11.333333333333334</v>
      </c>
      <c r="O4781" s="7" t="s">
        <v>180</v>
      </c>
      <c r="P4781" s="7" t="s">
        <v>180</v>
      </c>
    </row>
    <row r="4782" spans="1:16" x14ac:dyDescent="0.25">
      <c r="A4782" t="s">
        <v>183</v>
      </c>
      <c r="B4782" t="s">
        <v>220</v>
      </c>
      <c r="C4782" s="7" t="s">
        <v>164</v>
      </c>
      <c r="D4782" t="s">
        <v>107</v>
      </c>
      <c r="F4782" s="35">
        <v>0</v>
      </c>
      <c r="G4782" s="35">
        <v>48.060161099184299</v>
      </c>
      <c r="H4782" s="35">
        <v>2.3967596365526957</v>
      </c>
      <c r="I4782" s="35">
        <v>4.0680952306586589</v>
      </c>
      <c r="J4782" s="35">
        <v>-5.5940162275414974E-4</v>
      </c>
      <c r="K4782" s="35">
        <v>5.0985868787140571</v>
      </c>
      <c r="L4782" s="35">
        <v>8.1980292837662923</v>
      </c>
      <c r="M4782" s="58" t="s">
        <v>22</v>
      </c>
      <c r="N4782" s="7">
        <v>11.333333333333334</v>
      </c>
      <c r="O4782" s="7" t="s">
        <v>180</v>
      </c>
      <c r="P4782" s="7" t="s">
        <v>180</v>
      </c>
    </row>
    <row r="4783" spans="1:16" x14ac:dyDescent="0.25">
      <c r="A4783" t="s">
        <v>183</v>
      </c>
      <c r="B4783" t="s">
        <v>220</v>
      </c>
      <c r="C4783" s="7" t="s">
        <v>164</v>
      </c>
      <c r="D4783" t="s">
        <v>107</v>
      </c>
      <c r="F4783" s="35">
        <v>0.29999999999999988</v>
      </c>
      <c r="G4783" s="35">
        <v>48.203066939184303</v>
      </c>
      <c r="H4783" s="35">
        <v>2.3967596365526957</v>
      </c>
      <c r="I4783" s="35">
        <v>4.0680952306586589</v>
      </c>
      <c r="J4783" s="35">
        <v>-5.5940162275414974E-4</v>
      </c>
      <c r="K4783" s="35">
        <v>3.87815830951646</v>
      </c>
      <c r="L4783" s="35">
        <v>7.4790013928004822</v>
      </c>
      <c r="M4783" s="58" t="s">
        <v>22</v>
      </c>
      <c r="N4783" s="7">
        <v>11.333333333333334</v>
      </c>
      <c r="O4783" s="7" t="s">
        <v>180</v>
      </c>
      <c r="P4783" s="7" t="s">
        <v>180</v>
      </c>
    </row>
    <row r="4784" spans="1:16" x14ac:dyDescent="0.25">
      <c r="A4784" t="s">
        <v>183</v>
      </c>
      <c r="B4784" t="s">
        <v>220</v>
      </c>
      <c r="C4784" s="7" t="s">
        <v>164</v>
      </c>
      <c r="D4784" t="s">
        <v>107</v>
      </c>
      <c r="F4784" s="35">
        <v>0.29999999999999988</v>
      </c>
      <c r="G4784" s="35">
        <v>2.2100278061306229</v>
      </c>
      <c r="H4784" s="35">
        <v>2.3967596365526895</v>
      </c>
      <c r="I4784" s="35">
        <v>1.2615386366446821</v>
      </c>
      <c r="J4784" s="35">
        <v>-4.3639519848074341E-4</v>
      </c>
      <c r="K4784" s="35">
        <v>3.8781583095164613</v>
      </c>
      <c r="L4784" s="35">
        <v>7.4790087731859405</v>
      </c>
      <c r="M4784" s="58" t="s">
        <v>22</v>
      </c>
      <c r="N4784" s="7">
        <v>11.333333333333334</v>
      </c>
      <c r="O4784" s="7" t="s">
        <v>180</v>
      </c>
      <c r="P4784" s="7" t="s">
        <v>180</v>
      </c>
    </row>
    <row r="4785" spans="1:16" x14ac:dyDescent="0.25">
      <c r="A4785" t="s">
        <v>183</v>
      </c>
      <c r="B4785" t="s">
        <v>220</v>
      </c>
      <c r="C4785" s="7" t="s">
        <v>164</v>
      </c>
      <c r="D4785" t="s">
        <v>107</v>
      </c>
      <c r="F4785" s="35">
        <v>5.3</v>
      </c>
      <c r="G4785" s="35">
        <v>4.5917918061306251</v>
      </c>
      <c r="H4785" s="35">
        <v>2.3967596365526895</v>
      </c>
      <c r="I4785" s="35">
        <v>1.2615386366446821</v>
      </c>
      <c r="J4785" s="35">
        <v>-4.3639519848074341E-4</v>
      </c>
      <c r="K4785" s="35">
        <v>-2.4295348737069484</v>
      </c>
      <c r="L4785" s="35">
        <v>-4.5047894095775067</v>
      </c>
      <c r="M4785" s="58" t="s">
        <v>24</v>
      </c>
      <c r="N4785" s="7">
        <v>11.333333333333334</v>
      </c>
      <c r="O4785" s="7" t="s">
        <v>180</v>
      </c>
      <c r="P4785" s="7" t="s">
        <v>180</v>
      </c>
    </row>
    <row r="4786" spans="1:16" x14ac:dyDescent="0.25">
      <c r="A4786" t="s">
        <v>183</v>
      </c>
      <c r="B4786" t="s">
        <v>220</v>
      </c>
      <c r="C4786" s="7" t="s">
        <v>164</v>
      </c>
      <c r="D4786" t="s">
        <v>107</v>
      </c>
      <c r="F4786" s="35">
        <v>5.3</v>
      </c>
      <c r="G4786" s="35">
        <v>46.75056817343296</v>
      </c>
      <c r="H4786" s="35">
        <v>2.3967196403018862</v>
      </c>
      <c r="I4786" s="35">
        <v>-0.41421484517395235</v>
      </c>
      <c r="J4786" s="35">
        <v>-3.2861226789275062E-4</v>
      </c>
      <c r="K4786" s="35">
        <v>-2.429534873706948</v>
      </c>
      <c r="L4786" s="35">
        <v>-4.5048507232891328</v>
      </c>
      <c r="M4786" s="58" t="s">
        <v>24</v>
      </c>
      <c r="N4786" s="7">
        <v>11.333333333333334</v>
      </c>
      <c r="O4786" s="7" t="s">
        <v>180</v>
      </c>
      <c r="P4786" s="7" t="s">
        <v>180</v>
      </c>
    </row>
    <row r="4787" spans="1:16" x14ac:dyDescent="0.25">
      <c r="A4787" t="s">
        <v>183</v>
      </c>
      <c r="B4787" t="s">
        <v>220</v>
      </c>
      <c r="C4787" s="7" t="s">
        <v>164</v>
      </c>
      <c r="D4787" t="s">
        <v>107</v>
      </c>
      <c r="F4787" s="35">
        <v>5.4149169609489114</v>
      </c>
      <c r="G4787" s="35">
        <v>46.805309189548467</v>
      </c>
      <c r="H4787" s="35">
        <v>2.3967196403018862</v>
      </c>
      <c r="I4787" s="35">
        <v>-0.41421484517395235</v>
      </c>
      <c r="J4787" s="35">
        <v>-3.2861226789275062E-4</v>
      </c>
      <c r="K4787" s="35">
        <v>-2.3819345625196333</v>
      </c>
      <c r="L4787" s="35">
        <v>-4.7802744605991938</v>
      </c>
      <c r="M4787" s="58" t="s">
        <v>24</v>
      </c>
      <c r="N4787" s="7">
        <v>11.333333333333334</v>
      </c>
      <c r="O4787" s="7" t="s">
        <v>180</v>
      </c>
      <c r="P4787" s="7" t="s">
        <v>180</v>
      </c>
    </row>
    <row r="4788" spans="1:16" x14ac:dyDescent="0.25">
      <c r="A4788" t="s">
        <v>183</v>
      </c>
      <c r="B4788" t="s">
        <v>220</v>
      </c>
      <c r="C4788" s="7" t="s">
        <v>164</v>
      </c>
      <c r="D4788" t="s">
        <v>107</v>
      </c>
      <c r="F4788" s="35">
        <v>10.829833921897823</v>
      </c>
      <c r="G4788" s="35">
        <v>49.384720045663975</v>
      </c>
      <c r="H4788" s="35">
        <v>2.3967196403018862</v>
      </c>
      <c r="I4788" s="35">
        <v>-0.41421484517395235</v>
      </c>
      <c r="J4788" s="35">
        <v>-3.2861226789275062E-4</v>
      </c>
      <c r="K4788" s="35">
        <v>-0.13899557191037221</v>
      </c>
      <c r="L4788" s="35">
        <v>-17.758312291509245</v>
      </c>
      <c r="M4788" s="58" t="s">
        <v>23</v>
      </c>
      <c r="N4788" s="7">
        <v>11.333333333333334</v>
      </c>
      <c r="O4788" s="7" t="s">
        <v>180</v>
      </c>
      <c r="P4788" s="7" t="s">
        <v>180</v>
      </c>
    </row>
    <row r="4789" spans="1:16" x14ac:dyDescent="0.25">
      <c r="A4789" t="s">
        <v>183</v>
      </c>
      <c r="B4789" t="s">
        <v>220</v>
      </c>
      <c r="C4789" s="7" t="s">
        <v>164</v>
      </c>
      <c r="D4789" t="s">
        <v>108</v>
      </c>
      <c r="F4789" s="35">
        <v>0</v>
      </c>
      <c r="G4789" s="35">
        <v>115.58888575868212</v>
      </c>
      <c r="H4789" s="35">
        <v>10.272530616801989</v>
      </c>
      <c r="I4789" s="35">
        <v>-1.9604281829907786E-2</v>
      </c>
      <c r="J4789" s="35">
        <v>2.8529635989116563E-4</v>
      </c>
      <c r="K4789" s="35">
        <v>-0.89164394011498416</v>
      </c>
      <c r="L4789" s="35">
        <v>50.610726902642547</v>
      </c>
      <c r="M4789" s="58" t="s">
        <v>22</v>
      </c>
      <c r="N4789" s="7">
        <v>11.333333333333334</v>
      </c>
      <c r="O4789" s="7" t="s">
        <v>180</v>
      </c>
      <c r="P4789" s="7" t="s">
        <v>180</v>
      </c>
    </row>
    <row r="4790" spans="1:16" x14ac:dyDescent="0.25">
      <c r="A4790" t="s">
        <v>183</v>
      </c>
      <c r="B4790" t="s">
        <v>220</v>
      </c>
      <c r="C4790" s="7" t="s">
        <v>164</v>
      </c>
      <c r="D4790" t="s">
        <v>108</v>
      </c>
      <c r="F4790" s="35">
        <v>0.29999999999999988</v>
      </c>
      <c r="G4790" s="35">
        <v>115.73179159868212</v>
      </c>
      <c r="H4790" s="35">
        <v>10.272530616801989</v>
      </c>
      <c r="I4790" s="35">
        <v>-1.9604281829907786E-2</v>
      </c>
      <c r="J4790" s="35">
        <v>2.8529635989116563E-4</v>
      </c>
      <c r="K4790" s="35">
        <v>-0.88576265556601186</v>
      </c>
      <c r="L4790" s="35">
        <v>47.528967717601965</v>
      </c>
      <c r="M4790" s="58" t="s">
        <v>22</v>
      </c>
      <c r="N4790" s="7">
        <v>11.333333333333334</v>
      </c>
      <c r="O4790" s="7" t="s">
        <v>180</v>
      </c>
      <c r="P4790" s="7" t="s">
        <v>180</v>
      </c>
    </row>
    <row r="4791" spans="1:16" x14ac:dyDescent="0.25">
      <c r="A4791" t="s">
        <v>183</v>
      </c>
      <c r="B4791" t="s">
        <v>220</v>
      </c>
      <c r="C4791" s="7" t="s">
        <v>164</v>
      </c>
      <c r="D4791" t="s">
        <v>108</v>
      </c>
      <c r="F4791" s="35">
        <v>0.29999999999999988</v>
      </c>
      <c r="G4791" s="35">
        <v>112.07567591962595</v>
      </c>
      <c r="H4791" s="35">
        <v>10.272530616801989</v>
      </c>
      <c r="I4791" s="35">
        <v>-0.28594546860403552</v>
      </c>
      <c r="J4791" s="35">
        <v>1.4925495357207324E-5</v>
      </c>
      <c r="K4791" s="35">
        <v>-0.88576265556601286</v>
      </c>
      <c r="L4791" s="35">
        <v>47.5289514953501</v>
      </c>
      <c r="M4791" s="58" t="s">
        <v>22</v>
      </c>
      <c r="N4791" s="7">
        <v>11.333333333333334</v>
      </c>
      <c r="O4791" s="7" t="s">
        <v>180</v>
      </c>
      <c r="P4791" s="7" t="s">
        <v>180</v>
      </c>
    </row>
    <row r="4792" spans="1:16" x14ac:dyDescent="0.25">
      <c r="A4792" t="s">
        <v>183</v>
      </c>
      <c r="B4792" t="s">
        <v>220</v>
      </c>
      <c r="C4792" s="7" t="s">
        <v>164</v>
      </c>
      <c r="D4792" t="s">
        <v>108</v>
      </c>
      <c r="F4792" s="35">
        <v>5.3</v>
      </c>
      <c r="G4792" s="35">
        <v>114.45743991962595</v>
      </c>
      <c r="H4792" s="35">
        <v>10.272530616801989</v>
      </c>
      <c r="I4792" s="35">
        <v>-0.28594546860403552</v>
      </c>
      <c r="J4792" s="35">
        <v>1.4925495357207324E-5</v>
      </c>
      <c r="K4792" s="35">
        <v>0.54396468745416449</v>
      </c>
      <c r="L4792" s="35">
        <v>-3.8337015886598365</v>
      </c>
      <c r="M4792" s="58" t="s">
        <v>24</v>
      </c>
      <c r="N4792" s="7">
        <v>11.333333333333334</v>
      </c>
      <c r="O4792" s="7" t="s">
        <v>180</v>
      </c>
      <c r="P4792" s="7" t="s">
        <v>180</v>
      </c>
    </row>
    <row r="4793" spans="1:16" x14ac:dyDescent="0.25">
      <c r="A4793" t="s">
        <v>183</v>
      </c>
      <c r="B4793" t="s">
        <v>220</v>
      </c>
      <c r="C4793" s="7" t="s">
        <v>164</v>
      </c>
      <c r="D4793" t="s">
        <v>108</v>
      </c>
      <c r="F4793" s="35">
        <v>5.3</v>
      </c>
      <c r="G4793" s="35">
        <v>121.640166128529</v>
      </c>
      <c r="H4793" s="35">
        <v>10.272503048760846</v>
      </c>
      <c r="I4793" s="35">
        <v>7.8931716921546755E-2</v>
      </c>
      <c r="J4793" s="35">
        <v>3.154918202696971E-4</v>
      </c>
      <c r="K4793" s="35">
        <v>0.54396468745416482</v>
      </c>
      <c r="L4793" s="35">
        <v>-3.8332117590072174</v>
      </c>
      <c r="M4793" s="58" t="s">
        <v>24</v>
      </c>
      <c r="N4793" s="7">
        <v>11.333333333333334</v>
      </c>
      <c r="O4793" s="7" t="s">
        <v>180</v>
      </c>
      <c r="P4793" s="7" t="s">
        <v>180</v>
      </c>
    </row>
    <row r="4794" spans="1:16" x14ac:dyDescent="0.25">
      <c r="A4794" t="s">
        <v>183</v>
      </c>
      <c r="B4794" t="s">
        <v>220</v>
      </c>
      <c r="C4794" s="7" t="s">
        <v>164</v>
      </c>
      <c r="D4794" t="s">
        <v>108</v>
      </c>
      <c r="F4794" s="35">
        <v>5.4149169609489114</v>
      </c>
      <c r="G4794" s="35">
        <v>121.6949071446445</v>
      </c>
      <c r="H4794" s="35">
        <v>10.272503048760846</v>
      </c>
      <c r="I4794" s="35">
        <v>7.8931716921546755E-2</v>
      </c>
      <c r="J4794" s="35">
        <v>3.154918202696971E-4</v>
      </c>
      <c r="K4794" s="35">
        <v>0.53489409442306091</v>
      </c>
      <c r="L4794" s="35">
        <v>-5.0136965907092419</v>
      </c>
      <c r="M4794" s="58" t="s">
        <v>24</v>
      </c>
      <c r="N4794" s="7">
        <v>11.333333333333334</v>
      </c>
      <c r="O4794" s="7" t="s">
        <v>180</v>
      </c>
      <c r="P4794" s="7" t="s">
        <v>180</v>
      </c>
    </row>
    <row r="4795" spans="1:16" x14ac:dyDescent="0.25">
      <c r="A4795" t="s">
        <v>183</v>
      </c>
      <c r="B4795" t="s">
        <v>220</v>
      </c>
      <c r="C4795" s="7" t="s">
        <v>164</v>
      </c>
      <c r="D4795" t="s">
        <v>108</v>
      </c>
      <c r="F4795" s="35">
        <v>10.829833921897823</v>
      </c>
      <c r="G4795" s="35">
        <v>124.27431800076002</v>
      </c>
      <c r="H4795" s="35">
        <v>10.272503048760846</v>
      </c>
      <c r="I4795" s="35">
        <v>7.8931716921546755E-2</v>
      </c>
      <c r="J4795" s="35">
        <v>3.154918202696971E-4</v>
      </c>
      <c r="K4795" s="35">
        <v>0.10748540170775923</v>
      </c>
      <c r="L4795" s="35">
        <v>-60.638447580843739</v>
      </c>
      <c r="M4795" s="58" t="s">
        <v>23</v>
      </c>
      <c r="N4795" s="7">
        <v>11.333333333333334</v>
      </c>
      <c r="O4795" s="7" t="s">
        <v>180</v>
      </c>
      <c r="P4795" s="7" t="s">
        <v>180</v>
      </c>
    </row>
    <row r="4796" spans="1:16" x14ac:dyDescent="0.25">
      <c r="A4796" t="s">
        <v>183</v>
      </c>
      <c r="B4796" t="s">
        <v>220</v>
      </c>
      <c r="C4796" s="7" t="s">
        <v>164</v>
      </c>
      <c r="D4796" t="s">
        <v>109</v>
      </c>
      <c r="F4796" s="35">
        <v>0</v>
      </c>
      <c r="G4796" s="35">
        <v>-0.98485781107032366</v>
      </c>
      <c r="H4796" s="35">
        <v>22.070604171626709</v>
      </c>
      <c r="I4796" s="35">
        <v>-0.67524847009372113</v>
      </c>
      <c r="J4796" s="35">
        <v>3.4969964127242137E-4</v>
      </c>
      <c r="K4796" s="35">
        <v>-0.60412579205270134</v>
      </c>
      <c r="L4796" s="35">
        <v>118.82359718807523</v>
      </c>
      <c r="M4796" s="58" t="s">
        <v>22</v>
      </c>
      <c r="N4796" s="7">
        <v>11.333333333333334</v>
      </c>
      <c r="O4796" s="7" t="s">
        <v>180</v>
      </c>
      <c r="P4796" s="7" t="s">
        <v>180</v>
      </c>
    </row>
    <row r="4797" spans="1:16" x14ac:dyDescent="0.25">
      <c r="A4797" t="s">
        <v>183</v>
      </c>
      <c r="B4797" t="s">
        <v>220</v>
      </c>
      <c r="C4797" s="7" t="s">
        <v>164</v>
      </c>
      <c r="D4797" t="s">
        <v>109</v>
      </c>
      <c r="F4797" s="35">
        <v>0.29999999999999988</v>
      </c>
      <c r="G4797" s="35">
        <v>-0.84195197107032416</v>
      </c>
      <c r="H4797" s="35">
        <v>22.070604171626709</v>
      </c>
      <c r="I4797" s="35">
        <v>-0.67524847009372113</v>
      </c>
      <c r="J4797" s="35">
        <v>3.4969964127242137E-4</v>
      </c>
      <c r="K4797" s="35">
        <v>-0.40155125102458505</v>
      </c>
      <c r="L4797" s="35">
        <v>112.20241593658722</v>
      </c>
      <c r="M4797" s="58" t="s">
        <v>22</v>
      </c>
      <c r="N4797" s="7">
        <v>11.333333333333334</v>
      </c>
      <c r="O4797" s="7" t="s">
        <v>180</v>
      </c>
      <c r="P4797" s="7" t="s">
        <v>180</v>
      </c>
    </row>
    <row r="4798" spans="1:16" x14ac:dyDescent="0.25">
      <c r="A4798" t="s">
        <v>183</v>
      </c>
      <c r="B4798" t="s">
        <v>220</v>
      </c>
      <c r="C4798" s="7" t="s">
        <v>164</v>
      </c>
      <c r="D4798" t="s">
        <v>109</v>
      </c>
      <c r="F4798" s="35">
        <v>0.29999999999999988</v>
      </c>
      <c r="G4798" s="35">
        <v>9.0349579908906801</v>
      </c>
      <c r="H4798" s="35">
        <v>22.070604171626755</v>
      </c>
      <c r="I4798" s="35">
        <v>-0.12960811840681796</v>
      </c>
      <c r="J4798" s="35">
        <v>-2.3100052075201421E-4</v>
      </c>
      <c r="K4798" s="35">
        <v>-0.40155125102458455</v>
      </c>
      <c r="L4798" s="35">
        <v>112.20238109457739</v>
      </c>
      <c r="M4798" s="58" t="s">
        <v>22</v>
      </c>
      <c r="N4798" s="7">
        <v>11.333333333333334</v>
      </c>
      <c r="O4798" s="7" t="s">
        <v>180</v>
      </c>
      <c r="P4798" s="7" t="s">
        <v>180</v>
      </c>
    </row>
    <row r="4799" spans="1:16" x14ac:dyDescent="0.25">
      <c r="A4799" t="s">
        <v>183</v>
      </c>
      <c r="B4799" t="s">
        <v>220</v>
      </c>
      <c r="C4799" s="7" t="s">
        <v>164</v>
      </c>
      <c r="D4799" t="s">
        <v>109</v>
      </c>
      <c r="F4799" s="35">
        <v>5.3</v>
      </c>
      <c r="G4799" s="35">
        <v>11.416721990890682</v>
      </c>
      <c r="H4799" s="35">
        <v>22.070604171626755</v>
      </c>
      <c r="I4799" s="35">
        <v>-0.12960811840681796</v>
      </c>
      <c r="J4799" s="35">
        <v>-2.3100052075201421E-4</v>
      </c>
      <c r="K4799" s="35">
        <v>0.24648934100950531</v>
      </c>
      <c r="L4799" s="35">
        <v>1.8493602364436057</v>
      </c>
      <c r="M4799" s="58" t="s">
        <v>24</v>
      </c>
      <c r="N4799" s="7">
        <v>11.333333333333334</v>
      </c>
      <c r="O4799" s="7" t="s">
        <v>180</v>
      </c>
      <c r="P4799" s="7" t="s">
        <v>180</v>
      </c>
    </row>
    <row r="4800" spans="1:16" x14ac:dyDescent="0.25">
      <c r="A4800" t="s">
        <v>183</v>
      </c>
      <c r="B4800" t="s">
        <v>220</v>
      </c>
      <c r="C4800" s="7" t="s">
        <v>164</v>
      </c>
      <c r="D4800" t="s">
        <v>109</v>
      </c>
      <c r="F4800" s="35">
        <v>5.3</v>
      </c>
      <c r="G4800" s="35">
        <v>5.5219958805152114</v>
      </c>
      <c r="H4800" s="35">
        <v>22.07052420747365</v>
      </c>
      <c r="I4800" s="35">
        <v>2.963184377484215E-2</v>
      </c>
      <c r="J4800" s="35">
        <v>2.9961437044664799E-4</v>
      </c>
      <c r="K4800" s="35">
        <v>0.24648934100950537</v>
      </c>
      <c r="L4800" s="35">
        <v>1.8501179504677587</v>
      </c>
      <c r="M4800" s="58" t="s">
        <v>24</v>
      </c>
      <c r="N4800" s="7">
        <v>11.333333333333334</v>
      </c>
      <c r="O4800" s="7" t="s">
        <v>180</v>
      </c>
      <c r="P4800" s="7" t="s">
        <v>180</v>
      </c>
    </row>
    <row r="4801" spans="1:16" x14ac:dyDescent="0.25">
      <c r="A4801" t="s">
        <v>183</v>
      </c>
      <c r="B4801" t="s">
        <v>220</v>
      </c>
      <c r="C4801" s="7" t="s">
        <v>164</v>
      </c>
      <c r="D4801" t="s">
        <v>109</v>
      </c>
      <c r="F4801" s="35">
        <v>5.4149169609489114</v>
      </c>
      <c r="G4801" s="35">
        <v>5.5767368966307176</v>
      </c>
      <c r="H4801" s="35">
        <v>22.07052420747365</v>
      </c>
      <c r="I4801" s="35">
        <v>2.963184377484215E-2</v>
      </c>
      <c r="J4801" s="35">
        <v>2.9961437044664799E-4</v>
      </c>
      <c r="K4801" s="35">
        <v>0.24308413957558758</v>
      </c>
      <c r="L4801" s="35">
        <v>-0.6861596180044951</v>
      </c>
      <c r="M4801" s="58" t="s">
        <v>24</v>
      </c>
      <c r="N4801" s="7">
        <v>11.333333333333334</v>
      </c>
      <c r="O4801" s="7" t="s">
        <v>180</v>
      </c>
      <c r="P4801" s="7" t="s">
        <v>180</v>
      </c>
    </row>
    <row r="4802" spans="1:16" x14ac:dyDescent="0.25">
      <c r="A4802" t="s">
        <v>183</v>
      </c>
      <c r="B4802" t="s">
        <v>220</v>
      </c>
      <c r="C4802" s="7" t="s">
        <v>164</v>
      </c>
      <c r="D4802" t="s">
        <v>109</v>
      </c>
      <c r="F4802" s="35">
        <v>10.829833921897823</v>
      </c>
      <c r="G4802" s="35">
        <v>8.1561477527462252</v>
      </c>
      <c r="H4802" s="35">
        <v>22.07052420747365</v>
      </c>
      <c r="I4802" s="35">
        <v>2.963184377484215E-2</v>
      </c>
      <c r="J4802" s="35">
        <v>2.9961437044664799E-4</v>
      </c>
      <c r="K4802" s="35">
        <v>8.2630166135006441E-2</v>
      </c>
      <c r="L4802" s="35">
        <v>-120.19621548608706</v>
      </c>
      <c r="M4802" s="58" t="s">
        <v>23</v>
      </c>
      <c r="N4802" s="7">
        <v>11.333333333333334</v>
      </c>
      <c r="O4802" s="7" t="s">
        <v>180</v>
      </c>
      <c r="P4802" s="7" t="s">
        <v>180</v>
      </c>
    </row>
    <row r="4803" spans="1:16" x14ac:dyDescent="0.25">
      <c r="A4803" t="s">
        <v>183</v>
      </c>
      <c r="B4803" t="s">
        <v>220</v>
      </c>
      <c r="C4803" s="7" t="s">
        <v>164</v>
      </c>
      <c r="D4803" t="s">
        <v>110</v>
      </c>
      <c r="F4803" s="35">
        <v>0</v>
      </c>
      <c r="G4803" s="35">
        <v>113.6118358498957</v>
      </c>
      <c r="H4803" s="35">
        <v>0.30185651234931937</v>
      </c>
      <c r="I4803" s="35">
        <v>-5.7891462026668242E-2</v>
      </c>
      <c r="J4803" s="35">
        <v>-4.2870961619537201E-5</v>
      </c>
      <c r="K4803" s="35">
        <v>-0.92225345221040655</v>
      </c>
      <c r="L4803" s="35">
        <v>-16.058448653659156</v>
      </c>
      <c r="M4803" s="58" t="s">
        <v>22</v>
      </c>
      <c r="N4803" s="7">
        <v>11.333333333333334</v>
      </c>
      <c r="O4803" s="7" t="s">
        <v>180</v>
      </c>
      <c r="P4803" s="7" t="s">
        <v>180</v>
      </c>
    </row>
    <row r="4804" spans="1:16" x14ac:dyDescent="0.25">
      <c r="A4804" t="s">
        <v>183</v>
      </c>
      <c r="B4804" t="s">
        <v>220</v>
      </c>
      <c r="C4804" s="7" t="s">
        <v>164</v>
      </c>
      <c r="D4804" t="s">
        <v>110</v>
      </c>
      <c r="F4804" s="35">
        <v>0.29999999999999988</v>
      </c>
      <c r="G4804" s="35">
        <v>113.7547416898957</v>
      </c>
      <c r="H4804" s="35">
        <v>0.30185651234931937</v>
      </c>
      <c r="I4804" s="35">
        <v>-5.7891462026668242E-2</v>
      </c>
      <c r="J4804" s="35">
        <v>-4.2870961619537201E-5</v>
      </c>
      <c r="K4804" s="35">
        <v>-0.90488601360240606</v>
      </c>
      <c r="L4804" s="35">
        <v>-16.149005607363954</v>
      </c>
      <c r="M4804" s="58" t="s">
        <v>22</v>
      </c>
      <c r="N4804" s="7">
        <v>11.333333333333334</v>
      </c>
      <c r="O4804" s="7" t="s">
        <v>180</v>
      </c>
      <c r="P4804" s="7" t="s">
        <v>180</v>
      </c>
    </row>
    <row r="4805" spans="1:16" x14ac:dyDescent="0.25">
      <c r="A4805" t="s">
        <v>183</v>
      </c>
      <c r="B4805" t="s">
        <v>220</v>
      </c>
      <c r="C4805" s="7" t="s">
        <v>164</v>
      </c>
      <c r="D4805" t="s">
        <v>110</v>
      </c>
      <c r="F4805" s="35">
        <v>0.29999999999999988</v>
      </c>
      <c r="G4805" s="35">
        <v>110.63328051353733</v>
      </c>
      <c r="H4805" s="35">
        <v>0.30185651234929978</v>
      </c>
      <c r="I4805" s="35">
        <v>-0.29215337863892771</v>
      </c>
      <c r="J4805" s="35">
        <v>7.1673429104513481E-5</v>
      </c>
      <c r="K4805" s="35">
        <v>-0.90488601360240772</v>
      </c>
      <c r="L4805" s="35">
        <v>-16.148998734700509</v>
      </c>
      <c r="M4805" s="58" t="s">
        <v>22</v>
      </c>
      <c r="N4805" s="7">
        <v>11.333333333333334</v>
      </c>
      <c r="O4805" s="7" t="s">
        <v>180</v>
      </c>
      <c r="P4805" s="7" t="s">
        <v>180</v>
      </c>
    </row>
    <row r="4806" spans="1:16" x14ac:dyDescent="0.25">
      <c r="A4806" t="s">
        <v>183</v>
      </c>
      <c r="B4806" t="s">
        <v>220</v>
      </c>
      <c r="C4806" s="7" t="s">
        <v>164</v>
      </c>
      <c r="D4806" t="s">
        <v>110</v>
      </c>
      <c r="F4806" s="35">
        <v>5.3</v>
      </c>
      <c r="G4806" s="35">
        <v>113.01504451353733</v>
      </c>
      <c r="H4806" s="35">
        <v>0.30185651234929978</v>
      </c>
      <c r="I4806" s="35">
        <v>-0.29215337863892771</v>
      </c>
      <c r="J4806" s="35">
        <v>7.1673429104513481E-5</v>
      </c>
      <c r="K4806" s="35">
        <v>0.55588087959223076</v>
      </c>
      <c r="L4806" s="35">
        <v>-17.658281296447004</v>
      </c>
      <c r="M4806" s="58" t="s">
        <v>24</v>
      </c>
      <c r="N4806" s="7">
        <v>11.333333333333334</v>
      </c>
      <c r="O4806" s="7" t="s">
        <v>180</v>
      </c>
      <c r="P4806" s="7" t="s">
        <v>180</v>
      </c>
    </row>
    <row r="4807" spans="1:16" x14ac:dyDescent="0.25">
      <c r="A4807" t="s">
        <v>183</v>
      </c>
      <c r="B4807" t="s">
        <v>220</v>
      </c>
      <c r="C4807" s="7" t="s">
        <v>164</v>
      </c>
      <c r="D4807" t="s">
        <v>110</v>
      </c>
      <c r="F4807" s="35">
        <v>5.3</v>
      </c>
      <c r="G4807" s="35">
        <v>119.71491872129016</v>
      </c>
      <c r="H4807" s="35">
        <v>0.30186483633978417</v>
      </c>
      <c r="I4807" s="35">
        <v>8.0902973490251093E-2</v>
      </c>
      <c r="J4807" s="35">
        <v>2.7463485819161125E-4</v>
      </c>
      <c r="K4807" s="35">
        <v>0.55588087959223031</v>
      </c>
      <c r="L4807" s="35">
        <v>-17.657950069231759</v>
      </c>
      <c r="M4807" s="58" t="s">
        <v>24</v>
      </c>
      <c r="N4807" s="7">
        <v>11.333333333333334</v>
      </c>
      <c r="O4807" s="7" t="s">
        <v>180</v>
      </c>
      <c r="P4807" s="7" t="s">
        <v>180</v>
      </c>
    </row>
    <row r="4808" spans="1:16" x14ac:dyDescent="0.25">
      <c r="A4808" t="s">
        <v>183</v>
      </c>
      <c r="B4808" t="s">
        <v>220</v>
      </c>
      <c r="C4808" s="7" t="s">
        <v>164</v>
      </c>
      <c r="D4808" t="s">
        <v>110</v>
      </c>
      <c r="F4808" s="35">
        <v>5.4149169609489114</v>
      </c>
      <c r="G4808" s="35">
        <v>119.76965973740566</v>
      </c>
      <c r="H4808" s="35">
        <v>0.30186483633978417</v>
      </c>
      <c r="I4808" s="35">
        <v>8.0902973490251093E-2</v>
      </c>
      <c r="J4808" s="35">
        <v>2.7463485819161125E-4</v>
      </c>
      <c r="K4808" s="35">
        <v>0.54658375574700035</v>
      </c>
      <c r="L4808" s="35">
        <v>-17.692639458841267</v>
      </c>
      <c r="M4808" s="58" t="s">
        <v>24</v>
      </c>
      <c r="N4808" s="7">
        <v>11.333333333333334</v>
      </c>
      <c r="O4808" s="7" t="s">
        <v>180</v>
      </c>
      <c r="P4808" s="7" t="s">
        <v>180</v>
      </c>
    </row>
    <row r="4809" spans="1:16" x14ac:dyDescent="0.25">
      <c r="A4809" t="s">
        <v>183</v>
      </c>
      <c r="B4809" t="s">
        <v>220</v>
      </c>
      <c r="C4809" s="7" t="s">
        <v>164</v>
      </c>
      <c r="D4809" t="s">
        <v>110</v>
      </c>
      <c r="F4809" s="35">
        <v>10.829833921897823</v>
      </c>
      <c r="G4809" s="35">
        <v>122.34907059352118</v>
      </c>
      <c r="H4809" s="35">
        <v>0.30186483633978417</v>
      </c>
      <c r="I4809" s="35">
        <v>8.0902973490251093E-2</v>
      </c>
      <c r="J4809" s="35">
        <v>2.7463485819161125E-4</v>
      </c>
      <c r="K4809" s="35">
        <v>0.10850087240343953</v>
      </c>
      <c r="L4809" s="35">
        <v>-19.327212481051625</v>
      </c>
      <c r="M4809" s="58" t="s">
        <v>23</v>
      </c>
      <c r="N4809" s="7">
        <v>11.333333333333334</v>
      </c>
      <c r="O4809" s="7" t="s">
        <v>180</v>
      </c>
      <c r="P4809" s="7" t="s">
        <v>180</v>
      </c>
    </row>
    <row r="4810" spans="1:16" x14ac:dyDescent="0.25">
      <c r="A4810" t="s">
        <v>183</v>
      </c>
      <c r="B4810" t="s">
        <v>220</v>
      </c>
      <c r="C4810" s="7" t="s">
        <v>164</v>
      </c>
      <c r="D4810" t="s">
        <v>111</v>
      </c>
      <c r="F4810" s="35">
        <v>0</v>
      </c>
      <c r="G4810" s="35">
        <v>-97.498238289583952</v>
      </c>
      <c r="H4810" s="35">
        <v>-13.358897228067582</v>
      </c>
      <c r="I4810" s="35">
        <v>-1.6057845526785051</v>
      </c>
      <c r="J4810" s="35">
        <v>-2.4288954617209858E-4</v>
      </c>
      <c r="K4810" s="35">
        <v>-0.86334112900502735</v>
      </c>
      <c r="L4810" s="35">
        <v>-81.611858930020887</v>
      </c>
      <c r="M4810" s="58" t="s">
        <v>22</v>
      </c>
      <c r="N4810" s="7">
        <v>11.333333333333334</v>
      </c>
      <c r="O4810" s="7" t="s">
        <v>180</v>
      </c>
      <c r="P4810" s="7" t="s">
        <v>180</v>
      </c>
    </row>
    <row r="4811" spans="1:16" x14ac:dyDescent="0.25">
      <c r="A4811" t="s">
        <v>183</v>
      </c>
      <c r="B4811" t="s">
        <v>220</v>
      </c>
      <c r="C4811" s="7" t="s">
        <v>164</v>
      </c>
      <c r="D4811" t="s">
        <v>111</v>
      </c>
      <c r="F4811" s="35">
        <v>0.29999999999999988</v>
      </c>
      <c r="G4811" s="35">
        <v>-97.355332449583941</v>
      </c>
      <c r="H4811" s="35">
        <v>-13.358897228067582</v>
      </c>
      <c r="I4811" s="35">
        <v>-1.6057845526785051</v>
      </c>
      <c r="J4811" s="35">
        <v>-2.4288954617209858E-4</v>
      </c>
      <c r="K4811" s="35">
        <v>-0.38160576320147604</v>
      </c>
      <c r="L4811" s="35">
        <v>-77.604189761600622</v>
      </c>
      <c r="M4811" s="58" t="s">
        <v>22</v>
      </c>
      <c r="N4811" s="7">
        <v>11.333333333333334</v>
      </c>
      <c r="O4811" s="7" t="s">
        <v>180</v>
      </c>
      <c r="P4811" s="7" t="s">
        <v>180</v>
      </c>
    </row>
    <row r="4812" spans="1:16" x14ac:dyDescent="0.25">
      <c r="A4812" t="s">
        <v>183</v>
      </c>
      <c r="B4812" t="s">
        <v>220</v>
      </c>
      <c r="C4812" s="7" t="s">
        <v>164</v>
      </c>
      <c r="D4812" t="s">
        <v>111</v>
      </c>
      <c r="F4812" s="35">
        <v>0.29999999999999988</v>
      </c>
      <c r="G4812" s="35">
        <v>-71.891706216582165</v>
      </c>
      <c r="H4812" s="35">
        <v>-13.358897228067605</v>
      </c>
      <c r="I4812" s="35">
        <v>-0.12494122472915713</v>
      </c>
      <c r="J4812" s="35">
        <v>1.8632139295595259E-4</v>
      </c>
      <c r="K4812" s="35">
        <v>-0.3816057632014766</v>
      </c>
      <c r="L4812" s="35">
        <v>-77.604164008944281</v>
      </c>
      <c r="M4812" s="58" t="s">
        <v>22</v>
      </c>
      <c r="N4812" s="7">
        <v>11.333333333333334</v>
      </c>
      <c r="O4812" s="7" t="s">
        <v>180</v>
      </c>
      <c r="P4812" s="7" t="s">
        <v>180</v>
      </c>
    </row>
    <row r="4813" spans="1:16" x14ac:dyDescent="0.25">
      <c r="A4813" t="s">
        <v>183</v>
      </c>
      <c r="B4813" t="s">
        <v>220</v>
      </c>
      <c r="C4813" s="7" t="s">
        <v>164</v>
      </c>
      <c r="D4813" t="s">
        <v>111</v>
      </c>
      <c r="F4813" s="35">
        <v>5.3</v>
      </c>
      <c r="G4813" s="35">
        <v>-69.509942216582175</v>
      </c>
      <c r="H4813" s="35">
        <v>-13.358897228067605</v>
      </c>
      <c r="I4813" s="35">
        <v>-0.12494122472915713</v>
      </c>
      <c r="J4813" s="35">
        <v>1.8632139295595259E-4</v>
      </c>
      <c r="K4813" s="35">
        <v>0.24310036044430902</v>
      </c>
      <c r="L4813" s="35">
        <v>-10.809677868606265</v>
      </c>
      <c r="M4813" s="58" t="s">
        <v>24</v>
      </c>
      <c r="N4813" s="7">
        <v>11.333333333333334</v>
      </c>
      <c r="O4813" s="7" t="s">
        <v>180</v>
      </c>
      <c r="P4813" s="7" t="s">
        <v>180</v>
      </c>
    </row>
    <row r="4814" spans="1:16" x14ac:dyDescent="0.25">
      <c r="A4814" t="s">
        <v>183</v>
      </c>
      <c r="B4814" t="s">
        <v>220</v>
      </c>
      <c r="C4814" s="7" t="s">
        <v>164</v>
      </c>
      <c r="D4814" t="s">
        <v>111</v>
      </c>
      <c r="F4814" s="35">
        <v>5.3</v>
      </c>
      <c r="G4814" s="35">
        <v>-89.912623265284822</v>
      </c>
      <c r="H4814" s="35">
        <v>-13.35884648981723</v>
      </c>
      <c r="I4814" s="35">
        <v>2.904145722825913E-2</v>
      </c>
      <c r="J4814" s="35">
        <v>-2.5775734649937133E-5</v>
      </c>
      <c r="K4814" s="35">
        <v>0.24310036044430883</v>
      </c>
      <c r="L4814" s="35">
        <v>-10.809971588838978</v>
      </c>
      <c r="M4814" s="58" t="s">
        <v>24</v>
      </c>
      <c r="N4814" s="7">
        <v>11.333333333333334</v>
      </c>
      <c r="O4814" s="7" t="s">
        <v>180</v>
      </c>
      <c r="P4814" s="7" t="s">
        <v>180</v>
      </c>
    </row>
    <row r="4815" spans="1:16" x14ac:dyDescent="0.25">
      <c r="A4815" t="s">
        <v>183</v>
      </c>
      <c r="B4815" t="s">
        <v>220</v>
      </c>
      <c r="C4815" s="7" t="s">
        <v>164</v>
      </c>
      <c r="D4815" t="s">
        <v>111</v>
      </c>
      <c r="F4815" s="35">
        <v>5.4149169609489114</v>
      </c>
      <c r="G4815" s="35">
        <v>-89.857882249169322</v>
      </c>
      <c r="H4815" s="35">
        <v>-13.35884648981723</v>
      </c>
      <c r="I4815" s="35">
        <v>2.904145722825913E-2</v>
      </c>
      <c r="J4815" s="35">
        <v>-2.5775734649937133E-5</v>
      </c>
      <c r="K4815" s="35">
        <v>0.23976300443810952</v>
      </c>
      <c r="L4815" s="35">
        <v>-9.2748135484461489</v>
      </c>
      <c r="M4815" s="58" t="s">
        <v>24</v>
      </c>
      <c r="N4815" s="7">
        <v>11.333333333333334</v>
      </c>
      <c r="O4815" s="7" t="s">
        <v>180</v>
      </c>
      <c r="P4815" s="7" t="s">
        <v>180</v>
      </c>
    </row>
    <row r="4816" spans="1:16" x14ac:dyDescent="0.25">
      <c r="A4816" t="s">
        <v>183</v>
      </c>
      <c r="B4816" t="s">
        <v>220</v>
      </c>
      <c r="C4816" s="7" t="s">
        <v>164</v>
      </c>
      <c r="D4816" t="s">
        <v>111</v>
      </c>
      <c r="F4816" s="35">
        <v>10.829833921897823</v>
      </c>
      <c r="G4816" s="35">
        <v>-87.278471393053806</v>
      </c>
      <c r="H4816" s="35">
        <v>-13.35884648981723</v>
      </c>
      <c r="I4816" s="35">
        <v>2.904145722825913E-2</v>
      </c>
      <c r="J4816" s="35">
        <v>-2.5775734649937133E-5</v>
      </c>
      <c r="K4816" s="35">
        <v>8.2505925122136795E-2</v>
      </c>
      <c r="L4816" s="35">
        <v>63.062230887977968</v>
      </c>
      <c r="M4816" s="58" t="s">
        <v>23</v>
      </c>
      <c r="N4816" s="7">
        <v>11.333333333333334</v>
      </c>
      <c r="O4816" s="7" t="s">
        <v>180</v>
      </c>
      <c r="P4816" s="7" t="s">
        <v>180</v>
      </c>
    </row>
    <row r="4817" spans="1:16" x14ac:dyDescent="0.25">
      <c r="A4817" t="s">
        <v>183</v>
      </c>
      <c r="B4817" t="s">
        <v>220</v>
      </c>
      <c r="C4817" s="7" t="s">
        <v>164</v>
      </c>
      <c r="D4817" t="s">
        <v>112</v>
      </c>
      <c r="F4817" s="35">
        <v>0</v>
      </c>
      <c r="G4817" s="35">
        <v>35.05620395930719</v>
      </c>
      <c r="H4817" s="35">
        <v>4.2815266719500888</v>
      </c>
      <c r="I4817" s="35">
        <v>-3.110329549715126</v>
      </c>
      <c r="J4817" s="35">
        <v>3.8493247702199617E-4</v>
      </c>
      <c r="K4817" s="35">
        <v>-4.1854120197377744</v>
      </c>
      <c r="L4817" s="35">
        <v>15.760408321980284</v>
      </c>
      <c r="M4817" s="58" t="s">
        <v>22</v>
      </c>
      <c r="N4817" s="7">
        <v>11.333333333333334</v>
      </c>
      <c r="O4817" s="7" t="s">
        <v>180</v>
      </c>
      <c r="P4817" s="7" t="s">
        <v>180</v>
      </c>
    </row>
    <row r="4818" spans="1:16" x14ac:dyDescent="0.25">
      <c r="A4818" t="s">
        <v>183</v>
      </c>
      <c r="B4818" t="s">
        <v>220</v>
      </c>
      <c r="C4818" s="7" t="s">
        <v>164</v>
      </c>
      <c r="D4818" t="s">
        <v>112</v>
      </c>
      <c r="F4818" s="35">
        <v>0.29999999999999988</v>
      </c>
      <c r="G4818" s="35">
        <v>35.19910979930718</v>
      </c>
      <c r="H4818" s="35">
        <v>4.2815266719500888</v>
      </c>
      <c r="I4818" s="35">
        <v>-3.110329549715126</v>
      </c>
      <c r="J4818" s="35">
        <v>3.8493247702199617E-4</v>
      </c>
      <c r="K4818" s="35">
        <v>-3.2523131548232369</v>
      </c>
      <c r="L4818" s="35">
        <v>14.475950320395262</v>
      </c>
      <c r="M4818" s="58" t="s">
        <v>22</v>
      </c>
      <c r="N4818" s="7">
        <v>11.333333333333334</v>
      </c>
      <c r="O4818" s="7" t="s">
        <v>180</v>
      </c>
      <c r="P4818" s="7" t="s">
        <v>180</v>
      </c>
    </row>
    <row r="4819" spans="1:16" x14ac:dyDescent="0.25">
      <c r="A4819" t="s">
        <v>183</v>
      </c>
      <c r="B4819" t="s">
        <v>220</v>
      </c>
      <c r="C4819" s="7" t="s">
        <v>164</v>
      </c>
      <c r="D4819" t="s">
        <v>112</v>
      </c>
      <c r="F4819" s="35">
        <v>0.29999999999999988</v>
      </c>
      <c r="G4819" s="35">
        <v>70.318533686287637</v>
      </c>
      <c r="H4819" s="35">
        <v>4.281526671950088</v>
      </c>
      <c r="I4819" s="35">
        <v>-1.0501383625270715</v>
      </c>
      <c r="J4819" s="35">
        <v>2.2503379140678353E-4</v>
      </c>
      <c r="K4819" s="35">
        <v>-3.2523131548232325</v>
      </c>
      <c r="L4819" s="35">
        <v>14.475940726474128</v>
      </c>
      <c r="M4819" s="58" t="s">
        <v>22</v>
      </c>
      <c r="N4819" s="7">
        <v>11.333333333333334</v>
      </c>
      <c r="O4819" s="7" t="s">
        <v>180</v>
      </c>
      <c r="P4819" s="7" t="s">
        <v>180</v>
      </c>
    </row>
    <row r="4820" spans="1:16" x14ac:dyDescent="0.25">
      <c r="A4820" t="s">
        <v>183</v>
      </c>
      <c r="B4820" t="s">
        <v>220</v>
      </c>
      <c r="C4820" s="7" t="s">
        <v>164</v>
      </c>
      <c r="D4820" t="s">
        <v>112</v>
      </c>
      <c r="F4820" s="35">
        <v>5.3</v>
      </c>
      <c r="G4820" s="35">
        <v>72.700297686287655</v>
      </c>
      <c r="H4820" s="35">
        <v>4.281526671950088</v>
      </c>
      <c r="I4820" s="35">
        <v>-1.0501383625270715</v>
      </c>
      <c r="J4820" s="35">
        <v>2.2503379140678353E-4</v>
      </c>
      <c r="K4820" s="35">
        <v>1.9983786578121245</v>
      </c>
      <c r="L4820" s="35">
        <v>-6.9316926332763096</v>
      </c>
      <c r="M4820" s="58" t="s">
        <v>24</v>
      </c>
      <c r="N4820" s="7">
        <v>11.333333333333334</v>
      </c>
      <c r="O4820" s="7" t="s">
        <v>180</v>
      </c>
      <c r="P4820" s="7" t="s">
        <v>180</v>
      </c>
    </row>
    <row r="4821" spans="1:16" x14ac:dyDescent="0.25">
      <c r="A4821" t="s">
        <v>183</v>
      </c>
      <c r="B4821" t="s">
        <v>220</v>
      </c>
      <c r="C4821" s="7" t="s">
        <v>164</v>
      </c>
      <c r="D4821" t="s">
        <v>112</v>
      </c>
      <c r="F4821" s="35">
        <v>5.3</v>
      </c>
      <c r="G4821" s="35">
        <v>45.898937788174607</v>
      </c>
      <c r="H4821" s="35">
        <v>4.2815368084836587</v>
      </c>
      <c r="I4821" s="35">
        <v>0.32019757768509483</v>
      </c>
      <c r="J4821" s="35">
        <v>4.0736845564373294E-4</v>
      </c>
      <c r="K4821" s="35">
        <v>1.9983786578121254</v>
      </c>
      <c r="L4821" s="35">
        <v>-6.9312734699085343</v>
      </c>
      <c r="M4821" s="58" t="s">
        <v>24</v>
      </c>
      <c r="N4821" s="7">
        <v>11.333333333333334</v>
      </c>
      <c r="O4821" s="7" t="s">
        <v>180</v>
      </c>
      <c r="P4821" s="7" t="s">
        <v>180</v>
      </c>
    </row>
    <row r="4822" spans="1:16" x14ac:dyDescent="0.25">
      <c r="A4822" t="s">
        <v>183</v>
      </c>
      <c r="B4822" t="s">
        <v>220</v>
      </c>
      <c r="C4822" s="7" t="s">
        <v>164</v>
      </c>
      <c r="D4822" t="s">
        <v>112</v>
      </c>
      <c r="F4822" s="35">
        <v>5.4149169609489114</v>
      </c>
      <c r="G4822" s="35">
        <v>45.953678804290121</v>
      </c>
      <c r="H4822" s="35">
        <v>4.2815368084836587</v>
      </c>
      <c r="I4822" s="35">
        <v>0.32019757768509483</v>
      </c>
      <c r="J4822" s="35">
        <v>4.0736845564373294E-4</v>
      </c>
      <c r="K4822" s="35">
        <v>1.9615825252813515</v>
      </c>
      <c r="L4822" s="35">
        <v>-7.423294668130378</v>
      </c>
      <c r="M4822" s="58" t="s">
        <v>24</v>
      </c>
      <c r="N4822" s="7">
        <v>11.333333333333334</v>
      </c>
      <c r="O4822" s="7" t="s">
        <v>180</v>
      </c>
      <c r="P4822" s="7" t="s">
        <v>180</v>
      </c>
    </row>
    <row r="4823" spans="1:16" x14ac:dyDescent="0.25">
      <c r="A4823" t="s">
        <v>183</v>
      </c>
      <c r="B4823" t="s">
        <v>220</v>
      </c>
      <c r="C4823" s="7" t="s">
        <v>164</v>
      </c>
      <c r="D4823" t="s">
        <v>112</v>
      </c>
      <c r="F4823" s="35">
        <v>10.829833921897823</v>
      </c>
      <c r="G4823" s="35">
        <v>48.533089660405622</v>
      </c>
      <c r="H4823" s="35">
        <v>4.2815368084836587</v>
      </c>
      <c r="I4823" s="35">
        <v>0.32019757768509483</v>
      </c>
      <c r="J4823" s="35">
        <v>4.0736845564373294E-4</v>
      </c>
      <c r="K4823" s="35">
        <v>0.22773923101957536</v>
      </c>
      <c r="L4823" s="35">
        <v>-30.607460951315595</v>
      </c>
      <c r="M4823" s="58" t="s">
        <v>23</v>
      </c>
      <c r="N4823" s="7">
        <v>11.333333333333334</v>
      </c>
      <c r="O4823" s="7" t="s">
        <v>180</v>
      </c>
      <c r="P4823" s="7" t="s">
        <v>180</v>
      </c>
    </row>
    <row r="4824" spans="1:16" x14ac:dyDescent="0.25">
      <c r="A4824" t="s">
        <v>183</v>
      </c>
      <c r="B4824" t="s">
        <v>220</v>
      </c>
      <c r="C4824" s="7" t="s">
        <v>164</v>
      </c>
      <c r="D4824" t="s">
        <v>113</v>
      </c>
      <c r="F4824" s="35">
        <v>0</v>
      </c>
      <c r="G4824" s="35">
        <v>-36.245859766232051</v>
      </c>
      <c r="H4824" s="35">
        <v>1.3489785064902888</v>
      </c>
      <c r="I4824" s="35">
        <v>-3.4591665268814875</v>
      </c>
      <c r="J4824" s="35">
        <v>3.5532042228118301E-4</v>
      </c>
      <c r="K4824" s="35">
        <v>-3.9454384040102379</v>
      </c>
      <c r="L4824" s="35">
        <v>6.1746959632725664</v>
      </c>
      <c r="M4824" s="58" t="s">
        <v>22</v>
      </c>
      <c r="N4824" s="7">
        <v>11.333333333333334</v>
      </c>
      <c r="O4824" s="7" t="s">
        <v>180</v>
      </c>
      <c r="P4824" s="7" t="s">
        <v>180</v>
      </c>
    </row>
    <row r="4825" spans="1:16" x14ac:dyDescent="0.25">
      <c r="A4825" t="s">
        <v>183</v>
      </c>
      <c r="B4825" t="s">
        <v>220</v>
      </c>
      <c r="C4825" s="7" t="s">
        <v>164</v>
      </c>
      <c r="D4825" t="s">
        <v>113</v>
      </c>
      <c r="F4825" s="35">
        <v>0.29999999999999988</v>
      </c>
      <c r="G4825" s="35">
        <v>-36.102953926232061</v>
      </c>
      <c r="H4825" s="35">
        <v>1.3489785064902888</v>
      </c>
      <c r="I4825" s="35">
        <v>-3.4591665268814875</v>
      </c>
      <c r="J4825" s="35">
        <v>3.5532042228118301E-4</v>
      </c>
      <c r="K4825" s="35">
        <v>-2.9076884459457921</v>
      </c>
      <c r="L4825" s="35">
        <v>5.7700024113254811</v>
      </c>
      <c r="M4825" s="58" t="s">
        <v>22</v>
      </c>
      <c r="N4825" s="7">
        <v>11.333333333333334</v>
      </c>
      <c r="O4825" s="7" t="s">
        <v>180</v>
      </c>
      <c r="P4825" s="7" t="s">
        <v>180</v>
      </c>
    </row>
    <row r="4826" spans="1:16" x14ac:dyDescent="0.25">
      <c r="A4826" t="s">
        <v>183</v>
      </c>
      <c r="B4826" t="s">
        <v>220</v>
      </c>
      <c r="C4826" s="7" t="s">
        <v>164</v>
      </c>
      <c r="D4826" t="s">
        <v>113</v>
      </c>
      <c r="F4826" s="35">
        <v>0.29999999999999988</v>
      </c>
      <c r="G4826" s="35">
        <v>6.6936323591774691</v>
      </c>
      <c r="H4826" s="35">
        <v>1.3489785064902793</v>
      </c>
      <c r="I4826" s="35">
        <v>-0.93834559578766918</v>
      </c>
      <c r="J4826" s="35">
        <v>2.3205307950375964E-4</v>
      </c>
      <c r="K4826" s="35">
        <v>-2.9076884459457943</v>
      </c>
      <c r="L4826" s="35">
        <v>5.7699950152849127</v>
      </c>
      <c r="M4826" s="58" t="s">
        <v>22</v>
      </c>
      <c r="N4826" s="7">
        <v>11.333333333333334</v>
      </c>
      <c r="O4826" s="7" t="s">
        <v>180</v>
      </c>
      <c r="P4826" s="7" t="s">
        <v>180</v>
      </c>
    </row>
    <row r="4827" spans="1:16" x14ac:dyDescent="0.25">
      <c r="A4827" t="s">
        <v>183</v>
      </c>
      <c r="B4827" t="s">
        <v>220</v>
      </c>
      <c r="C4827" s="7" t="s">
        <v>164</v>
      </c>
      <c r="D4827" t="s">
        <v>113</v>
      </c>
      <c r="F4827" s="35">
        <v>5.3</v>
      </c>
      <c r="G4827" s="35">
        <v>9.0753963591774784</v>
      </c>
      <c r="H4827" s="35">
        <v>1.3489785064902793</v>
      </c>
      <c r="I4827" s="35">
        <v>-0.93834559578766918</v>
      </c>
      <c r="J4827" s="35">
        <v>2.3205307950375964E-4</v>
      </c>
      <c r="K4827" s="35">
        <v>1.7840395329925511</v>
      </c>
      <c r="L4827" s="35">
        <v>-0.97489751716648199</v>
      </c>
      <c r="M4827" s="58" t="s">
        <v>24</v>
      </c>
      <c r="N4827" s="7">
        <v>11.333333333333334</v>
      </c>
      <c r="O4827" s="7" t="s">
        <v>180</v>
      </c>
      <c r="P4827" s="7" t="s">
        <v>180</v>
      </c>
    </row>
    <row r="4828" spans="1:16" x14ac:dyDescent="0.25">
      <c r="A4828" t="s">
        <v>183</v>
      </c>
      <c r="B4828" t="s">
        <v>220</v>
      </c>
      <c r="C4828" s="7" t="s">
        <v>164</v>
      </c>
      <c r="D4828" t="s">
        <v>113</v>
      </c>
      <c r="F4828" s="35">
        <v>5.3</v>
      </c>
      <c r="G4828" s="35">
        <v>-25.212836771978935</v>
      </c>
      <c r="H4828" s="35">
        <v>1.3489953694935386</v>
      </c>
      <c r="I4828" s="35">
        <v>0.28465810698351013</v>
      </c>
      <c r="J4828" s="35">
        <v>2.7570834222784795E-4</v>
      </c>
      <c r="K4828" s="35">
        <v>1.7840395329925491</v>
      </c>
      <c r="L4828" s="35">
        <v>-0.97469414860299763</v>
      </c>
      <c r="M4828" s="58" t="s">
        <v>24</v>
      </c>
      <c r="N4828" s="7">
        <v>11.333333333333334</v>
      </c>
      <c r="O4828" s="7" t="s">
        <v>180</v>
      </c>
      <c r="P4828" s="7" t="s">
        <v>180</v>
      </c>
    </row>
    <row r="4829" spans="1:16" x14ac:dyDescent="0.25">
      <c r="A4829" t="s">
        <v>183</v>
      </c>
      <c r="B4829" t="s">
        <v>220</v>
      </c>
      <c r="C4829" s="7" t="s">
        <v>164</v>
      </c>
      <c r="D4829" t="s">
        <v>113</v>
      </c>
      <c r="F4829" s="35">
        <v>5.4149169609489114</v>
      </c>
      <c r="G4829" s="35">
        <v>-25.158095755863421</v>
      </c>
      <c r="H4829" s="35">
        <v>1.3489953694935386</v>
      </c>
      <c r="I4829" s="35">
        <v>0.28465810698351013</v>
      </c>
      <c r="J4829" s="35">
        <v>2.7570834222784795E-4</v>
      </c>
      <c r="K4829" s="35">
        <v>1.7513274884285344</v>
      </c>
      <c r="L4829" s="35">
        <v>-1.1297165967993492</v>
      </c>
      <c r="M4829" s="58" t="s">
        <v>24</v>
      </c>
      <c r="N4829" s="7">
        <v>11.333333333333334</v>
      </c>
      <c r="O4829" s="7" t="s">
        <v>180</v>
      </c>
      <c r="P4829" s="7" t="s">
        <v>180</v>
      </c>
    </row>
    <row r="4830" spans="1:16" x14ac:dyDescent="0.25">
      <c r="A4830" t="s">
        <v>183</v>
      </c>
      <c r="B4830" t="s">
        <v>220</v>
      </c>
      <c r="C4830" s="7" t="s">
        <v>164</v>
      </c>
      <c r="D4830" t="s">
        <v>113</v>
      </c>
      <c r="F4830" s="35">
        <v>10.829833921897823</v>
      </c>
      <c r="G4830" s="35">
        <v>-22.57868489974792</v>
      </c>
      <c r="H4830" s="35">
        <v>1.3489953694935386</v>
      </c>
      <c r="I4830" s="35">
        <v>0.28465810698351013</v>
      </c>
      <c r="J4830" s="35">
        <v>2.7570834222784795E-4</v>
      </c>
      <c r="K4830" s="35">
        <v>0.20992747685191576</v>
      </c>
      <c r="L4830" s="35">
        <v>-8.434414503311455</v>
      </c>
      <c r="M4830" s="58" t="s">
        <v>23</v>
      </c>
      <c r="N4830" s="7">
        <v>11.333333333333334</v>
      </c>
      <c r="O4830" s="7" t="s">
        <v>180</v>
      </c>
      <c r="P4830" s="7" t="s">
        <v>180</v>
      </c>
    </row>
    <row r="4831" spans="1:16" x14ac:dyDescent="0.25">
      <c r="A4831" t="s">
        <v>183</v>
      </c>
      <c r="B4831" t="s">
        <v>220</v>
      </c>
      <c r="C4831" s="7" t="s">
        <v>164</v>
      </c>
      <c r="D4831" t="s">
        <v>114</v>
      </c>
      <c r="F4831" s="35">
        <v>0</v>
      </c>
      <c r="G4831" s="35">
        <v>53.427722760416444</v>
      </c>
      <c r="H4831" s="35">
        <v>3.4300664519590423</v>
      </c>
      <c r="I4831" s="35">
        <v>3.4413634726627724</v>
      </c>
      <c r="J4831" s="35">
        <v>-4.527286927988387E-4</v>
      </c>
      <c r="K4831" s="35">
        <v>4.2367939039105051</v>
      </c>
      <c r="L4831" s="35">
        <v>12.242910980991143</v>
      </c>
      <c r="M4831" s="58" t="s">
        <v>22</v>
      </c>
      <c r="N4831" s="7">
        <v>11.333333333333334</v>
      </c>
      <c r="O4831" s="7" t="s">
        <v>180</v>
      </c>
      <c r="P4831" s="7" t="s">
        <v>180</v>
      </c>
    </row>
    <row r="4832" spans="1:16" x14ac:dyDescent="0.25">
      <c r="A4832" t="s">
        <v>183</v>
      </c>
      <c r="B4832" t="s">
        <v>220</v>
      </c>
      <c r="C4832" s="7" t="s">
        <v>164</v>
      </c>
      <c r="D4832" t="s">
        <v>114</v>
      </c>
      <c r="F4832" s="35">
        <v>0.29999999999999988</v>
      </c>
      <c r="G4832" s="35">
        <v>53.570628600416434</v>
      </c>
      <c r="H4832" s="35">
        <v>3.4300664519590423</v>
      </c>
      <c r="I4832" s="35">
        <v>3.4413634726627724</v>
      </c>
      <c r="J4832" s="35">
        <v>-4.527286927988387E-4</v>
      </c>
      <c r="K4832" s="35">
        <v>3.2043848621116746</v>
      </c>
      <c r="L4832" s="35">
        <v>11.213891045403431</v>
      </c>
      <c r="M4832" s="58" t="s">
        <v>22</v>
      </c>
      <c r="N4832" s="7">
        <v>11.333333333333334</v>
      </c>
      <c r="O4832" s="7" t="s">
        <v>180</v>
      </c>
      <c r="P4832" s="7" t="s">
        <v>180</v>
      </c>
    </row>
    <row r="4833" spans="1:16" x14ac:dyDescent="0.25">
      <c r="A4833" t="s">
        <v>183</v>
      </c>
      <c r="B4833" t="s">
        <v>220</v>
      </c>
      <c r="C4833" s="7" t="s">
        <v>164</v>
      </c>
      <c r="D4833" t="s">
        <v>114</v>
      </c>
      <c r="F4833" s="35">
        <v>0.29999999999999988</v>
      </c>
      <c r="G4833" s="35">
        <v>14.35964370367379</v>
      </c>
      <c r="H4833" s="35">
        <v>3.4300664519590502</v>
      </c>
      <c r="I4833" s="35">
        <v>1.0417301328274553</v>
      </c>
      <c r="J4833" s="35">
        <v>-3.6945633942189483E-4</v>
      </c>
      <c r="K4833" s="35">
        <v>3.2043848621116742</v>
      </c>
      <c r="L4833" s="35">
        <v>11.213896041744622</v>
      </c>
      <c r="M4833" s="58" t="s">
        <v>22</v>
      </c>
      <c r="N4833" s="7">
        <v>11.333333333333334</v>
      </c>
      <c r="O4833" s="7" t="s">
        <v>180</v>
      </c>
      <c r="P4833" s="7" t="s">
        <v>180</v>
      </c>
    </row>
    <row r="4834" spans="1:16" x14ac:dyDescent="0.25">
      <c r="A4834" t="s">
        <v>183</v>
      </c>
      <c r="B4834" t="s">
        <v>220</v>
      </c>
      <c r="C4834" s="7" t="s">
        <v>164</v>
      </c>
      <c r="D4834" t="s">
        <v>114</v>
      </c>
      <c r="F4834" s="35">
        <v>5.3</v>
      </c>
      <c r="G4834" s="35">
        <v>16.741407703673797</v>
      </c>
      <c r="H4834" s="35">
        <v>3.4300664519590502</v>
      </c>
      <c r="I4834" s="35">
        <v>1.0417301328274553</v>
      </c>
      <c r="J4834" s="35">
        <v>-3.6945633942189483E-4</v>
      </c>
      <c r="K4834" s="35">
        <v>-2.0042658020256017</v>
      </c>
      <c r="L4834" s="35">
        <v>-5.9364362180506296</v>
      </c>
      <c r="M4834" s="58" t="s">
        <v>24</v>
      </c>
      <c r="N4834" s="7">
        <v>11.333333333333334</v>
      </c>
      <c r="O4834" s="7" t="s">
        <v>180</v>
      </c>
      <c r="P4834" s="7" t="s">
        <v>180</v>
      </c>
    </row>
    <row r="4835" spans="1:16" x14ac:dyDescent="0.25">
      <c r="A4835" t="s">
        <v>183</v>
      </c>
      <c r="B4835" t="s">
        <v>220</v>
      </c>
      <c r="C4835" s="7" t="s">
        <v>164</v>
      </c>
      <c r="D4835" t="s">
        <v>114</v>
      </c>
      <c r="F4835" s="35">
        <v>5.3</v>
      </c>
      <c r="G4835" s="35">
        <v>53.237606821024734</v>
      </c>
      <c r="H4835" s="35">
        <v>3.4300285514032387</v>
      </c>
      <c r="I4835" s="35">
        <v>-0.34368874443998571</v>
      </c>
      <c r="J4835" s="35">
        <v>-2.1924937842440932E-4</v>
      </c>
      <c r="K4835" s="35">
        <v>-2.0042658020256003</v>
      </c>
      <c r="L4835" s="35">
        <v>-5.9363988657729605</v>
      </c>
      <c r="M4835" s="58" t="s">
        <v>24</v>
      </c>
      <c r="N4835" s="7">
        <v>11.333333333333334</v>
      </c>
      <c r="O4835" s="7" t="s">
        <v>180</v>
      </c>
      <c r="P4835" s="7" t="s">
        <v>180</v>
      </c>
    </row>
    <row r="4836" spans="1:16" x14ac:dyDescent="0.25">
      <c r="A4836" t="s">
        <v>183</v>
      </c>
      <c r="B4836" t="s">
        <v>220</v>
      </c>
      <c r="C4836" s="7" t="s">
        <v>164</v>
      </c>
      <c r="D4836" t="s">
        <v>114</v>
      </c>
      <c r="F4836" s="35">
        <v>5.4149169609489114</v>
      </c>
      <c r="G4836" s="35">
        <v>53.292347837140248</v>
      </c>
      <c r="H4836" s="35">
        <v>3.4300285514032387</v>
      </c>
      <c r="I4836" s="35">
        <v>-0.34368874443998571</v>
      </c>
      <c r="J4836" s="35">
        <v>-2.1924937842440932E-4</v>
      </c>
      <c r="K4836" s="35">
        <v>-1.9647701360022101</v>
      </c>
      <c r="L4836" s="35">
        <v>-6.3305673228682178</v>
      </c>
      <c r="M4836" s="58" t="s">
        <v>24</v>
      </c>
      <c r="N4836" s="7">
        <v>11.333333333333334</v>
      </c>
      <c r="O4836" s="7" t="s">
        <v>180</v>
      </c>
      <c r="P4836" s="7" t="s">
        <v>180</v>
      </c>
    </row>
    <row r="4837" spans="1:16" x14ac:dyDescent="0.25">
      <c r="A4837" t="s">
        <v>183</v>
      </c>
      <c r="B4837" t="s">
        <v>220</v>
      </c>
      <c r="C4837" s="7" t="s">
        <v>164</v>
      </c>
      <c r="D4837" t="s">
        <v>114</v>
      </c>
      <c r="F4837" s="35">
        <v>10.829833921897823</v>
      </c>
      <c r="G4837" s="35">
        <v>55.87175869325575</v>
      </c>
      <c r="H4837" s="35">
        <v>3.4300285514032387</v>
      </c>
      <c r="I4837" s="35">
        <v>-0.34368874443998571</v>
      </c>
      <c r="J4837" s="35">
        <v>-2.1924937842440932E-4</v>
      </c>
      <c r="K4837" s="35">
        <v>-0.10372412444689637</v>
      </c>
      <c r="L4837" s="35">
        <v>-24.903887102400631</v>
      </c>
      <c r="M4837" s="58" t="s">
        <v>23</v>
      </c>
      <c r="N4837" s="7">
        <v>11.333333333333334</v>
      </c>
      <c r="O4837" s="7" t="s">
        <v>180</v>
      </c>
      <c r="P4837" s="7" t="s">
        <v>180</v>
      </c>
    </row>
    <row r="4838" spans="1:16" x14ac:dyDescent="0.25">
      <c r="A4838" t="s">
        <v>183</v>
      </c>
      <c r="B4838" t="s">
        <v>220</v>
      </c>
      <c r="C4838" s="7" t="s">
        <v>164</v>
      </c>
      <c r="D4838" t="s">
        <v>115</v>
      </c>
      <c r="F4838" s="35">
        <v>0</v>
      </c>
      <c r="G4838" s="35">
        <v>-17.88317486954211</v>
      </c>
      <c r="H4838" s="35">
        <v>0.49882211604784982</v>
      </c>
      <c r="I4838" s="35">
        <v>3.0901253867753109</v>
      </c>
      <c r="J4838" s="35">
        <v>-4.8128962840699667E-4</v>
      </c>
      <c r="K4838" s="35">
        <v>4.473699222763396</v>
      </c>
      <c r="L4838" s="35">
        <v>2.6626257939298155</v>
      </c>
      <c r="M4838" s="58" t="s">
        <v>22</v>
      </c>
      <c r="N4838" s="7">
        <v>11.333333333333334</v>
      </c>
      <c r="O4838" s="7" t="s">
        <v>180</v>
      </c>
      <c r="P4838" s="7" t="s">
        <v>180</v>
      </c>
    </row>
    <row r="4839" spans="1:16" x14ac:dyDescent="0.25">
      <c r="A4839" t="s">
        <v>183</v>
      </c>
      <c r="B4839" t="s">
        <v>220</v>
      </c>
      <c r="C4839" s="7" t="s">
        <v>164</v>
      </c>
      <c r="D4839" t="s">
        <v>115</v>
      </c>
      <c r="F4839" s="35">
        <v>0.29999999999999988</v>
      </c>
      <c r="G4839" s="35">
        <v>-17.740269029542116</v>
      </c>
      <c r="H4839" s="35">
        <v>0.49882211604784982</v>
      </c>
      <c r="I4839" s="35">
        <v>3.0901253867753109</v>
      </c>
      <c r="J4839" s="35">
        <v>-4.8128962840699667E-4</v>
      </c>
      <c r="K4839" s="35">
        <v>3.5466616067308028</v>
      </c>
      <c r="L4839" s="35">
        <v>2.51297915911546</v>
      </c>
      <c r="M4839" s="58" t="s">
        <v>22</v>
      </c>
      <c r="N4839" s="7">
        <v>11.333333333333334</v>
      </c>
      <c r="O4839" s="7" t="s">
        <v>180</v>
      </c>
      <c r="P4839" s="7" t="s">
        <v>180</v>
      </c>
    </row>
    <row r="4840" spans="1:16" x14ac:dyDescent="0.25">
      <c r="A4840" t="s">
        <v>183</v>
      </c>
      <c r="B4840" t="s">
        <v>220</v>
      </c>
      <c r="C4840" s="7" t="s">
        <v>164</v>
      </c>
      <c r="D4840" t="s">
        <v>115</v>
      </c>
      <c r="F4840" s="35">
        <v>0.29999999999999988</v>
      </c>
      <c r="G4840" s="35">
        <v>-49.246720783323411</v>
      </c>
      <c r="H4840" s="35">
        <v>0.49882211604784166</v>
      </c>
      <c r="I4840" s="35">
        <v>1.152764035517676</v>
      </c>
      <c r="J4840" s="35">
        <v>-3.6177244718496755E-4</v>
      </c>
      <c r="K4840" s="35">
        <v>3.5466616067308046</v>
      </c>
      <c r="L4840" s="35">
        <v>2.5129863301463353</v>
      </c>
      <c r="M4840" s="58" t="s">
        <v>22</v>
      </c>
      <c r="N4840" s="7">
        <v>11.333333333333334</v>
      </c>
      <c r="O4840" s="7" t="s">
        <v>180</v>
      </c>
      <c r="P4840" s="7" t="s">
        <v>180</v>
      </c>
    </row>
    <row r="4841" spans="1:16" x14ac:dyDescent="0.25">
      <c r="A4841" t="s">
        <v>183</v>
      </c>
      <c r="B4841" t="s">
        <v>220</v>
      </c>
      <c r="C4841" s="7" t="s">
        <v>164</v>
      </c>
      <c r="D4841" t="s">
        <v>115</v>
      </c>
      <c r="F4841" s="35">
        <v>5.3</v>
      </c>
      <c r="G4841" s="35">
        <v>-46.8649567833234</v>
      </c>
      <c r="H4841" s="35">
        <v>0.49882211604784166</v>
      </c>
      <c r="I4841" s="35">
        <v>1.152764035517676</v>
      </c>
      <c r="J4841" s="35">
        <v>-3.6177244718496755E-4</v>
      </c>
      <c r="K4841" s="35">
        <v>-2.2171585708575754</v>
      </c>
      <c r="L4841" s="35">
        <v>1.8875749907126645E-2</v>
      </c>
      <c r="M4841" s="58" t="s">
        <v>24</v>
      </c>
      <c r="N4841" s="7">
        <v>11.333333333333334</v>
      </c>
      <c r="O4841" s="7" t="s">
        <v>180</v>
      </c>
      <c r="P4841" s="7" t="s">
        <v>180</v>
      </c>
    </row>
    <row r="4842" spans="1:16" x14ac:dyDescent="0.25">
      <c r="A4842" t="s">
        <v>183</v>
      </c>
      <c r="B4842" t="s">
        <v>220</v>
      </c>
      <c r="C4842" s="7" t="s">
        <v>164</v>
      </c>
      <c r="D4842" t="s">
        <v>115</v>
      </c>
      <c r="F4842" s="35">
        <v>5.3</v>
      </c>
      <c r="G4842" s="35">
        <v>-17.878951877006415</v>
      </c>
      <c r="H4842" s="35">
        <v>0.49879102288813093</v>
      </c>
      <c r="I4842" s="35">
        <v>-0.37898806388682604</v>
      </c>
      <c r="J4842" s="35">
        <v>-3.5020729302390354E-4</v>
      </c>
      <c r="K4842" s="35">
        <v>-2.217158570857575</v>
      </c>
      <c r="L4842" s="35">
        <v>1.8697887233368116E-2</v>
      </c>
      <c r="M4842" s="58" t="s">
        <v>24</v>
      </c>
      <c r="N4842" s="7">
        <v>11.333333333333334</v>
      </c>
      <c r="O4842" s="7" t="s">
        <v>180</v>
      </c>
      <c r="P4842" s="7" t="s">
        <v>180</v>
      </c>
    </row>
    <row r="4843" spans="1:16" x14ac:dyDescent="0.25">
      <c r="A4843" t="s">
        <v>183</v>
      </c>
      <c r="B4843" t="s">
        <v>220</v>
      </c>
      <c r="C4843" s="7" t="s">
        <v>164</v>
      </c>
      <c r="D4843" t="s">
        <v>115</v>
      </c>
      <c r="F4843" s="35">
        <v>5.4149169609489114</v>
      </c>
      <c r="G4843" s="35">
        <v>-17.824210860890901</v>
      </c>
      <c r="H4843" s="35">
        <v>0.49879102288813093</v>
      </c>
      <c r="I4843" s="35">
        <v>-0.37898806388682604</v>
      </c>
      <c r="J4843" s="35">
        <v>-3.5020729302390354E-4</v>
      </c>
      <c r="K4843" s="35">
        <v>-2.1736064143197895</v>
      </c>
      <c r="L4843" s="35">
        <v>-3.8621661265534339E-2</v>
      </c>
      <c r="M4843" s="58" t="s">
        <v>24</v>
      </c>
      <c r="N4843" s="7">
        <v>11.333333333333334</v>
      </c>
      <c r="O4843" s="7" t="s">
        <v>180</v>
      </c>
      <c r="P4843" s="7" t="s">
        <v>180</v>
      </c>
    </row>
    <row r="4844" spans="1:16" x14ac:dyDescent="0.25">
      <c r="A4844" t="s">
        <v>183</v>
      </c>
      <c r="B4844" t="s">
        <v>220</v>
      </c>
      <c r="C4844" s="7" t="s">
        <v>164</v>
      </c>
      <c r="D4844" t="s">
        <v>115</v>
      </c>
      <c r="F4844" s="35">
        <v>10.829833921897823</v>
      </c>
      <c r="G4844" s="35">
        <v>-15.244800004775399</v>
      </c>
      <c r="H4844" s="35">
        <v>0.49879102288813093</v>
      </c>
      <c r="I4844" s="35">
        <v>-0.37898806388682604</v>
      </c>
      <c r="J4844" s="35">
        <v>-3.5020729302390354E-4</v>
      </c>
      <c r="K4844" s="35">
        <v>-0.12141751918182574</v>
      </c>
      <c r="L4844" s="35">
        <v>-2.7395336310715313</v>
      </c>
      <c r="M4844" s="58" t="s">
        <v>23</v>
      </c>
      <c r="N4844" s="7">
        <v>11.333333333333334</v>
      </c>
      <c r="O4844" s="7" t="s">
        <v>180</v>
      </c>
      <c r="P4844" s="7" t="s">
        <v>180</v>
      </c>
    </row>
    <row r="4845" spans="1:16" x14ac:dyDescent="0.25">
      <c r="A4845" t="s">
        <v>183</v>
      </c>
      <c r="B4845" t="s">
        <v>220</v>
      </c>
      <c r="C4845" s="7" t="s">
        <v>164</v>
      </c>
      <c r="D4845" t="s">
        <v>116</v>
      </c>
      <c r="F4845" s="35">
        <v>0</v>
      </c>
      <c r="G4845" s="35">
        <v>42.892677324005916</v>
      </c>
      <c r="H4845" s="35">
        <v>7.5870159982722134</v>
      </c>
      <c r="I4845" s="35">
        <v>-0.58880417446439981</v>
      </c>
      <c r="J4845" s="35">
        <v>2.7893855597378709E-4</v>
      </c>
      <c r="K4845" s="35">
        <v>-0.91750851418274182</v>
      </c>
      <c r="L4845" s="35">
        <v>40.834053650918449</v>
      </c>
      <c r="M4845" s="58" t="s">
        <v>22</v>
      </c>
      <c r="N4845" s="7">
        <v>11.333333333333334</v>
      </c>
      <c r="O4845" s="7" t="s">
        <v>180</v>
      </c>
      <c r="P4845" s="7" t="s">
        <v>180</v>
      </c>
    </row>
    <row r="4846" spans="1:16" x14ac:dyDescent="0.25">
      <c r="A4846" t="s">
        <v>183</v>
      </c>
      <c r="B4846" t="s">
        <v>220</v>
      </c>
      <c r="C4846" s="7" t="s">
        <v>164</v>
      </c>
      <c r="D4846" t="s">
        <v>116</v>
      </c>
      <c r="F4846" s="35">
        <v>0.29999999999999988</v>
      </c>
      <c r="G4846" s="35">
        <v>43.035583164005914</v>
      </c>
      <c r="H4846" s="35">
        <v>7.5870159982722134</v>
      </c>
      <c r="I4846" s="35">
        <v>-0.58880417446439981</v>
      </c>
      <c r="J4846" s="35">
        <v>2.7893855597378709E-4</v>
      </c>
      <c r="K4846" s="35">
        <v>-0.74086726184342189</v>
      </c>
      <c r="L4846" s="35">
        <v>38.557948851436784</v>
      </c>
      <c r="M4846" s="58" t="s">
        <v>22</v>
      </c>
      <c r="N4846" s="7">
        <v>11.333333333333334</v>
      </c>
      <c r="O4846" s="7" t="s">
        <v>180</v>
      </c>
      <c r="P4846" s="7" t="s">
        <v>180</v>
      </c>
    </row>
    <row r="4847" spans="1:16" x14ac:dyDescent="0.25">
      <c r="A4847" t="s">
        <v>183</v>
      </c>
      <c r="B4847" t="s">
        <v>220</v>
      </c>
      <c r="C4847" s="7" t="s">
        <v>164</v>
      </c>
      <c r="D4847" t="s">
        <v>116</v>
      </c>
      <c r="F4847" s="35">
        <v>0.29999999999999988</v>
      </c>
      <c r="G4847" s="35">
        <v>49.632362518822383</v>
      </c>
      <c r="H4847" s="35">
        <v>7.5870159982722107</v>
      </c>
      <c r="I4847" s="35">
        <v>-0.23997165920616981</v>
      </c>
      <c r="J4847" s="35">
        <v>4.4416177269188115E-5</v>
      </c>
      <c r="K4847" s="35">
        <v>-0.74086726184342289</v>
      </c>
      <c r="L4847" s="35">
        <v>38.557934780094079</v>
      </c>
      <c r="M4847" s="58" t="s">
        <v>22</v>
      </c>
      <c r="N4847" s="7">
        <v>11.333333333333334</v>
      </c>
      <c r="O4847" s="7" t="s">
        <v>180</v>
      </c>
      <c r="P4847" s="7" t="s">
        <v>180</v>
      </c>
    </row>
    <row r="4848" spans="1:16" x14ac:dyDescent="0.25">
      <c r="A4848" t="s">
        <v>183</v>
      </c>
      <c r="B4848" t="s">
        <v>220</v>
      </c>
      <c r="C4848" s="7" t="s">
        <v>164</v>
      </c>
      <c r="D4848" t="s">
        <v>116</v>
      </c>
      <c r="F4848" s="35">
        <v>5.3</v>
      </c>
      <c r="G4848" s="35">
        <v>52.014126518822394</v>
      </c>
      <c r="H4848" s="35">
        <v>7.5870159982722107</v>
      </c>
      <c r="I4848" s="35">
        <v>-0.23997165920616981</v>
      </c>
      <c r="J4848" s="35">
        <v>4.4416177269188115E-5</v>
      </c>
      <c r="K4848" s="35">
        <v>0.45899103418742621</v>
      </c>
      <c r="L4848" s="35">
        <v>0.62285478873303046</v>
      </c>
      <c r="M4848" s="58" t="s">
        <v>24</v>
      </c>
      <c r="N4848" s="7">
        <v>11.333333333333334</v>
      </c>
      <c r="O4848" s="7" t="s">
        <v>180</v>
      </c>
      <c r="P4848" s="7" t="s">
        <v>180</v>
      </c>
    </row>
    <row r="4849" spans="1:16" x14ac:dyDescent="0.25">
      <c r="A4849" t="s">
        <v>183</v>
      </c>
      <c r="B4849" t="s">
        <v>220</v>
      </c>
      <c r="C4849" s="7" t="s">
        <v>164</v>
      </c>
      <c r="D4849" t="s">
        <v>116</v>
      </c>
      <c r="F4849" s="35">
        <v>5.3</v>
      </c>
      <c r="G4849" s="35">
        <v>49.521686282580028</v>
      </c>
      <c r="H4849" s="35">
        <v>7.5869960905011959</v>
      </c>
      <c r="I4849" s="35">
        <v>6.4843841999123145E-2</v>
      </c>
      <c r="J4849" s="35">
        <v>2.294863863222995E-4</v>
      </c>
      <c r="K4849" s="35">
        <v>0.45899103418742643</v>
      </c>
      <c r="L4849" s="35">
        <v>0.62317295508709158</v>
      </c>
      <c r="M4849" s="58" t="s">
        <v>24</v>
      </c>
      <c r="N4849" s="7">
        <v>11.333333333333334</v>
      </c>
      <c r="O4849" s="7" t="s">
        <v>180</v>
      </c>
      <c r="P4849" s="7" t="s">
        <v>180</v>
      </c>
    </row>
    <row r="4850" spans="1:16" x14ac:dyDescent="0.25">
      <c r="A4850" t="s">
        <v>183</v>
      </c>
      <c r="B4850" t="s">
        <v>220</v>
      </c>
      <c r="C4850" s="7" t="s">
        <v>164</v>
      </c>
      <c r="D4850" t="s">
        <v>116</v>
      </c>
      <c r="F4850" s="35">
        <v>5.4149169609489114</v>
      </c>
      <c r="G4850" s="35">
        <v>49.576427298695535</v>
      </c>
      <c r="H4850" s="35">
        <v>7.5869960905011959</v>
      </c>
      <c r="I4850" s="35">
        <v>6.4843841999123145E-2</v>
      </c>
      <c r="J4850" s="35">
        <v>2.294863863222995E-4</v>
      </c>
      <c r="K4850" s="35">
        <v>0.45153937692863577</v>
      </c>
      <c r="L4850" s="35">
        <v>-0.24870157836457707</v>
      </c>
      <c r="M4850" s="58" t="s">
        <v>24</v>
      </c>
      <c r="N4850" s="7">
        <v>11.333333333333334</v>
      </c>
      <c r="O4850" s="7" t="s">
        <v>180</v>
      </c>
      <c r="P4850" s="7" t="s">
        <v>180</v>
      </c>
    </row>
    <row r="4851" spans="1:16" x14ac:dyDescent="0.25">
      <c r="A4851" t="s">
        <v>183</v>
      </c>
      <c r="B4851" t="s">
        <v>220</v>
      </c>
      <c r="C4851" s="7" t="s">
        <v>164</v>
      </c>
      <c r="D4851" t="s">
        <v>116</v>
      </c>
      <c r="F4851" s="35">
        <v>10.829833921897823</v>
      </c>
      <c r="G4851" s="35">
        <v>52.155838154811036</v>
      </c>
      <c r="H4851" s="35">
        <v>7.5869960905011959</v>
      </c>
      <c r="I4851" s="35">
        <v>6.4843841999123145E-2</v>
      </c>
      <c r="J4851" s="35">
        <v>2.294863863222995E-4</v>
      </c>
      <c r="K4851" s="35">
        <v>0.10041535707449259</v>
      </c>
      <c r="L4851" s="35">
        <v>-41.331655391472566</v>
      </c>
      <c r="M4851" s="58" t="s">
        <v>23</v>
      </c>
      <c r="N4851" s="7">
        <v>11.333333333333334</v>
      </c>
      <c r="O4851" s="7" t="s">
        <v>180</v>
      </c>
      <c r="P4851" s="7" t="s">
        <v>180</v>
      </c>
    </row>
    <row r="4852" spans="1:16" x14ac:dyDescent="0.25">
      <c r="A4852" t="s">
        <v>183</v>
      </c>
      <c r="B4852" t="s">
        <v>220</v>
      </c>
      <c r="C4852" s="7" t="s">
        <v>164</v>
      </c>
      <c r="D4852" t="s">
        <v>117</v>
      </c>
      <c r="F4852" s="35">
        <v>0</v>
      </c>
      <c r="G4852" s="35">
        <v>-62.023691888771282</v>
      </c>
      <c r="H4852" s="35">
        <v>18.205282197614462</v>
      </c>
      <c r="I4852" s="35">
        <v>-1.1788839439018319</v>
      </c>
      <c r="J4852" s="35">
        <v>3.369015092169173E-4</v>
      </c>
      <c r="K4852" s="35">
        <v>-0.65874218092668724</v>
      </c>
      <c r="L4852" s="35">
        <v>102.22563690780785</v>
      </c>
      <c r="M4852" s="58" t="s">
        <v>22</v>
      </c>
      <c r="N4852" s="7">
        <v>11.333333333333334</v>
      </c>
      <c r="O4852" s="7" t="s">
        <v>180</v>
      </c>
      <c r="P4852" s="7" t="s">
        <v>180</v>
      </c>
    </row>
    <row r="4853" spans="1:16" x14ac:dyDescent="0.25">
      <c r="A4853" t="s">
        <v>183</v>
      </c>
      <c r="B4853" t="s">
        <v>220</v>
      </c>
      <c r="C4853" s="7" t="s">
        <v>164</v>
      </c>
      <c r="D4853" t="s">
        <v>117</v>
      </c>
      <c r="F4853" s="35">
        <v>0.29999999999999988</v>
      </c>
      <c r="G4853" s="35">
        <v>-61.880786048771292</v>
      </c>
      <c r="H4853" s="35">
        <v>18.205282197614462</v>
      </c>
      <c r="I4853" s="35">
        <v>-1.1788839439018319</v>
      </c>
      <c r="J4853" s="35">
        <v>3.369015092169173E-4</v>
      </c>
      <c r="K4853" s="35">
        <v>-0.30507699775613784</v>
      </c>
      <c r="L4853" s="35">
        <v>96.764052248523527</v>
      </c>
      <c r="M4853" s="58" t="s">
        <v>22</v>
      </c>
      <c r="N4853" s="7">
        <v>11.333333333333334</v>
      </c>
      <c r="O4853" s="7" t="s">
        <v>180</v>
      </c>
      <c r="P4853" s="7" t="s">
        <v>180</v>
      </c>
    </row>
    <row r="4854" spans="1:16" x14ac:dyDescent="0.25">
      <c r="A4854" t="s">
        <v>183</v>
      </c>
      <c r="B4854" t="s">
        <v>220</v>
      </c>
      <c r="C4854" s="7" t="s">
        <v>164</v>
      </c>
      <c r="D4854" t="s">
        <v>117</v>
      </c>
      <c r="F4854" s="35">
        <v>0.29999999999999988</v>
      </c>
      <c r="G4854" s="35">
        <v>-43.104283617039364</v>
      </c>
      <c r="H4854" s="35">
        <v>18.205282197614501</v>
      </c>
      <c r="I4854" s="35">
        <v>-9.9268044028674049E-2</v>
      </c>
      <c r="J4854" s="35">
        <v>-1.7691723722911131E-4</v>
      </c>
      <c r="K4854" s="35">
        <v>-0.30507699775613734</v>
      </c>
      <c r="L4854" s="35">
        <v>96.764021419398631</v>
      </c>
      <c r="M4854" s="58" t="s">
        <v>22</v>
      </c>
      <c r="N4854" s="7">
        <v>11.333333333333334</v>
      </c>
      <c r="O4854" s="7" t="s">
        <v>180</v>
      </c>
      <c r="P4854" s="7" t="s">
        <v>180</v>
      </c>
    </row>
    <row r="4855" spans="1:16" x14ac:dyDescent="0.25">
      <c r="A4855" t="s">
        <v>183</v>
      </c>
      <c r="B4855" t="s">
        <v>220</v>
      </c>
      <c r="C4855" s="7" t="s">
        <v>164</v>
      </c>
      <c r="D4855" t="s">
        <v>117</v>
      </c>
      <c r="F4855" s="35">
        <v>5.3</v>
      </c>
      <c r="G4855" s="35">
        <v>-40.722519617039353</v>
      </c>
      <c r="H4855" s="35">
        <v>18.205282197614501</v>
      </c>
      <c r="I4855" s="35">
        <v>-9.9268044028674049E-2</v>
      </c>
      <c r="J4855" s="35">
        <v>-1.7691723722911131E-4</v>
      </c>
      <c r="K4855" s="35">
        <v>0.19126322238723295</v>
      </c>
      <c r="L4855" s="35">
        <v>5.7376104313261287</v>
      </c>
      <c r="M4855" s="58" t="s">
        <v>24</v>
      </c>
      <c r="N4855" s="7">
        <v>11.333333333333334</v>
      </c>
      <c r="O4855" s="7" t="s">
        <v>180</v>
      </c>
      <c r="P4855" s="7" t="s">
        <v>180</v>
      </c>
    </row>
    <row r="4856" spans="1:16" x14ac:dyDescent="0.25">
      <c r="A4856" t="s">
        <v>183</v>
      </c>
      <c r="B4856" t="s">
        <v>220</v>
      </c>
      <c r="C4856" s="7" t="s">
        <v>164</v>
      </c>
      <c r="D4856" t="s">
        <v>117</v>
      </c>
      <c r="F4856" s="35">
        <v>5.3</v>
      </c>
      <c r="G4856" s="35">
        <v>-54.98466694063238</v>
      </c>
      <c r="H4856" s="35">
        <v>18.205215133342723</v>
      </c>
      <c r="I4856" s="35">
        <v>2.0473956167089011E-2</v>
      </c>
      <c r="J4856" s="35">
        <v>2.1519668148155529E-4</v>
      </c>
      <c r="K4856" s="35">
        <v>0.19126322238723298</v>
      </c>
      <c r="L4856" s="35">
        <v>5.7381696936145712</v>
      </c>
      <c r="M4856" s="58" t="s">
        <v>24</v>
      </c>
      <c r="N4856" s="7">
        <v>11.333333333333334</v>
      </c>
      <c r="O4856" s="7" t="s">
        <v>180</v>
      </c>
      <c r="P4856" s="7" t="s">
        <v>180</v>
      </c>
    </row>
    <row r="4857" spans="1:16" x14ac:dyDescent="0.25">
      <c r="A4857" t="s">
        <v>183</v>
      </c>
      <c r="B4857" t="s">
        <v>220</v>
      </c>
      <c r="C4857" s="7" t="s">
        <v>164</v>
      </c>
      <c r="D4857" t="s">
        <v>117</v>
      </c>
      <c r="F4857" s="35">
        <v>5.4149169609489114</v>
      </c>
      <c r="G4857" s="35">
        <v>-54.929925924516866</v>
      </c>
      <c r="H4857" s="35">
        <v>18.205215133342723</v>
      </c>
      <c r="I4857" s="35">
        <v>2.0473956167089011E-2</v>
      </c>
      <c r="J4857" s="35">
        <v>2.1519668148155529E-4</v>
      </c>
      <c r="K4857" s="35">
        <v>0.1889104175659099</v>
      </c>
      <c r="L4857" s="35">
        <v>3.6460816970696941</v>
      </c>
      <c r="M4857" s="58" t="s">
        <v>24</v>
      </c>
      <c r="N4857" s="7">
        <v>11.333333333333334</v>
      </c>
      <c r="O4857" s="7" t="s">
        <v>180</v>
      </c>
      <c r="P4857" s="7" t="s">
        <v>180</v>
      </c>
    </row>
    <row r="4858" spans="1:16" x14ac:dyDescent="0.25">
      <c r="A4858" t="s">
        <v>183</v>
      </c>
      <c r="B4858" t="s">
        <v>220</v>
      </c>
      <c r="C4858" s="7" t="s">
        <v>164</v>
      </c>
      <c r="D4858" t="s">
        <v>117</v>
      </c>
      <c r="F4858" s="35">
        <v>10.829833921897823</v>
      </c>
      <c r="G4858" s="35">
        <v>-52.350515068401371</v>
      </c>
      <c r="H4858" s="35">
        <v>18.205215133342723</v>
      </c>
      <c r="I4858" s="35">
        <v>2.0473956167089011E-2</v>
      </c>
      <c r="J4858" s="35">
        <v>2.1519668148155529E-4</v>
      </c>
      <c r="K4858" s="35">
        <v>7.8045645059015067E-2</v>
      </c>
      <c r="L4858" s="35">
        <v>-94.93364650619155</v>
      </c>
      <c r="M4858" s="58" t="s">
        <v>23</v>
      </c>
      <c r="N4858" s="7">
        <v>11.333333333333334</v>
      </c>
      <c r="O4858" s="7" t="s">
        <v>180</v>
      </c>
      <c r="P4858" s="7" t="s">
        <v>180</v>
      </c>
    </row>
    <row r="4859" spans="1:16" x14ac:dyDescent="0.25">
      <c r="A4859" t="s">
        <v>183</v>
      </c>
      <c r="B4859" t="s">
        <v>220</v>
      </c>
      <c r="C4859" s="7" t="s">
        <v>164</v>
      </c>
      <c r="D4859" t="s">
        <v>118</v>
      </c>
      <c r="F4859" s="35">
        <v>0</v>
      </c>
      <c r="G4859" s="35">
        <v>41.113332406098159</v>
      </c>
      <c r="H4859" s="35">
        <v>-1.386590695735189</v>
      </c>
      <c r="I4859" s="35">
        <v>-0.6232626366414844</v>
      </c>
      <c r="J4859" s="35">
        <v>-1.641203338584542E-5</v>
      </c>
      <c r="K4859" s="35">
        <v>-0.94505707506862202</v>
      </c>
      <c r="L4859" s="35">
        <v>-19.168204349753093</v>
      </c>
      <c r="M4859" s="58" t="s">
        <v>22</v>
      </c>
      <c r="N4859" s="7">
        <v>11.333333333333334</v>
      </c>
      <c r="O4859" s="7" t="s">
        <v>180</v>
      </c>
      <c r="P4859" s="7" t="s">
        <v>180</v>
      </c>
    </row>
    <row r="4860" spans="1:16" x14ac:dyDescent="0.25">
      <c r="A4860" t="s">
        <v>183</v>
      </c>
      <c r="B4860" t="s">
        <v>220</v>
      </c>
      <c r="C4860" s="7" t="s">
        <v>164</v>
      </c>
      <c r="D4860" t="s">
        <v>118</v>
      </c>
      <c r="F4860" s="35">
        <v>0.29999999999999988</v>
      </c>
      <c r="G4860" s="35">
        <v>41.25623824609815</v>
      </c>
      <c r="H4860" s="35">
        <v>-1.386590695735189</v>
      </c>
      <c r="I4860" s="35">
        <v>-0.6232626366414844</v>
      </c>
      <c r="J4860" s="35">
        <v>-1.641203338584542E-5</v>
      </c>
      <c r="K4860" s="35">
        <v>-0.75807828407617661</v>
      </c>
      <c r="L4860" s="35">
        <v>-18.752227141032535</v>
      </c>
      <c r="M4860" s="58" t="s">
        <v>22</v>
      </c>
      <c r="N4860" s="7">
        <v>11.333333333333334</v>
      </c>
      <c r="O4860" s="7" t="s">
        <v>180</v>
      </c>
      <c r="P4860" s="7" t="s">
        <v>180</v>
      </c>
    </row>
    <row r="4861" spans="1:16" x14ac:dyDescent="0.25">
      <c r="A4861" t="s">
        <v>183</v>
      </c>
      <c r="B4861" t="s">
        <v>220</v>
      </c>
      <c r="C4861" s="7" t="s">
        <v>164</v>
      </c>
      <c r="D4861" t="s">
        <v>118</v>
      </c>
      <c r="F4861" s="35">
        <v>0.29999999999999988</v>
      </c>
      <c r="G4861" s="35">
        <v>48.334206653342648</v>
      </c>
      <c r="H4861" s="35">
        <v>-1.3865906957352092</v>
      </c>
      <c r="I4861" s="35">
        <v>-0.24555877823757286</v>
      </c>
      <c r="J4861" s="35">
        <v>9.5489317641763661E-5</v>
      </c>
      <c r="K4861" s="35">
        <v>-0.75807828407617828</v>
      </c>
      <c r="L4861" s="35">
        <v>-18.752220426951471</v>
      </c>
      <c r="M4861" s="58" t="s">
        <v>22</v>
      </c>
      <c r="N4861" s="7">
        <v>11.333333333333334</v>
      </c>
      <c r="O4861" s="7" t="s">
        <v>180</v>
      </c>
      <c r="P4861" s="7" t="s">
        <v>180</v>
      </c>
    </row>
    <row r="4862" spans="1:16" x14ac:dyDescent="0.25">
      <c r="A4862" t="s">
        <v>183</v>
      </c>
      <c r="B4862" t="s">
        <v>220</v>
      </c>
      <c r="C4862" s="7" t="s">
        <v>164</v>
      </c>
      <c r="D4862" t="s">
        <v>118</v>
      </c>
      <c r="F4862" s="35">
        <v>5.3</v>
      </c>
      <c r="G4862" s="35">
        <v>50.715970653342659</v>
      </c>
      <c r="H4862" s="35">
        <v>-1.3865906957352092</v>
      </c>
      <c r="I4862" s="35">
        <v>-0.24555877823757286</v>
      </c>
      <c r="J4862" s="35">
        <v>9.5489317641763661E-5</v>
      </c>
      <c r="K4862" s="35">
        <v>0.46971560711168592</v>
      </c>
      <c r="L4862" s="35">
        <v>-11.819266948275423</v>
      </c>
      <c r="M4862" s="58" t="s">
        <v>24</v>
      </c>
      <c r="N4862" s="7">
        <v>11.333333333333334</v>
      </c>
      <c r="O4862" s="7" t="s">
        <v>180</v>
      </c>
      <c r="P4862" s="7" t="s">
        <v>180</v>
      </c>
    </row>
    <row r="4863" spans="1:16" x14ac:dyDescent="0.25">
      <c r="A4863" t="s">
        <v>183</v>
      </c>
      <c r="B4863" t="s">
        <v>220</v>
      </c>
      <c r="C4863" s="7" t="s">
        <v>164</v>
      </c>
      <c r="D4863" t="s">
        <v>118</v>
      </c>
      <c r="F4863" s="35">
        <v>5.3</v>
      </c>
      <c r="G4863" s="35">
        <v>47.788963616065075</v>
      </c>
      <c r="H4863" s="35">
        <v>-1.3865783006777606</v>
      </c>
      <c r="I4863" s="35">
        <v>6.6617972910957085E-2</v>
      </c>
      <c r="J4863" s="35">
        <v>1.9271512045202218E-4</v>
      </c>
      <c r="K4863" s="35">
        <v>0.46971560711168542</v>
      </c>
      <c r="L4863" s="35">
        <v>-11.819091524114993</v>
      </c>
      <c r="M4863" s="58" t="s">
        <v>24</v>
      </c>
      <c r="N4863" s="7">
        <v>11.333333333333334</v>
      </c>
      <c r="O4863" s="7" t="s">
        <v>180</v>
      </c>
      <c r="P4863" s="7" t="s">
        <v>180</v>
      </c>
    </row>
    <row r="4864" spans="1:16" x14ac:dyDescent="0.25">
      <c r="A4864" t="s">
        <v>183</v>
      </c>
      <c r="B4864" t="s">
        <v>220</v>
      </c>
      <c r="C4864" s="7" t="s">
        <v>164</v>
      </c>
      <c r="D4864" t="s">
        <v>118</v>
      </c>
      <c r="F4864" s="35">
        <v>5.4149169609489114</v>
      </c>
      <c r="G4864" s="35">
        <v>47.843704632180589</v>
      </c>
      <c r="H4864" s="35">
        <v>-1.3865783006777606</v>
      </c>
      <c r="I4864" s="35">
        <v>6.6617972910957085E-2</v>
      </c>
      <c r="J4864" s="35">
        <v>1.9271512045202218E-4</v>
      </c>
      <c r="K4864" s="35">
        <v>0.4620600721201813</v>
      </c>
      <c r="L4864" s="35">
        <v>-11.659750159683396</v>
      </c>
      <c r="M4864" s="58" t="s">
        <v>24</v>
      </c>
      <c r="N4864" s="7">
        <v>11.333333333333334</v>
      </c>
      <c r="O4864" s="7" t="s">
        <v>180</v>
      </c>
      <c r="P4864" s="7" t="s">
        <v>180</v>
      </c>
    </row>
    <row r="4865" spans="1:16" x14ac:dyDescent="0.25">
      <c r="A4865" t="s">
        <v>183</v>
      </c>
      <c r="B4865" t="s">
        <v>220</v>
      </c>
      <c r="C4865" s="7" t="s">
        <v>164</v>
      </c>
      <c r="D4865" t="s">
        <v>118</v>
      </c>
      <c r="F4865" s="35">
        <v>10.829833921897823</v>
      </c>
      <c r="G4865" s="35">
        <v>50.423115488296091</v>
      </c>
      <c r="H4865" s="35">
        <v>-1.3865783006777606</v>
      </c>
      <c r="I4865" s="35">
        <v>6.6617972910957085E-2</v>
      </c>
      <c r="J4865" s="35">
        <v>1.9271512045202218E-4</v>
      </c>
      <c r="K4865" s="35">
        <v>0.10132928070060485</v>
      </c>
      <c r="L4865" s="35">
        <v>-4.1515438016596784</v>
      </c>
      <c r="M4865" s="58" t="s">
        <v>23</v>
      </c>
      <c r="N4865" s="7">
        <v>11.333333333333334</v>
      </c>
      <c r="O4865" s="7" t="s">
        <v>180</v>
      </c>
      <c r="P4865" s="7" t="s">
        <v>180</v>
      </c>
    </row>
    <row r="4866" spans="1:16" x14ac:dyDescent="0.25">
      <c r="A4866" t="s">
        <v>183</v>
      </c>
      <c r="B4866" t="s">
        <v>220</v>
      </c>
      <c r="C4866" s="7" t="s">
        <v>164</v>
      </c>
      <c r="D4866" t="s">
        <v>119</v>
      </c>
      <c r="F4866" s="35">
        <v>0</v>
      </c>
      <c r="G4866" s="35">
        <v>-148.88573431943354</v>
      </c>
      <c r="H4866" s="35">
        <v>-13.681269062110399</v>
      </c>
      <c r="I4866" s="35">
        <v>-2.0163664182281371</v>
      </c>
      <c r="J4866" s="35">
        <v>-1.9642875948315067E-4</v>
      </c>
      <c r="K4866" s="35">
        <v>-0.89203598418378072</v>
      </c>
      <c r="L4866" s="35">
        <v>-78.166273598478639</v>
      </c>
      <c r="M4866" s="58" t="s">
        <v>22</v>
      </c>
      <c r="N4866" s="7">
        <v>11.333333333333334</v>
      </c>
      <c r="O4866" s="7" t="s">
        <v>180</v>
      </c>
      <c r="P4866" s="7" t="s">
        <v>180</v>
      </c>
    </row>
    <row r="4867" spans="1:16" x14ac:dyDescent="0.25">
      <c r="A4867" t="s">
        <v>183</v>
      </c>
      <c r="B4867" t="s">
        <v>220</v>
      </c>
      <c r="C4867" s="7" t="s">
        <v>164</v>
      </c>
      <c r="D4867" t="s">
        <v>119</v>
      </c>
      <c r="F4867" s="35">
        <v>0.29999999999999988</v>
      </c>
      <c r="G4867" s="35">
        <v>-148.74282847943354</v>
      </c>
      <c r="H4867" s="35">
        <v>-13.681269062110399</v>
      </c>
      <c r="I4867" s="35">
        <v>-2.0163664182281371</v>
      </c>
      <c r="J4867" s="35">
        <v>-1.9642875948315067E-4</v>
      </c>
      <c r="K4867" s="35">
        <v>-0.28712605871533975</v>
      </c>
      <c r="L4867" s="35">
        <v>-74.061892879845544</v>
      </c>
      <c r="M4867" s="58" t="s">
        <v>22</v>
      </c>
      <c r="N4867" s="7">
        <v>11.333333333333334</v>
      </c>
      <c r="O4867" s="7" t="s">
        <v>180</v>
      </c>
      <c r="P4867" s="7" t="s">
        <v>180</v>
      </c>
    </row>
    <row r="4868" spans="1:16" x14ac:dyDescent="0.25">
      <c r="A4868" t="s">
        <v>183</v>
      </c>
      <c r="B4868" t="s">
        <v>220</v>
      </c>
      <c r="C4868" s="7" t="s">
        <v>164</v>
      </c>
      <c r="D4868" t="s">
        <v>119</v>
      </c>
      <c r="F4868" s="35">
        <v>0.29999999999999988</v>
      </c>
      <c r="G4868" s="35">
        <v>-115.93828140376492</v>
      </c>
      <c r="H4868" s="35">
        <v>-13.681269062110424</v>
      </c>
      <c r="I4868" s="35">
        <v>-9.5067839718779287E-2</v>
      </c>
      <c r="J4868" s="35">
        <v>1.9867248510805884E-4</v>
      </c>
      <c r="K4868" s="35">
        <v>-0.28712605871534019</v>
      </c>
      <c r="L4868" s="35">
        <v>-74.061869173770873</v>
      </c>
      <c r="M4868" s="58" t="s">
        <v>22</v>
      </c>
      <c r="N4868" s="7">
        <v>11.333333333333334</v>
      </c>
      <c r="O4868" s="7" t="s">
        <v>180</v>
      </c>
      <c r="P4868" s="7" t="s">
        <v>180</v>
      </c>
    </row>
    <row r="4869" spans="1:16" x14ac:dyDescent="0.25">
      <c r="A4869" t="s">
        <v>183</v>
      </c>
      <c r="B4869" t="s">
        <v>220</v>
      </c>
      <c r="C4869" s="7" t="s">
        <v>164</v>
      </c>
      <c r="D4869" t="s">
        <v>119</v>
      </c>
      <c r="F4869" s="35">
        <v>5.3</v>
      </c>
      <c r="G4869" s="35">
        <v>-113.55651740376491</v>
      </c>
      <c r="H4869" s="35">
        <v>-13.681269062110424</v>
      </c>
      <c r="I4869" s="35">
        <v>-9.5067839718779287E-2</v>
      </c>
      <c r="J4869" s="35">
        <v>1.9867248510805884E-4</v>
      </c>
      <c r="K4869" s="35">
        <v>0.18821313987855626</v>
      </c>
      <c r="L4869" s="35">
        <v>-5.655523863218753</v>
      </c>
      <c r="M4869" s="58" t="s">
        <v>24</v>
      </c>
      <c r="N4869" s="7">
        <v>11.333333333333334</v>
      </c>
      <c r="O4869" s="7" t="s">
        <v>180</v>
      </c>
      <c r="P4869" s="7" t="s">
        <v>180</v>
      </c>
    </row>
    <row r="4870" spans="1:16" x14ac:dyDescent="0.25">
      <c r="A4870" t="s">
        <v>183</v>
      </c>
      <c r="B4870" t="s">
        <v>220</v>
      </c>
      <c r="C4870" s="7" t="s">
        <v>164</v>
      </c>
      <c r="D4870" t="s">
        <v>119</v>
      </c>
      <c r="F4870" s="35">
        <v>5.3</v>
      </c>
      <c r="G4870" s="35">
        <v>-140.8758241718524</v>
      </c>
      <c r="H4870" s="35">
        <v>-13.681218494219074</v>
      </c>
      <c r="I4870" s="35">
        <v>1.9942608275164291E-2</v>
      </c>
      <c r="J4870" s="35">
        <v>-7.7654413105371348E-5</v>
      </c>
      <c r="K4870" s="35">
        <v>0.18821313987855609</v>
      </c>
      <c r="L4870" s="35">
        <v>-5.6559108917614926</v>
      </c>
      <c r="M4870" s="58" t="s">
        <v>24</v>
      </c>
      <c r="N4870" s="7">
        <v>11.333333333333334</v>
      </c>
      <c r="O4870" s="7" t="s">
        <v>180</v>
      </c>
      <c r="P4870" s="7" t="s">
        <v>180</v>
      </c>
    </row>
    <row r="4871" spans="1:16" x14ac:dyDescent="0.25">
      <c r="A4871" t="s">
        <v>183</v>
      </c>
      <c r="B4871" t="s">
        <v>220</v>
      </c>
      <c r="C4871" s="7" t="s">
        <v>164</v>
      </c>
      <c r="D4871" t="s">
        <v>119</v>
      </c>
      <c r="F4871" s="35">
        <v>5.4149169609489114</v>
      </c>
      <c r="G4871" s="35">
        <v>-140.82108315573691</v>
      </c>
      <c r="H4871" s="35">
        <v>-13.681218494219074</v>
      </c>
      <c r="I4871" s="35">
        <v>1.9942608275164291E-2</v>
      </c>
      <c r="J4871" s="35">
        <v>-7.7654413105371348E-5</v>
      </c>
      <c r="K4871" s="35">
        <v>0.1859213959421796</v>
      </c>
      <c r="L4871" s="35">
        <v>-4.0837068403277934</v>
      </c>
      <c r="M4871" s="58" t="s">
        <v>24</v>
      </c>
      <c r="N4871" s="7">
        <v>11.333333333333334</v>
      </c>
      <c r="O4871" s="7" t="s">
        <v>180</v>
      </c>
      <c r="P4871" s="7" t="s">
        <v>180</v>
      </c>
    </row>
    <row r="4872" spans="1:16" x14ac:dyDescent="0.25">
      <c r="A4872" t="s">
        <v>183</v>
      </c>
      <c r="B4872" t="s">
        <v>220</v>
      </c>
      <c r="C4872" s="7" t="s">
        <v>164</v>
      </c>
      <c r="D4872" t="s">
        <v>119</v>
      </c>
      <c r="F4872" s="35">
        <v>10.829833921897823</v>
      </c>
      <c r="G4872" s="35">
        <v>-138.24167229962143</v>
      </c>
      <c r="H4872" s="35">
        <v>-13.681218494219074</v>
      </c>
      <c r="I4872" s="35">
        <v>1.9942608275164291E-2</v>
      </c>
      <c r="J4872" s="35">
        <v>-7.7654413105371348E-5</v>
      </c>
      <c r="K4872" s="35">
        <v>7.7933828147432382E-2</v>
      </c>
      <c r="L4872" s="35">
        <v>69.998955230466962</v>
      </c>
      <c r="M4872" s="58" t="s">
        <v>23</v>
      </c>
      <c r="N4872" s="7">
        <v>11.333333333333334</v>
      </c>
      <c r="O4872" s="7" t="s">
        <v>180</v>
      </c>
      <c r="P4872" s="7" t="s">
        <v>180</v>
      </c>
    </row>
    <row r="4873" spans="1:16" x14ac:dyDescent="0.25">
      <c r="A4873" t="s">
        <v>183</v>
      </c>
      <c r="B4873" t="s">
        <v>220</v>
      </c>
      <c r="C4873" s="7" t="s">
        <v>164</v>
      </c>
      <c r="D4873" t="s">
        <v>120</v>
      </c>
      <c r="F4873" s="35">
        <v>0</v>
      </c>
      <c r="G4873" s="35">
        <v>55.781552613400031</v>
      </c>
      <c r="H4873" s="35">
        <v>5.1293492899947548</v>
      </c>
      <c r="I4873" s="35">
        <v>-3.2791855861449979</v>
      </c>
      <c r="J4873" s="35">
        <v>4.2214627299202854E-4</v>
      </c>
      <c r="K4873" s="35">
        <v>-4.614090662793549</v>
      </c>
      <c r="L4873" s="35">
        <v>18.495474604758609</v>
      </c>
      <c r="M4873" s="58" t="s">
        <v>22</v>
      </c>
      <c r="N4873" s="7">
        <v>11.333333333333334</v>
      </c>
      <c r="O4873" s="7" t="s">
        <v>180</v>
      </c>
      <c r="P4873" s="7" t="s">
        <v>180</v>
      </c>
    </row>
    <row r="4874" spans="1:16" x14ac:dyDescent="0.25">
      <c r="A4874" t="s">
        <v>183</v>
      </c>
      <c r="B4874" t="s">
        <v>220</v>
      </c>
      <c r="C4874" s="7" t="s">
        <v>164</v>
      </c>
      <c r="D4874" t="s">
        <v>120</v>
      </c>
      <c r="F4874" s="35">
        <v>0.29999999999999988</v>
      </c>
      <c r="G4874" s="35">
        <v>55.924458453400021</v>
      </c>
      <c r="H4874" s="35">
        <v>5.1293492899947548</v>
      </c>
      <c r="I4874" s="35">
        <v>-3.2791855861449979</v>
      </c>
      <c r="J4874" s="35">
        <v>4.2214627299202854E-4</v>
      </c>
      <c r="K4874" s="35">
        <v>-3.6303349869500492</v>
      </c>
      <c r="L4874" s="35">
        <v>16.956669817760183</v>
      </c>
      <c r="M4874" s="58" t="s">
        <v>22</v>
      </c>
      <c r="N4874" s="7">
        <v>11.333333333333334</v>
      </c>
      <c r="O4874" s="7" t="s">
        <v>180</v>
      </c>
      <c r="P4874" s="7" t="s">
        <v>180</v>
      </c>
    </row>
    <row r="4875" spans="1:16" x14ac:dyDescent="0.25">
      <c r="A4875" t="s">
        <v>183</v>
      </c>
      <c r="B4875" t="s">
        <v>220</v>
      </c>
      <c r="C4875" s="7" t="s">
        <v>164</v>
      </c>
      <c r="D4875" t="s">
        <v>120</v>
      </c>
      <c r="F4875" s="35">
        <v>0.29999999999999988</v>
      </c>
      <c r="G4875" s="35">
        <v>91.823531599826197</v>
      </c>
      <c r="H4875" s="35">
        <v>5.1293492899947539</v>
      </c>
      <c r="I4875" s="35">
        <v>-1.1722154433902034</v>
      </c>
      <c r="J4875" s="35">
        <v>2.4284398398240342E-4</v>
      </c>
      <c r="K4875" s="35">
        <v>-3.6303349869500452</v>
      </c>
      <c r="L4875" s="35">
        <v>16.956659059622851</v>
      </c>
      <c r="M4875" s="58" t="s">
        <v>22</v>
      </c>
      <c r="N4875" s="7">
        <v>11.333333333333334</v>
      </c>
      <c r="O4875" s="7" t="s">
        <v>180</v>
      </c>
      <c r="P4875" s="7" t="s">
        <v>180</v>
      </c>
    </row>
    <row r="4876" spans="1:16" x14ac:dyDescent="0.25">
      <c r="A4876" t="s">
        <v>183</v>
      </c>
      <c r="B4876" t="s">
        <v>220</v>
      </c>
      <c r="C4876" s="7" t="s">
        <v>164</v>
      </c>
      <c r="D4876" t="s">
        <v>120</v>
      </c>
      <c r="F4876" s="35">
        <v>5.3</v>
      </c>
      <c r="G4876" s="35">
        <v>94.205295599826201</v>
      </c>
      <c r="H4876" s="35">
        <v>5.1293492899947539</v>
      </c>
      <c r="I4876" s="35">
        <v>-1.1722154433902034</v>
      </c>
      <c r="J4876" s="35">
        <v>2.4284398398240342E-4</v>
      </c>
      <c r="K4876" s="35">
        <v>2.2307422300009718</v>
      </c>
      <c r="L4876" s="35">
        <v>-8.6900873903509215</v>
      </c>
      <c r="M4876" s="58" t="s">
        <v>24</v>
      </c>
      <c r="N4876" s="7">
        <v>11.333333333333334</v>
      </c>
      <c r="O4876" s="7" t="s">
        <v>180</v>
      </c>
      <c r="P4876" s="7" t="s">
        <v>180</v>
      </c>
    </row>
    <row r="4877" spans="1:16" x14ac:dyDescent="0.25">
      <c r="A4877" t="s">
        <v>183</v>
      </c>
      <c r="B4877" t="s">
        <v>220</v>
      </c>
      <c r="C4877" s="7" t="s">
        <v>164</v>
      </c>
      <c r="D4877" t="s">
        <v>120</v>
      </c>
      <c r="F4877" s="35">
        <v>5.3</v>
      </c>
      <c r="G4877" s="35">
        <v>67.022913166666513</v>
      </c>
      <c r="H4877" s="35">
        <v>5.1293595369906626</v>
      </c>
      <c r="I4877" s="35">
        <v>0.35873736939038009</v>
      </c>
      <c r="J4877" s="35">
        <v>4.6537098341163213E-4</v>
      </c>
      <c r="K4877" s="35">
        <v>2.2307422300009727</v>
      </c>
      <c r="L4877" s="35">
        <v>-8.6895926619458503</v>
      </c>
      <c r="M4877" s="58" t="s">
        <v>24</v>
      </c>
      <c r="N4877" s="7">
        <v>11.333333333333334</v>
      </c>
      <c r="O4877" s="7" t="s">
        <v>180</v>
      </c>
      <c r="P4877" s="7" t="s">
        <v>180</v>
      </c>
    </row>
    <row r="4878" spans="1:16" x14ac:dyDescent="0.25">
      <c r="A4878" t="s">
        <v>183</v>
      </c>
      <c r="B4878" t="s">
        <v>220</v>
      </c>
      <c r="C4878" s="7" t="s">
        <v>164</v>
      </c>
      <c r="D4878" t="s">
        <v>120</v>
      </c>
      <c r="F4878" s="35">
        <v>5.4149169609489114</v>
      </c>
      <c r="G4878" s="35">
        <v>67.077654182781998</v>
      </c>
      <c r="H4878" s="35">
        <v>5.1293595369906626</v>
      </c>
      <c r="I4878" s="35">
        <v>0.35873736939038009</v>
      </c>
      <c r="J4878" s="35">
        <v>4.6537098341163213E-4</v>
      </c>
      <c r="K4878" s="35">
        <v>2.1895172217318239</v>
      </c>
      <c r="L4878" s="35">
        <v>-9.2790430715511345</v>
      </c>
      <c r="M4878" s="58" t="s">
        <v>24</v>
      </c>
      <c r="N4878" s="7">
        <v>11.333333333333334</v>
      </c>
      <c r="O4878" s="7" t="s">
        <v>180</v>
      </c>
      <c r="P4878" s="7" t="s">
        <v>180</v>
      </c>
    </row>
    <row r="4879" spans="1:16" x14ac:dyDescent="0.25">
      <c r="A4879" t="s">
        <v>183</v>
      </c>
      <c r="B4879" t="s">
        <v>220</v>
      </c>
      <c r="C4879" s="7" t="s">
        <v>164</v>
      </c>
      <c r="D4879" t="s">
        <v>120</v>
      </c>
      <c r="F4879" s="35">
        <v>10.829833921897823</v>
      </c>
      <c r="G4879" s="35">
        <v>69.657065038897514</v>
      </c>
      <c r="H4879" s="35">
        <v>5.1293595369906626</v>
      </c>
      <c r="I4879" s="35">
        <v>0.35873736939038009</v>
      </c>
      <c r="J4879" s="35">
        <v>4.6537098341163213E-4</v>
      </c>
      <c r="K4879" s="35">
        <v>0.24698415569366042</v>
      </c>
      <c r="L4879" s="35">
        <v>-37.054099027206917</v>
      </c>
      <c r="M4879" s="58" t="s">
        <v>23</v>
      </c>
      <c r="N4879" s="7">
        <v>11.333333333333334</v>
      </c>
      <c r="O4879" s="7" t="s">
        <v>180</v>
      </c>
      <c r="P4879" s="7" t="s">
        <v>180</v>
      </c>
    </row>
    <row r="4880" spans="1:16" x14ac:dyDescent="0.25">
      <c r="A4880" t="s">
        <v>183</v>
      </c>
      <c r="B4880" t="s">
        <v>220</v>
      </c>
      <c r="C4880" s="7" t="s">
        <v>164</v>
      </c>
      <c r="D4880" t="s">
        <v>121</v>
      </c>
      <c r="F4880" s="35">
        <v>0</v>
      </c>
      <c r="G4880" s="35">
        <v>-23.442962637199113</v>
      </c>
      <c r="H4880" s="35">
        <v>1.8709624394838658</v>
      </c>
      <c r="I4880" s="35">
        <v>-3.6667822274409549</v>
      </c>
      <c r="J4880" s="35">
        <v>3.8924398994668062E-4</v>
      </c>
      <c r="K4880" s="35">
        <v>-4.3474533119851753</v>
      </c>
      <c r="L4880" s="35">
        <v>7.844683095083365</v>
      </c>
      <c r="M4880" s="58" t="s">
        <v>22</v>
      </c>
      <c r="N4880" s="7">
        <v>11.333333333333334</v>
      </c>
      <c r="O4880" s="7" t="s">
        <v>180</v>
      </c>
      <c r="P4880" s="7" t="s">
        <v>180</v>
      </c>
    </row>
    <row r="4881" spans="1:16" x14ac:dyDescent="0.25">
      <c r="A4881" t="s">
        <v>183</v>
      </c>
      <c r="B4881" t="s">
        <v>220</v>
      </c>
      <c r="C4881" s="7" t="s">
        <v>164</v>
      </c>
      <c r="D4881" t="s">
        <v>121</v>
      </c>
      <c r="F4881" s="35">
        <v>0.29999999999999988</v>
      </c>
      <c r="G4881" s="35">
        <v>-23.300056797199122</v>
      </c>
      <c r="H4881" s="35">
        <v>1.8709624394838658</v>
      </c>
      <c r="I4881" s="35">
        <v>-3.6667822274409549</v>
      </c>
      <c r="J4881" s="35">
        <v>3.8924398994668062E-4</v>
      </c>
      <c r="K4881" s="35">
        <v>-3.2474186437528889</v>
      </c>
      <c r="L4881" s="35">
        <v>7.283394363238207</v>
      </c>
      <c r="M4881" s="58" t="s">
        <v>22</v>
      </c>
      <c r="N4881" s="7">
        <v>11.333333333333334</v>
      </c>
      <c r="O4881" s="7" t="s">
        <v>180</v>
      </c>
      <c r="P4881" s="7" t="s">
        <v>180</v>
      </c>
    </row>
    <row r="4882" spans="1:16" x14ac:dyDescent="0.25">
      <c r="A4882" t="s">
        <v>183</v>
      </c>
      <c r="B4882" t="s">
        <v>220</v>
      </c>
      <c r="C4882" s="7" t="s">
        <v>164</v>
      </c>
      <c r="D4882" t="s">
        <v>121</v>
      </c>
      <c r="F4882" s="35">
        <v>0.29999999999999988</v>
      </c>
      <c r="G4882" s="35">
        <v>21.129196791925988</v>
      </c>
      <c r="H4882" s="35">
        <v>1.8709624394838562</v>
      </c>
      <c r="I4882" s="35">
        <v>-1.0480012581242009</v>
      </c>
      <c r="J4882" s="35">
        <v>2.5064319297904354E-4</v>
      </c>
      <c r="K4882" s="35">
        <v>-3.2474186437528916</v>
      </c>
      <c r="L4882" s="35">
        <v>7.2833860471903877</v>
      </c>
      <c r="M4882" s="58" t="s">
        <v>22</v>
      </c>
      <c r="N4882" s="7">
        <v>11.333333333333334</v>
      </c>
      <c r="O4882" s="7" t="s">
        <v>180</v>
      </c>
      <c r="P4882" s="7" t="s">
        <v>180</v>
      </c>
    </row>
    <row r="4883" spans="1:16" x14ac:dyDescent="0.25">
      <c r="A4883" t="s">
        <v>183</v>
      </c>
      <c r="B4883" t="s">
        <v>220</v>
      </c>
      <c r="C4883" s="7" t="s">
        <v>164</v>
      </c>
      <c r="D4883" t="s">
        <v>121</v>
      </c>
      <c r="F4883" s="35">
        <v>5.3</v>
      </c>
      <c r="G4883" s="35">
        <v>23.510960791925996</v>
      </c>
      <c r="H4883" s="35">
        <v>1.8709624394838562</v>
      </c>
      <c r="I4883" s="35">
        <v>-1.0480012581242009</v>
      </c>
      <c r="J4883" s="35">
        <v>2.5064319297904354E-4</v>
      </c>
      <c r="K4883" s="35">
        <v>1.9925876468681127</v>
      </c>
      <c r="L4883" s="35">
        <v>-2.07142615022889</v>
      </c>
      <c r="M4883" s="58" t="s">
        <v>24</v>
      </c>
      <c r="N4883" s="7">
        <v>11.333333333333334</v>
      </c>
      <c r="O4883" s="7" t="s">
        <v>180</v>
      </c>
      <c r="P4883" s="7" t="s">
        <v>180</v>
      </c>
    </row>
    <row r="4884" spans="1:16" x14ac:dyDescent="0.25">
      <c r="A4884" t="s">
        <v>183</v>
      </c>
      <c r="B4884" t="s">
        <v>220</v>
      </c>
      <c r="C4884" s="7" t="s">
        <v>164</v>
      </c>
      <c r="D4884" t="s">
        <v>121</v>
      </c>
      <c r="F4884" s="35">
        <v>5.3</v>
      </c>
      <c r="G4884" s="35">
        <v>-11.990169677948547</v>
      </c>
      <c r="H4884" s="35">
        <v>1.8709801603349743</v>
      </c>
      <c r="I4884" s="35">
        <v>0.31924906861084157</v>
      </c>
      <c r="J4884" s="35">
        <v>3.1908196850509316E-4</v>
      </c>
      <c r="K4884" s="35">
        <v>1.9925876468681107</v>
      </c>
      <c r="L4884" s="35">
        <v>-2.0711711938285879</v>
      </c>
      <c r="M4884" s="58" t="s">
        <v>24</v>
      </c>
      <c r="N4884" s="7">
        <v>11.333333333333334</v>
      </c>
      <c r="O4884" s="7" t="s">
        <v>180</v>
      </c>
      <c r="P4884" s="7" t="s">
        <v>180</v>
      </c>
    </row>
    <row r="4885" spans="1:16" x14ac:dyDescent="0.25">
      <c r="A4885" t="s">
        <v>183</v>
      </c>
      <c r="B4885" t="s">
        <v>220</v>
      </c>
      <c r="C4885" s="7" t="s">
        <v>164</v>
      </c>
      <c r="D4885" t="s">
        <v>121</v>
      </c>
      <c r="F4885" s="35">
        <v>5.4149169609489114</v>
      </c>
      <c r="G4885" s="35">
        <v>-11.935428661833049</v>
      </c>
      <c r="H4885" s="35">
        <v>1.8709801603349743</v>
      </c>
      <c r="I4885" s="35">
        <v>0.31924906861084157</v>
      </c>
      <c r="J4885" s="35">
        <v>3.1908196850509316E-4</v>
      </c>
      <c r="K4885" s="35">
        <v>1.9559005141175823</v>
      </c>
      <c r="L4885" s="35">
        <v>-2.2861785478499907</v>
      </c>
      <c r="M4885" s="58" t="s">
        <v>24</v>
      </c>
      <c r="N4885" s="7">
        <v>11.333333333333334</v>
      </c>
      <c r="O4885" s="7" t="s">
        <v>180</v>
      </c>
      <c r="P4885" s="7" t="s">
        <v>180</v>
      </c>
    </row>
    <row r="4886" spans="1:16" x14ac:dyDescent="0.25">
      <c r="A4886" t="s">
        <v>183</v>
      </c>
      <c r="B4886" t="s">
        <v>220</v>
      </c>
      <c r="C4886" s="7" t="s">
        <v>164</v>
      </c>
      <c r="D4886" t="s">
        <v>121</v>
      </c>
      <c r="F4886" s="35">
        <v>10.829833921897823</v>
      </c>
      <c r="G4886" s="35">
        <v>-9.3560178057175349</v>
      </c>
      <c r="H4886" s="35">
        <v>1.8709801603349743</v>
      </c>
      <c r="I4886" s="35">
        <v>0.31924906861084157</v>
      </c>
      <c r="J4886" s="35">
        <v>3.1908196850509316E-4</v>
      </c>
      <c r="K4886" s="35">
        <v>0.22719331772959428</v>
      </c>
      <c r="L4886" s="35">
        <v>-12.417380751646753</v>
      </c>
      <c r="M4886" s="58" t="s">
        <v>23</v>
      </c>
      <c r="N4886" s="7">
        <v>11.333333333333334</v>
      </c>
      <c r="O4886" s="7" t="s">
        <v>180</v>
      </c>
      <c r="P4886" s="7" t="s">
        <v>180</v>
      </c>
    </row>
    <row r="4887" spans="1:16" x14ac:dyDescent="0.25">
      <c r="A4887" t="s">
        <v>183</v>
      </c>
      <c r="B4887" t="s">
        <v>220</v>
      </c>
      <c r="C4887" s="7" t="s">
        <v>164</v>
      </c>
      <c r="D4887" t="s">
        <v>122</v>
      </c>
      <c r="F4887" s="35">
        <v>0</v>
      </c>
      <c r="G4887" s="35">
        <v>76.194351281299205</v>
      </c>
      <c r="H4887" s="35">
        <v>4.1832823788935922</v>
      </c>
      <c r="I4887" s="35">
        <v>4.0004733276082227</v>
      </c>
      <c r="J4887" s="35">
        <v>-5.0858836014223236E-4</v>
      </c>
      <c r="K4887" s="35">
        <v>4.7439159190378737</v>
      </c>
      <c r="L4887" s="35">
        <v>14.587144225881785</v>
      </c>
      <c r="M4887" s="58" t="s">
        <v>22</v>
      </c>
      <c r="N4887" s="7">
        <v>11.333333333333334</v>
      </c>
      <c r="O4887" s="7" t="s">
        <v>180</v>
      </c>
      <c r="P4887" s="7" t="s">
        <v>180</v>
      </c>
    </row>
    <row r="4888" spans="1:16" x14ac:dyDescent="0.25">
      <c r="A4888" t="s">
        <v>183</v>
      </c>
      <c r="B4888" t="s">
        <v>220</v>
      </c>
      <c r="C4888" s="7" t="s">
        <v>164</v>
      </c>
      <c r="D4888" t="s">
        <v>122</v>
      </c>
      <c r="F4888" s="35">
        <v>0.29999999999999988</v>
      </c>
      <c r="G4888" s="35">
        <v>76.337257121299203</v>
      </c>
      <c r="H4888" s="35">
        <v>4.1832823788935922</v>
      </c>
      <c r="I4888" s="35">
        <v>4.0004733276082227</v>
      </c>
      <c r="J4888" s="35">
        <v>-5.0858836014223236E-4</v>
      </c>
      <c r="K4888" s="35">
        <v>3.5437739207554078</v>
      </c>
      <c r="L4888" s="35">
        <v>13.332159512213707</v>
      </c>
      <c r="M4888" s="58" t="s">
        <v>22</v>
      </c>
      <c r="N4888" s="7">
        <v>11.333333333333334</v>
      </c>
      <c r="O4888" s="7" t="s">
        <v>180</v>
      </c>
      <c r="P4888" s="7" t="s">
        <v>180</v>
      </c>
    </row>
    <row r="4889" spans="1:16" x14ac:dyDescent="0.25">
      <c r="A4889" t="s">
        <v>183</v>
      </c>
      <c r="B4889" t="s">
        <v>220</v>
      </c>
      <c r="C4889" s="7" t="s">
        <v>164</v>
      </c>
      <c r="D4889" t="s">
        <v>122</v>
      </c>
      <c r="F4889" s="35">
        <v>0.29999999999999988</v>
      </c>
      <c r="G4889" s="35">
        <v>29.646987174699674</v>
      </c>
      <c r="H4889" s="35">
        <v>4.183282378893602</v>
      </c>
      <c r="I4889" s="35">
        <v>1.1520828847814928</v>
      </c>
      <c r="J4889" s="35">
        <v>-4.1770060582723919E-4</v>
      </c>
      <c r="K4889" s="35">
        <v>3.5437739207554069</v>
      </c>
      <c r="L4889" s="35">
        <v>13.332164965478952</v>
      </c>
      <c r="M4889" s="58" t="s">
        <v>22</v>
      </c>
      <c r="N4889" s="7">
        <v>11.333333333333334</v>
      </c>
      <c r="O4889" s="7" t="s">
        <v>180</v>
      </c>
      <c r="P4889" s="7" t="s">
        <v>180</v>
      </c>
    </row>
    <row r="4890" spans="1:16" x14ac:dyDescent="0.25">
      <c r="A4890" t="s">
        <v>183</v>
      </c>
      <c r="B4890" t="s">
        <v>220</v>
      </c>
      <c r="C4890" s="7" t="s">
        <v>164</v>
      </c>
      <c r="D4890" t="s">
        <v>122</v>
      </c>
      <c r="F4890" s="35">
        <v>5.3</v>
      </c>
      <c r="G4890" s="35">
        <v>32.028751174699686</v>
      </c>
      <c r="H4890" s="35">
        <v>4.183282378893602</v>
      </c>
      <c r="I4890" s="35">
        <v>1.1520828847814928</v>
      </c>
      <c r="J4890" s="35">
        <v>-4.1770060582723919E-4</v>
      </c>
      <c r="K4890" s="35">
        <v>-2.2166405031520573</v>
      </c>
      <c r="L4890" s="35">
        <v>-7.5842469289890531</v>
      </c>
      <c r="M4890" s="58" t="s">
        <v>24</v>
      </c>
      <c r="N4890" s="7">
        <v>11.333333333333334</v>
      </c>
      <c r="O4890" s="7" t="s">
        <v>180</v>
      </c>
      <c r="P4890" s="7" t="s">
        <v>180</v>
      </c>
    </row>
    <row r="4891" spans="1:16" x14ac:dyDescent="0.25">
      <c r="A4891" t="s">
        <v>183</v>
      </c>
      <c r="B4891" t="s">
        <v>220</v>
      </c>
      <c r="C4891" s="7" t="s">
        <v>164</v>
      </c>
      <c r="D4891" t="s">
        <v>122</v>
      </c>
      <c r="F4891" s="35">
        <v>5.3</v>
      </c>
      <c r="G4891" s="35">
        <v>75.176989869833292</v>
      </c>
      <c r="H4891" s="35">
        <v>4.1832392513457517</v>
      </c>
      <c r="I4891" s="35">
        <v>-0.37891409963748718</v>
      </c>
      <c r="J4891" s="35">
        <v>-2.3087105444185931E-4</v>
      </c>
      <c r="K4891" s="35">
        <v>-2.216640503152056</v>
      </c>
      <c r="L4891" s="35">
        <v>-7.584176435128545</v>
      </c>
      <c r="M4891" s="58" t="s">
        <v>24</v>
      </c>
      <c r="N4891" s="7">
        <v>11.333333333333334</v>
      </c>
      <c r="O4891" s="7" t="s">
        <v>180</v>
      </c>
      <c r="P4891" s="7" t="s">
        <v>180</v>
      </c>
    </row>
    <row r="4892" spans="1:16" x14ac:dyDescent="0.25">
      <c r="A4892" t="s">
        <v>183</v>
      </c>
      <c r="B4892" t="s">
        <v>220</v>
      </c>
      <c r="C4892" s="7" t="s">
        <v>164</v>
      </c>
      <c r="D4892" t="s">
        <v>122</v>
      </c>
      <c r="F4892" s="35">
        <v>5.4149169609489114</v>
      </c>
      <c r="G4892" s="35">
        <v>75.231730885948792</v>
      </c>
      <c r="H4892" s="35">
        <v>4.1832392513457517</v>
      </c>
      <c r="I4892" s="35">
        <v>-0.37891409963748718</v>
      </c>
      <c r="J4892" s="35">
        <v>-2.3087105444185931E-4</v>
      </c>
      <c r="K4892" s="35">
        <v>-2.1730968463610223</v>
      </c>
      <c r="L4892" s="35">
        <v>-8.0649015768153998</v>
      </c>
      <c r="M4892" s="58" t="s">
        <v>24</v>
      </c>
      <c r="N4892" s="7">
        <v>11.333333333333334</v>
      </c>
      <c r="O4892" s="7" t="s">
        <v>180</v>
      </c>
      <c r="P4892" s="7" t="s">
        <v>180</v>
      </c>
    </row>
    <row r="4893" spans="1:16" x14ac:dyDescent="0.25">
      <c r="A4893" t="s">
        <v>183</v>
      </c>
      <c r="B4893" t="s">
        <v>220</v>
      </c>
      <c r="C4893" s="7" t="s">
        <v>164</v>
      </c>
      <c r="D4893" t="s">
        <v>122</v>
      </c>
      <c r="F4893" s="35">
        <v>10.829833921897823</v>
      </c>
      <c r="G4893" s="35">
        <v>77.811141742064308</v>
      </c>
      <c r="H4893" s="35">
        <v>4.1832392513457517</v>
      </c>
      <c r="I4893" s="35">
        <v>-0.37891409963748718</v>
      </c>
      <c r="J4893" s="35">
        <v>-2.3087105444185931E-4</v>
      </c>
      <c r="K4893" s="35">
        <v>-0.12130846149130814</v>
      </c>
      <c r="L4893" s="35">
        <v>-30.716794750634733</v>
      </c>
      <c r="M4893" s="58" t="s">
        <v>23</v>
      </c>
      <c r="N4893" s="7">
        <v>11.333333333333334</v>
      </c>
      <c r="O4893" s="7" t="s">
        <v>180</v>
      </c>
      <c r="P4893" s="7" t="s">
        <v>180</v>
      </c>
    </row>
    <row r="4894" spans="1:16" x14ac:dyDescent="0.25">
      <c r="A4894" t="s">
        <v>183</v>
      </c>
      <c r="B4894" t="s">
        <v>220</v>
      </c>
      <c r="C4894" s="7" t="s">
        <v>164</v>
      </c>
      <c r="D4894" t="s">
        <v>123</v>
      </c>
      <c r="F4894" s="35">
        <v>0</v>
      </c>
      <c r="G4894" s="35">
        <v>-3.0399794186547364</v>
      </c>
      <c r="H4894" s="35">
        <v>0.92634422788115567</v>
      </c>
      <c r="I4894" s="35">
        <v>3.6102087877332649</v>
      </c>
      <c r="J4894" s="35">
        <v>-5.4032273304018572E-4</v>
      </c>
      <c r="K4894" s="35">
        <v>5.0071440510966401</v>
      </c>
      <c r="L4894" s="35">
        <v>3.9423829069247538</v>
      </c>
      <c r="M4894" s="58" t="s">
        <v>22</v>
      </c>
      <c r="N4894" s="7">
        <v>11.333333333333334</v>
      </c>
      <c r="O4894" s="7" t="s">
        <v>180</v>
      </c>
      <c r="P4894" s="7" t="s">
        <v>180</v>
      </c>
    </row>
    <row r="4895" spans="1:16" x14ac:dyDescent="0.25">
      <c r="A4895" t="s">
        <v>183</v>
      </c>
      <c r="B4895" t="s">
        <v>220</v>
      </c>
      <c r="C4895" s="7" t="s">
        <v>164</v>
      </c>
      <c r="D4895" t="s">
        <v>123</v>
      </c>
      <c r="F4895" s="35">
        <v>0.29999999999999988</v>
      </c>
      <c r="G4895" s="35">
        <v>-2.8970735786547444</v>
      </c>
      <c r="H4895" s="35">
        <v>0.92634422788115567</v>
      </c>
      <c r="I4895" s="35">
        <v>3.6102087877332649</v>
      </c>
      <c r="J4895" s="35">
        <v>-5.4032273304018572E-4</v>
      </c>
      <c r="K4895" s="35">
        <v>3.9240814147766612</v>
      </c>
      <c r="L4895" s="35">
        <v>3.6644796385604068</v>
      </c>
      <c r="M4895" s="58" t="s">
        <v>22</v>
      </c>
      <c r="N4895" s="7">
        <v>11.333333333333334</v>
      </c>
      <c r="O4895" s="7" t="s">
        <v>180</v>
      </c>
      <c r="P4895" s="7" t="s">
        <v>180</v>
      </c>
    </row>
    <row r="4896" spans="1:16" x14ac:dyDescent="0.25">
      <c r="A4896" t="s">
        <v>183</v>
      </c>
      <c r="B4896" t="s">
        <v>220</v>
      </c>
      <c r="C4896" s="7" t="s">
        <v>164</v>
      </c>
      <c r="D4896" t="s">
        <v>123</v>
      </c>
      <c r="F4896" s="35">
        <v>0.29999999999999988</v>
      </c>
      <c r="G4896" s="35">
        <v>-41.026751144186093</v>
      </c>
      <c r="H4896" s="35">
        <v>0.92634422788114745</v>
      </c>
      <c r="I4896" s="35">
        <v>1.275453887770627</v>
      </c>
      <c r="J4896" s="35">
        <v>-4.0916294778620886E-4</v>
      </c>
      <c r="K4896" s="35">
        <v>3.9240814147766625</v>
      </c>
      <c r="L4896" s="35">
        <v>3.6644875081475239</v>
      </c>
      <c r="M4896" s="58" t="s">
        <v>22</v>
      </c>
      <c r="N4896" s="7">
        <v>11.333333333333334</v>
      </c>
      <c r="O4896" s="7" t="s">
        <v>180</v>
      </c>
      <c r="P4896" s="7" t="s">
        <v>180</v>
      </c>
    </row>
    <row r="4897" spans="1:16" x14ac:dyDescent="0.25">
      <c r="A4897" t="s">
        <v>183</v>
      </c>
      <c r="B4897" t="s">
        <v>220</v>
      </c>
      <c r="C4897" s="7" t="s">
        <v>164</v>
      </c>
      <c r="D4897" t="s">
        <v>123</v>
      </c>
      <c r="F4897" s="35">
        <v>5.3</v>
      </c>
      <c r="G4897" s="35">
        <v>-38.644987144186082</v>
      </c>
      <c r="H4897" s="35">
        <v>0.92634422788114745</v>
      </c>
      <c r="I4897" s="35">
        <v>1.275453887770627</v>
      </c>
      <c r="J4897" s="35">
        <v>-4.0916294778620886E-4</v>
      </c>
      <c r="K4897" s="35">
        <v>-2.4531880240764723</v>
      </c>
      <c r="L4897" s="35">
        <v>-0.96723363125821271</v>
      </c>
      <c r="M4897" s="58" t="s">
        <v>24</v>
      </c>
      <c r="N4897" s="7">
        <v>11.333333333333334</v>
      </c>
      <c r="O4897" s="7" t="s">
        <v>180</v>
      </c>
      <c r="P4897" s="7" t="s">
        <v>180</v>
      </c>
    </row>
    <row r="4898" spans="1:16" x14ac:dyDescent="0.25">
      <c r="A4898" t="s">
        <v>183</v>
      </c>
      <c r="B4898" t="s">
        <v>220</v>
      </c>
      <c r="C4898" s="7" t="s">
        <v>164</v>
      </c>
      <c r="D4898" t="s">
        <v>123</v>
      </c>
      <c r="F4898" s="35">
        <v>5.3</v>
      </c>
      <c r="G4898" s="35">
        <v>-3.8414086835346382</v>
      </c>
      <c r="H4898" s="35">
        <v>0.92630866410674373</v>
      </c>
      <c r="I4898" s="35">
        <v>-0.41813556568953203</v>
      </c>
      <c r="J4898" s="35">
        <v>-3.7637984844129724E-4</v>
      </c>
      <c r="K4898" s="35">
        <v>-2.4531880240764719</v>
      </c>
      <c r="L4898" s="35">
        <v>-0.96740226512151462</v>
      </c>
      <c r="M4898" s="58" t="s">
        <v>24</v>
      </c>
      <c r="N4898" s="7">
        <v>11.333333333333334</v>
      </c>
      <c r="O4898" s="7" t="s">
        <v>180</v>
      </c>
      <c r="P4898" s="7" t="s">
        <v>180</v>
      </c>
    </row>
    <row r="4899" spans="1:16" x14ac:dyDescent="0.25">
      <c r="A4899" t="s">
        <v>183</v>
      </c>
      <c r="B4899" t="s">
        <v>220</v>
      </c>
      <c r="C4899" s="7" t="s">
        <v>164</v>
      </c>
      <c r="D4899" t="s">
        <v>123</v>
      </c>
      <c r="F4899" s="35">
        <v>5.4149169609489114</v>
      </c>
      <c r="G4899" s="35">
        <v>-3.7866676674191395</v>
      </c>
      <c r="H4899" s="35">
        <v>0.92630866410674373</v>
      </c>
      <c r="I4899" s="35">
        <v>-0.41813556568953203</v>
      </c>
      <c r="J4899" s="35">
        <v>-3.7637984844129724E-4</v>
      </c>
      <c r="K4899" s="35">
        <v>-2.4051371556027767</v>
      </c>
      <c r="L4899" s="35">
        <v>-1.0738508417013071</v>
      </c>
      <c r="M4899" s="58" t="s">
        <v>24</v>
      </c>
      <c r="N4899" s="7">
        <v>11.333333333333334</v>
      </c>
      <c r="O4899" s="7" t="s">
        <v>180</v>
      </c>
      <c r="P4899" s="7" t="s">
        <v>180</v>
      </c>
    </row>
    <row r="4900" spans="1:16" x14ac:dyDescent="0.25">
      <c r="A4900" t="s">
        <v>183</v>
      </c>
      <c r="B4900" t="s">
        <v>220</v>
      </c>
      <c r="C4900" s="7" t="s">
        <v>164</v>
      </c>
      <c r="D4900" t="s">
        <v>123</v>
      </c>
      <c r="F4900" s="35">
        <v>10.829833921897823</v>
      </c>
      <c r="G4900" s="35">
        <v>-1.2072568113036248</v>
      </c>
      <c r="H4900" s="35">
        <v>0.92630866410674373</v>
      </c>
      <c r="I4900" s="35">
        <v>-0.41813556568953203</v>
      </c>
      <c r="J4900" s="35">
        <v>-3.7637984844129724E-4</v>
      </c>
      <c r="K4900" s="35">
        <v>-0.14096778897456297</v>
      </c>
      <c r="L4900" s="35">
        <v>-6.0897353380468395</v>
      </c>
      <c r="M4900" s="58" t="s">
        <v>23</v>
      </c>
      <c r="N4900" s="7">
        <v>11.333333333333334</v>
      </c>
      <c r="O4900" s="7" t="s">
        <v>180</v>
      </c>
      <c r="P4900" s="7" t="s">
        <v>180</v>
      </c>
    </row>
    <row r="4901" spans="1:16" x14ac:dyDescent="0.25">
      <c r="A4901" t="s">
        <v>183</v>
      </c>
      <c r="B4901" t="s">
        <v>220</v>
      </c>
      <c r="C4901" s="7" t="s">
        <v>164</v>
      </c>
      <c r="D4901" t="s">
        <v>124</v>
      </c>
      <c r="F4901" s="35">
        <v>0</v>
      </c>
      <c r="G4901" s="35">
        <v>64.488745240843087</v>
      </c>
      <c r="H4901" s="35">
        <v>8.8021152081304486</v>
      </c>
      <c r="I4901" s="35">
        <v>-0.47749072475530197</v>
      </c>
      <c r="J4901" s="35">
        <v>3.043752496051296E-4</v>
      </c>
      <c r="K4901" s="35">
        <v>-0.98308676773240111</v>
      </c>
      <c r="L4901" s="35">
        <v>46.355080525801014</v>
      </c>
      <c r="M4901" s="58" t="s">
        <v>22</v>
      </c>
      <c r="N4901" s="7">
        <v>11.333333333333334</v>
      </c>
      <c r="O4901" s="7" t="s">
        <v>180</v>
      </c>
      <c r="P4901" s="7" t="s">
        <v>180</v>
      </c>
    </row>
    <row r="4902" spans="1:16" x14ac:dyDescent="0.25">
      <c r="A4902" t="s">
        <v>183</v>
      </c>
      <c r="B4902" t="s">
        <v>220</v>
      </c>
      <c r="C4902" s="7" t="s">
        <v>164</v>
      </c>
      <c r="D4902" t="s">
        <v>124</v>
      </c>
      <c r="F4902" s="35">
        <v>0.29999999999999988</v>
      </c>
      <c r="G4902" s="35">
        <v>64.631651080843071</v>
      </c>
      <c r="H4902" s="35">
        <v>8.8021152081304486</v>
      </c>
      <c r="I4902" s="35">
        <v>-0.47749072475530197</v>
      </c>
      <c r="J4902" s="35">
        <v>3.043752496051296E-4</v>
      </c>
      <c r="K4902" s="35">
        <v>-0.83983955030581081</v>
      </c>
      <c r="L4902" s="35">
        <v>43.714445963361882</v>
      </c>
      <c r="M4902" s="58" t="s">
        <v>22</v>
      </c>
      <c r="N4902" s="7">
        <v>11.333333333333334</v>
      </c>
      <c r="O4902" s="7" t="s">
        <v>180</v>
      </c>
      <c r="P4902" s="7" t="s">
        <v>180</v>
      </c>
    </row>
    <row r="4903" spans="1:16" x14ac:dyDescent="0.25">
      <c r="A4903" t="s">
        <v>183</v>
      </c>
      <c r="B4903" t="s">
        <v>220</v>
      </c>
      <c r="C4903" s="7" t="s">
        <v>164</v>
      </c>
      <c r="D4903" t="s">
        <v>124</v>
      </c>
      <c r="F4903" s="35">
        <v>0.29999999999999988</v>
      </c>
      <c r="G4903" s="35">
        <v>68.838896969309232</v>
      </c>
      <c r="H4903" s="35">
        <v>8.8021152081304468</v>
      </c>
      <c r="I4903" s="35">
        <v>-0.27203021747809047</v>
      </c>
      <c r="J4903" s="35">
        <v>4.2157746051741845E-5</v>
      </c>
      <c r="K4903" s="35">
        <v>-0.83983955030581181</v>
      </c>
      <c r="L4903" s="35">
        <v>43.714430230311685</v>
      </c>
      <c r="M4903" s="58" t="s">
        <v>22</v>
      </c>
      <c r="N4903" s="7">
        <v>11.333333333333334</v>
      </c>
      <c r="O4903" s="7" t="s">
        <v>180</v>
      </c>
      <c r="P4903" s="7" t="s">
        <v>180</v>
      </c>
    </row>
    <row r="4904" spans="1:16" x14ac:dyDescent="0.25">
      <c r="A4904" t="s">
        <v>183</v>
      </c>
      <c r="B4904" t="s">
        <v>220</v>
      </c>
      <c r="C4904" s="7" t="s">
        <v>164</v>
      </c>
      <c r="D4904" t="s">
        <v>124</v>
      </c>
      <c r="F4904" s="35">
        <v>5.3</v>
      </c>
      <c r="G4904" s="35">
        <v>71.22066096930925</v>
      </c>
      <c r="H4904" s="35">
        <v>8.8021152081304468</v>
      </c>
      <c r="I4904" s="35">
        <v>-0.27203021747809047</v>
      </c>
      <c r="J4904" s="35">
        <v>4.2157746051741845E-5</v>
      </c>
      <c r="K4904" s="35">
        <v>0.52031153708464062</v>
      </c>
      <c r="L4904" s="35">
        <v>-0.29614581034054227</v>
      </c>
      <c r="M4904" s="58" t="s">
        <v>24</v>
      </c>
      <c r="N4904" s="7">
        <v>11.333333333333334</v>
      </c>
      <c r="O4904" s="7" t="s">
        <v>180</v>
      </c>
      <c r="P4904" s="7" t="s">
        <v>180</v>
      </c>
    </row>
    <row r="4905" spans="1:16" x14ac:dyDescent="0.25">
      <c r="A4905" t="s">
        <v>183</v>
      </c>
      <c r="B4905" t="s">
        <v>220</v>
      </c>
      <c r="C4905" s="7" t="s">
        <v>164</v>
      </c>
      <c r="D4905" t="s">
        <v>124</v>
      </c>
      <c r="F4905" s="35">
        <v>5.3</v>
      </c>
      <c r="G4905" s="35">
        <v>71.048189271561412</v>
      </c>
      <c r="H4905" s="35">
        <v>8.8020920725657046</v>
      </c>
      <c r="I4905" s="35">
        <v>7.5010996405967076E-2</v>
      </c>
      <c r="J4905" s="35">
        <v>2.6772423972115054E-4</v>
      </c>
      <c r="K4905" s="35">
        <v>0.52031153708464084</v>
      </c>
      <c r="L4905" s="35">
        <v>-0.29576330083959912</v>
      </c>
      <c r="M4905" s="58" t="s">
        <v>24</v>
      </c>
      <c r="N4905" s="7">
        <v>11.333333333333334</v>
      </c>
      <c r="O4905" s="7" t="s">
        <v>180</v>
      </c>
      <c r="P4905" s="7" t="s">
        <v>180</v>
      </c>
    </row>
    <row r="4906" spans="1:16" x14ac:dyDescent="0.25">
      <c r="A4906" t="s">
        <v>183</v>
      </c>
      <c r="B4906" t="s">
        <v>220</v>
      </c>
      <c r="C4906" s="7" t="s">
        <v>164</v>
      </c>
      <c r="D4906" t="s">
        <v>124</v>
      </c>
      <c r="F4906" s="35">
        <v>5.4149169609489114</v>
      </c>
      <c r="G4906" s="35">
        <v>71.102930287676912</v>
      </c>
      <c r="H4906" s="35">
        <v>8.8020920725657046</v>
      </c>
      <c r="I4906" s="35">
        <v>7.5010996405967076E-2</v>
      </c>
      <c r="J4906" s="35">
        <v>2.6772423972115054E-4</v>
      </c>
      <c r="K4906" s="35">
        <v>0.51169150133991737</v>
      </c>
      <c r="L4906" s="35">
        <v>-1.3072729718113547</v>
      </c>
      <c r="M4906" s="58" t="s">
        <v>24</v>
      </c>
      <c r="N4906" s="7">
        <v>11.333333333333334</v>
      </c>
      <c r="O4906" s="7" t="s">
        <v>180</v>
      </c>
      <c r="P4906" s="7" t="s">
        <v>180</v>
      </c>
    </row>
    <row r="4907" spans="1:16" x14ac:dyDescent="0.25">
      <c r="A4907" t="s">
        <v>183</v>
      </c>
      <c r="B4907" t="s">
        <v>220</v>
      </c>
      <c r="C4907" s="7" t="s">
        <v>164</v>
      </c>
      <c r="D4907" t="s">
        <v>124</v>
      </c>
      <c r="F4907" s="35">
        <v>10.829833921897823</v>
      </c>
      <c r="G4907" s="35">
        <v>73.682341143792428</v>
      </c>
      <c r="H4907" s="35">
        <v>8.8020920725657046</v>
      </c>
      <c r="I4907" s="35">
        <v>7.5010996405967076E-2</v>
      </c>
      <c r="J4907" s="35">
        <v>2.6772423972115054E-4</v>
      </c>
      <c r="K4907" s="35">
        <v>0.10551318464356847</v>
      </c>
      <c r="L4907" s="35">
        <v>-48.969870627381326</v>
      </c>
      <c r="M4907" s="58" t="s">
        <v>23</v>
      </c>
      <c r="N4907" s="7">
        <v>11.333333333333334</v>
      </c>
      <c r="O4907" s="7" t="s">
        <v>180</v>
      </c>
      <c r="P4907" s="7" t="s">
        <v>180</v>
      </c>
    </row>
    <row r="4908" spans="1:16" x14ac:dyDescent="0.25">
      <c r="A4908" t="s">
        <v>183</v>
      </c>
      <c r="B4908" t="s">
        <v>220</v>
      </c>
      <c r="C4908" s="7" t="s">
        <v>164</v>
      </c>
      <c r="D4908" t="s">
        <v>125</v>
      </c>
      <c r="F4908" s="35">
        <v>0</v>
      </c>
      <c r="G4908" s="35">
        <v>-52.084998328909364</v>
      </c>
      <c r="H4908" s="35">
        <v>20.60018876295517</v>
      </c>
      <c r="I4908" s="35">
        <v>-1.1331349130191155</v>
      </c>
      <c r="J4908" s="35">
        <v>3.6877853098638534E-4</v>
      </c>
      <c r="K4908" s="35">
        <v>-0.6955686196701184</v>
      </c>
      <c r="L4908" s="35">
        <v>114.56795081123369</v>
      </c>
      <c r="M4908" s="58" t="s">
        <v>22</v>
      </c>
      <c r="N4908" s="7">
        <v>11.333333333333334</v>
      </c>
      <c r="O4908" s="7" t="s">
        <v>180</v>
      </c>
      <c r="P4908" s="7" t="s">
        <v>180</v>
      </c>
    </row>
    <row r="4909" spans="1:16" x14ac:dyDescent="0.25">
      <c r="A4909" t="s">
        <v>183</v>
      </c>
      <c r="B4909" t="s">
        <v>220</v>
      </c>
      <c r="C4909" s="7" t="s">
        <v>164</v>
      </c>
      <c r="D4909" t="s">
        <v>125</v>
      </c>
      <c r="F4909" s="35">
        <v>0.29999999999999988</v>
      </c>
      <c r="G4909" s="35">
        <v>-51.942092488909367</v>
      </c>
      <c r="H4909" s="35">
        <v>20.60018876295517</v>
      </c>
      <c r="I4909" s="35">
        <v>-1.1331349130191155</v>
      </c>
      <c r="J4909" s="35">
        <v>3.6877853098638534E-4</v>
      </c>
      <c r="K4909" s="35">
        <v>-0.3556281457643839</v>
      </c>
      <c r="L4909" s="35">
        <v>108.38789418234714</v>
      </c>
      <c r="M4909" s="58" t="s">
        <v>22</v>
      </c>
      <c r="N4909" s="7">
        <v>11.333333333333334</v>
      </c>
      <c r="O4909" s="7" t="s">
        <v>180</v>
      </c>
      <c r="P4909" s="7" t="s">
        <v>180</v>
      </c>
    </row>
    <row r="4910" spans="1:16" x14ac:dyDescent="0.25">
      <c r="A4910" t="s">
        <v>183</v>
      </c>
      <c r="B4910" t="s">
        <v>220</v>
      </c>
      <c r="C4910" s="7" t="s">
        <v>164</v>
      </c>
      <c r="D4910" t="s">
        <v>125</v>
      </c>
      <c r="F4910" s="35">
        <v>0.29999999999999988</v>
      </c>
      <c r="G4910" s="35">
        <v>-34.201820959426037</v>
      </c>
      <c r="H4910" s="35">
        <v>20.600188762955213</v>
      </c>
      <c r="I4910" s="35">
        <v>-0.11569286728087298</v>
      </c>
      <c r="J4910" s="35">
        <v>-2.0376827005747969E-4</v>
      </c>
      <c r="K4910" s="35">
        <v>-0.3556281457643834</v>
      </c>
      <c r="L4910" s="35">
        <v>108.38785982953897</v>
      </c>
      <c r="M4910" s="58" t="s">
        <v>22</v>
      </c>
      <c r="N4910" s="7">
        <v>11.333333333333334</v>
      </c>
      <c r="O4910" s="7" t="s">
        <v>180</v>
      </c>
      <c r="P4910" s="7" t="s">
        <v>180</v>
      </c>
    </row>
    <row r="4911" spans="1:16" x14ac:dyDescent="0.25">
      <c r="A4911" t="s">
        <v>183</v>
      </c>
      <c r="B4911" t="s">
        <v>220</v>
      </c>
      <c r="C4911" s="7" t="s">
        <v>164</v>
      </c>
      <c r="D4911" t="s">
        <v>125</v>
      </c>
      <c r="F4911" s="35">
        <v>5.3</v>
      </c>
      <c r="G4911" s="35">
        <v>-31.820056959426026</v>
      </c>
      <c r="H4911" s="35">
        <v>20.600188762955213</v>
      </c>
      <c r="I4911" s="35">
        <v>-0.11569286728087298</v>
      </c>
      <c r="J4911" s="35">
        <v>-2.0376827005747969E-4</v>
      </c>
      <c r="K4911" s="35">
        <v>0.22283619063998139</v>
      </c>
      <c r="L4911" s="35">
        <v>5.3869160147629005</v>
      </c>
      <c r="M4911" s="58" t="s">
        <v>24</v>
      </c>
      <c r="N4911" s="7">
        <v>11.333333333333334</v>
      </c>
      <c r="O4911" s="7" t="s">
        <v>180</v>
      </c>
      <c r="P4911" s="7" t="s">
        <v>180</v>
      </c>
    </row>
    <row r="4912" spans="1:16" x14ac:dyDescent="0.25">
      <c r="A4912" t="s">
        <v>183</v>
      </c>
      <c r="B4912" t="s">
        <v>220</v>
      </c>
      <c r="C4912" s="7" t="s">
        <v>164</v>
      </c>
      <c r="D4912" t="s">
        <v>125</v>
      </c>
      <c r="F4912" s="35">
        <v>5.3</v>
      </c>
      <c r="G4912" s="35">
        <v>-45.069980976452385</v>
      </c>
      <c r="H4912" s="35">
        <v>20.60011323127851</v>
      </c>
      <c r="I4912" s="35">
        <v>2.5711123259262478E-2</v>
      </c>
      <c r="J4912" s="35">
        <v>2.5184678989810137E-4</v>
      </c>
      <c r="K4912" s="35">
        <v>0.22283619063998142</v>
      </c>
      <c r="L4912" s="35">
        <v>5.3875664086353776</v>
      </c>
      <c r="M4912" s="58" t="s">
        <v>24</v>
      </c>
      <c r="N4912" s="7">
        <v>11.333333333333334</v>
      </c>
      <c r="O4912" s="7" t="s">
        <v>180</v>
      </c>
      <c r="P4912" s="7" t="s">
        <v>180</v>
      </c>
    </row>
    <row r="4913" spans="1:16" x14ac:dyDescent="0.25">
      <c r="A4913" t="s">
        <v>183</v>
      </c>
      <c r="B4913" t="s">
        <v>220</v>
      </c>
      <c r="C4913" s="7" t="s">
        <v>164</v>
      </c>
      <c r="D4913" t="s">
        <v>125</v>
      </c>
      <c r="F4913" s="35">
        <v>5.4149169609489114</v>
      </c>
      <c r="G4913" s="35">
        <v>-45.015239960336892</v>
      </c>
      <c r="H4913" s="35">
        <v>20.60011323127851</v>
      </c>
      <c r="I4913" s="35">
        <v>2.5711123259262478E-2</v>
      </c>
      <c r="J4913" s="35">
        <v>2.5184678989810137E-4</v>
      </c>
      <c r="K4913" s="35">
        <v>0.2198815464924441</v>
      </c>
      <c r="L4913" s="35">
        <v>3.0202640008933912</v>
      </c>
      <c r="M4913" s="58" t="s">
        <v>24</v>
      </c>
      <c r="N4913" s="7">
        <v>11.333333333333334</v>
      </c>
      <c r="O4913" s="7" t="s">
        <v>180</v>
      </c>
      <c r="P4913" s="7" t="s">
        <v>180</v>
      </c>
    </row>
    <row r="4914" spans="1:16" x14ac:dyDescent="0.25">
      <c r="A4914" t="s">
        <v>183</v>
      </c>
      <c r="B4914" t="s">
        <v>220</v>
      </c>
      <c r="C4914" s="7" t="s">
        <v>164</v>
      </c>
      <c r="D4914" t="s">
        <v>125</v>
      </c>
      <c r="F4914" s="35">
        <v>10.829833921897823</v>
      </c>
      <c r="G4914" s="35">
        <v>-42.435829104221376</v>
      </c>
      <c r="H4914" s="35">
        <v>20.60011323127851</v>
      </c>
      <c r="I4914" s="35">
        <v>2.5711123259262478E-2</v>
      </c>
      <c r="J4914" s="35">
        <v>2.5184678989810137E-4</v>
      </c>
      <c r="K4914" s="35">
        <v>8.0657949070815707E-2</v>
      </c>
      <c r="L4914" s="35">
        <v>-108.52763853262465</v>
      </c>
      <c r="M4914" s="58" t="s">
        <v>23</v>
      </c>
      <c r="N4914" s="7">
        <v>11.333333333333334</v>
      </c>
      <c r="O4914" s="7" t="s">
        <v>180</v>
      </c>
      <c r="P4914" s="7" t="s">
        <v>180</v>
      </c>
    </row>
    <row r="4915" spans="1:16" x14ac:dyDescent="0.25">
      <c r="A4915" t="s">
        <v>183</v>
      </c>
      <c r="B4915" t="s">
        <v>220</v>
      </c>
      <c r="C4915" s="7" t="s">
        <v>164</v>
      </c>
      <c r="D4915" t="s">
        <v>126</v>
      </c>
      <c r="F4915" s="35">
        <v>0</v>
      </c>
      <c r="G4915" s="35">
        <v>62.511695332056654</v>
      </c>
      <c r="H4915" s="35">
        <v>-1.1685588963222209</v>
      </c>
      <c r="I4915" s="35">
        <v>-0.51577790495206244</v>
      </c>
      <c r="J4915" s="35">
        <v>-2.3792071905573223E-5</v>
      </c>
      <c r="K4915" s="35">
        <v>-1.0136962798278235</v>
      </c>
      <c r="L4915" s="35">
        <v>-20.314095030500695</v>
      </c>
      <c r="M4915" s="58" t="s">
        <v>22</v>
      </c>
      <c r="N4915" s="7">
        <v>11.333333333333334</v>
      </c>
      <c r="O4915" s="7" t="s">
        <v>180</v>
      </c>
      <c r="P4915" s="7" t="s">
        <v>180</v>
      </c>
    </row>
    <row r="4916" spans="1:16" x14ac:dyDescent="0.25">
      <c r="A4916" t="s">
        <v>183</v>
      </c>
      <c r="B4916" t="s">
        <v>220</v>
      </c>
      <c r="C4916" s="7" t="s">
        <v>164</v>
      </c>
      <c r="D4916" t="s">
        <v>126</v>
      </c>
      <c r="F4916" s="35">
        <v>0.29999999999999988</v>
      </c>
      <c r="G4916" s="35">
        <v>62.654601172056651</v>
      </c>
      <c r="H4916" s="35">
        <v>-1.1685588963222209</v>
      </c>
      <c r="I4916" s="35">
        <v>-0.51577790495206244</v>
      </c>
      <c r="J4916" s="35">
        <v>-2.3792071905573223E-5</v>
      </c>
      <c r="K4916" s="35">
        <v>-0.8589629083422049</v>
      </c>
      <c r="L4916" s="35">
        <v>-19.963527361604029</v>
      </c>
      <c r="M4916" s="58" t="s">
        <v>22</v>
      </c>
      <c r="N4916" s="7">
        <v>11.333333333333334</v>
      </c>
      <c r="O4916" s="7" t="s">
        <v>180</v>
      </c>
      <c r="P4916" s="7" t="s">
        <v>180</v>
      </c>
    </row>
    <row r="4917" spans="1:16" x14ac:dyDescent="0.25">
      <c r="A4917" t="s">
        <v>183</v>
      </c>
      <c r="B4917" t="s">
        <v>220</v>
      </c>
      <c r="C4917" s="7" t="s">
        <v>164</v>
      </c>
      <c r="D4917" t="s">
        <v>126</v>
      </c>
      <c r="F4917" s="35">
        <v>0.29999999999999988</v>
      </c>
      <c r="G4917" s="35">
        <v>67.396501563220625</v>
      </c>
      <c r="H4917" s="35">
        <v>-1.1685588963222424</v>
      </c>
      <c r="I4917" s="35">
        <v>-0.27823812751298271</v>
      </c>
      <c r="J4917" s="35">
        <v>9.8905679799048002E-5</v>
      </c>
      <c r="K4917" s="35">
        <v>-0.85896290834220679</v>
      </c>
      <c r="L4917" s="35">
        <v>-19.963519999738928</v>
      </c>
      <c r="M4917" s="58" t="s">
        <v>22</v>
      </c>
      <c r="N4917" s="7">
        <v>11.333333333333334</v>
      </c>
      <c r="O4917" s="7" t="s">
        <v>180</v>
      </c>
      <c r="P4917" s="7" t="s">
        <v>180</v>
      </c>
    </row>
    <row r="4918" spans="1:16" x14ac:dyDescent="0.25">
      <c r="A4918" t="s">
        <v>183</v>
      </c>
      <c r="B4918" t="s">
        <v>220</v>
      </c>
      <c r="C4918" s="7" t="s">
        <v>164</v>
      </c>
      <c r="D4918" t="s">
        <v>126</v>
      </c>
      <c r="F4918" s="35">
        <v>5.3</v>
      </c>
      <c r="G4918" s="35">
        <v>69.778265563220629</v>
      </c>
      <c r="H4918" s="35">
        <v>-1.1685588963222424</v>
      </c>
      <c r="I4918" s="35">
        <v>-0.27823812751298271</v>
      </c>
      <c r="J4918" s="35">
        <v>9.8905679799048002E-5</v>
      </c>
      <c r="K4918" s="35">
        <v>0.53222772922270689</v>
      </c>
      <c r="L4918" s="35">
        <v>-14.120725518127712</v>
      </c>
      <c r="M4918" s="58" t="s">
        <v>24</v>
      </c>
      <c r="N4918" s="7">
        <v>11.333333333333334</v>
      </c>
      <c r="O4918" s="7" t="s">
        <v>180</v>
      </c>
      <c r="P4918" s="7" t="s">
        <v>180</v>
      </c>
    </row>
    <row r="4919" spans="1:16" x14ac:dyDescent="0.25">
      <c r="A4919" t="s">
        <v>183</v>
      </c>
      <c r="B4919" t="s">
        <v>220</v>
      </c>
      <c r="C4919" s="7" t="s">
        <v>164</v>
      </c>
      <c r="D4919" t="s">
        <v>126</v>
      </c>
      <c r="F4919" s="35">
        <v>5.3</v>
      </c>
      <c r="G4919" s="35">
        <v>69.12294186432257</v>
      </c>
      <c r="H4919" s="35">
        <v>-1.1685461398553583</v>
      </c>
      <c r="I4919" s="35">
        <v>7.6982252974671428E-2</v>
      </c>
      <c r="J4919" s="35">
        <v>2.2686727764306463E-4</v>
      </c>
      <c r="K4919" s="35">
        <v>0.53222772922270634</v>
      </c>
      <c r="L4919" s="35">
        <v>-14.120501611064141</v>
      </c>
      <c r="M4919" s="58" t="s">
        <v>24</v>
      </c>
      <c r="N4919" s="7">
        <v>11.333333333333334</v>
      </c>
      <c r="O4919" s="7" t="s">
        <v>180</v>
      </c>
      <c r="P4919" s="7" t="s">
        <v>180</v>
      </c>
    </row>
    <row r="4920" spans="1:16" x14ac:dyDescent="0.25">
      <c r="A4920" t="s">
        <v>183</v>
      </c>
      <c r="B4920" t="s">
        <v>220</v>
      </c>
      <c r="C4920" s="7" t="s">
        <v>164</v>
      </c>
      <c r="D4920" t="s">
        <v>126</v>
      </c>
      <c r="F4920" s="35">
        <v>5.4149169609489114</v>
      </c>
      <c r="G4920" s="35">
        <v>69.17768288043807</v>
      </c>
      <c r="H4920" s="35">
        <v>-1.1685461398553583</v>
      </c>
      <c r="I4920" s="35">
        <v>7.6982252974671428E-2</v>
      </c>
      <c r="J4920" s="35">
        <v>2.2686727764306463E-4</v>
      </c>
      <c r="K4920" s="35">
        <v>0.52338116266385681</v>
      </c>
      <c r="L4920" s="35">
        <v>-13.986215839943378</v>
      </c>
      <c r="M4920" s="58" t="s">
        <v>24</v>
      </c>
      <c r="N4920" s="7">
        <v>11.333333333333334</v>
      </c>
      <c r="O4920" s="7" t="s">
        <v>180</v>
      </c>
      <c r="P4920" s="7" t="s">
        <v>180</v>
      </c>
    </row>
    <row r="4921" spans="1:16" x14ac:dyDescent="0.25">
      <c r="A4921" t="s">
        <v>183</v>
      </c>
      <c r="B4921" t="s">
        <v>220</v>
      </c>
      <c r="C4921" s="7" t="s">
        <v>164</v>
      </c>
      <c r="D4921" t="s">
        <v>126</v>
      </c>
      <c r="F4921" s="35">
        <v>10.829833921897823</v>
      </c>
      <c r="G4921" s="35">
        <v>71.757093736553585</v>
      </c>
      <c r="H4921" s="35">
        <v>-1.1685461398553583</v>
      </c>
      <c r="I4921" s="35">
        <v>7.6982252974671428E-2</v>
      </c>
      <c r="J4921" s="35">
        <v>2.2686727764306463E-4</v>
      </c>
      <c r="K4921" s="35">
        <v>0.10652865533924877</v>
      </c>
      <c r="L4921" s="35">
        <v>-7.6586355275892224</v>
      </c>
      <c r="M4921" s="58" t="s">
        <v>23</v>
      </c>
      <c r="N4921" s="7">
        <v>11.333333333333334</v>
      </c>
      <c r="O4921" s="7" t="s">
        <v>180</v>
      </c>
      <c r="P4921" s="7" t="s">
        <v>180</v>
      </c>
    </row>
    <row r="4922" spans="1:16" x14ac:dyDescent="0.25">
      <c r="A4922" t="s">
        <v>183</v>
      </c>
      <c r="B4922" t="s">
        <v>220</v>
      </c>
      <c r="C4922" s="7" t="s">
        <v>164</v>
      </c>
      <c r="D4922" t="s">
        <v>127</v>
      </c>
      <c r="F4922" s="35">
        <v>0</v>
      </c>
      <c r="G4922" s="35">
        <v>-148.59837880742296</v>
      </c>
      <c r="H4922" s="35">
        <v>-14.829312636739122</v>
      </c>
      <c r="I4922" s="35">
        <v>-2.063670995603899</v>
      </c>
      <c r="J4922" s="35">
        <v>-2.2381065645813458E-4</v>
      </c>
      <c r="K4922" s="35">
        <v>-0.95478395662244431</v>
      </c>
      <c r="L4922" s="35">
        <v>-85.867505306862441</v>
      </c>
      <c r="M4922" s="58" t="s">
        <v>22</v>
      </c>
      <c r="N4922" s="7">
        <v>11.333333333333334</v>
      </c>
      <c r="O4922" s="7" t="s">
        <v>180</v>
      </c>
      <c r="P4922" s="7" t="s">
        <v>180</v>
      </c>
    </row>
    <row r="4923" spans="1:16" x14ac:dyDescent="0.25">
      <c r="A4923" t="s">
        <v>183</v>
      </c>
      <c r="B4923" t="s">
        <v>220</v>
      </c>
      <c r="C4923" s="7" t="s">
        <v>164</v>
      </c>
      <c r="D4923" t="s">
        <v>127</v>
      </c>
      <c r="F4923" s="35">
        <v>0.29999999999999988</v>
      </c>
      <c r="G4923" s="35">
        <v>-148.45547296742299</v>
      </c>
      <c r="H4923" s="35">
        <v>-14.829312636739122</v>
      </c>
      <c r="I4923" s="35">
        <v>-2.063670995603899</v>
      </c>
      <c r="J4923" s="35">
        <v>-2.2381065645813458E-4</v>
      </c>
      <c r="K4923" s="35">
        <v>-0.33568265794127489</v>
      </c>
      <c r="L4923" s="35">
        <v>-81.418711515840698</v>
      </c>
      <c r="M4923" s="58" t="s">
        <v>22</v>
      </c>
      <c r="N4923" s="7">
        <v>11.333333333333334</v>
      </c>
      <c r="O4923" s="7" t="s">
        <v>180</v>
      </c>
      <c r="P4923" s="7" t="s">
        <v>180</v>
      </c>
    </row>
    <row r="4924" spans="1:16" x14ac:dyDescent="0.25">
      <c r="A4924" t="s">
        <v>183</v>
      </c>
      <c r="B4924" t="s">
        <v>220</v>
      </c>
      <c r="C4924" s="7" t="s">
        <v>164</v>
      </c>
      <c r="D4924" t="s">
        <v>127</v>
      </c>
      <c r="F4924" s="35">
        <v>0.29999999999999988</v>
      </c>
      <c r="G4924" s="35">
        <v>-115.12848516689888</v>
      </c>
      <c r="H4924" s="35">
        <v>-14.829312636739148</v>
      </c>
      <c r="I4924" s="35">
        <v>-0.11102597360321213</v>
      </c>
      <c r="J4924" s="35">
        <v>2.1355364365048708E-4</v>
      </c>
      <c r="K4924" s="35">
        <v>-0.33568265794127555</v>
      </c>
      <c r="L4924" s="35">
        <v>-81.418685273982703</v>
      </c>
      <c r="M4924" s="58" t="s">
        <v>22</v>
      </c>
      <c r="N4924" s="7">
        <v>11.333333333333334</v>
      </c>
      <c r="O4924" s="7" t="s">
        <v>180</v>
      </c>
      <c r="P4924" s="7" t="s">
        <v>180</v>
      </c>
    </row>
    <row r="4925" spans="1:16" x14ac:dyDescent="0.25">
      <c r="A4925" t="s">
        <v>183</v>
      </c>
      <c r="B4925" t="s">
        <v>220</v>
      </c>
      <c r="C4925" s="7" t="s">
        <v>164</v>
      </c>
      <c r="D4925" t="s">
        <v>127</v>
      </c>
      <c r="F4925" s="35">
        <v>5.3</v>
      </c>
      <c r="G4925" s="35">
        <v>-112.74672116689888</v>
      </c>
      <c r="H4925" s="35">
        <v>-14.829312636739148</v>
      </c>
      <c r="I4925" s="35">
        <v>-0.11102597360321213</v>
      </c>
      <c r="J4925" s="35">
        <v>2.1355364365048708E-4</v>
      </c>
      <c r="K4925" s="35">
        <v>0.21944721007478507</v>
      </c>
      <c r="L4925" s="35">
        <v>-7.2721220902869703</v>
      </c>
      <c r="M4925" s="58" t="s">
        <v>24</v>
      </c>
      <c r="N4925" s="7">
        <v>11.333333333333334</v>
      </c>
      <c r="O4925" s="7" t="s">
        <v>180</v>
      </c>
      <c r="P4925" s="7" t="s">
        <v>180</v>
      </c>
    </row>
    <row r="4926" spans="1:16" x14ac:dyDescent="0.25">
      <c r="A4926" t="s">
        <v>183</v>
      </c>
      <c r="B4926" t="s">
        <v>220</v>
      </c>
      <c r="C4926" s="7" t="s">
        <v>164</v>
      </c>
      <c r="D4926" t="s">
        <v>127</v>
      </c>
      <c r="F4926" s="35">
        <v>5.3</v>
      </c>
      <c r="G4926" s="35">
        <v>-140.50460012225241</v>
      </c>
      <c r="H4926" s="35">
        <v>-14.829257466012372</v>
      </c>
      <c r="I4926" s="35">
        <v>2.5120736712679458E-2</v>
      </c>
      <c r="J4926" s="35">
        <v>-7.3543315198483752E-5</v>
      </c>
      <c r="K4926" s="35">
        <v>0.21944721007478488</v>
      </c>
      <c r="L4926" s="35">
        <v>-7.2725231306713596</v>
      </c>
      <c r="M4926" s="58" t="s">
        <v>24</v>
      </c>
      <c r="N4926" s="7">
        <v>11.333333333333334</v>
      </c>
      <c r="O4926" s="7" t="s">
        <v>180</v>
      </c>
      <c r="P4926" s="7" t="s">
        <v>180</v>
      </c>
    </row>
    <row r="4927" spans="1:16" x14ac:dyDescent="0.25">
      <c r="A4927" t="s">
        <v>183</v>
      </c>
      <c r="B4927" t="s">
        <v>220</v>
      </c>
      <c r="C4927" s="7" t="s">
        <v>164</v>
      </c>
      <c r="D4927" t="s">
        <v>127</v>
      </c>
      <c r="F4927" s="35">
        <v>5.4149169609489114</v>
      </c>
      <c r="G4927" s="35">
        <v>-140.44985910613693</v>
      </c>
      <c r="H4927" s="35">
        <v>-14.829257466012372</v>
      </c>
      <c r="I4927" s="35">
        <v>2.5120736712679458E-2</v>
      </c>
      <c r="J4927" s="35">
        <v>-7.3543315198483752E-5</v>
      </c>
      <c r="K4927" s="35">
        <v>0.21656041135496604</v>
      </c>
      <c r="L4927" s="35">
        <v>-5.5683899295482622</v>
      </c>
      <c r="M4927" s="58" t="s">
        <v>24</v>
      </c>
      <c r="N4927" s="7">
        <v>11.333333333333334</v>
      </c>
      <c r="O4927" s="7" t="s">
        <v>180</v>
      </c>
      <c r="P4927" s="7" t="s">
        <v>180</v>
      </c>
    </row>
    <row r="4928" spans="1:16" x14ac:dyDescent="0.25">
      <c r="A4928" t="s">
        <v>183</v>
      </c>
      <c r="B4928" t="s">
        <v>220</v>
      </c>
      <c r="C4928" s="7" t="s">
        <v>164</v>
      </c>
      <c r="D4928" t="s">
        <v>127</v>
      </c>
      <c r="F4928" s="35">
        <v>10.829833921897823</v>
      </c>
      <c r="G4928" s="35">
        <v>-137.87044825002141</v>
      </c>
      <c r="H4928" s="35">
        <v>-14.829257466012372</v>
      </c>
      <c r="I4928" s="35">
        <v>2.5120736712679458E-2</v>
      </c>
      <c r="J4928" s="35">
        <v>-7.3543315198483752E-5</v>
      </c>
      <c r="K4928" s="35">
        <v>8.053370805794606E-2</v>
      </c>
      <c r="L4928" s="35">
        <v>74.730807841440381</v>
      </c>
      <c r="M4928" s="58" t="s">
        <v>23</v>
      </c>
      <c r="N4928" s="7">
        <v>11.333333333333334</v>
      </c>
      <c r="O4928" s="7" t="s">
        <v>180</v>
      </c>
      <c r="P4928" s="7" t="s">
        <v>180</v>
      </c>
    </row>
    <row r="4929" spans="1:16" x14ac:dyDescent="0.25">
      <c r="A4929" t="s">
        <v>181</v>
      </c>
      <c r="B4929" t="s">
        <v>221</v>
      </c>
      <c r="C4929" s="7" t="s">
        <v>103</v>
      </c>
      <c r="D4929" t="s">
        <v>105</v>
      </c>
      <c r="F4929" s="35">
        <v>0</v>
      </c>
      <c r="G4929" s="35">
        <v>-49.919484323855002</v>
      </c>
      <c r="H4929" s="35">
        <v>18.850384319582208</v>
      </c>
      <c r="I4929" s="35">
        <v>-0.25732494600284339</v>
      </c>
      <c r="J4929" s="35">
        <v>1.6795123975527385E-4</v>
      </c>
      <c r="K4929" s="35">
        <v>-0.40119910430797168</v>
      </c>
      <c r="L4929" s="35">
        <v>60.595012608251082</v>
      </c>
      <c r="M4929" s="58" t="s">
        <v>22</v>
      </c>
      <c r="N4929" s="7">
        <v>9.5</v>
      </c>
      <c r="O4929" s="7" t="s">
        <v>179</v>
      </c>
      <c r="P4929" s="7" t="s">
        <v>179</v>
      </c>
    </row>
    <row r="4930" spans="1:16" x14ac:dyDescent="0.25">
      <c r="A4930" t="s">
        <v>181</v>
      </c>
      <c r="B4930" t="s">
        <v>221</v>
      </c>
      <c r="C4930" s="7" t="s">
        <v>103</v>
      </c>
      <c r="D4930" t="s">
        <v>105</v>
      </c>
      <c r="F4930" s="35">
        <v>2</v>
      </c>
      <c r="G4930" s="35">
        <v>-49.105686723855001</v>
      </c>
      <c r="H4930" s="35">
        <v>18.850384319582208</v>
      </c>
      <c r="I4930" s="35">
        <v>-0.25732494600284339</v>
      </c>
      <c r="J4930" s="35">
        <v>1.6795123975527385E-4</v>
      </c>
      <c r="K4930" s="35">
        <v>0.11345078769771508</v>
      </c>
      <c r="L4930" s="35">
        <v>22.894243969086659</v>
      </c>
      <c r="M4930" s="58" t="s">
        <v>22</v>
      </c>
      <c r="N4930" s="7">
        <v>9.5</v>
      </c>
      <c r="O4930" s="7" t="s">
        <v>179</v>
      </c>
      <c r="P4930" s="7" t="s">
        <v>179</v>
      </c>
    </row>
    <row r="4931" spans="1:16" x14ac:dyDescent="0.25">
      <c r="A4931" t="s">
        <v>181</v>
      </c>
      <c r="B4931" t="s">
        <v>221</v>
      </c>
      <c r="C4931" s="7" t="s">
        <v>103</v>
      </c>
      <c r="D4931" t="s">
        <v>105</v>
      </c>
      <c r="F4931" s="35">
        <v>2</v>
      </c>
      <c r="G4931" s="35">
        <v>-48.831048832641407</v>
      </c>
      <c r="H4931" s="35">
        <v>18.850373258653061</v>
      </c>
      <c r="I4931" s="35">
        <v>1.4611351646330305E-2</v>
      </c>
      <c r="J4931" s="35">
        <v>2.2825716563664946E-4</v>
      </c>
      <c r="K4931" s="35">
        <v>0.11345078769771524</v>
      </c>
      <c r="L4931" s="35">
        <v>22.894308295407651</v>
      </c>
      <c r="M4931" s="58" t="s">
        <v>22</v>
      </c>
      <c r="N4931" s="7">
        <v>9.5</v>
      </c>
      <c r="O4931" s="7" t="s">
        <v>179</v>
      </c>
      <c r="P4931" s="7" t="s">
        <v>179</v>
      </c>
    </row>
    <row r="4932" spans="1:16" x14ac:dyDescent="0.25">
      <c r="A4932" t="s">
        <v>181</v>
      </c>
      <c r="B4932" t="s">
        <v>221</v>
      </c>
      <c r="C4932" s="7" t="s">
        <v>103</v>
      </c>
      <c r="D4932" t="s">
        <v>105</v>
      </c>
      <c r="F4932" s="35">
        <v>4.5</v>
      </c>
      <c r="G4932" s="35">
        <v>-47.81380183264141</v>
      </c>
      <c r="H4932" s="35">
        <v>18.850373258653061</v>
      </c>
      <c r="I4932" s="35">
        <v>1.4611351646330305E-2</v>
      </c>
      <c r="J4932" s="35">
        <v>2.2825716563664946E-4</v>
      </c>
      <c r="K4932" s="35">
        <v>7.6922408581889493E-2</v>
      </c>
      <c r="L4932" s="35">
        <v>-24.231624851224996</v>
      </c>
      <c r="M4932" s="58" t="s">
        <v>24</v>
      </c>
      <c r="N4932" s="7">
        <v>9.5</v>
      </c>
      <c r="O4932" s="7" t="s">
        <v>179</v>
      </c>
      <c r="P4932" s="7" t="s">
        <v>179</v>
      </c>
    </row>
    <row r="4933" spans="1:16" x14ac:dyDescent="0.25">
      <c r="A4933" t="s">
        <v>181</v>
      </c>
      <c r="B4933" t="s">
        <v>221</v>
      </c>
      <c r="C4933" s="7" t="s">
        <v>103</v>
      </c>
      <c r="D4933" t="s">
        <v>105</v>
      </c>
      <c r="F4933" s="35">
        <v>4.5</v>
      </c>
      <c r="G4933" s="35">
        <v>-47.036854862738053</v>
      </c>
      <c r="H4933" s="35">
        <v>18.85037422763136</v>
      </c>
      <c r="I4933" s="35">
        <v>1.4220184120412411E-2</v>
      </c>
      <c r="J4933" s="35">
        <v>-2.0736298252835951E-4</v>
      </c>
      <c r="K4933" s="35">
        <v>7.6921354391167124E-2</v>
      </c>
      <c r="L4933" s="35">
        <v>-25.202807354389403</v>
      </c>
      <c r="M4933" s="58" t="s">
        <v>24</v>
      </c>
      <c r="N4933" s="7">
        <v>9.5</v>
      </c>
      <c r="O4933" s="7" t="s">
        <v>179</v>
      </c>
      <c r="P4933" s="7" t="s">
        <v>179</v>
      </c>
    </row>
    <row r="4934" spans="1:16" x14ac:dyDescent="0.25">
      <c r="A4934" t="s">
        <v>181</v>
      </c>
      <c r="B4934" t="s">
        <v>221</v>
      </c>
      <c r="C4934" s="7" t="s">
        <v>103</v>
      </c>
      <c r="D4934" t="s">
        <v>105</v>
      </c>
      <c r="F4934" s="35">
        <v>8.9965005885644906</v>
      </c>
      <c r="G4934" s="35">
        <v>-45.207234169051873</v>
      </c>
      <c r="H4934" s="35">
        <v>18.85037422763136</v>
      </c>
      <c r="I4934" s="35">
        <v>1.4220184120412411E-2</v>
      </c>
      <c r="J4934" s="35">
        <v>-2.0736298252835951E-4</v>
      </c>
      <c r="K4934" s="35">
        <v>1.2980288124237311E-2</v>
      </c>
      <c r="L4934" s="35">
        <v>-109.96352616359469</v>
      </c>
      <c r="M4934" s="58" t="s">
        <v>23</v>
      </c>
      <c r="N4934" s="7">
        <v>9.5</v>
      </c>
      <c r="O4934" s="7" t="s">
        <v>179</v>
      </c>
      <c r="P4934" s="7" t="s">
        <v>179</v>
      </c>
    </row>
    <row r="4935" spans="1:16" x14ac:dyDescent="0.25">
      <c r="A4935" t="s">
        <v>181</v>
      </c>
      <c r="B4935" t="s">
        <v>221</v>
      </c>
      <c r="C4935" s="7" t="s">
        <v>103</v>
      </c>
      <c r="D4935" t="s">
        <v>15</v>
      </c>
      <c r="F4935" s="35">
        <v>0</v>
      </c>
      <c r="G4935" s="35">
        <v>53.713349700839935</v>
      </c>
      <c r="H4935" s="35">
        <v>-4.9497234548520437</v>
      </c>
      <c r="I4935" s="35">
        <v>-3.9893923093872834</v>
      </c>
      <c r="J4935" s="35">
        <v>3.5580413690524857E-3</v>
      </c>
      <c r="K4935" s="35">
        <v>-6.3905807754695303</v>
      </c>
      <c r="L4935" s="35">
        <v>-46.364406521689254</v>
      </c>
      <c r="M4935" s="58" t="s">
        <v>22</v>
      </c>
      <c r="N4935" s="7">
        <v>9.5</v>
      </c>
      <c r="O4935" s="7" t="s">
        <v>179</v>
      </c>
      <c r="P4935" s="7" t="s">
        <v>179</v>
      </c>
    </row>
    <row r="4936" spans="1:16" x14ac:dyDescent="0.25">
      <c r="A4936" t="s">
        <v>181</v>
      </c>
      <c r="B4936" t="s">
        <v>221</v>
      </c>
      <c r="C4936" s="7" t="s">
        <v>103</v>
      </c>
      <c r="D4936" t="s">
        <v>15</v>
      </c>
      <c r="F4936" s="35">
        <v>2</v>
      </c>
      <c r="G4936" s="35">
        <v>54.527147300839928</v>
      </c>
      <c r="H4936" s="35">
        <v>-13.349723454852045</v>
      </c>
      <c r="I4936" s="35">
        <v>-3.9893923093872838</v>
      </c>
      <c r="J4936" s="35">
        <v>3.5580413690524857E-3</v>
      </c>
      <c r="K4936" s="35">
        <v>1.5882038433050349</v>
      </c>
      <c r="L4936" s="35">
        <v>-28.064959611985167</v>
      </c>
      <c r="M4936" s="58" t="s">
        <v>22</v>
      </c>
      <c r="N4936" s="7">
        <v>9.5</v>
      </c>
      <c r="O4936" s="7" t="s">
        <v>179</v>
      </c>
      <c r="P4936" s="7" t="s">
        <v>179</v>
      </c>
    </row>
    <row r="4937" spans="1:16" x14ac:dyDescent="0.25">
      <c r="A4937" t="s">
        <v>181</v>
      </c>
      <c r="B4937" t="s">
        <v>221</v>
      </c>
      <c r="C4937" s="7" t="s">
        <v>103</v>
      </c>
      <c r="D4937" t="s">
        <v>15</v>
      </c>
      <c r="F4937" s="35">
        <v>2</v>
      </c>
      <c r="G4937" s="35">
        <v>58.488155841168862</v>
      </c>
      <c r="H4937" s="35">
        <v>-13.349707536773638</v>
      </c>
      <c r="I4937" s="35">
        <v>0.21467633787110416</v>
      </c>
      <c r="J4937" s="35">
        <v>3.5076292193279065E-3</v>
      </c>
      <c r="K4937" s="35">
        <v>1.5882038433050325</v>
      </c>
      <c r="L4937" s="35">
        <v>-28.065013384944901</v>
      </c>
      <c r="M4937" s="58" t="s">
        <v>22</v>
      </c>
      <c r="N4937" s="7">
        <v>9.5</v>
      </c>
      <c r="O4937" s="7" t="s">
        <v>179</v>
      </c>
      <c r="P4937" s="7" t="s">
        <v>179</v>
      </c>
    </row>
    <row r="4938" spans="1:16" x14ac:dyDescent="0.25">
      <c r="A4938" t="s">
        <v>181</v>
      </c>
      <c r="B4938" t="s">
        <v>221</v>
      </c>
      <c r="C4938" s="7" t="s">
        <v>103</v>
      </c>
      <c r="D4938" t="s">
        <v>15</v>
      </c>
      <c r="F4938" s="35">
        <v>4.5</v>
      </c>
      <c r="G4938" s="35">
        <v>59.505402841168866</v>
      </c>
      <c r="H4938" s="35">
        <v>-23.849707536773639</v>
      </c>
      <c r="I4938" s="35">
        <v>0.21467633787110349</v>
      </c>
      <c r="J4938" s="35">
        <v>3.5076292193279065E-3</v>
      </c>
      <c r="K4938" s="35">
        <v>1.0515129986272731</v>
      </c>
      <c r="L4938" s="35">
        <v>18.434255456989188</v>
      </c>
      <c r="M4938" s="58" t="s">
        <v>24</v>
      </c>
      <c r="N4938" s="7">
        <v>9.5</v>
      </c>
      <c r="O4938" s="7" t="s">
        <v>179</v>
      </c>
      <c r="P4938" s="7" t="s">
        <v>179</v>
      </c>
    </row>
    <row r="4939" spans="1:16" x14ac:dyDescent="0.25">
      <c r="A4939" t="s">
        <v>181</v>
      </c>
      <c r="B4939" t="s">
        <v>221</v>
      </c>
      <c r="C4939" s="7" t="s">
        <v>103</v>
      </c>
      <c r="D4939" t="s">
        <v>15</v>
      </c>
      <c r="F4939" s="35">
        <v>4.5</v>
      </c>
      <c r="G4939" s="35">
        <v>60.282348270660954</v>
      </c>
      <c r="H4939" s="35">
        <v>-23.849757744455577</v>
      </c>
      <c r="I4939" s="35">
        <v>0.20913760620492078</v>
      </c>
      <c r="J4939" s="35">
        <v>-2.8311476351511886E-3</v>
      </c>
      <c r="K4939" s="35">
        <v>1.0515059282659327</v>
      </c>
      <c r="L4939" s="35">
        <v>17.463077393347955</v>
      </c>
      <c r="M4939" s="58" t="s">
        <v>24</v>
      </c>
      <c r="N4939" s="7">
        <v>9.5</v>
      </c>
      <c r="O4939" s="7" t="s">
        <v>179</v>
      </c>
      <c r="P4939" s="7" t="s">
        <v>179</v>
      </c>
    </row>
    <row r="4940" spans="1:16" x14ac:dyDescent="0.25">
      <c r="A4940" t="s">
        <v>181</v>
      </c>
      <c r="B4940" t="s">
        <v>221</v>
      </c>
      <c r="C4940" s="7" t="s">
        <v>103</v>
      </c>
      <c r="D4940" t="s">
        <v>15</v>
      </c>
      <c r="F4940" s="35">
        <v>8.9965005885644906</v>
      </c>
      <c r="G4940" s="35">
        <v>62.111968964347135</v>
      </c>
      <c r="H4940" s="35">
        <v>-42.735060216426433</v>
      </c>
      <c r="I4940" s="35">
        <v>0.20913760620491961</v>
      </c>
      <c r="J4940" s="35">
        <v>-2.8311476351511886E-3</v>
      </c>
      <c r="K4940" s="35">
        <v>0.1111185588745406</v>
      </c>
      <c r="L4940" s="35">
        <v>167.16241396863063</v>
      </c>
      <c r="M4940" s="58" t="s">
        <v>23</v>
      </c>
      <c r="N4940" s="7">
        <v>9.5</v>
      </c>
      <c r="O4940" s="7" t="s">
        <v>179</v>
      </c>
      <c r="P4940" s="7" t="s">
        <v>179</v>
      </c>
    </row>
    <row r="4941" spans="1:16" x14ac:dyDescent="0.25">
      <c r="A4941" t="s">
        <v>181</v>
      </c>
      <c r="B4941" t="s">
        <v>221</v>
      </c>
      <c r="C4941" s="7" t="s">
        <v>103</v>
      </c>
      <c r="D4941" t="s">
        <v>16</v>
      </c>
      <c r="F4941" s="35">
        <v>0</v>
      </c>
      <c r="G4941" s="35">
        <v>12.092567010421526</v>
      </c>
      <c r="H4941" s="35">
        <v>-0.44770520248066525</v>
      </c>
      <c r="I4941" s="35">
        <v>-3.9606294085868279</v>
      </c>
      <c r="J4941" s="35">
        <v>3.5666570229148796E-3</v>
      </c>
      <c r="K4941" s="35">
        <v>-6.3195980677629775</v>
      </c>
      <c r="L4941" s="35">
        <v>-14.375890376657649</v>
      </c>
      <c r="M4941" s="58" t="s">
        <v>22</v>
      </c>
      <c r="N4941" s="7">
        <v>9.5</v>
      </c>
      <c r="O4941" s="7" t="s">
        <v>179</v>
      </c>
      <c r="P4941" s="7" t="s">
        <v>179</v>
      </c>
    </row>
    <row r="4942" spans="1:16" x14ac:dyDescent="0.25">
      <c r="A4942" t="s">
        <v>181</v>
      </c>
      <c r="B4942" t="s">
        <v>221</v>
      </c>
      <c r="C4942" s="7" t="s">
        <v>103</v>
      </c>
      <c r="D4942" t="s">
        <v>16</v>
      </c>
      <c r="F4942" s="35">
        <v>2</v>
      </c>
      <c r="G4942" s="35">
        <v>12.906364610421527</v>
      </c>
      <c r="H4942" s="35">
        <v>-4.1437052024806649</v>
      </c>
      <c r="I4942" s="35">
        <v>-3.9606294085868279</v>
      </c>
      <c r="J4942" s="35">
        <v>3.5666570229148796E-3</v>
      </c>
      <c r="K4942" s="35">
        <v>1.6016607494106772</v>
      </c>
      <c r="L4942" s="35">
        <v>-9.7844799716963227</v>
      </c>
      <c r="M4942" s="58" t="s">
        <v>22</v>
      </c>
      <c r="N4942" s="7">
        <v>9.5</v>
      </c>
      <c r="O4942" s="7" t="s">
        <v>179</v>
      </c>
      <c r="P4942" s="7" t="s">
        <v>179</v>
      </c>
    </row>
    <row r="4943" spans="1:16" x14ac:dyDescent="0.25">
      <c r="A4943" t="s">
        <v>181</v>
      </c>
      <c r="B4943" t="s">
        <v>221</v>
      </c>
      <c r="C4943" s="7" t="s">
        <v>103</v>
      </c>
      <c r="D4943" t="s">
        <v>16</v>
      </c>
      <c r="F4943" s="35">
        <v>2</v>
      </c>
      <c r="G4943" s="35">
        <v>16.842141928265068</v>
      </c>
      <c r="H4943" s="35">
        <v>-4.1436996746388663</v>
      </c>
      <c r="I4943" s="35">
        <v>0.21652376381068014</v>
      </c>
      <c r="J4943" s="35">
        <v>3.557322640167641E-3</v>
      </c>
      <c r="K4943" s="35">
        <v>1.601660749410678</v>
      </c>
      <c r="L4943" s="35">
        <v>-9.7844899283712579</v>
      </c>
      <c r="M4943" s="58" t="s">
        <v>22</v>
      </c>
      <c r="N4943" s="7">
        <v>9.5</v>
      </c>
      <c r="O4943" s="7" t="s">
        <v>179</v>
      </c>
      <c r="P4943" s="7" t="s">
        <v>179</v>
      </c>
    </row>
    <row r="4944" spans="1:16" x14ac:dyDescent="0.25">
      <c r="A4944" t="s">
        <v>181</v>
      </c>
      <c r="B4944" t="s">
        <v>221</v>
      </c>
      <c r="C4944" s="7" t="s">
        <v>103</v>
      </c>
      <c r="D4944" t="s">
        <v>16</v>
      </c>
      <c r="F4944" s="35">
        <v>4.5</v>
      </c>
      <c r="G4944" s="35">
        <v>17.859388928265066</v>
      </c>
      <c r="H4944" s="35">
        <v>-8.7636996746388665</v>
      </c>
      <c r="I4944" s="35">
        <v>0.21652376381067989</v>
      </c>
      <c r="J4944" s="35">
        <v>3.557322640167641E-3</v>
      </c>
      <c r="K4944" s="35">
        <v>1.0603513398839781</v>
      </c>
      <c r="L4944" s="35">
        <v>6.3497592582259053</v>
      </c>
      <c r="M4944" s="58" t="s">
        <v>24</v>
      </c>
      <c r="N4944" s="7">
        <v>9.5</v>
      </c>
      <c r="O4944" s="7" t="s">
        <v>179</v>
      </c>
      <c r="P4944" s="7" t="s">
        <v>179</v>
      </c>
    </row>
    <row r="4945" spans="1:16" x14ac:dyDescent="0.25">
      <c r="A4945" t="s">
        <v>181</v>
      </c>
      <c r="B4945" t="s">
        <v>221</v>
      </c>
      <c r="C4945" s="7" t="s">
        <v>103</v>
      </c>
      <c r="D4945" t="s">
        <v>16</v>
      </c>
      <c r="F4945" s="35">
        <v>4.5</v>
      </c>
      <c r="G4945" s="35">
        <v>18.636334502820663</v>
      </c>
      <c r="H4945" s="35">
        <v>-8.7637477842822538</v>
      </c>
      <c r="I4945" s="35">
        <v>0.21088908204223036</v>
      </c>
      <c r="J4945" s="35">
        <v>-2.886907080488828E-3</v>
      </c>
      <c r="K4945" s="35">
        <v>1.0603447531135859</v>
      </c>
      <c r="L4945" s="35">
        <v>5.3785805852485398</v>
      </c>
      <c r="M4945" s="58" t="s">
        <v>24</v>
      </c>
      <c r="N4945" s="7">
        <v>9.5</v>
      </c>
      <c r="O4945" s="7" t="s">
        <v>179</v>
      </c>
      <c r="P4945" s="7" t="s">
        <v>179</v>
      </c>
    </row>
    <row r="4946" spans="1:16" x14ac:dyDescent="0.25">
      <c r="A4946" t="s">
        <v>181</v>
      </c>
      <c r="B4946" t="s">
        <v>221</v>
      </c>
      <c r="C4946" s="7" t="s">
        <v>103</v>
      </c>
      <c r="D4946" t="s">
        <v>16</v>
      </c>
      <c r="F4946" s="35">
        <v>8.9965005885644906</v>
      </c>
      <c r="G4946" s="35">
        <v>20.465955196506847</v>
      </c>
      <c r="H4946" s="35">
        <v>-17.073280871949432</v>
      </c>
      <c r="I4946" s="35">
        <v>0.21088908204222984</v>
      </c>
      <c r="J4946" s="35">
        <v>-2.886907080488828E-3</v>
      </c>
      <c r="K4946" s="35">
        <v>0.11208187158887337</v>
      </c>
      <c r="L4946" s="35">
        <v>63.46668786500021</v>
      </c>
      <c r="M4946" s="58" t="s">
        <v>23</v>
      </c>
      <c r="N4946" s="7">
        <v>9.5</v>
      </c>
      <c r="O4946" s="7" t="s">
        <v>179</v>
      </c>
      <c r="P4946" s="7" t="s">
        <v>179</v>
      </c>
    </row>
    <row r="4947" spans="1:16" x14ac:dyDescent="0.25">
      <c r="A4947" t="s">
        <v>181</v>
      </c>
      <c r="B4947" t="s">
        <v>221</v>
      </c>
      <c r="C4947" s="7" t="s">
        <v>103</v>
      </c>
      <c r="D4947" t="s">
        <v>106</v>
      </c>
      <c r="F4947" s="35">
        <v>0</v>
      </c>
      <c r="G4947" s="35">
        <v>70.634678732638136</v>
      </c>
      <c r="H4947" s="35">
        <v>-4.9396717418407796</v>
      </c>
      <c r="I4947" s="35">
        <v>4.5784642149680135</v>
      </c>
      <c r="J4947" s="35">
        <v>-3.8588948504256963E-3</v>
      </c>
      <c r="K4947" s="35">
        <v>7.2956284089213179</v>
      </c>
      <c r="L4947" s="35">
        <v>-46.859967729474533</v>
      </c>
      <c r="M4947" s="58" t="s">
        <v>22</v>
      </c>
      <c r="N4947" s="7">
        <v>9.5</v>
      </c>
      <c r="O4947" s="7" t="s">
        <v>179</v>
      </c>
      <c r="P4947" s="7" t="s">
        <v>179</v>
      </c>
    </row>
    <row r="4948" spans="1:16" x14ac:dyDescent="0.25">
      <c r="A4948" t="s">
        <v>181</v>
      </c>
      <c r="B4948" t="s">
        <v>221</v>
      </c>
      <c r="C4948" s="7" t="s">
        <v>103</v>
      </c>
      <c r="D4948" t="s">
        <v>106</v>
      </c>
      <c r="F4948" s="35">
        <v>2</v>
      </c>
      <c r="G4948" s="35">
        <v>71.448476332638137</v>
      </c>
      <c r="H4948" s="35">
        <v>-13.339671741840778</v>
      </c>
      <c r="I4948" s="35">
        <v>4.5784642149680117</v>
      </c>
      <c r="J4948" s="35">
        <v>-3.8588948504256963E-3</v>
      </c>
      <c r="K4948" s="35">
        <v>-1.8613000210147077</v>
      </c>
      <c r="L4948" s="35">
        <v>-28.580624245792983</v>
      </c>
      <c r="M4948" s="58" t="s">
        <v>22</v>
      </c>
      <c r="N4948" s="7">
        <v>9.5</v>
      </c>
      <c r="O4948" s="7" t="s">
        <v>179</v>
      </c>
      <c r="P4948" s="7" t="s">
        <v>179</v>
      </c>
    </row>
    <row r="4949" spans="1:16" x14ac:dyDescent="0.25">
      <c r="A4949" t="s">
        <v>181</v>
      </c>
      <c r="B4949" t="s">
        <v>221</v>
      </c>
      <c r="C4949" s="7" t="s">
        <v>103</v>
      </c>
      <c r="D4949" t="s">
        <v>106</v>
      </c>
      <c r="F4949" s="35">
        <v>2</v>
      </c>
      <c r="G4949" s="35">
        <v>66.938565075428414</v>
      </c>
      <c r="H4949" s="35">
        <v>-13.339653990117085</v>
      </c>
      <c r="I4949" s="35">
        <v>-0.2531151358789489</v>
      </c>
      <c r="J4949" s="35">
        <v>-3.9371730631268687E-3</v>
      </c>
      <c r="K4949" s="35">
        <v>-1.8613000210147146</v>
      </c>
      <c r="L4949" s="35">
        <v>-28.580707742553123</v>
      </c>
      <c r="M4949" s="58" t="s">
        <v>22</v>
      </c>
      <c r="N4949" s="7">
        <v>9.5</v>
      </c>
      <c r="O4949" s="7" t="s">
        <v>179</v>
      </c>
      <c r="P4949" s="7" t="s">
        <v>179</v>
      </c>
    </row>
    <row r="4950" spans="1:16" x14ac:dyDescent="0.25">
      <c r="A4950" t="s">
        <v>181</v>
      </c>
      <c r="B4950" t="s">
        <v>221</v>
      </c>
      <c r="C4950" s="7" t="s">
        <v>103</v>
      </c>
      <c r="D4950" t="s">
        <v>106</v>
      </c>
      <c r="F4950" s="35">
        <v>4.5</v>
      </c>
      <c r="G4950" s="35">
        <v>67.955812075428412</v>
      </c>
      <c r="H4950" s="35">
        <v>-23.839653990117085</v>
      </c>
      <c r="I4950" s="35">
        <v>-0.25311513587894957</v>
      </c>
      <c r="J4950" s="35">
        <v>-3.9371730631268687E-3</v>
      </c>
      <c r="K4950" s="35">
        <v>-1.2285121813173412</v>
      </c>
      <c r="L4950" s="35">
        <v>17.893427232739587</v>
      </c>
      <c r="M4950" s="58" t="s">
        <v>24</v>
      </c>
      <c r="N4950" s="7">
        <v>9.5</v>
      </c>
      <c r="O4950" s="7" t="s">
        <v>179</v>
      </c>
      <c r="P4950" s="7" t="s">
        <v>179</v>
      </c>
    </row>
    <row r="4951" spans="1:16" x14ac:dyDescent="0.25">
      <c r="A4951" t="s">
        <v>181</v>
      </c>
      <c r="B4951" t="s">
        <v>221</v>
      </c>
      <c r="C4951" s="7" t="s">
        <v>103</v>
      </c>
      <c r="D4951" t="s">
        <v>106</v>
      </c>
      <c r="F4951" s="35">
        <v>4.5</v>
      </c>
      <c r="G4951" s="35">
        <v>68.732760792934968</v>
      </c>
      <c r="H4951" s="35">
        <v>-23.839630005122739</v>
      </c>
      <c r="I4951" s="35">
        <v>-0.24674391877679139</v>
      </c>
      <c r="J4951" s="35">
        <v>3.2330969183327076E-3</v>
      </c>
      <c r="K4951" s="35">
        <v>-1.228506611467209</v>
      </c>
      <c r="L4951" s="35">
        <v>16.922245093672355</v>
      </c>
      <c r="M4951" s="58" t="s">
        <v>24</v>
      </c>
      <c r="N4951" s="7">
        <v>9.5</v>
      </c>
      <c r="O4951" s="7" t="s">
        <v>179</v>
      </c>
      <c r="P4951" s="7" t="s">
        <v>179</v>
      </c>
    </row>
    <row r="4952" spans="1:16" x14ac:dyDescent="0.25">
      <c r="A4952" t="s">
        <v>181</v>
      </c>
      <c r="B4952" t="s">
        <v>221</v>
      </c>
      <c r="C4952" s="7" t="s">
        <v>103</v>
      </c>
      <c r="D4952" t="s">
        <v>106</v>
      </c>
      <c r="F4952" s="35">
        <v>8.9965005885644906</v>
      </c>
      <c r="G4952" s="35">
        <v>70.562381486621149</v>
      </c>
      <c r="H4952" s="35">
        <v>-42.724932477093596</v>
      </c>
      <c r="I4952" s="35">
        <v>-0.24674391877679255</v>
      </c>
      <c r="J4952" s="35">
        <v>3.2330969183327076E-3</v>
      </c>
      <c r="K4952" s="35">
        <v>-0.11902243546265526</v>
      </c>
      <c r="L4952" s="35">
        <v>166.57604228308412</v>
      </c>
      <c r="M4952" s="58" t="s">
        <v>23</v>
      </c>
      <c r="N4952" s="7">
        <v>9.5</v>
      </c>
      <c r="O4952" s="7" t="s">
        <v>179</v>
      </c>
      <c r="P4952" s="7" t="s">
        <v>179</v>
      </c>
    </row>
    <row r="4953" spans="1:16" x14ac:dyDescent="0.25">
      <c r="A4953" t="s">
        <v>181</v>
      </c>
      <c r="B4953" t="s">
        <v>221</v>
      </c>
      <c r="C4953" s="7" t="s">
        <v>103</v>
      </c>
      <c r="D4953" t="s">
        <v>107</v>
      </c>
      <c r="F4953" s="35">
        <v>0</v>
      </c>
      <c r="G4953" s="35">
        <v>29.020647923866488</v>
      </c>
      <c r="H4953" s="35">
        <v>-0.43759209602461113</v>
      </c>
      <c r="I4953" s="35">
        <v>4.6105163574972003</v>
      </c>
      <c r="J4953" s="35">
        <v>-3.853162949558848E-3</v>
      </c>
      <c r="K4953" s="35">
        <v>7.3718719573484028</v>
      </c>
      <c r="L4953" s="35">
        <v>-14.870292166906937</v>
      </c>
      <c r="M4953" s="58" t="s">
        <v>22</v>
      </c>
      <c r="N4953" s="7">
        <v>9.5</v>
      </c>
      <c r="O4953" s="7" t="s">
        <v>179</v>
      </c>
      <c r="P4953" s="7" t="s">
        <v>179</v>
      </c>
    </row>
    <row r="4954" spans="1:16" x14ac:dyDescent="0.25">
      <c r="A4954" t="s">
        <v>181</v>
      </c>
      <c r="B4954" t="s">
        <v>221</v>
      </c>
      <c r="C4954" s="7" t="s">
        <v>103</v>
      </c>
      <c r="D4954" t="s">
        <v>107</v>
      </c>
      <c r="F4954" s="35">
        <v>2</v>
      </c>
      <c r="G4954" s="35">
        <v>29.834445523866489</v>
      </c>
      <c r="H4954" s="35">
        <v>-4.1335920960246106</v>
      </c>
      <c r="I4954" s="35">
        <v>4.6105163574972003</v>
      </c>
      <c r="J4954" s="35">
        <v>-3.853162949558848E-3</v>
      </c>
      <c r="K4954" s="35">
        <v>-1.8491607576459983</v>
      </c>
      <c r="L4954" s="35">
        <v>-10.299107974857719</v>
      </c>
      <c r="M4954" s="58" t="s">
        <v>22</v>
      </c>
      <c r="N4954" s="7">
        <v>9.5</v>
      </c>
      <c r="O4954" s="7" t="s">
        <v>179</v>
      </c>
      <c r="P4954" s="7" t="s">
        <v>179</v>
      </c>
    </row>
    <row r="4955" spans="1:16" x14ac:dyDescent="0.25">
      <c r="A4955" t="s">
        <v>181</v>
      </c>
      <c r="B4955" t="s">
        <v>221</v>
      </c>
      <c r="C4955" s="7" t="s">
        <v>103</v>
      </c>
      <c r="D4955" t="s">
        <v>107</v>
      </c>
      <c r="F4955" s="35">
        <v>2</v>
      </c>
      <c r="G4955" s="35">
        <v>25.296051555749109</v>
      </c>
      <c r="H4955" s="35">
        <v>-4.1335847381058146</v>
      </c>
      <c r="I4955" s="35">
        <v>-0.25144672282602892</v>
      </c>
      <c r="J4955" s="35">
        <v>-3.8903765665001034E-3</v>
      </c>
      <c r="K4955" s="35">
        <v>-1.8491607576460043</v>
      </c>
      <c r="L4955" s="35">
        <v>-10.299147669382474</v>
      </c>
      <c r="M4955" s="58" t="s">
        <v>22</v>
      </c>
      <c r="N4955" s="7">
        <v>9.5</v>
      </c>
      <c r="O4955" s="7" t="s">
        <v>179</v>
      </c>
      <c r="P4955" s="7" t="s">
        <v>179</v>
      </c>
    </row>
    <row r="4956" spans="1:16" x14ac:dyDescent="0.25">
      <c r="A4956" t="s">
        <v>181</v>
      </c>
      <c r="B4956" t="s">
        <v>221</v>
      </c>
      <c r="C4956" s="7" t="s">
        <v>103</v>
      </c>
      <c r="D4956" t="s">
        <v>107</v>
      </c>
      <c r="F4956" s="35">
        <v>4.5</v>
      </c>
      <c r="G4956" s="35">
        <v>26.313298555749107</v>
      </c>
      <c r="H4956" s="35">
        <v>-8.7535847381058165</v>
      </c>
      <c r="I4956" s="35">
        <v>-0.2514467228260292</v>
      </c>
      <c r="J4956" s="35">
        <v>-3.8903765665001034E-3</v>
      </c>
      <c r="K4956" s="35">
        <v>-1.2205439505809317</v>
      </c>
      <c r="L4956" s="35">
        <v>5.8098141758820621</v>
      </c>
      <c r="M4956" s="58" t="s">
        <v>24</v>
      </c>
      <c r="N4956" s="7">
        <v>9.5</v>
      </c>
      <c r="O4956" s="7" t="s">
        <v>179</v>
      </c>
      <c r="P4956" s="7" t="s">
        <v>179</v>
      </c>
    </row>
    <row r="4957" spans="1:16" x14ac:dyDescent="0.25">
      <c r="A4957" t="s">
        <v>181</v>
      </c>
      <c r="B4957" t="s">
        <v>221</v>
      </c>
      <c r="C4957" s="7" t="s">
        <v>103</v>
      </c>
      <c r="D4957" t="s">
        <v>107</v>
      </c>
      <c r="F4957" s="35">
        <v>4.5</v>
      </c>
      <c r="G4957" s="35">
        <v>27.090247419598754</v>
      </c>
      <c r="H4957" s="35">
        <v>-8.7535584282091943</v>
      </c>
      <c r="I4957" s="35">
        <v>-0.24516643468144261</v>
      </c>
      <c r="J4957" s="35">
        <v>3.1809847284142204E-3</v>
      </c>
      <c r="K4957" s="35">
        <v>-1.2205378922905379</v>
      </c>
      <c r="L4957" s="35">
        <v>4.8386314293069681</v>
      </c>
      <c r="M4957" s="58" t="s">
        <v>24</v>
      </c>
      <c r="N4957" s="7">
        <v>9.5</v>
      </c>
      <c r="O4957" s="7" t="s">
        <v>179</v>
      </c>
      <c r="P4957" s="7" t="s">
        <v>179</v>
      </c>
    </row>
    <row r="4958" spans="1:16" x14ac:dyDescent="0.25">
      <c r="A4958" t="s">
        <v>181</v>
      </c>
      <c r="B4958" t="s">
        <v>221</v>
      </c>
      <c r="C4958" s="7" t="s">
        <v>103</v>
      </c>
      <c r="D4958" t="s">
        <v>107</v>
      </c>
      <c r="F4958" s="35">
        <v>8.9965005885644906</v>
      </c>
      <c r="G4958" s="35">
        <v>28.919868113284938</v>
      </c>
      <c r="H4958" s="35">
        <v>-17.063091515876376</v>
      </c>
      <c r="I4958" s="35">
        <v>-0.24516643468144314</v>
      </c>
      <c r="J4958" s="35">
        <v>3.1809847284142204E-3</v>
      </c>
      <c r="K4958" s="35">
        <v>-0.11814687444917263</v>
      </c>
      <c r="L4958" s="35">
        <v>62.880922263479029</v>
      </c>
      <c r="M4958" s="58" t="s">
        <v>23</v>
      </c>
      <c r="N4958" s="7">
        <v>9.5</v>
      </c>
      <c r="O4958" s="7" t="s">
        <v>179</v>
      </c>
      <c r="P4958" s="7" t="s">
        <v>179</v>
      </c>
    </row>
    <row r="4959" spans="1:16" x14ac:dyDescent="0.25">
      <c r="A4959" t="s">
        <v>181</v>
      </c>
      <c r="B4959" t="s">
        <v>221</v>
      </c>
      <c r="C4959" s="7" t="s">
        <v>103</v>
      </c>
      <c r="D4959" t="s">
        <v>108</v>
      </c>
      <c r="F4959" s="35">
        <v>0</v>
      </c>
      <c r="G4959" s="35">
        <v>55.617149230772604</v>
      </c>
      <c r="H4959" s="35">
        <v>-3.6597602839190198</v>
      </c>
      <c r="I4959" s="35">
        <v>-0.28702297659598885</v>
      </c>
      <c r="J4959" s="35">
        <v>1.3854532824533443E-4</v>
      </c>
      <c r="K4959" s="35">
        <v>-0.50899067875672321</v>
      </c>
      <c r="L4959" s="35">
        <v>-17.669579566109807</v>
      </c>
      <c r="M4959" s="58" t="s">
        <v>22</v>
      </c>
      <c r="N4959" s="7">
        <v>9.5</v>
      </c>
      <c r="O4959" s="7" t="s">
        <v>179</v>
      </c>
      <c r="P4959" s="7" t="s">
        <v>179</v>
      </c>
    </row>
    <row r="4960" spans="1:16" x14ac:dyDescent="0.25">
      <c r="A4960" t="s">
        <v>181</v>
      </c>
      <c r="B4960" t="s">
        <v>221</v>
      </c>
      <c r="C4960" s="7" t="s">
        <v>103</v>
      </c>
      <c r="D4960" t="s">
        <v>108</v>
      </c>
      <c r="F4960" s="35">
        <v>2</v>
      </c>
      <c r="G4960" s="35">
        <v>56.430946830772605</v>
      </c>
      <c r="H4960" s="35">
        <v>-10.043760283919019</v>
      </c>
      <c r="I4960" s="35">
        <v>-0.28702297659598924</v>
      </c>
      <c r="J4960" s="35">
        <v>1.3854532824533443E-4</v>
      </c>
      <c r="K4960" s="35">
        <v>6.5055274435254787E-2</v>
      </c>
      <c r="L4960" s="35">
        <v>-3.9660589982717696</v>
      </c>
      <c r="M4960" s="58" t="s">
        <v>22</v>
      </c>
      <c r="N4960" s="7">
        <v>9.5</v>
      </c>
      <c r="O4960" s="7" t="s">
        <v>179</v>
      </c>
      <c r="P4960" s="7" t="s">
        <v>179</v>
      </c>
    </row>
    <row r="4961" spans="1:16" x14ac:dyDescent="0.25">
      <c r="A4961" t="s">
        <v>181</v>
      </c>
      <c r="B4961" t="s">
        <v>221</v>
      </c>
      <c r="C4961" s="7" t="s">
        <v>103</v>
      </c>
      <c r="D4961" t="s">
        <v>108</v>
      </c>
      <c r="F4961" s="35">
        <v>2</v>
      </c>
      <c r="G4961" s="35">
        <v>56.727220290913266</v>
      </c>
      <c r="H4961" s="35">
        <v>-10.043747874754395</v>
      </c>
      <c r="I4961" s="35">
        <v>7.9966006718766823E-3</v>
      </c>
      <c r="J4961" s="35">
        <v>5.5505864496251736E-5</v>
      </c>
      <c r="K4961" s="35">
        <v>6.5055274435255023E-2</v>
      </c>
      <c r="L4961" s="35">
        <v>-3.9661475736997622</v>
      </c>
      <c r="M4961" s="58" t="s">
        <v>22</v>
      </c>
      <c r="N4961" s="7">
        <v>9.5</v>
      </c>
      <c r="O4961" s="7" t="s">
        <v>179</v>
      </c>
      <c r="P4961" s="7" t="s">
        <v>179</v>
      </c>
    </row>
    <row r="4962" spans="1:16" x14ac:dyDescent="0.25">
      <c r="A4962" t="s">
        <v>181</v>
      </c>
      <c r="B4962" t="s">
        <v>221</v>
      </c>
      <c r="C4962" s="7" t="s">
        <v>103</v>
      </c>
      <c r="D4962" t="s">
        <v>108</v>
      </c>
      <c r="F4962" s="35">
        <v>4.5</v>
      </c>
      <c r="G4962" s="35">
        <v>57.744467290913271</v>
      </c>
      <c r="H4962" s="35">
        <v>-18.023747874754399</v>
      </c>
      <c r="I4962" s="35">
        <v>7.9966006718761931E-3</v>
      </c>
      <c r="J4962" s="35">
        <v>5.5505864496251736E-5</v>
      </c>
      <c r="K4962" s="35">
        <v>4.5063772755563926E-2</v>
      </c>
      <c r="L4962" s="35">
        <v>31.118222113186224</v>
      </c>
      <c r="M4962" s="58" t="s">
        <v>24</v>
      </c>
      <c r="N4962" s="7">
        <v>9.5</v>
      </c>
      <c r="O4962" s="7" t="s">
        <v>179</v>
      </c>
      <c r="P4962" s="7" t="s">
        <v>179</v>
      </c>
    </row>
    <row r="4963" spans="1:16" x14ac:dyDescent="0.25">
      <c r="A4963" t="s">
        <v>181</v>
      </c>
      <c r="B4963" t="s">
        <v>221</v>
      </c>
      <c r="C4963" s="7" t="s">
        <v>103</v>
      </c>
      <c r="D4963" t="s">
        <v>108</v>
      </c>
      <c r="F4963" s="35">
        <v>4.5</v>
      </c>
      <c r="G4963" s="35">
        <v>58.521413927419303</v>
      </c>
      <c r="H4963" s="35">
        <v>-18.023744747898817</v>
      </c>
      <c r="I4963" s="35">
        <v>7.9033838699609452E-3</v>
      </c>
      <c r="J4963" s="35">
        <v>-2.0372016254699071E-5</v>
      </c>
      <c r="K4963" s="35">
        <v>4.5061601379734778E-2</v>
      </c>
      <c r="L4963" s="35">
        <v>30.147041373126306</v>
      </c>
      <c r="M4963" s="58" t="s">
        <v>24</v>
      </c>
      <c r="N4963" s="7">
        <v>9.5</v>
      </c>
      <c r="O4963" s="7" t="s">
        <v>179</v>
      </c>
      <c r="P4963" s="7" t="s">
        <v>179</v>
      </c>
    </row>
    <row r="4964" spans="1:16" x14ac:dyDescent="0.25">
      <c r="A4964" t="s">
        <v>181</v>
      </c>
      <c r="B4964" t="s">
        <v>221</v>
      </c>
      <c r="C4964" s="7" t="s">
        <v>103</v>
      </c>
      <c r="D4964" t="s">
        <v>108</v>
      </c>
      <c r="F4964" s="35">
        <v>8.9965005885644906</v>
      </c>
      <c r="G4964" s="35">
        <v>60.351034621105491</v>
      </c>
      <c r="H4964" s="35">
        <v>-32.376574626596671</v>
      </c>
      <c r="I4964" s="35">
        <v>7.9033838699600675E-3</v>
      </c>
      <c r="J4964" s="35">
        <v>-2.0372016254699071E-5</v>
      </c>
      <c r="K4964" s="35">
        <v>9.5240311568062681E-3</v>
      </c>
      <c r="L4964" s="35">
        <v>143.45957423875493</v>
      </c>
      <c r="M4964" s="58" t="s">
        <v>23</v>
      </c>
      <c r="N4964" s="7">
        <v>9.5</v>
      </c>
      <c r="O4964" s="7" t="s">
        <v>179</v>
      </c>
      <c r="P4964" s="7" t="s">
        <v>179</v>
      </c>
    </row>
    <row r="4965" spans="1:16" x14ac:dyDescent="0.25">
      <c r="A4965" t="s">
        <v>181</v>
      </c>
      <c r="B4965" t="s">
        <v>221</v>
      </c>
      <c r="C4965" s="7" t="s">
        <v>103</v>
      </c>
      <c r="D4965" t="s">
        <v>109</v>
      </c>
      <c r="F4965" s="35">
        <v>0</v>
      </c>
      <c r="G4965" s="35">
        <v>2.2771744560447109</v>
      </c>
      <c r="H4965" s="35">
        <v>12.589892250187889</v>
      </c>
      <c r="I4965" s="35">
        <v>-0.41596717100353253</v>
      </c>
      <c r="J4965" s="35">
        <v>2.7197078656399776E-4</v>
      </c>
      <c r="K4965" s="35">
        <v>-0.69461897953524809</v>
      </c>
      <c r="L4965" s="35">
        <v>79.034134432008017</v>
      </c>
      <c r="M4965" s="58" t="s">
        <v>22</v>
      </c>
      <c r="N4965" s="7">
        <v>9.5</v>
      </c>
      <c r="O4965" s="7" t="s">
        <v>179</v>
      </c>
      <c r="P4965" s="7" t="s">
        <v>179</v>
      </c>
    </row>
    <row r="4966" spans="1:16" x14ac:dyDescent="0.25">
      <c r="A4966" t="s">
        <v>181</v>
      </c>
      <c r="B4966" t="s">
        <v>221</v>
      </c>
      <c r="C4966" s="7" t="s">
        <v>103</v>
      </c>
      <c r="D4966" t="s">
        <v>109</v>
      </c>
      <c r="F4966" s="35">
        <v>2</v>
      </c>
      <c r="G4966" s="35">
        <v>3.0909720560447127</v>
      </c>
      <c r="H4966" s="35">
        <v>10.909892250187889</v>
      </c>
      <c r="I4966" s="35">
        <v>-0.41596717100353264</v>
      </c>
      <c r="J4966" s="35">
        <v>2.7197078656399776E-4</v>
      </c>
      <c r="K4966" s="35">
        <v>0.13731536247181689</v>
      </c>
      <c r="L4966" s="35">
        <v>55.534349931632235</v>
      </c>
      <c r="M4966" s="58" t="s">
        <v>22</v>
      </c>
      <c r="N4966" s="7">
        <v>9.5</v>
      </c>
      <c r="O4966" s="7" t="s">
        <v>179</v>
      </c>
      <c r="P4966" s="7" t="s">
        <v>179</v>
      </c>
    </row>
    <row r="4967" spans="1:16" x14ac:dyDescent="0.25">
      <c r="A4967" t="s">
        <v>181</v>
      </c>
      <c r="B4967" t="s">
        <v>221</v>
      </c>
      <c r="C4967" s="7" t="s">
        <v>103</v>
      </c>
      <c r="D4967" t="s">
        <v>109</v>
      </c>
      <c r="F4967" s="35">
        <v>2</v>
      </c>
      <c r="G4967" s="35">
        <v>3.5173433915491437</v>
      </c>
      <c r="H4967" s="35">
        <v>10.909887566250283</v>
      </c>
      <c r="I4967" s="35">
        <v>1.782132593862041E-2</v>
      </c>
      <c r="J4967" s="35">
        <v>2.120961283310939E-4</v>
      </c>
      <c r="K4967" s="35">
        <v>0.13731536247181775</v>
      </c>
      <c r="L4967" s="35">
        <v>55.53428606533015</v>
      </c>
      <c r="M4967" s="58" t="s">
        <v>22</v>
      </c>
      <c r="N4967" s="7">
        <v>9.5</v>
      </c>
      <c r="O4967" s="7" t="s">
        <v>179</v>
      </c>
      <c r="P4967" s="7" t="s">
        <v>179</v>
      </c>
    </row>
    <row r="4968" spans="1:16" x14ac:dyDescent="0.25">
      <c r="A4968" t="s">
        <v>181</v>
      </c>
      <c r="B4968" t="s">
        <v>221</v>
      </c>
      <c r="C4968" s="7" t="s">
        <v>103</v>
      </c>
      <c r="D4968" t="s">
        <v>109</v>
      </c>
      <c r="F4968" s="35">
        <v>4.5</v>
      </c>
      <c r="G4968" s="35">
        <v>4.534590391549143</v>
      </c>
      <c r="H4968" s="35">
        <v>8.8098875662502838</v>
      </c>
      <c r="I4968" s="35">
        <v>1.7821325938620281E-2</v>
      </c>
      <c r="J4968" s="35">
        <v>2.120961283310939E-4</v>
      </c>
      <c r="K4968" s="35">
        <v>9.2762047625266894E-2</v>
      </c>
      <c r="L4968" s="35">
        <v>30.884567149704441</v>
      </c>
      <c r="M4968" s="58" t="s">
        <v>24</v>
      </c>
      <c r="N4968" s="7">
        <v>9.5</v>
      </c>
      <c r="O4968" s="7" t="s">
        <v>179</v>
      </c>
      <c r="P4968" s="7" t="s">
        <v>179</v>
      </c>
    </row>
    <row r="4969" spans="1:16" x14ac:dyDescent="0.25">
      <c r="A4969" t="s">
        <v>181</v>
      </c>
      <c r="B4969" t="s">
        <v>221</v>
      </c>
      <c r="C4969" s="7" t="s">
        <v>103</v>
      </c>
      <c r="D4969" t="s">
        <v>109</v>
      </c>
      <c r="F4969" s="35">
        <v>4.5</v>
      </c>
      <c r="G4969" s="35">
        <v>5.311537079239609</v>
      </c>
      <c r="H4969" s="35">
        <v>8.8098806134399013</v>
      </c>
      <c r="I4969" s="35">
        <v>1.7434413680223859E-2</v>
      </c>
      <c r="J4969" s="35">
        <v>-2.4063105252065375E-4</v>
      </c>
      <c r="K4969" s="35">
        <v>9.2760061303641395E-2</v>
      </c>
      <c r="L4969" s="35">
        <v>29.913385546236128</v>
      </c>
      <c r="M4969" s="58" t="s">
        <v>24</v>
      </c>
      <c r="N4969" s="7">
        <v>9.5</v>
      </c>
      <c r="O4969" s="7" t="s">
        <v>179</v>
      </c>
      <c r="P4969" s="7" t="s">
        <v>179</v>
      </c>
    </row>
    <row r="4970" spans="1:16" x14ac:dyDescent="0.25">
      <c r="A4970" t="s">
        <v>181</v>
      </c>
      <c r="B4970" t="s">
        <v>221</v>
      </c>
      <c r="C4970" s="7" t="s">
        <v>103</v>
      </c>
      <c r="D4970" t="s">
        <v>109</v>
      </c>
      <c r="F4970" s="35">
        <v>8.9965005885644906</v>
      </c>
      <c r="G4970" s="35">
        <v>7.1411577729257933</v>
      </c>
      <c r="H4970" s="35">
        <v>5.0328201190457298</v>
      </c>
      <c r="I4970" s="35">
        <v>1.743441368022363E-2</v>
      </c>
      <c r="J4970" s="35">
        <v>-2.4063105252065375E-4</v>
      </c>
      <c r="K4970" s="35">
        <v>1.4366209929238524E-2</v>
      </c>
      <c r="L4970" s="35">
        <v>-1.208470449235737</v>
      </c>
      <c r="M4970" s="58" t="s">
        <v>23</v>
      </c>
      <c r="N4970" s="7">
        <v>9.5</v>
      </c>
      <c r="O4970" s="7" t="s">
        <v>179</v>
      </c>
      <c r="P4970" s="7" t="s">
        <v>179</v>
      </c>
    </row>
    <row r="4971" spans="1:16" x14ac:dyDescent="0.25">
      <c r="A4971" t="s">
        <v>181</v>
      </c>
      <c r="B4971" t="s">
        <v>221</v>
      </c>
      <c r="C4971" s="7" t="s">
        <v>103</v>
      </c>
      <c r="D4971" t="s">
        <v>110</v>
      </c>
      <c r="F4971" s="35">
        <v>0</v>
      </c>
      <c r="G4971" s="35">
        <v>72.400728051123622</v>
      </c>
      <c r="H4971" s="35">
        <v>-51.820879242858616</v>
      </c>
      <c r="I4971" s="35">
        <v>-0.3060037878851028</v>
      </c>
      <c r="J4971" s="35">
        <v>1.3595559988006798E-4</v>
      </c>
      <c r="K4971" s="35">
        <v>-0.5496228713340795</v>
      </c>
      <c r="L4971" s="35">
        <v>-157.2642927702789</v>
      </c>
      <c r="M4971" s="58" t="s">
        <v>22</v>
      </c>
      <c r="N4971" s="7">
        <v>9.5</v>
      </c>
      <c r="O4971" s="7" t="s">
        <v>179</v>
      </c>
      <c r="P4971" s="7" t="s">
        <v>179</v>
      </c>
    </row>
    <row r="4972" spans="1:16" x14ac:dyDescent="0.25">
      <c r="A4972" t="s">
        <v>181</v>
      </c>
      <c r="B4972" t="s">
        <v>221</v>
      </c>
      <c r="C4972" s="7" t="s">
        <v>103</v>
      </c>
      <c r="D4972" t="s">
        <v>110</v>
      </c>
      <c r="F4972" s="35">
        <v>2</v>
      </c>
      <c r="G4972" s="35">
        <v>73.214525651123623</v>
      </c>
      <c r="H4972" s="35">
        <v>-45.772879242858615</v>
      </c>
      <c r="I4972" s="35">
        <v>-0.30600378788510246</v>
      </c>
      <c r="J4972" s="35">
        <v>1.3595559988006798E-4</v>
      </c>
      <c r="K4972" s="35">
        <v>6.2384704436125683E-2</v>
      </c>
      <c r="L4972" s="35">
        <v>-59.670534284561661</v>
      </c>
      <c r="M4972" s="58" t="s">
        <v>22</v>
      </c>
      <c r="N4972" s="7">
        <v>9.5</v>
      </c>
      <c r="O4972" s="7" t="s">
        <v>179</v>
      </c>
      <c r="P4972" s="7" t="s">
        <v>179</v>
      </c>
    </row>
    <row r="4973" spans="1:16" x14ac:dyDescent="0.25">
      <c r="A4973" t="s">
        <v>181</v>
      </c>
      <c r="B4973" t="s">
        <v>221</v>
      </c>
      <c r="C4973" s="7" t="s">
        <v>103</v>
      </c>
      <c r="D4973" t="s">
        <v>110</v>
      </c>
      <c r="F4973" s="35">
        <v>2</v>
      </c>
      <c r="G4973" s="35">
        <v>73.528233981225824</v>
      </c>
      <c r="H4973" s="35">
        <v>-45.772859486444638</v>
      </c>
      <c r="I4973" s="35">
        <v>7.6139225279147618E-3</v>
      </c>
      <c r="J4973" s="35">
        <v>3.7645059430131053E-5</v>
      </c>
      <c r="K4973" s="35">
        <v>6.2384704436125683E-2</v>
      </c>
      <c r="L4973" s="35">
        <v>-59.670639149138026</v>
      </c>
      <c r="M4973" s="58" t="s">
        <v>22</v>
      </c>
      <c r="N4973" s="7">
        <v>9.5</v>
      </c>
      <c r="O4973" s="7" t="s">
        <v>179</v>
      </c>
      <c r="P4973" s="7" t="s">
        <v>179</v>
      </c>
    </row>
    <row r="4974" spans="1:16" x14ac:dyDescent="0.25">
      <c r="A4974" t="s">
        <v>181</v>
      </c>
      <c r="B4974" t="s">
        <v>221</v>
      </c>
      <c r="C4974" s="7" t="s">
        <v>103</v>
      </c>
      <c r="D4974" t="s">
        <v>110</v>
      </c>
      <c r="F4974" s="35">
        <v>4.5</v>
      </c>
      <c r="G4974" s="35">
        <v>74.545480981225836</v>
      </c>
      <c r="H4974" s="35">
        <v>-38.212859486444643</v>
      </c>
      <c r="I4974" s="35">
        <v>7.613922527915225E-3</v>
      </c>
      <c r="J4974" s="35">
        <v>3.7645059430131053E-5</v>
      </c>
      <c r="K4974" s="35">
        <v>4.3349898116338194E-2</v>
      </c>
      <c r="L4974" s="35">
        <v>45.311509566973577</v>
      </c>
      <c r="M4974" s="58" t="s">
        <v>24</v>
      </c>
      <c r="N4974" s="7">
        <v>9.5</v>
      </c>
      <c r="O4974" s="7" t="s">
        <v>179</v>
      </c>
      <c r="P4974" s="7" t="s">
        <v>179</v>
      </c>
    </row>
    <row r="4975" spans="1:16" x14ac:dyDescent="0.25">
      <c r="A4975" t="s">
        <v>181</v>
      </c>
      <c r="B4975" t="s">
        <v>221</v>
      </c>
      <c r="C4975" s="7" t="s">
        <v>103</v>
      </c>
      <c r="D4975" t="s">
        <v>110</v>
      </c>
      <c r="F4975" s="35">
        <v>4.5</v>
      </c>
      <c r="G4975" s="35">
        <v>75.322427551119389</v>
      </c>
      <c r="H4975" s="35">
        <v>-38.212865229048845</v>
      </c>
      <c r="I4975" s="35">
        <v>7.5517318565448618E-3</v>
      </c>
      <c r="J4975" s="35">
        <v>-3.7872396985466058E-5</v>
      </c>
      <c r="K4975" s="35">
        <v>4.3347506182783276E-2</v>
      </c>
      <c r="L4975" s="35">
        <v>44.340328654118892</v>
      </c>
      <c r="M4975" s="58" t="s">
        <v>24</v>
      </c>
      <c r="N4975" s="7">
        <v>9.5</v>
      </c>
      <c r="O4975" s="7" t="s">
        <v>179</v>
      </c>
      <c r="P4975" s="7" t="s">
        <v>179</v>
      </c>
    </row>
    <row r="4976" spans="1:16" x14ac:dyDescent="0.25">
      <c r="A4976" t="s">
        <v>181</v>
      </c>
      <c r="B4976" t="s">
        <v>221</v>
      </c>
      <c r="C4976" s="7" t="s">
        <v>103</v>
      </c>
      <c r="D4976" t="s">
        <v>110</v>
      </c>
      <c r="F4976" s="35">
        <v>8.9965005885644906</v>
      </c>
      <c r="G4976" s="35">
        <v>77.15204824480557</v>
      </c>
      <c r="H4976" s="35">
        <v>-24.615447449229823</v>
      </c>
      <c r="I4976" s="35">
        <v>7.5517318565456945E-3</v>
      </c>
      <c r="J4976" s="35">
        <v>-3.7872396985466058E-5</v>
      </c>
      <c r="K4976" s="35">
        <v>9.3911394451462234E-3</v>
      </c>
      <c r="L4976" s="35">
        <v>185.59410112231581</v>
      </c>
      <c r="M4976" s="58" t="s">
        <v>23</v>
      </c>
      <c r="N4976" s="7">
        <v>9.5</v>
      </c>
      <c r="O4976" s="7" t="s">
        <v>179</v>
      </c>
      <c r="P4976" s="7" t="s">
        <v>179</v>
      </c>
    </row>
    <row r="4977" spans="1:16" x14ac:dyDescent="0.25">
      <c r="A4977" t="s">
        <v>181</v>
      </c>
      <c r="B4977" t="s">
        <v>221</v>
      </c>
      <c r="C4977" s="7" t="s">
        <v>103</v>
      </c>
      <c r="D4977" t="s">
        <v>111</v>
      </c>
      <c r="F4977" s="35">
        <v>0</v>
      </c>
      <c r="G4977" s="35">
        <v>-45.720206622647666</v>
      </c>
      <c r="H4977" s="35">
        <v>-26.177269085740491</v>
      </c>
      <c r="I4977" s="35">
        <v>-0.65363522718336886</v>
      </c>
      <c r="J4977" s="35">
        <v>3.9863960087836394E-4</v>
      </c>
      <c r="K4977" s="35">
        <v>-1.0608512099320746</v>
      </c>
      <c r="L4977" s="35">
        <v>-81.34942183217224</v>
      </c>
      <c r="M4977" s="58" t="s">
        <v>22</v>
      </c>
      <c r="N4977" s="7">
        <v>9.5</v>
      </c>
      <c r="O4977" s="7" t="s">
        <v>179</v>
      </c>
      <c r="P4977" s="7" t="s">
        <v>179</v>
      </c>
    </row>
    <row r="4978" spans="1:16" x14ac:dyDescent="0.25">
      <c r="A4978" t="s">
        <v>181</v>
      </c>
      <c r="B4978" t="s">
        <v>221</v>
      </c>
      <c r="C4978" s="7" t="s">
        <v>103</v>
      </c>
      <c r="D4978" t="s">
        <v>111</v>
      </c>
      <c r="F4978" s="35">
        <v>2</v>
      </c>
      <c r="G4978" s="35">
        <v>-44.906409022647658</v>
      </c>
      <c r="H4978" s="35">
        <v>-15.425269085740487</v>
      </c>
      <c r="I4978" s="35">
        <v>-0.65363522718336819</v>
      </c>
      <c r="J4978" s="35">
        <v>3.9863960087836394E-4</v>
      </c>
      <c r="K4978" s="35">
        <v>0.24641924443466234</v>
      </c>
      <c r="L4978" s="35">
        <v>-39.746883660691267</v>
      </c>
      <c r="M4978" s="58" t="s">
        <v>22</v>
      </c>
      <c r="N4978" s="7">
        <v>9.5</v>
      </c>
      <c r="O4978" s="7" t="s">
        <v>179</v>
      </c>
      <c r="P4978" s="7" t="s">
        <v>179</v>
      </c>
    </row>
    <row r="4979" spans="1:16" x14ac:dyDescent="0.25">
      <c r="A4979" t="s">
        <v>181</v>
      </c>
      <c r="B4979" t="s">
        <v>221</v>
      </c>
      <c r="C4979" s="7" t="s">
        <v>103</v>
      </c>
      <c r="D4979" t="s">
        <v>111</v>
      </c>
      <c r="F4979" s="35">
        <v>2</v>
      </c>
      <c r="G4979" s="35">
        <v>-44.243419955366235</v>
      </c>
      <c r="H4979" s="35">
        <v>-15.425271983898279</v>
      </c>
      <c r="I4979" s="35">
        <v>3.2544004545723745E-2</v>
      </c>
      <c r="J4979" s="35">
        <v>4.5721783219912477E-4</v>
      </c>
      <c r="K4979" s="35">
        <v>0.24641924443466279</v>
      </c>
      <c r="L4979" s="35">
        <v>-39.746821177244506</v>
      </c>
      <c r="M4979" s="58" t="s">
        <v>22</v>
      </c>
      <c r="N4979" s="7">
        <v>9.5</v>
      </c>
      <c r="O4979" s="7" t="s">
        <v>179</v>
      </c>
      <c r="P4979" s="7" t="s">
        <v>179</v>
      </c>
    </row>
    <row r="4980" spans="1:16" x14ac:dyDescent="0.25">
      <c r="A4980" t="s">
        <v>181</v>
      </c>
      <c r="B4980" t="s">
        <v>221</v>
      </c>
      <c r="C4980" s="7" t="s">
        <v>103</v>
      </c>
      <c r="D4980" t="s">
        <v>111</v>
      </c>
      <c r="F4980" s="35">
        <v>4.5</v>
      </c>
      <c r="G4980" s="35">
        <v>-43.226172955366245</v>
      </c>
      <c r="H4980" s="35">
        <v>-1.9852719838982791</v>
      </c>
      <c r="I4980" s="35">
        <v>3.2544004545724571E-2</v>
      </c>
      <c r="J4980" s="35">
        <v>4.5721783219912477E-4</v>
      </c>
      <c r="K4980" s="35">
        <v>0.16505923307035242</v>
      </c>
      <c r="L4980" s="35">
        <v>-17.983641217498803</v>
      </c>
      <c r="M4980" s="58" t="s">
        <v>24</v>
      </c>
      <c r="N4980" s="7">
        <v>9.5</v>
      </c>
      <c r="O4980" s="7" t="s">
        <v>179</v>
      </c>
      <c r="P4980" s="7" t="s">
        <v>179</v>
      </c>
    </row>
    <row r="4981" spans="1:16" x14ac:dyDescent="0.25">
      <c r="A4981" t="s">
        <v>181</v>
      </c>
      <c r="B4981" t="s">
        <v>221</v>
      </c>
      <c r="C4981" s="7" t="s">
        <v>103</v>
      </c>
      <c r="D4981" t="s">
        <v>111</v>
      </c>
      <c r="F4981" s="35">
        <v>4.5</v>
      </c>
      <c r="G4981" s="35">
        <v>-42.449226320211679</v>
      </c>
      <c r="H4981" s="35">
        <v>-1.9852930604867467</v>
      </c>
      <c r="I4981" s="35">
        <v>3.1825665653192489E-2</v>
      </c>
      <c r="J4981" s="35">
        <v>-4.2453399537407027E-4</v>
      </c>
      <c r="K4981" s="35">
        <v>0.1650570822087413</v>
      </c>
      <c r="L4981" s="35">
        <v>-18.954823009530745</v>
      </c>
      <c r="M4981" s="58" t="s">
        <v>24</v>
      </c>
      <c r="N4981" s="7">
        <v>9.5</v>
      </c>
      <c r="O4981" s="7" t="s">
        <v>179</v>
      </c>
      <c r="P4981" s="7" t="s">
        <v>179</v>
      </c>
    </row>
    <row r="4982" spans="1:16" x14ac:dyDescent="0.25">
      <c r="A4982" t="s">
        <v>181</v>
      </c>
      <c r="B4982" t="s">
        <v>221</v>
      </c>
      <c r="C4982" s="7" t="s">
        <v>103</v>
      </c>
      <c r="D4982" t="s">
        <v>111</v>
      </c>
      <c r="F4982" s="35">
        <v>8.9965005885644906</v>
      </c>
      <c r="G4982" s="35">
        <v>-40.619605626525498</v>
      </c>
      <c r="H4982" s="35">
        <v>22.187894103635948</v>
      </c>
      <c r="I4982" s="35">
        <v>3.1825665653193974E-2</v>
      </c>
      <c r="J4982" s="35">
        <v>-4.2453399537407027E-4</v>
      </c>
      <c r="K4982" s="35">
        <v>2.1952957867701264E-2</v>
      </c>
      <c r="L4982" s="35">
        <v>-64.375326750057724</v>
      </c>
      <c r="M4982" s="58" t="s">
        <v>23</v>
      </c>
      <c r="N4982" s="7">
        <v>9.5</v>
      </c>
      <c r="O4982" s="7" t="s">
        <v>179</v>
      </c>
      <c r="P4982" s="7" t="s">
        <v>179</v>
      </c>
    </row>
    <row r="4983" spans="1:16" x14ac:dyDescent="0.25">
      <c r="A4983" t="s">
        <v>181</v>
      </c>
      <c r="B4983" t="s">
        <v>221</v>
      </c>
      <c r="C4983" s="7" t="s">
        <v>103</v>
      </c>
      <c r="D4983" t="s">
        <v>112</v>
      </c>
      <c r="F4983" s="35">
        <v>0</v>
      </c>
      <c r="G4983" s="35">
        <v>18.258044430428079</v>
      </c>
      <c r="H4983" s="35">
        <v>8.2295583120856719</v>
      </c>
      <c r="I4983" s="35">
        <v>-3.7424262995102469</v>
      </c>
      <c r="J4983" s="35">
        <v>3.3061552819606101E-3</v>
      </c>
      <c r="K4983" s="35">
        <v>-5.9872350140752006</v>
      </c>
      <c r="L4983" s="35">
        <v>-1.3169689940246265</v>
      </c>
      <c r="M4983" s="58" t="s">
        <v>22</v>
      </c>
      <c r="N4983" s="7">
        <v>9.5</v>
      </c>
      <c r="O4983" s="7" t="s">
        <v>179</v>
      </c>
      <c r="P4983" s="7" t="s">
        <v>179</v>
      </c>
    </row>
    <row r="4984" spans="1:16" x14ac:dyDescent="0.25">
      <c r="A4984" t="s">
        <v>181</v>
      </c>
      <c r="B4984" t="s">
        <v>221</v>
      </c>
      <c r="C4984" s="7" t="s">
        <v>103</v>
      </c>
      <c r="D4984" t="s">
        <v>112</v>
      </c>
      <c r="F4984" s="35">
        <v>2</v>
      </c>
      <c r="G4984" s="35">
        <v>19.071842030428076</v>
      </c>
      <c r="H4984" s="35">
        <v>0.66955831208567163</v>
      </c>
      <c r="I4984" s="35">
        <v>-3.7424262995102473</v>
      </c>
      <c r="J4984" s="35">
        <v>3.3061552819606101E-3</v>
      </c>
      <c r="K4984" s="35">
        <v>1.4976175849452946</v>
      </c>
      <c r="L4984" s="35">
        <v>-10.216085618195978</v>
      </c>
      <c r="M4984" s="58" t="s">
        <v>22</v>
      </c>
      <c r="N4984" s="7">
        <v>9.5</v>
      </c>
      <c r="O4984" s="7" t="s">
        <v>179</v>
      </c>
      <c r="P4984" s="7" t="s">
        <v>179</v>
      </c>
    </row>
    <row r="4985" spans="1:16" x14ac:dyDescent="0.25">
      <c r="A4985" t="s">
        <v>181</v>
      </c>
      <c r="B4985" t="s">
        <v>221</v>
      </c>
      <c r="C4985" s="7" t="s">
        <v>103</v>
      </c>
      <c r="D4985" t="s">
        <v>112</v>
      </c>
      <c r="F4985" s="35">
        <v>2</v>
      </c>
      <c r="G4985" s="35">
        <v>22.789783117623951</v>
      </c>
      <c r="H4985" s="35">
        <v>0.66956525037711245</v>
      </c>
      <c r="I4985" s="35">
        <v>0.20236924523668168</v>
      </c>
      <c r="J4985" s="35">
        <v>3.3015134285631223E-3</v>
      </c>
      <c r="K4985" s="35">
        <v>1.4976175849452924</v>
      </c>
      <c r="L4985" s="35">
        <v>-10.216090569506251</v>
      </c>
      <c r="M4985" s="58" t="s">
        <v>22</v>
      </c>
      <c r="N4985" s="7">
        <v>9.5</v>
      </c>
      <c r="O4985" s="7" t="s">
        <v>179</v>
      </c>
      <c r="P4985" s="7" t="s">
        <v>179</v>
      </c>
    </row>
    <row r="4986" spans="1:16" x14ac:dyDescent="0.25">
      <c r="A4986" t="s">
        <v>181</v>
      </c>
      <c r="B4986" t="s">
        <v>221</v>
      </c>
      <c r="C4986" s="7" t="s">
        <v>103</v>
      </c>
      <c r="D4986" t="s">
        <v>112</v>
      </c>
      <c r="F4986" s="35">
        <v>4.5</v>
      </c>
      <c r="G4986" s="35">
        <v>23.807030117623956</v>
      </c>
      <c r="H4986" s="35">
        <v>-8.7804347496228896</v>
      </c>
      <c r="I4986" s="35">
        <v>0.20236924523668107</v>
      </c>
      <c r="J4986" s="35">
        <v>3.3015134285631223E-3</v>
      </c>
      <c r="K4986" s="35">
        <v>0.99169447185358905</v>
      </c>
      <c r="L4986" s="35">
        <v>-7.7503695449031865E-2</v>
      </c>
      <c r="M4986" s="58" t="s">
        <v>24</v>
      </c>
      <c r="N4986" s="7">
        <v>9.5</v>
      </c>
      <c r="O4986" s="7" t="s">
        <v>179</v>
      </c>
      <c r="P4986" s="7" t="s">
        <v>179</v>
      </c>
    </row>
    <row r="4987" spans="1:16" x14ac:dyDescent="0.25">
      <c r="A4987" t="s">
        <v>181</v>
      </c>
      <c r="B4987" t="s">
        <v>221</v>
      </c>
      <c r="C4987" s="7" t="s">
        <v>103</v>
      </c>
      <c r="D4987" t="s">
        <v>112</v>
      </c>
      <c r="F4987" s="35">
        <v>4.5</v>
      </c>
      <c r="G4987" s="35">
        <v>24.583975672923199</v>
      </c>
      <c r="H4987" s="35">
        <v>-8.7804854473928593</v>
      </c>
      <c r="I4987" s="35">
        <v>0.19715871913968133</v>
      </c>
      <c r="J4987" s="35">
        <v>-2.6794360018469231E-3</v>
      </c>
      <c r="K4987" s="35">
        <v>0.99168791668291645</v>
      </c>
      <c r="L4987" s="35">
        <v>-1.0486822920569439</v>
      </c>
      <c r="M4987" s="58" t="s">
        <v>24</v>
      </c>
      <c r="N4987" s="7">
        <v>9.5</v>
      </c>
      <c r="O4987" s="7" t="s">
        <v>179</v>
      </c>
      <c r="P4987" s="7" t="s">
        <v>179</v>
      </c>
    </row>
    <row r="4988" spans="1:16" x14ac:dyDescent="0.25">
      <c r="A4988" t="s">
        <v>181</v>
      </c>
      <c r="B4988" t="s">
        <v>221</v>
      </c>
      <c r="C4988" s="7" t="s">
        <v>103</v>
      </c>
      <c r="D4988" t="s">
        <v>112</v>
      </c>
      <c r="F4988" s="35">
        <v>8.9965005885644906</v>
      </c>
      <c r="G4988" s="35">
        <v>26.413596366609383</v>
      </c>
      <c r="H4988" s="35">
        <v>-25.777257672166638</v>
      </c>
      <c r="I4988" s="35">
        <v>0.19715871913968028</v>
      </c>
      <c r="J4988" s="35">
        <v>-2.6794360018469231E-3</v>
      </c>
      <c r="K4988" s="35">
        <v>0.10516362003072086</v>
      </c>
      <c r="L4988" s="35">
        <v>76.645773846222895</v>
      </c>
      <c r="M4988" s="58" t="s">
        <v>23</v>
      </c>
      <c r="N4988" s="7">
        <v>9.5</v>
      </c>
      <c r="O4988" s="7" t="s">
        <v>179</v>
      </c>
      <c r="P4988" s="7" t="s">
        <v>179</v>
      </c>
    </row>
    <row r="4989" spans="1:16" x14ac:dyDescent="0.25">
      <c r="A4989" t="s">
        <v>181</v>
      </c>
      <c r="B4989" t="s">
        <v>221</v>
      </c>
      <c r="C4989" s="7" t="s">
        <v>103</v>
      </c>
      <c r="D4989" t="s">
        <v>113</v>
      </c>
      <c r="F4989" s="35">
        <v>0</v>
      </c>
      <c r="G4989" s="35">
        <v>-19.200659990948484</v>
      </c>
      <c r="H4989" s="35">
        <v>12.281374739219912</v>
      </c>
      <c r="I4989" s="35">
        <v>-3.7165396887898372</v>
      </c>
      <c r="J4989" s="35">
        <v>3.3139093704367645E-3</v>
      </c>
      <c r="K4989" s="35">
        <v>-5.9233505771393018</v>
      </c>
      <c r="L4989" s="35">
        <v>27.472695536503814</v>
      </c>
      <c r="M4989" s="58" t="s">
        <v>22</v>
      </c>
      <c r="N4989" s="7">
        <v>9.5</v>
      </c>
      <c r="O4989" s="7" t="s">
        <v>179</v>
      </c>
      <c r="P4989" s="7" t="s">
        <v>179</v>
      </c>
    </row>
    <row r="4990" spans="1:16" x14ac:dyDescent="0.25">
      <c r="A4990" t="s">
        <v>181</v>
      </c>
      <c r="B4990" t="s">
        <v>221</v>
      </c>
      <c r="C4990" s="7" t="s">
        <v>103</v>
      </c>
      <c r="D4990" t="s">
        <v>113</v>
      </c>
      <c r="F4990" s="35">
        <v>2</v>
      </c>
      <c r="G4990" s="35">
        <v>-18.386862390948487</v>
      </c>
      <c r="H4990" s="35">
        <v>8.9549747392199137</v>
      </c>
      <c r="I4990" s="35">
        <v>-3.7165396887898372</v>
      </c>
      <c r="J4990" s="35">
        <v>3.3139093704367645E-3</v>
      </c>
      <c r="K4990" s="35">
        <v>1.5097288004403726</v>
      </c>
      <c r="L4990" s="35">
        <v>6.236346058063984</v>
      </c>
      <c r="M4990" s="58" t="s">
        <v>22</v>
      </c>
      <c r="N4990" s="7">
        <v>9.5</v>
      </c>
      <c r="O4990" s="7" t="s">
        <v>179</v>
      </c>
      <c r="P4990" s="7" t="s">
        <v>179</v>
      </c>
    </row>
    <row r="4991" spans="1:16" x14ac:dyDescent="0.25">
      <c r="A4991" t="s">
        <v>181</v>
      </c>
      <c r="B4991" t="s">
        <v>221</v>
      </c>
      <c r="C4991" s="7" t="s">
        <v>103</v>
      </c>
      <c r="D4991" t="s">
        <v>113</v>
      </c>
      <c r="F4991" s="35">
        <v>2</v>
      </c>
      <c r="G4991" s="35">
        <v>-14.691629403989461</v>
      </c>
      <c r="H4991" s="35">
        <v>8.9549723262984067</v>
      </c>
      <c r="I4991" s="35">
        <v>0.20403192858230007</v>
      </c>
      <c r="J4991" s="35">
        <v>3.3462375073188837E-3</v>
      </c>
      <c r="K4991" s="35">
        <v>1.5097288004403735</v>
      </c>
      <c r="L4991" s="35">
        <v>6.2363805414100257</v>
      </c>
      <c r="M4991" s="58" t="s">
        <v>22</v>
      </c>
      <c r="N4991" s="7">
        <v>9.5</v>
      </c>
      <c r="O4991" s="7" t="s">
        <v>179</v>
      </c>
      <c r="P4991" s="7" t="s">
        <v>179</v>
      </c>
    </row>
    <row r="4992" spans="1:16" x14ac:dyDescent="0.25">
      <c r="A4992" t="s">
        <v>181</v>
      </c>
      <c r="B4992" t="s">
        <v>221</v>
      </c>
      <c r="C4992" s="7" t="s">
        <v>103</v>
      </c>
      <c r="D4992" t="s">
        <v>113</v>
      </c>
      <c r="F4992" s="35">
        <v>4.5</v>
      </c>
      <c r="G4992" s="35">
        <v>-13.674382403989458</v>
      </c>
      <c r="H4992" s="35">
        <v>4.7969723262984054</v>
      </c>
      <c r="I4992" s="35">
        <v>0.20403192858229982</v>
      </c>
      <c r="J4992" s="35">
        <v>3.3462375073188837E-3</v>
      </c>
      <c r="K4992" s="35">
        <v>0.99964897898462368</v>
      </c>
      <c r="L4992" s="35">
        <v>-10.953550274335987</v>
      </c>
      <c r="M4992" s="58" t="s">
        <v>24</v>
      </c>
      <c r="N4992" s="7">
        <v>9.5</v>
      </c>
      <c r="O4992" s="7" t="s">
        <v>179</v>
      </c>
      <c r="P4992" s="7" t="s">
        <v>179</v>
      </c>
    </row>
    <row r="4993" spans="1:16" x14ac:dyDescent="0.25">
      <c r="A4993" t="s">
        <v>181</v>
      </c>
      <c r="B4993" t="s">
        <v>221</v>
      </c>
      <c r="C4993" s="7" t="s">
        <v>103</v>
      </c>
      <c r="D4993" t="s">
        <v>113</v>
      </c>
      <c r="F4993" s="35">
        <v>4.5</v>
      </c>
      <c r="G4993" s="35">
        <v>-12.897436718133072</v>
      </c>
      <c r="H4993" s="35">
        <v>4.7969235167631332</v>
      </c>
      <c r="I4993" s="35">
        <v>0.19873504739326001</v>
      </c>
      <c r="J4993" s="35">
        <v>-2.7296195026507986E-3</v>
      </c>
      <c r="K4993" s="35">
        <v>0.99964285904580441</v>
      </c>
      <c r="L4993" s="35">
        <v>-11.924729419346416</v>
      </c>
      <c r="M4993" s="58" t="s">
        <v>24</v>
      </c>
      <c r="N4993" s="7">
        <v>9.5</v>
      </c>
      <c r="O4993" s="7" t="s">
        <v>179</v>
      </c>
      <c r="P4993" s="7" t="s">
        <v>179</v>
      </c>
    </row>
    <row r="4994" spans="1:16" x14ac:dyDescent="0.25">
      <c r="A4994" t="s">
        <v>181</v>
      </c>
      <c r="B4994" t="s">
        <v>221</v>
      </c>
      <c r="C4994" s="7" t="s">
        <v>103</v>
      </c>
      <c r="D4994" t="s">
        <v>113</v>
      </c>
      <c r="F4994" s="35">
        <v>8.9965005885644906</v>
      </c>
      <c r="G4994" s="35">
        <v>-11.067816024446888</v>
      </c>
      <c r="H4994" s="35">
        <v>-2.6816562621373299</v>
      </c>
      <c r="I4994" s="35">
        <v>0.19873504739325953</v>
      </c>
      <c r="J4994" s="35">
        <v>-2.7296195026507986E-3</v>
      </c>
      <c r="K4994" s="35">
        <v>0.10603060147362034</v>
      </c>
      <c r="L4994" s="35">
        <v>-16.680379647044475</v>
      </c>
      <c r="M4994" s="58" t="s">
        <v>23</v>
      </c>
      <c r="N4994" s="7">
        <v>9.5</v>
      </c>
      <c r="O4994" s="7" t="s">
        <v>179</v>
      </c>
      <c r="P4994" s="7" t="s">
        <v>179</v>
      </c>
    </row>
    <row r="4995" spans="1:16" x14ac:dyDescent="0.25">
      <c r="A4995" t="s">
        <v>181</v>
      </c>
      <c r="B4995" t="s">
        <v>221</v>
      </c>
      <c r="C4995" s="7" t="s">
        <v>103</v>
      </c>
      <c r="D4995" t="s">
        <v>114</v>
      </c>
      <c r="F4995" s="35">
        <v>0</v>
      </c>
      <c r="G4995" s="35">
        <v>33.487240559046455</v>
      </c>
      <c r="H4995" s="35">
        <v>8.2386048537958114</v>
      </c>
      <c r="I4995" s="35">
        <v>3.9686445724095196</v>
      </c>
      <c r="J4995" s="35">
        <v>-3.3690873155697541E-3</v>
      </c>
      <c r="K4995" s="35">
        <v>6.3303532518765637</v>
      </c>
      <c r="L4995" s="35">
        <v>-1.7629740810313816</v>
      </c>
      <c r="M4995" s="58" t="s">
        <v>22</v>
      </c>
      <c r="N4995" s="7">
        <v>9.5</v>
      </c>
      <c r="O4995" s="7" t="s">
        <v>179</v>
      </c>
      <c r="P4995" s="7" t="s">
        <v>179</v>
      </c>
    </row>
    <row r="4996" spans="1:16" x14ac:dyDescent="0.25">
      <c r="A4996" t="s">
        <v>181</v>
      </c>
      <c r="B4996" t="s">
        <v>221</v>
      </c>
      <c r="C4996" s="7" t="s">
        <v>103</v>
      </c>
      <c r="D4996" t="s">
        <v>114</v>
      </c>
      <c r="F4996" s="35">
        <v>2</v>
      </c>
      <c r="G4996" s="35">
        <v>34.301038159046456</v>
      </c>
      <c r="H4996" s="35">
        <v>0.67860485379581215</v>
      </c>
      <c r="I4996" s="35">
        <v>3.9686445724095187</v>
      </c>
      <c r="J4996" s="35">
        <v>-3.3690873155697541E-3</v>
      </c>
      <c r="K4996" s="35">
        <v>-1.6069358929424737</v>
      </c>
      <c r="L4996" s="35">
        <v>-10.680183788623006</v>
      </c>
      <c r="M4996" s="58" t="s">
        <v>22</v>
      </c>
      <c r="N4996" s="7">
        <v>9.5</v>
      </c>
      <c r="O4996" s="7" t="s">
        <v>179</v>
      </c>
      <c r="P4996" s="7" t="s">
        <v>179</v>
      </c>
    </row>
    <row r="4997" spans="1:16" x14ac:dyDescent="0.25">
      <c r="A4997" t="s">
        <v>181</v>
      </c>
      <c r="B4997" t="s">
        <v>221</v>
      </c>
      <c r="C4997" s="7" t="s">
        <v>103</v>
      </c>
      <c r="D4997" t="s">
        <v>114</v>
      </c>
      <c r="F4997" s="35">
        <v>2</v>
      </c>
      <c r="G4997" s="35">
        <v>30.395151428457563</v>
      </c>
      <c r="H4997" s="35">
        <v>0.67861344236800858</v>
      </c>
      <c r="I4997" s="35">
        <v>-0.21864308113836609</v>
      </c>
      <c r="J4997" s="35">
        <v>-3.3988086256461756E-3</v>
      </c>
      <c r="K4997" s="35">
        <v>-1.60693589294248</v>
      </c>
      <c r="L4997" s="35">
        <v>-10.680215491353655</v>
      </c>
      <c r="M4997" s="58" t="s">
        <v>22</v>
      </c>
      <c r="N4997" s="7">
        <v>9.5</v>
      </c>
      <c r="O4997" s="7" t="s">
        <v>179</v>
      </c>
      <c r="P4997" s="7" t="s">
        <v>179</v>
      </c>
    </row>
    <row r="4998" spans="1:16" x14ac:dyDescent="0.25">
      <c r="A4998" t="s">
        <v>181</v>
      </c>
      <c r="B4998" t="s">
        <v>221</v>
      </c>
      <c r="C4998" s="7" t="s">
        <v>103</v>
      </c>
      <c r="D4998" t="s">
        <v>114</v>
      </c>
      <c r="F4998" s="35">
        <v>4.5</v>
      </c>
      <c r="G4998" s="35">
        <v>31.412398428457564</v>
      </c>
      <c r="H4998" s="35">
        <v>-8.7713865576319936</v>
      </c>
      <c r="I4998" s="35">
        <v>-0.2186430811383667</v>
      </c>
      <c r="J4998" s="35">
        <v>-3.3988086256461756E-3</v>
      </c>
      <c r="K4998" s="35">
        <v>-1.060328190096564</v>
      </c>
      <c r="L4998" s="35">
        <v>-0.56424909727367367</v>
      </c>
      <c r="M4998" s="58" t="s">
        <v>24</v>
      </c>
      <c r="N4998" s="7">
        <v>9.5</v>
      </c>
      <c r="O4998" s="7" t="s">
        <v>179</v>
      </c>
      <c r="P4998" s="7" t="s">
        <v>179</v>
      </c>
    </row>
    <row r="4999" spans="1:16" x14ac:dyDescent="0.25">
      <c r="A4999" t="s">
        <v>181</v>
      </c>
      <c r="B4999" t="s">
        <v>221</v>
      </c>
      <c r="C4999" s="7" t="s">
        <v>103</v>
      </c>
      <c r="D4999" t="s">
        <v>114</v>
      </c>
      <c r="F4999" s="35">
        <v>4.5</v>
      </c>
      <c r="G4999" s="35">
        <v>32.189346942969799</v>
      </c>
      <c r="H4999" s="35">
        <v>-8.7713704819933067</v>
      </c>
      <c r="I4999" s="35">
        <v>-0.21313465334385961</v>
      </c>
      <c r="J4999" s="35">
        <v>2.7783840962885835E-3</v>
      </c>
      <c r="K4999" s="35">
        <v>-1.0603233690769112</v>
      </c>
      <c r="L4999" s="35">
        <v>-1.535431361764982</v>
      </c>
      <c r="M4999" s="58" t="s">
        <v>24</v>
      </c>
      <c r="N4999" s="7">
        <v>9.5</v>
      </c>
      <c r="O4999" s="7" t="s">
        <v>179</v>
      </c>
      <c r="P4999" s="7" t="s">
        <v>179</v>
      </c>
    </row>
    <row r="5000" spans="1:16" x14ac:dyDescent="0.25">
      <c r="A5000" t="s">
        <v>181</v>
      </c>
      <c r="B5000" t="s">
        <v>221</v>
      </c>
      <c r="C5000" s="7" t="s">
        <v>103</v>
      </c>
      <c r="D5000" t="s">
        <v>114</v>
      </c>
      <c r="F5000" s="35">
        <v>8.9965005885644906</v>
      </c>
      <c r="G5000" s="35">
        <v>34.018967636655979</v>
      </c>
      <c r="H5000" s="35">
        <v>-25.768142706767083</v>
      </c>
      <c r="I5000" s="35">
        <v>-0.21313465334386067</v>
      </c>
      <c r="J5000" s="35">
        <v>2.7783840962885835E-3</v>
      </c>
      <c r="K5000" s="35">
        <v>-0.10196327487275543</v>
      </c>
      <c r="L5000" s="35">
        <v>76.118039329231038</v>
      </c>
      <c r="M5000" s="58" t="s">
        <v>23</v>
      </c>
      <c r="N5000" s="7">
        <v>9.5</v>
      </c>
      <c r="O5000" s="7" t="s">
        <v>179</v>
      </c>
      <c r="P5000" s="7" t="s">
        <v>179</v>
      </c>
    </row>
    <row r="5001" spans="1:16" x14ac:dyDescent="0.25">
      <c r="A5001" t="s">
        <v>181</v>
      </c>
      <c r="B5001" t="s">
        <v>221</v>
      </c>
      <c r="C5001" s="7" t="s">
        <v>103</v>
      </c>
      <c r="D5001" t="s">
        <v>115</v>
      </c>
      <c r="F5001" s="35">
        <v>0</v>
      </c>
      <c r="G5001" s="35">
        <v>-3.9653871688480131</v>
      </c>
      <c r="H5001" s="35">
        <v>12.290476535030361</v>
      </c>
      <c r="I5001" s="35">
        <v>3.997491500685789</v>
      </c>
      <c r="J5001" s="35">
        <v>-3.3639286047895908E-3</v>
      </c>
      <c r="K5001" s="35">
        <v>6.3989724454609398</v>
      </c>
      <c r="L5001" s="35">
        <v>27.02773392527946</v>
      </c>
      <c r="M5001" s="58" t="s">
        <v>22</v>
      </c>
      <c r="N5001" s="7">
        <v>9.5</v>
      </c>
      <c r="O5001" s="7" t="s">
        <v>179</v>
      </c>
      <c r="P5001" s="7" t="s">
        <v>179</v>
      </c>
    </row>
    <row r="5002" spans="1:16" x14ac:dyDescent="0.25">
      <c r="A5002" t="s">
        <v>181</v>
      </c>
      <c r="B5002" t="s">
        <v>221</v>
      </c>
      <c r="C5002" s="7" t="s">
        <v>103</v>
      </c>
      <c r="D5002" t="s">
        <v>115</v>
      </c>
      <c r="F5002" s="35">
        <v>2</v>
      </c>
      <c r="G5002" s="35">
        <v>-3.1515895688480153</v>
      </c>
      <c r="H5002" s="35">
        <v>8.9640765350303635</v>
      </c>
      <c r="I5002" s="35">
        <v>3.997491500685789</v>
      </c>
      <c r="J5002" s="35">
        <v>-3.3639286047895908E-3</v>
      </c>
      <c r="K5002" s="35">
        <v>-1.5960105559106359</v>
      </c>
      <c r="L5002" s="35">
        <v>5.7731808552187296</v>
      </c>
      <c r="M5002" s="58" t="s">
        <v>22</v>
      </c>
      <c r="N5002" s="7">
        <v>9.5</v>
      </c>
      <c r="O5002" s="7" t="s">
        <v>179</v>
      </c>
      <c r="P5002" s="7" t="s">
        <v>179</v>
      </c>
    </row>
    <row r="5003" spans="1:16" x14ac:dyDescent="0.25">
      <c r="A5003" t="s">
        <v>181</v>
      </c>
      <c r="B5003" t="s">
        <v>221</v>
      </c>
      <c r="C5003" s="7" t="s">
        <v>103</v>
      </c>
      <c r="D5003" t="s">
        <v>115</v>
      </c>
      <c r="F5003" s="35">
        <v>2</v>
      </c>
      <c r="G5003" s="35">
        <v>-7.083110739253824</v>
      </c>
      <c r="H5003" s="35">
        <v>8.9640757691781516</v>
      </c>
      <c r="I5003" s="35">
        <v>-0.21714150939073812</v>
      </c>
      <c r="J5003" s="35">
        <v>-3.3566917786820864E-3</v>
      </c>
      <c r="K5003" s="35">
        <v>-1.5960105559106408</v>
      </c>
      <c r="L5003" s="35">
        <v>5.7731885744999296</v>
      </c>
      <c r="M5003" s="58" t="s">
        <v>22</v>
      </c>
      <c r="N5003" s="7">
        <v>9.5</v>
      </c>
      <c r="O5003" s="7" t="s">
        <v>179</v>
      </c>
      <c r="P5003" s="7" t="s">
        <v>179</v>
      </c>
    </row>
    <row r="5004" spans="1:16" x14ac:dyDescent="0.25">
      <c r="A5004" t="s">
        <v>181</v>
      </c>
      <c r="B5004" t="s">
        <v>221</v>
      </c>
      <c r="C5004" s="7" t="s">
        <v>103</v>
      </c>
      <c r="D5004" t="s">
        <v>115</v>
      </c>
      <c r="F5004" s="35">
        <v>4.5</v>
      </c>
      <c r="G5004" s="35">
        <v>-6.0658637392538211</v>
      </c>
      <c r="H5004" s="35">
        <v>4.8060757691781504</v>
      </c>
      <c r="I5004" s="35">
        <v>-0.21714150939073834</v>
      </c>
      <c r="J5004" s="35">
        <v>-3.3566917786820864E-3</v>
      </c>
      <c r="K5004" s="35">
        <v>-1.0531567824337953</v>
      </c>
      <c r="L5004" s="35">
        <v>-11.439500848445444</v>
      </c>
      <c r="M5004" s="58" t="s">
        <v>24</v>
      </c>
      <c r="N5004" s="7">
        <v>9.5</v>
      </c>
      <c r="O5004" s="7" t="s">
        <v>179</v>
      </c>
      <c r="P5004" s="7" t="s">
        <v>179</v>
      </c>
    </row>
    <row r="5005" spans="1:16" x14ac:dyDescent="0.25">
      <c r="A5005" t="s">
        <v>181</v>
      </c>
      <c r="B5005" t="s">
        <v>221</v>
      </c>
      <c r="C5005" s="7" t="s">
        <v>103</v>
      </c>
      <c r="D5005" t="s">
        <v>115</v>
      </c>
      <c r="F5005" s="35">
        <v>4.5</v>
      </c>
      <c r="G5005" s="35">
        <v>-5.288915093032788</v>
      </c>
      <c r="H5005" s="35">
        <v>4.8060939372288853</v>
      </c>
      <c r="I5005" s="35">
        <v>-0.2117149176580457</v>
      </c>
      <c r="J5005" s="35">
        <v>2.7314831253619446E-3</v>
      </c>
      <c r="K5005" s="35">
        <v>-1.0531515218179071</v>
      </c>
      <c r="L5005" s="35">
        <v>-12.410683659693833</v>
      </c>
      <c r="M5005" s="58" t="s">
        <v>24</v>
      </c>
      <c r="N5005" s="7">
        <v>9.5</v>
      </c>
      <c r="O5005" s="7" t="s">
        <v>179</v>
      </c>
      <c r="P5005" s="7" t="s">
        <v>179</v>
      </c>
    </row>
    <row r="5006" spans="1:16" x14ac:dyDescent="0.25">
      <c r="A5006" t="s">
        <v>181</v>
      </c>
      <c r="B5006" t="s">
        <v>221</v>
      </c>
      <c r="C5006" s="7" t="s">
        <v>103</v>
      </c>
      <c r="D5006" t="s">
        <v>115</v>
      </c>
      <c r="F5006" s="35">
        <v>8.9965005885644906</v>
      </c>
      <c r="G5006" s="35">
        <v>-3.4592943993466028</v>
      </c>
      <c r="H5006" s="35">
        <v>-2.6724858416715755</v>
      </c>
      <c r="I5006" s="35">
        <v>-0.21171491765804618</v>
      </c>
      <c r="J5006" s="35">
        <v>2.7314831253619446E-3</v>
      </c>
      <c r="K5006" s="35">
        <v>-0.10117526996062107</v>
      </c>
      <c r="L5006" s="35">
        <v>-17.207568688413556</v>
      </c>
      <c r="M5006" s="58" t="s">
        <v>23</v>
      </c>
      <c r="N5006" s="7">
        <v>9.5</v>
      </c>
      <c r="O5006" s="7" t="s">
        <v>179</v>
      </c>
      <c r="P5006" s="7" t="s">
        <v>179</v>
      </c>
    </row>
    <row r="5007" spans="1:16" x14ac:dyDescent="0.25">
      <c r="A5007" t="s">
        <v>181</v>
      </c>
      <c r="B5007" t="s">
        <v>221</v>
      </c>
      <c r="C5007" s="7" t="s">
        <v>103</v>
      </c>
      <c r="D5007" t="s">
        <v>116</v>
      </c>
      <c r="F5007" s="35">
        <v>0</v>
      </c>
      <c r="G5007" s="35">
        <v>19.971464007367491</v>
      </c>
      <c r="H5007" s="35">
        <v>9.3905251659253945</v>
      </c>
      <c r="I5007" s="35">
        <v>-0.41029389999808236</v>
      </c>
      <c r="J5007" s="35">
        <v>2.2860884523417371E-4</v>
      </c>
      <c r="K5007" s="35">
        <v>-0.69380392703367288</v>
      </c>
      <c r="L5007" s="35">
        <v>24.508375265996875</v>
      </c>
      <c r="M5007" s="58" t="s">
        <v>22</v>
      </c>
      <c r="N5007" s="7">
        <v>9.5</v>
      </c>
      <c r="O5007" s="7" t="s">
        <v>179</v>
      </c>
      <c r="P5007" s="7" t="s">
        <v>179</v>
      </c>
    </row>
    <row r="5008" spans="1:16" x14ac:dyDescent="0.25">
      <c r="A5008" t="s">
        <v>181</v>
      </c>
      <c r="B5008" t="s">
        <v>221</v>
      </c>
      <c r="C5008" s="7" t="s">
        <v>103</v>
      </c>
      <c r="D5008" t="s">
        <v>116</v>
      </c>
      <c r="F5008" s="35">
        <v>2</v>
      </c>
      <c r="G5008" s="35">
        <v>20.785261607367492</v>
      </c>
      <c r="H5008" s="35">
        <v>3.6449251659253945</v>
      </c>
      <c r="I5008" s="35">
        <v>-0.41029389999808269</v>
      </c>
      <c r="J5008" s="35">
        <v>2.2860884523417371E-4</v>
      </c>
      <c r="K5008" s="35">
        <v>0.12678387296249227</v>
      </c>
      <c r="L5008" s="35">
        <v>11.47292493414608</v>
      </c>
      <c r="M5008" s="58" t="s">
        <v>22</v>
      </c>
      <c r="N5008" s="7">
        <v>9.5</v>
      </c>
      <c r="O5008" s="7" t="s">
        <v>179</v>
      </c>
      <c r="P5008" s="7" t="s">
        <v>179</v>
      </c>
    </row>
    <row r="5009" spans="1:16" x14ac:dyDescent="0.25">
      <c r="A5009" t="s">
        <v>181</v>
      </c>
      <c r="B5009" t="s">
        <v>221</v>
      </c>
      <c r="C5009" s="7" t="s">
        <v>103</v>
      </c>
      <c r="D5009" t="s">
        <v>116</v>
      </c>
      <c r="F5009" s="35">
        <v>2</v>
      </c>
      <c r="G5009" s="35">
        <v>21.204941122393919</v>
      </c>
      <c r="H5009" s="35">
        <v>3.6449289461944292</v>
      </c>
      <c r="I5009" s="35">
        <v>1.6357481757376922E-2</v>
      </c>
      <c r="J5009" s="35">
        <v>1.9460240921463328E-4</v>
      </c>
      <c r="K5009" s="35">
        <v>0.12678387296249261</v>
      </c>
      <c r="L5009" s="35">
        <v>11.472888660614371</v>
      </c>
      <c r="M5009" s="58" t="s">
        <v>22</v>
      </c>
      <c r="N5009" s="7">
        <v>9.5</v>
      </c>
      <c r="O5009" s="7" t="s">
        <v>179</v>
      </c>
      <c r="P5009" s="7" t="s">
        <v>179</v>
      </c>
    </row>
    <row r="5010" spans="1:16" x14ac:dyDescent="0.25">
      <c r="A5010" t="s">
        <v>181</v>
      </c>
      <c r="B5010" t="s">
        <v>221</v>
      </c>
      <c r="C5010" s="7" t="s">
        <v>103</v>
      </c>
      <c r="D5010" t="s">
        <v>116</v>
      </c>
      <c r="F5010" s="35">
        <v>4.5</v>
      </c>
      <c r="G5010" s="35">
        <v>22.222188122393923</v>
      </c>
      <c r="H5010" s="35">
        <v>-3.5370710538055747</v>
      </c>
      <c r="I5010" s="35">
        <v>1.6357481757376481E-2</v>
      </c>
      <c r="J5010" s="35">
        <v>1.9460240921463328E-4</v>
      </c>
      <c r="K5010" s="35">
        <v>8.5890168569050879E-2</v>
      </c>
      <c r="L5010" s="35">
        <v>11.338066295128298</v>
      </c>
      <c r="M5010" s="58" t="s">
        <v>24</v>
      </c>
      <c r="N5010" s="7">
        <v>9.5</v>
      </c>
      <c r="O5010" s="7" t="s">
        <v>179</v>
      </c>
      <c r="P5010" s="7" t="s">
        <v>179</v>
      </c>
    </row>
    <row r="5011" spans="1:16" x14ac:dyDescent="0.25">
      <c r="A5011" t="s">
        <v>181</v>
      </c>
      <c r="B5011" t="s">
        <v>221</v>
      </c>
      <c r="C5011" s="7" t="s">
        <v>103</v>
      </c>
      <c r="D5011" t="s">
        <v>116</v>
      </c>
      <c r="F5011" s="35">
        <v>4.5</v>
      </c>
      <c r="G5011" s="35">
        <v>22.999134764005703</v>
      </c>
      <c r="H5011" s="35">
        <v>-3.5370737504917771</v>
      </c>
      <c r="I5011" s="35">
        <v>1.6047919038217492E-2</v>
      </c>
      <c r="J5011" s="35">
        <v>-1.497379448400826E-4</v>
      </c>
      <c r="K5011" s="35">
        <v>8.5888022485338403E-2</v>
      </c>
      <c r="L5011" s="35">
        <v>10.366885289743573</v>
      </c>
      <c r="M5011" s="58" t="s">
        <v>24</v>
      </c>
      <c r="N5011" s="7">
        <v>9.5</v>
      </c>
      <c r="O5011" s="7" t="s">
        <v>179</v>
      </c>
      <c r="P5011" s="7" t="s">
        <v>179</v>
      </c>
    </row>
    <row r="5012" spans="1:16" x14ac:dyDescent="0.25">
      <c r="A5012" t="s">
        <v>181</v>
      </c>
      <c r="B5012" t="s">
        <v>221</v>
      </c>
      <c r="C5012" s="7" t="s">
        <v>103</v>
      </c>
      <c r="D5012" t="s">
        <v>116</v>
      </c>
      <c r="F5012" s="35">
        <v>8.9965005885644906</v>
      </c>
      <c r="G5012" s="35">
        <v>24.828755457691887</v>
      </c>
      <c r="H5012" s="35">
        <v>-16.454620641319842</v>
      </c>
      <c r="I5012" s="35">
        <v>1.6047919038216701E-2</v>
      </c>
      <c r="J5012" s="35">
        <v>-1.497379448400826E-4</v>
      </c>
      <c r="K5012" s="35">
        <v>1.3728545084759942E-2</v>
      </c>
      <c r="L5012" s="35">
        <v>55.313218089334775</v>
      </c>
      <c r="M5012" s="58" t="s">
        <v>23</v>
      </c>
      <c r="N5012" s="7">
        <v>9.5</v>
      </c>
      <c r="O5012" s="7" t="s">
        <v>179</v>
      </c>
      <c r="P5012" s="7" t="s">
        <v>179</v>
      </c>
    </row>
    <row r="5013" spans="1:16" x14ac:dyDescent="0.25">
      <c r="A5013" t="s">
        <v>181</v>
      </c>
      <c r="B5013" t="s">
        <v>221</v>
      </c>
      <c r="C5013" s="7" t="s">
        <v>103</v>
      </c>
      <c r="D5013" t="s">
        <v>117</v>
      </c>
      <c r="F5013" s="35">
        <v>0</v>
      </c>
      <c r="G5013" s="35">
        <v>-28.034513289887617</v>
      </c>
      <c r="H5013" s="35">
        <v>24.015212446621614</v>
      </c>
      <c r="I5013" s="35">
        <v>-0.52634367496487167</v>
      </c>
      <c r="J5013" s="35">
        <v>3.486917577209707E-4</v>
      </c>
      <c r="K5013" s="35">
        <v>-0.86086939773434523</v>
      </c>
      <c r="L5013" s="35">
        <v>111.54171786430292</v>
      </c>
      <c r="M5013" s="58" t="s">
        <v>22</v>
      </c>
      <c r="N5013" s="7">
        <v>9.5</v>
      </c>
      <c r="O5013" s="7" t="s">
        <v>179</v>
      </c>
      <c r="P5013" s="7" t="s">
        <v>179</v>
      </c>
    </row>
    <row r="5014" spans="1:16" x14ac:dyDescent="0.25">
      <c r="A5014" t="s">
        <v>181</v>
      </c>
      <c r="B5014" t="s">
        <v>221</v>
      </c>
      <c r="C5014" s="7" t="s">
        <v>103</v>
      </c>
      <c r="D5014" t="s">
        <v>117</v>
      </c>
      <c r="F5014" s="35">
        <v>2</v>
      </c>
      <c r="G5014" s="35">
        <v>-27.220715689887619</v>
      </c>
      <c r="H5014" s="35">
        <v>22.503212446621614</v>
      </c>
      <c r="I5014" s="35">
        <v>-0.52634367496487178</v>
      </c>
      <c r="J5014" s="35">
        <v>3.486917577209707E-4</v>
      </c>
      <c r="K5014" s="35">
        <v>0.19181795219539816</v>
      </c>
      <c r="L5014" s="35">
        <v>65.023292971059689</v>
      </c>
      <c r="M5014" s="58" t="s">
        <v>22</v>
      </c>
      <c r="N5014" s="7">
        <v>9.5</v>
      </c>
      <c r="O5014" s="7" t="s">
        <v>179</v>
      </c>
      <c r="P5014" s="7" t="s">
        <v>179</v>
      </c>
    </row>
    <row r="5015" spans="1:16" x14ac:dyDescent="0.25">
      <c r="A5015" t="s">
        <v>181</v>
      </c>
      <c r="B5015" t="s">
        <v>221</v>
      </c>
      <c r="C5015" s="7" t="s">
        <v>103</v>
      </c>
      <c r="D5015" t="s">
        <v>117</v>
      </c>
      <c r="F5015" s="35">
        <v>2</v>
      </c>
      <c r="G5015" s="35">
        <v>-26.683948087033791</v>
      </c>
      <c r="H5015" s="35">
        <v>22.503200843098643</v>
      </c>
      <c r="I5015" s="35">
        <v>2.5199734497446273E-2</v>
      </c>
      <c r="J5015" s="35">
        <v>3.3553364666599126E-4</v>
      </c>
      <c r="K5015" s="35">
        <v>0.1918179521953991</v>
      </c>
      <c r="L5015" s="35">
        <v>65.023278935741288</v>
      </c>
      <c r="M5015" s="58" t="s">
        <v>22</v>
      </c>
      <c r="N5015" s="7">
        <v>9.5</v>
      </c>
      <c r="O5015" s="7" t="s">
        <v>179</v>
      </c>
      <c r="P5015" s="7" t="s">
        <v>179</v>
      </c>
    </row>
    <row r="5016" spans="1:16" x14ac:dyDescent="0.25">
      <c r="A5016" t="s">
        <v>181</v>
      </c>
      <c r="B5016" t="s">
        <v>221</v>
      </c>
      <c r="C5016" s="7" t="s">
        <v>103</v>
      </c>
      <c r="D5016" t="s">
        <v>117</v>
      </c>
      <c r="F5016" s="35">
        <v>4.5</v>
      </c>
      <c r="G5016" s="35">
        <v>-25.66670108703379</v>
      </c>
      <c r="H5016" s="35">
        <v>20.613200843098639</v>
      </c>
      <c r="I5016" s="35">
        <v>2.5199734497446162E-2</v>
      </c>
      <c r="J5016" s="35">
        <v>3.3553364666599126E-4</v>
      </c>
      <c r="K5016" s="35">
        <v>0.12881861595178357</v>
      </c>
      <c r="L5016" s="35">
        <v>11.127776827994694</v>
      </c>
      <c r="M5016" s="58" t="s">
        <v>24</v>
      </c>
      <c r="N5016" s="7">
        <v>9.5</v>
      </c>
      <c r="O5016" s="7" t="s">
        <v>179</v>
      </c>
      <c r="P5016" s="7" t="s">
        <v>179</v>
      </c>
    </row>
    <row r="5017" spans="1:16" x14ac:dyDescent="0.25">
      <c r="A5017" t="s">
        <v>181</v>
      </c>
      <c r="B5017" t="s">
        <v>221</v>
      </c>
      <c r="C5017" s="7" t="s">
        <v>103</v>
      </c>
      <c r="D5017" t="s">
        <v>117</v>
      </c>
      <c r="F5017" s="35">
        <v>4.5</v>
      </c>
      <c r="G5017" s="35">
        <v>-24.889754399356015</v>
      </c>
      <c r="H5017" s="35">
        <v>20.613189074713073</v>
      </c>
      <c r="I5017" s="35">
        <v>2.4625845867454119E-2</v>
      </c>
      <c r="J5017" s="35">
        <v>-3.4797107747944179E-4</v>
      </c>
      <c r="K5017" s="35">
        <v>0.12881663641685434</v>
      </c>
      <c r="L5017" s="35">
        <v>10.156595045542412</v>
      </c>
      <c r="M5017" s="58" t="s">
        <v>24</v>
      </c>
      <c r="N5017" s="7">
        <v>9.5</v>
      </c>
      <c r="O5017" s="7" t="s">
        <v>179</v>
      </c>
      <c r="P5017" s="7" t="s">
        <v>179</v>
      </c>
    </row>
    <row r="5018" spans="1:16" x14ac:dyDescent="0.25">
      <c r="A5018" t="s">
        <v>181</v>
      </c>
      <c r="B5018" t="s">
        <v>221</v>
      </c>
      <c r="C5018" s="7" t="s">
        <v>103</v>
      </c>
      <c r="D5018" t="s">
        <v>117</v>
      </c>
      <c r="F5018" s="35">
        <v>8.9965005885644906</v>
      </c>
      <c r="G5018" s="35">
        <v>-23.060133705669831</v>
      </c>
      <c r="H5018" s="35">
        <v>17.21383462975832</v>
      </c>
      <c r="I5018" s="35">
        <v>2.4625845867453911E-2</v>
      </c>
      <c r="J5018" s="35">
        <v>-3.4797107747944179E-4</v>
      </c>
      <c r="K5018" s="35">
        <v>1.8086505979948975E-2</v>
      </c>
      <c r="L5018" s="35">
        <v>-74.888022129856836</v>
      </c>
      <c r="M5018" s="58" t="s">
        <v>23</v>
      </c>
      <c r="N5018" s="7">
        <v>9.5</v>
      </c>
      <c r="O5018" s="7" t="s">
        <v>179</v>
      </c>
      <c r="P5018" s="7" t="s">
        <v>179</v>
      </c>
    </row>
    <row r="5019" spans="1:16" x14ac:dyDescent="0.25">
      <c r="A5019" t="s">
        <v>181</v>
      </c>
      <c r="B5019" t="s">
        <v>221</v>
      </c>
      <c r="C5019" s="7" t="s">
        <v>103</v>
      </c>
      <c r="D5019" t="s">
        <v>118</v>
      </c>
      <c r="F5019" s="35">
        <v>0</v>
      </c>
      <c r="G5019" s="35">
        <v>35.076684945683397</v>
      </c>
      <c r="H5019" s="35">
        <v>-33.954481897120239</v>
      </c>
      <c r="I5019" s="35">
        <v>-0.42737663015828492</v>
      </c>
      <c r="J5019" s="35">
        <v>2.2627808970543389E-4</v>
      </c>
      <c r="K5019" s="35">
        <v>-0.7303729003532935</v>
      </c>
      <c r="L5019" s="35">
        <v>-101.1268666177553</v>
      </c>
      <c r="M5019" s="58" t="s">
        <v>22</v>
      </c>
      <c r="N5019" s="7">
        <v>9.5</v>
      </c>
      <c r="O5019" s="7" t="s">
        <v>179</v>
      </c>
      <c r="P5019" s="7" t="s">
        <v>179</v>
      </c>
    </row>
    <row r="5020" spans="1:16" x14ac:dyDescent="0.25">
      <c r="A5020" t="s">
        <v>181</v>
      </c>
      <c r="B5020" t="s">
        <v>221</v>
      </c>
      <c r="C5020" s="7" t="s">
        <v>103</v>
      </c>
      <c r="D5020" t="s">
        <v>118</v>
      </c>
      <c r="F5020" s="35">
        <v>2</v>
      </c>
      <c r="G5020" s="35">
        <v>35.89048254568339</v>
      </c>
      <c r="H5020" s="35">
        <v>-28.511281897120238</v>
      </c>
      <c r="I5020" s="35">
        <v>-0.42737663015828459</v>
      </c>
      <c r="J5020" s="35">
        <v>2.2627808970543389E-4</v>
      </c>
      <c r="K5020" s="35">
        <v>0.12438035996327609</v>
      </c>
      <c r="L5020" s="35">
        <v>-38.661102823514824</v>
      </c>
      <c r="M5020" s="58" t="s">
        <v>22</v>
      </c>
      <c r="N5020" s="7">
        <v>9.5</v>
      </c>
      <c r="O5020" s="7" t="s">
        <v>179</v>
      </c>
      <c r="P5020" s="7" t="s">
        <v>179</v>
      </c>
    </row>
    <row r="5021" spans="1:16" x14ac:dyDescent="0.25">
      <c r="A5021" t="s">
        <v>181</v>
      </c>
      <c r="B5021" t="s">
        <v>221</v>
      </c>
      <c r="C5021" s="7" t="s">
        <v>103</v>
      </c>
      <c r="D5021" t="s">
        <v>118</v>
      </c>
      <c r="F5021" s="35">
        <v>2</v>
      </c>
      <c r="G5021" s="35">
        <v>36.325853443675229</v>
      </c>
      <c r="H5021" s="35">
        <v>-28.511271504326793</v>
      </c>
      <c r="I5021" s="35">
        <v>1.6013071427811193E-2</v>
      </c>
      <c r="J5021" s="35">
        <v>1.7852768465512463E-4</v>
      </c>
      <c r="K5021" s="35">
        <v>0.12438035996327622</v>
      </c>
      <c r="L5021" s="35">
        <v>-38.661153757280054</v>
      </c>
      <c r="M5021" s="58" t="s">
        <v>22</v>
      </c>
      <c r="N5021" s="7">
        <v>9.5</v>
      </c>
      <c r="O5021" s="7" t="s">
        <v>179</v>
      </c>
      <c r="P5021" s="7" t="s">
        <v>179</v>
      </c>
    </row>
    <row r="5022" spans="1:16" x14ac:dyDescent="0.25">
      <c r="A5022" t="s">
        <v>181</v>
      </c>
      <c r="B5022" t="s">
        <v>221</v>
      </c>
      <c r="C5022" s="7" t="s">
        <v>103</v>
      </c>
      <c r="D5022" t="s">
        <v>118</v>
      </c>
      <c r="F5022" s="35">
        <v>4.5</v>
      </c>
      <c r="G5022" s="35">
        <v>37.343100443675233</v>
      </c>
      <c r="H5022" s="35">
        <v>-21.707271504326794</v>
      </c>
      <c r="I5022" s="35">
        <v>1.6013071427811606E-2</v>
      </c>
      <c r="J5022" s="35">
        <v>1.7852768465512463E-4</v>
      </c>
      <c r="K5022" s="35">
        <v>8.4347681393747723E-2</v>
      </c>
      <c r="L5022" s="35">
        <v>24.112025003536917</v>
      </c>
      <c r="M5022" s="58" t="s">
        <v>24</v>
      </c>
      <c r="N5022" s="7">
        <v>9.5</v>
      </c>
      <c r="O5022" s="7" t="s">
        <v>179</v>
      </c>
      <c r="P5022" s="7" t="s">
        <v>179</v>
      </c>
    </row>
    <row r="5023" spans="1:16" x14ac:dyDescent="0.25">
      <c r="A5023" t="s">
        <v>181</v>
      </c>
      <c r="B5023" t="s">
        <v>221</v>
      </c>
      <c r="C5023" s="7" t="s">
        <v>103</v>
      </c>
      <c r="D5023" t="s">
        <v>118</v>
      </c>
      <c r="F5023" s="35">
        <v>4.5</v>
      </c>
      <c r="G5023" s="35">
        <v>38.120047025335786</v>
      </c>
      <c r="H5023" s="35">
        <v>-21.7072821835268</v>
      </c>
      <c r="I5023" s="35">
        <v>1.5731432226143021E-2</v>
      </c>
      <c r="J5023" s="35">
        <v>-1.6548828749777286E-4</v>
      </c>
      <c r="K5023" s="35">
        <v>8.4345336808082039E-2</v>
      </c>
      <c r="L5023" s="35">
        <v>23.140843842636897</v>
      </c>
      <c r="M5023" s="58" t="s">
        <v>24</v>
      </c>
      <c r="N5023" s="7">
        <v>9.5</v>
      </c>
      <c r="O5023" s="7" t="s">
        <v>179</v>
      </c>
      <c r="P5023" s="7" t="s">
        <v>179</v>
      </c>
    </row>
    <row r="5024" spans="1:16" x14ac:dyDescent="0.25">
      <c r="A5024" t="s">
        <v>181</v>
      </c>
      <c r="B5024" t="s">
        <v>221</v>
      </c>
      <c r="C5024" s="7" t="s">
        <v>103</v>
      </c>
      <c r="D5024" t="s">
        <v>118</v>
      </c>
      <c r="F5024" s="35">
        <v>8.9965005885644906</v>
      </c>
      <c r="G5024" s="35">
        <v>39.949667719021967</v>
      </c>
      <c r="H5024" s="35">
        <v>-9.4696061816896826</v>
      </c>
      <c r="I5024" s="35">
        <v>1.5731432226143767E-2</v>
      </c>
      <c r="J5024" s="35">
        <v>-1.6548828749777286E-4</v>
      </c>
      <c r="K5024" s="35">
        <v>1.3608942544265904E-2</v>
      </c>
      <c r="L5024" s="35">
        <v>93.234292284539521</v>
      </c>
      <c r="M5024" s="58" t="s">
        <v>23</v>
      </c>
      <c r="N5024" s="7">
        <v>9.5</v>
      </c>
      <c r="O5024" s="7" t="s">
        <v>179</v>
      </c>
      <c r="P5024" s="7" t="s">
        <v>179</v>
      </c>
    </row>
    <row r="5025" spans="1:16" x14ac:dyDescent="0.25">
      <c r="A5025" t="s">
        <v>181</v>
      </c>
      <c r="B5025" t="s">
        <v>221</v>
      </c>
      <c r="C5025" s="7" t="s">
        <v>103</v>
      </c>
      <c r="D5025" t="s">
        <v>119</v>
      </c>
      <c r="F5025" s="35">
        <v>0</v>
      </c>
      <c r="G5025" s="35">
        <v>-71.232156260710752</v>
      </c>
      <c r="H5025" s="35">
        <v>-10.875232755713931</v>
      </c>
      <c r="I5025" s="35">
        <v>-0.7402449255267245</v>
      </c>
      <c r="J5025" s="35">
        <v>4.6269369060390026E-4</v>
      </c>
      <c r="K5025" s="35">
        <v>-1.1904784050914892</v>
      </c>
      <c r="L5025" s="35">
        <v>-32.803482773459322</v>
      </c>
      <c r="M5025" s="58" t="s">
        <v>22</v>
      </c>
      <c r="N5025" s="7">
        <v>9.5</v>
      </c>
      <c r="O5025" s="7" t="s">
        <v>179</v>
      </c>
      <c r="P5025" s="7" t="s">
        <v>179</v>
      </c>
    </row>
    <row r="5026" spans="1:16" x14ac:dyDescent="0.25">
      <c r="A5026" t="s">
        <v>181</v>
      </c>
      <c r="B5026" t="s">
        <v>221</v>
      </c>
      <c r="C5026" s="7" t="s">
        <v>103</v>
      </c>
      <c r="D5026" t="s">
        <v>119</v>
      </c>
      <c r="F5026" s="35">
        <v>2</v>
      </c>
      <c r="G5026" s="35">
        <v>-70.418358660710751</v>
      </c>
      <c r="H5026" s="35">
        <v>-1.1984327557139256</v>
      </c>
      <c r="I5026" s="35">
        <v>-0.74024492552672394</v>
      </c>
      <c r="J5026" s="35">
        <v>4.6269369060390026E-4</v>
      </c>
      <c r="K5026" s="35">
        <v>0.2900114459619591</v>
      </c>
      <c r="L5026" s="35">
        <v>-20.729817262031464</v>
      </c>
      <c r="M5026" s="58" t="s">
        <v>22</v>
      </c>
      <c r="N5026" s="7">
        <v>9.5</v>
      </c>
      <c r="O5026" s="7" t="s">
        <v>179</v>
      </c>
      <c r="P5026" s="7" t="s">
        <v>179</v>
      </c>
    </row>
    <row r="5027" spans="1:16" x14ac:dyDescent="0.25">
      <c r="A5027" t="s">
        <v>181</v>
      </c>
      <c r="B5027" t="s">
        <v>221</v>
      </c>
      <c r="C5027" s="7" t="s">
        <v>103</v>
      </c>
      <c r="D5027" t="s">
        <v>119</v>
      </c>
      <c r="F5027" s="35">
        <v>2</v>
      </c>
      <c r="G5027" s="35">
        <v>-69.668635099257642</v>
      </c>
      <c r="H5027" s="35">
        <v>-1.1984427520350653</v>
      </c>
      <c r="I5027" s="35">
        <v>3.845014524383928E-2</v>
      </c>
      <c r="J5027" s="35">
        <v>5.5614318014721902E-4</v>
      </c>
      <c r="K5027" s="35">
        <v>0.29001144596195966</v>
      </c>
      <c r="L5027" s="35">
        <v>-20.729717582575894</v>
      </c>
      <c r="M5027" s="58" t="s">
        <v>22</v>
      </c>
      <c r="N5027" s="7">
        <v>9.5</v>
      </c>
      <c r="O5027" s="7" t="s">
        <v>179</v>
      </c>
      <c r="P5027" s="7" t="s">
        <v>179</v>
      </c>
    </row>
    <row r="5028" spans="1:16" x14ac:dyDescent="0.25">
      <c r="A5028" t="s">
        <v>181</v>
      </c>
      <c r="B5028" t="s">
        <v>221</v>
      </c>
      <c r="C5028" s="7" t="s">
        <v>103</v>
      </c>
      <c r="D5028" t="s">
        <v>119</v>
      </c>
      <c r="F5028" s="35">
        <v>4.5</v>
      </c>
      <c r="G5028" s="35">
        <v>-68.651388099257645</v>
      </c>
      <c r="H5028" s="35">
        <v>10.897557247964935</v>
      </c>
      <c r="I5028" s="35">
        <v>3.8450145243840016E-2</v>
      </c>
      <c r="J5028" s="35">
        <v>5.5614318014721902E-4</v>
      </c>
      <c r="K5028" s="35">
        <v>0.19388608285236053</v>
      </c>
      <c r="L5028" s="35">
        <v>-32.853610702488226</v>
      </c>
      <c r="M5028" s="58" t="s">
        <v>24</v>
      </c>
      <c r="N5028" s="7">
        <v>9.5</v>
      </c>
      <c r="O5028" s="7" t="s">
        <v>179</v>
      </c>
      <c r="P5028" s="7" t="s">
        <v>179</v>
      </c>
    </row>
    <row r="5029" spans="1:16" x14ac:dyDescent="0.25">
      <c r="A5029" t="s">
        <v>181</v>
      </c>
      <c r="B5029" t="s">
        <v>221</v>
      </c>
      <c r="C5029" s="7" t="s">
        <v>103</v>
      </c>
      <c r="D5029" t="s">
        <v>119</v>
      </c>
      <c r="F5029" s="35">
        <v>4.5</v>
      </c>
      <c r="G5029" s="35">
        <v>-67.874441458862179</v>
      </c>
      <c r="H5029" s="35">
        <v>10.89753276817909</v>
      </c>
      <c r="I5029" s="35">
        <v>3.7577972643125887E-2</v>
      </c>
      <c r="J5029" s="35">
        <v>-5.1348372604751683E-4</v>
      </c>
      <c r="K5029" s="35">
        <v>0.19388395523144428</v>
      </c>
      <c r="L5029" s="35">
        <v>-33.824792654647773</v>
      </c>
      <c r="M5029" s="58" t="s">
        <v>24</v>
      </c>
      <c r="N5029" s="7">
        <v>9.5</v>
      </c>
      <c r="O5029" s="7" t="s">
        <v>179</v>
      </c>
      <c r="P5029" s="7" t="s">
        <v>179</v>
      </c>
    </row>
    <row r="5030" spans="1:16" x14ac:dyDescent="0.25">
      <c r="A5030" t="s">
        <v>181</v>
      </c>
      <c r="B5030" t="s">
        <v>221</v>
      </c>
      <c r="C5030" s="7" t="s">
        <v>103</v>
      </c>
      <c r="D5030" t="s">
        <v>119</v>
      </c>
      <c r="F5030" s="35">
        <v>8.9965005885644906</v>
      </c>
      <c r="G5030" s="35">
        <v>-66.044820765175984</v>
      </c>
      <c r="H5030" s="35">
        <v>32.653401215889517</v>
      </c>
      <c r="I5030" s="35">
        <v>3.7577972643127219E-2</v>
      </c>
      <c r="J5030" s="35">
        <v>-5.1348372604751683E-4</v>
      </c>
      <c r="K5030" s="35">
        <v>2.491457912456544E-2</v>
      </c>
      <c r="L5030" s="35">
        <v>-131.73819280059661</v>
      </c>
      <c r="M5030" s="58" t="s">
        <v>23</v>
      </c>
      <c r="N5030" s="7">
        <v>9.5</v>
      </c>
      <c r="O5030" s="7" t="s">
        <v>179</v>
      </c>
      <c r="P5030" s="7" t="s">
        <v>179</v>
      </c>
    </row>
    <row r="5031" spans="1:16" x14ac:dyDescent="0.25">
      <c r="A5031" t="s">
        <v>181</v>
      </c>
      <c r="B5031" t="s">
        <v>221</v>
      </c>
      <c r="C5031" s="7" t="s">
        <v>103</v>
      </c>
      <c r="D5031" t="s">
        <v>120</v>
      </c>
      <c r="F5031" s="35">
        <v>0</v>
      </c>
      <c r="G5031" s="35">
        <v>28.621327832897567</v>
      </c>
      <c r="H5031" s="35">
        <v>5.849547534642249</v>
      </c>
      <c r="I5031" s="35">
        <v>-4.115633035848691</v>
      </c>
      <c r="J5031" s="35">
        <v>3.6451642948903307E-3</v>
      </c>
      <c r="K5031" s="35">
        <v>-6.5861731811913549</v>
      </c>
      <c r="L5031" s="35">
        <v>-12.012910907018659</v>
      </c>
      <c r="M5031" s="58" t="s">
        <v>22</v>
      </c>
      <c r="N5031" s="7">
        <v>9.5</v>
      </c>
      <c r="O5031" s="7" t="s">
        <v>179</v>
      </c>
      <c r="P5031" s="7" t="s">
        <v>179</v>
      </c>
    </row>
    <row r="5032" spans="1:16" x14ac:dyDescent="0.25">
      <c r="A5032" t="s">
        <v>181</v>
      </c>
      <c r="B5032" t="s">
        <v>221</v>
      </c>
      <c r="C5032" s="7" t="s">
        <v>103</v>
      </c>
      <c r="D5032" t="s">
        <v>120</v>
      </c>
      <c r="F5032" s="35">
        <v>2</v>
      </c>
      <c r="G5032" s="35">
        <v>29.435125432897571</v>
      </c>
      <c r="H5032" s="35">
        <v>-2.5504524653577532</v>
      </c>
      <c r="I5032" s="35">
        <v>-4.115633035848691</v>
      </c>
      <c r="J5032" s="35">
        <v>3.6451642948903307E-3</v>
      </c>
      <c r="K5032" s="35">
        <v>1.6450928905060265</v>
      </c>
      <c r="L5032" s="35">
        <v>-15.312005976303157</v>
      </c>
      <c r="M5032" s="58" t="s">
        <v>22</v>
      </c>
      <c r="N5032" s="7">
        <v>9.5</v>
      </c>
      <c r="O5032" s="7" t="s">
        <v>179</v>
      </c>
      <c r="P5032" s="7" t="s">
        <v>179</v>
      </c>
    </row>
    <row r="5033" spans="1:16" x14ac:dyDescent="0.25">
      <c r="A5033" t="s">
        <v>181</v>
      </c>
      <c r="B5033" t="s">
        <v>221</v>
      </c>
      <c r="C5033" s="7" t="s">
        <v>103</v>
      </c>
      <c r="D5033" t="s">
        <v>120</v>
      </c>
      <c r="F5033" s="35">
        <v>2</v>
      </c>
      <c r="G5033" s="35">
        <v>33.521703585004978</v>
      </c>
      <c r="H5033" s="35">
        <v>-2.5504428291655601</v>
      </c>
      <c r="I5033" s="35">
        <v>0.22237574385915904</v>
      </c>
      <c r="J5033" s="35">
        <v>3.6294506339322485E-3</v>
      </c>
      <c r="K5033" s="35">
        <v>1.6450928905060243</v>
      </c>
      <c r="L5033" s="35">
        <v>-15.312022737541508</v>
      </c>
      <c r="M5033" s="58" t="s">
        <v>22</v>
      </c>
      <c r="N5033" s="7">
        <v>9.5</v>
      </c>
      <c r="O5033" s="7" t="s">
        <v>179</v>
      </c>
      <c r="P5033" s="7" t="s">
        <v>179</v>
      </c>
    </row>
    <row r="5034" spans="1:16" x14ac:dyDescent="0.25">
      <c r="A5034" t="s">
        <v>181</v>
      </c>
      <c r="B5034" t="s">
        <v>221</v>
      </c>
      <c r="C5034" s="7" t="s">
        <v>103</v>
      </c>
      <c r="D5034" t="s">
        <v>120</v>
      </c>
      <c r="F5034" s="35">
        <v>4.5</v>
      </c>
      <c r="G5034" s="35">
        <v>34.538950585004983</v>
      </c>
      <c r="H5034" s="35">
        <v>-13.050442829165561</v>
      </c>
      <c r="I5034" s="35">
        <v>0.22237574385915837</v>
      </c>
      <c r="J5034" s="35">
        <v>3.6294506339322485E-3</v>
      </c>
      <c r="K5034" s="35">
        <v>1.0891535308581273</v>
      </c>
      <c r="L5034" s="35">
        <v>4.189084335372387</v>
      </c>
      <c r="M5034" s="58" t="s">
        <v>24</v>
      </c>
      <c r="N5034" s="7">
        <v>9.5</v>
      </c>
      <c r="O5034" s="7" t="s">
        <v>179</v>
      </c>
      <c r="P5034" s="7" t="s">
        <v>179</v>
      </c>
    </row>
    <row r="5035" spans="1:16" x14ac:dyDescent="0.25">
      <c r="A5035" t="s">
        <v>181</v>
      </c>
      <c r="B5035" t="s">
        <v>221</v>
      </c>
      <c r="C5035" s="7" t="s">
        <v>103</v>
      </c>
      <c r="D5035" t="s">
        <v>120</v>
      </c>
      <c r="F5035" s="35">
        <v>4.5</v>
      </c>
      <c r="G5035" s="35">
        <v>35.315895986263094</v>
      </c>
      <c r="H5035" s="35">
        <v>-13.050498644601552</v>
      </c>
      <c r="I5035" s="35">
        <v>0.21665046134813218</v>
      </c>
      <c r="J5035" s="35">
        <v>-2.9418144671092055E-3</v>
      </c>
      <c r="K5035" s="35">
        <v>1.0891463740703931</v>
      </c>
      <c r="L5035" s="35">
        <v>3.2179061827167899</v>
      </c>
      <c r="M5035" s="58" t="s">
        <v>24</v>
      </c>
      <c r="N5035" s="7">
        <v>9.5</v>
      </c>
      <c r="O5035" s="7" t="s">
        <v>179</v>
      </c>
      <c r="P5035" s="7" t="s">
        <v>179</v>
      </c>
    </row>
    <row r="5036" spans="1:16" x14ac:dyDescent="0.25">
      <c r="A5036" t="s">
        <v>181</v>
      </c>
      <c r="B5036" t="s">
        <v>221</v>
      </c>
      <c r="C5036" s="7" t="s">
        <v>103</v>
      </c>
      <c r="D5036" t="s">
        <v>120</v>
      </c>
      <c r="F5036" s="35">
        <v>8.9965005885644906</v>
      </c>
      <c r="G5036" s="35">
        <v>37.145516679949282</v>
      </c>
      <c r="H5036" s="35">
        <v>-31.93580111657241</v>
      </c>
      <c r="I5036" s="35">
        <v>0.21665046134813101</v>
      </c>
      <c r="J5036" s="35">
        <v>-2.9418144671092055E-3</v>
      </c>
      <c r="K5036" s="35">
        <v>0.11497744710575117</v>
      </c>
      <c r="L5036" s="35">
        <v>104.35836785944541</v>
      </c>
      <c r="M5036" s="58" t="s">
        <v>23</v>
      </c>
      <c r="N5036" s="7">
        <v>9.5</v>
      </c>
      <c r="O5036" s="7" t="s">
        <v>179</v>
      </c>
      <c r="P5036" s="7" t="s">
        <v>179</v>
      </c>
    </row>
    <row r="5037" spans="1:16" x14ac:dyDescent="0.25">
      <c r="A5037" t="s">
        <v>181</v>
      </c>
      <c r="B5037" t="s">
        <v>221</v>
      </c>
      <c r="C5037" s="7" t="s">
        <v>103</v>
      </c>
      <c r="D5037" t="s">
        <v>121</v>
      </c>
      <c r="F5037" s="35">
        <v>0</v>
      </c>
      <c r="G5037" s="35">
        <v>-12.999454857520837</v>
      </c>
      <c r="H5037" s="35">
        <v>10.351565787013627</v>
      </c>
      <c r="I5037" s="35">
        <v>-4.0868701350482359</v>
      </c>
      <c r="J5037" s="35">
        <v>3.653779948752725E-3</v>
      </c>
      <c r="K5037" s="35">
        <v>-6.5151904734848021</v>
      </c>
      <c r="L5037" s="35">
        <v>19.97560523801295</v>
      </c>
      <c r="M5037" s="58" t="s">
        <v>22</v>
      </c>
      <c r="N5037" s="7">
        <v>9.5</v>
      </c>
      <c r="O5037" s="7" t="s">
        <v>179</v>
      </c>
      <c r="P5037" s="7" t="s">
        <v>179</v>
      </c>
    </row>
    <row r="5038" spans="1:16" x14ac:dyDescent="0.25">
      <c r="A5038" t="s">
        <v>181</v>
      </c>
      <c r="B5038" t="s">
        <v>221</v>
      </c>
      <c r="C5038" s="7" t="s">
        <v>103</v>
      </c>
      <c r="D5038" t="s">
        <v>121</v>
      </c>
      <c r="F5038" s="35">
        <v>2</v>
      </c>
      <c r="G5038" s="35">
        <v>-12.185657257520832</v>
      </c>
      <c r="H5038" s="35">
        <v>6.6555657870136278</v>
      </c>
      <c r="I5038" s="35">
        <v>-4.0868701350482359</v>
      </c>
      <c r="J5038" s="35">
        <v>3.653779948752725E-3</v>
      </c>
      <c r="K5038" s="35">
        <v>1.6585497966116687</v>
      </c>
      <c r="L5038" s="35">
        <v>2.9684736639856877</v>
      </c>
      <c r="M5038" s="58" t="s">
        <v>22</v>
      </c>
      <c r="N5038" s="7">
        <v>9.5</v>
      </c>
      <c r="O5038" s="7" t="s">
        <v>179</v>
      </c>
      <c r="P5038" s="7" t="s">
        <v>179</v>
      </c>
    </row>
    <row r="5039" spans="1:16" x14ac:dyDescent="0.25">
      <c r="A5039" t="s">
        <v>181</v>
      </c>
      <c r="B5039" t="s">
        <v>221</v>
      </c>
      <c r="C5039" s="7" t="s">
        <v>103</v>
      </c>
      <c r="D5039" t="s">
        <v>121</v>
      </c>
      <c r="F5039" s="35">
        <v>2</v>
      </c>
      <c r="G5039" s="35">
        <v>-8.1243103278988187</v>
      </c>
      <c r="H5039" s="35">
        <v>6.6555650329692115</v>
      </c>
      <c r="I5039" s="35">
        <v>0.22422316979873502</v>
      </c>
      <c r="J5039" s="35">
        <v>3.679144054771983E-3</v>
      </c>
      <c r="K5039" s="35">
        <v>1.6585497966116698</v>
      </c>
      <c r="L5039" s="35">
        <v>2.968500719032134</v>
      </c>
      <c r="M5039" s="58" t="s">
        <v>22</v>
      </c>
      <c r="N5039" s="7">
        <v>9.5</v>
      </c>
      <c r="O5039" s="7" t="s">
        <v>179</v>
      </c>
      <c r="P5039" s="7" t="s">
        <v>179</v>
      </c>
    </row>
    <row r="5040" spans="1:16" x14ac:dyDescent="0.25">
      <c r="A5040" t="s">
        <v>181</v>
      </c>
      <c r="B5040" t="s">
        <v>221</v>
      </c>
      <c r="C5040" s="7" t="s">
        <v>103</v>
      </c>
      <c r="D5040" t="s">
        <v>121</v>
      </c>
      <c r="F5040" s="35">
        <v>4.5</v>
      </c>
      <c r="G5040" s="35">
        <v>-7.1070633278988158</v>
      </c>
      <c r="H5040" s="35">
        <v>2.0355650329692105</v>
      </c>
      <c r="I5040" s="35">
        <v>0.22422316979873474</v>
      </c>
      <c r="J5040" s="35">
        <v>3.679144054771983E-3</v>
      </c>
      <c r="K5040" s="35">
        <v>1.0979918721148325</v>
      </c>
      <c r="L5040" s="35">
        <v>-7.8954118633908967</v>
      </c>
      <c r="M5040" s="58" t="s">
        <v>24</v>
      </c>
      <c r="N5040" s="7">
        <v>9.5</v>
      </c>
      <c r="O5040" s="7" t="s">
        <v>179</v>
      </c>
      <c r="P5040" s="7" t="s">
        <v>179</v>
      </c>
    </row>
    <row r="5041" spans="1:16" x14ac:dyDescent="0.25">
      <c r="A5041" t="s">
        <v>181</v>
      </c>
      <c r="B5041" t="s">
        <v>221</v>
      </c>
      <c r="C5041" s="7" t="s">
        <v>103</v>
      </c>
      <c r="D5041" t="s">
        <v>121</v>
      </c>
      <c r="F5041" s="35">
        <v>4.5</v>
      </c>
      <c r="G5041" s="35">
        <v>-6.3301177815771936</v>
      </c>
      <c r="H5041" s="35">
        <v>2.0355113155717732</v>
      </c>
      <c r="I5041" s="35">
        <v>0.21840193718544176</v>
      </c>
      <c r="J5041" s="35">
        <v>-2.997573912446845E-3</v>
      </c>
      <c r="K5041" s="35">
        <v>1.0979851989180465</v>
      </c>
      <c r="L5041" s="35">
        <v>-8.8665906253826261</v>
      </c>
      <c r="M5041" s="58" t="s">
        <v>24</v>
      </c>
      <c r="N5041" s="7">
        <v>9.5</v>
      </c>
      <c r="O5041" s="7" t="s">
        <v>179</v>
      </c>
      <c r="P5041" s="7" t="s">
        <v>179</v>
      </c>
    </row>
    <row r="5042" spans="1:16" x14ac:dyDescent="0.25">
      <c r="A5042" t="s">
        <v>181</v>
      </c>
      <c r="B5042" t="s">
        <v>221</v>
      </c>
      <c r="C5042" s="7" t="s">
        <v>103</v>
      </c>
      <c r="D5042" t="s">
        <v>121</v>
      </c>
      <c r="F5042" s="35">
        <v>8.9965005885644906</v>
      </c>
      <c r="G5042" s="35">
        <v>-4.5004970878910093</v>
      </c>
      <c r="H5042" s="35">
        <v>-6.2740217720954048</v>
      </c>
      <c r="I5042" s="35">
        <v>0.21840193718544124</v>
      </c>
      <c r="J5042" s="35">
        <v>-2.997573912446845E-3</v>
      </c>
      <c r="K5042" s="35">
        <v>0.11594075982008394</v>
      </c>
      <c r="L5042" s="35">
        <v>0.66264175581499918</v>
      </c>
      <c r="M5042" s="58" t="s">
        <v>23</v>
      </c>
      <c r="N5042" s="7">
        <v>9.5</v>
      </c>
      <c r="O5042" s="7" t="s">
        <v>179</v>
      </c>
      <c r="P5042" s="7" t="s">
        <v>179</v>
      </c>
    </row>
    <row r="5043" spans="1:16" x14ac:dyDescent="0.25">
      <c r="A5043" t="s">
        <v>181</v>
      </c>
      <c r="B5043" t="s">
        <v>221</v>
      </c>
      <c r="C5043" s="7" t="s">
        <v>103</v>
      </c>
      <c r="D5043" t="s">
        <v>122</v>
      </c>
      <c r="F5043" s="35">
        <v>0</v>
      </c>
      <c r="G5043" s="35">
        <v>45.542656864695765</v>
      </c>
      <c r="H5043" s="35">
        <v>5.859599247653513</v>
      </c>
      <c r="I5043" s="35">
        <v>4.4522234885066059</v>
      </c>
      <c r="J5043" s="35">
        <v>-3.7717719245878509E-3</v>
      </c>
      <c r="K5043" s="35">
        <v>7.1000360031994934</v>
      </c>
      <c r="L5043" s="35">
        <v>-12.508472114803936</v>
      </c>
      <c r="M5043" s="58" t="s">
        <v>22</v>
      </c>
      <c r="N5043" s="7">
        <v>9.5</v>
      </c>
      <c r="O5043" s="7" t="s">
        <v>179</v>
      </c>
      <c r="P5043" s="7" t="s">
        <v>179</v>
      </c>
    </row>
    <row r="5044" spans="1:16" x14ac:dyDescent="0.25">
      <c r="A5044" t="s">
        <v>181</v>
      </c>
      <c r="B5044" t="s">
        <v>221</v>
      </c>
      <c r="C5044" s="7" t="s">
        <v>103</v>
      </c>
      <c r="D5044" t="s">
        <v>122</v>
      </c>
      <c r="F5044" s="35">
        <v>2</v>
      </c>
      <c r="G5044" s="35">
        <v>46.356454464695773</v>
      </c>
      <c r="H5044" s="35">
        <v>-2.5404007523464855</v>
      </c>
      <c r="I5044" s="35">
        <v>4.452223488506605</v>
      </c>
      <c r="J5044" s="35">
        <v>-3.7717719245878509E-3</v>
      </c>
      <c r="K5044" s="35">
        <v>-1.8044109738137162</v>
      </c>
      <c r="L5044" s="35">
        <v>-15.827670610110971</v>
      </c>
      <c r="M5044" s="58" t="s">
        <v>22</v>
      </c>
      <c r="N5044" s="7">
        <v>9.5</v>
      </c>
      <c r="O5044" s="7" t="s">
        <v>179</v>
      </c>
      <c r="P5044" s="7" t="s">
        <v>179</v>
      </c>
    </row>
    <row r="5045" spans="1:16" x14ac:dyDescent="0.25">
      <c r="A5045" t="s">
        <v>181</v>
      </c>
      <c r="B5045" t="s">
        <v>221</v>
      </c>
      <c r="C5045" s="7" t="s">
        <v>103</v>
      </c>
      <c r="D5045" t="s">
        <v>122</v>
      </c>
      <c r="F5045" s="35">
        <v>2</v>
      </c>
      <c r="G5045" s="35">
        <v>41.972112819264531</v>
      </c>
      <c r="H5045" s="35">
        <v>-2.5403892825090075</v>
      </c>
      <c r="I5045" s="35">
        <v>-0.24541572989089402</v>
      </c>
      <c r="J5045" s="35">
        <v>-3.8153516485225272E-3</v>
      </c>
      <c r="K5045" s="35">
        <v>-1.8044109738137228</v>
      </c>
      <c r="L5045" s="35">
        <v>-15.82771709514973</v>
      </c>
      <c r="M5045" s="58" t="s">
        <v>22</v>
      </c>
      <c r="N5045" s="7">
        <v>9.5</v>
      </c>
      <c r="O5045" s="7" t="s">
        <v>179</v>
      </c>
      <c r="P5045" s="7" t="s">
        <v>179</v>
      </c>
    </row>
    <row r="5046" spans="1:16" x14ac:dyDescent="0.25">
      <c r="A5046" t="s">
        <v>181</v>
      </c>
      <c r="B5046" t="s">
        <v>221</v>
      </c>
      <c r="C5046" s="7" t="s">
        <v>103</v>
      </c>
      <c r="D5046" t="s">
        <v>122</v>
      </c>
      <c r="F5046" s="35">
        <v>4.5</v>
      </c>
      <c r="G5046" s="35">
        <v>42.989359819264536</v>
      </c>
      <c r="H5046" s="35">
        <v>-13.040389282509009</v>
      </c>
      <c r="I5046" s="35">
        <v>-0.24541572989089472</v>
      </c>
      <c r="J5046" s="35">
        <v>-3.8153516485225272E-3</v>
      </c>
      <c r="K5046" s="35">
        <v>-1.190871649086487</v>
      </c>
      <c r="L5046" s="35">
        <v>3.6482561111227825</v>
      </c>
      <c r="M5046" s="58" t="s">
        <v>24</v>
      </c>
      <c r="N5046" s="7">
        <v>9.5</v>
      </c>
      <c r="O5046" s="7" t="s">
        <v>179</v>
      </c>
      <c r="P5046" s="7" t="s">
        <v>179</v>
      </c>
    </row>
    <row r="5047" spans="1:16" x14ac:dyDescent="0.25">
      <c r="A5047" t="s">
        <v>181</v>
      </c>
      <c r="B5047" t="s">
        <v>221</v>
      </c>
      <c r="C5047" s="7" t="s">
        <v>103</v>
      </c>
      <c r="D5047" t="s">
        <v>122</v>
      </c>
      <c r="F5047" s="35">
        <v>4.5</v>
      </c>
      <c r="G5047" s="35">
        <v>43.766308508537108</v>
      </c>
      <c r="H5047" s="35">
        <v>-13.040370905268713</v>
      </c>
      <c r="I5047" s="35">
        <v>-0.23923106363358002</v>
      </c>
      <c r="J5047" s="35">
        <v>3.1224300863746902E-3</v>
      </c>
      <c r="K5047" s="35">
        <v>-1.1908661656627484</v>
      </c>
      <c r="L5047" s="35">
        <v>2.6770738830411913</v>
      </c>
      <c r="M5047" s="58" t="s">
        <v>24</v>
      </c>
      <c r="N5047" s="7">
        <v>9.5</v>
      </c>
      <c r="O5047" s="7" t="s">
        <v>179</v>
      </c>
      <c r="P5047" s="7" t="s">
        <v>179</v>
      </c>
    </row>
    <row r="5048" spans="1:16" x14ac:dyDescent="0.25">
      <c r="A5048" t="s">
        <v>181</v>
      </c>
      <c r="B5048" t="s">
        <v>221</v>
      </c>
      <c r="C5048" s="7" t="s">
        <v>103</v>
      </c>
      <c r="D5048" t="s">
        <v>122</v>
      </c>
      <c r="F5048" s="35">
        <v>8.9965005885644906</v>
      </c>
      <c r="G5048" s="35">
        <v>45.595929202223289</v>
      </c>
      <c r="H5048" s="35">
        <v>-31.925673377239576</v>
      </c>
      <c r="I5048" s="35">
        <v>-0.23923106363358118</v>
      </c>
      <c r="J5048" s="35">
        <v>3.1224300863746902E-3</v>
      </c>
      <c r="K5048" s="35">
        <v>-0.11516354723144469</v>
      </c>
      <c r="L5048" s="35">
        <v>103.7719961738989</v>
      </c>
      <c r="M5048" s="58" t="s">
        <v>23</v>
      </c>
      <c r="N5048" s="7">
        <v>9.5</v>
      </c>
      <c r="O5048" s="7" t="s">
        <v>179</v>
      </c>
      <c r="P5048" s="7" t="s">
        <v>179</v>
      </c>
    </row>
    <row r="5049" spans="1:16" x14ac:dyDescent="0.25">
      <c r="A5049" t="s">
        <v>181</v>
      </c>
      <c r="B5049" t="s">
        <v>221</v>
      </c>
      <c r="C5049" s="7" t="s">
        <v>103</v>
      </c>
      <c r="D5049" t="s">
        <v>123</v>
      </c>
      <c r="F5049" s="35">
        <v>0</v>
      </c>
      <c r="G5049" s="35">
        <v>3.9286260559241266</v>
      </c>
      <c r="H5049" s="35">
        <v>10.361678893469682</v>
      </c>
      <c r="I5049" s="35">
        <v>4.4842756310357927</v>
      </c>
      <c r="J5049" s="35">
        <v>-3.7660400237210026E-3</v>
      </c>
      <c r="K5049" s="35">
        <v>7.1762795516265783</v>
      </c>
      <c r="L5049" s="35">
        <v>19.481203447763662</v>
      </c>
      <c r="M5049" s="58" t="s">
        <v>22</v>
      </c>
      <c r="N5049" s="7">
        <v>9.5</v>
      </c>
      <c r="O5049" s="7" t="s">
        <v>179</v>
      </c>
      <c r="P5049" s="7" t="s">
        <v>179</v>
      </c>
    </row>
    <row r="5050" spans="1:16" x14ac:dyDescent="0.25">
      <c r="A5050" t="s">
        <v>181</v>
      </c>
      <c r="B5050" t="s">
        <v>221</v>
      </c>
      <c r="C5050" s="7" t="s">
        <v>103</v>
      </c>
      <c r="D5050" t="s">
        <v>123</v>
      </c>
      <c r="F5050" s="35">
        <v>2</v>
      </c>
      <c r="G5050" s="35">
        <v>4.7424236559241315</v>
      </c>
      <c r="H5050" s="35">
        <v>6.665678893469682</v>
      </c>
      <c r="I5050" s="35">
        <v>4.4842756310357927</v>
      </c>
      <c r="J5050" s="35">
        <v>-3.7660400237210026E-3</v>
      </c>
      <c r="K5050" s="35">
        <v>-1.7922717104450068</v>
      </c>
      <c r="L5050" s="35">
        <v>2.4538456608242907</v>
      </c>
      <c r="M5050" s="58" t="s">
        <v>22</v>
      </c>
      <c r="N5050" s="7">
        <v>9.5</v>
      </c>
      <c r="O5050" s="7" t="s">
        <v>179</v>
      </c>
      <c r="P5050" s="7" t="s">
        <v>179</v>
      </c>
    </row>
    <row r="5051" spans="1:16" x14ac:dyDescent="0.25">
      <c r="A5051" t="s">
        <v>181</v>
      </c>
      <c r="B5051" t="s">
        <v>221</v>
      </c>
      <c r="C5051" s="7" t="s">
        <v>103</v>
      </c>
      <c r="D5051" t="s">
        <v>123</v>
      </c>
      <c r="F5051" s="35">
        <v>2</v>
      </c>
      <c r="G5051" s="35">
        <v>0.32959929958522111</v>
      </c>
      <c r="H5051" s="35">
        <v>6.6656799695022624</v>
      </c>
      <c r="I5051" s="35">
        <v>-0.24374731683797402</v>
      </c>
      <c r="J5051" s="35">
        <v>-3.7685551518957614E-3</v>
      </c>
      <c r="K5051" s="35">
        <v>-1.7922717104450125</v>
      </c>
      <c r="L5051" s="35">
        <v>2.453842978020917</v>
      </c>
      <c r="M5051" s="58" t="s">
        <v>22</v>
      </c>
      <c r="N5051" s="7">
        <v>9.5</v>
      </c>
      <c r="O5051" s="7" t="s">
        <v>179</v>
      </c>
      <c r="P5051" s="7" t="s">
        <v>179</v>
      </c>
    </row>
    <row r="5052" spans="1:16" x14ac:dyDescent="0.25">
      <c r="A5052" t="s">
        <v>181</v>
      </c>
      <c r="B5052" t="s">
        <v>221</v>
      </c>
      <c r="C5052" s="7" t="s">
        <v>103</v>
      </c>
      <c r="D5052" t="s">
        <v>123</v>
      </c>
      <c r="F5052" s="35">
        <v>4.5</v>
      </c>
      <c r="G5052" s="35">
        <v>1.3468462995852239</v>
      </c>
      <c r="H5052" s="35">
        <v>2.0456799695022614</v>
      </c>
      <c r="I5052" s="35">
        <v>-0.24374731683797429</v>
      </c>
      <c r="J5052" s="35">
        <v>-3.7685551518957614E-3</v>
      </c>
      <c r="K5052" s="35">
        <v>-1.1829034183500775</v>
      </c>
      <c r="L5052" s="35">
        <v>-8.435356945734739</v>
      </c>
      <c r="M5052" s="58" t="s">
        <v>24</v>
      </c>
      <c r="N5052" s="7">
        <v>9.5</v>
      </c>
      <c r="O5052" s="7" t="s">
        <v>179</v>
      </c>
      <c r="P5052" s="7" t="s">
        <v>179</v>
      </c>
    </row>
    <row r="5053" spans="1:16" x14ac:dyDescent="0.25">
      <c r="A5053" t="s">
        <v>181</v>
      </c>
      <c r="B5053" t="s">
        <v>221</v>
      </c>
      <c r="C5053" s="7" t="s">
        <v>103</v>
      </c>
      <c r="D5053" t="s">
        <v>123</v>
      </c>
      <c r="F5053" s="35">
        <v>4.5</v>
      </c>
      <c r="G5053" s="35">
        <v>2.1237951352008961</v>
      </c>
      <c r="H5053" s="35">
        <v>2.0457006716448318</v>
      </c>
      <c r="I5053" s="35">
        <v>-0.23765357953823121</v>
      </c>
      <c r="J5053" s="35">
        <v>3.070317896456203E-3</v>
      </c>
      <c r="K5053" s="35">
        <v>-1.1828974464860775</v>
      </c>
      <c r="L5053" s="35">
        <v>-9.4065397813241987</v>
      </c>
      <c r="M5053" s="58" t="s">
        <v>24</v>
      </c>
      <c r="N5053" s="7">
        <v>9.5</v>
      </c>
      <c r="O5053" s="7" t="s">
        <v>179</v>
      </c>
      <c r="P5053" s="7" t="s">
        <v>179</v>
      </c>
    </row>
    <row r="5054" spans="1:16" x14ac:dyDescent="0.25">
      <c r="A5054" t="s">
        <v>181</v>
      </c>
      <c r="B5054" t="s">
        <v>221</v>
      </c>
      <c r="C5054" s="7" t="s">
        <v>103</v>
      </c>
      <c r="D5054" t="s">
        <v>123</v>
      </c>
      <c r="F5054" s="35">
        <v>8.9965005885644906</v>
      </c>
      <c r="G5054" s="35">
        <v>3.9534158288870813</v>
      </c>
      <c r="H5054" s="35">
        <v>-6.263832416022348</v>
      </c>
      <c r="I5054" s="35">
        <v>-0.23765357953823174</v>
      </c>
      <c r="J5054" s="35">
        <v>3.070317896456203E-3</v>
      </c>
      <c r="K5054" s="35">
        <v>-0.11428798621796206</v>
      </c>
      <c r="L5054" s="35">
        <v>7.6876154293820248E-2</v>
      </c>
      <c r="M5054" s="58" t="s">
        <v>23</v>
      </c>
      <c r="N5054" s="7">
        <v>9.5</v>
      </c>
      <c r="O5054" s="7" t="s">
        <v>179</v>
      </c>
      <c r="P5054" s="7" t="s">
        <v>179</v>
      </c>
    </row>
    <row r="5055" spans="1:16" x14ac:dyDescent="0.25">
      <c r="A5055" t="s">
        <v>181</v>
      </c>
      <c r="B5055" t="s">
        <v>221</v>
      </c>
      <c r="C5055" s="7" t="s">
        <v>103</v>
      </c>
      <c r="D5055" t="s">
        <v>124</v>
      </c>
      <c r="F5055" s="35">
        <v>0</v>
      </c>
      <c r="G5055" s="35">
        <v>30.52512736283024</v>
      </c>
      <c r="H5055" s="35">
        <v>7.1395107055752725</v>
      </c>
      <c r="I5055" s="35">
        <v>-0.41326370305739696</v>
      </c>
      <c r="J5055" s="35">
        <v>2.2566825408317978E-4</v>
      </c>
      <c r="K5055" s="35">
        <v>-0.70458308447854801</v>
      </c>
      <c r="L5055" s="35">
        <v>16.681916048560794</v>
      </c>
      <c r="M5055" s="58" t="s">
        <v>22</v>
      </c>
      <c r="N5055" s="7">
        <v>9.5</v>
      </c>
      <c r="O5055" s="7" t="s">
        <v>179</v>
      </c>
      <c r="P5055" s="7" t="s">
        <v>179</v>
      </c>
    </row>
    <row r="5056" spans="1:16" x14ac:dyDescent="0.25">
      <c r="A5056" t="s">
        <v>181</v>
      </c>
      <c r="B5056" t="s">
        <v>221</v>
      </c>
      <c r="C5056" s="7" t="s">
        <v>103</v>
      </c>
      <c r="D5056" t="s">
        <v>124</v>
      </c>
      <c r="F5056" s="35">
        <v>2</v>
      </c>
      <c r="G5056" s="35">
        <v>31.338924962830244</v>
      </c>
      <c r="H5056" s="35">
        <v>0.755510705575274</v>
      </c>
      <c r="I5056" s="35">
        <v>-0.4132637030573974</v>
      </c>
      <c r="J5056" s="35">
        <v>2.2566825408317978E-4</v>
      </c>
      <c r="K5056" s="35">
        <v>0.12194432163624627</v>
      </c>
      <c r="L5056" s="35">
        <v>8.7868946374102403</v>
      </c>
      <c r="M5056" s="58" t="s">
        <v>22</v>
      </c>
      <c r="N5056" s="7">
        <v>9.5</v>
      </c>
      <c r="O5056" s="7" t="s">
        <v>179</v>
      </c>
      <c r="P5056" s="7" t="s">
        <v>179</v>
      </c>
    </row>
    <row r="5057" spans="1:16" x14ac:dyDescent="0.25">
      <c r="A5057" t="s">
        <v>181</v>
      </c>
      <c r="B5057" t="s">
        <v>221</v>
      </c>
      <c r="C5057" s="7" t="s">
        <v>103</v>
      </c>
      <c r="D5057" t="s">
        <v>124</v>
      </c>
      <c r="F5057" s="35">
        <v>2</v>
      </c>
      <c r="G5057" s="35">
        <v>31.760768034749383</v>
      </c>
      <c r="H5057" s="35">
        <v>0.75551683285368187</v>
      </c>
      <c r="I5057" s="35">
        <v>1.5696006659931559E-2</v>
      </c>
      <c r="J5057" s="35">
        <v>1.7732727910059354E-4</v>
      </c>
      <c r="K5057" s="35">
        <v>0.12194432163624662</v>
      </c>
      <c r="L5057" s="35">
        <v>8.7868430737036292</v>
      </c>
      <c r="M5057" s="58" t="s">
        <v>22</v>
      </c>
      <c r="N5057" s="7">
        <v>9.5</v>
      </c>
      <c r="O5057" s="7" t="s">
        <v>179</v>
      </c>
      <c r="P5057" s="7" t="s">
        <v>179</v>
      </c>
    </row>
    <row r="5058" spans="1:16" x14ac:dyDescent="0.25">
      <c r="A5058" t="s">
        <v>181</v>
      </c>
      <c r="B5058" t="s">
        <v>221</v>
      </c>
      <c r="C5058" s="7" t="s">
        <v>103</v>
      </c>
      <c r="D5058" t="s">
        <v>124</v>
      </c>
      <c r="F5058" s="35">
        <v>4.5</v>
      </c>
      <c r="G5058" s="35">
        <v>32.778015034749387</v>
      </c>
      <c r="H5058" s="35">
        <v>-7.2244831671463201</v>
      </c>
      <c r="I5058" s="35">
        <v>1.569600665993107E-2</v>
      </c>
      <c r="J5058" s="35">
        <v>1.7732727910059354E-4</v>
      </c>
      <c r="K5058" s="35">
        <v>8.2704304986418314E-2</v>
      </c>
      <c r="L5058" s="35">
        <v>16.873050991569421</v>
      </c>
      <c r="M5058" s="58" t="s">
        <v>24</v>
      </c>
      <c r="N5058" s="7">
        <v>9.5</v>
      </c>
      <c r="O5058" s="7" t="s">
        <v>179</v>
      </c>
      <c r="P5058" s="7" t="s">
        <v>179</v>
      </c>
    </row>
    <row r="5059" spans="1:16" x14ac:dyDescent="0.25">
      <c r="A5059" t="s">
        <v>181</v>
      </c>
      <c r="B5059" t="s">
        <v>221</v>
      </c>
      <c r="C5059" s="7" t="s">
        <v>103</v>
      </c>
      <c r="D5059" t="s">
        <v>124</v>
      </c>
      <c r="F5059" s="35">
        <v>4.5</v>
      </c>
      <c r="G5059" s="35">
        <v>33.554961643021443</v>
      </c>
      <c r="H5059" s="35">
        <v>-7.2244856480447908</v>
      </c>
      <c r="I5059" s="35">
        <v>1.5416239013172349E-2</v>
      </c>
      <c r="J5059" s="35">
        <v>-1.3103884821271655E-4</v>
      </c>
      <c r="K5059" s="35">
        <v>8.2702047184195174E-2</v>
      </c>
      <c r="L5059" s="35">
        <v>15.90187016249514</v>
      </c>
      <c r="M5059" s="58" t="s">
        <v>24</v>
      </c>
      <c r="N5059" s="7">
        <v>9.5</v>
      </c>
      <c r="O5059" s="7" t="s">
        <v>179</v>
      </c>
      <c r="P5059" s="7" t="s">
        <v>179</v>
      </c>
    </row>
    <row r="5060" spans="1:16" x14ac:dyDescent="0.25">
      <c r="A5060" t="s">
        <v>181</v>
      </c>
      <c r="B5060" t="s">
        <v>221</v>
      </c>
      <c r="C5060" s="7" t="s">
        <v>103</v>
      </c>
      <c r="D5060" t="s">
        <v>124</v>
      </c>
      <c r="F5060" s="35">
        <v>8.9965005885644906</v>
      </c>
      <c r="G5060" s="35">
        <v>35.384582336707631</v>
      </c>
      <c r="H5060" s="35">
        <v>-21.577315526742645</v>
      </c>
      <c r="I5060" s="35">
        <v>1.5416239013171469E-2</v>
      </c>
      <c r="J5060" s="35">
        <v>-1.3103884821271655E-4</v>
      </c>
      <c r="K5060" s="35">
        <v>1.3382919388016839E-2</v>
      </c>
      <c r="L5060" s="35">
        <v>80.655528129569703</v>
      </c>
      <c r="M5060" s="58" t="s">
        <v>23</v>
      </c>
      <c r="N5060" s="7">
        <v>9.5</v>
      </c>
      <c r="O5060" s="7" t="s">
        <v>179</v>
      </c>
      <c r="P5060" s="7" t="s">
        <v>179</v>
      </c>
    </row>
    <row r="5061" spans="1:16" x14ac:dyDescent="0.25">
      <c r="A5061" t="s">
        <v>181</v>
      </c>
      <c r="B5061" t="s">
        <v>221</v>
      </c>
      <c r="C5061" s="7" t="s">
        <v>103</v>
      </c>
      <c r="D5061" t="s">
        <v>125</v>
      </c>
      <c r="F5061" s="35">
        <v>0</v>
      </c>
      <c r="G5061" s="35">
        <v>-22.814847411897652</v>
      </c>
      <c r="H5061" s="35">
        <v>23.389163239682183</v>
      </c>
      <c r="I5061" s="35">
        <v>-0.54220789746494069</v>
      </c>
      <c r="J5061" s="35">
        <v>3.5909371240184308E-4</v>
      </c>
      <c r="K5061" s="35">
        <v>-0.89021138525707277</v>
      </c>
      <c r="L5061" s="35">
        <v>113.38563004667861</v>
      </c>
      <c r="M5061" s="58" t="s">
        <v>22</v>
      </c>
      <c r="N5061" s="7">
        <v>9.5</v>
      </c>
      <c r="O5061" s="7" t="s">
        <v>179</v>
      </c>
      <c r="P5061" s="7" t="s">
        <v>179</v>
      </c>
    </row>
    <row r="5062" spans="1:16" x14ac:dyDescent="0.25">
      <c r="A5062" t="s">
        <v>181</v>
      </c>
      <c r="B5062" t="s">
        <v>221</v>
      </c>
      <c r="C5062" s="7" t="s">
        <v>103</v>
      </c>
      <c r="D5062" t="s">
        <v>125</v>
      </c>
      <c r="F5062" s="35">
        <v>2</v>
      </c>
      <c r="G5062" s="35">
        <v>-22.001049811897644</v>
      </c>
      <c r="H5062" s="35">
        <v>21.709163239682184</v>
      </c>
      <c r="I5062" s="35">
        <v>-0.5422078974649408</v>
      </c>
      <c r="J5062" s="35">
        <v>3.5909371240184308E-4</v>
      </c>
      <c r="K5062" s="35">
        <v>0.19420440967280839</v>
      </c>
      <c r="L5062" s="35">
        <v>68.287303567314254</v>
      </c>
      <c r="M5062" s="58" t="s">
        <v>22</v>
      </c>
      <c r="N5062" s="7">
        <v>9.5</v>
      </c>
      <c r="O5062" s="7" t="s">
        <v>179</v>
      </c>
      <c r="P5062" s="7" t="s">
        <v>179</v>
      </c>
    </row>
    <row r="5063" spans="1:16" x14ac:dyDescent="0.25">
      <c r="A5063" t="s">
        <v>181</v>
      </c>
      <c r="B5063" t="s">
        <v>221</v>
      </c>
      <c r="C5063" s="7" t="s">
        <v>103</v>
      </c>
      <c r="D5063" t="s">
        <v>125</v>
      </c>
      <c r="F5063" s="35">
        <v>2</v>
      </c>
      <c r="G5063" s="35">
        <v>-21.449108864614743</v>
      </c>
      <c r="H5063" s="35">
        <v>21.709152273858361</v>
      </c>
      <c r="I5063" s="35">
        <v>2.5520731926675283E-2</v>
      </c>
      <c r="J5063" s="35">
        <v>3.3391754293543569E-4</v>
      </c>
      <c r="K5063" s="35">
        <v>0.19420440967280936</v>
      </c>
      <c r="L5063" s="35">
        <v>68.287276712733544</v>
      </c>
      <c r="M5063" s="58" t="s">
        <v>22</v>
      </c>
      <c r="N5063" s="7">
        <v>9.5</v>
      </c>
      <c r="O5063" s="7" t="s">
        <v>179</v>
      </c>
      <c r="P5063" s="7" t="s">
        <v>179</v>
      </c>
    </row>
    <row r="5064" spans="1:16" x14ac:dyDescent="0.25">
      <c r="A5064" t="s">
        <v>181</v>
      </c>
      <c r="B5064" t="s">
        <v>221</v>
      </c>
      <c r="C5064" s="7" t="s">
        <v>103</v>
      </c>
      <c r="D5064" t="s">
        <v>125</v>
      </c>
      <c r="F5064" s="35">
        <v>4.5</v>
      </c>
      <c r="G5064" s="35">
        <v>-20.431861864614739</v>
      </c>
      <c r="H5064" s="35">
        <v>19.60915227385836</v>
      </c>
      <c r="I5064" s="35">
        <v>2.5520731926675155E-2</v>
      </c>
      <c r="J5064" s="35">
        <v>3.3391754293543569E-4</v>
      </c>
      <c r="K5064" s="35">
        <v>0.1304025798561213</v>
      </c>
      <c r="L5064" s="35">
        <v>16.639396028087639</v>
      </c>
      <c r="M5064" s="58" t="s">
        <v>24</v>
      </c>
      <c r="N5064" s="7">
        <v>9.5</v>
      </c>
      <c r="O5064" s="7" t="s">
        <v>179</v>
      </c>
      <c r="P5064" s="7" t="s">
        <v>179</v>
      </c>
    </row>
    <row r="5065" spans="1:16" x14ac:dyDescent="0.25">
      <c r="A5065" t="s">
        <v>181</v>
      </c>
      <c r="B5065" t="s">
        <v>221</v>
      </c>
      <c r="C5065" s="7" t="s">
        <v>103</v>
      </c>
      <c r="D5065" t="s">
        <v>125</v>
      </c>
      <c r="F5065" s="35">
        <v>4.5</v>
      </c>
      <c r="G5065" s="35">
        <v>-19.65491520515825</v>
      </c>
      <c r="H5065" s="35">
        <v>19.609139713293928</v>
      </c>
      <c r="I5065" s="35">
        <v>2.4947268823435263E-2</v>
      </c>
      <c r="J5065" s="35">
        <v>-3.5129788447867122E-4</v>
      </c>
      <c r="K5065" s="35">
        <v>0.13040050710810178</v>
      </c>
      <c r="L5065" s="35">
        <v>15.668214335604961</v>
      </c>
      <c r="M5065" s="58" t="s">
        <v>24</v>
      </c>
      <c r="N5065" s="7">
        <v>9.5</v>
      </c>
      <c r="O5065" s="7" t="s">
        <v>179</v>
      </c>
      <c r="P5065" s="7" t="s">
        <v>179</v>
      </c>
    </row>
    <row r="5066" spans="1:16" x14ac:dyDescent="0.25">
      <c r="A5066" t="s">
        <v>181</v>
      </c>
      <c r="B5066" t="s">
        <v>221</v>
      </c>
      <c r="C5066" s="7" t="s">
        <v>103</v>
      </c>
      <c r="D5066" t="s">
        <v>125</v>
      </c>
      <c r="F5066" s="35">
        <v>8.9965005885644906</v>
      </c>
      <c r="G5066" s="35">
        <v>-17.825294511472066</v>
      </c>
      <c r="H5066" s="35">
        <v>15.832079218899757</v>
      </c>
      <c r="I5066" s="35">
        <v>2.4947268823435034E-2</v>
      </c>
      <c r="J5066" s="35">
        <v>-3.5129788447867122E-4</v>
      </c>
      <c r="K5066" s="35">
        <v>1.8225098160449097E-2</v>
      </c>
      <c r="L5066" s="35">
        <v>-64.012516558420941</v>
      </c>
      <c r="M5066" s="58" t="s">
        <v>23</v>
      </c>
      <c r="N5066" s="7">
        <v>9.5</v>
      </c>
      <c r="O5066" s="7" t="s">
        <v>179</v>
      </c>
      <c r="P5066" s="7" t="s">
        <v>179</v>
      </c>
    </row>
    <row r="5067" spans="1:16" x14ac:dyDescent="0.25">
      <c r="A5067" t="s">
        <v>181</v>
      </c>
      <c r="B5067" t="s">
        <v>221</v>
      </c>
      <c r="C5067" s="7" t="s">
        <v>103</v>
      </c>
      <c r="D5067" t="s">
        <v>126</v>
      </c>
      <c r="F5067" s="35">
        <v>0</v>
      </c>
      <c r="G5067" s="35">
        <v>47.308706183181251</v>
      </c>
      <c r="H5067" s="35">
        <v>-41.02160825336432</v>
      </c>
      <c r="I5067" s="35">
        <v>-0.4322445143465109</v>
      </c>
      <c r="J5067" s="35">
        <v>2.2307852571791336E-4</v>
      </c>
      <c r="K5067" s="35">
        <v>-0.74521527705590418</v>
      </c>
      <c r="L5067" s="35">
        <v>-122.91279715560827</v>
      </c>
      <c r="M5067" s="58" t="s">
        <v>22</v>
      </c>
      <c r="N5067" s="7">
        <v>9.5</v>
      </c>
      <c r="O5067" s="7" t="s">
        <v>179</v>
      </c>
      <c r="P5067" s="7" t="s">
        <v>179</v>
      </c>
    </row>
    <row r="5068" spans="1:16" x14ac:dyDescent="0.25">
      <c r="A5068" t="s">
        <v>181</v>
      </c>
      <c r="B5068" t="s">
        <v>221</v>
      </c>
      <c r="C5068" s="7" t="s">
        <v>103</v>
      </c>
      <c r="D5068" t="s">
        <v>126</v>
      </c>
      <c r="F5068" s="35">
        <v>2</v>
      </c>
      <c r="G5068" s="35">
        <v>48.122503783181259</v>
      </c>
      <c r="H5068" s="35">
        <v>-34.973608253364318</v>
      </c>
      <c r="I5068" s="35">
        <v>-0.43224451434651057</v>
      </c>
      <c r="J5068" s="35">
        <v>2.2307852571791336E-4</v>
      </c>
      <c r="K5068" s="35">
        <v>0.11927375163711716</v>
      </c>
      <c r="L5068" s="35">
        <v>-46.917580648879657</v>
      </c>
      <c r="M5068" s="58" t="s">
        <v>22</v>
      </c>
      <c r="N5068" s="7">
        <v>9.5</v>
      </c>
      <c r="O5068" s="7" t="s">
        <v>179</v>
      </c>
      <c r="P5068" s="7" t="s">
        <v>179</v>
      </c>
    </row>
    <row r="5069" spans="1:16" x14ac:dyDescent="0.25">
      <c r="A5069" t="s">
        <v>181</v>
      </c>
      <c r="B5069" t="s">
        <v>221</v>
      </c>
      <c r="C5069" s="7" t="s">
        <v>103</v>
      </c>
      <c r="D5069" t="s">
        <v>126</v>
      </c>
      <c r="F5069" s="35">
        <v>2</v>
      </c>
      <c r="G5069" s="35">
        <v>48.561781725061948</v>
      </c>
      <c r="H5069" s="35">
        <v>-34.973594778836556</v>
      </c>
      <c r="I5069" s="35">
        <v>1.5313328515969638E-2</v>
      </c>
      <c r="J5069" s="35">
        <v>1.5946647403447284E-4</v>
      </c>
      <c r="K5069" s="35">
        <v>0.11927375163711729</v>
      </c>
      <c r="L5069" s="35">
        <v>-46.917648501734632</v>
      </c>
      <c r="M5069" s="58" t="s">
        <v>22</v>
      </c>
      <c r="N5069" s="7">
        <v>9.5</v>
      </c>
      <c r="O5069" s="7" t="s">
        <v>179</v>
      </c>
      <c r="P5069" s="7" t="s">
        <v>179</v>
      </c>
    </row>
    <row r="5070" spans="1:16" x14ac:dyDescent="0.25">
      <c r="A5070" t="s">
        <v>181</v>
      </c>
      <c r="B5070" t="s">
        <v>221</v>
      </c>
      <c r="C5070" s="7" t="s">
        <v>103</v>
      </c>
      <c r="D5070" t="s">
        <v>126</v>
      </c>
      <c r="F5070" s="35">
        <v>4.5</v>
      </c>
      <c r="G5070" s="35">
        <v>49.579028725061946</v>
      </c>
      <c r="H5070" s="35">
        <v>-27.413594778836561</v>
      </c>
      <c r="I5070" s="35">
        <v>1.5313328515970101E-2</v>
      </c>
      <c r="J5070" s="35">
        <v>1.5946647403447284E-4</v>
      </c>
      <c r="K5070" s="35">
        <v>8.099043034719261E-2</v>
      </c>
      <c r="L5070" s="35">
        <v>31.066338445356774</v>
      </c>
      <c r="M5070" s="58" t="s">
        <v>24</v>
      </c>
      <c r="N5070" s="7">
        <v>9.5</v>
      </c>
      <c r="O5070" s="7" t="s">
        <v>179</v>
      </c>
      <c r="P5070" s="7" t="s">
        <v>179</v>
      </c>
    </row>
    <row r="5071" spans="1:16" x14ac:dyDescent="0.25">
      <c r="A5071" t="s">
        <v>181</v>
      </c>
      <c r="B5071" t="s">
        <v>221</v>
      </c>
      <c r="C5071" s="7" t="s">
        <v>103</v>
      </c>
      <c r="D5071" t="s">
        <v>126</v>
      </c>
      <c r="F5071" s="35">
        <v>4.5</v>
      </c>
      <c r="G5071" s="35">
        <v>50.355975266721529</v>
      </c>
      <c r="H5071" s="35">
        <v>-27.413606129194815</v>
      </c>
      <c r="I5071" s="35">
        <v>1.5064586999756265E-2</v>
      </c>
      <c r="J5071" s="35">
        <v>-1.4853922894348355E-4</v>
      </c>
      <c r="K5071" s="35">
        <v>8.0987951987243664E-2</v>
      </c>
      <c r="L5071" s="35">
        <v>30.095157443487725</v>
      </c>
      <c r="M5071" s="58" t="s">
        <v>24</v>
      </c>
      <c r="N5071" s="7">
        <v>9.5</v>
      </c>
      <c r="O5071" s="7" t="s">
        <v>179</v>
      </c>
      <c r="P5071" s="7" t="s">
        <v>179</v>
      </c>
    </row>
    <row r="5072" spans="1:16" x14ac:dyDescent="0.25">
      <c r="A5072" t="s">
        <v>181</v>
      </c>
      <c r="B5072" t="s">
        <v>221</v>
      </c>
      <c r="C5072" s="7" t="s">
        <v>103</v>
      </c>
      <c r="D5072" t="s">
        <v>126</v>
      </c>
      <c r="F5072" s="35">
        <v>8.9965005885644906</v>
      </c>
      <c r="G5072" s="35">
        <v>52.18559596040771</v>
      </c>
      <c r="H5072" s="35">
        <v>-13.816188349375796</v>
      </c>
      <c r="I5072" s="35">
        <v>1.5064586999757098E-2</v>
      </c>
      <c r="J5072" s="35">
        <v>-1.4853922894348355E-4</v>
      </c>
      <c r="K5072" s="35">
        <v>1.3250027676356795E-2</v>
      </c>
      <c r="L5072" s="35">
        <v>122.79005501313058</v>
      </c>
      <c r="M5072" s="58" t="s">
        <v>23</v>
      </c>
      <c r="N5072" s="7">
        <v>9.5</v>
      </c>
      <c r="O5072" s="7" t="s">
        <v>179</v>
      </c>
      <c r="P5072" s="7" t="s">
        <v>179</v>
      </c>
    </row>
    <row r="5073" spans="1:16" x14ac:dyDescent="0.25">
      <c r="A5073" t="s">
        <v>181</v>
      </c>
      <c r="B5073" t="s">
        <v>221</v>
      </c>
      <c r="C5073" s="7" t="s">
        <v>103</v>
      </c>
      <c r="D5073" t="s">
        <v>127</v>
      </c>
      <c r="F5073" s="35">
        <v>0</v>
      </c>
      <c r="G5073" s="35">
        <v>-70.812228490590016</v>
      </c>
      <c r="H5073" s="35">
        <v>-15.377998096246197</v>
      </c>
      <c r="I5073" s="35">
        <v>-0.77987595364477702</v>
      </c>
      <c r="J5073" s="35">
        <v>4.8576252671620932E-4</v>
      </c>
      <c r="K5073" s="35">
        <v>-1.2564436156538994</v>
      </c>
      <c r="L5073" s="35">
        <v>-46.997926217501643</v>
      </c>
      <c r="M5073" s="58" t="s">
        <v>22</v>
      </c>
      <c r="N5073" s="7">
        <v>9.5</v>
      </c>
      <c r="O5073" s="7" t="s">
        <v>179</v>
      </c>
      <c r="P5073" s="7" t="s">
        <v>179</v>
      </c>
    </row>
    <row r="5074" spans="1:16" x14ac:dyDescent="0.25">
      <c r="A5074" t="s">
        <v>181</v>
      </c>
      <c r="B5074" t="s">
        <v>221</v>
      </c>
      <c r="C5074" s="7" t="s">
        <v>103</v>
      </c>
      <c r="D5074" t="s">
        <v>127</v>
      </c>
      <c r="F5074" s="35">
        <v>2</v>
      </c>
      <c r="G5074" s="35">
        <v>-69.998430890590029</v>
      </c>
      <c r="H5074" s="35">
        <v>-4.6259980962461951</v>
      </c>
      <c r="I5074" s="35">
        <v>-0.77987595364477635</v>
      </c>
      <c r="J5074" s="35">
        <v>4.8576252671620932E-4</v>
      </c>
      <c r="K5074" s="35">
        <v>0.30330829163565387</v>
      </c>
      <c r="L5074" s="35">
        <v>-26.993930025009252</v>
      </c>
      <c r="M5074" s="58" t="s">
        <v>22</v>
      </c>
      <c r="N5074" s="7">
        <v>9.5</v>
      </c>
      <c r="O5074" s="7" t="s">
        <v>179</v>
      </c>
      <c r="P5074" s="7" t="s">
        <v>179</v>
      </c>
    </row>
    <row r="5075" spans="1:16" x14ac:dyDescent="0.25">
      <c r="A5075" t="s">
        <v>181</v>
      </c>
      <c r="B5075" t="s">
        <v>221</v>
      </c>
      <c r="C5075" s="7" t="s">
        <v>103</v>
      </c>
      <c r="D5075" t="s">
        <v>127</v>
      </c>
      <c r="F5075" s="35">
        <v>2</v>
      </c>
      <c r="G5075" s="35">
        <v>-69.209872211530126</v>
      </c>
      <c r="H5075" s="35">
        <v>-4.6260072762902009</v>
      </c>
      <c r="I5075" s="35">
        <v>4.0243410533778619E-2</v>
      </c>
      <c r="J5075" s="35">
        <v>5.790392468034666E-4</v>
      </c>
      <c r="K5075" s="35">
        <v>0.30330829163565443</v>
      </c>
      <c r="L5075" s="35">
        <v>-26.993830529841112</v>
      </c>
      <c r="M5075" s="58" t="s">
        <v>22</v>
      </c>
      <c r="N5075" s="7">
        <v>9.5</v>
      </c>
      <c r="O5075" s="7" t="s">
        <v>179</v>
      </c>
      <c r="P5075" s="7" t="s">
        <v>179</v>
      </c>
    </row>
    <row r="5076" spans="1:16" x14ac:dyDescent="0.25">
      <c r="A5076" t="s">
        <v>181</v>
      </c>
      <c r="B5076" t="s">
        <v>221</v>
      </c>
      <c r="C5076" s="7" t="s">
        <v>103</v>
      </c>
      <c r="D5076" t="s">
        <v>127</v>
      </c>
      <c r="F5076" s="35">
        <v>4.5</v>
      </c>
      <c r="G5076" s="35">
        <v>-68.192625211530114</v>
      </c>
      <c r="H5076" s="35">
        <v>8.8139927237097986</v>
      </c>
      <c r="I5076" s="35">
        <v>4.0243410533779445E-2</v>
      </c>
      <c r="J5076" s="35">
        <v>5.790392468034666E-4</v>
      </c>
      <c r="K5076" s="35">
        <v>0.20269976530120684</v>
      </c>
      <c r="L5076" s="35">
        <v>-32.228812339115606</v>
      </c>
      <c r="M5076" s="58" t="s">
        <v>24</v>
      </c>
      <c r="N5076" s="7">
        <v>9.5</v>
      </c>
      <c r="O5076" s="7" t="s">
        <v>179</v>
      </c>
      <c r="P5076" s="7" t="s">
        <v>179</v>
      </c>
    </row>
    <row r="5077" spans="1:16" x14ac:dyDescent="0.25">
      <c r="A5077" t="s">
        <v>181</v>
      </c>
      <c r="B5077" t="s">
        <v>221</v>
      </c>
      <c r="C5077" s="7" t="s">
        <v>103</v>
      </c>
      <c r="D5077" t="s">
        <v>127</v>
      </c>
      <c r="F5077" s="35">
        <v>4.5</v>
      </c>
      <c r="G5077" s="35">
        <v>-67.415678604609539</v>
      </c>
      <c r="H5077" s="35">
        <v>8.8139660393672798</v>
      </c>
      <c r="I5077" s="35">
        <v>3.9338520796403889E-2</v>
      </c>
      <c r="J5077" s="35">
        <v>-5.3520082733208771E-4</v>
      </c>
      <c r="K5077" s="35">
        <v>0.20269752801320168</v>
      </c>
      <c r="L5077" s="35">
        <v>-33.199994220161912</v>
      </c>
      <c r="M5077" s="58" t="s">
        <v>24</v>
      </c>
      <c r="N5077" s="7">
        <v>9.5</v>
      </c>
      <c r="O5077" s="7" t="s">
        <v>179</v>
      </c>
      <c r="P5077" s="7" t="s">
        <v>179</v>
      </c>
    </row>
    <row r="5078" spans="1:16" x14ac:dyDescent="0.25">
      <c r="A5078" t="s">
        <v>181</v>
      </c>
      <c r="B5078" t="s">
        <v>221</v>
      </c>
      <c r="C5078" s="7" t="s">
        <v>103</v>
      </c>
      <c r="D5078" t="s">
        <v>127</v>
      </c>
      <c r="F5078" s="35">
        <v>8.9965005885644906</v>
      </c>
      <c r="G5078" s="35">
        <v>-65.586057910923358</v>
      </c>
      <c r="H5078" s="35">
        <v>32.987153203489981</v>
      </c>
      <c r="I5078" s="35">
        <v>3.9338520796405374E-2</v>
      </c>
      <c r="J5078" s="35">
        <v>-5.3520082733208771E-4</v>
      </c>
      <c r="K5078" s="35">
        <v>2.5811846098911833E-2</v>
      </c>
      <c r="L5078" s="35">
        <v>-127.17937285924295</v>
      </c>
      <c r="M5078" s="58" t="s">
        <v>23</v>
      </c>
      <c r="N5078" s="7">
        <v>9.5</v>
      </c>
      <c r="O5078" s="7" t="s">
        <v>179</v>
      </c>
      <c r="P5078" s="7" t="s">
        <v>179</v>
      </c>
    </row>
    <row r="5079" spans="1:16" x14ac:dyDescent="0.25">
      <c r="A5079" t="s">
        <v>181</v>
      </c>
      <c r="B5079" t="s">
        <v>222</v>
      </c>
      <c r="C5079" s="7" t="s">
        <v>165</v>
      </c>
      <c r="D5079" t="s">
        <v>105</v>
      </c>
      <c r="F5079" s="35">
        <v>0</v>
      </c>
      <c r="G5079" s="35">
        <v>-49.199021085636154</v>
      </c>
      <c r="H5079" s="35">
        <v>-18.619084436672161</v>
      </c>
      <c r="I5079" s="35">
        <v>-2.925277927226196E-3</v>
      </c>
      <c r="J5079" s="35">
        <v>2.5550058283490933E-4</v>
      </c>
      <c r="K5079" s="35">
        <v>-2.5781945601546032E-2</v>
      </c>
      <c r="L5079" s="35">
        <v>-59.939947312540994</v>
      </c>
      <c r="M5079" s="58" t="s">
        <v>22</v>
      </c>
      <c r="N5079" s="7">
        <v>9.5</v>
      </c>
      <c r="O5079" s="7" t="s">
        <v>179</v>
      </c>
      <c r="P5079" s="7" t="s">
        <v>179</v>
      </c>
    </row>
    <row r="5080" spans="1:16" x14ac:dyDescent="0.25">
      <c r="A5080" t="s">
        <v>181</v>
      </c>
      <c r="B5080" t="s">
        <v>222</v>
      </c>
      <c r="C5080" s="7" t="s">
        <v>165</v>
      </c>
      <c r="D5080" t="s">
        <v>105</v>
      </c>
      <c r="F5080" s="35">
        <v>4.5</v>
      </c>
      <c r="G5080" s="35">
        <v>-47.367976485636156</v>
      </c>
      <c r="H5080" s="35">
        <v>-18.619084436672161</v>
      </c>
      <c r="I5080" s="35">
        <v>-2.925277927226196E-3</v>
      </c>
      <c r="J5080" s="35">
        <v>2.5550058283490933E-4</v>
      </c>
      <c r="K5080" s="35">
        <v>-1.2618194929028151E-2</v>
      </c>
      <c r="L5080" s="35">
        <v>23.845932652483729</v>
      </c>
      <c r="M5080" s="58" t="s">
        <v>24</v>
      </c>
      <c r="N5080" s="7">
        <v>9.5</v>
      </c>
      <c r="O5080" s="7" t="s">
        <v>179</v>
      </c>
      <c r="P5080" s="7" t="s">
        <v>179</v>
      </c>
    </row>
    <row r="5081" spans="1:16" x14ac:dyDescent="0.25">
      <c r="A5081" t="s">
        <v>181</v>
      </c>
      <c r="B5081" t="s">
        <v>222</v>
      </c>
      <c r="C5081" s="7" t="s">
        <v>165</v>
      </c>
      <c r="D5081" t="s">
        <v>105</v>
      </c>
      <c r="F5081" s="35">
        <v>4.5</v>
      </c>
      <c r="G5081" s="35">
        <v>-46.59102938096261</v>
      </c>
      <c r="H5081" s="35">
        <v>-18.619083779422244</v>
      </c>
      <c r="I5081" s="35">
        <v>-2.5228168655754262E-3</v>
      </c>
      <c r="J5081" s="35">
        <v>-1.9923043367174885E-4</v>
      </c>
      <c r="K5081" s="35">
        <v>-1.2617679960979742E-2</v>
      </c>
      <c r="L5081" s="35">
        <v>24.817117728783245</v>
      </c>
      <c r="M5081" s="58" t="s">
        <v>24</v>
      </c>
      <c r="N5081" s="7">
        <v>9.5</v>
      </c>
      <c r="O5081" s="7" t="s">
        <v>179</v>
      </c>
      <c r="P5081" s="7" t="s">
        <v>179</v>
      </c>
    </row>
    <row r="5082" spans="1:16" x14ac:dyDescent="0.25">
      <c r="A5082" t="s">
        <v>181</v>
      </c>
      <c r="B5082" t="s">
        <v>222</v>
      </c>
      <c r="C5082" s="7" t="s">
        <v>165</v>
      </c>
      <c r="D5082" t="s">
        <v>105</v>
      </c>
      <c r="F5082" s="35">
        <v>8.9965005885644871</v>
      </c>
      <c r="G5082" s="35">
        <v>-44.761408687276422</v>
      </c>
      <c r="H5082" s="35">
        <v>-18.619083779422244</v>
      </c>
      <c r="I5082" s="35">
        <v>-2.5228168655754262E-3</v>
      </c>
      <c r="J5082" s="35">
        <v>-1.9923043367174885E-4</v>
      </c>
      <c r="K5082" s="35">
        <v>-1.2738324400794216E-3</v>
      </c>
      <c r="L5082" s="35">
        <v>108.53783890148685</v>
      </c>
      <c r="M5082" s="58" t="s">
        <v>23</v>
      </c>
      <c r="N5082" s="7">
        <v>9.5</v>
      </c>
      <c r="O5082" s="7" t="s">
        <v>179</v>
      </c>
      <c r="P5082" s="7" t="s">
        <v>179</v>
      </c>
    </row>
    <row r="5083" spans="1:16" x14ac:dyDescent="0.25">
      <c r="A5083" t="s">
        <v>181</v>
      </c>
      <c r="B5083" t="s">
        <v>222</v>
      </c>
      <c r="C5083" s="7" t="s">
        <v>165</v>
      </c>
      <c r="D5083" t="s">
        <v>15</v>
      </c>
      <c r="F5083" s="35">
        <v>0</v>
      </c>
      <c r="G5083" s="35">
        <v>62.468897884693675</v>
      </c>
      <c r="H5083" s="35">
        <v>5.1821104703031899</v>
      </c>
      <c r="I5083" s="35">
        <v>-5.233571892949862E-2</v>
      </c>
      <c r="J5083" s="35">
        <v>3.4768569639788399E-3</v>
      </c>
      <c r="K5083" s="35">
        <v>-0.47081912257818215</v>
      </c>
      <c r="L5083" s="35">
        <v>47.329998387454047</v>
      </c>
      <c r="M5083" s="58" t="s">
        <v>22</v>
      </c>
      <c r="N5083" s="7">
        <v>9.5</v>
      </c>
      <c r="O5083" s="7" t="s">
        <v>179</v>
      </c>
      <c r="P5083" s="7" t="s">
        <v>179</v>
      </c>
    </row>
    <row r="5084" spans="1:16" x14ac:dyDescent="0.25">
      <c r="A5084" t="s">
        <v>181</v>
      </c>
      <c r="B5084" t="s">
        <v>222</v>
      </c>
      <c r="C5084" s="7" t="s">
        <v>165</v>
      </c>
      <c r="D5084" t="s">
        <v>15</v>
      </c>
      <c r="F5084" s="35">
        <v>4.5</v>
      </c>
      <c r="G5084" s="35">
        <v>64.299942484693673</v>
      </c>
      <c r="H5084" s="35">
        <v>24.082110470303192</v>
      </c>
      <c r="I5084" s="35">
        <v>-5.2335718929497461E-2</v>
      </c>
      <c r="J5084" s="35">
        <v>3.4768569639788399E-3</v>
      </c>
      <c r="K5084" s="35">
        <v>-0.23530838739544097</v>
      </c>
      <c r="L5084" s="35">
        <v>-18.514498728910294</v>
      </c>
      <c r="M5084" s="58" t="s">
        <v>24</v>
      </c>
      <c r="N5084" s="7">
        <v>9.5</v>
      </c>
      <c r="O5084" s="7" t="s">
        <v>179</v>
      </c>
      <c r="P5084" s="7" t="s">
        <v>179</v>
      </c>
    </row>
    <row r="5085" spans="1:16" x14ac:dyDescent="0.25">
      <c r="A5085" t="s">
        <v>181</v>
      </c>
      <c r="B5085" t="s">
        <v>222</v>
      </c>
      <c r="C5085" s="7" t="s">
        <v>165</v>
      </c>
      <c r="D5085" t="s">
        <v>15</v>
      </c>
      <c r="F5085" s="35">
        <v>4.5</v>
      </c>
      <c r="G5085" s="35">
        <v>65.076891072209577</v>
      </c>
      <c r="H5085" s="35">
        <v>24.082066899451593</v>
      </c>
      <c r="I5085" s="35">
        <v>-4.7037358495480686E-2</v>
      </c>
      <c r="J5085" s="35">
        <v>-2.2185016762046794E-3</v>
      </c>
      <c r="K5085" s="35">
        <v>-0.23531394610614714</v>
      </c>
      <c r="L5085" s="35">
        <v>-17.543308978475654</v>
      </c>
      <c r="M5085" s="58" t="s">
        <v>24</v>
      </c>
      <c r="N5085" s="7">
        <v>9.5</v>
      </c>
      <c r="O5085" s="7" t="s">
        <v>179</v>
      </c>
      <c r="P5085" s="7" t="s">
        <v>179</v>
      </c>
    </row>
    <row r="5086" spans="1:16" x14ac:dyDescent="0.25">
      <c r="A5086" t="s">
        <v>181</v>
      </c>
      <c r="B5086" t="s">
        <v>222</v>
      </c>
      <c r="C5086" s="7" t="s">
        <v>165</v>
      </c>
      <c r="D5086" t="s">
        <v>15</v>
      </c>
      <c r="F5086" s="35">
        <v>8.9965005885644871</v>
      </c>
      <c r="G5086" s="35">
        <v>66.906511765895758</v>
      </c>
      <c r="H5086" s="35">
        <v>42.96736937142245</v>
      </c>
      <c r="I5086" s="35">
        <v>-4.7037358495479534E-2</v>
      </c>
      <c r="J5086" s="35">
        <v>-2.2185016762046794E-3</v>
      </c>
      <c r="K5086" s="35">
        <v>-2.3810435946702034E-2</v>
      </c>
      <c r="L5086" s="35">
        <v>-168.28722380592674</v>
      </c>
      <c r="M5086" s="58" t="s">
        <v>23</v>
      </c>
      <c r="N5086" s="7">
        <v>9.5</v>
      </c>
      <c r="O5086" s="7" t="s">
        <v>179</v>
      </c>
      <c r="P5086" s="7" t="s">
        <v>179</v>
      </c>
    </row>
    <row r="5087" spans="1:16" x14ac:dyDescent="0.25">
      <c r="A5087" t="s">
        <v>181</v>
      </c>
      <c r="B5087" t="s">
        <v>222</v>
      </c>
      <c r="C5087" s="7" t="s">
        <v>165</v>
      </c>
      <c r="D5087" t="s">
        <v>16</v>
      </c>
      <c r="F5087" s="35">
        <v>0</v>
      </c>
      <c r="G5087" s="35">
        <v>20.361148227521085</v>
      </c>
      <c r="H5087" s="35">
        <v>0.67630411276795421</v>
      </c>
      <c r="I5087" s="35">
        <v>-4.6986016864960706E-2</v>
      </c>
      <c r="J5087" s="35">
        <v>3.4420232064691684E-3</v>
      </c>
      <c r="K5087" s="35">
        <v>-0.42001632196255378</v>
      </c>
      <c r="L5087" s="35">
        <v>15.280936547633328</v>
      </c>
      <c r="M5087" s="58" t="s">
        <v>22</v>
      </c>
      <c r="N5087" s="7">
        <v>9.5</v>
      </c>
      <c r="O5087" s="7" t="s">
        <v>179</v>
      </c>
      <c r="P5087" s="7" t="s">
        <v>179</v>
      </c>
    </row>
    <row r="5088" spans="1:16" x14ac:dyDescent="0.25">
      <c r="A5088" t="s">
        <v>181</v>
      </c>
      <c r="B5088" t="s">
        <v>222</v>
      </c>
      <c r="C5088" s="7" t="s">
        <v>165</v>
      </c>
      <c r="D5088" t="s">
        <v>16</v>
      </c>
      <c r="F5088" s="35">
        <v>4.5</v>
      </c>
      <c r="G5088" s="35">
        <v>22.192192827521083</v>
      </c>
      <c r="H5088" s="35">
        <v>8.9923041127679557</v>
      </c>
      <c r="I5088" s="35">
        <v>-4.6986016864960206E-2</v>
      </c>
      <c r="J5088" s="35">
        <v>3.4420232064691684E-3</v>
      </c>
      <c r="K5088" s="35">
        <v>-0.20857924607023176</v>
      </c>
      <c r="L5088" s="35">
        <v>-6.4734319598224719</v>
      </c>
      <c r="M5088" s="58" t="s">
        <v>24</v>
      </c>
      <c r="N5088" s="7">
        <v>9.5</v>
      </c>
      <c r="O5088" s="7" t="s">
        <v>179</v>
      </c>
      <c r="P5088" s="7" t="s">
        <v>179</v>
      </c>
    </row>
    <row r="5089" spans="1:16" x14ac:dyDescent="0.25">
      <c r="A5089" t="s">
        <v>181</v>
      </c>
      <c r="B5089" t="s">
        <v>222</v>
      </c>
      <c r="C5089" s="7" t="s">
        <v>165</v>
      </c>
      <c r="D5089" t="s">
        <v>16</v>
      </c>
      <c r="F5089" s="35">
        <v>4.5</v>
      </c>
      <c r="G5089" s="35">
        <v>22.969141247476948</v>
      </c>
      <c r="H5089" s="35">
        <v>8.9922653555465768</v>
      </c>
      <c r="I5089" s="35">
        <v>-4.1690049684092879E-2</v>
      </c>
      <c r="J5089" s="35">
        <v>-2.2766635081566166E-3</v>
      </c>
      <c r="K5089" s="35">
        <v>-0.20858403664119915</v>
      </c>
      <c r="L5089" s="35">
        <v>-5.5022427270435079</v>
      </c>
      <c r="M5089" s="58" t="s">
        <v>24</v>
      </c>
      <c r="N5089" s="7">
        <v>9.5</v>
      </c>
      <c r="O5089" s="7" t="s">
        <v>179</v>
      </c>
      <c r="P5089" s="7" t="s">
        <v>179</v>
      </c>
    </row>
    <row r="5090" spans="1:16" x14ac:dyDescent="0.25">
      <c r="A5090" t="s">
        <v>181</v>
      </c>
      <c r="B5090" t="s">
        <v>222</v>
      </c>
      <c r="C5090" s="7" t="s">
        <v>165</v>
      </c>
      <c r="D5090" t="s">
        <v>16</v>
      </c>
      <c r="F5090" s="35">
        <v>8.9965005885644871</v>
      </c>
      <c r="G5090" s="35">
        <v>24.798761941163129</v>
      </c>
      <c r="H5090" s="35">
        <v>17.301798443213752</v>
      </c>
      <c r="I5090" s="35">
        <v>-4.1690049684092373E-2</v>
      </c>
      <c r="J5090" s="35">
        <v>-2.2766635081566166E-3</v>
      </c>
      <c r="K5090" s="35">
        <v>-2.1124703699393885E-2</v>
      </c>
      <c r="L5090" s="35">
        <v>-64.617879400482508</v>
      </c>
      <c r="M5090" s="58" t="s">
        <v>23</v>
      </c>
      <c r="N5090" s="7">
        <v>9.5</v>
      </c>
      <c r="O5090" s="7" t="s">
        <v>179</v>
      </c>
      <c r="P5090" s="7" t="s">
        <v>179</v>
      </c>
    </row>
    <row r="5091" spans="1:16" x14ac:dyDescent="0.25">
      <c r="A5091" t="s">
        <v>181</v>
      </c>
      <c r="B5091" t="s">
        <v>222</v>
      </c>
      <c r="C5091" s="7" t="s">
        <v>165</v>
      </c>
      <c r="D5091" t="s">
        <v>106</v>
      </c>
      <c r="F5091" s="35">
        <v>0</v>
      </c>
      <c r="G5091" s="35">
        <v>68.770005713349022</v>
      </c>
      <c r="H5091" s="35">
        <v>-1.7432189789564487</v>
      </c>
      <c r="I5091" s="35">
        <v>5.704351663300429E-2</v>
      </c>
      <c r="J5091" s="35">
        <v>-4.0776318949293268E-3</v>
      </c>
      <c r="K5091" s="35">
        <v>0.51120494368049785</v>
      </c>
      <c r="L5091" s="35">
        <v>38.175779692122269</v>
      </c>
      <c r="M5091" s="58" t="s">
        <v>22</v>
      </c>
      <c r="N5091" s="7">
        <v>9.5</v>
      </c>
      <c r="O5091" s="7" t="s">
        <v>179</v>
      </c>
      <c r="P5091" s="7" t="s">
        <v>179</v>
      </c>
    </row>
    <row r="5092" spans="1:16" x14ac:dyDescent="0.25">
      <c r="A5092" t="s">
        <v>181</v>
      </c>
      <c r="B5092" t="s">
        <v>222</v>
      </c>
      <c r="C5092" s="7" t="s">
        <v>165</v>
      </c>
      <c r="D5092" t="s">
        <v>106</v>
      </c>
      <c r="F5092" s="35">
        <v>4.5</v>
      </c>
      <c r="G5092" s="35">
        <v>70.60105031334902</v>
      </c>
      <c r="H5092" s="35">
        <v>24.716781021043548</v>
      </c>
      <c r="I5092" s="35">
        <v>5.7043516633005914E-2</v>
      </c>
      <c r="J5092" s="35">
        <v>-4.0776318949293268E-3</v>
      </c>
      <c r="K5092" s="35">
        <v>0.25450911883197497</v>
      </c>
      <c r="L5092" s="35">
        <v>-13.514734902573716</v>
      </c>
      <c r="M5092" s="58" t="s">
        <v>24</v>
      </c>
      <c r="N5092" s="7">
        <v>9.5</v>
      </c>
      <c r="O5092" s="7" t="s">
        <v>179</v>
      </c>
      <c r="P5092" s="7" t="s">
        <v>179</v>
      </c>
    </row>
    <row r="5093" spans="1:16" x14ac:dyDescent="0.25">
      <c r="A5093" t="s">
        <v>181</v>
      </c>
      <c r="B5093" t="s">
        <v>222</v>
      </c>
      <c r="C5093" s="7" t="s">
        <v>165</v>
      </c>
      <c r="D5093" t="s">
        <v>106</v>
      </c>
      <c r="F5093" s="35">
        <v>4.5</v>
      </c>
      <c r="G5093" s="35">
        <v>71.377995714377462</v>
      </c>
      <c r="H5093" s="35">
        <v>24.716799387690585</v>
      </c>
      <c r="I5093" s="35">
        <v>5.0875755231270296E-2</v>
      </c>
      <c r="J5093" s="35">
        <v>2.6961330857856354E-3</v>
      </c>
      <c r="K5093" s="35">
        <v>0.25451681233537282</v>
      </c>
      <c r="L5093" s="35">
        <v>-12.543549641321082</v>
      </c>
      <c r="M5093" s="58" t="s">
        <v>24</v>
      </c>
      <c r="N5093" s="7">
        <v>9.5</v>
      </c>
      <c r="O5093" s="7" t="s">
        <v>179</v>
      </c>
      <c r="P5093" s="7" t="s">
        <v>179</v>
      </c>
    </row>
    <row r="5094" spans="1:16" x14ac:dyDescent="0.25">
      <c r="A5094" t="s">
        <v>181</v>
      </c>
      <c r="B5094" t="s">
        <v>222</v>
      </c>
      <c r="C5094" s="7" t="s">
        <v>165</v>
      </c>
      <c r="D5094" t="s">
        <v>106</v>
      </c>
      <c r="F5094" s="35">
        <v>8.9965005885644871</v>
      </c>
      <c r="G5094" s="35">
        <v>73.207616408063657</v>
      </c>
      <c r="H5094" s="35">
        <v>51.156222848449772</v>
      </c>
      <c r="I5094" s="35">
        <v>5.0875755231271913E-2</v>
      </c>
      <c r="J5094" s="35">
        <v>2.6961330857856354E-3</v>
      </c>
      <c r="K5094" s="35">
        <v>2.5753948994299537E-2</v>
      </c>
      <c r="L5094" s="35">
        <v>-183.12509421180681</v>
      </c>
      <c r="M5094" s="58" t="s">
        <v>23</v>
      </c>
      <c r="N5094" s="7">
        <v>9.5</v>
      </c>
      <c r="O5094" s="7" t="s">
        <v>179</v>
      </c>
      <c r="P5094" s="7" t="s">
        <v>179</v>
      </c>
    </row>
    <row r="5095" spans="1:16" x14ac:dyDescent="0.25">
      <c r="A5095" t="s">
        <v>181</v>
      </c>
      <c r="B5095" t="s">
        <v>222</v>
      </c>
      <c r="C5095" s="7" t="s">
        <v>165</v>
      </c>
      <c r="D5095" t="s">
        <v>107</v>
      </c>
      <c r="F5095" s="35">
        <v>0</v>
      </c>
      <c r="G5095" s="35">
        <v>26.662366085501368</v>
      </c>
      <c r="H5095" s="35">
        <v>-6.2498035399173304</v>
      </c>
      <c r="I5095" s="35">
        <v>6.2440163310733848E-2</v>
      </c>
      <c r="J5095" s="35">
        <v>-4.1154262754702978E-3</v>
      </c>
      <c r="K5095" s="35">
        <v>0.56242794308782773</v>
      </c>
      <c r="L5095" s="35">
        <v>6.1244367731294167</v>
      </c>
      <c r="M5095" s="58" t="s">
        <v>22</v>
      </c>
      <c r="N5095" s="7">
        <v>9.5</v>
      </c>
      <c r="O5095" s="7" t="s">
        <v>179</v>
      </c>
      <c r="P5095" s="7" t="s">
        <v>179</v>
      </c>
    </row>
    <row r="5096" spans="1:16" x14ac:dyDescent="0.25">
      <c r="A5096" t="s">
        <v>181</v>
      </c>
      <c r="B5096" t="s">
        <v>222</v>
      </c>
      <c r="C5096" s="7" t="s">
        <v>165</v>
      </c>
      <c r="D5096" t="s">
        <v>107</v>
      </c>
      <c r="F5096" s="35">
        <v>4.5</v>
      </c>
      <c r="G5096" s="35">
        <v>28.49341068550137</v>
      </c>
      <c r="H5096" s="35">
        <v>9.6261964600826708</v>
      </c>
      <c r="I5096" s="35">
        <v>6.2440163310734813E-2</v>
      </c>
      <c r="J5096" s="35">
        <v>-4.1154262754702978E-3</v>
      </c>
      <c r="K5096" s="35">
        <v>0.28144720818952323</v>
      </c>
      <c r="L5096" s="35">
        <v>-1.4724472972425993</v>
      </c>
      <c r="M5096" s="58" t="s">
        <v>24</v>
      </c>
      <c r="N5096" s="7">
        <v>9.5</v>
      </c>
      <c r="O5096" s="7" t="s">
        <v>179</v>
      </c>
      <c r="P5096" s="7" t="s">
        <v>179</v>
      </c>
    </row>
    <row r="5097" spans="1:16" x14ac:dyDescent="0.25">
      <c r="A5097" t="s">
        <v>181</v>
      </c>
      <c r="B5097" t="s">
        <v>222</v>
      </c>
      <c r="C5097" s="7" t="s">
        <v>165</v>
      </c>
      <c r="D5097" t="s">
        <v>107</v>
      </c>
      <c r="F5097" s="35">
        <v>4.5</v>
      </c>
      <c r="G5097" s="35">
        <v>29.270355917671157</v>
      </c>
      <c r="H5097" s="35">
        <v>9.6262198695238084</v>
      </c>
      <c r="I5097" s="35">
        <v>5.6264904217644268E-2</v>
      </c>
      <c r="J5097" s="35">
        <v>2.6398236724120253E-3</v>
      </c>
      <c r="K5097" s="35">
        <v>0.28145567529765475</v>
      </c>
      <c r="L5097" s="35">
        <v>-0.50126255173994028</v>
      </c>
      <c r="M5097" s="58" t="s">
        <v>24</v>
      </c>
      <c r="N5097" s="7">
        <v>9.5</v>
      </c>
      <c r="O5097" s="7" t="s">
        <v>179</v>
      </c>
      <c r="P5097" s="7" t="s">
        <v>179</v>
      </c>
    </row>
    <row r="5098" spans="1:16" x14ac:dyDescent="0.25">
      <c r="A5098" t="s">
        <v>181</v>
      </c>
      <c r="B5098" t="s">
        <v>222</v>
      </c>
      <c r="C5098" s="7" t="s">
        <v>165</v>
      </c>
      <c r="D5098" t="s">
        <v>107</v>
      </c>
      <c r="F5098" s="35">
        <v>8.9965005885644871</v>
      </c>
      <c r="G5098" s="35">
        <v>31.099976611357341</v>
      </c>
      <c r="H5098" s="35">
        <v>25.489873945979323</v>
      </c>
      <c r="I5098" s="35">
        <v>5.626490421764524E-2</v>
      </c>
      <c r="J5098" s="35">
        <v>2.6398236724120253E-3</v>
      </c>
      <c r="K5098" s="35">
        <v>2.8460500367490604E-2</v>
      </c>
      <c r="L5098" s="35">
        <v>-79.451030806487751</v>
      </c>
      <c r="M5098" s="58" t="s">
        <v>23</v>
      </c>
      <c r="N5098" s="7">
        <v>9.5</v>
      </c>
      <c r="O5098" s="7" t="s">
        <v>179</v>
      </c>
      <c r="P5098" s="7" t="s">
        <v>179</v>
      </c>
    </row>
    <row r="5099" spans="1:16" x14ac:dyDescent="0.25">
      <c r="A5099" t="s">
        <v>181</v>
      </c>
      <c r="B5099" t="s">
        <v>222</v>
      </c>
      <c r="C5099" s="7" t="s">
        <v>165</v>
      </c>
      <c r="D5099" t="s">
        <v>108</v>
      </c>
      <c r="F5099" s="35">
        <v>0</v>
      </c>
      <c r="G5099" s="35">
        <v>74.464001471647222</v>
      </c>
      <c r="H5099" s="35">
        <v>52.065260973496443</v>
      </c>
      <c r="I5099" s="35">
        <v>-1.6994940398353135E-2</v>
      </c>
      <c r="J5099" s="35">
        <v>3.0156301425997631E-4</v>
      </c>
      <c r="K5099" s="35">
        <v>-0.15983095690675111</v>
      </c>
      <c r="L5099" s="35">
        <v>158.08100560931194</v>
      </c>
      <c r="M5099" s="58" t="s">
        <v>22</v>
      </c>
      <c r="N5099" s="7">
        <v>9.5</v>
      </c>
      <c r="O5099" s="7" t="s">
        <v>179</v>
      </c>
      <c r="P5099" s="7" t="s">
        <v>179</v>
      </c>
    </row>
    <row r="5100" spans="1:16" x14ac:dyDescent="0.25">
      <c r="A5100" t="s">
        <v>181</v>
      </c>
      <c r="B5100" t="s">
        <v>222</v>
      </c>
      <c r="C5100" s="7" t="s">
        <v>165</v>
      </c>
      <c r="D5100" t="s">
        <v>108</v>
      </c>
      <c r="F5100" s="35">
        <v>4.5</v>
      </c>
      <c r="G5100" s="35">
        <v>76.295046071647235</v>
      </c>
      <c r="H5100" s="35">
        <v>38.457260973496439</v>
      </c>
      <c r="I5100" s="35">
        <v>-1.6994940398353968E-2</v>
      </c>
      <c r="J5100" s="35">
        <v>3.0156301425997631E-4</v>
      </c>
      <c r="K5100" s="35">
        <v>-8.3353725114160129E-2</v>
      </c>
      <c r="L5100" s="35">
        <v>-45.594668771422015</v>
      </c>
      <c r="M5100" s="58" t="s">
        <v>24</v>
      </c>
      <c r="N5100" s="7">
        <v>9.5</v>
      </c>
      <c r="O5100" s="7" t="s">
        <v>179</v>
      </c>
      <c r="P5100" s="7" t="s">
        <v>179</v>
      </c>
    </row>
    <row r="5101" spans="1:16" x14ac:dyDescent="0.25">
      <c r="A5101" t="s">
        <v>181</v>
      </c>
      <c r="B5101" t="s">
        <v>222</v>
      </c>
      <c r="C5101" s="7" t="s">
        <v>165</v>
      </c>
      <c r="D5101" t="s">
        <v>108</v>
      </c>
      <c r="F5101" s="35">
        <v>4.5</v>
      </c>
      <c r="G5101" s="35">
        <v>77.071993632562908</v>
      </c>
      <c r="H5101" s="35">
        <v>38.457248177825633</v>
      </c>
      <c r="I5101" s="35">
        <v>-1.6675896151893379E-2</v>
      </c>
      <c r="J5101" s="35">
        <v>1.3515924724215959E-5</v>
      </c>
      <c r="K5101" s="35">
        <v>-8.3355300511929797E-2</v>
      </c>
      <c r="L5101" s="35">
        <v>-44.623482331293424</v>
      </c>
      <c r="M5101" s="58" t="s">
        <v>24</v>
      </c>
      <c r="N5101" s="7">
        <v>9.5</v>
      </c>
      <c r="O5101" s="7" t="s">
        <v>179</v>
      </c>
      <c r="P5101" s="7" t="s">
        <v>179</v>
      </c>
    </row>
    <row r="5102" spans="1:16" x14ac:dyDescent="0.25">
      <c r="A5102" t="s">
        <v>181</v>
      </c>
      <c r="B5102" t="s">
        <v>222</v>
      </c>
      <c r="C5102" s="7" t="s">
        <v>165</v>
      </c>
      <c r="D5102" t="s">
        <v>108</v>
      </c>
      <c r="F5102" s="35">
        <v>8.9965005885644871</v>
      </c>
      <c r="G5102" s="35">
        <v>78.901614326249089</v>
      </c>
      <c r="H5102" s="35">
        <v>24.859830398006629</v>
      </c>
      <c r="I5102" s="35">
        <v>-1.6675896151894212E-2</v>
      </c>
      <c r="J5102" s="35">
        <v>1.3515924724215959E-5</v>
      </c>
      <c r="K5102" s="35">
        <v>-8.372123650099067E-3</v>
      </c>
      <c r="L5102" s="35">
        <v>-186.97612287250024</v>
      </c>
      <c r="M5102" s="58" t="s">
        <v>23</v>
      </c>
      <c r="N5102" s="7">
        <v>9.5</v>
      </c>
      <c r="O5102" s="7" t="s">
        <v>179</v>
      </c>
      <c r="P5102" s="7" t="s">
        <v>179</v>
      </c>
    </row>
    <row r="5103" spans="1:16" x14ac:dyDescent="0.25">
      <c r="A5103" t="s">
        <v>181</v>
      </c>
      <c r="B5103" t="s">
        <v>222</v>
      </c>
      <c r="C5103" s="7" t="s">
        <v>165</v>
      </c>
      <c r="D5103" t="s">
        <v>109</v>
      </c>
      <c r="F5103" s="35">
        <v>0</v>
      </c>
      <c r="G5103" s="35">
        <v>-43.853906229032894</v>
      </c>
      <c r="H5103" s="35">
        <v>26.406938724900638</v>
      </c>
      <c r="I5103" s="35">
        <v>-1.5234303753474074E-2</v>
      </c>
      <c r="J5103" s="35">
        <v>5.8756108782296711E-4</v>
      </c>
      <c r="K5103" s="35">
        <v>-0.14025298374000378</v>
      </c>
      <c r="L5103" s="35">
        <v>82.037226401109962</v>
      </c>
      <c r="M5103" s="58" t="s">
        <v>22</v>
      </c>
      <c r="N5103" s="7">
        <v>9.5</v>
      </c>
      <c r="O5103" s="7" t="s">
        <v>179</v>
      </c>
      <c r="P5103" s="7" t="s">
        <v>179</v>
      </c>
    </row>
    <row r="5104" spans="1:16" x14ac:dyDescent="0.25">
      <c r="A5104" t="s">
        <v>181</v>
      </c>
      <c r="B5104" t="s">
        <v>222</v>
      </c>
      <c r="C5104" s="7" t="s">
        <v>165</v>
      </c>
      <c r="D5104" t="s">
        <v>109</v>
      </c>
      <c r="F5104" s="35">
        <v>4.5</v>
      </c>
      <c r="G5104" s="35">
        <v>-42.022861629032889</v>
      </c>
      <c r="H5104" s="35">
        <v>2.2149387249006356</v>
      </c>
      <c r="I5104" s="35">
        <v>-1.5234303753475556E-2</v>
      </c>
      <c r="J5104" s="35">
        <v>5.8756108782296711E-4</v>
      </c>
      <c r="K5104" s="35">
        <v>-7.1698616849367097E-2</v>
      </c>
      <c r="L5104" s="35">
        <v>17.6380021390571</v>
      </c>
      <c r="M5104" s="58" t="s">
        <v>24</v>
      </c>
      <c r="N5104" s="7">
        <v>9.5</v>
      </c>
      <c r="O5104" s="7" t="s">
        <v>179</v>
      </c>
      <c r="P5104" s="7" t="s">
        <v>179</v>
      </c>
    </row>
    <row r="5105" spans="1:16" x14ac:dyDescent="0.25">
      <c r="A5105" t="s">
        <v>181</v>
      </c>
      <c r="B5105" t="s">
        <v>222</v>
      </c>
      <c r="C5105" s="7" t="s">
        <v>165</v>
      </c>
      <c r="D5105" t="s">
        <v>109</v>
      </c>
      <c r="F5105" s="35">
        <v>4.5</v>
      </c>
      <c r="G5105" s="35">
        <v>-41.245914152183666</v>
      </c>
      <c r="H5105" s="35">
        <v>2.2149131332780447</v>
      </c>
      <c r="I5105" s="35">
        <v>-1.4342659466000171E-2</v>
      </c>
      <c r="J5105" s="35">
        <v>-3.0084643073030837E-4</v>
      </c>
      <c r="K5105" s="35">
        <v>-7.1699834999853329E-2</v>
      </c>
      <c r="L5105" s="35">
        <v>18.609187795309857</v>
      </c>
      <c r="M5105" s="58" t="s">
        <v>24</v>
      </c>
      <c r="N5105" s="7">
        <v>9.5</v>
      </c>
      <c r="O5105" s="7" t="s">
        <v>179</v>
      </c>
      <c r="P5105" s="7" t="s">
        <v>179</v>
      </c>
    </row>
    <row r="5106" spans="1:16" x14ac:dyDescent="0.25">
      <c r="A5106" t="s">
        <v>181</v>
      </c>
      <c r="B5106" t="s">
        <v>222</v>
      </c>
      <c r="C5106" s="7" t="s">
        <v>165</v>
      </c>
      <c r="D5106" t="s">
        <v>109</v>
      </c>
      <c r="F5106" s="35">
        <v>8.9965005885644871</v>
      </c>
      <c r="G5106" s="35">
        <v>-39.416293458497478</v>
      </c>
      <c r="H5106" s="35">
        <v>-21.958274030844642</v>
      </c>
      <c r="I5106" s="35">
        <v>-1.4342659466001651E-2</v>
      </c>
      <c r="J5106" s="35">
        <v>-3.0084643073030837E-4</v>
      </c>
      <c r="K5106" s="35">
        <v>-7.2080582694002181E-3</v>
      </c>
      <c r="L5106" s="35">
        <v>62.997204743384508</v>
      </c>
      <c r="M5106" s="58" t="s">
        <v>23</v>
      </c>
      <c r="N5106" s="7">
        <v>9.5</v>
      </c>
      <c r="O5106" s="7" t="s">
        <v>179</v>
      </c>
      <c r="P5106" s="7" t="s">
        <v>179</v>
      </c>
    </row>
    <row r="5107" spans="1:16" x14ac:dyDescent="0.25">
      <c r="A5107" t="s">
        <v>181</v>
      </c>
      <c r="B5107" t="s">
        <v>222</v>
      </c>
      <c r="C5107" s="7" t="s">
        <v>165</v>
      </c>
      <c r="D5107" t="s">
        <v>110</v>
      </c>
      <c r="F5107" s="35">
        <v>0</v>
      </c>
      <c r="G5107" s="35">
        <v>57.453224732973318</v>
      </c>
      <c r="H5107" s="35">
        <v>3.9090834577609996</v>
      </c>
      <c r="I5107" s="35">
        <v>-1.51116310465262E-2</v>
      </c>
      <c r="J5107" s="35">
        <v>3.1750771811802243E-4</v>
      </c>
      <c r="K5107" s="35">
        <v>-0.1418003158080173</v>
      </c>
      <c r="L5107" s="35">
        <v>18.528283747598991</v>
      </c>
      <c r="M5107" s="58" t="s">
        <v>22</v>
      </c>
      <c r="N5107" s="7">
        <v>9.5</v>
      </c>
      <c r="O5107" s="7" t="s">
        <v>179</v>
      </c>
      <c r="P5107" s="7" t="s">
        <v>179</v>
      </c>
    </row>
    <row r="5108" spans="1:16" x14ac:dyDescent="0.25">
      <c r="A5108" t="s">
        <v>181</v>
      </c>
      <c r="B5108" t="s">
        <v>222</v>
      </c>
      <c r="C5108" s="7" t="s">
        <v>165</v>
      </c>
      <c r="D5108" t="s">
        <v>110</v>
      </c>
      <c r="F5108" s="35">
        <v>4.5</v>
      </c>
      <c r="G5108" s="35">
        <v>59.284269332973317</v>
      </c>
      <c r="H5108" s="35">
        <v>18.273083457761</v>
      </c>
      <c r="I5108" s="35">
        <v>-1.5111631046525319E-2</v>
      </c>
      <c r="J5108" s="35">
        <v>3.1750771811802243E-4</v>
      </c>
      <c r="K5108" s="35">
        <v>-7.379797609865138E-2</v>
      </c>
      <c r="L5108" s="35">
        <v>-31.381591812325514</v>
      </c>
      <c r="M5108" s="58" t="s">
        <v>24</v>
      </c>
      <c r="N5108" s="7">
        <v>9.5</v>
      </c>
      <c r="O5108" s="7" t="s">
        <v>179</v>
      </c>
      <c r="P5108" s="7" t="s">
        <v>179</v>
      </c>
    </row>
    <row r="5109" spans="1:16" x14ac:dyDescent="0.25">
      <c r="A5109" t="s">
        <v>181</v>
      </c>
      <c r="B5109" t="s">
        <v>222</v>
      </c>
      <c r="C5109" s="7" t="s">
        <v>165</v>
      </c>
      <c r="D5109" t="s">
        <v>110</v>
      </c>
      <c r="F5109" s="35">
        <v>4.5</v>
      </c>
      <c r="G5109" s="35">
        <v>60.061216827222239</v>
      </c>
      <c r="H5109" s="35">
        <v>18.273079444845624</v>
      </c>
      <c r="I5109" s="35">
        <v>-1.4761277825216558E-2</v>
      </c>
      <c r="J5109" s="35">
        <v>-4.1862081417696322E-5</v>
      </c>
      <c r="K5109" s="35">
        <v>-7.3799238916363058E-2</v>
      </c>
      <c r="L5109" s="35">
        <v>-30.410405204551211</v>
      </c>
      <c r="M5109" s="58" t="s">
        <v>24</v>
      </c>
      <c r="N5109" s="7">
        <v>9.5</v>
      </c>
      <c r="O5109" s="7" t="s">
        <v>179</v>
      </c>
      <c r="P5109" s="7" t="s">
        <v>179</v>
      </c>
    </row>
    <row r="5110" spans="1:16" x14ac:dyDescent="0.25">
      <c r="A5110" t="s">
        <v>181</v>
      </c>
      <c r="B5110" t="s">
        <v>222</v>
      </c>
      <c r="C5110" s="7" t="s">
        <v>165</v>
      </c>
      <c r="D5110" t="s">
        <v>110</v>
      </c>
      <c r="F5110" s="35">
        <v>8.9965005885644871</v>
      </c>
      <c r="G5110" s="35">
        <v>61.89083752090842</v>
      </c>
      <c r="H5110" s="35">
        <v>32.625909323543482</v>
      </c>
      <c r="I5110" s="35">
        <v>-1.4761277825215679E-2</v>
      </c>
      <c r="J5110" s="35">
        <v>-4.1862081417696322E-5</v>
      </c>
      <c r="K5110" s="35">
        <v>-7.4251444873148593E-3</v>
      </c>
      <c r="L5110" s="35">
        <v>-144.84407168175062</v>
      </c>
      <c r="M5110" s="58" t="s">
        <v>23</v>
      </c>
      <c r="N5110" s="7">
        <v>9.5</v>
      </c>
      <c r="O5110" s="7" t="s">
        <v>179</v>
      </c>
      <c r="P5110" s="7" t="s">
        <v>179</v>
      </c>
    </row>
    <row r="5111" spans="1:16" x14ac:dyDescent="0.25">
      <c r="A5111" t="s">
        <v>181</v>
      </c>
      <c r="B5111" t="s">
        <v>222</v>
      </c>
      <c r="C5111" s="7" t="s">
        <v>165</v>
      </c>
      <c r="D5111" t="s">
        <v>111</v>
      </c>
      <c r="F5111" s="35">
        <v>0</v>
      </c>
      <c r="G5111" s="35">
        <v>3.959300545801153</v>
      </c>
      <c r="H5111" s="35">
        <v>-12.352126046937483</v>
      </c>
      <c r="I5111" s="35">
        <v>-1.3477206179862177E-2</v>
      </c>
      <c r="J5111" s="35">
        <v>3.9201502450713976E-4</v>
      </c>
      <c r="K5111" s="35">
        <v>-0.12527147196042843</v>
      </c>
      <c r="L5111" s="35">
        <v>-78.29808692236837</v>
      </c>
      <c r="M5111" s="58" t="s">
        <v>22</v>
      </c>
      <c r="N5111" s="7">
        <v>9.5</v>
      </c>
      <c r="O5111" s="7" t="s">
        <v>179</v>
      </c>
      <c r="P5111" s="7" t="s">
        <v>179</v>
      </c>
    </row>
    <row r="5112" spans="1:16" x14ac:dyDescent="0.25">
      <c r="A5112" t="s">
        <v>181</v>
      </c>
      <c r="B5112" t="s">
        <v>222</v>
      </c>
      <c r="C5112" s="7" t="s">
        <v>165</v>
      </c>
      <c r="D5112" t="s">
        <v>111</v>
      </c>
      <c r="F5112" s="35">
        <v>4.5</v>
      </c>
      <c r="G5112" s="35">
        <v>5.7903451458011537</v>
      </c>
      <c r="H5112" s="35">
        <v>-8.572126046937484</v>
      </c>
      <c r="I5112" s="35">
        <v>-1.3477206179861945E-2</v>
      </c>
      <c r="J5112" s="35">
        <v>3.9201502450713976E-4</v>
      </c>
      <c r="K5112" s="35">
        <v>-6.4624044151049137E-2</v>
      </c>
      <c r="L5112" s="35">
        <v>-31.2185197111497</v>
      </c>
      <c r="M5112" s="58" t="s">
        <v>24</v>
      </c>
      <c r="N5112" s="7">
        <v>9.5</v>
      </c>
      <c r="O5112" s="7" t="s">
        <v>179</v>
      </c>
      <c r="P5112" s="7" t="s">
        <v>179</v>
      </c>
    </row>
    <row r="5113" spans="1:16" x14ac:dyDescent="0.25">
      <c r="A5113" t="s">
        <v>181</v>
      </c>
      <c r="B5113" t="s">
        <v>222</v>
      </c>
      <c r="C5113" s="7" t="s">
        <v>165</v>
      </c>
      <c r="D5113" t="s">
        <v>111</v>
      </c>
      <c r="F5113" s="35">
        <v>4.5</v>
      </c>
      <c r="G5113" s="35">
        <v>6.5672925668141167</v>
      </c>
      <c r="H5113" s="35">
        <v>-8.5721377452246141</v>
      </c>
      <c r="I5113" s="35">
        <v>-1.2928214923312701E-2</v>
      </c>
      <c r="J5113" s="35">
        <v>-1.6713757786434295E-4</v>
      </c>
      <c r="K5113" s="35">
        <v>-6.4624993103764752E-2</v>
      </c>
      <c r="L5113" s="35">
        <v>-30.247333895579487</v>
      </c>
      <c r="M5113" s="58" t="s">
        <v>24</v>
      </c>
      <c r="N5113" s="7">
        <v>9.5</v>
      </c>
      <c r="O5113" s="7" t="s">
        <v>179</v>
      </c>
      <c r="P5113" s="7" t="s">
        <v>179</v>
      </c>
    </row>
    <row r="5114" spans="1:16" x14ac:dyDescent="0.25">
      <c r="A5114" t="s">
        <v>181</v>
      </c>
      <c r="B5114" t="s">
        <v>222</v>
      </c>
      <c r="C5114" s="7" t="s">
        <v>165</v>
      </c>
      <c r="D5114" t="s">
        <v>111</v>
      </c>
      <c r="F5114" s="35">
        <v>8.9965005885644871</v>
      </c>
      <c r="G5114" s="35">
        <v>8.3969132605002983</v>
      </c>
      <c r="H5114" s="35">
        <v>-4.7950772508304436</v>
      </c>
      <c r="I5114" s="35">
        <v>-1.2928214923312469E-2</v>
      </c>
      <c r="J5114" s="35">
        <v>-1.6713757786434295E-4</v>
      </c>
      <c r="K5114" s="35">
        <v>-6.4932670920015293E-3</v>
      </c>
      <c r="L5114" s="35">
        <v>-0.19448884696467961</v>
      </c>
      <c r="M5114" s="58" t="s">
        <v>23</v>
      </c>
      <c r="N5114" s="7">
        <v>9.5</v>
      </c>
      <c r="O5114" s="7" t="s">
        <v>179</v>
      </c>
      <c r="P5114" s="7" t="s">
        <v>179</v>
      </c>
    </row>
    <row r="5115" spans="1:16" x14ac:dyDescent="0.25">
      <c r="A5115" t="s">
        <v>181</v>
      </c>
      <c r="B5115" t="s">
        <v>222</v>
      </c>
      <c r="C5115" s="7" t="s">
        <v>165</v>
      </c>
      <c r="D5115" t="s">
        <v>112</v>
      </c>
      <c r="F5115" s="35">
        <v>0</v>
      </c>
      <c r="G5115" s="35">
        <v>26.312336362220169</v>
      </c>
      <c r="H5115" s="35">
        <v>-8.0002913540337453</v>
      </c>
      <c r="I5115" s="35">
        <v>-4.8655879147228832E-2</v>
      </c>
      <c r="J5115" s="35">
        <v>3.2623333366625846E-3</v>
      </c>
      <c r="K5115" s="35">
        <v>-0.4373359181621948</v>
      </c>
      <c r="L5115" s="35">
        <v>2.2298267566184844</v>
      </c>
      <c r="M5115" s="58" t="s">
        <v>22</v>
      </c>
      <c r="N5115" s="7">
        <v>9.5</v>
      </c>
      <c r="O5115" s="7" t="s">
        <v>179</v>
      </c>
      <c r="P5115" s="7" t="s">
        <v>179</v>
      </c>
    </row>
    <row r="5116" spans="1:16" x14ac:dyDescent="0.25">
      <c r="A5116" t="s">
        <v>181</v>
      </c>
      <c r="B5116" t="s">
        <v>222</v>
      </c>
      <c r="C5116" s="7" t="s">
        <v>165</v>
      </c>
      <c r="D5116" t="s">
        <v>112</v>
      </c>
      <c r="F5116" s="35">
        <v>4.5</v>
      </c>
      <c r="G5116" s="35">
        <v>28.143380962220167</v>
      </c>
      <c r="H5116" s="35">
        <v>9.0097086459662545</v>
      </c>
      <c r="I5116" s="35">
        <v>-4.8655879147227798E-2</v>
      </c>
      <c r="J5116" s="35">
        <v>3.2623333366625846E-3</v>
      </c>
      <c r="K5116" s="35">
        <v>-0.21838446199966741</v>
      </c>
      <c r="L5116" s="35">
        <v>-4.1362150229658924E-2</v>
      </c>
      <c r="M5116" s="58" t="s">
        <v>24</v>
      </c>
      <c r="N5116" s="7">
        <v>9.5</v>
      </c>
      <c r="O5116" s="7" t="s">
        <v>179</v>
      </c>
      <c r="P5116" s="7" t="s">
        <v>179</v>
      </c>
    </row>
    <row r="5117" spans="1:16" x14ac:dyDescent="0.25">
      <c r="A5117" t="s">
        <v>181</v>
      </c>
      <c r="B5117" t="s">
        <v>222</v>
      </c>
      <c r="C5117" s="7" t="s">
        <v>165</v>
      </c>
      <c r="D5117" t="s">
        <v>112</v>
      </c>
      <c r="F5117" s="35">
        <v>4.5</v>
      </c>
      <c r="G5117" s="35">
        <v>28.920329431030893</v>
      </c>
      <c r="H5117" s="35">
        <v>9.0096637279158038</v>
      </c>
      <c r="I5117" s="35">
        <v>-4.3654677588436143E-2</v>
      </c>
      <c r="J5117" s="35">
        <v>-2.1025033097641917E-3</v>
      </c>
      <c r="K5117" s="35">
        <v>-0.21838955824214762</v>
      </c>
      <c r="L5117" s="35">
        <v>0.92982703829567481</v>
      </c>
      <c r="M5117" s="58" t="s">
        <v>24</v>
      </c>
      <c r="N5117" s="7">
        <v>9.5</v>
      </c>
      <c r="O5117" s="7" t="s">
        <v>179</v>
      </c>
      <c r="P5117" s="7" t="s">
        <v>179</v>
      </c>
    </row>
    <row r="5118" spans="1:16" x14ac:dyDescent="0.25">
      <c r="A5118" t="s">
        <v>181</v>
      </c>
      <c r="B5118" t="s">
        <v>222</v>
      </c>
      <c r="C5118" s="7" t="s">
        <v>165</v>
      </c>
      <c r="D5118" t="s">
        <v>112</v>
      </c>
      <c r="F5118" s="35">
        <v>8.9965005885644871</v>
      </c>
      <c r="G5118" s="35">
        <v>30.749950124717078</v>
      </c>
      <c r="H5118" s="35">
        <v>26.006435952689575</v>
      </c>
      <c r="I5118" s="35">
        <v>-4.3654677588435102E-2</v>
      </c>
      <c r="J5118" s="35">
        <v>-2.1025033097641917E-3</v>
      </c>
      <c r="K5118" s="35">
        <v>-2.209627477215393E-2</v>
      </c>
      <c r="L5118" s="35">
        <v>-77.795129373241764</v>
      </c>
      <c r="M5118" s="58" t="s">
        <v>23</v>
      </c>
      <c r="N5118" s="7">
        <v>9.5</v>
      </c>
      <c r="O5118" s="7" t="s">
        <v>179</v>
      </c>
      <c r="P5118" s="7" t="s">
        <v>179</v>
      </c>
    </row>
    <row r="5119" spans="1:16" x14ac:dyDescent="0.25">
      <c r="A5119" t="s">
        <v>181</v>
      </c>
      <c r="B5119" t="s">
        <v>222</v>
      </c>
      <c r="C5119" s="7" t="s">
        <v>165</v>
      </c>
      <c r="D5119" t="s">
        <v>113</v>
      </c>
      <c r="F5119" s="35">
        <v>0</v>
      </c>
      <c r="G5119" s="35">
        <v>-11.584638329235165</v>
      </c>
      <c r="H5119" s="35">
        <v>-12.055517075815457</v>
      </c>
      <c r="I5119" s="35">
        <v>-4.3841147289144719E-2</v>
      </c>
      <c r="J5119" s="35">
        <v>3.2309829549038798E-3</v>
      </c>
      <c r="K5119" s="35">
        <v>-0.39161339760812924</v>
      </c>
      <c r="L5119" s="35">
        <v>-26.614328899220173</v>
      </c>
      <c r="M5119" s="58" t="s">
        <v>22</v>
      </c>
      <c r="N5119" s="7">
        <v>9.5</v>
      </c>
      <c r="O5119" s="7" t="s">
        <v>179</v>
      </c>
      <c r="P5119" s="7" t="s">
        <v>179</v>
      </c>
    </row>
    <row r="5120" spans="1:16" x14ac:dyDescent="0.25">
      <c r="A5120" t="s">
        <v>181</v>
      </c>
      <c r="B5120" t="s">
        <v>222</v>
      </c>
      <c r="C5120" s="7" t="s">
        <v>165</v>
      </c>
      <c r="D5120" t="s">
        <v>113</v>
      </c>
      <c r="F5120" s="35">
        <v>4.5</v>
      </c>
      <c r="G5120" s="35">
        <v>-9.7535937292351651</v>
      </c>
      <c r="H5120" s="35">
        <v>-4.5711170758154562</v>
      </c>
      <c r="I5120" s="35">
        <v>-4.3841147289144268E-2</v>
      </c>
      <c r="J5120" s="35">
        <v>3.2309829549038798E-3</v>
      </c>
      <c r="K5120" s="35">
        <v>-0.19432823480697911</v>
      </c>
      <c r="L5120" s="35">
        <v>10.79559794194938</v>
      </c>
      <c r="M5120" s="58" t="s">
        <v>24</v>
      </c>
      <c r="N5120" s="7">
        <v>9.5</v>
      </c>
      <c r="O5120" s="7" t="s">
        <v>179</v>
      </c>
      <c r="P5120" s="7" t="s">
        <v>179</v>
      </c>
    </row>
    <row r="5121" spans="1:16" x14ac:dyDescent="0.25">
      <c r="A5121" t="s">
        <v>181</v>
      </c>
      <c r="B5121" t="s">
        <v>222</v>
      </c>
      <c r="C5121" s="7" t="s">
        <v>165</v>
      </c>
      <c r="D5121" t="s">
        <v>113</v>
      </c>
      <c r="F5121" s="35">
        <v>4.5</v>
      </c>
      <c r="G5121" s="35">
        <v>-8.9766454112284677</v>
      </c>
      <c r="H5121" s="35">
        <v>-4.5711576615987148</v>
      </c>
      <c r="I5121" s="35">
        <v>-3.8842099658187114E-2</v>
      </c>
      <c r="J5121" s="35">
        <v>-2.1548489585209349E-3</v>
      </c>
      <c r="K5121" s="35">
        <v>-0.19433263972369444</v>
      </c>
      <c r="L5121" s="35">
        <v>11.766786664584609</v>
      </c>
      <c r="M5121" s="58" t="s">
        <v>24</v>
      </c>
      <c r="N5121" s="7">
        <v>9.5</v>
      </c>
      <c r="O5121" s="7" t="s">
        <v>179</v>
      </c>
      <c r="P5121" s="7" t="s">
        <v>179</v>
      </c>
    </row>
    <row r="5122" spans="1:16" x14ac:dyDescent="0.25">
      <c r="A5122" t="s">
        <v>181</v>
      </c>
      <c r="B5122" t="s">
        <v>222</v>
      </c>
      <c r="C5122" s="7" t="s">
        <v>165</v>
      </c>
      <c r="D5122" t="s">
        <v>113</v>
      </c>
      <c r="F5122" s="35">
        <v>8.9965005885644871</v>
      </c>
      <c r="G5122" s="35">
        <v>-7.1470247175422834</v>
      </c>
      <c r="H5122" s="35">
        <v>2.9074221173017425</v>
      </c>
      <c r="I5122" s="35">
        <v>-3.8842099658186663E-2</v>
      </c>
      <c r="J5122" s="35">
        <v>-2.1548489585209349E-3</v>
      </c>
      <c r="K5122" s="35">
        <v>-1.9679115749576589E-2</v>
      </c>
      <c r="L5122" s="35">
        <v>15.507280591658096</v>
      </c>
      <c r="M5122" s="58" t="s">
        <v>23</v>
      </c>
      <c r="N5122" s="7">
        <v>9.5</v>
      </c>
      <c r="O5122" s="7" t="s">
        <v>179</v>
      </c>
      <c r="P5122" s="7" t="s">
        <v>179</v>
      </c>
    </row>
    <row r="5123" spans="1:16" x14ac:dyDescent="0.25">
      <c r="A5123" t="s">
        <v>181</v>
      </c>
      <c r="B5123" t="s">
        <v>222</v>
      </c>
      <c r="C5123" s="7" t="s">
        <v>165</v>
      </c>
      <c r="D5123" t="s">
        <v>114</v>
      </c>
      <c r="F5123" s="35">
        <v>0</v>
      </c>
      <c r="G5123" s="35">
        <v>31.983333408009969</v>
      </c>
      <c r="H5123" s="35">
        <v>-14.233087858367419</v>
      </c>
      <c r="I5123" s="35">
        <v>4.978543285902378E-2</v>
      </c>
      <c r="J5123" s="35">
        <v>-3.5367066363547655E-3</v>
      </c>
      <c r="K5123" s="35">
        <v>0.44648574147061726</v>
      </c>
      <c r="L5123" s="35">
        <v>-6.0089700691801218</v>
      </c>
      <c r="M5123" s="58" t="s">
        <v>22</v>
      </c>
      <c r="N5123" s="7">
        <v>9.5</v>
      </c>
      <c r="O5123" s="7" t="s">
        <v>179</v>
      </c>
      <c r="P5123" s="7" t="s">
        <v>179</v>
      </c>
    </row>
    <row r="5124" spans="1:16" x14ac:dyDescent="0.25">
      <c r="A5124" t="s">
        <v>181</v>
      </c>
      <c r="B5124" t="s">
        <v>222</v>
      </c>
      <c r="C5124" s="7" t="s">
        <v>165</v>
      </c>
      <c r="D5124" t="s">
        <v>114</v>
      </c>
      <c r="F5124" s="35">
        <v>4.5</v>
      </c>
      <c r="G5124" s="35">
        <v>33.814378008009967</v>
      </c>
      <c r="H5124" s="35">
        <v>9.5809121416325773</v>
      </c>
      <c r="I5124" s="35">
        <v>4.9785432859025237E-2</v>
      </c>
      <c r="J5124" s="35">
        <v>-3.5367066363547655E-3</v>
      </c>
      <c r="K5124" s="35">
        <v>0.22245129360500693</v>
      </c>
      <c r="L5124" s="35">
        <v>4.4584252934732573</v>
      </c>
      <c r="M5124" s="58" t="s">
        <v>24</v>
      </c>
      <c r="N5124" s="7">
        <v>9.5</v>
      </c>
      <c r="O5124" s="7" t="s">
        <v>179</v>
      </c>
      <c r="P5124" s="7" t="s">
        <v>179</v>
      </c>
    </row>
    <row r="5125" spans="1:16" x14ac:dyDescent="0.25">
      <c r="A5125" t="s">
        <v>181</v>
      </c>
      <c r="B5125" t="s">
        <v>222</v>
      </c>
      <c r="C5125" s="7" t="s">
        <v>165</v>
      </c>
      <c r="D5125" t="s">
        <v>114</v>
      </c>
      <c r="F5125" s="35">
        <v>4.5</v>
      </c>
      <c r="G5125" s="35">
        <v>34.591323608981995</v>
      </c>
      <c r="H5125" s="35">
        <v>9.580922967330892</v>
      </c>
      <c r="I5125" s="35">
        <v>4.4467124765639743E-2</v>
      </c>
      <c r="J5125" s="35">
        <v>2.3206679760270923E-3</v>
      </c>
      <c r="K5125" s="35">
        <v>0.22245812435522036</v>
      </c>
      <c r="L5125" s="35">
        <v>5.4296104417347895</v>
      </c>
      <c r="M5125" s="58" t="s">
        <v>24</v>
      </c>
      <c r="N5125" s="7">
        <v>9.5</v>
      </c>
      <c r="O5125" s="7" t="s">
        <v>179</v>
      </c>
      <c r="P5125" s="7" t="s">
        <v>179</v>
      </c>
    </row>
    <row r="5126" spans="1:16" x14ac:dyDescent="0.25">
      <c r="A5126" t="s">
        <v>181</v>
      </c>
      <c r="B5126" t="s">
        <v>222</v>
      </c>
      <c r="C5126" s="7" t="s">
        <v>165</v>
      </c>
      <c r="D5126" t="s">
        <v>114</v>
      </c>
      <c r="F5126" s="35">
        <v>8.9965005885644871</v>
      </c>
      <c r="G5126" s="35">
        <v>36.420944302668175</v>
      </c>
      <c r="H5126" s="35">
        <v>33.376404082014162</v>
      </c>
      <c r="I5126" s="35">
        <v>4.44671247656412E-2</v>
      </c>
      <c r="J5126" s="35">
        <v>2.3206679760270923E-3</v>
      </c>
      <c r="K5126" s="35">
        <v>2.2511671674747488E-2</v>
      </c>
      <c r="L5126" s="35">
        <v>-91.149212738533805</v>
      </c>
      <c r="M5126" s="58" t="s">
        <v>23</v>
      </c>
      <c r="N5126" s="7">
        <v>9.5</v>
      </c>
      <c r="O5126" s="7" t="s">
        <v>179</v>
      </c>
      <c r="P5126" s="7" t="s">
        <v>179</v>
      </c>
    </row>
    <row r="5127" spans="1:16" x14ac:dyDescent="0.25">
      <c r="A5127" t="s">
        <v>181</v>
      </c>
      <c r="B5127" t="s">
        <v>222</v>
      </c>
      <c r="C5127" s="7" t="s">
        <v>165</v>
      </c>
      <c r="D5127" t="s">
        <v>115</v>
      </c>
      <c r="F5127" s="35">
        <v>0</v>
      </c>
      <c r="G5127" s="35">
        <v>-5.9135422570529181</v>
      </c>
      <c r="H5127" s="35">
        <v>-18.289013963232215</v>
      </c>
      <c r="I5127" s="35">
        <v>5.4642414868980381E-2</v>
      </c>
      <c r="J5127" s="35">
        <v>-3.5707215788416398E-3</v>
      </c>
      <c r="K5127" s="35">
        <v>0.4925864409372141</v>
      </c>
      <c r="L5127" s="35">
        <v>-34.85517869627369</v>
      </c>
      <c r="M5127" s="58" t="s">
        <v>22</v>
      </c>
      <c r="N5127" s="7">
        <v>9.5</v>
      </c>
      <c r="O5127" s="7" t="s">
        <v>179</v>
      </c>
      <c r="P5127" s="7" t="s">
        <v>179</v>
      </c>
    </row>
    <row r="5128" spans="1:16" x14ac:dyDescent="0.25">
      <c r="A5128" t="s">
        <v>181</v>
      </c>
      <c r="B5128" t="s">
        <v>222</v>
      </c>
      <c r="C5128" s="7" t="s">
        <v>165</v>
      </c>
      <c r="D5128" t="s">
        <v>115</v>
      </c>
      <c r="F5128" s="35">
        <v>4.5</v>
      </c>
      <c r="G5128" s="35">
        <v>-4.082497657052917</v>
      </c>
      <c r="H5128" s="35">
        <v>-4.0006139632322109</v>
      </c>
      <c r="I5128" s="35">
        <v>5.4642414868981255E-2</v>
      </c>
      <c r="J5128" s="35">
        <v>-3.5707215788416398E-3</v>
      </c>
      <c r="K5128" s="35">
        <v>0.24669557402680045</v>
      </c>
      <c r="L5128" s="35">
        <v>15.296484138271264</v>
      </c>
      <c r="M5128" s="58" t="s">
        <v>24</v>
      </c>
      <c r="N5128" s="7">
        <v>9.5</v>
      </c>
      <c r="O5128" s="7" t="s">
        <v>179</v>
      </c>
      <c r="P5128" s="7" t="s">
        <v>179</v>
      </c>
    </row>
    <row r="5129" spans="1:16" x14ac:dyDescent="0.25">
      <c r="A5129" t="s">
        <v>181</v>
      </c>
      <c r="B5129" t="s">
        <v>222</v>
      </c>
      <c r="C5129" s="7" t="s">
        <v>165</v>
      </c>
      <c r="D5129" t="s">
        <v>115</v>
      </c>
      <c r="F5129" s="35">
        <v>4.5</v>
      </c>
      <c r="G5129" s="35">
        <v>-3.3055522080536823</v>
      </c>
      <c r="H5129" s="35">
        <v>-4.0005985990192068</v>
      </c>
      <c r="I5129" s="35">
        <v>4.931735885337632E-2</v>
      </c>
      <c r="J5129" s="35">
        <v>2.269989503990843E-3</v>
      </c>
      <c r="K5129" s="35">
        <v>0.2467031010212741</v>
      </c>
      <c r="L5129" s="35">
        <v>16.26766882235782</v>
      </c>
      <c r="M5129" s="58" t="s">
        <v>24</v>
      </c>
      <c r="N5129" s="7">
        <v>9.5</v>
      </c>
      <c r="O5129" s="7" t="s">
        <v>179</v>
      </c>
      <c r="P5129" s="7" t="s">
        <v>179</v>
      </c>
    </row>
    <row r="5130" spans="1:16" x14ac:dyDescent="0.25">
      <c r="A5130" t="s">
        <v>181</v>
      </c>
      <c r="B5130" t="s">
        <v>222</v>
      </c>
      <c r="C5130" s="7" t="s">
        <v>165</v>
      </c>
      <c r="D5130" t="s">
        <v>115</v>
      </c>
      <c r="F5130" s="35">
        <v>8.9965005885644871</v>
      </c>
      <c r="G5130" s="35">
        <v>-1.4759315143674974</v>
      </c>
      <c r="H5130" s="35">
        <v>10.276690069790757</v>
      </c>
      <c r="I5130" s="35">
        <v>4.9317358853377194E-2</v>
      </c>
      <c r="J5130" s="35">
        <v>2.269989503990843E-3</v>
      </c>
      <c r="K5130" s="35">
        <v>2.4947567910619448E-2</v>
      </c>
      <c r="L5130" s="35">
        <v>2.1574443262533838</v>
      </c>
      <c r="M5130" s="58" t="s">
        <v>23</v>
      </c>
      <c r="N5130" s="7">
        <v>9.5</v>
      </c>
      <c r="O5130" s="7" t="s">
        <v>179</v>
      </c>
      <c r="P5130" s="7" t="s">
        <v>179</v>
      </c>
    </row>
    <row r="5131" spans="1:16" x14ac:dyDescent="0.25">
      <c r="A5131" t="s">
        <v>181</v>
      </c>
      <c r="B5131" t="s">
        <v>222</v>
      </c>
      <c r="C5131" s="7" t="s">
        <v>165</v>
      </c>
      <c r="D5131" t="s">
        <v>116</v>
      </c>
      <c r="F5131" s="35">
        <v>0</v>
      </c>
      <c r="G5131" s="35">
        <v>37.107929590478356</v>
      </c>
      <c r="H5131" s="35">
        <v>34.194544098840183</v>
      </c>
      <c r="I5131" s="35">
        <v>-1.6849178469197902E-2</v>
      </c>
      <c r="J5131" s="35">
        <v>4.0456878191560687E-4</v>
      </c>
      <c r="K5131" s="35">
        <v>-0.15744656905790685</v>
      </c>
      <c r="L5131" s="35">
        <v>101.90573325629059</v>
      </c>
      <c r="M5131" s="58" t="s">
        <v>22</v>
      </c>
      <c r="N5131" s="7">
        <v>9.5</v>
      </c>
      <c r="O5131" s="7" t="s">
        <v>179</v>
      </c>
      <c r="P5131" s="7" t="s">
        <v>179</v>
      </c>
    </row>
    <row r="5132" spans="1:16" x14ac:dyDescent="0.25">
      <c r="A5132" t="s">
        <v>181</v>
      </c>
      <c r="B5132" t="s">
        <v>222</v>
      </c>
      <c r="C5132" s="7" t="s">
        <v>165</v>
      </c>
      <c r="D5132" t="s">
        <v>116</v>
      </c>
      <c r="F5132" s="35">
        <v>4.5</v>
      </c>
      <c r="G5132" s="35">
        <v>38.938974190478355</v>
      </c>
      <c r="H5132" s="35">
        <v>21.947344098840187</v>
      </c>
      <c r="I5132" s="35">
        <v>-1.6849178469198652E-2</v>
      </c>
      <c r="J5132" s="35">
        <v>4.0456878191560687E-4</v>
      </c>
      <c r="K5132" s="35">
        <v>-8.1625265946514605E-2</v>
      </c>
      <c r="L5132" s="35">
        <v>-24.413515188490209</v>
      </c>
      <c r="M5132" s="58" t="s">
        <v>24</v>
      </c>
      <c r="N5132" s="7">
        <v>9.5</v>
      </c>
      <c r="O5132" s="7" t="s">
        <v>179</v>
      </c>
      <c r="P5132" s="7" t="s">
        <v>179</v>
      </c>
    </row>
    <row r="5133" spans="1:16" x14ac:dyDescent="0.25">
      <c r="A5133" t="s">
        <v>181</v>
      </c>
      <c r="B5133" t="s">
        <v>222</v>
      </c>
      <c r="C5133" s="7" t="s">
        <v>165</v>
      </c>
      <c r="D5133" t="s">
        <v>116</v>
      </c>
      <c r="F5133" s="35">
        <v>4.5</v>
      </c>
      <c r="G5133" s="35">
        <v>39.7159217353489</v>
      </c>
      <c r="H5133" s="35">
        <v>21.947326878452444</v>
      </c>
      <c r="I5133" s="35">
        <v>-1.632936147920756E-2</v>
      </c>
      <c r="J5133" s="35">
        <v>-9.3687468928185588E-5</v>
      </c>
      <c r="K5133" s="35">
        <v>-8.1626777207352008E-2</v>
      </c>
      <c r="L5133" s="35">
        <v>-23.442328979240315</v>
      </c>
      <c r="M5133" s="58" t="s">
        <v>24</v>
      </c>
      <c r="N5133" s="7">
        <v>9.5</v>
      </c>
      <c r="O5133" s="7" t="s">
        <v>179</v>
      </c>
      <c r="P5133" s="7" t="s">
        <v>179</v>
      </c>
    </row>
    <row r="5134" spans="1:16" x14ac:dyDescent="0.25">
      <c r="A5134" t="s">
        <v>181</v>
      </c>
      <c r="B5134" t="s">
        <v>222</v>
      </c>
      <c r="C5134" s="7" t="s">
        <v>165</v>
      </c>
      <c r="D5134" t="s">
        <v>116</v>
      </c>
      <c r="F5134" s="35">
        <v>8.9965005885644871</v>
      </c>
      <c r="G5134" s="35">
        <v>41.545542429035088</v>
      </c>
      <c r="H5134" s="35">
        <v>9.7096508766153331</v>
      </c>
      <c r="I5134" s="35">
        <v>-1.6329361479208309E-2</v>
      </c>
      <c r="J5134" s="35">
        <v>-9.3687468928185588E-5</v>
      </c>
      <c r="K5134" s="35">
        <v>-8.2017937052112546E-3</v>
      </c>
      <c r="L5134" s="35">
        <v>-94.615138533157889</v>
      </c>
      <c r="M5134" s="58" t="s">
        <v>23</v>
      </c>
      <c r="N5134" s="7">
        <v>9.5</v>
      </c>
      <c r="O5134" s="7" t="s">
        <v>179</v>
      </c>
      <c r="P5134" s="7" t="s">
        <v>179</v>
      </c>
    </row>
    <row r="5135" spans="1:16" x14ac:dyDescent="0.25">
      <c r="A5135" t="s">
        <v>181</v>
      </c>
      <c r="B5135" t="s">
        <v>222</v>
      </c>
      <c r="C5135" s="7" t="s">
        <v>165</v>
      </c>
      <c r="D5135" t="s">
        <v>117</v>
      </c>
      <c r="F5135" s="35">
        <v>0</v>
      </c>
      <c r="G5135" s="35">
        <v>-69.378187340133749</v>
      </c>
      <c r="H5135" s="35">
        <v>11.102054075103958</v>
      </c>
      <c r="I5135" s="35">
        <v>-1.5264605488806747E-2</v>
      </c>
      <c r="J5135" s="35">
        <v>6.6196704812229853E-4</v>
      </c>
      <c r="K5135" s="35">
        <v>-0.13982639320783427</v>
      </c>
      <c r="L5135" s="35">
        <v>33.46633196890879</v>
      </c>
      <c r="M5135" s="58" t="s">
        <v>22</v>
      </c>
      <c r="N5135" s="7">
        <v>9.5</v>
      </c>
      <c r="O5135" s="7" t="s">
        <v>179</v>
      </c>
      <c r="P5135" s="7" t="s">
        <v>179</v>
      </c>
    </row>
    <row r="5136" spans="1:16" x14ac:dyDescent="0.25">
      <c r="A5136" t="s">
        <v>181</v>
      </c>
      <c r="B5136" t="s">
        <v>222</v>
      </c>
      <c r="C5136" s="7" t="s">
        <v>165</v>
      </c>
      <c r="D5136" t="s">
        <v>117</v>
      </c>
      <c r="F5136" s="35">
        <v>4.5</v>
      </c>
      <c r="G5136" s="35">
        <v>-67.547142740133751</v>
      </c>
      <c r="H5136" s="35">
        <v>-10.670745924896044</v>
      </c>
      <c r="I5136" s="35">
        <v>-1.526460548880808E-2</v>
      </c>
      <c r="J5136" s="35">
        <v>6.6196704812229853E-4</v>
      </c>
      <c r="K5136" s="35">
        <v>-7.1135668508200883E-2</v>
      </c>
      <c r="L5136" s="35">
        <v>32.495888630940996</v>
      </c>
      <c r="M5136" s="58" t="s">
        <v>24</v>
      </c>
      <c r="N5136" s="7">
        <v>9.5</v>
      </c>
      <c r="O5136" s="7" t="s">
        <v>179</v>
      </c>
      <c r="P5136" s="7" t="s">
        <v>179</v>
      </c>
    </row>
    <row r="5137" spans="1:16" x14ac:dyDescent="0.25">
      <c r="A5137" t="s">
        <v>181</v>
      </c>
      <c r="B5137" t="s">
        <v>222</v>
      </c>
      <c r="C5137" s="7" t="s">
        <v>165</v>
      </c>
      <c r="D5137" t="s">
        <v>117</v>
      </c>
      <c r="F5137" s="35">
        <v>4.5</v>
      </c>
      <c r="G5137" s="35">
        <v>-66.770195270923026</v>
      </c>
      <c r="H5137" s="35">
        <v>-10.670774661640394</v>
      </c>
      <c r="I5137" s="35">
        <v>-1.4229448461903674E-2</v>
      </c>
      <c r="J5137" s="35">
        <v>-3.7661358883725747E-4</v>
      </c>
      <c r="K5137" s="35">
        <v>-7.1136858246483192E-2</v>
      </c>
      <c r="L5137" s="35">
        <v>33.467074134702635</v>
      </c>
      <c r="M5137" s="58" t="s">
        <v>24</v>
      </c>
      <c r="N5137" s="7">
        <v>9.5</v>
      </c>
      <c r="O5137" s="7" t="s">
        <v>179</v>
      </c>
      <c r="P5137" s="7" t="s">
        <v>179</v>
      </c>
    </row>
    <row r="5138" spans="1:16" x14ac:dyDescent="0.25">
      <c r="A5138" t="s">
        <v>181</v>
      </c>
      <c r="B5138" t="s">
        <v>222</v>
      </c>
      <c r="C5138" s="7" t="s">
        <v>165</v>
      </c>
      <c r="D5138" t="s">
        <v>117</v>
      </c>
      <c r="F5138" s="35">
        <v>8.9965005885644871</v>
      </c>
      <c r="G5138" s="35">
        <v>-64.940574577236845</v>
      </c>
      <c r="H5138" s="35">
        <v>-32.426643109350813</v>
      </c>
      <c r="I5138" s="35">
        <v>-1.4229448461905008E-2</v>
      </c>
      <c r="J5138" s="35">
        <v>-3.7661358883725747E-4</v>
      </c>
      <c r="K5138" s="35">
        <v>-7.1541348625822898E-3</v>
      </c>
      <c r="L5138" s="35">
        <v>130.36085632113841</v>
      </c>
      <c r="M5138" s="58" t="s">
        <v>23</v>
      </c>
      <c r="N5138" s="7">
        <v>9.5</v>
      </c>
      <c r="O5138" s="7" t="s">
        <v>179</v>
      </c>
      <c r="P5138" s="7" t="s">
        <v>179</v>
      </c>
    </row>
    <row r="5139" spans="1:16" x14ac:dyDescent="0.25">
      <c r="A5139" t="s">
        <v>181</v>
      </c>
      <c r="B5139" t="s">
        <v>222</v>
      </c>
      <c r="C5139" s="7" t="s">
        <v>165</v>
      </c>
      <c r="D5139" t="s">
        <v>118</v>
      </c>
      <c r="F5139" s="35">
        <v>0</v>
      </c>
      <c r="G5139" s="35">
        <v>21.798230525671851</v>
      </c>
      <c r="H5139" s="35">
        <v>-9.1460156653217162</v>
      </c>
      <c r="I5139" s="35">
        <v>-1.5154200052553662E-2</v>
      </c>
      <c r="J5139" s="35">
        <v>4.189190153878484E-4</v>
      </c>
      <c r="K5139" s="35">
        <v>-0.14121899206904645</v>
      </c>
      <c r="L5139" s="35">
        <v>-23.69171641925108</v>
      </c>
      <c r="M5139" s="58" t="s">
        <v>22</v>
      </c>
      <c r="N5139" s="7">
        <v>9.5</v>
      </c>
      <c r="O5139" s="7" t="s">
        <v>179</v>
      </c>
      <c r="P5139" s="7" t="s">
        <v>179</v>
      </c>
    </row>
    <row r="5140" spans="1:16" x14ac:dyDescent="0.25">
      <c r="A5140" t="s">
        <v>181</v>
      </c>
      <c r="B5140" t="s">
        <v>222</v>
      </c>
      <c r="C5140" s="7" t="s">
        <v>165</v>
      </c>
      <c r="D5140" t="s">
        <v>118</v>
      </c>
      <c r="F5140" s="35">
        <v>4.5</v>
      </c>
      <c r="G5140" s="35">
        <v>23.62927512567185</v>
      </c>
      <c r="H5140" s="35">
        <v>3.7815843346782851</v>
      </c>
      <c r="I5140" s="35">
        <v>-1.5154200052552871E-2</v>
      </c>
      <c r="J5140" s="35">
        <v>4.189190153878484E-4</v>
      </c>
      <c r="K5140" s="35">
        <v>-7.3025091832556746E-2</v>
      </c>
      <c r="L5140" s="35">
        <v>-11.621745925303356</v>
      </c>
      <c r="M5140" s="58" t="s">
        <v>24</v>
      </c>
      <c r="N5140" s="7">
        <v>9.5</v>
      </c>
      <c r="O5140" s="7" t="s">
        <v>179</v>
      </c>
      <c r="P5140" s="7" t="s">
        <v>179</v>
      </c>
    </row>
    <row r="5141" spans="1:16" x14ac:dyDescent="0.25">
      <c r="A5141" t="s">
        <v>181</v>
      </c>
      <c r="B5141" t="s">
        <v>222</v>
      </c>
      <c r="C5141" s="7" t="s">
        <v>165</v>
      </c>
      <c r="D5141" t="s">
        <v>118</v>
      </c>
      <c r="F5141" s="35">
        <v>4.5</v>
      </c>
      <c r="G5141" s="35">
        <v>24.406222610542283</v>
      </c>
      <c r="H5141" s="35">
        <v>3.7815750187704316</v>
      </c>
      <c r="I5141" s="35">
        <v>-1.460620498519842E-2</v>
      </c>
      <c r="J5141" s="35">
        <v>-1.4352767445590666E-4</v>
      </c>
      <c r="K5141" s="35">
        <v>-7.302632177134194E-2</v>
      </c>
      <c r="L5141" s="35">
        <v>-10.650559565172326</v>
      </c>
      <c r="M5141" s="58" t="s">
        <v>24</v>
      </c>
      <c r="N5141" s="7">
        <v>9.5</v>
      </c>
      <c r="O5141" s="7" t="s">
        <v>179</v>
      </c>
      <c r="P5141" s="7" t="s">
        <v>179</v>
      </c>
    </row>
    <row r="5142" spans="1:16" x14ac:dyDescent="0.25">
      <c r="A5142" t="s">
        <v>181</v>
      </c>
      <c r="B5142" t="s">
        <v>222</v>
      </c>
      <c r="C5142" s="7" t="s">
        <v>165</v>
      </c>
      <c r="D5142" t="s">
        <v>118</v>
      </c>
      <c r="F5142" s="35">
        <v>8.9965005885644871</v>
      </c>
      <c r="G5142" s="35">
        <v>26.235843304228467</v>
      </c>
      <c r="H5142" s="35">
        <v>16.699121909598496</v>
      </c>
      <c r="I5142" s="35">
        <v>-1.4606204985197631E-2</v>
      </c>
      <c r="J5142" s="35">
        <v>-1.4352767445590666E-4</v>
      </c>
      <c r="K5142" s="35">
        <v>-7.3495124587054676E-3</v>
      </c>
      <c r="L5142" s="35">
        <v>-56.696292461483225</v>
      </c>
      <c r="M5142" s="58" t="s">
        <v>23</v>
      </c>
      <c r="N5142" s="7">
        <v>9.5</v>
      </c>
      <c r="O5142" s="7" t="s">
        <v>179</v>
      </c>
      <c r="P5142" s="7" t="s">
        <v>179</v>
      </c>
    </row>
    <row r="5143" spans="1:16" x14ac:dyDescent="0.25">
      <c r="A5143" t="s">
        <v>181</v>
      </c>
      <c r="B5143" t="s">
        <v>222</v>
      </c>
      <c r="C5143" s="7" t="s">
        <v>165</v>
      </c>
      <c r="D5143" t="s">
        <v>119</v>
      </c>
      <c r="F5143" s="35">
        <v>0</v>
      </c>
      <c r="G5143" s="35">
        <v>-26.346301242783102</v>
      </c>
      <c r="H5143" s="35">
        <v>-23.781104219550354</v>
      </c>
      <c r="I5143" s="35">
        <v>-1.3683217672556041E-2</v>
      </c>
      <c r="J5143" s="35">
        <v>4.8597559113805391E-4</v>
      </c>
      <c r="K5143" s="35">
        <v>-0.12634303260621646</v>
      </c>
      <c r="L5143" s="35">
        <v>-110.83545002222172</v>
      </c>
      <c r="M5143" s="58" t="s">
        <v>22</v>
      </c>
      <c r="N5143" s="7">
        <v>9.5</v>
      </c>
      <c r="O5143" s="7" t="s">
        <v>179</v>
      </c>
      <c r="P5143" s="7" t="s">
        <v>179</v>
      </c>
    </row>
    <row r="5144" spans="1:16" x14ac:dyDescent="0.25">
      <c r="A5144" t="s">
        <v>181</v>
      </c>
      <c r="B5144" t="s">
        <v>222</v>
      </c>
      <c r="C5144" s="7" t="s">
        <v>165</v>
      </c>
      <c r="D5144" t="s">
        <v>119</v>
      </c>
      <c r="F5144" s="35">
        <v>4.5</v>
      </c>
      <c r="G5144" s="35">
        <v>-24.515256642783104</v>
      </c>
      <c r="H5144" s="35">
        <v>-20.379104219550349</v>
      </c>
      <c r="I5144" s="35">
        <v>-1.3683217672555835E-2</v>
      </c>
      <c r="J5144" s="35">
        <v>4.8597559113805391E-4</v>
      </c>
      <c r="K5144" s="35">
        <v>-6.4768553079714741E-2</v>
      </c>
      <c r="L5144" s="35">
        <v>-11.474981034245127</v>
      </c>
      <c r="M5144" s="58" t="s">
        <v>24</v>
      </c>
      <c r="N5144" s="7">
        <v>9.5</v>
      </c>
      <c r="O5144" s="7" t="s">
        <v>179</v>
      </c>
      <c r="P5144" s="7" t="s">
        <v>179</v>
      </c>
    </row>
    <row r="5145" spans="1:16" x14ac:dyDescent="0.25">
      <c r="A5145" t="s">
        <v>181</v>
      </c>
      <c r="B5145" t="s">
        <v>222</v>
      </c>
      <c r="C5145" s="7" t="s">
        <v>165</v>
      </c>
      <c r="D5145" t="s">
        <v>119</v>
      </c>
      <c r="F5145" s="35">
        <v>4.5</v>
      </c>
      <c r="G5145" s="35">
        <v>-23.73830922382502</v>
      </c>
      <c r="H5145" s="35">
        <v>-20.379120452292788</v>
      </c>
      <c r="I5145" s="35">
        <v>-1.295644837348495E-2</v>
      </c>
      <c r="J5145" s="35">
        <v>-2.5627562125788865E-4</v>
      </c>
      <c r="K5145" s="35">
        <v>-6.476950054000348E-2</v>
      </c>
      <c r="L5145" s="35">
        <v>-10.503795387097773</v>
      </c>
      <c r="M5145" s="58" t="s">
        <v>24</v>
      </c>
      <c r="N5145" s="7">
        <v>9.5</v>
      </c>
      <c r="O5145" s="7" t="s">
        <v>179</v>
      </c>
      <c r="P5145" s="7" t="s">
        <v>179</v>
      </c>
    </row>
    <row r="5146" spans="1:16" x14ac:dyDescent="0.25">
      <c r="A5146" t="s">
        <v>181</v>
      </c>
      <c r="B5146" t="s">
        <v>222</v>
      </c>
      <c r="C5146" s="7" t="s">
        <v>165</v>
      </c>
      <c r="D5146" t="s">
        <v>119</v>
      </c>
      <c r="F5146" s="35">
        <v>8.9965005885644871</v>
      </c>
      <c r="G5146" s="35">
        <v>-21.908688530138836</v>
      </c>
      <c r="H5146" s="35">
        <v>-16.979766007338032</v>
      </c>
      <c r="I5146" s="35">
        <v>-1.295644837348474E-2</v>
      </c>
      <c r="J5146" s="35">
        <v>-2.5627562125788865E-4</v>
      </c>
      <c r="K5146" s="35">
        <v>-6.5108228029234702E-3</v>
      </c>
      <c r="L5146" s="35">
        <v>73.488332089824141</v>
      </c>
      <c r="M5146" s="58" t="s">
        <v>23</v>
      </c>
      <c r="N5146" s="7">
        <v>9.5</v>
      </c>
      <c r="O5146" s="7" t="s">
        <v>179</v>
      </c>
      <c r="P5146" s="7" t="s">
        <v>179</v>
      </c>
    </row>
    <row r="5147" spans="1:16" x14ac:dyDescent="0.25">
      <c r="A5147" t="s">
        <v>181</v>
      </c>
      <c r="B5147" t="s">
        <v>222</v>
      </c>
      <c r="C5147" s="7" t="s">
        <v>165</v>
      </c>
      <c r="D5147" t="s">
        <v>120</v>
      </c>
      <c r="F5147" s="35">
        <v>0</v>
      </c>
      <c r="G5147" s="35">
        <v>37.479128259253145</v>
      </c>
      <c r="H5147" s="35">
        <v>-5.6201718633362114</v>
      </c>
      <c r="I5147" s="35">
        <v>-5.3596923247456081E-2</v>
      </c>
      <c r="J5147" s="35">
        <v>3.584468974776977E-3</v>
      </c>
      <c r="K5147" s="35">
        <v>-0.4818396358598584</v>
      </c>
      <c r="L5147" s="35">
        <v>12.956821326617982</v>
      </c>
      <c r="M5147" s="58" t="s">
        <v>22</v>
      </c>
      <c r="N5147" s="7">
        <v>9.5</v>
      </c>
      <c r="O5147" s="7" t="s">
        <v>179</v>
      </c>
      <c r="P5147" s="7" t="s">
        <v>179</v>
      </c>
    </row>
    <row r="5148" spans="1:16" x14ac:dyDescent="0.25">
      <c r="A5148" t="s">
        <v>181</v>
      </c>
      <c r="B5148" t="s">
        <v>222</v>
      </c>
      <c r="C5148" s="7" t="s">
        <v>165</v>
      </c>
      <c r="D5148" t="s">
        <v>120</v>
      </c>
      <c r="F5148" s="35">
        <v>4.5</v>
      </c>
      <c r="G5148" s="35">
        <v>39.31017285925315</v>
      </c>
      <c r="H5148" s="35">
        <v>13.27982813666379</v>
      </c>
      <c r="I5148" s="35">
        <v>-5.3596923247454922E-2</v>
      </c>
      <c r="J5148" s="35">
        <v>3.584468974776977E-3</v>
      </c>
      <c r="K5148" s="35">
        <v>-0.24065348124630864</v>
      </c>
      <c r="L5148" s="35">
        <v>-4.2774052883690619</v>
      </c>
      <c r="M5148" s="58" t="s">
        <v>24</v>
      </c>
      <c r="N5148" s="7">
        <v>9.5</v>
      </c>
      <c r="O5148" s="7" t="s">
        <v>179</v>
      </c>
      <c r="P5148" s="7" t="s">
        <v>179</v>
      </c>
    </row>
    <row r="5149" spans="1:16" x14ac:dyDescent="0.25">
      <c r="A5149" t="s">
        <v>181</v>
      </c>
      <c r="B5149" t="s">
        <v>222</v>
      </c>
      <c r="C5149" s="7" t="s">
        <v>165</v>
      </c>
      <c r="D5149" t="s">
        <v>120</v>
      </c>
      <c r="F5149" s="35">
        <v>4.5</v>
      </c>
      <c r="G5149" s="35">
        <v>40.087121476348102</v>
      </c>
      <c r="H5149" s="35">
        <v>13.279778795803185</v>
      </c>
      <c r="I5149" s="35">
        <v>-4.8106131751426667E-2</v>
      </c>
      <c r="J5149" s="35">
        <v>-2.3044304340174844E-3</v>
      </c>
      <c r="K5149" s="35">
        <v>-0.24065918485666438</v>
      </c>
      <c r="L5149" s="35">
        <v>-3.3062156324302134</v>
      </c>
      <c r="M5149" s="58" t="s">
        <v>24</v>
      </c>
      <c r="N5149" s="7">
        <v>9.5</v>
      </c>
      <c r="O5149" s="7" t="s">
        <v>179</v>
      </c>
      <c r="P5149" s="7" t="s">
        <v>179</v>
      </c>
    </row>
    <row r="5150" spans="1:16" x14ac:dyDescent="0.25">
      <c r="A5150" t="s">
        <v>181</v>
      </c>
      <c r="B5150" t="s">
        <v>222</v>
      </c>
      <c r="C5150" s="7" t="s">
        <v>165</v>
      </c>
      <c r="D5150" t="s">
        <v>120</v>
      </c>
      <c r="F5150" s="35">
        <v>8.9965005885644871</v>
      </c>
      <c r="G5150" s="35">
        <v>41.91674217003429</v>
      </c>
      <c r="H5150" s="35">
        <v>32.165081267774042</v>
      </c>
      <c r="I5150" s="35">
        <v>-4.8106131751425515E-2</v>
      </c>
      <c r="J5150" s="35">
        <v>-2.3044304340174844E-3</v>
      </c>
      <c r="K5150" s="35">
        <v>-2.4349935122816187E-2</v>
      </c>
      <c r="L5150" s="35">
        <v>-105.47763564398308</v>
      </c>
      <c r="M5150" s="58" t="s">
        <v>23</v>
      </c>
      <c r="N5150" s="7">
        <v>9.5</v>
      </c>
      <c r="O5150" s="7" t="s">
        <v>179</v>
      </c>
      <c r="P5150" s="7" t="s">
        <v>179</v>
      </c>
    </row>
    <row r="5151" spans="1:16" x14ac:dyDescent="0.25">
      <c r="A5151" t="s">
        <v>181</v>
      </c>
      <c r="B5151" t="s">
        <v>222</v>
      </c>
      <c r="C5151" s="7" t="s">
        <v>165</v>
      </c>
      <c r="D5151" t="s">
        <v>121</v>
      </c>
      <c r="F5151" s="35">
        <v>0</v>
      </c>
      <c r="G5151" s="35">
        <v>-4.6286213979194502</v>
      </c>
      <c r="H5151" s="35">
        <v>-10.125978220871447</v>
      </c>
      <c r="I5151" s="35">
        <v>-4.8247221182918167E-2</v>
      </c>
      <c r="J5151" s="35">
        <v>3.5496352172673055E-3</v>
      </c>
      <c r="K5151" s="35">
        <v>-0.43103683524423003</v>
      </c>
      <c r="L5151" s="35">
        <v>-19.092240513202743</v>
      </c>
      <c r="M5151" s="58" t="s">
        <v>22</v>
      </c>
      <c r="N5151" s="7">
        <v>9.5</v>
      </c>
      <c r="O5151" s="7" t="s">
        <v>179</v>
      </c>
      <c r="P5151" s="7" t="s">
        <v>179</v>
      </c>
    </row>
    <row r="5152" spans="1:16" x14ac:dyDescent="0.25">
      <c r="A5152" t="s">
        <v>181</v>
      </c>
      <c r="B5152" t="s">
        <v>222</v>
      </c>
      <c r="C5152" s="7" t="s">
        <v>165</v>
      </c>
      <c r="D5152" t="s">
        <v>121</v>
      </c>
      <c r="F5152" s="35">
        <v>4.5</v>
      </c>
      <c r="G5152" s="35">
        <v>-2.7975767979194419</v>
      </c>
      <c r="H5152" s="35">
        <v>-1.8099782208714457</v>
      </c>
      <c r="I5152" s="35">
        <v>-4.824722118291766E-2</v>
      </c>
      <c r="J5152" s="35">
        <v>3.5496352172673055E-3</v>
      </c>
      <c r="K5152" s="35">
        <v>-0.21392433992109944</v>
      </c>
      <c r="L5152" s="35">
        <v>7.7636614807187581</v>
      </c>
      <c r="M5152" s="58" t="s">
        <v>24</v>
      </c>
      <c r="N5152" s="7">
        <v>9.5</v>
      </c>
      <c r="O5152" s="7" t="s">
        <v>179</v>
      </c>
      <c r="P5152" s="7" t="s">
        <v>179</v>
      </c>
    </row>
    <row r="5153" spans="1:16" x14ac:dyDescent="0.25">
      <c r="A5153" t="s">
        <v>181</v>
      </c>
      <c r="B5153" t="s">
        <v>222</v>
      </c>
      <c r="C5153" s="7" t="s">
        <v>165</v>
      </c>
      <c r="D5153" t="s">
        <v>121</v>
      </c>
      <c r="F5153" s="35">
        <v>4.5</v>
      </c>
      <c r="G5153" s="35">
        <v>-2.0206283483845251</v>
      </c>
      <c r="H5153" s="35">
        <v>-1.8100227481018316</v>
      </c>
      <c r="I5153" s="35">
        <v>-4.2758822940038861E-2</v>
      </c>
      <c r="J5153" s="35">
        <v>-2.362592265969422E-3</v>
      </c>
      <c r="K5153" s="35">
        <v>-0.21392927539171633</v>
      </c>
      <c r="L5153" s="35">
        <v>8.7348506190019339</v>
      </c>
      <c r="M5153" s="58" t="s">
        <v>24</v>
      </c>
      <c r="N5153" s="7">
        <v>9.5</v>
      </c>
      <c r="O5153" s="7" t="s">
        <v>179</v>
      </c>
      <c r="P5153" s="7" t="s">
        <v>179</v>
      </c>
    </row>
    <row r="5154" spans="1:16" x14ac:dyDescent="0.25">
      <c r="A5154" t="s">
        <v>181</v>
      </c>
      <c r="B5154" t="s">
        <v>222</v>
      </c>
      <c r="C5154" s="7" t="s">
        <v>165</v>
      </c>
      <c r="D5154" t="s">
        <v>121</v>
      </c>
      <c r="F5154" s="35">
        <v>8.9965005885644871</v>
      </c>
      <c r="G5154" s="35">
        <v>-0.19100765469834002</v>
      </c>
      <c r="H5154" s="35">
        <v>6.4995103395653446</v>
      </c>
      <c r="I5154" s="35">
        <v>-4.2758822940038348E-2</v>
      </c>
      <c r="J5154" s="35">
        <v>-2.362592265969422E-3</v>
      </c>
      <c r="K5154" s="35">
        <v>-2.1664202875508038E-2</v>
      </c>
      <c r="L5154" s="35">
        <v>-1.808291238538831</v>
      </c>
      <c r="M5154" s="58" t="s">
        <v>23</v>
      </c>
      <c r="N5154" s="7">
        <v>9.5</v>
      </c>
      <c r="O5154" s="7" t="s">
        <v>179</v>
      </c>
      <c r="P5154" s="7" t="s">
        <v>179</v>
      </c>
    </row>
    <row r="5155" spans="1:16" x14ac:dyDescent="0.25">
      <c r="A5155" t="s">
        <v>181</v>
      </c>
      <c r="B5155" t="s">
        <v>222</v>
      </c>
      <c r="C5155" s="7" t="s">
        <v>165</v>
      </c>
      <c r="D5155" t="s">
        <v>122</v>
      </c>
      <c r="F5155" s="35">
        <v>0</v>
      </c>
      <c r="G5155" s="35">
        <v>43.780236087908477</v>
      </c>
      <c r="H5155" s="35">
        <v>-12.545501312595849</v>
      </c>
      <c r="I5155" s="35">
        <v>5.5782312315046836E-2</v>
      </c>
      <c r="J5155" s="35">
        <v>-3.9700198841311901E-3</v>
      </c>
      <c r="K5155" s="35">
        <v>0.50018443039882154</v>
      </c>
      <c r="L5155" s="35">
        <v>3.8026026312861956</v>
      </c>
      <c r="M5155" s="58" t="s">
        <v>22</v>
      </c>
      <c r="N5155" s="7">
        <v>9.5</v>
      </c>
      <c r="O5155" s="7" t="s">
        <v>179</v>
      </c>
      <c r="P5155" s="7" t="s">
        <v>179</v>
      </c>
    </row>
    <row r="5156" spans="1:16" x14ac:dyDescent="0.25">
      <c r="A5156" t="s">
        <v>181</v>
      </c>
      <c r="B5156" t="s">
        <v>222</v>
      </c>
      <c r="C5156" s="7" t="s">
        <v>165</v>
      </c>
      <c r="D5156" t="s">
        <v>122</v>
      </c>
      <c r="F5156" s="35">
        <v>4.5</v>
      </c>
      <c r="G5156" s="35">
        <v>45.61128068790849</v>
      </c>
      <c r="H5156" s="35">
        <v>13.914498687404146</v>
      </c>
      <c r="I5156" s="35">
        <v>5.5782312315048453E-2</v>
      </c>
      <c r="J5156" s="35">
        <v>-3.9700198841311901E-3</v>
      </c>
      <c r="K5156" s="35">
        <v>0.24916402498110726</v>
      </c>
      <c r="L5156" s="35">
        <v>0.72235853796751404</v>
      </c>
      <c r="M5156" s="58" t="s">
        <v>24</v>
      </c>
      <c r="N5156" s="7">
        <v>9.5</v>
      </c>
      <c r="O5156" s="7" t="s">
        <v>179</v>
      </c>
      <c r="P5156" s="7" t="s">
        <v>179</v>
      </c>
    </row>
    <row r="5157" spans="1:16" x14ac:dyDescent="0.25">
      <c r="A5157" t="s">
        <v>181</v>
      </c>
      <c r="B5157" t="s">
        <v>222</v>
      </c>
      <c r="C5157" s="7" t="s">
        <v>165</v>
      </c>
      <c r="D5157" t="s">
        <v>122</v>
      </c>
      <c r="F5157" s="35">
        <v>4.5</v>
      </c>
      <c r="G5157" s="35">
        <v>46.388226118515995</v>
      </c>
      <c r="H5157" s="35">
        <v>13.914511284042176</v>
      </c>
      <c r="I5157" s="35">
        <v>4.9806981975324315E-2</v>
      </c>
      <c r="J5157" s="35">
        <v>2.6102043279728304E-3</v>
      </c>
      <c r="K5157" s="35">
        <v>0.24917157358485564</v>
      </c>
      <c r="L5157" s="35">
        <v>1.6935437047243598</v>
      </c>
      <c r="M5157" s="58" t="s">
        <v>24</v>
      </c>
      <c r="N5157" s="7">
        <v>9.5</v>
      </c>
      <c r="O5157" s="7" t="s">
        <v>179</v>
      </c>
      <c r="P5157" s="7" t="s">
        <v>179</v>
      </c>
    </row>
    <row r="5158" spans="1:16" x14ac:dyDescent="0.25">
      <c r="A5158" t="s">
        <v>181</v>
      </c>
      <c r="B5158" t="s">
        <v>222</v>
      </c>
      <c r="C5158" s="7" t="s">
        <v>165</v>
      </c>
      <c r="D5158" t="s">
        <v>122</v>
      </c>
      <c r="F5158" s="35">
        <v>8.9965005885644871</v>
      </c>
      <c r="G5158" s="35">
        <v>48.217846812202175</v>
      </c>
      <c r="H5158" s="35">
        <v>40.353934744801364</v>
      </c>
      <c r="I5158" s="35">
        <v>4.9806981975325938E-2</v>
      </c>
      <c r="J5158" s="35">
        <v>2.6102043279728304E-3</v>
      </c>
      <c r="K5158" s="35">
        <v>2.5214449818185384E-2</v>
      </c>
      <c r="L5158" s="35">
        <v>-120.31550604986315</v>
      </c>
      <c r="M5158" s="58" t="s">
        <v>23</v>
      </c>
      <c r="N5158" s="7">
        <v>9.5</v>
      </c>
      <c r="O5158" s="7" t="s">
        <v>179</v>
      </c>
      <c r="P5158" s="7" t="s">
        <v>179</v>
      </c>
    </row>
    <row r="5159" spans="1:16" x14ac:dyDescent="0.25">
      <c r="A5159" t="s">
        <v>181</v>
      </c>
      <c r="B5159" t="s">
        <v>222</v>
      </c>
      <c r="C5159" s="7" t="s">
        <v>165</v>
      </c>
      <c r="D5159" t="s">
        <v>123</v>
      </c>
      <c r="F5159" s="35">
        <v>0</v>
      </c>
      <c r="G5159" s="35">
        <v>1.6725964600608345</v>
      </c>
      <c r="H5159" s="35">
        <v>-17.052085873556731</v>
      </c>
      <c r="I5159" s="35">
        <v>6.1178958992776387E-2</v>
      </c>
      <c r="J5159" s="35">
        <v>-4.0078142646721602E-3</v>
      </c>
      <c r="K5159" s="35">
        <v>0.55140742980615154</v>
      </c>
      <c r="L5159" s="35">
        <v>-28.248740287706656</v>
      </c>
      <c r="M5159" s="58" t="s">
        <v>22</v>
      </c>
      <c r="N5159" s="7">
        <v>9.5</v>
      </c>
      <c r="O5159" s="7" t="s">
        <v>179</v>
      </c>
      <c r="P5159" s="7" t="s">
        <v>179</v>
      </c>
    </row>
    <row r="5160" spans="1:16" x14ac:dyDescent="0.25">
      <c r="A5160" t="s">
        <v>181</v>
      </c>
      <c r="B5160" t="s">
        <v>222</v>
      </c>
      <c r="C5160" s="7" t="s">
        <v>165</v>
      </c>
      <c r="D5160" t="s">
        <v>123</v>
      </c>
      <c r="F5160" s="35">
        <v>4.5</v>
      </c>
      <c r="G5160" s="35">
        <v>3.5036410600608425</v>
      </c>
      <c r="H5160" s="35">
        <v>-1.1760858735567306</v>
      </c>
      <c r="I5160" s="35">
        <v>6.1178958992777359E-2</v>
      </c>
      <c r="J5160" s="35">
        <v>-4.0078142646721602E-3</v>
      </c>
      <c r="K5160" s="35">
        <v>0.27610211433865561</v>
      </c>
      <c r="L5160" s="35">
        <v>12.764646143298631</v>
      </c>
      <c r="M5160" s="58" t="s">
        <v>24</v>
      </c>
      <c r="N5160" s="7">
        <v>9.5</v>
      </c>
      <c r="O5160" s="7" t="s">
        <v>179</v>
      </c>
      <c r="P5160" s="7" t="s">
        <v>179</v>
      </c>
    </row>
    <row r="5161" spans="1:16" x14ac:dyDescent="0.25">
      <c r="A5161" t="s">
        <v>181</v>
      </c>
      <c r="B5161" t="s">
        <v>222</v>
      </c>
      <c r="C5161" s="7" t="s">
        <v>165</v>
      </c>
      <c r="D5161" t="s">
        <v>123</v>
      </c>
      <c r="F5161" s="35">
        <v>4.5</v>
      </c>
      <c r="G5161" s="35">
        <v>4.2805863218096851</v>
      </c>
      <c r="H5161" s="35">
        <v>-1.1760682341246009</v>
      </c>
      <c r="I5161" s="35">
        <v>5.5196130961698293E-2</v>
      </c>
      <c r="J5161" s="35">
        <v>2.5538949145992203E-3</v>
      </c>
      <c r="K5161" s="35">
        <v>0.27611043654713752</v>
      </c>
      <c r="L5161" s="35">
        <v>13.735830794305501</v>
      </c>
      <c r="M5161" s="58" t="s">
        <v>24</v>
      </c>
      <c r="N5161" s="7">
        <v>9.5</v>
      </c>
      <c r="O5161" s="7" t="s">
        <v>179</v>
      </c>
      <c r="P5161" s="7" t="s">
        <v>179</v>
      </c>
    </row>
    <row r="5162" spans="1:16" x14ac:dyDescent="0.25">
      <c r="A5162" t="s">
        <v>181</v>
      </c>
      <c r="B5162" t="s">
        <v>222</v>
      </c>
      <c r="C5162" s="7" t="s">
        <v>165</v>
      </c>
      <c r="D5162" t="s">
        <v>123</v>
      </c>
      <c r="F5162" s="35">
        <v>8.9965005885644871</v>
      </c>
      <c r="G5162" s="35">
        <v>6.1102070154958694</v>
      </c>
      <c r="H5162" s="35">
        <v>14.687585842330915</v>
      </c>
      <c r="I5162" s="35">
        <v>5.5196130961699265E-2</v>
      </c>
      <c r="J5162" s="35">
        <v>2.5538949145992203E-3</v>
      </c>
      <c r="K5162" s="35">
        <v>2.7921001191376454E-2</v>
      </c>
      <c r="L5162" s="35">
        <v>-16.64144264454406</v>
      </c>
      <c r="M5162" s="58" t="s">
        <v>23</v>
      </c>
      <c r="N5162" s="7">
        <v>9.5</v>
      </c>
      <c r="O5162" s="7" t="s">
        <v>179</v>
      </c>
      <c r="P5162" s="7" t="s">
        <v>179</v>
      </c>
    </row>
    <row r="5163" spans="1:16" x14ac:dyDescent="0.25">
      <c r="A5163" t="s">
        <v>181</v>
      </c>
      <c r="B5163" t="s">
        <v>222</v>
      </c>
      <c r="C5163" s="7" t="s">
        <v>165</v>
      </c>
      <c r="D5163" t="s">
        <v>124</v>
      </c>
      <c r="F5163" s="35">
        <v>0</v>
      </c>
      <c r="G5163" s="35">
        <v>49.474231846206692</v>
      </c>
      <c r="H5163" s="35">
        <v>41.262978639857039</v>
      </c>
      <c r="I5163" s="35">
        <v>-1.8256144716310596E-2</v>
      </c>
      <c r="J5163" s="35">
        <v>4.0917502505811353E-4</v>
      </c>
      <c r="K5163" s="35">
        <v>-0.17085147018842739</v>
      </c>
      <c r="L5163" s="35">
        <v>123.70782854847589</v>
      </c>
      <c r="M5163" s="58" t="s">
        <v>22</v>
      </c>
      <c r="N5163" s="7">
        <v>9.5</v>
      </c>
      <c r="O5163" s="7" t="s">
        <v>179</v>
      </c>
      <c r="P5163" s="7" t="s">
        <v>179</v>
      </c>
    </row>
    <row r="5164" spans="1:16" x14ac:dyDescent="0.25">
      <c r="A5164" t="s">
        <v>181</v>
      </c>
      <c r="B5164" t="s">
        <v>222</v>
      </c>
      <c r="C5164" s="7" t="s">
        <v>165</v>
      </c>
      <c r="D5164" t="s">
        <v>124</v>
      </c>
      <c r="F5164" s="35">
        <v>4.5</v>
      </c>
      <c r="G5164" s="35">
        <v>51.305276446206705</v>
      </c>
      <c r="H5164" s="35">
        <v>27.654978639857045</v>
      </c>
      <c r="I5164" s="35">
        <v>-1.8256144716311429E-2</v>
      </c>
      <c r="J5164" s="35">
        <v>4.0917502505811353E-4</v>
      </c>
      <c r="K5164" s="35">
        <v>-8.869881896502782E-2</v>
      </c>
      <c r="L5164" s="35">
        <v>-31.357575330880788</v>
      </c>
      <c r="M5164" s="58" t="s">
        <v>24</v>
      </c>
      <c r="N5164" s="7">
        <v>9.5</v>
      </c>
      <c r="O5164" s="7" t="s">
        <v>179</v>
      </c>
      <c r="P5164" s="7" t="s">
        <v>179</v>
      </c>
    </row>
    <row r="5165" spans="1:16" x14ac:dyDescent="0.25">
      <c r="A5165" t="s">
        <v>181</v>
      </c>
      <c r="B5165" t="s">
        <v>222</v>
      </c>
      <c r="C5165" s="7" t="s">
        <v>165</v>
      </c>
      <c r="D5165" t="s">
        <v>124</v>
      </c>
      <c r="F5165" s="35">
        <v>4.5</v>
      </c>
      <c r="G5165" s="35">
        <v>52.082224036701433</v>
      </c>
      <c r="H5165" s="35">
        <v>27.654960074177225</v>
      </c>
      <c r="I5165" s="35">
        <v>-1.7744669407839357E-2</v>
      </c>
      <c r="J5165" s="35">
        <v>-7.2412833088589132E-5</v>
      </c>
      <c r="K5165" s="35">
        <v>-8.8700539262447017E-2</v>
      </c>
      <c r="L5165" s="35">
        <v>-30.386388985247979</v>
      </c>
      <c r="M5165" s="58" t="s">
        <v>24</v>
      </c>
      <c r="N5165" s="7">
        <v>9.5</v>
      </c>
      <c r="O5165" s="7" t="s">
        <v>179</v>
      </c>
      <c r="P5165" s="7" t="s">
        <v>179</v>
      </c>
    </row>
    <row r="5166" spans="1:16" x14ac:dyDescent="0.25">
      <c r="A5166" t="s">
        <v>181</v>
      </c>
      <c r="B5166" t="s">
        <v>222</v>
      </c>
      <c r="C5166" s="7" t="s">
        <v>165</v>
      </c>
      <c r="D5166" t="s">
        <v>124</v>
      </c>
      <c r="F5166" s="35">
        <v>8.9965005885644871</v>
      </c>
      <c r="G5166" s="35">
        <v>53.911844730387621</v>
      </c>
      <c r="H5166" s="35">
        <v>14.057542294358221</v>
      </c>
      <c r="I5166" s="35">
        <v>-1.774466940784019E-2</v>
      </c>
      <c r="J5166" s="35">
        <v>-7.2412833088589132E-5</v>
      </c>
      <c r="K5166" s="35">
        <v>-8.9116228262132186E-3</v>
      </c>
      <c r="L5166" s="35">
        <v>-124.16653471055658</v>
      </c>
      <c r="M5166" s="58" t="s">
        <v>23</v>
      </c>
      <c r="N5166" s="7">
        <v>9.5</v>
      </c>
      <c r="O5166" s="7" t="s">
        <v>179</v>
      </c>
      <c r="P5166" s="7" t="s">
        <v>179</v>
      </c>
    </row>
    <row r="5167" spans="1:16" x14ac:dyDescent="0.25">
      <c r="A5167" t="s">
        <v>181</v>
      </c>
      <c r="B5167" t="s">
        <v>222</v>
      </c>
      <c r="C5167" s="7" t="s">
        <v>165</v>
      </c>
      <c r="D5167" t="s">
        <v>125</v>
      </c>
      <c r="F5167" s="35">
        <v>0</v>
      </c>
      <c r="G5167" s="35">
        <v>-68.843675854473418</v>
      </c>
      <c r="H5167" s="35">
        <v>15.604656391261237</v>
      </c>
      <c r="I5167" s="35">
        <v>-1.6495508071431537E-2</v>
      </c>
      <c r="J5167" s="35">
        <v>6.9517309862110433E-4</v>
      </c>
      <c r="K5167" s="35">
        <v>-0.15127349702168003</v>
      </c>
      <c r="L5167" s="35">
        <v>47.664049340273891</v>
      </c>
      <c r="M5167" s="58" t="s">
        <v>22</v>
      </c>
      <c r="N5167" s="7">
        <v>9.5</v>
      </c>
      <c r="O5167" s="7" t="s">
        <v>179</v>
      </c>
      <c r="P5167" s="7" t="s">
        <v>179</v>
      </c>
    </row>
    <row r="5168" spans="1:16" x14ac:dyDescent="0.25">
      <c r="A5168" t="s">
        <v>181</v>
      </c>
      <c r="B5168" t="s">
        <v>222</v>
      </c>
      <c r="C5168" s="7" t="s">
        <v>165</v>
      </c>
      <c r="D5168" t="s">
        <v>125</v>
      </c>
      <c r="F5168" s="35">
        <v>4.5</v>
      </c>
      <c r="G5168" s="35">
        <v>-67.012631254473405</v>
      </c>
      <c r="H5168" s="35">
        <v>-8.5873436087387649</v>
      </c>
      <c r="I5168" s="35">
        <v>-1.6495508071433018E-2</v>
      </c>
      <c r="J5168" s="35">
        <v>6.9517309862110433E-4</v>
      </c>
      <c r="K5168" s="35">
        <v>-7.7043710700234788E-2</v>
      </c>
      <c r="L5168" s="35">
        <v>31.87509557959833</v>
      </c>
      <c r="M5168" s="58" t="s">
        <v>24</v>
      </c>
      <c r="N5168" s="7">
        <v>9.5</v>
      </c>
      <c r="O5168" s="7" t="s">
        <v>179</v>
      </c>
      <c r="P5168" s="7" t="s">
        <v>179</v>
      </c>
    </row>
    <row r="5169" spans="1:16" x14ac:dyDescent="0.25">
      <c r="A5169" t="s">
        <v>181</v>
      </c>
      <c r="B5169" t="s">
        <v>222</v>
      </c>
      <c r="C5169" s="7" t="s">
        <v>165</v>
      </c>
      <c r="D5169" t="s">
        <v>125</v>
      </c>
      <c r="F5169" s="35">
        <v>4.5</v>
      </c>
      <c r="G5169" s="35">
        <v>-66.235683748045133</v>
      </c>
      <c r="H5169" s="35">
        <v>-8.5873749703703641</v>
      </c>
      <c r="I5169" s="35">
        <v>-1.541143272194615E-2</v>
      </c>
      <c r="J5169" s="35">
        <v>-3.8677518854311348E-4</v>
      </c>
      <c r="K5169" s="35">
        <v>-7.7045073750370549E-2</v>
      </c>
      <c r="L5169" s="35">
        <v>32.846281141355298</v>
      </c>
      <c r="M5169" s="58" t="s">
        <v>24</v>
      </c>
      <c r="N5169" s="7">
        <v>9.5</v>
      </c>
      <c r="O5169" s="7" t="s">
        <v>179</v>
      </c>
      <c r="P5169" s="7" t="s">
        <v>179</v>
      </c>
    </row>
    <row r="5170" spans="1:16" x14ac:dyDescent="0.25">
      <c r="A5170" t="s">
        <v>181</v>
      </c>
      <c r="B5170" t="s">
        <v>222</v>
      </c>
      <c r="C5170" s="7" t="s">
        <v>165</v>
      </c>
      <c r="D5170" t="s">
        <v>125</v>
      </c>
      <c r="F5170" s="35">
        <v>8.9965005885644871</v>
      </c>
      <c r="G5170" s="35">
        <v>-64.406063054358953</v>
      </c>
      <c r="H5170" s="35">
        <v>-32.76056213449305</v>
      </c>
      <c r="I5170" s="35">
        <v>-1.5411432721947628E-2</v>
      </c>
      <c r="J5170" s="35">
        <v>-3.8677518854311348E-4</v>
      </c>
      <c r="K5170" s="35">
        <v>-7.7475574455143706E-3</v>
      </c>
      <c r="L5170" s="35">
        <v>125.80679290532818</v>
      </c>
      <c r="M5170" s="58" t="s">
        <v>23</v>
      </c>
      <c r="N5170" s="7">
        <v>9.5</v>
      </c>
      <c r="O5170" s="7" t="s">
        <v>179</v>
      </c>
      <c r="P5170" s="7" t="s">
        <v>179</v>
      </c>
    </row>
    <row r="5171" spans="1:16" x14ac:dyDescent="0.25">
      <c r="A5171" t="s">
        <v>181</v>
      </c>
      <c r="B5171" t="s">
        <v>222</v>
      </c>
      <c r="C5171" s="7" t="s">
        <v>165</v>
      </c>
      <c r="D5171" t="s">
        <v>126</v>
      </c>
      <c r="F5171" s="35">
        <v>0</v>
      </c>
      <c r="G5171" s="35">
        <v>32.463455107532788</v>
      </c>
      <c r="H5171" s="35">
        <v>-6.8931988758784017</v>
      </c>
      <c r="I5171" s="35">
        <v>-1.6372835364483664E-2</v>
      </c>
      <c r="J5171" s="35">
        <v>4.251197289161597E-4</v>
      </c>
      <c r="K5171" s="35">
        <v>-0.15282082908969358</v>
      </c>
      <c r="L5171" s="35">
        <v>-15.844893313237082</v>
      </c>
      <c r="M5171" s="58" t="s">
        <v>22</v>
      </c>
      <c r="N5171" s="7">
        <v>9.5</v>
      </c>
      <c r="O5171" s="7" t="s">
        <v>179</v>
      </c>
      <c r="P5171" s="7" t="s">
        <v>179</v>
      </c>
    </row>
    <row r="5172" spans="1:16" x14ac:dyDescent="0.25">
      <c r="A5172" t="s">
        <v>181</v>
      </c>
      <c r="B5172" t="s">
        <v>222</v>
      </c>
      <c r="C5172" s="7" t="s">
        <v>165</v>
      </c>
      <c r="D5172" t="s">
        <v>126</v>
      </c>
      <c r="F5172" s="35">
        <v>4.5</v>
      </c>
      <c r="G5172" s="35">
        <v>34.294499707532793</v>
      </c>
      <c r="H5172" s="35">
        <v>7.470801124121599</v>
      </c>
      <c r="I5172" s="35">
        <v>-1.6372835364482783E-2</v>
      </c>
      <c r="J5172" s="35">
        <v>4.251197289161597E-4</v>
      </c>
      <c r="K5172" s="35">
        <v>-7.9143069949519071E-2</v>
      </c>
      <c r="L5172" s="35">
        <v>-17.144498371784284</v>
      </c>
      <c r="M5172" s="58" t="s">
        <v>24</v>
      </c>
      <c r="N5172" s="7">
        <v>9.5</v>
      </c>
      <c r="O5172" s="7" t="s">
        <v>179</v>
      </c>
      <c r="P5172" s="7" t="s">
        <v>179</v>
      </c>
    </row>
    <row r="5173" spans="1:16" x14ac:dyDescent="0.25">
      <c r="A5173" t="s">
        <v>181</v>
      </c>
      <c r="B5173" t="s">
        <v>222</v>
      </c>
      <c r="C5173" s="7" t="s">
        <v>165</v>
      </c>
      <c r="D5173" t="s">
        <v>126</v>
      </c>
      <c r="F5173" s="35">
        <v>4.5</v>
      </c>
      <c r="G5173" s="35">
        <v>35.071447231360764</v>
      </c>
      <c r="H5173" s="35">
        <v>7.4707913411972173</v>
      </c>
      <c r="I5173" s="35">
        <v>-1.5830051081162533E-2</v>
      </c>
      <c r="J5173" s="35">
        <v>-1.2779083923050141E-4</v>
      </c>
      <c r="K5173" s="35">
        <v>-7.9144477666880278E-2</v>
      </c>
      <c r="L5173" s="35">
        <v>-16.17331185850577</v>
      </c>
      <c r="M5173" s="58" t="s">
        <v>24</v>
      </c>
      <c r="N5173" s="7">
        <v>9.5</v>
      </c>
      <c r="O5173" s="7" t="s">
        <v>179</v>
      </c>
      <c r="P5173" s="7" t="s">
        <v>179</v>
      </c>
    </row>
    <row r="5174" spans="1:16" x14ac:dyDescent="0.25">
      <c r="A5174" t="s">
        <v>181</v>
      </c>
      <c r="B5174" t="s">
        <v>222</v>
      </c>
      <c r="C5174" s="7" t="s">
        <v>165</v>
      </c>
      <c r="D5174" t="s">
        <v>126</v>
      </c>
      <c r="F5174" s="35">
        <v>8.9965005885644871</v>
      </c>
      <c r="G5174" s="35">
        <v>36.901067925046945</v>
      </c>
      <c r="H5174" s="35">
        <v>21.82362121989507</v>
      </c>
      <c r="I5174" s="35">
        <v>-1.5830051081161655E-2</v>
      </c>
      <c r="J5174" s="35">
        <v>-1.2779083923050141E-4</v>
      </c>
      <c r="K5174" s="35">
        <v>-7.9646436634290118E-3</v>
      </c>
      <c r="L5174" s="35">
        <v>-82.03448351980694</v>
      </c>
      <c r="M5174" s="58" t="s">
        <v>23</v>
      </c>
      <c r="N5174" s="7">
        <v>9.5</v>
      </c>
      <c r="O5174" s="7" t="s">
        <v>179</v>
      </c>
      <c r="P5174" s="7" t="s">
        <v>179</v>
      </c>
    </row>
    <row r="5175" spans="1:16" x14ac:dyDescent="0.25">
      <c r="A5175" t="s">
        <v>181</v>
      </c>
      <c r="B5175" t="s">
        <v>222</v>
      </c>
      <c r="C5175" s="7" t="s">
        <v>165</v>
      </c>
      <c r="D5175" t="s">
        <v>127</v>
      </c>
      <c r="F5175" s="35">
        <v>0</v>
      </c>
      <c r="G5175" s="35">
        <v>-21.030469079639381</v>
      </c>
      <c r="H5175" s="35">
        <v>-23.154408380576886</v>
      </c>
      <c r="I5175" s="35">
        <v>-1.473841049781964E-2</v>
      </c>
      <c r="J5175" s="35">
        <v>4.9962703530527692E-4</v>
      </c>
      <c r="K5175" s="35">
        <v>-0.1362919852421047</v>
      </c>
      <c r="L5175" s="35">
        <v>-112.67126398320445</v>
      </c>
      <c r="M5175" s="58" t="s">
        <v>22</v>
      </c>
      <c r="N5175" s="7">
        <v>9.5</v>
      </c>
      <c r="O5175" s="7" t="s">
        <v>179</v>
      </c>
      <c r="P5175" s="7" t="s">
        <v>179</v>
      </c>
    </row>
    <row r="5176" spans="1:16" x14ac:dyDescent="0.25">
      <c r="A5176" t="s">
        <v>181</v>
      </c>
      <c r="B5176" t="s">
        <v>222</v>
      </c>
      <c r="C5176" s="7" t="s">
        <v>165</v>
      </c>
      <c r="D5176" t="s">
        <v>127</v>
      </c>
      <c r="F5176" s="35">
        <v>4.5</v>
      </c>
      <c r="G5176" s="35">
        <v>-19.199424479639372</v>
      </c>
      <c r="H5176" s="35">
        <v>-19.374408380576885</v>
      </c>
      <c r="I5176" s="35">
        <v>-1.4738410497819409E-2</v>
      </c>
      <c r="J5176" s="35">
        <v>4.9962703530527692E-4</v>
      </c>
      <c r="K5176" s="35">
        <v>-6.9969138001916828E-2</v>
      </c>
      <c r="L5176" s="35">
        <v>-16.98142627060847</v>
      </c>
      <c r="M5176" s="58" t="s">
        <v>24</v>
      </c>
      <c r="N5176" s="7">
        <v>9.5</v>
      </c>
      <c r="O5176" s="7" t="s">
        <v>179</v>
      </c>
      <c r="P5176" s="7" t="s">
        <v>179</v>
      </c>
    </row>
    <row r="5177" spans="1:16" x14ac:dyDescent="0.25">
      <c r="A5177" t="s">
        <v>181</v>
      </c>
      <c r="B5177" t="s">
        <v>222</v>
      </c>
      <c r="C5177" s="7" t="s">
        <v>165</v>
      </c>
      <c r="D5177" t="s">
        <v>127</v>
      </c>
      <c r="F5177" s="35">
        <v>4.5</v>
      </c>
      <c r="G5177" s="35">
        <v>-18.422477029047357</v>
      </c>
      <c r="H5177" s="35">
        <v>-19.374425848873024</v>
      </c>
      <c r="I5177" s="35">
        <v>-1.3996988179258676E-2</v>
      </c>
      <c r="J5177" s="35">
        <v>-2.5306633567714806E-4</v>
      </c>
      <c r="K5177" s="35">
        <v>-6.9970231854281986E-2</v>
      </c>
      <c r="L5177" s="35">
        <v>-16.010240549534046</v>
      </c>
      <c r="M5177" s="58" t="s">
        <v>24</v>
      </c>
      <c r="N5177" s="7">
        <v>9.5</v>
      </c>
      <c r="O5177" s="7" t="s">
        <v>179</v>
      </c>
      <c r="P5177" s="7" t="s">
        <v>179</v>
      </c>
    </row>
    <row r="5178" spans="1:16" x14ac:dyDescent="0.25">
      <c r="A5178" t="s">
        <v>181</v>
      </c>
      <c r="B5178" t="s">
        <v>222</v>
      </c>
      <c r="C5178" s="7" t="s">
        <v>165</v>
      </c>
      <c r="D5178" t="s">
        <v>127</v>
      </c>
      <c r="F5178" s="35">
        <v>8.9965005885644871</v>
      </c>
      <c r="G5178" s="35">
        <v>-16.592856335361173</v>
      </c>
      <c r="H5178" s="35">
        <v>-15.597365354478852</v>
      </c>
      <c r="I5178" s="35">
        <v>-1.3996988179258445E-2</v>
      </c>
      <c r="J5178" s="35">
        <v>-2.5306633567714806E-4</v>
      </c>
      <c r="K5178" s="35">
        <v>-7.0327662681156818E-3</v>
      </c>
      <c r="L5178" s="35">
        <v>62.615099314978998</v>
      </c>
      <c r="M5178" s="58" t="s">
        <v>23</v>
      </c>
      <c r="N5178" s="7">
        <v>9.5</v>
      </c>
      <c r="O5178" s="7" t="s">
        <v>179</v>
      </c>
      <c r="P5178" s="7" t="s">
        <v>179</v>
      </c>
    </row>
    <row r="5179" spans="1:16" x14ac:dyDescent="0.25">
      <c r="A5179" t="s">
        <v>183</v>
      </c>
      <c r="B5179" t="s">
        <v>223</v>
      </c>
      <c r="C5179" s="7" t="s">
        <v>166</v>
      </c>
      <c r="D5179" t="s">
        <v>105</v>
      </c>
      <c r="F5179" s="35">
        <v>0</v>
      </c>
      <c r="G5179" s="35">
        <v>-96.153486223181034</v>
      </c>
      <c r="H5179" s="35">
        <v>1.6765911933147994</v>
      </c>
      <c r="I5179" s="35">
        <v>5.6607570920291133E-4</v>
      </c>
      <c r="J5179" s="35">
        <v>3.9936125023382081E-5</v>
      </c>
      <c r="K5179" s="35">
        <v>6.8484793950502384E-3</v>
      </c>
      <c r="L5179" s="35">
        <v>3.8203194313377504</v>
      </c>
      <c r="M5179" s="58" t="s">
        <v>22</v>
      </c>
      <c r="N5179" s="7">
        <v>11.333333333333334</v>
      </c>
      <c r="O5179" s="7" t="s">
        <v>180</v>
      </c>
      <c r="P5179" s="7" t="s">
        <v>180</v>
      </c>
    </row>
    <row r="5180" spans="1:16" x14ac:dyDescent="0.25">
      <c r="A5180" t="s">
        <v>183</v>
      </c>
      <c r="B5180" t="s">
        <v>223</v>
      </c>
      <c r="C5180" s="7" t="s">
        <v>166</v>
      </c>
      <c r="D5180" t="s">
        <v>105</v>
      </c>
      <c r="F5180" s="35">
        <v>5.4149169609489114</v>
      </c>
      <c r="G5180" s="35">
        <v>-93.574075367065532</v>
      </c>
      <c r="H5180" s="35">
        <v>1.6765911933147994</v>
      </c>
      <c r="I5180" s="35">
        <v>5.6607570920291133E-4</v>
      </c>
      <c r="J5180" s="35">
        <v>3.9936125023382081E-5</v>
      </c>
      <c r="K5180" s="35">
        <v>3.7832264361062108E-3</v>
      </c>
      <c r="L5180" s="35">
        <v>-5.2582826579201312</v>
      </c>
      <c r="M5180" s="58" t="s">
        <v>24</v>
      </c>
      <c r="N5180" s="7">
        <v>11.333333333333334</v>
      </c>
      <c r="O5180" s="7" t="s">
        <v>180</v>
      </c>
      <c r="P5180" s="7" t="s">
        <v>180</v>
      </c>
    </row>
    <row r="5181" spans="1:16" x14ac:dyDescent="0.25">
      <c r="A5181" t="s">
        <v>183</v>
      </c>
      <c r="B5181" t="s">
        <v>223</v>
      </c>
      <c r="C5181" s="7" t="s">
        <v>166</v>
      </c>
      <c r="D5181" t="s">
        <v>105</v>
      </c>
      <c r="F5181" s="35">
        <v>10.829833921897823</v>
      </c>
      <c r="G5181" s="35">
        <v>-90.994664510950017</v>
      </c>
      <c r="H5181" s="35">
        <v>1.6765911933147994</v>
      </c>
      <c r="I5181" s="35">
        <v>5.6607570920291133E-4</v>
      </c>
      <c r="J5181" s="35">
        <v>3.9936125023382081E-5</v>
      </c>
      <c r="K5181" s="35">
        <v>7.1797347716218282E-4</v>
      </c>
      <c r="L5181" s="35">
        <v>-14.336884747178015</v>
      </c>
      <c r="M5181" s="58" t="s">
        <v>23</v>
      </c>
      <c r="N5181" s="7">
        <v>11.333333333333334</v>
      </c>
      <c r="O5181" s="7" t="s">
        <v>180</v>
      </c>
      <c r="P5181" s="7" t="s">
        <v>180</v>
      </c>
    </row>
    <row r="5182" spans="1:16" x14ac:dyDescent="0.25">
      <c r="A5182" t="s">
        <v>183</v>
      </c>
      <c r="B5182" t="s">
        <v>223</v>
      </c>
      <c r="C5182" s="7" t="s">
        <v>166</v>
      </c>
      <c r="D5182" t="s">
        <v>15</v>
      </c>
      <c r="F5182" s="35">
        <v>0</v>
      </c>
      <c r="G5182" s="35">
        <v>121.79961934990267</v>
      </c>
      <c r="H5182" s="35">
        <v>-6.2463622695137238</v>
      </c>
      <c r="I5182" s="35">
        <v>-3.7524530402204465E-2</v>
      </c>
      <c r="J5182" s="35">
        <v>-6.2198148675399114E-4</v>
      </c>
      <c r="K5182" s="35">
        <v>-0.42631794842035808</v>
      </c>
      <c r="L5182" s="35">
        <v>-21.241423216713766</v>
      </c>
      <c r="M5182" s="58" t="s">
        <v>22</v>
      </c>
      <c r="N5182" s="7">
        <v>11.333333333333334</v>
      </c>
      <c r="O5182" s="7" t="s">
        <v>180</v>
      </c>
      <c r="P5182" s="7" t="s">
        <v>180</v>
      </c>
    </row>
    <row r="5183" spans="1:16" x14ac:dyDescent="0.25">
      <c r="A5183" t="s">
        <v>183</v>
      </c>
      <c r="B5183" t="s">
        <v>223</v>
      </c>
      <c r="C5183" s="7" t="s">
        <v>166</v>
      </c>
      <c r="D5183" t="s">
        <v>15</v>
      </c>
      <c r="F5183" s="35">
        <v>5.4149169609489114</v>
      </c>
      <c r="G5183" s="35">
        <v>124.37903020601817</v>
      </c>
      <c r="H5183" s="35">
        <v>-6.2463622695137238</v>
      </c>
      <c r="I5183" s="35">
        <v>-3.7524530402204465E-2</v>
      </c>
      <c r="J5183" s="35">
        <v>-6.2198148675399114E-4</v>
      </c>
      <c r="K5183" s="35">
        <v>-0.22312573229381805</v>
      </c>
      <c r="L5183" s="35">
        <v>12.58210978070742</v>
      </c>
      <c r="M5183" s="58" t="s">
        <v>24</v>
      </c>
      <c r="N5183" s="7">
        <v>11.333333333333334</v>
      </c>
      <c r="O5183" s="7" t="s">
        <v>180</v>
      </c>
      <c r="P5183" s="7" t="s">
        <v>180</v>
      </c>
    </row>
    <row r="5184" spans="1:16" x14ac:dyDescent="0.25">
      <c r="A5184" t="s">
        <v>183</v>
      </c>
      <c r="B5184" t="s">
        <v>223</v>
      </c>
      <c r="C5184" s="7" t="s">
        <v>166</v>
      </c>
      <c r="D5184" t="s">
        <v>15</v>
      </c>
      <c r="F5184" s="35">
        <v>10.829833921897823</v>
      </c>
      <c r="G5184" s="35">
        <v>126.95844106213367</v>
      </c>
      <c r="H5184" s="35">
        <v>-6.2463622695137238</v>
      </c>
      <c r="I5184" s="35">
        <v>-3.7524530402204465E-2</v>
      </c>
      <c r="J5184" s="35">
        <v>-6.2198148675399114E-4</v>
      </c>
      <c r="K5184" s="35">
        <v>-1.9933516167278072E-2</v>
      </c>
      <c r="L5184" s="35">
        <v>46.405642778128609</v>
      </c>
      <c r="M5184" s="58" t="s">
        <v>23</v>
      </c>
      <c r="N5184" s="7">
        <v>11.333333333333334</v>
      </c>
      <c r="O5184" s="7" t="s">
        <v>180</v>
      </c>
      <c r="P5184" s="7" t="s">
        <v>180</v>
      </c>
    </row>
    <row r="5185" spans="1:16" x14ac:dyDescent="0.25">
      <c r="A5185" t="s">
        <v>183</v>
      </c>
      <c r="B5185" t="s">
        <v>223</v>
      </c>
      <c r="C5185" s="7" t="s">
        <v>166</v>
      </c>
      <c r="D5185" t="s">
        <v>16</v>
      </c>
      <c r="F5185" s="35">
        <v>0</v>
      </c>
      <c r="G5185" s="35">
        <v>41.435957166434001</v>
      </c>
      <c r="H5185" s="35">
        <v>-3.0705986980880229</v>
      </c>
      <c r="I5185" s="35">
        <v>-3.1733941315486548E-2</v>
      </c>
      <c r="J5185" s="35">
        <v>-5.1087190226521218E-4</v>
      </c>
      <c r="K5185" s="35">
        <v>-0.36059652915581153</v>
      </c>
      <c r="L5185" s="35">
        <v>-10.933663990040701</v>
      </c>
      <c r="M5185" s="58" t="s">
        <v>22</v>
      </c>
      <c r="N5185" s="7">
        <v>11.333333333333334</v>
      </c>
      <c r="O5185" s="7" t="s">
        <v>180</v>
      </c>
      <c r="P5185" s="7" t="s">
        <v>180</v>
      </c>
    </row>
    <row r="5186" spans="1:16" x14ac:dyDescent="0.25">
      <c r="A5186" t="s">
        <v>183</v>
      </c>
      <c r="B5186" t="s">
        <v>223</v>
      </c>
      <c r="C5186" s="7" t="s">
        <v>166</v>
      </c>
      <c r="D5186" t="s">
        <v>16</v>
      </c>
      <c r="F5186" s="35">
        <v>5.4149169609489114</v>
      </c>
      <c r="G5186" s="35">
        <v>44.015368022549509</v>
      </c>
      <c r="H5186" s="35">
        <v>-3.0705986980880229</v>
      </c>
      <c r="I5186" s="35">
        <v>-3.1733941315486548E-2</v>
      </c>
      <c r="J5186" s="35">
        <v>-5.1087190226521218E-4</v>
      </c>
      <c r="K5186" s="35">
        <v>-0.188759872088826</v>
      </c>
      <c r="L5186" s="35">
        <v>5.6933729805037734</v>
      </c>
      <c r="M5186" s="58" t="s">
        <v>24</v>
      </c>
      <c r="N5186" s="7">
        <v>11.333333333333334</v>
      </c>
      <c r="O5186" s="7" t="s">
        <v>180</v>
      </c>
      <c r="P5186" s="7" t="s">
        <v>180</v>
      </c>
    </row>
    <row r="5187" spans="1:16" x14ac:dyDescent="0.25">
      <c r="A5187" t="s">
        <v>183</v>
      </c>
      <c r="B5187" t="s">
        <v>223</v>
      </c>
      <c r="C5187" s="7" t="s">
        <v>166</v>
      </c>
      <c r="D5187" t="s">
        <v>16</v>
      </c>
      <c r="F5187" s="35">
        <v>10.829833921897823</v>
      </c>
      <c r="G5187" s="35">
        <v>46.594778878665011</v>
      </c>
      <c r="H5187" s="35">
        <v>-3.0705986980880229</v>
      </c>
      <c r="I5187" s="35">
        <v>-3.1733941315486548E-2</v>
      </c>
      <c r="J5187" s="35">
        <v>-5.1087190226521218E-4</v>
      </c>
      <c r="K5187" s="35">
        <v>-1.69232150218405E-2</v>
      </c>
      <c r="L5187" s="35">
        <v>22.320409951048244</v>
      </c>
      <c r="M5187" s="58" t="s">
        <v>23</v>
      </c>
      <c r="N5187" s="7">
        <v>11.333333333333334</v>
      </c>
      <c r="O5187" s="7" t="s">
        <v>180</v>
      </c>
      <c r="P5187" s="7" t="s">
        <v>180</v>
      </c>
    </row>
    <row r="5188" spans="1:16" x14ac:dyDescent="0.25">
      <c r="A5188" t="s">
        <v>183</v>
      </c>
      <c r="B5188" t="s">
        <v>223</v>
      </c>
      <c r="C5188" s="7" t="s">
        <v>166</v>
      </c>
      <c r="D5188" t="s">
        <v>106</v>
      </c>
      <c r="F5188" s="35">
        <v>0</v>
      </c>
      <c r="G5188" s="35">
        <v>131.37290536817832</v>
      </c>
      <c r="H5188" s="35">
        <v>-6.7861133047028099</v>
      </c>
      <c r="I5188" s="35">
        <v>3.397973744390019E-2</v>
      </c>
      <c r="J5188" s="35">
        <v>5.2437226177049769E-4</v>
      </c>
      <c r="K5188" s="35">
        <v>0.3861283333441895</v>
      </c>
      <c r="L5188" s="35">
        <v>-23.169671877436024</v>
      </c>
      <c r="M5188" s="58" t="s">
        <v>22</v>
      </c>
      <c r="N5188" s="7">
        <v>11.333333333333334</v>
      </c>
      <c r="O5188" s="7" t="s">
        <v>180</v>
      </c>
      <c r="P5188" s="7" t="s">
        <v>180</v>
      </c>
    </row>
    <row r="5189" spans="1:16" x14ac:dyDescent="0.25">
      <c r="A5189" t="s">
        <v>183</v>
      </c>
      <c r="B5189" t="s">
        <v>223</v>
      </c>
      <c r="C5189" s="7" t="s">
        <v>166</v>
      </c>
      <c r="D5189" t="s">
        <v>106</v>
      </c>
      <c r="F5189" s="35">
        <v>5.4149169609489114</v>
      </c>
      <c r="G5189" s="35">
        <v>133.95231622429381</v>
      </c>
      <c r="H5189" s="35">
        <v>-6.7861133047028099</v>
      </c>
      <c r="I5189" s="35">
        <v>3.397973744390019E-2</v>
      </c>
      <c r="J5189" s="35">
        <v>5.2437226177049769E-4</v>
      </c>
      <c r="K5189" s="35">
        <v>0.20213087673062358</v>
      </c>
      <c r="L5189" s="35">
        <v>13.576568155120281</v>
      </c>
      <c r="M5189" s="58" t="s">
        <v>24</v>
      </c>
      <c r="N5189" s="7">
        <v>11.333333333333334</v>
      </c>
      <c r="O5189" s="7" t="s">
        <v>180</v>
      </c>
      <c r="P5189" s="7" t="s">
        <v>180</v>
      </c>
    </row>
    <row r="5190" spans="1:16" x14ac:dyDescent="0.25">
      <c r="A5190" t="s">
        <v>183</v>
      </c>
      <c r="B5190" t="s">
        <v>223</v>
      </c>
      <c r="C5190" s="7" t="s">
        <v>166</v>
      </c>
      <c r="D5190" t="s">
        <v>106</v>
      </c>
      <c r="F5190" s="35">
        <v>10.829833921897823</v>
      </c>
      <c r="G5190" s="35">
        <v>136.53172708040933</v>
      </c>
      <c r="H5190" s="35">
        <v>-6.7861133047028099</v>
      </c>
      <c r="I5190" s="35">
        <v>3.397973744390019E-2</v>
      </c>
      <c r="J5190" s="35">
        <v>5.2437226177049769E-4</v>
      </c>
      <c r="K5190" s="35">
        <v>1.813342011705767E-2</v>
      </c>
      <c r="L5190" s="35">
        <v>50.322808187676593</v>
      </c>
      <c r="M5190" s="58" t="s">
        <v>23</v>
      </c>
      <c r="N5190" s="7">
        <v>11.333333333333334</v>
      </c>
      <c r="O5190" s="7" t="s">
        <v>180</v>
      </c>
      <c r="P5190" s="7" t="s">
        <v>180</v>
      </c>
    </row>
    <row r="5191" spans="1:16" x14ac:dyDescent="0.25">
      <c r="A5191" t="s">
        <v>183</v>
      </c>
      <c r="B5191" t="s">
        <v>223</v>
      </c>
      <c r="C5191" s="7" t="s">
        <v>166</v>
      </c>
      <c r="D5191" t="s">
        <v>107</v>
      </c>
      <c r="F5191" s="35">
        <v>0</v>
      </c>
      <c r="G5191" s="35">
        <v>51.009141465321591</v>
      </c>
      <c r="H5191" s="35">
        <v>-3.610184452431322</v>
      </c>
      <c r="I5191" s="35">
        <v>3.9726654636567021E-2</v>
      </c>
      <c r="J5191" s="35">
        <v>6.3452052272648717E-4</v>
      </c>
      <c r="K5191" s="35">
        <v>0.45135947795549491</v>
      </c>
      <c r="L5191" s="35">
        <v>-12.861284066347279</v>
      </c>
      <c r="M5191" s="58" t="s">
        <v>22</v>
      </c>
      <c r="N5191" s="7">
        <v>11.333333333333334</v>
      </c>
      <c r="O5191" s="7" t="s">
        <v>180</v>
      </c>
      <c r="P5191" s="7" t="s">
        <v>180</v>
      </c>
    </row>
    <row r="5192" spans="1:16" x14ac:dyDescent="0.25">
      <c r="A5192" t="s">
        <v>183</v>
      </c>
      <c r="B5192" t="s">
        <v>223</v>
      </c>
      <c r="C5192" s="7" t="s">
        <v>166</v>
      </c>
      <c r="D5192" t="s">
        <v>107</v>
      </c>
      <c r="F5192" s="35">
        <v>5.4149169609489114</v>
      </c>
      <c r="G5192" s="35">
        <v>53.588552321437092</v>
      </c>
      <c r="H5192" s="35">
        <v>-3.610184452431322</v>
      </c>
      <c r="I5192" s="35">
        <v>3.9726654636567021E-2</v>
      </c>
      <c r="J5192" s="35">
        <v>6.3452052272648717E-4</v>
      </c>
      <c r="K5192" s="35">
        <v>0.23624294196218848</v>
      </c>
      <c r="L5192" s="35">
        <v>6.6875649572771394</v>
      </c>
      <c r="M5192" s="58" t="s">
        <v>24</v>
      </c>
      <c r="N5192" s="7">
        <v>11.333333333333334</v>
      </c>
      <c r="O5192" s="7" t="s">
        <v>180</v>
      </c>
      <c r="P5192" s="7" t="s">
        <v>180</v>
      </c>
    </row>
    <row r="5193" spans="1:16" x14ac:dyDescent="0.25">
      <c r="A5193" t="s">
        <v>183</v>
      </c>
      <c r="B5193" t="s">
        <v>223</v>
      </c>
      <c r="C5193" s="7" t="s">
        <v>166</v>
      </c>
      <c r="D5193" t="s">
        <v>107</v>
      </c>
      <c r="F5193" s="35">
        <v>10.829833921897823</v>
      </c>
      <c r="G5193" s="35">
        <v>56.167963177552593</v>
      </c>
      <c r="H5193" s="35">
        <v>-3.610184452431322</v>
      </c>
      <c r="I5193" s="35">
        <v>3.9726654636567021E-2</v>
      </c>
      <c r="J5193" s="35">
        <v>6.3452052272648717E-4</v>
      </c>
      <c r="K5193" s="35">
        <v>2.112640596888208E-2</v>
      </c>
      <c r="L5193" s="35">
        <v>26.236413980901563</v>
      </c>
      <c r="M5193" s="58" t="s">
        <v>23</v>
      </c>
      <c r="N5193" s="7">
        <v>11.333333333333334</v>
      </c>
      <c r="O5193" s="7" t="s">
        <v>180</v>
      </c>
      <c r="P5193" s="7" t="s">
        <v>180</v>
      </c>
    </row>
    <row r="5194" spans="1:16" x14ac:dyDescent="0.25">
      <c r="A5194" t="s">
        <v>183</v>
      </c>
      <c r="B5194" t="s">
        <v>223</v>
      </c>
      <c r="C5194" s="7" t="s">
        <v>166</v>
      </c>
      <c r="D5194" t="s">
        <v>108</v>
      </c>
      <c r="F5194" s="35">
        <v>0</v>
      </c>
      <c r="G5194" s="35">
        <v>120.82167972532486</v>
      </c>
      <c r="H5194" s="35">
        <v>-0.29047928080654045</v>
      </c>
      <c r="I5194" s="35">
        <v>-1.4434437957583977E-2</v>
      </c>
      <c r="J5194" s="35">
        <v>-2.4970767253755554E-4</v>
      </c>
      <c r="K5194" s="35">
        <v>-0.16362483118923493</v>
      </c>
      <c r="L5194" s="35">
        <v>16.15717125722281</v>
      </c>
      <c r="M5194" s="58" t="s">
        <v>22</v>
      </c>
      <c r="N5194" s="7">
        <v>11.333333333333334</v>
      </c>
      <c r="O5194" s="7" t="s">
        <v>180</v>
      </c>
      <c r="P5194" s="7" t="s">
        <v>180</v>
      </c>
    </row>
    <row r="5195" spans="1:16" x14ac:dyDescent="0.25">
      <c r="A5195" t="s">
        <v>183</v>
      </c>
      <c r="B5195" t="s">
        <v>223</v>
      </c>
      <c r="C5195" s="7" t="s">
        <v>166</v>
      </c>
      <c r="D5195" t="s">
        <v>108</v>
      </c>
      <c r="F5195" s="35">
        <v>5.4149169609489114</v>
      </c>
      <c r="G5195" s="35">
        <v>123.40109058144036</v>
      </c>
      <c r="H5195" s="35">
        <v>-0.29047928080654045</v>
      </c>
      <c r="I5195" s="35">
        <v>-1.4434437957583977E-2</v>
      </c>
      <c r="J5195" s="35">
        <v>-2.4970767253755554E-4</v>
      </c>
      <c r="K5195" s="35">
        <v>-8.5463548270948694E-2</v>
      </c>
      <c r="L5195" s="35">
        <v>17.730092441666386</v>
      </c>
      <c r="M5195" s="58" t="s">
        <v>24</v>
      </c>
      <c r="N5195" s="7">
        <v>11.333333333333334</v>
      </c>
      <c r="O5195" s="7" t="s">
        <v>180</v>
      </c>
      <c r="P5195" s="7" t="s">
        <v>180</v>
      </c>
    </row>
    <row r="5196" spans="1:16" x14ac:dyDescent="0.25">
      <c r="A5196" t="s">
        <v>183</v>
      </c>
      <c r="B5196" t="s">
        <v>223</v>
      </c>
      <c r="C5196" s="7" t="s">
        <v>166</v>
      </c>
      <c r="D5196" t="s">
        <v>108</v>
      </c>
      <c r="F5196" s="35">
        <v>10.829833921897823</v>
      </c>
      <c r="G5196" s="35">
        <v>125.98050143755586</v>
      </c>
      <c r="H5196" s="35">
        <v>-0.29047928080654045</v>
      </c>
      <c r="I5196" s="35">
        <v>-1.4434437957583977E-2</v>
      </c>
      <c r="J5196" s="35">
        <v>-2.4970767253755554E-4</v>
      </c>
      <c r="K5196" s="35">
        <v>-7.3022653526624761E-3</v>
      </c>
      <c r="L5196" s="35">
        <v>19.303013626109955</v>
      </c>
      <c r="M5196" s="58" t="s">
        <v>23</v>
      </c>
      <c r="N5196" s="7">
        <v>11.333333333333334</v>
      </c>
      <c r="O5196" s="7" t="s">
        <v>180</v>
      </c>
      <c r="P5196" s="7" t="s">
        <v>180</v>
      </c>
    </row>
    <row r="5197" spans="1:16" x14ac:dyDescent="0.25">
      <c r="A5197" t="s">
        <v>183</v>
      </c>
      <c r="B5197" t="s">
        <v>223</v>
      </c>
      <c r="C5197" s="7" t="s">
        <v>166</v>
      </c>
      <c r="D5197" t="s">
        <v>109</v>
      </c>
      <c r="F5197" s="35">
        <v>0</v>
      </c>
      <c r="G5197" s="35">
        <v>-91.807717831314477</v>
      </c>
      <c r="H5197" s="35">
        <v>13.230365174745595</v>
      </c>
      <c r="I5197" s="35">
        <v>-7.548603093195853E-3</v>
      </c>
      <c r="J5197" s="35">
        <v>-7.6162833224059241E-5</v>
      </c>
      <c r="K5197" s="35">
        <v>-8.4735904075021545E-2</v>
      </c>
      <c r="L5197" s="35">
        <v>81.132943772544053</v>
      </c>
      <c r="M5197" s="58" t="s">
        <v>22</v>
      </c>
      <c r="N5197" s="7">
        <v>11.333333333333334</v>
      </c>
      <c r="O5197" s="7" t="s">
        <v>180</v>
      </c>
      <c r="P5197" s="7" t="s">
        <v>180</v>
      </c>
    </row>
    <row r="5198" spans="1:16" x14ac:dyDescent="0.25">
      <c r="A5198" t="s">
        <v>183</v>
      </c>
      <c r="B5198" t="s">
        <v>223</v>
      </c>
      <c r="C5198" s="7" t="s">
        <v>166</v>
      </c>
      <c r="D5198" t="s">
        <v>109</v>
      </c>
      <c r="F5198" s="35">
        <v>5.4149169609489114</v>
      </c>
      <c r="G5198" s="35">
        <v>-89.228306975198976</v>
      </c>
      <c r="H5198" s="35">
        <v>13.230365174745595</v>
      </c>
      <c r="I5198" s="35">
        <v>-7.548603093195853E-3</v>
      </c>
      <c r="J5198" s="35">
        <v>-7.6162833224059241E-5</v>
      </c>
      <c r="K5198" s="35">
        <v>-4.3860845154203923E-2</v>
      </c>
      <c r="L5198" s="35">
        <v>9.4916149882663365</v>
      </c>
      <c r="M5198" s="58" t="s">
        <v>24</v>
      </c>
      <c r="N5198" s="7">
        <v>11.333333333333334</v>
      </c>
      <c r="O5198" s="7" t="s">
        <v>180</v>
      </c>
      <c r="P5198" s="7" t="s">
        <v>180</v>
      </c>
    </row>
    <row r="5199" spans="1:16" x14ac:dyDescent="0.25">
      <c r="A5199" t="s">
        <v>183</v>
      </c>
      <c r="B5199" t="s">
        <v>223</v>
      </c>
      <c r="C5199" s="7" t="s">
        <v>166</v>
      </c>
      <c r="D5199" t="s">
        <v>109</v>
      </c>
      <c r="F5199" s="35">
        <v>10.829833921897823</v>
      </c>
      <c r="G5199" s="35">
        <v>-86.64889611908346</v>
      </c>
      <c r="H5199" s="35">
        <v>13.230365174745595</v>
      </c>
      <c r="I5199" s="35">
        <v>-7.548603093195853E-3</v>
      </c>
      <c r="J5199" s="35">
        <v>-7.6162833224059241E-5</v>
      </c>
      <c r="K5199" s="35">
        <v>-2.9857862333862858E-3</v>
      </c>
      <c r="L5199" s="35">
        <v>-62.149713796011383</v>
      </c>
      <c r="M5199" s="58" t="s">
        <v>23</v>
      </c>
      <c r="N5199" s="7">
        <v>11.333333333333334</v>
      </c>
      <c r="O5199" s="7" t="s">
        <v>180</v>
      </c>
      <c r="P5199" s="7" t="s">
        <v>180</v>
      </c>
    </row>
    <row r="5200" spans="1:16" x14ac:dyDescent="0.25">
      <c r="A5200" t="s">
        <v>183</v>
      </c>
      <c r="B5200" t="s">
        <v>223</v>
      </c>
      <c r="C5200" s="7" t="s">
        <v>166</v>
      </c>
      <c r="D5200" t="s">
        <v>110</v>
      </c>
      <c r="F5200" s="35">
        <v>0</v>
      </c>
      <c r="G5200" s="35">
        <v>122.74785958865864</v>
      </c>
      <c r="H5200" s="35">
        <v>-10.252153007601839</v>
      </c>
      <c r="I5200" s="35">
        <v>-1.4113104827872975E-2</v>
      </c>
      <c r="J5200" s="35">
        <v>-2.5741067820852294E-4</v>
      </c>
      <c r="K5200" s="35">
        <v>-0.15995368923113282</v>
      </c>
      <c r="L5200" s="35">
        <v>-50.456833598640429</v>
      </c>
      <c r="M5200" s="58" t="s">
        <v>22</v>
      </c>
      <c r="N5200" s="7">
        <v>11.333333333333334</v>
      </c>
      <c r="O5200" s="7" t="s">
        <v>180</v>
      </c>
      <c r="P5200" s="7" t="s">
        <v>180</v>
      </c>
    </row>
    <row r="5201" spans="1:16" x14ac:dyDescent="0.25">
      <c r="A5201" t="s">
        <v>183</v>
      </c>
      <c r="B5201" t="s">
        <v>223</v>
      </c>
      <c r="C5201" s="7" t="s">
        <v>166</v>
      </c>
      <c r="D5201" t="s">
        <v>110</v>
      </c>
      <c r="F5201" s="35">
        <v>5.4149169609489114</v>
      </c>
      <c r="G5201" s="35">
        <v>125.32727044477414</v>
      </c>
      <c r="H5201" s="35">
        <v>-10.252153007601839</v>
      </c>
      <c r="I5201" s="35">
        <v>-1.4113104827872975E-2</v>
      </c>
      <c r="J5201" s="35">
        <v>-2.5741067820852294E-4</v>
      </c>
      <c r="K5201" s="35">
        <v>-8.3532398527033466E-2</v>
      </c>
      <c r="L5201" s="35">
        <v>5.0577236084661488</v>
      </c>
      <c r="M5201" s="58" t="s">
        <v>24</v>
      </c>
      <c r="N5201" s="7">
        <v>11.333333333333334</v>
      </c>
      <c r="O5201" s="7" t="s">
        <v>180</v>
      </c>
      <c r="P5201" s="7" t="s">
        <v>180</v>
      </c>
    </row>
    <row r="5202" spans="1:16" x14ac:dyDescent="0.25">
      <c r="A5202" t="s">
        <v>183</v>
      </c>
      <c r="B5202" t="s">
        <v>223</v>
      </c>
      <c r="C5202" s="7" t="s">
        <v>166</v>
      </c>
      <c r="D5202" t="s">
        <v>110</v>
      </c>
      <c r="F5202" s="35">
        <v>10.829833921897823</v>
      </c>
      <c r="G5202" s="35">
        <v>127.90668130088964</v>
      </c>
      <c r="H5202" s="35">
        <v>-10.252153007601839</v>
      </c>
      <c r="I5202" s="35">
        <v>-1.4113104827872975E-2</v>
      </c>
      <c r="J5202" s="35">
        <v>-2.5741067820852294E-4</v>
      </c>
      <c r="K5202" s="35">
        <v>-7.1111078229341446E-3</v>
      </c>
      <c r="L5202" s="35">
        <v>60.572280815572725</v>
      </c>
      <c r="M5202" s="58" t="s">
        <v>23</v>
      </c>
      <c r="N5202" s="7">
        <v>11.333333333333334</v>
      </c>
      <c r="O5202" s="7" t="s">
        <v>180</v>
      </c>
      <c r="P5202" s="7" t="s">
        <v>180</v>
      </c>
    </row>
    <row r="5203" spans="1:16" x14ac:dyDescent="0.25">
      <c r="A5203" t="s">
        <v>183</v>
      </c>
      <c r="B5203" t="s">
        <v>223</v>
      </c>
      <c r="C5203" s="7" t="s">
        <v>166</v>
      </c>
      <c r="D5203" t="s">
        <v>111</v>
      </c>
      <c r="F5203" s="35">
        <v>0</v>
      </c>
      <c r="G5203" s="35">
        <v>4.6772083970636293</v>
      </c>
      <c r="H5203" s="35">
        <v>-22.192266250601929</v>
      </c>
      <c r="I5203" s="35">
        <v>-7.5608326702494445E-3</v>
      </c>
      <c r="J5203" s="35">
        <v>-8.1223399442637093E-5</v>
      </c>
      <c r="K5203" s="35">
        <v>-8.500777065689058E-2</v>
      </c>
      <c r="L5203" s="35">
        <v>-119.25939327972578</v>
      </c>
      <c r="M5203" s="58" t="s">
        <v>22</v>
      </c>
      <c r="N5203" s="7">
        <v>11.333333333333334</v>
      </c>
      <c r="O5203" s="7" t="s">
        <v>180</v>
      </c>
      <c r="P5203" s="7" t="s">
        <v>180</v>
      </c>
    </row>
    <row r="5204" spans="1:16" x14ac:dyDescent="0.25">
      <c r="A5204" t="s">
        <v>183</v>
      </c>
      <c r="B5204" t="s">
        <v>223</v>
      </c>
      <c r="C5204" s="7" t="s">
        <v>166</v>
      </c>
      <c r="D5204" t="s">
        <v>111</v>
      </c>
      <c r="F5204" s="35">
        <v>5.4149169609489114</v>
      </c>
      <c r="G5204" s="35">
        <v>7.2566192531791369</v>
      </c>
      <c r="H5204" s="35">
        <v>-22.192266250601929</v>
      </c>
      <c r="I5204" s="35">
        <v>-7.5608326702494445E-3</v>
      </c>
      <c r="J5204" s="35">
        <v>-8.1223399442637093E-5</v>
      </c>
      <c r="K5204" s="35">
        <v>-4.4066489591860228E-2</v>
      </c>
      <c r="L5204" s="35">
        <v>0.909885642552692</v>
      </c>
      <c r="M5204" s="58" t="s">
        <v>24</v>
      </c>
      <c r="N5204" s="7">
        <v>11.333333333333334</v>
      </c>
      <c r="O5204" s="7" t="s">
        <v>180</v>
      </c>
      <c r="P5204" s="7" t="s">
        <v>180</v>
      </c>
    </row>
    <row r="5205" spans="1:16" x14ac:dyDescent="0.25">
      <c r="A5205" t="s">
        <v>183</v>
      </c>
      <c r="B5205" t="s">
        <v>223</v>
      </c>
      <c r="C5205" s="7" t="s">
        <v>166</v>
      </c>
      <c r="D5205" t="s">
        <v>111</v>
      </c>
      <c r="F5205" s="35">
        <v>10.829833921897823</v>
      </c>
      <c r="G5205" s="35">
        <v>9.8360301092946365</v>
      </c>
      <c r="H5205" s="35">
        <v>-22.192266250601929</v>
      </c>
      <c r="I5205" s="35">
        <v>-7.5608326702494445E-3</v>
      </c>
      <c r="J5205" s="35">
        <v>-8.1223399442637093E-5</v>
      </c>
      <c r="K5205" s="35">
        <v>-3.125208526829874E-3</v>
      </c>
      <c r="L5205" s="35">
        <v>121.07916456483117</v>
      </c>
      <c r="M5205" s="58" t="s">
        <v>23</v>
      </c>
      <c r="N5205" s="7">
        <v>11.333333333333334</v>
      </c>
      <c r="O5205" s="7" t="s">
        <v>180</v>
      </c>
      <c r="P5205" s="7" t="s">
        <v>180</v>
      </c>
    </row>
    <row r="5206" spans="1:16" x14ac:dyDescent="0.25">
      <c r="A5206" t="s">
        <v>183</v>
      </c>
      <c r="B5206" t="s">
        <v>223</v>
      </c>
      <c r="C5206" s="7" t="s">
        <v>166</v>
      </c>
      <c r="D5206" t="s">
        <v>112</v>
      </c>
      <c r="F5206" s="35">
        <v>0</v>
      </c>
      <c r="G5206" s="35">
        <v>48.785854360010219</v>
      </c>
      <c r="H5206" s="35">
        <v>-4.0033189071984827</v>
      </c>
      <c r="I5206" s="35">
        <v>-3.3400986656690036E-2</v>
      </c>
      <c r="J5206" s="35">
        <v>-5.3482431503669241E-4</v>
      </c>
      <c r="K5206" s="35">
        <v>-0.37921747573557235</v>
      </c>
      <c r="L5206" s="35">
        <v>-14.560359725513283</v>
      </c>
      <c r="M5206" s="58" t="s">
        <v>22</v>
      </c>
      <c r="N5206" s="7">
        <v>11.333333333333334</v>
      </c>
      <c r="O5206" s="7" t="s">
        <v>180</v>
      </c>
      <c r="P5206" s="7" t="s">
        <v>180</v>
      </c>
    </row>
    <row r="5207" spans="1:16" x14ac:dyDescent="0.25">
      <c r="A5207" t="s">
        <v>183</v>
      </c>
      <c r="B5207" t="s">
        <v>223</v>
      </c>
      <c r="C5207" s="7" t="s">
        <v>166</v>
      </c>
      <c r="D5207" t="s">
        <v>112</v>
      </c>
      <c r="F5207" s="35">
        <v>5.4149169609489114</v>
      </c>
      <c r="G5207" s="35">
        <v>51.365265216125721</v>
      </c>
      <c r="H5207" s="35">
        <v>-4.0033189071984827</v>
      </c>
      <c r="I5207" s="35">
        <v>-3.3400986656690036E-2</v>
      </c>
      <c r="J5207" s="35">
        <v>-5.3482431503669241E-4</v>
      </c>
      <c r="K5207" s="35">
        <v>-0.19835390657583327</v>
      </c>
      <c r="L5207" s="35">
        <v>7.1172797251632387</v>
      </c>
      <c r="M5207" s="58" t="s">
        <v>24</v>
      </c>
      <c r="N5207" s="7">
        <v>11.333333333333334</v>
      </c>
      <c r="O5207" s="7" t="s">
        <v>180</v>
      </c>
      <c r="P5207" s="7" t="s">
        <v>180</v>
      </c>
    </row>
    <row r="5208" spans="1:16" x14ac:dyDescent="0.25">
      <c r="A5208" t="s">
        <v>183</v>
      </c>
      <c r="B5208" t="s">
        <v>223</v>
      </c>
      <c r="C5208" s="7" t="s">
        <v>166</v>
      </c>
      <c r="D5208" t="s">
        <v>112</v>
      </c>
      <c r="F5208" s="35">
        <v>10.829833921897823</v>
      </c>
      <c r="G5208" s="35">
        <v>53.944676072241236</v>
      </c>
      <c r="H5208" s="35">
        <v>-4.0033189071984827</v>
      </c>
      <c r="I5208" s="35">
        <v>-3.3400986656690036E-2</v>
      </c>
      <c r="J5208" s="35">
        <v>-5.3482431503669241E-4</v>
      </c>
      <c r="K5208" s="35">
        <v>-1.749033741609413E-2</v>
      </c>
      <c r="L5208" s="35">
        <v>28.794919175839766</v>
      </c>
      <c r="M5208" s="58" t="s">
        <v>23</v>
      </c>
      <c r="N5208" s="7">
        <v>11.333333333333334</v>
      </c>
      <c r="O5208" s="7" t="s">
        <v>180</v>
      </c>
      <c r="P5208" s="7" t="s">
        <v>180</v>
      </c>
    </row>
    <row r="5209" spans="1:16" x14ac:dyDescent="0.25">
      <c r="A5209" t="s">
        <v>183</v>
      </c>
      <c r="B5209" t="s">
        <v>223</v>
      </c>
      <c r="C5209" s="7" t="s">
        <v>166</v>
      </c>
      <c r="D5209" t="s">
        <v>113</v>
      </c>
      <c r="F5209" s="35">
        <v>0</v>
      </c>
      <c r="G5209" s="35">
        <v>-23.541441605111579</v>
      </c>
      <c r="H5209" s="35">
        <v>-1.1451316929153528</v>
      </c>
      <c r="I5209" s="35">
        <v>-2.8189456478643914E-2</v>
      </c>
      <c r="J5209" s="35">
        <v>-4.3482568899679144E-4</v>
      </c>
      <c r="K5209" s="35">
        <v>-0.32006819839748046</v>
      </c>
      <c r="L5209" s="35">
        <v>-5.2833764215075245</v>
      </c>
      <c r="M5209" s="58" t="s">
        <v>22</v>
      </c>
      <c r="N5209" s="7">
        <v>11.333333333333334</v>
      </c>
      <c r="O5209" s="7" t="s">
        <v>180</v>
      </c>
      <c r="P5209" s="7" t="s">
        <v>180</v>
      </c>
    </row>
    <row r="5210" spans="1:16" x14ac:dyDescent="0.25">
      <c r="A5210" t="s">
        <v>183</v>
      </c>
      <c r="B5210" t="s">
        <v>223</v>
      </c>
      <c r="C5210" s="7" t="s">
        <v>166</v>
      </c>
      <c r="D5210" t="s">
        <v>113</v>
      </c>
      <c r="F5210" s="35">
        <v>5.4149169609489114</v>
      </c>
      <c r="G5210" s="35">
        <v>-20.962030748996078</v>
      </c>
      <c r="H5210" s="35">
        <v>-1.1451316929153528</v>
      </c>
      <c r="I5210" s="35">
        <v>-2.8189456478643914E-2</v>
      </c>
      <c r="J5210" s="35">
        <v>-4.3482568899679144E-4</v>
      </c>
      <c r="K5210" s="35">
        <v>-0.16742463239134039</v>
      </c>
      <c r="L5210" s="35">
        <v>0.91741660497995725</v>
      </c>
      <c r="M5210" s="58" t="s">
        <v>24</v>
      </c>
      <c r="N5210" s="7">
        <v>11.333333333333334</v>
      </c>
      <c r="O5210" s="7" t="s">
        <v>180</v>
      </c>
      <c r="P5210" s="7" t="s">
        <v>180</v>
      </c>
    </row>
    <row r="5211" spans="1:16" x14ac:dyDescent="0.25">
      <c r="A5211" t="s">
        <v>183</v>
      </c>
      <c r="B5211" t="s">
        <v>223</v>
      </c>
      <c r="C5211" s="7" t="s">
        <v>166</v>
      </c>
      <c r="D5211" t="s">
        <v>113</v>
      </c>
      <c r="F5211" s="35">
        <v>10.829833921897823</v>
      </c>
      <c r="G5211" s="35">
        <v>-18.382619892880566</v>
      </c>
      <c r="H5211" s="35">
        <v>-1.1451316929153528</v>
      </c>
      <c r="I5211" s="35">
        <v>-2.8189456478643914E-2</v>
      </c>
      <c r="J5211" s="35">
        <v>-4.3482568899679144E-4</v>
      </c>
      <c r="K5211" s="35">
        <v>-1.4781066385200315E-2</v>
      </c>
      <c r="L5211" s="35">
        <v>7.1182096314674332</v>
      </c>
      <c r="M5211" s="58" t="s">
        <v>23</v>
      </c>
      <c r="N5211" s="7">
        <v>11.333333333333334</v>
      </c>
      <c r="O5211" s="7" t="s">
        <v>180</v>
      </c>
      <c r="P5211" s="7" t="s">
        <v>180</v>
      </c>
    </row>
    <row r="5212" spans="1:16" x14ac:dyDescent="0.25">
      <c r="A5212" t="s">
        <v>183</v>
      </c>
      <c r="B5212" t="s">
        <v>223</v>
      </c>
      <c r="C5212" s="7" t="s">
        <v>166</v>
      </c>
      <c r="D5212" t="s">
        <v>114</v>
      </c>
      <c r="F5212" s="35">
        <v>0</v>
      </c>
      <c r="G5212" s="35">
        <v>57.401811776458317</v>
      </c>
      <c r="H5212" s="35">
        <v>-4.4890948388686613</v>
      </c>
      <c r="I5212" s="35">
        <v>3.0952854404804154E-2</v>
      </c>
      <c r="J5212" s="35">
        <v>4.9689405863534756E-4</v>
      </c>
      <c r="K5212" s="35">
        <v>0.35198417785252045</v>
      </c>
      <c r="L5212" s="35">
        <v>-16.295783520163315</v>
      </c>
      <c r="M5212" s="58" t="s">
        <v>22</v>
      </c>
      <c r="N5212" s="7">
        <v>11.333333333333334</v>
      </c>
      <c r="O5212" s="7" t="s">
        <v>180</v>
      </c>
      <c r="P5212" s="7" t="s">
        <v>180</v>
      </c>
    </row>
    <row r="5213" spans="1:16" x14ac:dyDescent="0.25">
      <c r="A5213" t="s">
        <v>183</v>
      </c>
      <c r="B5213" t="s">
        <v>223</v>
      </c>
      <c r="C5213" s="7" t="s">
        <v>166</v>
      </c>
      <c r="D5213" t="s">
        <v>114</v>
      </c>
      <c r="F5213" s="35">
        <v>5.4149169609489114</v>
      </c>
      <c r="G5213" s="35">
        <v>59.981222632573818</v>
      </c>
      <c r="H5213" s="35">
        <v>-4.4890948388686613</v>
      </c>
      <c r="I5213" s="35">
        <v>3.0952854404804154E-2</v>
      </c>
      <c r="J5213" s="35">
        <v>4.9689405863534756E-4</v>
      </c>
      <c r="K5213" s="35">
        <v>0.18437704154616422</v>
      </c>
      <c r="L5213" s="35">
        <v>8.0122922621348156</v>
      </c>
      <c r="M5213" s="58" t="s">
        <v>24</v>
      </c>
      <c r="N5213" s="7">
        <v>11.333333333333334</v>
      </c>
      <c r="O5213" s="7" t="s">
        <v>180</v>
      </c>
      <c r="P5213" s="7" t="s">
        <v>180</v>
      </c>
    </row>
    <row r="5214" spans="1:16" x14ac:dyDescent="0.25">
      <c r="A5214" t="s">
        <v>183</v>
      </c>
      <c r="B5214" t="s">
        <v>223</v>
      </c>
      <c r="C5214" s="7" t="s">
        <v>166</v>
      </c>
      <c r="D5214" t="s">
        <v>114</v>
      </c>
      <c r="F5214" s="35">
        <v>10.829833921897823</v>
      </c>
      <c r="G5214" s="35">
        <v>62.560633488689334</v>
      </c>
      <c r="H5214" s="35">
        <v>-4.4890948388686613</v>
      </c>
      <c r="I5214" s="35">
        <v>3.0952854404804154E-2</v>
      </c>
      <c r="J5214" s="35">
        <v>4.9689405863534756E-4</v>
      </c>
      <c r="K5214" s="35">
        <v>1.6769905239808043E-2</v>
      </c>
      <c r="L5214" s="35">
        <v>32.320368044432946</v>
      </c>
      <c r="M5214" s="58" t="s">
        <v>23</v>
      </c>
      <c r="N5214" s="7">
        <v>11.333333333333334</v>
      </c>
      <c r="O5214" s="7" t="s">
        <v>180</v>
      </c>
      <c r="P5214" s="7" t="s">
        <v>180</v>
      </c>
    </row>
    <row r="5215" spans="1:16" x14ac:dyDescent="0.25">
      <c r="A5215" t="s">
        <v>183</v>
      </c>
      <c r="B5215" t="s">
        <v>223</v>
      </c>
      <c r="C5215" s="7" t="s">
        <v>166</v>
      </c>
      <c r="D5215" t="s">
        <v>115</v>
      </c>
      <c r="F5215" s="35">
        <v>0</v>
      </c>
      <c r="G5215" s="35">
        <v>-14.925575736112759</v>
      </c>
      <c r="H5215" s="35">
        <v>-1.6307588718243222</v>
      </c>
      <c r="I5215" s="35">
        <v>3.6125079878204298E-2</v>
      </c>
      <c r="J5215" s="35">
        <v>5.9602749349573815E-4</v>
      </c>
      <c r="K5215" s="35">
        <v>0.41069220800269529</v>
      </c>
      <c r="L5215" s="35">
        <v>-7.0182344901834446</v>
      </c>
      <c r="M5215" s="58" t="s">
        <v>22</v>
      </c>
      <c r="N5215" s="7">
        <v>11.333333333333334</v>
      </c>
      <c r="O5215" s="7" t="s">
        <v>180</v>
      </c>
      <c r="P5215" s="7" t="s">
        <v>180</v>
      </c>
    </row>
    <row r="5216" spans="1:16" x14ac:dyDescent="0.25">
      <c r="A5216" t="s">
        <v>183</v>
      </c>
      <c r="B5216" t="s">
        <v>223</v>
      </c>
      <c r="C5216" s="7" t="s">
        <v>166</v>
      </c>
      <c r="D5216" t="s">
        <v>115</v>
      </c>
      <c r="F5216" s="35">
        <v>5.4149169609489114</v>
      </c>
      <c r="G5216" s="35">
        <v>-12.346164879997259</v>
      </c>
      <c r="H5216" s="35">
        <v>-1.6307588718243222</v>
      </c>
      <c r="I5216" s="35">
        <v>3.6125079878204298E-2</v>
      </c>
      <c r="J5216" s="35">
        <v>5.9602749349573815E-4</v>
      </c>
      <c r="K5216" s="35">
        <v>0.21507790025457263</v>
      </c>
      <c r="L5216" s="35">
        <v>1.8121893840759866</v>
      </c>
      <c r="M5216" s="58" t="s">
        <v>24</v>
      </c>
      <c r="N5216" s="7">
        <v>11.333333333333334</v>
      </c>
      <c r="O5216" s="7" t="s">
        <v>180</v>
      </c>
      <c r="P5216" s="7" t="s">
        <v>180</v>
      </c>
    </row>
    <row r="5217" spans="1:16" x14ac:dyDescent="0.25">
      <c r="A5217" t="s">
        <v>183</v>
      </c>
      <c r="B5217" t="s">
        <v>223</v>
      </c>
      <c r="C5217" s="7" t="s">
        <v>166</v>
      </c>
      <c r="D5217" t="s">
        <v>115</v>
      </c>
      <c r="F5217" s="35">
        <v>10.829833921897823</v>
      </c>
      <c r="G5217" s="35">
        <v>-9.7667540238817434</v>
      </c>
      <c r="H5217" s="35">
        <v>-1.6307588718243222</v>
      </c>
      <c r="I5217" s="35">
        <v>3.6125079878204298E-2</v>
      </c>
      <c r="J5217" s="35">
        <v>5.9602749349573815E-4</v>
      </c>
      <c r="K5217" s="35">
        <v>1.9463592506450009E-2</v>
      </c>
      <c r="L5217" s="35">
        <v>10.64261325833542</v>
      </c>
      <c r="M5217" s="58" t="s">
        <v>23</v>
      </c>
      <c r="N5217" s="7">
        <v>11.333333333333334</v>
      </c>
      <c r="O5217" s="7" t="s">
        <v>180</v>
      </c>
      <c r="P5217" s="7" t="s">
        <v>180</v>
      </c>
    </row>
    <row r="5218" spans="1:16" x14ac:dyDescent="0.25">
      <c r="A5218" t="s">
        <v>183</v>
      </c>
      <c r="B5218" t="s">
        <v>223</v>
      </c>
      <c r="C5218" s="7" t="s">
        <v>166</v>
      </c>
      <c r="D5218" t="s">
        <v>116</v>
      </c>
      <c r="F5218" s="35">
        <v>0</v>
      </c>
      <c r="G5218" s="35">
        <v>47.905708697890169</v>
      </c>
      <c r="H5218" s="35">
        <v>1.3569757826379814</v>
      </c>
      <c r="I5218" s="35">
        <v>-1.2619903456531599E-2</v>
      </c>
      <c r="J5218" s="35">
        <v>-1.9977788224190038E-4</v>
      </c>
      <c r="K5218" s="35">
        <v>-0.14279367022756156</v>
      </c>
      <c r="L5218" s="35">
        <v>19.098375301029634</v>
      </c>
      <c r="M5218" s="58" t="s">
        <v>22</v>
      </c>
      <c r="N5218" s="7">
        <v>11.333333333333334</v>
      </c>
      <c r="O5218" s="7" t="s">
        <v>180</v>
      </c>
      <c r="P5218" s="7" t="s">
        <v>180</v>
      </c>
    </row>
    <row r="5219" spans="1:16" x14ac:dyDescent="0.25">
      <c r="A5219" t="s">
        <v>183</v>
      </c>
      <c r="B5219" t="s">
        <v>223</v>
      </c>
      <c r="C5219" s="7" t="s">
        <v>166</v>
      </c>
      <c r="D5219" t="s">
        <v>116</v>
      </c>
      <c r="F5219" s="35">
        <v>5.4149169609489114</v>
      </c>
      <c r="G5219" s="35">
        <v>50.485119554005671</v>
      </c>
      <c r="H5219" s="35">
        <v>1.3569757826379814</v>
      </c>
      <c r="I5219" s="35">
        <v>-1.2619903456531599E-2</v>
      </c>
      <c r="J5219" s="35">
        <v>-1.9977788224190038E-4</v>
      </c>
      <c r="K5219" s="35">
        <v>-7.4457940955250823E-2</v>
      </c>
      <c r="L5219" s="35">
        <v>11.750464120026306</v>
      </c>
      <c r="M5219" s="58" t="s">
        <v>24</v>
      </c>
      <c r="N5219" s="7">
        <v>11.333333333333334</v>
      </c>
      <c r="O5219" s="7" t="s">
        <v>180</v>
      </c>
      <c r="P5219" s="7" t="s">
        <v>180</v>
      </c>
    </row>
    <row r="5220" spans="1:16" x14ac:dyDescent="0.25">
      <c r="A5220" t="s">
        <v>183</v>
      </c>
      <c r="B5220" t="s">
        <v>223</v>
      </c>
      <c r="C5220" s="7" t="s">
        <v>166</v>
      </c>
      <c r="D5220" t="s">
        <v>116</v>
      </c>
      <c r="F5220" s="35">
        <v>10.829833921897823</v>
      </c>
      <c r="G5220" s="35">
        <v>53.064530410121186</v>
      </c>
      <c r="H5220" s="35">
        <v>1.3569757826379814</v>
      </c>
      <c r="I5220" s="35">
        <v>-1.2619903456531599E-2</v>
      </c>
      <c r="J5220" s="35">
        <v>-1.9977788224190038E-4</v>
      </c>
      <c r="K5220" s="35">
        <v>-6.1222116829400923E-3</v>
      </c>
      <c r="L5220" s="35">
        <v>4.4025529390229758</v>
      </c>
      <c r="M5220" s="58" t="s">
        <v>23</v>
      </c>
      <c r="N5220" s="7">
        <v>11.333333333333334</v>
      </c>
      <c r="O5220" s="7" t="s">
        <v>180</v>
      </c>
      <c r="P5220" s="7" t="s">
        <v>180</v>
      </c>
    </row>
    <row r="5221" spans="1:16" x14ac:dyDescent="0.25">
      <c r="A5221" t="s">
        <v>183</v>
      </c>
      <c r="B5221" t="s">
        <v>223</v>
      </c>
      <c r="C5221" s="7" t="s">
        <v>166</v>
      </c>
      <c r="D5221" t="s">
        <v>117</v>
      </c>
      <c r="F5221" s="35">
        <v>0</v>
      </c>
      <c r="G5221" s="35">
        <v>-143.46074910308522</v>
      </c>
      <c r="H5221" s="35">
        <v>13.525735792634903</v>
      </c>
      <c r="I5221" s="35">
        <v>-6.4226520785822883E-3</v>
      </c>
      <c r="J5221" s="35">
        <v>-4.3587526859753742E-5</v>
      </c>
      <c r="K5221" s="35">
        <v>-7.1793635824769525E-2</v>
      </c>
      <c r="L5221" s="35">
        <v>77.576570564818752</v>
      </c>
      <c r="M5221" s="58" t="s">
        <v>22</v>
      </c>
      <c r="N5221" s="7">
        <v>11.333333333333334</v>
      </c>
      <c r="O5221" s="7" t="s">
        <v>180</v>
      </c>
      <c r="P5221" s="7" t="s">
        <v>180</v>
      </c>
    </row>
    <row r="5222" spans="1:16" x14ac:dyDescent="0.25">
      <c r="A5222" t="s">
        <v>183</v>
      </c>
      <c r="B5222" t="s">
        <v>223</v>
      </c>
      <c r="C5222" s="7" t="s">
        <v>166</v>
      </c>
      <c r="D5222" t="s">
        <v>117</v>
      </c>
      <c r="F5222" s="35">
        <v>5.4149169609489114</v>
      </c>
      <c r="G5222" s="35">
        <v>-140.8813382469697</v>
      </c>
      <c r="H5222" s="35">
        <v>13.525735792634903</v>
      </c>
      <c r="I5222" s="35">
        <v>-6.4226520785822883E-3</v>
      </c>
      <c r="J5222" s="35">
        <v>-4.3587526859753742E-5</v>
      </c>
      <c r="K5222" s="35">
        <v>-3.7015508150180523E-2</v>
      </c>
      <c r="L5222" s="35">
        <v>4.335834411966264</v>
      </c>
      <c r="M5222" s="58" t="s">
        <v>24</v>
      </c>
      <c r="N5222" s="7">
        <v>11.333333333333334</v>
      </c>
      <c r="O5222" s="7" t="s">
        <v>180</v>
      </c>
      <c r="P5222" s="7" t="s">
        <v>180</v>
      </c>
    </row>
    <row r="5223" spans="1:16" x14ac:dyDescent="0.25">
      <c r="A5223" t="s">
        <v>183</v>
      </c>
      <c r="B5223" t="s">
        <v>223</v>
      </c>
      <c r="C5223" s="7" t="s">
        <v>166</v>
      </c>
      <c r="D5223" t="s">
        <v>117</v>
      </c>
      <c r="F5223" s="35">
        <v>10.829833921897823</v>
      </c>
      <c r="G5223" s="35">
        <v>-138.30192739085419</v>
      </c>
      <c r="H5223" s="35">
        <v>13.525735792634903</v>
      </c>
      <c r="I5223" s="35">
        <v>-6.4226520785822883E-3</v>
      </c>
      <c r="J5223" s="35">
        <v>-4.3587526859753742E-5</v>
      </c>
      <c r="K5223" s="35">
        <v>-2.2373804755915216E-3</v>
      </c>
      <c r="L5223" s="35">
        <v>-68.904901740886217</v>
      </c>
      <c r="M5223" s="58" t="s">
        <v>23</v>
      </c>
      <c r="N5223" s="7">
        <v>11.333333333333334</v>
      </c>
      <c r="O5223" s="7" t="s">
        <v>180</v>
      </c>
      <c r="P5223" s="7" t="s">
        <v>180</v>
      </c>
    </row>
    <row r="5224" spans="1:16" x14ac:dyDescent="0.25">
      <c r="A5224" t="s">
        <v>183</v>
      </c>
      <c r="B5224" t="s">
        <v>223</v>
      </c>
      <c r="C5224" s="7" t="s">
        <v>166</v>
      </c>
      <c r="D5224" t="s">
        <v>118</v>
      </c>
      <c r="F5224" s="35">
        <v>0</v>
      </c>
      <c r="G5224" s="35">
        <v>49.639270574890574</v>
      </c>
      <c r="H5224" s="35">
        <v>-7.608530571477786</v>
      </c>
      <c r="I5224" s="35">
        <v>-1.2330703639791697E-2</v>
      </c>
      <c r="J5224" s="35">
        <v>-2.0671058734577104E-4</v>
      </c>
      <c r="K5224" s="35">
        <v>-0.13948964246526965</v>
      </c>
      <c r="L5224" s="35">
        <v>-40.854229069247282</v>
      </c>
      <c r="M5224" s="58" t="s">
        <v>22</v>
      </c>
      <c r="N5224" s="7">
        <v>11.333333333333334</v>
      </c>
      <c r="O5224" s="7" t="s">
        <v>180</v>
      </c>
      <c r="P5224" s="7" t="s">
        <v>180</v>
      </c>
    </row>
    <row r="5225" spans="1:16" x14ac:dyDescent="0.25">
      <c r="A5225" t="s">
        <v>183</v>
      </c>
      <c r="B5225" t="s">
        <v>223</v>
      </c>
      <c r="C5225" s="7" t="s">
        <v>166</v>
      </c>
      <c r="D5225" t="s">
        <v>118</v>
      </c>
      <c r="F5225" s="35">
        <v>5.4149169609489114</v>
      </c>
      <c r="G5225" s="35">
        <v>52.218681431006075</v>
      </c>
      <c r="H5225" s="35">
        <v>-7.608530571477786</v>
      </c>
      <c r="I5225" s="35">
        <v>-1.2330703639791697E-2</v>
      </c>
      <c r="J5225" s="35">
        <v>-2.0671058734577104E-4</v>
      </c>
      <c r="K5225" s="35">
        <v>-7.2719906185727129E-2</v>
      </c>
      <c r="L5225" s="35">
        <v>0.34533217014609452</v>
      </c>
      <c r="M5225" s="58" t="s">
        <v>24</v>
      </c>
      <c r="N5225" s="7">
        <v>11.333333333333334</v>
      </c>
      <c r="O5225" s="7" t="s">
        <v>180</v>
      </c>
      <c r="P5225" s="7" t="s">
        <v>180</v>
      </c>
    </row>
    <row r="5226" spans="1:16" x14ac:dyDescent="0.25">
      <c r="A5226" t="s">
        <v>183</v>
      </c>
      <c r="B5226" t="s">
        <v>223</v>
      </c>
      <c r="C5226" s="7" t="s">
        <v>166</v>
      </c>
      <c r="D5226" t="s">
        <v>118</v>
      </c>
      <c r="F5226" s="35">
        <v>10.829833921897823</v>
      </c>
      <c r="G5226" s="35">
        <v>54.798092287121591</v>
      </c>
      <c r="H5226" s="35">
        <v>-7.608530571477786</v>
      </c>
      <c r="I5226" s="35">
        <v>-1.2330703639791697E-2</v>
      </c>
      <c r="J5226" s="35">
        <v>-2.0671058734577104E-4</v>
      </c>
      <c r="K5226" s="35">
        <v>-5.9501699061845943E-3</v>
      </c>
      <c r="L5226" s="35">
        <v>41.544893409539462</v>
      </c>
      <c r="M5226" s="58" t="s">
        <v>23</v>
      </c>
      <c r="N5226" s="7">
        <v>11.333333333333334</v>
      </c>
      <c r="O5226" s="7" t="s">
        <v>180</v>
      </c>
      <c r="P5226" s="7" t="s">
        <v>180</v>
      </c>
    </row>
    <row r="5227" spans="1:16" x14ac:dyDescent="0.25">
      <c r="A5227" t="s">
        <v>183</v>
      </c>
      <c r="B5227" t="s">
        <v>223</v>
      </c>
      <c r="C5227" s="7" t="s">
        <v>166</v>
      </c>
      <c r="D5227" t="s">
        <v>119</v>
      </c>
      <c r="F5227" s="35">
        <v>0</v>
      </c>
      <c r="G5227" s="35">
        <v>-56.62431549754492</v>
      </c>
      <c r="H5227" s="35">
        <v>-18.35463249017787</v>
      </c>
      <c r="I5227" s="35">
        <v>-6.4336586979305199E-3</v>
      </c>
      <c r="J5227" s="35">
        <v>-4.8142036456473807E-5</v>
      </c>
      <c r="K5227" s="35">
        <v>-7.2038315748451667E-2</v>
      </c>
      <c r="L5227" s="35">
        <v>-102.77653278222412</v>
      </c>
      <c r="M5227" s="58" t="s">
        <v>22</v>
      </c>
      <c r="N5227" s="7">
        <v>11.333333333333334</v>
      </c>
      <c r="O5227" s="7" t="s">
        <v>180</v>
      </c>
      <c r="P5227" s="7" t="s">
        <v>180</v>
      </c>
    </row>
    <row r="5228" spans="1:16" x14ac:dyDescent="0.25">
      <c r="A5228" t="s">
        <v>183</v>
      </c>
      <c r="B5228" t="s">
        <v>223</v>
      </c>
      <c r="C5228" s="7" t="s">
        <v>166</v>
      </c>
      <c r="D5228" t="s">
        <v>119</v>
      </c>
      <c r="F5228" s="35">
        <v>5.4149169609489114</v>
      </c>
      <c r="G5228" s="35">
        <v>-54.044904641429419</v>
      </c>
      <c r="H5228" s="35">
        <v>-18.35463249017787</v>
      </c>
      <c r="I5228" s="35">
        <v>-6.4336586979305199E-3</v>
      </c>
      <c r="J5228" s="35">
        <v>-4.8142036456473807E-5</v>
      </c>
      <c r="K5228" s="35">
        <v>-3.7200588144071199E-2</v>
      </c>
      <c r="L5228" s="35">
        <v>-3.387721999176017</v>
      </c>
      <c r="M5228" s="58" t="s">
        <v>24</v>
      </c>
      <c r="N5228" s="7">
        <v>11.333333333333334</v>
      </c>
      <c r="O5228" s="7" t="s">
        <v>180</v>
      </c>
      <c r="P5228" s="7" t="s">
        <v>180</v>
      </c>
    </row>
    <row r="5229" spans="1:16" x14ac:dyDescent="0.25">
      <c r="A5229" t="s">
        <v>183</v>
      </c>
      <c r="B5229" t="s">
        <v>223</v>
      </c>
      <c r="C5229" s="7" t="s">
        <v>166</v>
      </c>
      <c r="D5229" t="s">
        <v>119</v>
      </c>
      <c r="F5229" s="35">
        <v>10.829833921897823</v>
      </c>
      <c r="G5229" s="35">
        <v>-51.465493785313903</v>
      </c>
      <c r="H5229" s="35">
        <v>-18.35463249017787</v>
      </c>
      <c r="I5229" s="35">
        <v>-6.4336586979305199E-3</v>
      </c>
      <c r="J5229" s="35">
        <v>-4.8142036456473807E-5</v>
      </c>
      <c r="K5229" s="35">
        <v>-2.3628605396907505E-3</v>
      </c>
      <c r="L5229" s="35">
        <v>96.001088783872078</v>
      </c>
      <c r="M5229" s="58" t="s">
        <v>23</v>
      </c>
      <c r="N5229" s="7">
        <v>11.333333333333334</v>
      </c>
      <c r="O5229" s="7" t="s">
        <v>180</v>
      </c>
      <c r="P5229" s="7" t="s">
        <v>180</v>
      </c>
    </row>
    <row r="5230" spans="1:16" x14ac:dyDescent="0.25">
      <c r="A5230" t="s">
        <v>183</v>
      </c>
      <c r="B5230" t="s">
        <v>223</v>
      </c>
      <c r="C5230" s="7" t="s">
        <v>166</v>
      </c>
      <c r="D5230" t="s">
        <v>120</v>
      </c>
      <c r="F5230" s="35">
        <v>0</v>
      </c>
      <c r="G5230" s="35">
        <v>70.581164917318574</v>
      </c>
      <c r="H5230" s="35">
        <v>-4.7956142534813351</v>
      </c>
      <c r="I5230" s="35">
        <v>-3.7210047267830774E-2</v>
      </c>
      <c r="J5230" s="35">
        <v>-6.0101607621442974E-4</v>
      </c>
      <c r="K5230" s="35">
        <v>-0.4225341185171132</v>
      </c>
      <c r="L5230" s="35">
        <v>-17.066533990318437</v>
      </c>
      <c r="M5230" s="58" t="s">
        <v>22</v>
      </c>
      <c r="N5230" s="7">
        <v>11.333333333333334</v>
      </c>
      <c r="O5230" s="7" t="s">
        <v>180</v>
      </c>
      <c r="P5230" s="7" t="s">
        <v>180</v>
      </c>
    </row>
    <row r="5231" spans="1:16" x14ac:dyDescent="0.25">
      <c r="A5231" t="s">
        <v>183</v>
      </c>
      <c r="B5231" t="s">
        <v>223</v>
      </c>
      <c r="C5231" s="7" t="s">
        <v>166</v>
      </c>
      <c r="D5231" t="s">
        <v>120</v>
      </c>
      <c r="F5231" s="35">
        <v>5.4149169609489114</v>
      </c>
      <c r="G5231" s="35">
        <v>73.16057577343409</v>
      </c>
      <c r="H5231" s="35">
        <v>-4.7956142534813351</v>
      </c>
      <c r="I5231" s="35">
        <v>-3.7210047267830774E-2</v>
      </c>
      <c r="J5231" s="35">
        <v>-6.0101607621442974E-4</v>
      </c>
      <c r="K5231" s="35">
        <v>-0.22104480244882568</v>
      </c>
      <c r="L5231" s="35">
        <v>8.9013189690259935</v>
      </c>
      <c r="M5231" s="58" t="s">
        <v>24</v>
      </c>
      <c r="N5231" s="7">
        <v>11.333333333333334</v>
      </c>
      <c r="O5231" s="7" t="s">
        <v>180</v>
      </c>
      <c r="P5231" s="7" t="s">
        <v>180</v>
      </c>
    </row>
    <row r="5232" spans="1:16" x14ac:dyDescent="0.25">
      <c r="A5232" t="s">
        <v>183</v>
      </c>
      <c r="B5232" t="s">
        <v>223</v>
      </c>
      <c r="C5232" s="7" t="s">
        <v>166</v>
      </c>
      <c r="D5232" t="s">
        <v>120</v>
      </c>
      <c r="F5232" s="35">
        <v>10.829833921897823</v>
      </c>
      <c r="G5232" s="35">
        <v>75.739986629549591</v>
      </c>
      <c r="H5232" s="35">
        <v>-4.7956142534813351</v>
      </c>
      <c r="I5232" s="35">
        <v>-3.7210047267830774E-2</v>
      </c>
      <c r="J5232" s="35">
        <v>-6.0101607621442974E-4</v>
      </c>
      <c r="K5232" s="35">
        <v>-1.9555486380538157E-2</v>
      </c>
      <c r="L5232" s="35">
        <v>34.86917192837042</v>
      </c>
      <c r="M5232" s="58" t="s">
        <v>23</v>
      </c>
      <c r="N5232" s="7">
        <v>11.333333333333334</v>
      </c>
      <c r="O5232" s="7" t="s">
        <v>180</v>
      </c>
      <c r="P5232" s="7" t="s">
        <v>180</v>
      </c>
    </row>
    <row r="5233" spans="1:16" x14ac:dyDescent="0.25">
      <c r="A5233" t="s">
        <v>183</v>
      </c>
      <c r="B5233" t="s">
        <v>223</v>
      </c>
      <c r="C5233" s="7" t="s">
        <v>166</v>
      </c>
      <c r="D5233" t="s">
        <v>121</v>
      </c>
      <c r="F5233" s="35">
        <v>0</v>
      </c>
      <c r="G5233" s="35">
        <v>-9.7824972661500915</v>
      </c>
      <c r="H5233" s="35">
        <v>-1.6198506820556346</v>
      </c>
      <c r="I5233" s="35">
        <v>-3.1419458181112858E-2</v>
      </c>
      <c r="J5233" s="35">
        <v>-4.8990649172565089E-4</v>
      </c>
      <c r="K5233" s="35">
        <v>-0.3568126992525667</v>
      </c>
      <c r="L5233" s="35">
        <v>-6.758774763645369</v>
      </c>
      <c r="M5233" s="58" t="s">
        <v>22</v>
      </c>
      <c r="N5233" s="7">
        <v>11.333333333333334</v>
      </c>
      <c r="O5233" s="7" t="s">
        <v>180</v>
      </c>
      <c r="P5233" s="7" t="s">
        <v>180</v>
      </c>
    </row>
    <row r="5234" spans="1:16" x14ac:dyDescent="0.25">
      <c r="A5234" t="s">
        <v>183</v>
      </c>
      <c r="B5234" t="s">
        <v>223</v>
      </c>
      <c r="C5234" s="7" t="s">
        <v>166</v>
      </c>
      <c r="D5234" t="s">
        <v>121</v>
      </c>
      <c r="F5234" s="35">
        <v>5.4149169609489114</v>
      </c>
      <c r="G5234" s="35">
        <v>-7.2030864100345777</v>
      </c>
      <c r="H5234" s="35">
        <v>-1.6198506820556346</v>
      </c>
      <c r="I5234" s="35">
        <v>-3.1419458181112858E-2</v>
      </c>
      <c r="J5234" s="35">
        <v>-4.8990649172565089E-4</v>
      </c>
      <c r="K5234" s="35">
        <v>-0.18667894224383363</v>
      </c>
      <c r="L5234" s="35">
        <v>2.0125821688223478</v>
      </c>
      <c r="M5234" s="58" t="s">
        <v>24</v>
      </c>
      <c r="N5234" s="7">
        <v>11.333333333333334</v>
      </c>
      <c r="O5234" s="7" t="s">
        <v>180</v>
      </c>
      <c r="P5234" s="7" t="s">
        <v>180</v>
      </c>
    </row>
    <row r="5235" spans="1:16" x14ac:dyDescent="0.25">
      <c r="A5235" t="s">
        <v>183</v>
      </c>
      <c r="B5235" t="s">
        <v>223</v>
      </c>
      <c r="C5235" s="7" t="s">
        <v>166</v>
      </c>
      <c r="D5235" t="s">
        <v>121</v>
      </c>
      <c r="F5235" s="35">
        <v>10.829833921897823</v>
      </c>
      <c r="G5235" s="35">
        <v>-4.6236755539190773</v>
      </c>
      <c r="H5235" s="35">
        <v>-1.6198506820556346</v>
      </c>
      <c r="I5235" s="35">
        <v>-3.1419458181112858E-2</v>
      </c>
      <c r="J5235" s="35">
        <v>-4.8990649172565089E-4</v>
      </c>
      <c r="K5235" s="35">
        <v>-1.6545185235100582E-2</v>
      </c>
      <c r="L5235" s="35">
        <v>10.783939101290059</v>
      </c>
      <c r="M5235" s="58" t="s">
        <v>23</v>
      </c>
      <c r="N5235" s="7">
        <v>11.333333333333334</v>
      </c>
      <c r="O5235" s="7" t="s">
        <v>180</v>
      </c>
      <c r="P5235" s="7" t="s">
        <v>180</v>
      </c>
    </row>
    <row r="5236" spans="1:16" x14ac:dyDescent="0.25">
      <c r="A5236" t="s">
        <v>183</v>
      </c>
      <c r="B5236" t="s">
        <v>223</v>
      </c>
      <c r="C5236" s="7" t="s">
        <v>166</v>
      </c>
      <c r="D5236" t="s">
        <v>122</v>
      </c>
      <c r="F5236" s="35">
        <v>0</v>
      </c>
      <c r="G5236" s="35">
        <v>80.154450935594227</v>
      </c>
      <c r="H5236" s="35">
        <v>-5.3353652886704221</v>
      </c>
      <c r="I5236" s="35">
        <v>3.429422057827388E-2</v>
      </c>
      <c r="J5236" s="35">
        <v>5.4533767231005909E-4</v>
      </c>
      <c r="K5236" s="35">
        <v>0.38991216324743438</v>
      </c>
      <c r="L5236" s="35">
        <v>-18.994782651040694</v>
      </c>
      <c r="M5236" s="58" t="s">
        <v>22</v>
      </c>
      <c r="N5236" s="7">
        <v>11.333333333333334</v>
      </c>
      <c r="O5236" s="7" t="s">
        <v>180</v>
      </c>
      <c r="P5236" s="7" t="s">
        <v>180</v>
      </c>
    </row>
    <row r="5237" spans="1:16" x14ac:dyDescent="0.25">
      <c r="A5237" t="s">
        <v>183</v>
      </c>
      <c r="B5237" t="s">
        <v>223</v>
      </c>
      <c r="C5237" s="7" t="s">
        <v>166</v>
      </c>
      <c r="D5237" t="s">
        <v>122</v>
      </c>
      <c r="F5237" s="35">
        <v>5.4149169609489114</v>
      </c>
      <c r="G5237" s="35">
        <v>82.733861791709742</v>
      </c>
      <c r="H5237" s="35">
        <v>-5.3353652886704221</v>
      </c>
      <c r="I5237" s="35">
        <v>3.429422057827388E-2</v>
      </c>
      <c r="J5237" s="35">
        <v>5.4533767231005909E-4</v>
      </c>
      <c r="K5237" s="35">
        <v>0.20421180657561597</v>
      </c>
      <c r="L5237" s="35">
        <v>9.895777343438855</v>
      </c>
      <c r="M5237" s="58" t="s">
        <v>24</v>
      </c>
      <c r="N5237" s="7">
        <v>11.333333333333334</v>
      </c>
      <c r="O5237" s="7" t="s">
        <v>180</v>
      </c>
      <c r="P5237" s="7" t="s">
        <v>180</v>
      </c>
    </row>
    <row r="5238" spans="1:16" x14ac:dyDescent="0.25">
      <c r="A5238" t="s">
        <v>183</v>
      </c>
      <c r="B5238" t="s">
        <v>223</v>
      </c>
      <c r="C5238" s="7" t="s">
        <v>166</v>
      </c>
      <c r="D5238" t="s">
        <v>122</v>
      </c>
      <c r="F5238" s="35">
        <v>10.829833921897823</v>
      </c>
      <c r="G5238" s="35">
        <v>85.313272647825244</v>
      </c>
      <c r="H5238" s="35">
        <v>-5.3353652886704221</v>
      </c>
      <c r="I5238" s="35">
        <v>3.429422057827388E-2</v>
      </c>
      <c r="J5238" s="35">
        <v>5.4533767231005909E-4</v>
      </c>
      <c r="K5238" s="35">
        <v>1.8511449903797585E-2</v>
      </c>
      <c r="L5238" s="35">
        <v>38.786337337918404</v>
      </c>
      <c r="M5238" s="58" t="s">
        <v>23</v>
      </c>
      <c r="N5238" s="7">
        <v>11.333333333333334</v>
      </c>
      <c r="O5238" s="7" t="s">
        <v>180</v>
      </c>
      <c r="P5238" s="7" t="s">
        <v>180</v>
      </c>
    </row>
    <row r="5239" spans="1:16" x14ac:dyDescent="0.25">
      <c r="A5239" t="s">
        <v>183</v>
      </c>
      <c r="B5239" t="s">
        <v>223</v>
      </c>
      <c r="C5239" s="7" t="s">
        <v>166</v>
      </c>
      <c r="D5239" t="s">
        <v>123</v>
      </c>
      <c r="F5239" s="35">
        <v>0</v>
      </c>
      <c r="G5239" s="35">
        <v>-0.20931296726250725</v>
      </c>
      <c r="H5239" s="35">
        <v>-2.1594364363989338</v>
      </c>
      <c r="I5239" s="35">
        <v>4.0041137770940705E-2</v>
      </c>
      <c r="J5239" s="35">
        <v>6.5548593326604856E-4</v>
      </c>
      <c r="K5239" s="35">
        <v>0.45514330785873974</v>
      </c>
      <c r="L5239" s="35">
        <v>-8.6863948399519479</v>
      </c>
      <c r="M5239" s="58" t="s">
        <v>22</v>
      </c>
      <c r="N5239" s="7">
        <v>11.333333333333334</v>
      </c>
      <c r="O5239" s="7" t="s">
        <v>180</v>
      </c>
      <c r="P5239" s="7" t="s">
        <v>180</v>
      </c>
    </row>
    <row r="5240" spans="1:16" x14ac:dyDescent="0.25">
      <c r="A5240" t="s">
        <v>183</v>
      </c>
      <c r="B5240" t="s">
        <v>223</v>
      </c>
      <c r="C5240" s="7" t="s">
        <v>166</v>
      </c>
      <c r="D5240" t="s">
        <v>123</v>
      </c>
      <c r="F5240" s="35">
        <v>5.4149169609489114</v>
      </c>
      <c r="G5240" s="35">
        <v>2.3700978888530075</v>
      </c>
      <c r="H5240" s="35">
        <v>-2.1594364363989338</v>
      </c>
      <c r="I5240" s="35">
        <v>4.0041137770940705E-2</v>
      </c>
      <c r="J5240" s="35">
        <v>6.5548593326604856E-4</v>
      </c>
      <c r="K5240" s="35">
        <v>0.23832387180718087</v>
      </c>
      <c r="L5240" s="35">
        <v>3.0067741455957138</v>
      </c>
      <c r="M5240" s="58" t="s">
        <v>24</v>
      </c>
      <c r="N5240" s="7">
        <v>11.333333333333334</v>
      </c>
      <c r="O5240" s="7" t="s">
        <v>180</v>
      </c>
      <c r="P5240" s="7" t="s">
        <v>180</v>
      </c>
    </row>
    <row r="5241" spans="1:16" x14ac:dyDescent="0.25">
      <c r="A5241" t="s">
        <v>183</v>
      </c>
      <c r="B5241" t="s">
        <v>223</v>
      </c>
      <c r="C5241" s="7" t="s">
        <v>166</v>
      </c>
      <c r="D5241" t="s">
        <v>123</v>
      </c>
      <c r="F5241" s="35">
        <v>10.829833921897823</v>
      </c>
      <c r="G5241" s="35">
        <v>4.949508744968508</v>
      </c>
      <c r="H5241" s="35">
        <v>-2.1594364363989338</v>
      </c>
      <c r="I5241" s="35">
        <v>4.0041137770940705E-2</v>
      </c>
      <c r="J5241" s="35">
        <v>6.5548593326604856E-4</v>
      </c>
      <c r="K5241" s="35">
        <v>2.1504435755621998E-2</v>
      </c>
      <c r="L5241" s="35">
        <v>14.699943131143376</v>
      </c>
      <c r="M5241" s="58" t="s">
        <v>23</v>
      </c>
      <c r="N5241" s="7">
        <v>11.333333333333334</v>
      </c>
      <c r="O5241" s="7" t="s">
        <v>180</v>
      </c>
      <c r="P5241" s="7" t="s">
        <v>180</v>
      </c>
    </row>
    <row r="5242" spans="1:16" x14ac:dyDescent="0.25">
      <c r="A5242" t="s">
        <v>183</v>
      </c>
      <c r="B5242" t="s">
        <v>223</v>
      </c>
      <c r="C5242" s="7" t="s">
        <v>166</v>
      </c>
      <c r="D5242" t="s">
        <v>124</v>
      </c>
      <c r="F5242" s="35">
        <v>0</v>
      </c>
      <c r="G5242" s="35">
        <v>69.60322529274076</v>
      </c>
      <c r="H5242" s="35">
        <v>1.1602687352258474</v>
      </c>
      <c r="I5242" s="35">
        <v>-1.4119954823210287E-2</v>
      </c>
      <c r="J5242" s="35">
        <v>-2.2874226199799417E-4</v>
      </c>
      <c r="K5242" s="35">
        <v>-0.15984100128599008</v>
      </c>
      <c r="L5242" s="35">
        <v>20.33206048361814</v>
      </c>
      <c r="M5242" s="58" t="s">
        <v>22</v>
      </c>
      <c r="N5242" s="7">
        <v>11.333333333333334</v>
      </c>
      <c r="O5242" s="7" t="s">
        <v>180</v>
      </c>
      <c r="P5242" s="7" t="s">
        <v>180</v>
      </c>
    </row>
    <row r="5243" spans="1:16" x14ac:dyDescent="0.25">
      <c r="A5243" t="s">
        <v>183</v>
      </c>
      <c r="B5243" t="s">
        <v>223</v>
      </c>
      <c r="C5243" s="7" t="s">
        <v>166</v>
      </c>
      <c r="D5243" t="s">
        <v>124</v>
      </c>
      <c r="F5243" s="35">
        <v>5.4149169609489114</v>
      </c>
      <c r="G5243" s="35">
        <v>72.182636148856275</v>
      </c>
      <c r="H5243" s="35">
        <v>1.1602687352258474</v>
      </c>
      <c r="I5243" s="35">
        <v>-1.4119954823210287E-2</v>
      </c>
      <c r="J5243" s="35">
        <v>-2.2874226199799417E-4</v>
      </c>
      <c r="K5243" s="35">
        <v>-8.3382618425956304E-2</v>
      </c>
      <c r="L5243" s="35">
        <v>14.049301629984958</v>
      </c>
      <c r="M5243" s="58" t="s">
        <v>24</v>
      </c>
      <c r="N5243" s="7">
        <v>11.333333333333334</v>
      </c>
      <c r="O5243" s="7" t="s">
        <v>180</v>
      </c>
      <c r="P5243" s="7" t="s">
        <v>180</v>
      </c>
    </row>
    <row r="5244" spans="1:16" x14ac:dyDescent="0.25">
      <c r="A5244" t="s">
        <v>183</v>
      </c>
      <c r="B5244" t="s">
        <v>223</v>
      </c>
      <c r="C5244" s="7" t="s">
        <v>166</v>
      </c>
      <c r="D5244" t="s">
        <v>124</v>
      </c>
      <c r="F5244" s="35">
        <v>10.829833921897823</v>
      </c>
      <c r="G5244" s="35">
        <v>74.762047004971762</v>
      </c>
      <c r="H5244" s="35">
        <v>1.1602687352258474</v>
      </c>
      <c r="I5244" s="35">
        <v>-1.4119954823210287E-2</v>
      </c>
      <c r="J5244" s="35">
        <v>-2.2874226199799417E-4</v>
      </c>
      <c r="K5244" s="35">
        <v>-6.9242355659225588E-3</v>
      </c>
      <c r="L5244" s="35">
        <v>7.7665427763517698</v>
      </c>
      <c r="M5244" s="58" t="s">
        <v>23</v>
      </c>
      <c r="N5244" s="7">
        <v>11.333333333333334</v>
      </c>
      <c r="O5244" s="7" t="s">
        <v>180</v>
      </c>
      <c r="P5244" s="7" t="s">
        <v>180</v>
      </c>
    </row>
    <row r="5245" spans="1:16" x14ac:dyDescent="0.25">
      <c r="A5245" t="s">
        <v>183</v>
      </c>
      <c r="B5245" t="s">
        <v>223</v>
      </c>
      <c r="C5245" s="7" t="s">
        <v>166</v>
      </c>
      <c r="D5245" t="s">
        <v>125</v>
      </c>
      <c r="F5245" s="35">
        <v>0</v>
      </c>
      <c r="G5245" s="35">
        <v>-143.02617226389856</v>
      </c>
      <c r="H5245" s="35">
        <v>14.681113190777982</v>
      </c>
      <c r="I5245" s="35">
        <v>-7.2341199588221638E-3</v>
      </c>
      <c r="J5245" s="35">
        <v>-5.5197422684497863E-5</v>
      </c>
      <c r="K5245" s="35">
        <v>-8.0952074171776703E-2</v>
      </c>
      <c r="L5245" s="35">
        <v>85.307832998939375</v>
      </c>
      <c r="M5245" s="58" t="s">
        <v>22</v>
      </c>
      <c r="N5245" s="7">
        <v>11.333333333333334</v>
      </c>
      <c r="O5245" s="7" t="s">
        <v>180</v>
      </c>
      <c r="P5245" s="7" t="s">
        <v>180</v>
      </c>
    </row>
    <row r="5246" spans="1:16" x14ac:dyDescent="0.25">
      <c r="A5246" t="s">
        <v>183</v>
      </c>
      <c r="B5246" t="s">
        <v>223</v>
      </c>
      <c r="C5246" s="7" t="s">
        <v>166</v>
      </c>
      <c r="D5246" t="s">
        <v>125</v>
      </c>
      <c r="F5246" s="35">
        <v>5.4149169609489114</v>
      </c>
      <c r="G5246" s="35">
        <v>-140.44676140778304</v>
      </c>
      <c r="H5246" s="35">
        <v>14.681113190777982</v>
      </c>
      <c r="I5246" s="35">
        <v>-7.2341199588221638E-3</v>
      </c>
      <c r="J5246" s="35">
        <v>-5.5197422684497863E-5</v>
      </c>
      <c r="K5246" s="35">
        <v>-4.1779915309211539E-2</v>
      </c>
      <c r="L5246" s="35">
        <v>5.8108241765849113</v>
      </c>
      <c r="M5246" s="58" t="s">
        <v>24</v>
      </c>
      <c r="N5246" s="7">
        <v>11.333333333333334</v>
      </c>
      <c r="O5246" s="7" t="s">
        <v>180</v>
      </c>
      <c r="P5246" s="7" t="s">
        <v>180</v>
      </c>
    </row>
    <row r="5247" spans="1:16" x14ac:dyDescent="0.25">
      <c r="A5247" t="s">
        <v>183</v>
      </c>
      <c r="B5247" t="s">
        <v>223</v>
      </c>
      <c r="C5247" s="7" t="s">
        <v>166</v>
      </c>
      <c r="D5247" t="s">
        <v>125</v>
      </c>
      <c r="F5247" s="35">
        <v>10.829833921897823</v>
      </c>
      <c r="G5247" s="35">
        <v>-137.86735055166756</v>
      </c>
      <c r="H5247" s="35">
        <v>14.681113190777982</v>
      </c>
      <c r="I5247" s="35">
        <v>-7.2341199588221638E-3</v>
      </c>
      <c r="J5247" s="35">
        <v>-5.5197422684497863E-5</v>
      </c>
      <c r="K5247" s="35">
        <v>-2.6077564466463685E-3</v>
      </c>
      <c r="L5247" s="35">
        <v>-73.686184645769558</v>
      </c>
      <c r="M5247" s="58" t="s">
        <v>23</v>
      </c>
      <c r="N5247" s="7">
        <v>11.333333333333334</v>
      </c>
      <c r="O5247" s="7" t="s">
        <v>180</v>
      </c>
      <c r="P5247" s="7" t="s">
        <v>180</v>
      </c>
    </row>
    <row r="5248" spans="1:16" x14ac:dyDescent="0.25">
      <c r="A5248" t="s">
        <v>183</v>
      </c>
      <c r="B5248" t="s">
        <v>223</v>
      </c>
      <c r="C5248" s="7" t="s">
        <v>166</v>
      </c>
      <c r="D5248" t="s">
        <v>126</v>
      </c>
      <c r="F5248" s="35">
        <v>0</v>
      </c>
      <c r="G5248" s="35">
        <v>71.529405156074546</v>
      </c>
      <c r="H5248" s="35">
        <v>-8.8014049915694503</v>
      </c>
      <c r="I5248" s="35">
        <v>-1.3798621693499285E-2</v>
      </c>
      <c r="J5248" s="35">
        <v>-2.3644526766896157E-4</v>
      </c>
      <c r="K5248" s="35">
        <v>-0.15616985932788796</v>
      </c>
      <c r="L5248" s="35">
        <v>-46.281944372245093</v>
      </c>
      <c r="M5248" s="58" t="s">
        <v>22</v>
      </c>
      <c r="N5248" s="7">
        <v>11.333333333333334</v>
      </c>
      <c r="O5248" s="7" t="s">
        <v>180</v>
      </c>
      <c r="P5248" s="7" t="s">
        <v>180</v>
      </c>
    </row>
    <row r="5249" spans="1:16" x14ac:dyDescent="0.25">
      <c r="A5249" t="s">
        <v>183</v>
      </c>
      <c r="B5249" t="s">
        <v>223</v>
      </c>
      <c r="C5249" s="7" t="s">
        <v>166</v>
      </c>
      <c r="D5249" t="s">
        <v>126</v>
      </c>
      <c r="F5249" s="35">
        <v>5.4149169609489114</v>
      </c>
      <c r="G5249" s="35">
        <v>74.108816012190061</v>
      </c>
      <c r="H5249" s="35">
        <v>-8.8014049915694503</v>
      </c>
      <c r="I5249" s="35">
        <v>-1.3798621693499285E-2</v>
      </c>
      <c r="J5249" s="35">
        <v>-2.3644526766896157E-4</v>
      </c>
      <c r="K5249" s="35">
        <v>-8.1451468682041075E-2</v>
      </c>
      <c r="L5249" s="35">
        <v>1.3769327967847229</v>
      </c>
      <c r="M5249" s="58" t="s">
        <v>24</v>
      </c>
      <c r="N5249" s="7">
        <v>11.333333333333334</v>
      </c>
      <c r="O5249" s="7" t="s">
        <v>180</v>
      </c>
      <c r="P5249" s="7" t="s">
        <v>180</v>
      </c>
    </row>
    <row r="5250" spans="1:16" x14ac:dyDescent="0.25">
      <c r="A5250" t="s">
        <v>183</v>
      </c>
      <c r="B5250" t="s">
        <v>223</v>
      </c>
      <c r="C5250" s="7" t="s">
        <v>166</v>
      </c>
      <c r="D5250" t="s">
        <v>126</v>
      </c>
      <c r="F5250" s="35">
        <v>10.829833921897823</v>
      </c>
      <c r="G5250" s="35">
        <v>76.688226868305563</v>
      </c>
      <c r="H5250" s="35">
        <v>-8.8014049915694503</v>
      </c>
      <c r="I5250" s="35">
        <v>-1.3798621693499285E-2</v>
      </c>
      <c r="J5250" s="35">
        <v>-2.3644526766896157E-4</v>
      </c>
      <c r="K5250" s="35">
        <v>-6.7330780361942273E-3</v>
      </c>
      <c r="L5250" s="35">
        <v>49.035809965814536</v>
      </c>
      <c r="M5250" s="58" t="s">
        <v>23</v>
      </c>
      <c r="N5250" s="7">
        <v>11.333333333333334</v>
      </c>
      <c r="O5250" s="7" t="s">
        <v>180</v>
      </c>
      <c r="P5250" s="7" t="s">
        <v>180</v>
      </c>
    </row>
    <row r="5251" spans="1:16" x14ac:dyDescent="0.25">
      <c r="A5251" t="s">
        <v>183</v>
      </c>
      <c r="B5251" t="s">
        <v>223</v>
      </c>
      <c r="C5251" s="7" t="s">
        <v>166</v>
      </c>
      <c r="D5251" t="s">
        <v>127</v>
      </c>
      <c r="F5251" s="35">
        <v>0</v>
      </c>
      <c r="G5251" s="35">
        <v>-46.541246035520466</v>
      </c>
      <c r="H5251" s="35">
        <v>-20.741518234569543</v>
      </c>
      <c r="I5251" s="35">
        <v>-7.2463495358757552E-3</v>
      </c>
      <c r="J5251" s="35">
        <v>-6.0257988903075729E-5</v>
      </c>
      <c r="K5251" s="35">
        <v>-8.1223940753645738E-2</v>
      </c>
      <c r="L5251" s="35">
        <v>-115.08450405333046</v>
      </c>
      <c r="M5251" s="58" t="s">
        <v>22</v>
      </c>
      <c r="N5251" s="7">
        <v>11.333333333333334</v>
      </c>
      <c r="O5251" s="7" t="s">
        <v>180</v>
      </c>
      <c r="P5251" s="7" t="s">
        <v>180</v>
      </c>
    </row>
    <row r="5252" spans="1:16" x14ac:dyDescent="0.25">
      <c r="A5252" t="s">
        <v>183</v>
      </c>
      <c r="B5252" t="s">
        <v>223</v>
      </c>
      <c r="C5252" s="7" t="s">
        <v>166</v>
      </c>
      <c r="D5252" t="s">
        <v>127</v>
      </c>
      <c r="F5252" s="35">
        <v>5.4149169609489114</v>
      </c>
      <c r="G5252" s="35">
        <v>-43.96183517940495</v>
      </c>
      <c r="H5252" s="35">
        <v>-20.741518234569543</v>
      </c>
      <c r="I5252" s="35">
        <v>-7.2463495358757552E-3</v>
      </c>
      <c r="J5252" s="35">
        <v>-6.0257988903075729E-5</v>
      </c>
      <c r="K5252" s="35">
        <v>-4.1985559746867851E-2</v>
      </c>
      <c r="L5252" s="35">
        <v>-2.770905169128735</v>
      </c>
      <c r="M5252" s="58" t="s">
        <v>24</v>
      </c>
      <c r="N5252" s="7">
        <v>11.333333333333334</v>
      </c>
      <c r="O5252" s="7" t="s">
        <v>180</v>
      </c>
      <c r="P5252" s="7" t="s">
        <v>180</v>
      </c>
    </row>
    <row r="5253" spans="1:16" x14ac:dyDescent="0.25">
      <c r="A5253" t="s">
        <v>183</v>
      </c>
      <c r="B5253" t="s">
        <v>223</v>
      </c>
      <c r="C5253" s="7" t="s">
        <v>166</v>
      </c>
      <c r="D5253" t="s">
        <v>127</v>
      </c>
      <c r="F5253" s="35">
        <v>10.829833921897823</v>
      </c>
      <c r="G5253" s="35">
        <v>-41.382424323289449</v>
      </c>
      <c r="H5253" s="35">
        <v>-20.741518234569543</v>
      </c>
      <c r="I5253" s="35">
        <v>-7.2463495358757552E-3</v>
      </c>
      <c r="J5253" s="35">
        <v>-6.0257988903075729E-5</v>
      </c>
      <c r="K5253" s="35">
        <v>-2.7471787400899558E-3</v>
      </c>
      <c r="L5253" s="35">
        <v>109.54269371507299</v>
      </c>
      <c r="M5253" s="58" t="s">
        <v>23</v>
      </c>
      <c r="N5253" s="7">
        <v>11.333333333333334</v>
      </c>
      <c r="O5253" s="7" t="s">
        <v>180</v>
      </c>
      <c r="P5253" s="7" t="s">
        <v>180</v>
      </c>
    </row>
    <row r="5254" spans="1:16" x14ac:dyDescent="0.25">
      <c r="A5254" t="s">
        <v>183</v>
      </c>
      <c r="B5254" t="s">
        <v>224</v>
      </c>
      <c r="C5254" s="7" t="s">
        <v>167</v>
      </c>
      <c r="D5254" t="s">
        <v>105</v>
      </c>
      <c r="F5254" s="35">
        <v>0</v>
      </c>
      <c r="G5254" s="35">
        <v>-96.153485526227925</v>
      </c>
      <c r="H5254" s="35">
        <v>-1.6765911172169592</v>
      </c>
      <c r="I5254" s="35">
        <v>5.7400017076291571E-4</v>
      </c>
      <c r="J5254" s="35">
        <v>-3.9689899611550603E-5</v>
      </c>
      <c r="K5254" s="35">
        <v>6.9384957623291645E-3</v>
      </c>
      <c r="L5254" s="35">
        <v>-3.8203189299585598</v>
      </c>
      <c r="M5254" s="58" t="s">
        <v>22</v>
      </c>
      <c r="N5254" s="7">
        <v>11.333333333333334</v>
      </c>
      <c r="O5254" s="7" t="s">
        <v>180</v>
      </c>
      <c r="P5254" s="7" t="s">
        <v>180</v>
      </c>
    </row>
    <row r="5255" spans="1:16" x14ac:dyDescent="0.25">
      <c r="A5255" t="s">
        <v>183</v>
      </c>
      <c r="B5255" t="s">
        <v>224</v>
      </c>
      <c r="C5255" s="7" t="s">
        <v>167</v>
      </c>
      <c r="D5255" t="s">
        <v>105</v>
      </c>
      <c r="F5255" s="35">
        <v>5.4149169609489114</v>
      </c>
      <c r="G5255" s="35">
        <v>-93.574074670112424</v>
      </c>
      <c r="H5255" s="35">
        <v>-1.6765911172169592</v>
      </c>
      <c r="I5255" s="35">
        <v>5.7400017076291571E-4</v>
      </c>
      <c r="J5255" s="35">
        <v>-3.9689899611550603E-5</v>
      </c>
      <c r="K5255" s="35">
        <v>3.8303325020774808E-3</v>
      </c>
      <c r="L5255" s="35">
        <v>5.2582827472358344</v>
      </c>
      <c r="M5255" s="58" t="s">
        <v>24</v>
      </c>
      <c r="N5255" s="7">
        <v>11.333333333333334</v>
      </c>
      <c r="O5255" s="7" t="s">
        <v>180</v>
      </c>
      <c r="P5255" s="7" t="s">
        <v>180</v>
      </c>
    </row>
    <row r="5256" spans="1:16" x14ac:dyDescent="0.25">
      <c r="A5256" t="s">
        <v>183</v>
      </c>
      <c r="B5256" t="s">
        <v>224</v>
      </c>
      <c r="C5256" s="7" t="s">
        <v>167</v>
      </c>
      <c r="D5256" t="s">
        <v>105</v>
      </c>
      <c r="F5256" s="35">
        <v>10.829833921897823</v>
      </c>
      <c r="G5256" s="35">
        <v>-90.994663813996922</v>
      </c>
      <c r="H5256" s="35">
        <v>-1.6765911172169592</v>
      </c>
      <c r="I5256" s="35">
        <v>5.7400017076291571E-4</v>
      </c>
      <c r="J5256" s="35">
        <v>-3.9689899611550603E-5</v>
      </c>
      <c r="K5256" s="35">
        <v>7.2216924182579739E-4</v>
      </c>
      <c r="L5256" s="35">
        <v>14.336884424430229</v>
      </c>
      <c r="M5256" s="58" t="s">
        <v>23</v>
      </c>
      <c r="N5256" s="7">
        <v>11.333333333333334</v>
      </c>
      <c r="O5256" s="7" t="s">
        <v>180</v>
      </c>
      <c r="P5256" s="7" t="s">
        <v>180</v>
      </c>
    </row>
    <row r="5257" spans="1:16" x14ac:dyDescent="0.25">
      <c r="A5257" t="s">
        <v>183</v>
      </c>
      <c r="B5257" t="s">
        <v>224</v>
      </c>
      <c r="C5257" s="7" t="s">
        <v>167</v>
      </c>
      <c r="D5257" t="s">
        <v>15</v>
      </c>
      <c r="F5257" s="35">
        <v>0</v>
      </c>
      <c r="G5257" s="35">
        <v>121.79960451772094</v>
      </c>
      <c r="H5257" s="35">
        <v>6.2463606406366221</v>
      </c>
      <c r="I5257" s="35">
        <v>-3.7693477478378846E-2</v>
      </c>
      <c r="J5257" s="35">
        <v>6.1674523754541544E-4</v>
      </c>
      <c r="K5257" s="35">
        <v>-0.42823707225884072</v>
      </c>
      <c r="L5257" s="35">
        <v>21.241412488242268</v>
      </c>
      <c r="M5257" s="58" t="s">
        <v>22</v>
      </c>
      <c r="N5257" s="7">
        <v>11.333333333333334</v>
      </c>
      <c r="O5257" s="7" t="s">
        <v>180</v>
      </c>
      <c r="P5257" s="7" t="s">
        <v>180</v>
      </c>
    </row>
    <row r="5258" spans="1:16" x14ac:dyDescent="0.25">
      <c r="A5258" t="s">
        <v>183</v>
      </c>
      <c r="B5258" t="s">
        <v>224</v>
      </c>
      <c r="C5258" s="7" t="s">
        <v>167</v>
      </c>
      <c r="D5258" t="s">
        <v>15</v>
      </c>
      <c r="F5258" s="35">
        <v>5.4149169609489114</v>
      </c>
      <c r="G5258" s="35">
        <v>124.37901537383644</v>
      </c>
      <c r="H5258" s="35">
        <v>6.2463606406366221</v>
      </c>
      <c r="I5258" s="35">
        <v>-3.7693477478378846E-2</v>
      </c>
      <c r="J5258" s="35">
        <v>6.1674523754541544E-4</v>
      </c>
      <c r="K5258" s="35">
        <v>-0.22413002174402138</v>
      </c>
      <c r="L5258" s="35">
        <v>-12.582111688944678</v>
      </c>
      <c r="M5258" s="58" t="s">
        <v>24</v>
      </c>
      <c r="N5258" s="7">
        <v>11.333333333333334</v>
      </c>
      <c r="O5258" s="7" t="s">
        <v>180</v>
      </c>
      <c r="P5258" s="7" t="s">
        <v>180</v>
      </c>
    </row>
    <row r="5259" spans="1:16" x14ac:dyDescent="0.25">
      <c r="A5259" t="s">
        <v>183</v>
      </c>
      <c r="B5259" t="s">
        <v>224</v>
      </c>
      <c r="C5259" s="7" t="s">
        <v>167</v>
      </c>
      <c r="D5259" t="s">
        <v>15</v>
      </c>
      <c r="F5259" s="35">
        <v>10.829833921897823</v>
      </c>
      <c r="G5259" s="35">
        <v>126.95842622995194</v>
      </c>
      <c r="H5259" s="35">
        <v>6.2463606406366221</v>
      </c>
      <c r="I5259" s="35">
        <v>-3.7693477478378846E-2</v>
      </c>
      <c r="J5259" s="35">
        <v>6.1674523754541544E-4</v>
      </c>
      <c r="K5259" s="35">
        <v>-2.0022971229202016E-2</v>
      </c>
      <c r="L5259" s="35">
        <v>-46.405635866131632</v>
      </c>
      <c r="M5259" s="58" t="s">
        <v>23</v>
      </c>
      <c r="N5259" s="7">
        <v>11.333333333333334</v>
      </c>
      <c r="O5259" s="7" t="s">
        <v>180</v>
      </c>
      <c r="P5259" s="7" t="s">
        <v>180</v>
      </c>
    </row>
    <row r="5260" spans="1:16" x14ac:dyDescent="0.25">
      <c r="A5260" t="s">
        <v>183</v>
      </c>
      <c r="B5260" t="s">
        <v>224</v>
      </c>
      <c r="C5260" s="7" t="s">
        <v>167</v>
      </c>
      <c r="D5260" t="s">
        <v>16</v>
      </c>
      <c r="F5260" s="35">
        <v>0</v>
      </c>
      <c r="G5260" s="35">
        <v>41.43593626617168</v>
      </c>
      <c r="H5260" s="35">
        <v>3.0705964016070348</v>
      </c>
      <c r="I5260" s="35">
        <v>-3.1972046162511362E-2</v>
      </c>
      <c r="J5260" s="35">
        <v>5.0349390584026341E-4</v>
      </c>
      <c r="K5260" s="35">
        <v>-0.36330123856068758</v>
      </c>
      <c r="L5260" s="35">
        <v>10.933648864898341</v>
      </c>
      <c r="M5260" s="58" t="s">
        <v>22</v>
      </c>
      <c r="N5260" s="7">
        <v>11.333333333333334</v>
      </c>
      <c r="O5260" s="7" t="s">
        <v>180</v>
      </c>
      <c r="P5260" s="7" t="s">
        <v>180</v>
      </c>
    </row>
    <row r="5261" spans="1:16" x14ac:dyDescent="0.25">
      <c r="A5261" t="s">
        <v>183</v>
      </c>
      <c r="B5261" t="s">
        <v>224</v>
      </c>
      <c r="C5261" s="7" t="s">
        <v>167</v>
      </c>
      <c r="D5261" t="s">
        <v>16</v>
      </c>
      <c r="F5261" s="35">
        <v>5.4149169609489114</v>
      </c>
      <c r="G5261" s="35">
        <v>44.015347122287181</v>
      </c>
      <c r="H5261" s="35">
        <v>3.0705964016070348</v>
      </c>
      <c r="I5261" s="35">
        <v>-3.1972046162511362E-2</v>
      </c>
      <c r="J5261" s="35">
        <v>5.0349390584026341E-4</v>
      </c>
      <c r="K5261" s="35">
        <v>-0.19017526351906328</v>
      </c>
      <c r="L5261" s="35">
        <v>-5.6933756703922844</v>
      </c>
      <c r="M5261" s="58" t="s">
        <v>24</v>
      </c>
      <c r="N5261" s="7">
        <v>11.333333333333334</v>
      </c>
      <c r="O5261" s="7" t="s">
        <v>180</v>
      </c>
      <c r="P5261" s="7" t="s">
        <v>180</v>
      </c>
    </row>
    <row r="5262" spans="1:16" x14ac:dyDescent="0.25">
      <c r="A5262" t="s">
        <v>183</v>
      </c>
      <c r="B5262" t="s">
        <v>224</v>
      </c>
      <c r="C5262" s="7" t="s">
        <v>167</v>
      </c>
      <c r="D5262" t="s">
        <v>16</v>
      </c>
      <c r="F5262" s="35">
        <v>10.829833921897823</v>
      </c>
      <c r="G5262" s="35">
        <v>46.594757978402683</v>
      </c>
      <c r="H5262" s="35">
        <v>3.0705964016070348</v>
      </c>
      <c r="I5262" s="35">
        <v>-3.1972046162511362E-2</v>
      </c>
      <c r="J5262" s="35">
        <v>5.0349390584026341E-4</v>
      </c>
      <c r="K5262" s="35">
        <v>-1.7049288477438994E-2</v>
      </c>
      <c r="L5262" s="35">
        <v>-22.320400205682912</v>
      </c>
      <c r="M5262" s="58" t="s">
        <v>23</v>
      </c>
      <c r="N5262" s="7">
        <v>11.333333333333334</v>
      </c>
      <c r="O5262" s="7" t="s">
        <v>180</v>
      </c>
      <c r="P5262" s="7" t="s">
        <v>180</v>
      </c>
    </row>
    <row r="5263" spans="1:16" x14ac:dyDescent="0.25">
      <c r="A5263" t="s">
        <v>183</v>
      </c>
      <c r="B5263" t="s">
        <v>224</v>
      </c>
      <c r="C5263" s="7" t="s">
        <v>167</v>
      </c>
      <c r="D5263" t="s">
        <v>106</v>
      </c>
      <c r="F5263" s="35">
        <v>0</v>
      </c>
      <c r="G5263" s="35">
        <v>131.37291792178283</v>
      </c>
      <c r="H5263" s="35">
        <v>6.7861146870022191</v>
      </c>
      <c r="I5263" s="35">
        <v>3.412284821902839E-2</v>
      </c>
      <c r="J5263" s="35">
        <v>-5.1994189833620816E-4</v>
      </c>
      <c r="K5263" s="35">
        <v>0.38775397542296253</v>
      </c>
      <c r="L5263" s="35">
        <v>23.169680980481942</v>
      </c>
      <c r="M5263" s="58" t="s">
        <v>22</v>
      </c>
      <c r="N5263" s="7">
        <v>11.333333333333334</v>
      </c>
      <c r="O5263" s="7" t="s">
        <v>180</v>
      </c>
      <c r="P5263" s="7" t="s">
        <v>180</v>
      </c>
    </row>
    <row r="5264" spans="1:16" x14ac:dyDescent="0.25">
      <c r="A5264" t="s">
        <v>183</v>
      </c>
      <c r="B5264" t="s">
        <v>224</v>
      </c>
      <c r="C5264" s="7" t="s">
        <v>167</v>
      </c>
      <c r="D5264" t="s">
        <v>106</v>
      </c>
      <c r="F5264" s="35">
        <v>5.4149169609489114</v>
      </c>
      <c r="G5264" s="35">
        <v>133.95232877789832</v>
      </c>
      <c r="H5264" s="35">
        <v>6.7861146870022191</v>
      </c>
      <c r="I5264" s="35">
        <v>3.412284821902839E-2</v>
      </c>
      <c r="J5264" s="35">
        <v>-5.1994189833620816E-4</v>
      </c>
      <c r="K5264" s="35">
        <v>0.20298158584586037</v>
      </c>
      <c r="L5264" s="35">
        <v>-13.576566537110882</v>
      </c>
      <c r="M5264" s="58" t="s">
        <v>24</v>
      </c>
      <c r="N5264" s="7">
        <v>11.333333333333334</v>
      </c>
      <c r="O5264" s="7" t="s">
        <v>180</v>
      </c>
      <c r="P5264" s="7" t="s">
        <v>180</v>
      </c>
    </row>
    <row r="5265" spans="1:16" x14ac:dyDescent="0.25">
      <c r="A5265" t="s">
        <v>183</v>
      </c>
      <c r="B5265" t="s">
        <v>224</v>
      </c>
      <c r="C5265" s="7" t="s">
        <v>167</v>
      </c>
      <c r="D5265" t="s">
        <v>106</v>
      </c>
      <c r="F5265" s="35">
        <v>10.829833921897823</v>
      </c>
      <c r="G5265" s="35">
        <v>136.53173963401383</v>
      </c>
      <c r="H5265" s="35">
        <v>6.7861146870022191</v>
      </c>
      <c r="I5265" s="35">
        <v>3.412284821902839E-2</v>
      </c>
      <c r="J5265" s="35">
        <v>-5.1994189833620816E-4</v>
      </c>
      <c r="K5265" s="35">
        <v>1.8209196268758211E-2</v>
      </c>
      <c r="L5265" s="35">
        <v>-50.322814054703706</v>
      </c>
      <c r="M5265" s="58" t="s">
        <v>23</v>
      </c>
      <c r="N5265" s="7">
        <v>11.333333333333334</v>
      </c>
      <c r="O5265" s="7" t="s">
        <v>180</v>
      </c>
      <c r="P5265" s="7" t="s">
        <v>180</v>
      </c>
    </row>
    <row r="5266" spans="1:16" x14ac:dyDescent="0.25">
      <c r="A5266" t="s">
        <v>183</v>
      </c>
      <c r="B5266" t="s">
        <v>224</v>
      </c>
      <c r="C5266" s="7" t="s">
        <v>167</v>
      </c>
      <c r="D5266" t="s">
        <v>107</v>
      </c>
      <c r="F5266" s="35">
        <v>0</v>
      </c>
      <c r="G5266" s="35">
        <v>51.009147945706331</v>
      </c>
      <c r="H5266" s="35">
        <v>3.6101851665608473</v>
      </c>
      <c r="I5266" s="35">
        <v>3.9800549049002446E-2</v>
      </c>
      <c r="J5266" s="35">
        <v>-6.3223372022265967E-4</v>
      </c>
      <c r="K5266" s="35">
        <v>0.45219886890395339</v>
      </c>
      <c r="L5266" s="35">
        <v>12.86128876899506</v>
      </c>
      <c r="M5266" s="58" t="s">
        <v>22</v>
      </c>
      <c r="N5266" s="7">
        <v>11.333333333333334</v>
      </c>
      <c r="O5266" s="7" t="s">
        <v>180</v>
      </c>
      <c r="P5266" s="7" t="s">
        <v>180</v>
      </c>
    </row>
    <row r="5267" spans="1:16" x14ac:dyDescent="0.25">
      <c r="A5267" t="s">
        <v>183</v>
      </c>
      <c r="B5267" t="s">
        <v>224</v>
      </c>
      <c r="C5267" s="7" t="s">
        <v>167</v>
      </c>
      <c r="D5267" t="s">
        <v>107</v>
      </c>
      <c r="F5267" s="35">
        <v>5.4149169609489114</v>
      </c>
      <c r="G5267" s="35">
        <v>53.588558801821833</v>
      </c>
      <c r="H5267" s="35">
        <v>3.6101851665608473</v>
      </c>
      <c r="I5267" s="35">
        <v>3.9800549049002446E-2</v>
      </c>
      <c r="J5267" s="35">
        <v>-6.3223372022265967E-4</v>
      </c>
      <c r="K5267" s="35">
        <v>0.236682200803431</v>
      </c>
      <c r="L5267" s="35">
        <v>-6.6875641215814392</v>
      </c>
      <c r="M5267" s="58" t="s">
        <v>24</v>
      </c>
      <c r="N5267" s="7">
        <v>11.333333333333334</v>
      </c>
      <c r="O5267" s="7" t="s">
        <v>180</v>
      </c>
      <c r="P5267" s="7" t="s">
        <v>180</v>
      </c>
    </row>
    <row r="5268" spans="1:16" x14ac:dyDescent="0.25">
      <c r="A5268" t="s">
        <v>183</v>
      </c>
      <c r="B5268" t="s">
        <v>224</v>
      </c>
      <c r="C5268" s="7" t="s">
        <v>167</v>
      </c>
      <c r="D5268" t="s">
        <v>107</v>
      </c>
      <c r="F5268" s="35">
        <v>10.829833921897823</v>
      </c>
      <c r="G5268" s="35">
        <v>56.167969657937327</v>
      </c>
      <c r="H5268" s="35">
        <v>3.6101851665608473</v>
      </c>
      <c r="I5268" s="35">
        <v>3.9800549049002446E-2</v>
      </c>
      <c r="J5268" s="35">
        <v>-6.3223372022265967E-4</v>
      </c>
      <c r="K5268" s="35">
        <v>2.1165532702908611E-2</v>
      </c>
      <c r="L5268" s="35">
        <v>-26.236417012157936</v>
      </c>
      <c r="M5268" s="58" t="s">
        <v>23</v>
      </c>
      <c r="N5268" s="7">
        <v>11.333333333333334</v>
      </c>
      <c r="O5268" s="7" t="s">
        <v>180</v>
      </c>
      <c r="P5268" s="7" t="s">
        <v>180</v>
      </c>
    </row>
    <row r="5269" spans="1:16" x14ac:dyDescent="0.25">
      <c r="A5269" t="s">
        <v>183</v>
      </c>
      <c r="B5269" t="s">
        <v>224</v>
      </c>
      <c r="C5269" s="7" t="s">
        <v>167</v>
      </c>
      <c r="D5269" t="s">
        <v>108</v>
      </c>
      <c r="F5269" s="35">
        <v>0</v>
      </c>
      <c r="G5269" s="35">
        <v>122.74787667735565</v>
      </c>
      <c r="H5269" s="35">
        <v>10.252154193712787</v>
      </c>
      <c r="I5269" s="35">
        <v>-1.3946422551537262E-2</v>
      </c>
      <c r="J5269" s="35">
        <v>2.633221766015735E-4</v>
      </c>
      <c r="K5269" s="35">
        <v>-0.15806029054799101</v>
      </c>
      <c r="L5269" s="35">
        <v>50.456842823360226</v>
      </c>
      <c r="M5269" s="58" t="s">
        <v>22</v>
      </c>
      <c r="N5269" s="7">
        <v>11.333333333333334</v>
      </c>
      <c r="O5269" s="7" t="s">
        <v>180</v>
      </c>
      <c r="P5269" s="7" t="s">
        <v>180</v>
      </c>
    </row>
    <row r="5270" spans="1:16" x14ac:dyDescent="0.25">
      <c r="A5270" t="s">
        <v>183</v>
      </c>
      <c r="B5270" t="s">
        <v>224</v>
      </c>
      <c r="C5270" s="7" t="s">
        <v>167</v>
      </c>
      <c r="D5270" t="s">
        <v>108</v>
      </c>
      <c r="F5270" s="35">
        <v>5.4149169609489114</v>
      </c>
      <c r="G5270" s="35">
        <v>125.32728753347115</v>
      </c>
      <c r="H5270" s="35">
        <v>10.252154193712787</v>
      </c>
      <c r="I5270" s="35">
        <v>-1.3946422551537262E-2</v>
      </c>
      <c r="J5270" s="35">
        <v>2.633221766015735E-4</v>
      </c>
      <c r="K5270" s="35">
        <v>-8.2541570529111527E-2</v>
      </c>
      <c r="L5270" s="35">
        <v>-5.0577208064386516</v>
      </c>
      <c r="M5270" s="58" t="s">
        <v>24</v>
      </c>
      <c r="N5270" s="7">
        <v>11.333333333333334</v>
      </c>
      <c r="O5270" s="7" t="s">
        <v>180</v>
      </c>
      <c r="P5270" s="7" t="s">
        <v>180</v>
      </c>
    </row>
    <row r="5271" spans="1:16" x14ac:dyDescent="0.25">
      <c r="A5271" t="s">
        <v>183</v>
      </c>
      <c r="B5271" t="s">
        <v>224</v>
      </c>
      <c r="C5271" s="7" t="s">
        <v>167</v>
      </c>
      <c r="D5271" t="s">
        <v>108</v>
      </c>
      <c r="F5271" s="35">
        <v>10.829833921897823</v>
      </c>
      <c r="G5271" s="35">
        <v>127.90669838958665</v>
      </c>
      <c r="H5271" s="35">
        <v>10.252154193712787</v>
      </c>
      <c r="I5271" s="35">
        <v>-1.3946422551537262E-2</v>
      </c>
      <c r="J5271" s="35">
        <v>2.633221766015735E-4</v>
      </c>
      <c r="K5271" s="35">
        <v>-7.0228505102320222E-3</v>
      </c>
      <c r="L5271" s="35">
        <v>-60.572284436237538</v>
      </c>
      <c r="M5271" s="58" t="s">
        <v>23</v>
      </c>
      <c r="N5271" s="7">
        <v>11.333333333333334</v>
      </c>
      <c r="O5271" s="7" t="s">
        <v>180</v>
      </c>
      <c r="P5271" s="7" t="s">
        <v>180</v>
      </c>
    </row>
    <row r="5272" spans="1:16" x14ac:dyDescent="0.25">
      <c r="A5272" t="s">
        <v>183</v>
      </c>
      <c r="B5272" t="s">
        <v>224</v>
      </c>
      <c r="C5272" s="7" t="s">
        <v>167</v>
      </c>
      <c r="D5272" t="s">
        <v>109</v>
      </c>
      <c r="F5272" s="35">
        <v>0</v>
      </c>
      <c r="G5272" s="35">
        <v>4.6772261263464667</v>
      </c>
      <c r="H5272" s="35">
        <v>22.192264051439718</v>
      </c>
      <c r="I5272" s="35">
        <v>-7.5341095568633382E-3</v>
      </c>
      <c r="J5272" s="35">
        <v>8.669035826055253E-5</v>
      </c>
      <c r="K5272" s="35">
        <v>-8.4704350544357376E-2</v>
      </c>
      <c r="L5272" s="35">
        <v>119.25938724140127</v>
      </c>
      <c r="M5272" s="58" t="s">
        <v>22</v>
      </c>
      <c r="N5272" s="7">
        <v>11.333333333333334</v>
      </c>
      <c r="O5272" s="7" t="s">
        <v>180</v>
      </c>
      <c r="P5272" s="7" t="s">
        <v>180</v>
      </c>
    </row>
    <row r="5273" spans="1:16" x14ac:dyDescent="0.25">
      <c r="A5273" t="s">
        <v>183</v>
      </c>
      <c r="B5273" t="s">
        <v>224</v>
      </c>
      <c r="C5273" s="7" t="s">
        <v>167</v>
      </c>
      <c r="D5273" t="s">
        <v>109</v>
      </c>
      <c r="F5273" s="35">
        <v>5.4149169609489114</v>
      </c>
      <c r="G5273" s="35">
        <v>7.2566369824619672</v>
      </c>
      <c r="H5273" s="35">
        <v>22.192264051439718</v>
      </c>
      <c r="I5273" s="35">
        <v>-7.5341095568633382E-3</v>
      </c>
      <c r="J5273" s="35">
        <v>8.669035826055253E-5</v>
      </c>
      <c r="K5273" s="35">
        <v>-4.3907772919250805E-2</v>
      </c>
      <c r="L5273" s="35">
        <v>-0.90987977259645847</v>
      </c>
      <c r="M5273" s="58" t="s">
        <v>24</v>
      </c>
      <c r="N5273" s="7">
        <v>11.333333333333334</v>
      </c>
      <c r="O5273" s="7" t="s">
        <v>180</v>
      </c>
      <c r="P5273" s="7" t="s">
        <v>180</v>
      </c>
    </row>
    <row r="5274" spans="1:16" x14ac:dyDescent="0.25">
      <c r="A5274" t="s">
        <v>183</v>
      </c>
      <c r="B5274" t="s">
        <v>224</v>
      </c>
      <c r="C5274" s="7" t="s">
        <v>167</v>
      </c>
      <c r="D5274" t="s">
        <v>109</v>
      </c>
      <c r="F5274" s="35">
        <v>10.829833921897823</v>
      </c>
      <c r="G5274" s="35">
        <v>9.8360478385774677</v>
      </c>
      <c r="H5274" s="35">
        <v>22.192264051439718</v>
      </c>
      <c r="I5274" s="35">
        <v>-7.5341095568633382E-3</v>
      </c>
      <c r="J5274" s="35">
        <v>8.669035826055253E-5</v>
      </c>
      <c r="K5274" s="35">
        <v>-3.1111952941442361E-3</v>
      </c>
      <c r="L5274" s="35">
        <v>-121.07914678659418</v>
      </c>
      <c r="M5274" s="58" t="s">
        <v>23</v>
      </c>
      <c r="N5274" s="7">
        <v>11.333333333333334</v>
      </c>
      <c r="O5274" s="7" t="s">
        <v>180</v>
      </c>
      <c r="P5274" s="7" t="s">
        <v>180</v>
      </c>
    </row>
    <row r="5275" spans="1:16" x14ac:dyDescent="0.25">
      <c r="A5275" t="s">
        <v>183</v>
      </c>
      <c r="B5275" t="s">
        <v>224</v>
      </c>
      <c r="C5275" s="7" t="s">
        <v>167</v>
      </c>
      <c r="D5275" t="s">
        <v>110</v>
      </c>
      <c r="F5275" s="35">
        <v>0</v>
      </c>
      <c r="G5275" s="35">
        <v>120.8216943514912</v>
      </c>
      <c r="H5275" s="35">
        <v>0.29048158318969808</v>
      </c>
      <c r="I5275" s="35">
        <v>-1.4239690596506949E-2</v>
      </c>
      <c r="J5275" s="35">
        <v>2.5499032977718882E-4</v>
      </c>
      <c r="K5275" s="35">
        <v>-0.16141263351631979</v>
      </c>
      <c r="L5275" s="35">
        <v>-16.157157507320306</v>
      </c>
      <c r="M5275" s="58" t="s">
        <v>22</v>
      </c>
      <c r="N5275" s="7">
        <v>11.333333333333334</v>
      </c>
      <c r="O5275" s="7" t="s">
        <v>180</v>
      </c>
      <c r="P5275" s="7" t="s">
        <v>180</v>
      </c>
    </row>
    <row r="5276" spans="1:16" x14ac:dyDescent="0.25">
      <c r="A5276" t="s">
        <v>183</v>
      </c>
      <c r="B5276" t="s">
        <v>224</v>
      </c>
      <c r="C5276" s="7" t="s">
        <v>167</v>
      </c>
      <c r="D5276" t="s">
        <v>110</v>
      </c>
      <c r="F5276" s="35">
        <v>5.4149169609489114</v>
      </c>
      <c r="G5276" s="35">
        <v>123.4011052076067</v>
      </c>
      <c r="H5276" s="35">
        <v>0.29048158318969808</v>
      </c>
      <c r="I5276" s="35">
        <v>-1.4239690596506949E-2</v>
      </c>
      <c r="J5276" s="35">
        <v>2.5499032977718882E-4</v>
      </c>
      <c r="K5276" s="35">
        <v>-8.4305891386629611E-2</v>
      </c>
      <c r="L5276" s="35">
        <v>-17.730091158977498</v>
      </c>
      <c r="M5276" s="58" t="s">
        <v>24</v>
      </c>
      <c r="N5276" s="7">
        <v>11.333333333333334</v>
      </c>
      <c r="O5276" s="7" t="s">
        <v>180</v>
      </c>
      <c r="P5276" s="7" t="s">
        <v>180</v>
      </c>
    </row>
    <row r="5277" spans="1:16" x14ac:dyDescent="0.25">
      <c r="A5277" t="s">
        <v>183</v>
      </c>
      <c r="B5277" t="s">
        <v>224</v>
      </c>
      <c r="C5277" s="7" t="s">
        <v>167</v>
      </c>
      <c r="D5277" t="s">
        <v>110</v>
      </c>
      <c r="F5277" s="35">
        <v>10.829833921897823</v>
      </c>
      <c r="G5277" s="35">
        <v>125.98051606372221</v>
      </c>
      <c r="H5277" s="35">
        <v>0.29048158318969808</v>
      </c>
      <c r="I5277" s="35">
        <v>-1.4239690596506949E-2</v>
      </c>
      <c r="J5277" s="35">
        <v>2.5499032977718882E-4</v>
      </c>
      <c r="K5277" s="35">
        <v>-7.1991492569394152E-3</v>
      </c>
      <c r="L5277" s="35">
        <v>-19.303024810634682</v>
      </c>
      <c r="M5277" s="58" t="s">
        <v>23</v>
      </c>
      <c r="N5277" s="7">
        <v>11.333333333333334</v>
      </c>
      <c r="O5277" s="7" t="s">
        <v>180</v>
      </c>
      <c r="P5277" s="7" t="s">
        <v>180</v>
      </c>
    </row>
    <row r="5278" spans="1:16" x14ac:dyDescent="0.25">
      <c r="A5278" t="s">
        <v>183</v>
      </c>
      <c r="B5278" t="s">
        <v>224</v>
      </c>
      <c r="C5278" s="7" t="s">
        <v>167</v>
      </c>
      <c r="D5278" t="s">
        <v>111</v>
      </c>
      <c r="F5278" s="35">
        <v>0</v>
      </c>
      <c r="G5278" s="35">
        <v>-91.807714865859438</v>
      </c>
      <c r="H5278" s="35">
        <v>-13.230360701495865</v>
      </c>
      <c r="I5278" s="35">
        <v>-7.3395566341624757E-3</v>
      </c>
      <c r="J5278" s="35">
        <v>7.8001240985195138E-5</v>
      </c>
      <c r="K5278" s="35">
        <v>-8.2361141860113798E-2</v>
      </c>
      <c r="L5278" s="35">
        <v>-81.132922756633448</v>
      </c>
      <c r="M5278" s="58" t="s">
        <v>22</v>
      </c>
      <c r="N5278" s="7">
        <v>11.333333333333334</v>
      </c>
      <c r="O5278" s="7" t="s">
        <v>180</v>
      </c>
      <c r="P5278" s="7" t="s">
        <v>180</v>
      </c>
    </row>
    <row r="5279" spans="1:16" x14ac:dyDescent="0.25">
      <c r="A5279" t="s">
        <v>183</v>
      </c>
      <c r="B5279" t="s">
        <v>224</v>
      </c>
      <c r="C5279" s="7" t="s">
        <v>167</v>
      </c>
      <c r="D5279" t="s">
        <v>111</v>
      </c>
      <c r="F5279" s="35">
        <v>5.4149169609489114</v>
      </c>
      <c r="G5279" s="35">
        <v>-89.228304009743923</v>
      </c>
      <c r="H5279" s="35">
        <v>-13.230360701495865</v>
      </c>
      <c r="I5279" s="35">
        <v>-7.3395566341624757E-3</v>
      </c>
      <c r="J5279" s="35">
        <v>7.8001240985195138E-5</v>
      </c>
      <c r="K5279" s="35">
        <v>-4.2618052155942311E-2</v>
      </c>
      <c r="L5279" s="35">
        <v>-9.4916181946315668</v>
      </c>
      <c r="M5279" s="58" t="s">
        <v>24</v>
      </c>
      <c r="N5279" s="7">
        <v>11.333333333333334</v>
      </c>
      <c r="O5279" s="7" t="s">
        <v>180</v>
      </c>
      <c r="P5279" s="7" t="s">
        <v>180</v>
      </c>
    </row>
    <row r="5280" spans="1:16" x14ac:dyDescent="0.25">
      <c r="A5280" t="s">
        <v>183</v>
      </c>
      <c r="B5280" t="s">
        <v>224</v>
      </c>
      <c r="C5280" s="7" t="s">
        <v>167</v>
      </c>
      <c r="D5280" t="s">
        <v>111</v>
      </c>
      <c r="F5280" s="35">
        <v>10.829833921897823</v>
      </c>
      <c r="G5280" s="35">
        <v>-86.648893153628435</v>
      </c>
      <c r="H5280" s="35">
        <v>-13.230360701495865</v>
      </c>
      <c r="I5280" s="35">
        <v>-7.3395566341624757E-3</v>
      </c>
      <c r="J5280" s="35">
        <v>7.8001240985195138E-5</v>
      </c>
      <c r="K5280" s="35">
        <v>-2.8749624517708217E-3</v>
      </c>
      <c r="L5280" s="35">
        <v>62.149686367370322</v>
      </c>
      <c r="M5280" s="58" t="s">
        <v>23</v>
      </c>
      <c r="N5280" s="7">
        <v>11.333333333333334</v>
      </c>
      <c r="O5280" s="7" t="s">
        <v>180</v>
      </c>
      <c r="P5280" s="7" t="s">
        <v>180</v>
      </c>
    </row>
    <row r="5281" spans="1:16" x14ac:dyDescent="0.25">
      <c r="A5281" t="s">
        <v>183</v>
      </c>
      <c r="B5281" t="s">
        <v>224</v>
      </c>
      <c r="C5281" s="7" t="s">
        <v>167</v>
      </c>
      <c r="D5281" t="s">
        <v>112</v>
      </c>
      <c r="F5281" s="35">
        <v>0</v>
      </c>
      <c r="G5281" s="35">
        <v>48.785841443672794</v>
      </c>
      <c r="H5281" s="35">
        <v>4.0033174881980198</v>
      </c>
      <c r="I5281" s="35">
        <v>-3.3548128006316971E-2</v>
      </c>
      <c r="J5281" s="35">
        <v>5.3026463234796437E-4</v>
      </c>
      <c r="K5281" s="35">
        <v>-0.38088890150481636</v>
      </c>
      <c r="L5281" s="35">
        <v>14.560350379573068</v>
      </c>
      <c r="M5281" s="58" t="s">
        <v>22</v>
      </c>
      <c r="N5281" s="7">
        <v>11.333333333333334</v>
      </c>
      <c r="O5281" s="7" t="s">
        <v>180</v>
      </c>
      <c r="P5281" s="7" t="s">
        <v>180</v>
      </c>
    </row>
    <row r="5282" spans="1:16" x14ac:dyDescent="0.25">
      <c r="A5282" t="s">
        <v>183</v>
      </c>
      <c r="B5282" t="s">
        <v>224</v>
      </c>
      <c r="C5282" s="7" t="s">
        <v>167</v>
      </c>
      <c r="D5282" t="s">
        <v>112</v>
      </c>
      <c r="F5282" s="35">
        <v>5.4149169609489114</v>
      </c>
      <c r="G5282" s="35">
        <v>51.365252299788295</v>
      </c>
      <c r="H5282" s="35">
        <v>4.0033174881980198</v>
      </c>
      <c r="I5282" s="35">
        <v>-3.3548128006316971E-2</v>
      </c>
      <c r="J5282" s="35">
        <v>5.3026463234796437E-4</v>
      </c>
      <c r="K5282" s="35">
        <v>-0.19922857415532536</v>
      </c>
      <c r="L5282" s="35">
        <v>-7.1172813873337795</v>
      </c>
      <c r="M5282" s="58" t="s">
        <v>24</v>
      </c>
      <c r="N5282" s="7">
        <v>11.333333333333334</v>
      </c>
      <c r="O5282" s="7" t="s">
        <v>180</v>
      </c>
      <c r="P5282" s="7" t="s">
        <v>180</v>
      </c>
    </row>
    <row r="5283" spans="1:16" x14ac:dyDescent="0.25">
      <c r="A5283" t="s">
        <v>183</v>
      </c>
      <c r="B5283" t="s">
        <v>224</v>
      </c>
      <c r="C5283" s="7" t="s">
        <v>167</v>
      </c>
      <c r="D5283" t="s">
        <v>112</v>
      </c>
      <c r="F5283" s="35">
        <v>10.829833921897823</v>
      </c>
      <c r="G5283" s="35">
        <v>53.944663155903797</v>
      </c>
      <c r="H5283" s="35">
        <v>4.0033174881980198</v>
      </c>
      <c r="I5283" s="35">
        <v>-3.3548128006316971E-2</v>
      </c>
      <c r="J5283" s="35">
        <v>5.3026463234796437E-4</v>
      </c>
      <c r="K5283" s="35">
        <v>-1.7568246805834416E-2</v>
      </c>
      <c r="L5283" s="35">
        <v>-28.794913154240636</v>
      </c>
      <c r="M5283" s="58" t="s">
        <v>23</v>
      </c>
      <c r="N5283" s="7">
        <v>11.333333333333334</v>
      </c>
      <c r="O5283" s="7" t="s">
        <v>180</v>
      </c>
      <c r="P5283" s="7" t="s">
        <v>180</v>
      </c>
    </row>
    <row r="5284" spans="1:16" x14ac:dyDescent="0.25">
      <c r="A5284" t="s">
        <v>183</v>
      </c>
      <c r="B5284" t="s">
        <v>224</v>
      </c>
      <c r="C5284" s="7" t="s">
        <v>167</v>
      </c>
      <c r="D5284" t="s">
        <v>113</v>
      </c>
      <c r="F5284" s="35">
        <v>0</v>
      </c>
      <c r="G5284" s="35">
        <v>-23.541459982721523</v>
      </c>
      <c r="H5284" s="35">
        <v>1.1451296730713914</v>
      </c>
      <c r="I5284" s="35">
        <v>-2.8398839822036243E-2</v>
      </c>
      <c r="J5284" s="35">
        <v>4.2833843381332744E-4</v>
      </c>
      <c r="K5284" s="35">
        <v>-0.32244665117647853</v>
      </c>
      <c r="L5284" s="35">
        <v>5.2833631185635355</v>
      </c>
      <c r="M5284" s="58" t="s">
        <v>22</v>
      </c>
      <c r="N5284" s="7">
        <v>11.333333333333334</v>
      </c>
      <c r="O5284" s="7" t="s">
        <v>180</v>
      </c>
      <c r="P5284" s="7" t="s">
        <v>180</v>
      </c>
    </row>
    <row r="5285" spans="1:16" x14ac:dyDescent="0.25">
      <c r="A5285" t="s">
        <v>183</v>
      </c>
      <c r="B5285" t="s">
        <v>224</v>
      </c>
      <c r="C5285" s="7" t="s">
        <v>167</v>
      </c>
      <c r="D5285" t="s">
        <v>113</v>
      </c>
      <c r="F5285" s="35">
        <v>5.4149169609489114</v>
      </c>
      <c r="G5285" s="35">
        <v>-20.962049126606022</v>
      </c>
      <c r="H5285" s="35">
        <v>1.1451296730713914</v>
      </c>
      <c r="I5285" s="35">
        <v>-2.8398839822036243E-2</v>
      </c>
      <c r="J5285" s="35">
        <v>4.2833843381332744E-4</v>
      </c>
      <c r="K5285" s="35">
        <v>-0.16866929175286308</v>
      </c>
      <c r="L5285" s="35">
        <v>-0.91741897063662459</v>
      </c>
      <c r="M5285" s="58" t="s">
        <v>24</v>
      </c>
      <c r="N5285" s="7">
        <v>11.333333333333334</v>
      </c>
      <c r="O5285" s="7" t="s">
        <v>180</v>
      </c>
      <c r="P5285" s="7" t="s">
        <v>180</v>
      </c>
    </row>
    <row r="5286" spans="1:16" x14ac:dyDescent="0.25">
      <c r="A5286" t="s">
        <v>183</v>
      </c>
      <c r="B5286" t="s">
        <v>224</v>
      </c>
      <c r="C5286" s="7" t="s">
        <v>167</v>
      </c>
      <c r="D5286" t="s">
        <v>113</v>
      </c>
      <c r="F5286" s="35">
        <v>10.829833921897823</v>
      </c>
      <c r="G5286" s="35">
        <v>-18.382638270490524</v>
      </c>
      <c r="H5286" s="35">
        <v>1.1451296730713914</v>
      </c>
      <c r="I5286" s="35">
        <v>-2.8398839822036243E-2</v>
      </c>
      <c r="J5286" s="35">
        <v>4.2833843381332744E-4</v>
      </c>
      <c r="K5286" s="35">
        <v>-1.4891932329247699E-2</v>
      </c>
      <c r="L5286" s="35">
        <v>-7.1182010598367844</v>
      </c>
      <c r="M5286" s="58" t="s">
        <v>23</v>
      </c>
      <c r="N5286" s="7">
        <v>11.333333333333334</v>
      </c>
      <c r="O5286" s="7" t="s">
        <v>180</v>
      </c>
      <c r="P5286" s="7" t="s">
        <v>180</v>
      </c>
    </row>
    <row r="5287" spans="1:16" x14ac:dyDescent="0.25">
      <c r="A5287" t="s">
        <v>183</v>
      </c>
      <c r="B5287" t="s">
        <v>224</v>
      </c>
      <c r="C5287" s="7" t="s">
        <v>167</v>
      </c>
      <c r="D5287" t="s">
        <v>114</v>
      </c>
      <c r="F5287" s="35">
        <v>0</v>
      </c>
      <c r="G5287" s="35">
        <v>57.401823507328508</v>
      </c>
      <c r="H5287" s="35">
        <v>4.4890961299270575</v>
      </c>
      <c r="I5287" s="35">
        <v>3.1086565121349538E-2</v>
      </c>
      <c r="J5287" s="35">
        <v>-4.92753789945497E-4</v>
      </c>
      <c r="K5287" s="35">
        <v>0.35350304140880667</v>
      </c>
      <c r="L5287" s="35">
        <v>16.29579202258877</v>
      </c>
      <c r="M5287" s="58" t="s">
        <v>22</v>
      </c>
      <c r="N5287" s="7">
        <v>11.333333333333334</v>
      </c>
      <c r="O5287" s="7" t="s">
        <v>180</v>
      </c>
      <c r="P5287" s="7" t="s">
        <v>180</v>
      </c>
    </row>
    <row r="5288" spans="1:16" x14ac:dyDescent="0.25">
      <c r="A5288" t="s">
        <v>183</v>
      </c>
      <c r="B5288" t="s">
        <v>224</v>
      </c>
      <c r="C5288" s="7" t="s">
        <v>167</v>
      </c>
      <c r="D5288" t="s">
        <v>114</v>
      </c>
      <c r="F5288" s="35">
        <v>5.4149169609489114</v>
      </c>
      <c r="G5288" s="35">
        <v>59.98123436344401</v>
      </c>
      <c r="H5288" s="35">
        <v>4.4890961299270575</v>
      </c>
      <c r="I5288" s="35">
        <v>3.1086565121349538E-2</v>
      </c>
      <c r="J5288" s="35">
        <v>-4.92753789945497E-4</v>
      </c>
      <c r="K5288" s="35">
        <v>0.18517187267556823</v>
      </c>
      <c r="L5288" s="35">
        <v>-8.0122907506833645</v>
      </c>
      <c r="M5288" s="58" t="s">
        <v>24</v>
      </c>
      <c r="N5288" s="7">
        <v>11.333333333333334</v>
      </c>
      <c r="O5288" s="7" t="s">
        <v>180</v>
      </c>
      <c r="P5288" s="7" t="s">
        <v>180</v>
      </c>
    </row>
    <row r="5289" spans="1:16" x14ac:dyDescent="0.25">
      <c r="A5289" t="s">
        <v>183</v>
      </c>
      <c r="B5289" t="s">
        <v>224</v>
      </c>
      <c r="C5289" s="7" t="s">
        <v>167</v>
      </c>
      <c r="D5289" t="s">
        <v>114</v>
      </c>
      <c r="F5289" s="35">
        <v>10.829833921897823</v>
      </c>
      <c r="G5289" s="35">
        <v>62.560645219559504</v>
      </c>
      <c r="H5289" s="35">
        <v>4.4890961299270575</v>
      </c>
      <c r="I5289" s="35">
        <v>3.1086565121349538E-2</v>
      </c>
      <c r="J5289" s="35">
        <v>-4.92753789945497E-4</v>
      </c>
      <c r="K5289" s="35">
        <v>1.6840703942329786E-2</v>
      </c>
      <c r="L5289" s="35">
        <v>-32.320373523955496</v>
      </c>
      <c r="M5289" s="58" t="s">
        <v>23</v>
      </c>
      <c r="N5289" s="7">
        <v>11.333333333333334</v>
      </c>
      <c r="O5289" s="7" t="s">
        <v>180</v>
      </c>
      <c r="P5289" s="7" t="s">
        <v>180</v>
      </c>
    </row>
    <row r="5290" spans="1:16" x14ac:dyDescent="0.25">
      <c r="A5290" t="s">
        <v>183</v>
      </c>
      <c r="B5290" t="s">
        <v>224</v>
      </c>
      <c r="C5290" s="7" t="s">
        <v>167</v>
      </c>
      <c r="D5290" t="s">
        <v>115</v>
      </c>
      <c r="F5290" s="35">
        <v>0</v>
      </c>
      <c r="G5290" s="35">
        <v>-14.925569471140332</v>
      </c>
      <c r="H5290" s="35">
        <v>1.6307595615298225</v>
      </c>
      <c r="I5290" s="35">
        <v>3.6196495868326198E-2</v>
      </c>
      <c r="J5290" s="35">
        <v>-5.938164296433033E-4</v>
      </c>
      <c r="K5290" s="35">
        <v>0.41150344554169849</v>
      </c>
      <c r="L5290" s="35">
        <v>7.0182390322505812</v>
      </c>
      <c r="M5290" s="58" t="s">
        <v>22</v>
      </c>
      <c r="N5290" s="7">
        <v>11.333333333333334</v>
      </c>
      <c r="O5290" s="7" t="s">
        <v>180</v>
      </c>
      <c r="P5290" s="7" t="s">
        <v>180</v>
      </c>
    </row>
    <row r="5291" spans="1:16" x14ac:dyDescent="0.25">
      <c r="A5291" t="s">
        <v>183</v>
      </c>
      <c r="B5291" t="s">
        <v>224</v>
      </c>
      <c r="C5291" s="7" t="s">
        <v>167</v>
      </c>
      <c r="D5291" t="s">
        <v>115</v>
      </c>
      <c r="F5291" s="35">
        <v>5.4149169609489114</v>
      </c>
      <c r="G5291" s="35">
        <v>-12.34615861502483</v>
      </c>
      <c r="H5291" s="35">
        <v>1.6307595615298225</v>
      </c>
      <c r="I5291" s="35">
        <v>3.6196495868326198E-2</v>
      </c>
      <c r="J5291" s="35">
        <v>-5.938164296433033E-4</v>
      </c>
      <c r="K5291" s="35">
        <v>0.21550242613738183</v>
      </c>
      <c r="L5291" s="35">
        <v>-1.8121885767068635</v>
      </c>
      <c r="M5291" s="58" t="s">
        <v>24</v>
      </c>
      <c r="N5291" s="7">
        <v>11.333333333333334</v>
      </c>
      <c r="O5291" s="7" t="s">
        <v>180</v>
      </c>
      <c r="P5291" s="7" t="s">
        <v>180</v>
      </c>
    </row>
    <row r="5292" spans="1:16" x14ac:dyDescent="0.25">
      <c r="A5292" t="s">
        <v>183</v>
      </c>
      <c r="B5292" t="s">
        <v>224</v>
      </c>
      <c r="C5292" s="7" t="s">
        <v>167</v>
      </c>
      <c r="D5292" t="s">
        <v>115</v>
      </c>
      <c r="F5292" s="35">
        <v>10.829833921897823</v>
      </c>
      <c r="G5292" s="35">
        <v>-9.7667477589093306</v>
      </c>
      <c r="H5292" s="35">
        <v>1.6307595615298225</v>
      </c>
      <c r="I5292" s="35">
        <v>3.6196495868326198E-2</v>
      </c>
      <c r="J5292" s="35">
        <v>-5.938164296433033E-4</v>
      </c>
      <c r="K5292" s="35">
        <v>1.9501406733065142E-2</v>
      </c>
      <c r="L5292" s="35">
        <v>-10.642616185664304</v>
      </c>
      <c r="M5292" s="58" t="s">
        <v>23</v>
      </c>
      <c r="N5292" s="7">
        <v>11.333333333333334</v>
      </c>
      <c r="O5292" s="7" t="s">
        <v>180</v>
      </c>
      <c r="P5292" s="7" t="s">
        <v>180</v>
      </c>
    </row>
    <row r="5293" spans="1:16" x14ac:dyDescent="0.25">
      <c r="A5293" t="s">
        <v>183</v>
      </c>
      <c r="B5293" t="s">
        <v>224</v>
      </c>
      <c r="C5293" s="7" t="s">
        <v>167</v>
      </c>
      <c r="D5293" t="s">
        <v>116</v>
      </c>
      <c r="F5293" s="35">
        <v>0</v>
      </c>
      <c r="G5293" s="35">
        <v>49.639286387344058</v>
      </c>
      <c r="H5293" s="35">
        <v>7.608531685966569</v>
      </c>
      <c r="I5293" s="35">
        <v>-1.2175778572159547E-2</v>
      </c>
      <c r="J5293" s="35">
        <v>2.1218387749850649E-4</v>
      </c>
      <c r="K5293" s="35">
        <v>-0.13772979796505153</v>
      </c>
      <c r="L5293" s="35">
        <v>40.854237681179235</v>
      </c>
      <c r="M5293" s="58" t="s">
        <v>22</v>
      </c>
      <c r="N5293" s="7">
        <v>11.333333333333334</v>
      </c>
      <c r="O5293" s="7" t="s">
        <v>180</v>
      </c>
      <c r="P5293" s="7" t="s">
        <v>180</v>
      </c>
    </row>
    <row r="5294" spans="1:16" x14ac:dyDescent="0.25">
      <c r="A5294" t="s">
        <v>183</v>
      </c>
      <c r="B5294" t="s">
        <v>224</v>
      </c>
      <c r="C5294" s="7" t="s">
        <v>167</v>
      </c>
      <c r="D5294" t="s">
        <v>116</v>
      </c>
      <c r="F5294" s="35">
        <v>5.4149169609489114</v>
      </c>
      <c r="G5294" s="35">
        <v>52.218697243459559</v>
      </c>
      <c r="H5294" s="35">
        <v>7.608531685966569</v>
      </c>
      <c r="I5294" s="35">
        <v>-1.2175778572159547E-2</v>
      </c>
      <c r="J5294" s="35">
        <v>2.1218387749850649E-4</v>
      </c>
      <c r="K5294" s="35">
        <v>-7.1798968061906471E-2</v>
      </c>
      <c r="L5294" s="35">
        <v>-0.34532959307835426</v>
      </c>
      <c r="M5294" s="58" t="s">
        <v>24</v>
      </c>
      <c r="N5294" s="7">
        <v>11.333333333333334</v>
      </c>
      <c r="O5294" s="7" t="s">
        <v>180</v>
      </c>
      <c r="P5294" s="7" t="s">
        <v>180</v>
      </c>
    </row>
    <row r="5295" spans="1:16" x14ac:dyDescent="0.25">
      <c r="A5295" t="s">
        <v>183</v>
      </c>
      <c r="B5295" t="s">
        <v>224</v>
      </c>
      <c r="C5295" s="7" t="s">
        <v>167</v>
      </c>
      <c r="D5295" t="s">
        <v>116</v>
      </c>
      <c r="F5295" s="35">
        <v>10.829833921897823</v>
      </c>
      <c r="G5295" s="35">
        <v>54.798108099575053</v>
      </c>
      <c r="H5295" s="35">
        <v>7.608531685966569</v>
      </c>
      <c r="I5295" s="35">
        <v>-1.2175778572159547E-2</v>
      </c>
      <c r="J5295" s="35">
        <v>2.1218387749850649E-4</v>
      </c>
      <c r="K5295" s="35">
        <v>-5.8681381587614252E-3</v>
      </c>
      <c r="L5295" s="35">
        <v>-41.54489686733595</v>
      </c>
      <c r="M5295" s="58" t="s">
        <v>23</v>
      </c>
      <c r="N5295" s="7">
        <v>11.333333333333334</v>
      </c>
      <c r="O5295" s="7" t="s">
        <v>180</v>
      </c>
      <c r="P5295" s="7" t="s">
        <v>180</v>
      </c>
    </row>
    <row r="5296" spans="1:16" x14ac:dyDescent="0.25">
      <c r="A5296" t="s">
        <v>183</v>
      </c>
      <c r="B5296" t="s">
        <v>224</v>
      </c>
      <c r="C5296" s="7" t="s">
        <v>167</v>
      </c>
      <c r="D5296" t="s">
        <v>117</v>
      </c>
      <c r="F5296" s="35">
        <v>0</v>
      </c>
      <c r="G5296" s="35">
        <v>-56.624299108564216</v>
      </c>
      <c r="H5296" s="35">
        <v>18.35463055792081</v>
      </c>
      <c r="I5296" s="35">
        <v>-6.4046968769530168E-3</v>
      </c>
      <c r="J5296" s="35">
        <v>5.3215240991587618E-5</v>
      </c>
      <c r="K5296" s="35">
        <v>-7.1709451961781231E-2</v>
      </c>
      <c r="L5296" s="35">
        <v>102.77652765741615</v>
      </c>
      <c r="M5296" s="58" t="s">
        <v>22</v>
      </c>
      <c r="N5296" s="7">
        <v>11.333333333333334</v>
      </c>
      <c r="O5296" s="7" t="s">
        <v>180</v>
      </c>
      <c r="P5296" s="7" t="s">
        <v>180</v>
      </c>
    </row>
    <row r="5297" spans="1:16" x14ac:dyDescent="0.25">
      <c r="A5297" t="s">
        <v>183</v>
      </c>
      <c r="B5297" t="s">
        <v>224</v>
      </c>
      <c r="C5297" s="7" t="s">
        <v>167</v>
      </c>
      <c r="D5297" t="s">
        <v>117</v>
      </c>
      <c r="F5297" s="35">
        <v>5.4149169609489114</v>
      </c>
      <c r="G5297" s="35">
        <v>-54.044888252448715</v>
      </c>
      <c r="H5297" s="35">
        <v>18.35463055792081</v>
      </c>
      <c r="I5297" s="35">
        <v>-6.4046968769530168E-3</v>
      </c>
      <c r="J5297" s="35">
        <v>5.3215240991587618E-5</v>
      </c>
      <c r="K5297" s="35">
        <v>-3.7028550213031822E-2</v>
      </c>
      <c r="L5297" s="35">
        <v>3.3877273373796184</v>
      </c>
      <c r="M5297" s="58" t="s">
        <v>24</v>
      </c>
      <c r="N5297" s="7">
        <v>11.333333333333334</v>
      </c>
      <c r="O5297" s="7" t="s">
        <v>180</v>
      </c>
      <c r="P5297" s="7" t="s">
        <v>180</v>
      </c>
    </row>
    <row r="5298" spans="1:16" x14ac:dyDescent="0.25">
      <c r="A5298" t="s">
        <v>183</v>
      </c>
      <c r="B5298" t="s">
        <v>224</v>
      </c>
      <c r="C5298" s="7" t="s">
        <v>167</v>
      </c>
      <c r="D5298" t="s">
        <v>117</v>
      </c>
      <c r="F5298" s="35">
        <v>10.829833921897823</v>
      </c>
      <c r="G5298" s="35">
        <v>-51.465477396333213</v>
      </c>
      <c r="H5298" s="35">
        <v>18.35463055792081</v>
      </c>
      <c r="I5298" s="35">
        <v>-6.4046968769530168E-3</v>
      </c>
      <c r="J5298" s="35">
        <v>5.3215240991587618E-5</v>
      </c>
      <c r="K5298" s="35">
        <v>-2.347648464282418E-3</v>
      </c>
      <c r="L5298" s="35">
        <v>-96.001072982656922</v>
      </c>
      <c r="M5298" s="58" t="s">
        <v>23</v>
      </c>
      <c r="N5298" s="7">
        <v>11.333333333333334</v>
      </c>
      <c r="O5298" s="7" t="s">
        <v>180</v>
      </c>
      <c r="P5298" s="7" t="s">
        <v>180</v>
      </c>
    </row>
    <row r="5299" spans="1:16" x14ac:dyDescent="0.25">
      <c r="A5299" t="s">
        <v>183</v>
      </c>
      <c r="B5299" t="s">
        <v>224</v>
      </c>
      <c r="C5299" s="7" t="s">
        <v>167</v>
      </c>
      <c r="D5299" t="s">
        <v>118</v>
      </c>
      <c r="F5299" s="35">
        <v>0</v>
      </c>
      <c r="G5299" s="35">
        <v>47.905722294066031</v>
      </c>
      <c r="H5299" s="35">
        <v>-1.3569736635042118</v>
      </c>
      <c r="I5299" s="35">
        <v>-1.2439719812632267E-2</v>
      </c>
      <c r="J5299" s="35">
        <v>2.0468521535656027E-4</v>
      </c>
      <c r="K5299" s="35">
        <v>-0.1407469066365474</v>
      </c>
      <c r="L5299" s="35">
        <v>-19.098362616433249</v>
      </c>
      <c r="M5299" s="58" t="s">
        <v>22</v>
      </c>
      <c r="N5299" s="7">
        <v>11.333333333333334</v>
      </c>
      <c r="O5299" s="7" t="s">
        <v>180</v>
      </c>
      <c r="P5299" s="7" t="s">
        <v>180</v>
      </c>
    </row>
    <row r="5300" spans="1:16" x14ac:dyDescent="0.25">
      <c r="A5300" t="s">
        <v>183</v>
      </c>
      <c r="B5300" t="s">
        <v>224</v>
      </c>
      <c r="C5300" s="7" t="s">
        <v>167</v>
      </c>
      <c r="D5300" t="s">
        <v>118</v>
      </c>
      <c r="F5300" s="35">
        <v>5.4149169609489114</v>
      </c>
      <c r="G5300" s="35">
        <v>50.485133150181532</v>
      </c>
      <c r="H5300" s="35">
        <v>-1.3569736635042118</v>
      </c>
      <c r="I5300" s="35">
        <v>-1.2439719812632267E-2</v>
      </c>
      <c r="J5300" s="35">
        <v>2.0468521535656027E-4</v>
      </c>
      <c r="K5300" s="35">
        <v>-7.3386856833672756E-2</v>
      </c>
      <c r="L5300" s="35">
        <v>-11.750462910363314</v>
      </c>
      <c r="M5300" s="58" t="s">
        <v>24</v>
      </c>
      <c r="N5300" s="7">
        <v>11.333333333333334</v>
      </c>
      <c r="O5300" s="7" t="s">
        <v>180</v>
      </c>
      <c r="P5300" s="7" t="s">
        <v>180</v>
      </c>
    </row>
    <row r="5301" spans="1:16" x14ac:dyDescent="0.25">
      <c r="A5301" t="s">
        <v>183</v>
      </c>
      <c r="B5301" t="s">
        <v>224</v>
      </c>
      <c r="C5301" s="7" t="s">
        <v>167</v>
      </c>
      <c r="D5301" t="s">
        <v>118</v>
      </c>
      <c r="F5301" s="35">
        <v>10.829833921897823</v>
      </c>
      <c r="G5301" s="35">
        <v>53.064544006297034</v>
      </c>
      <c r="H5301" s="35">
        <v>-1.3569736635042118</v>
      </c>
      <c r="I5301" s="35">
        <v>-1.2439719812632267E-2</v>
      </c>
      <c r="J5301" s="35">
        <v>2.0468521535656027E-4</v>
      </c>
      <c r="K5301" s="35">
        <v>-6.026807030798078E-3</v>
      </c>
      <c r="L5301" s="35">
        <v>-4.4025632042933767</v>
      </c>
      <c r="M5301" s="58" t="s">
        <v>23</v>
      </c>
      <c r="N5301" s="7">
        <v>11.333333333333334</v>
      </c>
      <c r="O5301" s="7" t="s">
        <v>180</v>
      </c>
      <c r="P5301" s="7" t="s">
        <v>180</v>
      </c>
    </row>
    <row r="5302" spans="1:16" x14ac:dyDescent="0.25">
      <c r="A5302" t="s">
        <v>183</v>
      </c>
      <c r="B5302" t="s">
        <v>224</v>
      </c>
      <c r="C5302" s="7" t="s">
        <v>167</v>
      </c>
      <c r="D5302" t="s">
        <v>119</v>
      </c>
      <c r="F5302" s="35">
        <v>0</v>
      </c>
      <c r="G5302" s="35">
        <v>-143.4607460015495</v>
      </c>
      <c r="H5302" s="35">
        <v>-13.525731719721218</v>
      </c>
      <c r="I5302" s="35">
        <v>-6.2295992465222407E-3</v>
      </c>
      <c r="J5302" s="35">
        <v>4.5395035443765966E-5</v>
      </c>
      <c r="K5302" s="35">
        <v>-6.960056414596201E-2</v>
      </c>
      <c r="L5302" s="35">
        <v>-77.576551340815087</v>
      </c>
      <c r="M5302" s="58" t="s">
        <v>22</v>
      </c>
      <c r="N5302" s="7">
        <v>11.333333333333334</v>
      </c>
      <c r="O5302" s="7" t="s">
        <v>180</v>
      </c>
      <c r="P5302" s="7" t="s">
        <v>180</v>
      </c>
    </row>
    <row r="5303" spans="1:16" x14ac:dyDescent="0.25">
      <c r="A5303" t="s">
        <v>183</v>
      </c>
      <c r="B5303" t="s">
        <v>224</v>
      </c>
      <c r="C5303" s="7" t="s">
        <v>167</v>
      </c>
      <c r="D5303" t="s">
        <v>119</v>
      </c>
      <c r="F5303" s="35">
        <v>5.4149169609489114</v>
      </c>
      <c r="G5303" s="35">
        <v>-140.88133514543401</v>
      </c>
      <c r="H5303" s="35">
        <v>-13.525731719721218</v>
      </c>
      <c r="I5303" s="35">
        <v>-6.2295992465222407E-3</v>
      </c>
      <c r="J5303" s="35">
        <v>4.5395035443765966E-5</v>
      </c>
      <c r="K5303" s="35">
        <v>-3.5867801526054184E-2</v>
      </c>
      <c r="L5303" s="35">
        <v>-4.3358372424519809</v>
      </c>
      <c r="M5303" s="58" t="s">
        <v>24</v>
      </c>
      <c r="N5303" s="7">
        <v>11.333333333333334</v>
      </c>
      <c r="O5303" s="7" t="s">
        <v>180</v>
      </c>
      <c r="P5303" s="7" t="s">
        <v>180</v>
      </c>
    </row>
    <row r="5304" spans="1:16" x14ac:dyDescent="0.25">
      <c r="A5304" t="s">
        <v>183</v>
      </c>
      <c r="B5304" t="s">
        <v>224</v>
      </c>
      <c r="C5304" s="7" t="s">
        <v>167</v>
      </c>
      <c r="D5304" t="s">
        <v>119</v>
      </c>
      <c r="F5304" s="35">
        <v>10.829833921897823</v>
      </c>
      <c r="G5304" s="35">
        <v>-138.30192428931852</v>
      </c>
      <c r="H5304" s="35">
        <v>-13.525731719721218</v>
      </c>
      <c r="I5304" s="35">
        <v>-6.2295992465222407E-3</v>
      </c>
      <c r="J5304" s="35">
        <v>4.5395035443765966E-5</v>
      </c>
      <c r="K5304" s="35">
        <v>-2.1350389061463447E-3</v>
      </c>
      <c r="L5304" s="35">
        <v>68.904876855911127</v>
      </c>
      <c r="M5304" s="58" t="s">
        <v>23</v>
      </c>
      <c r="N5304" s="7">
        <v>11.333333333333334</v>
      </c>
      <c r="O5304" s="7" t="s">
        <v>180</v>
      </c>
      <c r="P5304" s="7" t="s">
        <v>180</v>
      </c>
    </row>
    <row r="5305" spans="1:16" x14ac:dyDescent="0.25">
      <c r="A5305" t="s">
        <v>183</v>
      </c>
      <c r="B5305" t="s">
        <v>224</v>
      </c>
      <c r="C5305" s="7" t="s">
        <v>167</v>
      </c>
      <c r="D5305" t="s">
        <v>120</v>
      </c>
      <c r="F5305" s="35">
        <v>0</v>
      </c>
      <c r="G5305" s="35">
        <v>70.581150448067689</v>
      </c>
      <c r="H5305" s="35">
        <v>4.7956126639833787</v>
      </c>
      <c r="I5305" s="35">
        <v>-3.7374875771231143E-2</v>
      </c>
      <c r="J5305" s="35">
        <v>5.9590814606366098E-4</v>
      </c>
      <c r="K5305" s="35">
        <v>-0.42440645830693324</v>
      </c>
      <c r="L5305" s="35">
        <v>17.066523521393151</v>
      </c>
      <c r="M5305" s="58" t="s">
        <v>22</v>
      </c>
      <c r="N5305" s="7">
        <v>11.333333333333334</v>
      </c>
      <c r="O5305" s="7" t="s">
        <v>180</v>
      </c>
      <c r="P5305" s="7" t="s">
        <v>180</v>
      </c>
    </row>
    <row r="5306" spans="1:16" x14ac:dyDescent="0.25">
      <c r="A5306" t="s">
        <v>183</v>
      </c>
      <c r="B5306" t="s">
        <v>224</v>
      </c>
      <c r="C5306" s="7" t="s">
        <v>167</v>
      </c>
      <c r="D5306" t="s">
        <v>120</v>
      </c>
      <c r="F5306" s="35">
        <v>5.4149169609489114</v>
      </c>
      <c r="G5306" s="35">
        <v>73.16056130418319</v>
      </c>
      <c r="H5306" s="35">
        <v>4.7956126639833787</v>
      </c>
      <c r="I5306" s="35">
        <v>-3.7374875771231143E-2</v>
      </c>
      <c r="J5306" s="35">
        <v>5.9590814606366098E-4</v>
      </c>
      <c r="K5306" s="35">
        <v>-0.22202460957993525</v>
      </c>
      <c r="L5306" s="35">
        <v>-8.9013208309518319</v>
      </c>
      <c r="M5306" s="58" t="s">
        <v>24</v>
      </c>
      <c r="N5306" s="7">
        <v>11.333333333333334</v>
      </c>
      <c r="O5306" s="7" t="s">
        <v>180</v>
      </c>
      <c r="P5306" s="7" t="s">
        <v>180</v>
      </c>
    </row>
    <row r="5307" spans="1:16" x14ac:dyDescent="0.25">
      <c r="A5307" t="s">
        <v>183</v>
      </c>
      <c r="B5307" t="s">
        <v>224</v>
      </c>
      <c r="C5307" s="7" t="s">
        <v>167</v>
      </c>
      <c r="D5307" t="s">
        <v>120</v>
      </c>
      <c r="F5307" s="35">
        <v>10.829833921897823</v>
      </c>
      <c r="G5307" s="35">
        <v>75.739972160298677</v>
      </c>
      <c r="H5307" s="35">
        <v>4.7956126639833787</v>
      </c>
      <c r="I5307" s="35">
        <v>-3.7374875771231143E-2</v>
      </c>
      <c r="J5307" s="35">
        <v>5.9590814606366098E-4</v>
      </c>
      <c r="K5307" s="35">
        <v>-1.9642760852937199E-2</v>
      </c>
      <c r="L5307" s="35">
        <v>-34.869165183296822</v>
      </c>
      <c r="M5307" s="58" t="s">
        <v>23</v>
      </c>
      <c r="N5307" s="7">
        <v>11.333333333333334</v>
      </c>
      <c r="O5307" s="7" t="s">
        <v>180</v>
      </c>
      <c r="P5307" s="7" t="s">
        <v>180</v>
      </c>
    </row>
    <row r="5308" spans="1:16" x14ac:dyDescent="0.25">
      <c r="A5308" t="s">
        <v>183</v>
      </c>
      <c r="B5308" t="s">
        <v>224</v>
      </c>
      <c r="C5308" s="7" t="s">
        <v>167</v>
      </c>
      <c r="D5308" t="s">
        <v>121</v>
      </c>
      <c r="F5308" s="35">
        <v>0</v>
      </c>
      <c r="G5308" s="35">
        <v>-9.782517803481575</v>
      </c>
      <c r="H5308" s="35">
        <v>1.619848424953791</v>
      </c>
      <c r="I5308" s="35">
        <v>-3.1653444455363666E-2</v>
      </c>
      <c r="J5308" s="35">
        <v>4.8265681435850878E-4</v>
      </c>
      <c r="K5308" s="35">
        <v>-0.3594706246087801</v>
      </c>
      <c r="L5308" s="35">
        <v>6.7587598980492229</v>
      </c>
      <c r="M5308" s="58" t="s">
        <v>22</v>
      </c>
      <c r="N5308" s="7">
        <v>11.333333333333334</v>
      </c>
      <c r="O5308" s="7" t="s">
        <v>180</v>
      </c>
      <c r="P5308" s="7" t="s">
        <v>180</v>
      </c>
    </row>
    <row r="5309" spans="1:16" x14ac:dyDescent="0.25">
      <c r="A5309" t="s">
        <v>183</v>
      </c>
      <c r="B5309" t="s">
        <v>224</v>
      </c>
      <c r="C5309" s="7" t="s">
        <v>167</v>
      </c>
      <c r="D5309" t="s">
        <v>121</v>
      </c>
      <c r="F5309" s="35">
        <v>5.4149169609489114</v>
      </c>
      <c r="G5309" s="35">
        <v>-7.2031069473660594</v>
      </c>
      <c r="H5309" s="35">
        <v>1.619848424953791</v>
      </c>
      <c r="I5309" s="35">
        <v>-3.1653444455363666E-2</v>
      </c>
      <c r="J5309" s="35">
        <v>4.8265681435850878E-4</v>
      </c>
      <c r="K5309" s="35">
        <v>-0.18806985135497714</v>
      </c>
      <c r="L5309" s="35">
        <v>-2.0125848123994361</v>
      </c>
      <c r="M5309" s="58" t="s">
        <v>24</v>
      </c>
      <c r="N5309" s="7">
        <v>11.333333333333334</v>
      </c>
      <c r="O5309" s="7" t="s">
        <v>180</v>
      </c>
      <c r="P5309" s="7" t="s">
        <v>180</v>
      </c>
    </row>
    <row r="5310" spans="1:16" x14ac:dyDescent="0.25">
      <c r="A5310" t="s">
        <v>183</v>
      </c>
      <c r="B5310" t="s">
        <v>224</v>
      </c>
      <c r="C5310" s="7" t="s">
        <v>167</v>
      </c>
      <c r="D5310" t="s">
        <v>121</v>
      </c>
      <c r="F5310" s="35">
        <v>10.829833921897823</v>
      </c>
      <c r="G5310" s="35">
        <v>-4.623696091250574</v>
      </c>
      <c r="H5310" s="35">
        <v>1.619848424953791</v>
      </c>
      <c r="I5310" s="35">
        <v>-3.1653444455363666E-2</v>
      </c>
      <c r="J5310" s="35">
        <v>4.8265681435850878E-4</v>
      </c>
      <c r="K5310" s="35">
        <v>-1.6669078101174177E-2</v>
      </c>
      <c r="L5310" s="35">
        <v>-10.7839295228481</v>
      </c>
      <c r="M5310" s="58" t="s">
        <v>23</v>
      </c>
      <c r="N5310" s="7">
        <v>11.333333333333334</v>
      </c>
      <c r="O5310" s="7" t="s">
        <v>180</v>
      </c>
      <c r="P5310" s="7" t="s">
        <v>180</v>
      </c>
    </row>
    <row r="5311" spans="1:16" x14ac:dyDescent="0.25">
      <c r="A5311" t="s">
        <v>183</v>
      </c>
      <c r="B5311" t="s">
        <v>224</v>
      </c>
      <c r="C5311" s="7" t="s">
        <v>167</v>
      </c>
      <c r="D5311" t="s">
        <v>122</v>
      </c>
      <c r="F5311" s="35">
        <v>0</v>
      </c>
      <c r="G5311" s="35">
        <v>80.154463852129567</v>
      </c>
      <c r="H5311" s="35">
        <v>5.3353667103489748</v>
      </c>
      <c r="I5311" s="35">
        <v>3.4441449926176093E-2</v>
      </c>
      <c r="J5311" s="35">
        <v>-5.4077898981796273E-4</v>
      </c>
      <c r="K5311" s="35">
        <v>0.39158458937487001</v>
      </c>
      <c r="L5311" s="35">
        <v>18.994792013632825</v>
      </c>
      <c r="M5311" s="58" t="s">
        <v>22</v>
      </c>
      <c r="N5311" s="7">
        <v>11.333333333333334</v>
      </c>
      <c r="O5311" s="7" t="s">
        <v>180</v>
      </c>
      <c r="P5311" s="7" t="s">
        <v>180</v>
      </c>
    </row>
    <row r="5312" spans="1:16" x14ac:dyDescent="0.25">
      <c r="A5312" t="s">
        <v>183</v>
      </c>
      <c r="B5312" t="s">
        <v>224</v>
      </c>
      <c r="C5312" s="7" t="s">
        <v>167</v>
      </c>
      <c r="D5312" t="s">
        <v>122</v>
      </c>
      <c r="F5312" s="35">
        <v>5.4149169609489114</v>
      </c>
      <c r="G5312" s="35">
        <v>82.733874708245082</v>
      </c>
      <c r="H5312" s="35">
        <v>5.3353667103489748</v>
      </c>
      <c r="I5312" s="35">
        <v>3.4441449926176093E-2</v>
      </c>
      <c r="J5312" s="35">
        <v>-5.4077898981796273E-4</v>
      </c>
      <c r="K5312" s="35">
        <v>0.20508699800994648</v>
      </c>
      <c r="L5312" s="35">
        <v>-9.8957756791180351</v>
      </c>
      <c r="M5312" s="58" t="s">
        <v>24</v>
      </c>
      <c r="N5312" s="7">
        <v>11.333333333333334</v>
      </c>
      <c r="O5312" s="7" t="s">
        <v>180</v>
      </c>
      <c r="P5312" s="7" t="s">
        <v>180</v>
      </c>
    </row>
    <row r="5313" spans="1:16" x14ac:dyDescent="0.25">
      <c r="A5313" t="s">
        <v>183</v>
      </c>
      <c r="B5313" t="s">
        <v>224</v>
      </c>
      <c r="C5313" s="7" t="s">
        <v>167</v>
      </c>
      <c r="D5313" t="s">
        <v>122</v>
      </c>
      <c r="F5313" s="35">
        <v>10.829833921897823</v>
      </c>
      <c r="G5313" s="35">
        <v>85.313285564360569</v>
      </c>
      <c r="H5313" s="35">
        <v>5.3353667103489748</v>
      </c>
      <c r="I5313" s="35">
        <v>3.4441449926176093E-2</v>
      </c>
      <c r="J5313" s="35">
        <v>-5.4077898981796273E-4</v>
      </c>
      <c r="K5313" s="35">
        <v>1.8589406645023027E-2</v>
      </c>
      <c r="L5313" s="35">
        <v>-38.786343371868895</v>
      </c>
      <c r="M5313" s="58" t="s">
        <v>23</v>
      </c>
      <c r="N5313" s="7">
        <v>11.333333333333334</v>
      </c>
      <c r="O5313" s="7" t="s">
        <v>180</v>
      </c>
      <c r="P5313" s="7" t="s">
        <v>180</v>
      </c>
    </row>
    <row r="5314" spans="1:16" x14ac:dyDescent="0.25">
      <c r="A5314" t="s">
        <v>183</v>
      </c>
      <c r="B5314" t="s">
        <v>224</v>
      </c>
      <c r="C5314" s="7" t="s">
        <v>167</v>
      </c>
      <c r="D5314" t="s">
        <v>123</v>
      </c>
      <c r="F5314" s="35">
        <v>0</v>
      </c>
      <c r="G5314" s="35">
        <v>-0.2093061239469243</v>
      </c>
      <c r="H5314" s="35">
        <v>2.1594371899076026</v>
      </c>
      <c r="I5314" s="35">
        <v>4.0119150756150149E-2</v>
      </c>
      <c r="J5314" s="35">
        <v>-6.5307081170441425E-4</v>
      </c>
      <c r="K5314" s="35">
        <v>0.45602948285586092</v>
      </c>
      <c r="L5314" s="35">
        <v>8.6863998021459405</v>
      </c>
      <c r="M5314" s="58" t="s">
        <v>22</v>
      </c>
      <c r="N5314" s="7">
        <v>11.333333333333334</v>
      </c>
      <c r="O5314" s="7" t="s">
        <v>180</v>
      </c>
      <c r="P5314" s="7" t="s">
        <v>180</v>
      </c>
    </row>
    <row r="5315" spans="1:16" x14ac:dyDescent="0.25">
      <c r="A5315" t="s">
        <v>183</v>
      </c>
      <c r="B5315" t="s">
        <v>224</v>
      </c>
      <c r="C5315" s="7" t="s">
        <v>167</v>
      </c>
      <c r="D5315" t="s">
        <v>123</v>
      </c>
      <c r="F5315" s="35">
        <v>5.4149169609489114</v>
      </c>
      <c r="G5315" s="35">
        <v>2.3701047321685906</v>
      </c>
      <c r="H5315" s="35">
        <v>2.1594371899076026</v>
      </c>
      <c r="I5315" s="35">
        <v>4.0119150756150149E-2</v>
      </c>
      <c r="J5315" s="35">
        <v>-6.5307081170441425E-4</v>
      </c>
      <c r="K5315" s="35">
        <v>0.23878761296751713</v>
      </c>
      <c r="L5315" s="35">
        <v>-3.0067732635885909</v>
      </c>
      <c r="M5315" s="58" t="s">
        <v>24</v>
      </c>
      <c r="N5315" s="7">
        <v>11.333333333333334</v>
      </c>
      <c r="O5315" s="7" t="s">
        <v>180</v>
      </c>
      <c r="P5315" s="7" t="s">
        <v>180</v>
      </c>
    </row>
    <row r="5316" spans="1:16" x14ac:dyDescent="0.25">
      <c r="A5316" t="s">
        <v>183</v>
      </c>
      <c r="B5316" t="s">
        <v>224</v>
      </c>
      <c r="C5316" s="7" t="s">
        <v>167</v>
      </c>
      <c r="D5316" t="s">
        <v>123</v>
      </c>
      <c r="F5316" s="35">
        <v>10.829833921897823</v>
      </c>
      <c r="G5316" s="35">
        <v>4.9495155882840765</v>
      </c>
      <c r="H5316" s="35">
        <v>2.1594371899076026</v>
      </c>
      <c r="I5316" s="35">
        <v>4.0119150756150149E-2</v>
      </c>
      <c r="J5316" s="35">
        <v>-6.5307081170441425E-4</v>
      </c>
      <c r="K5316" s="35">
        <v>2.1545743079173424E-2</v>
      </c>
      <c r="L5316" s="35">
        <v>-14.699946329323124</v>
      </c>
      <c r="M5316" s="58" t="s">
        <v>23</v>
      </c>
      <c r="N5316" s="7">
        <v>11.333333333333334</v>
      </c>
      <c r="O5316" s="7" t="s">
        <v>180</v>
      </c>
      <c r="P5316" s="7" t="s">
        <v>180</v>
      </c>
    </row>
    <row r="5317" spans="1:16" x14ac:dyDescent="0.25">
      <c r="A5317" t="s">
        <v>183</v>
      </c>
      <c r="B5317" t="s">
        <v>224</v>
      </c>
      <c r="C5317" s="7" t="s">
        <v>167</v>
      </c>
      <c r="D5317" t="s">
        <v>124</v>
      </c>
      <c r="F5317" s="35">
        <v>0</v>
      </c>
      <c r="G5317" s="35">
        <v>71.529422607702386</v>
      </c>
      <c r="H5317" s="35">
        <v>8.801406217059542</v>
      </c>
      <c r="I5317" s="35">
        <v>-1.3627820844389566E-2</v>
      </c>
      <c r="J5317" s="35">
        <v>2.424850851198189E-4</v>
      </c>
      <c r="K5317" s="35">
        <v>-0.15422967659608353</v>
      </c>
      <c r="L5317" s="35">
        <v>46.281953856511109</v>
      </c>
      <c r="M5317" s="58" t="s">
        <v>22</v>
      </c>
      <c r="N5317" s="7">
        <v>11.333333333333334</v>
      </c>
      <c r="O5317" s="7" t="s">
        <v>180</v>
      </c>
      <c r="P5317" s="7" t="s">
        <v>180</v>
      </c>
    </row>
    <row r="5318" spans="1:16" x14ac:dyDescent="0.25">
      <c r="A5318" t="s">
        <v>183</v>
      </c>
      <c r="B5318" t="s">
        <v>224</v>
      </c>
      <c r="C5318" s="7" t="s">
        <v>167</v>
      </c>
      <c r="D5318" t="s">
        <v>124</v>
      </c>
      <c r="F5318" s="35">
        <v>5.4149169609489114</v>
      </c>
      <c r="G5318" s="35">
        <v>74.108833463817902</v>
      </c>
      <c r="H5318" s="35">
        <v>8.801406217059542</v>
      </c>
      <c r="I5318" s="35">
        <v>-1.3627820844389566E-2</v>
      </c>
      <c r="J5318" s="35">
        <v>2.424850851198189E-4</v>
      </c>
      <c r="K5318" s="35">
        <v>-8.0436158365025365E-2</v>
      </c>
      <c r="L5318" s="35">
        <v>-1.3769299484458031</v>
      </c>
      <c r="M5318" s="58" t="s">
        <v>24</v>
      </c>
      <c r="N5318" s="7">
        <v>11.333333333333334</v>
      </c>
      <c r="O5318" s="7" t="s">
        <v>180</v>
      </c>
      <c r="P5318" s="7" t="s">
        <v>180</v>
      </c>
    </row>
    <row r="5319" spans="1:16" x14ac:dyDescent="0.25">
      <c r="A5319" t="s">
        <v>183</v>
      </c>
      <c r="B5319" t="s">
        <v>224</v>
      </c>
      <c r="C5319" s="7" t="s">
        <v>167</v>
      </c>
      <c r="D5319" t="s">
        <v>124</v>
      </c>
      <c r="F5319" s="35">
        <v>10.829833921897823</v>
      </c>
      <c r="G5319" s="35">
        <v>76.688244319933389</v>
      </c>
      <c r="H5319" s="35">
        <v>8.801406217059542</v>
      </c>
      <c r="I5319" s="35">
        <v>-1.3627820844389566E-2</v>
      </c>
      <c r="J5319" s="35">
        <v>2.424850851198189E-4</v>
      </c>
      <c r="K5319" s="35">
        <v>-6.6426401339672063E-3</v>
      </c>
      <c r="L5319" s="35">
        <v>-49.035813753402728</v>
      </c>
      <c r="M5319" s="58" t="s">
        <v>23</v>
      </c>
      <c r="N5319" s="7">
        <v>11.333333333333334</v>
      </c>
      <c r="O5319" s="7" t="s">
        <v>180</v>
      </c>
      <c r="P5319" s="7" t="s">
        <v>180</v>
      </c>
    </row>
    <row r="5320" spans="1:16" x14ac:dyDescent="0.25">
      <c r="A5320" t="s">
        <v>183</v>
      </c>
      <c r="B5320" t="s">
        <v>224</v>
      </c>
      <c r="C5320" s="7" t="s">
        <v>167</v>
      </c>
      <c r="D5320" t="s">
        <v>125</v>
      </c>
      <c r="F5320" s="35">
        <v>0</v>
      </c>
      <c r="G5320" s="35">
        <v>-46.541227943306787</v>
      </c>
      <c r="H5320" s="35">
        <v>20.741516074786475</v>
      </c>
      <c r="I5320" s="35">
        <v>-7.2155078497156419E-3</v>
      </c>
      <c r="J5320" s="35">
        <v>6.585326677879794E-5</v>
      </c>
      <c r="K5320" s="35">
        <v>-8.0873736592449882E-2</v>
      </c>
      <c r="L5320" s="35">
        <v>115.08449827455215</v>
      </c>
      <c r="M5320" s="58" t="s">
        <v>22</v>
      </c>
      <c r="N5320" s="7">
        <v>11.333333333333334</v>
      </c>
      <c r="O5320" s="7" t="s">
        <v>180</v>
      </c>
      <c r="P5320" s="7" t="s">
        <v>180</v>
      </c>
    </row>
    <row r="5321" spans="1:16" x14ac:dyDescent="0.25">
      <c r="A5321" t="s">
        <v>183</v>
      </c>
      <c r="B5321" t="s">
        <v>224</v>
      </c>
      <c r="C5321" s="7" t="s">
        <v>167</v>
      </c>
      <c r="D5321" t="s">
        <v>125</v>
      </c>
      <c r="F5321" s="35">
        <v>5.4149169609489114</v>
      </c>
      <c r="G5321" s="35">
        <v>-43.961817087191271</v>
      </c>
      <c r="H5321" s="35">
        <v>20.741516074786475</v>
      </c>
      <c r="I5321" s="35">
        <v>-7.2155078497156419E-3</v>
      </c>
      <c r="J5321" s="35">
        <v>6.585326677879794E-5</v>
      </c>
      <c r="K5321" s="35">
        <v>-4.180236075516465E-2</v>
      </c>
      <c r="L5321" s="35">
        <v>2.7709110853963899</v>
      </c>
      <c r="M5321" s="58" t="s">
        <v>24</v>
      </c>
      <c r="N5321" s="7">
        <v>11.333333333333334</v>
      </c>
      <c r="O5321" s="7" t="s">
        <v>180</v>
      </c>
      <c r="P5321" s="7" t="s">
        <v>180</v>
      </c>
    </row>
    <row r="5322" spans="1:16" x14ac:dyDescent="0.25">
      <c r="A5322" t="s">
        <v>183</v>
      </c>
      <c r="B5322" t="s">
        <v>224</v>
      </c>
      <c r="C5322" s="7" t="s">
        <v>167</v>
      </c>
      <c r="D5322" t="s">
        <v>125</v>
      </c>
      <c r="F5322" s="35">
        <v>10.829833921897823</v>
      </c>
      <c r="G5322" s="35">
        <v>-41.382406231075784</v>
      </c>
      <c r="H5322" s="35">
        <v>20.741516074786475</v>
      </c>
      <c r="I5322" s="35">
        <v>-7.2155078497156419E-3</v>
      </c>
      <c r="J5322" s="35">
        <v>6.585326677879794E-5</v>
      </c>
      <c r="K5322" s="35">
        <v>-2.7309849178794214E-3</v>
      </c>
      <c r="L5322" s="35">
        <v>-109.54267610375936</v>
      </c>
      <c r="M5322" s="58" t="s">
        <v>23</v>
      </c>
      <c r="N5322" s="7">
        <v>11.333333333333334</v>
      </c>
      <c r="O5322" s="7" t="s">
        <v>180</v>
      </c>
      <c r="P5322" s="7" t="s">
        <v>180</v>
      </c>
    </row>
    <row r="5323" spans="1:16" x14ac:dyDescent="0.25">
      <c r="A5323" t="s">
        <v>183</v>
      </c>
      <c r="B5323" t="s">
        <v>224</v>
      </c>
      <c r="C5323" s="7" t="s">
        <v>167</v>
      </c>
      <c r="D5323" t="s">
        <v>126</v>
      </c>
      <c r="F5323" s="35">
        <v>0</v>
      </c>
      <c r="G5323" s="35">
        <v>69.603240281837955</v>
      </c>
      <c r="H5323" s="35">
        <v>-1.1602663934635462</v>
      </c>
      <c r="I5323" s="35">
        <v>-1.3921088889359253E-2</v>
      </c>
      <c r="J5323" s="35">
        <v>2.3415323829543421E-4</v>
      </c>
      <c r="K5323" s="35">
        <v>-0.15758201956441228</v>
      </c>
      <c r="L5323" s="35">
        <v>-20.332046474169424</v>
      </c>
      <c r="M5323" s="58" t="s">
        <v>22</v>
      </c>
      <c r="N5323" s="7">
        <v>11.333333333333334</v>
      </c>
      <c r="O5323" s="7" t="s">
        <v>180</v>
      </c>
      <c r="P5323" s="7" t="s">
        <v>180</v>
      </c>
    </row>
    <row r="5324" spans="1:16" x14ac:dyDescent="0.25">
      <c r="A5324" t="s">
        <v>183</v>
      </c>
      <c r="B5324" t="s">
        <v>224</v>
      </c>
      <c r="C5324" s="7" t="s">
        <v>167</v>
      </c>
      <c r="D5324" t="s">
        <v>126</v>
      </c>
      <c r="F5324" s="35">
        <v>5.4149169609489114</v>
      </c>
      <c r="G5324" s="35">
        <v>72.182651137953471</v>
      </c>
      <c r="H5324" s="35">
        <v>-1.1602663934635462</v>
      </c>
      <c r="I5324" s="35">
        <v>-1.3921088889359253E-2</v>
      </c>
      <c r="J5324" s="35">
        <v>2.3415323829543421E-4</v>
      </c>
      <c r="K5324" s="35">
        <v>-8.2200479222543463E-2</v>
      </c>
      <c r="L5324" s="35">
        <v>-14.049300300984648</v>
      </c>
      <c r="M5324" s="58" t="s">
        <v>24</v>
      </c>
      <c r="N5324" s="7">
        <v>11.333333333333334</v>
      </c>
      <c r="O5324" s="7" t="s">
        <v>180</v>
      </c>
      <c r="P5324" s="7" t="s">
        <v>180</v>
      </c>
    </row>
    <row r="5325" spans="1:16" x14ac:dyDescent="0.25">
      <c r="A5325" t="s">
        <v>183</v>
      </c>
      <c r="B5325" t="s">
        <v>224</v>
      </c>
      <c r="C5325" s="7" t="s">
        <v>167</v>
      </c>
      <c r="D5325" t="s">
        <v>126</v>
      </c>
      <c r="F5325" s="35">
        <v>10.829833921897823</v>
      </c>
      <c r="G5325" s="35">
        <v>74.762061994068944</v>
      </c>
      <c r="H5325" s="35">
        <v>-1.1602663934635462</v>
      </c>
      <c r="I5325" s="35">
        <v>-1.3921088889359253E-2</v>
      </c>
      <c r="J5325" s="35">
        <v>2.3415323829543421E-4</v>
      </c>
      <c r="K5325" s="35">
        <v>-6.8189388806745993E-3</v>
      </c>
      <c r="L5325" s="35">
        <v>-7.7665541277998704</v>
      </c>
      <c r="M5325" s="58" t="s">
        <v>23</v>
      </c>
      <c r="N5325" s="7">
        <v>11.333333333333334</v>
      </c>
      <c r="O5325" s="7" t="s">
        <v>180</v>
      </c>
      <c r="P5325" s="7" t="s">
        <v>180</v>
      </c>
    </row>
    <row r="5326" spans="1:16" x14ac:dyDescent="0.25">
      <c r="A5326" t="s">
        <v>183</v>
      </c>
      <c r="B5326" t="s">
        <v>224</v>
      </c>
      <c r="C5326" s="7" t="s">
        <v>167</v>
      </c>
      <c r="D5326" t="s">
        <v>127</v>
      </c>
      <c r="F5326" s="35">
        <v>0</v>
      </c>
      <c r="G5326" s="35">
        <v>-143.02616893551269</v>
      </c>
      <c r="H5326" s="35">
        <v>-14.681108678149108</v>
      </c>
      <c r="I5326" s="35">
        <v>-7.0209549270147794E-3</v>
      </c>
      <c r="J5326" s="35">
        <v>5.7164149503440542E-5</v>
      </c>
      <c r="K5326" s="35">
        <v>-7.8530527908206305E-2</v>
      </c>
      <c r="L5326" s="35">
        <v>-85.307811723482573</v>
      </c>
      <c r="M5326" s="58" t="s">
        <v>22</v>
      </c>
      <c r="N5326" s="7">
        <v>11.333333333333334</v>
      </c>
      <c r="O5326" s="7" t="s">
        <v>180</v>
      </c>
      <c r="P5326" s="7" t="s">
        <v>180</v>
      </c>
    </row>
    <row r="5327" spans="1:16" x14ac:dyDescent="0.25">
      <c r="A5327" t="s">
        <v>183</v>
      </c>
      <c r="B5327" t="s">
        <v>224</v>
      </c>
      <c r="C5327" s="7" t="s">
        <v>167</v>
      </c>
      <c r="D5327" t="s">
        <v>127</v>
      </c>
      <c r="F5327" s="35">
        <v>5.4149169609489114</v>
      </c>
      <c r="G5327" s="35">
        <v>-140.44675807939717</v>
      </c>
      <c r="H5327" s="35">
        <v>-14.681108678149108</v>
      </c>
      <c r="I5327" s="35">
        <v>-7.0209549270147794E-3</v>
      </c>
      <c r="J5327" s="35">
        <v>5.7164149503440542E-5</v>
      </c>
      <c r="K5327" s="35">
        <v>-4.0512639991856156E-2</v>
      </c>
      <c r="L5327" s="35">
        <v>-5.8108273366387193</v>
      </c>
      <c r="M5327" s="58" t="s">
        <v>24</v>
      </c>
      <c r="N5327" s="7">
        <v>11.333333333333334</v>
      </c>
      <c r="O5327" s="7" t="s">
        <v>180</v>
      </c>
      <c r="P5327" s="7" t="s">
        <v>180</v>
      </c>
    </row>
    <row r="5328" spans="1:16" x14ac:dyDescent="0.25">
      <c r="A5328" t="s">
        <v>183</v>
      </c>
      <c r="B5328" t="s">
        <v>224</v>
      </c>
      <c r="C5328" s="7" t="s">
        <v>167</v>
      </c>
      <c r="D5328" t="s">
        <v>127</v>
      </c>
      <c r="F5328" s="35">
        <v>10.829833921897823</v>
      </c>
      <c r="G5328" s="35">
        <v>-137.86734722328168</v>
      </c>
      <c r="H5328" s="35">
        <v>-14.681108678149108</v>
      </c>
      <c r="I5328" s="35">
        <v>-7.0209549270147794E-3</v>
      </c>
      <c r="J5328" s="35">
        <v>5.7164149503440542E-5</v>
      </c>
      <c r="K5328" s="35">
        <v>-2.4947520755060071E-3</v>
      </c>
      <c r="L5328" s="35">
        <v>73.686157050205139</v>
      </c>
      <c r="M5328" s="58" t="s">
        <v>23</v>
      </c>
      <c r="N5328" s="7">
        <v>11.333333333333334</v>
      </c>
      <c r="O5328" s="7" t="s">
        <v>180</v>
      </c>
      <c r="P5328" s="7" t="s">
        <v>180</v>
      </c>
    </row>
    <row r="5329" spans="1:16" x14ac:dyDescent="0.25">
      <c r="A5329" t="s">
        <v>181</v>
      </c>
      <c r="B5329" t="s">
        <v>225</v>
      </c>
      <c r="C5329" s="7" t="s">
        <v>104</v>
      </c>
      <c r="D5329" t="s">
        <v>105</v>
      </c>
      <c r="F5329" s="35">
        <v>0</v>
      </c>
      <c r="G5329" s="35">
        <v>-49.199021270780065</v>
      </c>
      <c r="H5329" s="35">
        <v>18.619083909506745</v>
      </c>
      <c r="I5329" s="35">
        <v>-2.8337936210858072E-3</v>
      </c>
      <c r="J5329" s="35">
        <v>-2.4876186744487527E-4</v>
      </c>
      <c r="K5329" s="35">
        <v>-2.4969279834330445E-2</v>
      </c>
      <c r="L5329" s="35">
        <v>59.939945861338195</v>
      </c>
      <c r="M5329" s="58" t="s">
        <v>22</v>
      </c>
      <c r="N5329" s="7">
        <v>9.5</v>
      </c>
      <c r="O5329" s="7" t="s">
        <v>179</v>
      </c>
      <c r="P5329" s="7" t="s">
        <v>179</v>
      </c>
    </row>
    <row r="5330" spans="1:16" x14ac:dyDescent="0.25">
      <c r="A5330" t="s">
        <v>181</v>
      </c>
      <c r="B5330" t="s">
        <v>225</v>
      </c>
      <c r="C5330" s="7" t="s">
        <v>104</v>
      </c>
      <c r="D5330" t="s">
        <v>105</v>
      </c>
      <c r="F5330" s="35">
        <v>4.5</v>
      </c>
      <c r="G5330" s="35">
        <v>-47.367976670780067</v>
      </c>
      <c r="H5330" s="35">
        <v>18.619083909506745</v>
      </c>
      <c r="I5330" s="35">
        <v>-2.8337936210858072E-3</v>
      </c>
      <c r="J5330" s="35">
        <v>-2.4876186744487527E-4</v>
      </c>
      <c r="K5330" s="35">
        <v>-1.2217208539444314E-2</v>
      </c>
      <c r="L5330" s="35">
        <v>-23.84593173144215</v>
      </c>
      <c r="M5330" s="58" t="s">
        <v>24</v>
      </c>
      <c r="N5330" s="7">
        <v>9.5</v>
      </c>
      <c r="O5330" s="7" t="s">
        <v>179</v>
      </c>
      <c r="P5330" s="7" t="s">
        <v>179</v>
      </c>
    </row>
    <row r="5331" spans="1:16" x14ac:dyDescent="0.25">
      <c r="A5331" t="s">
        <v>181</v>
      </c>
      <c r="B5331" t="s">
        <v>225</v>
      </c>
      <c r="C5331" s="7" t="s">
        <v>104</v>
      </c>
      <c r="D5331" t="s">
        <v>105</v>
      </c>
      <c r="F5331" s="35">
        <v>4.5</v>
      </c>
      <c r="G5331" s="35">
        <v>-46.59102956869004</v>
      </c>
      <c r="H5331" s="35">
        <v>18.61908294052818</v>
      </c>
      <c r="I5331" s="35">
        <v>-2.4426260951646577E-3</v>
      </c>
      <c r="J5331" s="35">
        <v>1.9461010406463135E-4</v>
      </c>
      <c r="K5331" s="35">
        <v>-1.221668309586533E-2</v>
      </c>
      <c r="L5331" s="35">
        <v>-24.81711681826965</v>
      </c>
      <c r="M5331" s="58" t="s">
        <v>24</v>
      </c>
      <c r="N5331" s="7">
        <v>9.5</v>
      </c>
      <c r="O5331" s="7" t="s">
        <v>179</v>
      </c>
      <c r="P5331" s="7" t="s">
        <v>179</v>
      </c>
    </row>
    <row r="5332" spans="1:16" x14ac:dyDescent="0.25">
      <c r="A5332" t="s">
        <v>181</v>
      </c>
      <c r="B5332" t="s">
        <v>225</v>
      </c>
      <c r="C5332" s="7" t="s">
        <v>104</v>
      </c>
      <c r="D5332" t="s">
        <v>105</v>
      </c>
      <c r="F5332" s="35">
        <v>8.9965005885644906</v>
      </c>
      <c r="G5332" s="35">
        <v>-44.761408875003859</v>
      </c>
      <c r="H5332" s="35">
        <v>18.61908294052818</v>
      </c>
      <c r="I5332" s="35">
        <v>-2.4426260951646577E-3</v>
      </c>
      <c r="J5332" s="35">
        <v>1.9461010406463135E-4</v>
      </c>
      <c r="K5332" s="35">
        <v>-1.2334134213144703E-3</v>
      </c>
      <c r="L5332" s="35">
        <v>-108.53783421888565</v>
      </c>
      <c r="M5332" s="58" t="s">
        <v>23</v>
      </c>
      <c r="N5332" s="7">
        <v>9.5</v>
      </c>
      <c r="O5332" s="7" t="s">
        <v>179</v>
      </c>
      <c r="P5332" s="7" t="s">
        <v>179</v>
      </c>
    </row>
    <row r="5333" spans="1:16" x14ac:dyDescent="0.25">
      <c r="A5333" t="s">
        <v>181</v>
      </c>
      <c r="B5333" t="s">
        <v>225</v>
      </c>
      <c r="C5333" s="7" t="s">
        <v>104</v>
      </c>
      <c r="D5333" t="s">
        <v>15</v>
      </c>
      <c r="F5333" s="35">
        <v>0</v>
      </c>
      <c r="G5333" s="35">
        <v>62.468901829887834</v>
      </c>
      <c r="H5333" s="35">
        <v>-5.182099261353331</v>
      </c>
      <c r="I5333" s="35">
        <v>-5.4282895552731782E-2</v>
      </c>
      <c r="J5333" s="35">
        <v>-3.620286650444956E-3</v>
      </c>
      <c r="K5333" s="35">
        <v>-0.48811613414705401</v>
      </c>
      <c r="L5333" s="35">
        <v>-47.329967562903747</v>
      </c>
      <c r="M5333" s="58" t="s">
        <v>22</v>
      </c>
      <c r="N5333" s="7">
        <v>9.5</v>
      </c>
      <c r="O5333" s="7" t="s">
        <v>179</v>
      </c>
      <c r="P5333" s="7" t="s">
        <v>179</v>
      </c>
    </row>
    <row r="5334" spans="1:16" x14ac:dyDescent="0.25">
      <c r="A5334" t="s">
        <v>181</v>
      </c>
      <c r="B5334" t="s">
        <v>225</v>
      </c>
      <c r="C5334" s="7" t="s">
        <v>104</v>
      </c>
      <c r="D5334" t="s">
        <v>15</v>
      </c>
      <c r="F5334" s="35">
        <v>4.5</v>
      </c>
      <c r="G5334" s="35">
        <v>64.299946429887825</v>
      </c>
      <c r="H5334" s="35">
        <v>-24.082099261353335</v>
      </c>
      <c r="I5334" s="35">
        <v>-5.4282895552732933E-2</v>
      </c>
      <c r="J5334" s="35">
        <v>-3.620286650444956E-3</v>
      </c>
      <c r="K5334" s="35">
        <v>-0.24384310415975846</v>
      </c>
      <c r="L5334" s="35">
        <v>18.514479113186226</v>
      </c>
      <c r="M5334" s="58" t="s">
        <v>24</v>
      </c>
      <c r="N5334" s="7">
        <v>9.5</v>
      </c>
      <c r="O5334" s="7" t="s">
        <v>179</v>
      </c>
      <c r="P5334" s="7" t="s">
        <v>179</v>
      </c>
    </row>
    <row r="5335" spans="1:16" x14ac:dyDescent="0.25">
      <c r="A5335" t="s">
        <v>181</v>
      </c>
      <c r="B5335" t="s">
        <v>225</v>
      </c>
      <c r="C5335" s="7" t="s">
        <v>104</v>
      </c>
      <c r="D5335" t="s">
        <v>15</v>
      </c>
      <c r="F5335" s="35">
        <v>4.5</v>
      </c>
      <c r="G5335" s="35">
        <v>65.07689507238932</v>
      </c>
      <c r="H5335" s="35">
        <v>-24.082049053671177</v>
      </c>
      <c r="I5335" s="35">
        <v>-4.8744163886537212E-2</v>
      </c>
      <c r="J5335" s="35">
        <v>2.3168287515521412E-3</v>
      </c>
      <c r="K5335" s="35">
        <v>-0.24384888583571745</v>
      </c>
      <c r="L5335" s="35">
        <v>17.543289586835776</v>
      </c>
      <c r="M5335" s="58" t="s">
        <v>24</v>
      </c>
      <c r="N5335" s="7">
        <v>9.5</v>
      </c>
      <c r="O5335" s="7" t="s">
        <v>179</v>
      </c>
      <c r="P5335" s="7" t="s">
        <v>179</v>
      </c>
    </row>
    <row r="5336" spans="1:16" x14ac:dyDescent="0.25">
      <c r="A5336" t="s">
        <v>181</v>
      </c>
      <c r="B5336" t="s">
        <v>225</v>
      </c>
      <c r="C5336" s="7" t="s">
        <v>104</v>
      </c>
      <c r="D5336" t="s">
        <v>15</v>
      </c>
      <c r="F5336" s="35">
        <v>8.9965005885644906</v>
      </c>
      <c r="G5336" s="35">
        <v>66.906515766075515</v>
      </c>
      <c r="H5336" s="35">
        <v>-42.96735152564203</v>
      </c>
      <c r="I5336" s="35">
        <v>-4.8744163886538371E-2</v>
      </c>
      <c r="J5336" s="35">
        <v>2.3168287515521412E-3</v>
      </c>
      <c r="K5336" s="35">
        <v>-2.4670724230816402E-2</v>
      </c>
      <c r="L5336" s="35">
        <v>168.28712417072475</v>
      </c>
      <c r="M5336" s="58" t="s">
        <v>23</v>
      </c>
      <c r="N5336" s="7">
        <v>9.5</v>
      </c>
      <c r="O5336" s="7" t="s">
        <v>179</v>
      </c>
      <c r="P5336" s="7" t="s">
        <v>179</v>
      </c>
    </row>
    <row r="5337" spans="1:16" x14ac:dyDescent="0.25">
      <c r="A5337" t="s">
        <v>181</v>
      </c>
      <c r="B5337" t="s">
        <v>225</v>
      </c>
      <c r="C5337" s="7" t="s">
        <v>104</v>
      </c>
      <c r="D5337" t="s">
        <v>16</v>
      </c>
      <c r="F5337" s="35">
        <v>0</v>
      </c>
      <c r="G5337" s="35">
        <v>20.361153787408501</v>
      </c>
      <c r="H5337" s="35">
        <v>-0.67628831932976019</v>
      </c>
      <c r="I5337" s="35">
        <v>-4.9729848657596019E-2</v>
      </c>
      <c r="J5337" s="35">
        <v>-3.6441348406759215E-3</v>
      </c>
      <c r="K5337" s="35">
        <v>-0.44439012273628292</v>
      </c>
      <c r="L5337" s="35">
        <v>-15.280893119860448</v>
      </c>
      <c r="M5337" s="58" t="s">
        <v>22</v>
      </c>
      <c r="N5337" s="7">
        <v>9.5</v>
      </c>
      <c r="O5337" s="7" t="s">
        <v>179</v>
      </c>
      <c r="P5337" s="7" t="s">
        <v>179</v>
      </c>
    </row>
    <row r="5338" spans="1:16" x14ac:dyDescent="0.25">
      <c r="A5338" t="s">
        <v>181</v>
      </c>
      <c r="B5338" t="s">
        <v>225</v>
      </c>
      <c r="C5338" s="7" t="s">
        <v>104</v>
      </c>
      <c r="D5338" t="s">
        <v>16</v>
      </c>
      <c r="F5338" s="35">
        <v>4.5</v>
      </c>
      <c r="G5338" s="35">
        <v>22.192198387408499</v>
      </c>
      <c r="H5338" s="35">
        <v>-8.9922883193297629</v>
      </c>
      <c r="I5338" s="35">
        <v>-4.9729848657596526E-2</v>
      </c>
      <c r="J5338" s="35">
        <v>-3.6441348406759215E-3</v>
      </c>
      <c r="K5338" s="35">
        <v>-0.22060580377709973</v>
      </c>
      <c r="L5338" s="35">
        <v>6.4734043171234701</v>
      </c>
      <c r="M5338" s="58" t="s">
        <v>24</v>
      </c>
      <c r="N5338" s="7">
        <v>9.5</v>
      </c>
      <c r="O5338" s="7" t="s">
        <v>179</v>
      </c>
      <c r="P5338" s="7" t="s">
        <v>179</v>
      </c>
    </row>
    <row r="5339" spans="1:16" x14ac:dyDescent="0.25">
      <c r="A5339" t="s">
        <v>181</v>
      </c>
      <c r="B5339" t="s">
        <v>225</v>
      </c>
      <c r="C5339" s="7" t="s">
        <v>104</v>
      </c>
      <c r="D5339" t="s">
        <v>16</v>
      </c>
      <c r="F5339" s="35">
        <v>4.5</v>
      </c>
      <c r="G5339" s="35">
        <v>22.969146884846424</v>
      </c>
      <c r="H5339" s="35">
        <v>-8.992240209686301</v>
      </c>
      <c r="I5339" s="35">
        <v>-4.4095166889128019E-2</v>
      </c>
      <c r="J5339" s="35">
        <v>2.4152177339361413E-3</v>
      </c>
      <c r="K5339" s="35">
        <v>-0.22061090853590798</v>
      </c>
      <c r="L5339" s="35">
        <v>5.5022154001090735</v>
      </c>
      <c r="M5339" s="58" t="s">
        <v>24</v>
      </c>
      <c r="N5339" s="7">
        <v>9.5</v>
      </c>
      <c r="O5339" s="7" t="s">
        <v>179</v>
      </c>
      <c r="P5339" s="7" t="s">
        <v>179</v>
      </c>
    </row>
    <row r="5340" spans="1:16" x14ac:dyDescent="0.25">
      <c r="A5340" t="s">
        <v>181</v>
      </c>
      <c r="B5340" t="s">
        <v>225</v>
      </c>
      <c r="C5340" s="7" t="s">
        <v>104</v>
      </c>
      <c r="D5340" t="s">
        <v>16</v>
      </c>
      <c r="F5340" s="35">
        <v>8.9965005885644906</v>
      </c>
      <c r="G5340" s="35">
        <v>24.798767578532608</v>
      </c>
      <c r="H5340" s="35">
        <v>-17.301773297353478</v>
      </c>
      <c r="I5340" s="35">
        <v>-4.4095166889128526E-2</v>
      </c>
      <c r="J5340" s="35">
        <v>2.4152177339361413E-3</v>
      </c>
      <c r="K5340" s="35">
        <v>-2.2336964666093338E-2</v>
      </c>
      <c r="L5340" s="35">
        <v>64.617739005172552</v>
      </c>
      <c r="M5340" s="58" t="s">
        <v>23</v>
      </c>
      <c r="N5340" s="7">
        <v>9.5</v>
      </c>
      <c r="O5340" s="7" t="s">
        <v>179</v>
      </c>
      <c r="P5340" s="7" t="s">
        <v>179</v>
      </c>
    </row>
    <row r="5341" spans="1:16" x14ac:dyDescent="0.25">
      <c r="A5341" t="s">
        <v>181</v>
      </c>
      <c r="B5341" t="s">
        <v>225</v>
      </c>
      <c r="C5341" s="7" t="s">
        <v>104</v>
      </c>
      <c r="D5341" t="s">
        <v>106</v>
      </c>
      <c r="F5341" s="35">
        <v>0</v>
      </c>
      <c r="G5341" s="35">
        <v>68.770002372246566</v>
      </c>
      <c r="H5341" s="35">
        <v>1.7432094958304702</v>
      </c>
      <c r="I5341" s="35">
        <v>5.8691665857724819E-2</v>
      </c>
      <c r="J5341" s="35">
        <v>4.1990352633807697E-3</v>
      </c>
      <c r="K5341" s="35">
        <v>0.52584566562058332</v>
      </c>
      <c r="L5341" s="35">
        <v>-38.175805758228321</v>
      </c>
      <c r="M5341" s="58" t="s">
        <v>22</v>
      </c>
      <c r="N5341" s="7">
        <v>9.5</v>
      </c>
      <c r="O5341" s="7" t="s">
        <v>179</v>
      </c>
      <c r="P5341" s="7" t="s">
        <v>179</v>
      </c>
    </row>
    <row r="5342" spans="1:16" x14ac:dyDescent="0.25">
      <c r="A5342" t="s">
        <v>181</v>
      </c>
      <c r="B5342" t="s">
        <v>225</v>
      </c>
      <c r="C5342" s="7" t="s">
        <v>104</v>
      </c>
      <c r="D5342" t="s">
        <v>106</v>
      </c>
      <c r="F5342" s="35">
        <v>4.5</v>
      </c>
      <c r="G5342" s="35">
        <v>70.601046972246579</v>
      </c>
      <c r="H5342" s="35">
        <v>-24.716790504169531</v>
      </c>
      <c r="I5342" s="35">
        <v>5.8691665857723195E-2</v>
      </c>
      <c r="J5342" s="35">
        <v>4.1990352633807697E-3</v>
      </c>
      <c r="K5342" s="35">
        <v>0.26173316926082529</v>
      </c>
      <c r="L5342" s="35">
        <v>13.514751510534555</v>
      </c>
      <c r="M5342" s="58" t="s">
        <v>24</v>
      </c>
      <c r="N5342" s="7">
        <v>9.5</v>
      </c>
      <c r="O5342" s="7" t="s">
        <v>179</v>
      </c>
      <c r="P5342" s="7" t="s">
        <v>179</v>
      </c>
    </row>
    <row r="5343" spans="1:16" x14ac:dyDescent="0.25">
      <c r="A5343" t="s">
        <v>181</v>
      </c>
      <c r="B5343" t="s">
        <v>225</v>
      </c>
      <c r="C5343" s="7" t="s">
        <v>104</v>
      </c>
      <c r="D5343" t="s">
        <v>106</v>
      </c>
      <c r="F5343" s="35">
        <v>4.5</v>
      </c>
      <c r="G5343" s="35">
        <v>71.377992326733789</v>
      </c>
      <c r="H5343" s="35">
        <v>-24.716814489163657</v>
      </c>
      <c r="I5343" s="35">
        <v>5.232044875554831E-2</v>
      </c>
      <c r="J5343" s="35">
        <v>-2.7793547604950965E-3</v>
      </c>
      <c r="K5343" s="35">
        <v>0.26174105148880961</v>
      </c>
      <c r="L5343" s="35">
        <v>12.543566059609972</v>
      </c>
      <c r="M5343" s="58" t="s">
        <v>24</v>
      </c>
      <c r="N5343" s="7">
        <v>9.5</v>
      </c>
      <c r="O5343" s="7" t="s">
        <v>179</v>
      </c>
      <c r="P5343" s="7" t="s">
        <v>179</v>
      </c>
    </row>
    <row r="5344" spans="1:16" x14ac:dyDescent="0.25">
      <c r="A5344" t="s">
        <v>181</v>
      </c>
      <c r="B5344" t="s">
        <v>225</v>
      </c>
      <c r="C5344" s="7" t="s">
        <v>104</v>
      </c>
      <c r="D5344" t="s">
        <v>106</v>
      </c>
      <c r="F5344" s="35">
        <v>8.9965005885644906</v>
      </c>
      <c r="G5344" s="35">
        <v>73.20761302041997</v>
      </c>
      <c r="H5344" s="35">
        <v>-51.156237949922847</v>
      </c>
      <c r="I5344" s="35">
        <v>5.2320448755546686E-2</v>
      </c>
      <c r="J5344" s="35">
        <v>-2.7793547604950965E-3</v>
      </c>
      <c r="K5344" s="35">
        <v>2.6482122865532115E-2</v>
      </c>
      <c r="L5344" s="35">
        <v>183.12517853387834</v>
      </c>
      <c r="M5344" s="58" t="s">
        <v>23</v>
      </c>
      <c r="N5344" s="7">
        <v>9.5</v>
      </c>
      <c r="O5344" s="7" t="s">
        <v>179</v>
      </c>
      <c r="P5344" s="7" t="s">
        <v>179</v>
      </c>
    </row>
    <row r="5345" spans="1:16" x14ac:dyDescent="0.25">
      <c r="A5345" t="s">
        <v>181</v>
      </c>
      <c r="B5345" t="s">
        <v>225</v>
      </c>
      <c r="C5345" s="7" t="s">
        <v>104</v>
      </c>
      <c r="D5345" t="s">
        <v>107</v>
      </c>
      <c r="F5345" s="35">
        <v>0</v>
      </c>
      <c r="G5345" s="35">
        <v>26.662364360459026</v>
      </c>
      <c r="H5345" s="35">
        <v>6.2497986451619232</v>
      </c>
      <c r="I5345" s="35">
        <v>6.3290982623647699E-2</v>
      </c>
      <c r="J5345" s="35">
        <v>4.1780979943567709E-3</v>
      </c>
      <c r="K5345" s="35">
        <v>0.56998588199918265</v>
      </c>
      <c r="L5345" s="35">
        <v>-6.124450225342164</v>
      </c>
      <c r="M5345" s="58" t="s">
        <v>22</v>
      </c>
      <c r="N5345" s="7">
        <v>9.5</v>
      </c>
      <c r="O5345" s="7" t="s">
        <v>179</v>
      </c>
      <c r="P5345" s="7" t="s">
        <v>179</v>
      </c>
    </row>
    <row r="5346" spans="1:16" x14ac:dyDescent="0.25">
      <c r="A5346" t="s">
        <v>181</v>
      </c>
      <c r="B5346" t="s">
        <v>225</v>
      </c>
      <c r="C5346" s="7" t="s">
        <v>104</v>
      </c>
      <c r="D5346" t="s">
        <v>107</v>
      </c>
      <c r="F5346" s="35">
        <v>4.5</v>
      </c>
      <c r="G5346" s="35">
        <v>28.493408960459028</v>
      </c>
      <c r="H5346" s="35">
        <v>-9.6262013548380772</v>
      </c>
      <c r="I5346" s="35">
        <v>6.3290982623646741E-2</v>
      </c>
      <c r="J5346" s="35">
        <v>4.1780979943567709E-3</v>
      </c>
      <c r="K5346" s="35">
        <v>0.28517646019277015</v>
      </c>
      <c r="L5346" s="35">
        <v>1.4724558714291831</v>
      </c>
      <c r="M5346" s="58" t="s">
        <v>24</v>
      </c>
      <c r="N5346" s="7">
        <v>9.5</v>
      </c>
      <c r="O5346" s="7" t="s">
        <v>179</v>
      </c>
      <c r="P5346" s="7" t="s">
        <v>179</v>
      </c>
    </row>
    <row r="5347" spans="1:16" x14ac:dyDescent="0.25">
      <c r="A5347" t="s">
        <v>181</v>
      </c>
      <c r="B5347" t="s">
        <v>225</v>
      </c>
      <c r="C5347" s="7" t="s">
        <v>104</v>
      </c>
      <c r="D5347" t="s">
        <v>107</v>
      </c>
      <c r="F5347" s="35">
        <v>4.5</v>
      </c>
      <c r="G5347" s="35">
        <v>29.270354168602935</v>
      </c>
      <c r="H5347" s="35">
        <v>-9.6262276647346727</v>
      </c>
      <c r="I5347" s="35">
        <v>5.7010694479046775E-2</v>
      </c>
      <c r="J5347" s="35">
        <v>-2.6827841263825682E-3</v>
      </c>
      <c r="K5347" s="35">
        <v>0.28518502472563712</v>
      </c>
      <c r="L5347" s="35">
        <v>0.50127102801260148</v>
      </c>
      <c r="M5347" s="58" t="s">
        <v>24</v>
      </c>
      <c r="N5347" s="7">
        <v>9.5</v>
      </c>
      <c r="O5347" s="7" t="s">
        <v>179</v>
      </c>
      <c r="P5347" s="7" t="s">
        <v>179</v>
      </c>
    </row>
    <row r="5348" spans="1:16" x14ac:dyDescent="0.25">
      <c r="A5348" t="s">
        <v>181</v>
      </c>
      <c r="B5348" t="s">
        <v>225</v>
      </c>
      <c r="C5348" s="7" t="s">
        <v>104</v>
      </c>
      <c r="D5348" t="s">
        <v>107</v>
      </c>
      <c r="F5348" s="35">
        <v>8.9965005885644906</v>
      </c>
      <c r="G5348" s="35">
        <v>31.09997486228912</v>
      </c>
      <c r="H5348" s="35">
        <v>-25.489881741190192</v>
      </c>
      <c r="I5348" s="35">
        <v>5.7010694479045804E-2</v>
      </c>
      <c r="J5348" s="35">
        <v>-2.6827841263825682E-3</v>
      </c>
      <c r="K5348" s="35">
        <v>2.8836403446135195E-2</v>
      </c>
      <c r="L5348" s="35">
        <v>79.451074333930634</v>
      </c>
      <c r="M5348" s="58" t="s">
        <v>23</v>
      </c>
      <c r="N5348" s="7">
        <v>9.5</v>
      </c>
      <c r="O5348" s="7" t="s">
        <v>179</v>
      </c>
      <c r="P5348" s="7" t="s">
        <v>179</v>
      </c>
    </row>
    <row r="5349" spans="1:16" x14ac:dyDescent="0.25">
      <c r="A5349" t="s">
        <v>181</v>
      </c>
      <c r="B5349" t="s">
        <v>225</v>
      </c>
      <c r="C5349" s="7" t="s">
        <v>104</v>
      </c>
      <c r="D5349" t="s">
        <v>108</v>
      </c>
      <c r="F5349" s="35">
        <v>0</v>
      </c>
      <c r="G5349" s="35">
        <v>57.453220444711924</v>
      </c>
      <c r="H5349" s="35">
        <v>-3.9090953543476865</v>
      </c>
      <c r="I5349" s="35">
        <v>-1.3030183366331169E-2</v>
      </c>
      <c r="J5349" s="35">
        <v>-1.6417929267471625E-4</v>
      </c>
      <c r="K5349" s="35">
        <v>-0.12331156478556056</v>
      </c>
      <c r="L5349" s="35">
        <v>-18.528316721912191</v>
      </c>
      <c r="M5349" s="58" t="s">
        <v>22</v>
      </c>
      <c r="N5349" s="7">
        <v>9.5</v>
      </c>
      <c r="O5349" s="7" t="s">
        <v>179</v>
      </c>
      <c r="P5349" s="7" t="s">
        <v>179</v>
      </c>
    </row>
    <row r="5350" spans="1:16" x14ac:dyDescent="0.25">
      <c r="A5350" t="s">
        <v>181</v>
      </c>
      <c r="B5350" t="s">
        <v>225</v>
      </c>
      <c r="C5350" s="7" t="s">
        <v>104</v>
      </c>
      <c r="D5350" t="s">
        <v>108</v>
      </c>
      <c r="F5350" s="35">
        <v>4.5</v>
      </c>
      <c r="G5350" s="35">
        <v>59.284265044711923</v>
      </c>
      <c r="H5350" s="35">
        <v>-18.273095354347689</v>
      </c>
      <c r="I5350" s="35">
        <v>-1.3030183366332051E-2</v>
      </c>
      <c r="J5350" s="35">
        <v>-1.6417929267471625E-4</v>
      </c>
      <c r="K5350" s="35">
        <v>-6.4675739637068311E-2</v>
      </c>
      <c r="L5350" s="35">
        <v>31.381612372652391</v>
      </c>
      <c r="M5350" s="58" t="s">
        <v>24</v>
      </c>
      <c r="N5350" s="7">
        <v>9.5</v>
      </c>
      <c r="O5350" s="7" t="s">
        <v>179</v>
      </c>
      <c r="P5350" s="7" t="s">
        <v>179</v>
      </c>
    </row>
    <row r="5351" spans="1:16" x14ac:dyDescent="0.25">
      <c r="A5351" t="s">
        <v>181</v>
      </c>
      <c r="B5351" t="s">
        <v>225</v>
      </c>
      <c r="C5351" s="7" t="s">
        <v>104</v>
      </c>
      <c r="D5351" t="s">
        <v>108</v>
      </c>
      <c r="F5351" s="35">
        <v>4.5</v>
      </c>
      <c r="G5351" s="35">
        <v>60.061212480199579</v>
      </c>
      <c r="H5351" s="35">
        <v>-18.273098481203078</v>
      </c>
      <c r="I5351" s="35">
        <v>-1.2936966564415236E-2</v>
      </c>
      <c r="J5351" s="35">
        <v>-6.3286567302422287E-5</v>
      </c>
      <c r="K5351" s="35">
        <v>-6.4676764187189123E-2</v>
      </c>
      <c r="L5351" s="35">
        <v>30.410425522720459</v>
      </c>
      <c r="M5351" s="58" t="s">
        <v>24</v>
      </c>
      <c r="N5351" s="7">
        <v>9.5</v>
      </c>
      <c r="O5351" s="7" t="s">
        <v>179</v>
      </c>
      <c r="P5351" s="7" t="s">
        <v>179</v>
      </c>
    </row>
    <row r="5352" spans="1:16" x14ac:dyDescent="0.25">
      <c r="A5352" t="s">
        <v>181</v>
      </c>
      <c r="B5352" t="s">
        <v>225</v>
      </c>
      <c r="C5352" s="7" t="s">
        <v>104</v>
      </c>
      <c r="D5352" t="s">
        <v>108</v>
      </c>
      <c r="F5352" s="35">
        <v>8.9965005885644906</v>
      </c>
      <c r="G5352" s="35">
        <v>61.89083317388576</v>
      </c>
      <c r="H5352" s="35">
        <v>-32.625928359900932</v>
      </c>
      <c r="I5352" s="35">
        <v>-1.2936966564416112E-2</v>
      </c>
      <c r="J5352" s="35">
        <v>-6.3286567302422287E-5</v>
      </c>
      <c r="K5352" s="35">
        <v>-6.5056864160549328E-3</v>
      </c>
      <c r="L5352" s="35">
        <v>144.8441775969124</v>
      </c>
      <c r="M5352" s="58" t="s">
        <v>23</v>
      </c>
      <c r="N5352" s="7">
        <v>9.5</v>
      </c>
      <c r="O5352" s="7" t="s">
        <v>179</v>
      </c>
      <c r="P5352" s="7" t="s">
        <v>179</v>
      </c>
    </row>
    <row r="5353" spans="1:16" x14ac:dyDescent="0.25">
      <c r="A5353" t="s">
        <v>181</v>
      </c>
      <c r="B5353" t="s">
        <v>225</v>
      </c>
      <c r="C5353" s="7" t="s">
        <v>104</v>
      </c>
      <c r="D5353" t="s">
        <v>109</v>
      </c>
      <c r="F5353" s="35">
        <v>0</v>
      </c>
      <c r="G5353" s="35">
        <v>3.9592973670613056</v>
      </c>
      <c r="H5353" s="35">
        <v>12.352118616353286</v>
      </c>
      <c r="I5353" s="35">
        <v>-1.2172831119538078E-2</v>
      </c>
      <c r="J5353" s="35">
        <v>-2.9600746611161538E-4</v>
      </c>
      <c r="K5353" s="35">
        <v>-0.1136902018350049</v>
      </c>
      <c r="L5353" s="35">
        <v>78.298064908962047</v>
      </c>
      <c r="M5353" s="58" t="s">
        <v>22</v>
      </c>
      <c r="N5353" s="7">
        <v>9.5</v>
      </c>
      <c r="O5353" s="7" t="s">
        <v>179</v>
      </c>
      <c r="P5353" s="7" t="s">
        <v>179</v>
      </c>
    </row>
    <row r="5354" spans="1:16" x14ac:dyDescent="0.25">
      <c r="A5354" t="s">
        <v>181</v>
      </c>
      <c r="B5354" t="s">
        <v>225</v>
      </c>
      <c r="C5354" s="7" t="s">
        <v>104</v>
      </c>
      <c r="D5354" t="s">
        <v>109</v>
      </c>
      <c r="F5354" s="35">
        <v>4.5</v>
      </c>
      <c r="G5354" s="35">
        <v>5.7903419670613063</v>
      </c>
      <c r="H5354" s="35">
        <v>8.5721186163532845</v>
      </c>
      <c r="I5354" s="35">
        <v>-1.2172831119538308E-2</v>
      </c>
      <c r="J5354" s="35">
        <v>-2.9600746611161538E-4</v>
      </c>
      <c r="K5354" s="35">
        <v>-5.8912461797083031E-2</v>
      </c>
      <c r="L5354" s="35">
        <v>31.218531135372277</v>
      </c>
      <c r="M5354" s="58" t="s">
        <v>24</v>
      </c>
      <c r="N5354" s="7">
        <v>9.5</v>
      </c>
      <c r="O5354" s="7" t="s">
        <v>179</v>
      </c>
      <c r="P5354" s="7" t="s">
        <v>179</v>
      </c>
    </row>
    <row r="5355" spans="1:16" x14ac:dyDescent="0.25">
      <c r="A5355" t="s">
        <v>181</v>
      </c>
      <c r="B5355" t="s">
        <v>225</v>
      </c>
      <c r="C5355" s="7" t="s">
        <v>104</v>
      </c>
      <c r="D5355" t="s">
        <v>109</v>
      </c>
      <c r="F5355" s="35">
        <v>4.5</v>
      </c>
      <c r="G5355" s="35">
        <v>6.5672893513644253</v>
      </c>
      <c r="H5355" s="35">
        <v>8.5721255691634166</v>
      </c>
      <c r="I5355" s="35">
        <v>-1.1785918861135999E-2</v>
      </c>
      <c r="J5355" s="35">
        <v>1.0109722493100435E-4</v>
      </c>
      <c r="K5355" s="35">
        <v>-5.891326192576006E-2</v>
      </c>
      <c r="L5355" s="35">
        <v>30.247345148848783</v>
      </c>
      <c r="M5355" s="58" t="s">
        <v>24</v>
      </c>
      <c r="N5355" s="7">
        <v>9.5</v>
      </c>
      <c r="O5355" s="7" t="s">
        <v>179</v>
      </c>
      <c r="P5355" s="7" t="s">
        <v>179</v>
      </c>
    </row>
    <row r="5356" spans="1:16" x14ac:dyDescent="0.25">
      <c r="A5356" t="s">
        <v>181</v>
      </c>
      <c r="B5356" t="s">
        <v>225</v>
      </c>
      <c r="C5356" s="7" t="s">
        <v>104</v>
      </c>
      <c r="D5356" t="s">
        <v>109</v>
      </c>
      <c r="F5356" s="35">
        <v>8.9965005885644906</v>
      </c>
      <c r="G5356" s="35">
        <v>8.3969100450506104</v>
      </c>
      <c r="H5356" s="35">
        <v>4.7950650747692443</v>
      </c>
      <c r="I5356" s="35">
        <v>-1.1785918861136229E-2</v>
      </c>
      <c r="J5356" s="35">
        <v>1.0109722493100435E-4</v>
      </c>
      <c r="K5356" s="35">
        <v>-5.9178708298882211E-3</v>
      </c>
      <c r="L5356" s="35">
        <v>0.19455484990031266</v>
      </c>
      <c r="M5356" s="58" t="s">
        <v>23</v>
      </c>
      <c r="N5356" s="7">
        <v>9.5</v>
      </c>
      <c r="O5356" s="7" t="s">
        <v>179</v>
      </c>
      <c r="P5356" s="7" t="s">
        <v>179</v>
      </c>
    </row>
    <row r="5357" spans="1:16" x14ac:dyDescent="0.25">
      <c r="A5357" t="s">
        <v>181</v>
      </c>
      <c r="B5357" t="s">
        <v>225</v>
      </c>
      <c r="C5357" s="7" t="s">
        <v>104</v>
      </c>
      <c r="D5357" t="s">
        <v>110</v>
      </c>
      <c r="F5357" s="35">
        <v>0</v>
      </c>
      <c r="G5357" s="35">
        <v>74.463997321103136</v>
      </c>
      <c r="H5357" s="35">
        <v>-52.065273038551268</v>
      </c>
      <c r="I5357" s="35">
        <v>-1.4912684422051067E-2</v>
      </c>
      <c r="J5357" s="35">
        <v>-1.4819141074372884E-4</v>
      </c>
      <c r="K5357" s="35">
        <v>-0.14133299974744012</v>
      </c>
      <c r="L5357" s="35">
        <v>-158.08103851049822</v>
      </c>
      <c r="M5357" s="58" t="s">
        <v>22</v>
      </c>
      <c r="N5357" s="7">
        <v>9.5</v>
      </c>
      <c r="O5357" s="7" t="s">
        <v>179</v>
      </c>
      <c r="P5357" s="7" t="s">
        <v>179</v>
      </c>
    </row>
    <row r="5358" spans="1:16" x14ac:dyDescent="0.25">
      <c r="A5358" t="s">
        <v>181</v>
      </c>
      <c r="B5358" t="s">
        <v>225</v>
      </c>
      <c r="C5358" s="7" t="s">
        <v>104</v>
      </c>
      <c r="D5358" t="s">
        <v>110</v>
      </c>
      <c r="F5358" s="35">
        <v>4.5</v>
      </c>
      <c r="G5358" s="35">
        <v>76.29504192110312</v>
      </c>
      <c r="H5358" s="35">
        <v>-38.457273038551271</v>
      </c>
      <c r="I5358" s="35">
        <v>-1.4912684422050232E-2</v>
      </c>
      <c r="J5358" s="35">
        <v>-1.4819141074372884E-4</v>
      </c>
      <c r="K5358" s="35">
        <v>-7.4225919848212196E-2</v>
      </c>
      <c r="L5358" s="35">
        <v>45.594690162982467</v>
      </c>
      <c r="M5358" s="58" t="s">
        <v>24</v>
      </c>
      <c r="N5358" s="7">
        <v>9.5</v>
      </c>
      <c r="O5358" s="7" t="s">
        <v>179</v>
      </c>
      <c r="P5358" s="7" t="s">
        <v>179</v>
      </c>
    </row>
    <row r="5359" spans="1:16" x14ac:dyDescent="0.25">
      <c r="A5359" t="s">
        <v>181</v>
      </c>
      <c r="B5359" t="s">
        <v>225</v>
      </c>
      <c r="C5359" s="7" t="s">
        <v>104</v>
      </c>
      <c r="D5359" t="s">
        <v>110</v>
      </c>
      <c r="F5359" s="35">
        <v>4.5</v>
      </c>
      <c r="G5359" s="35">
        <v>77.071989423203377</v>
      </c>
      <c r="H5359" s="35">
        <v>-38.457267295946409</v>
      </c>
      <c r="I5359" s="35">
        <v>-1.4850493750682947E-2</v>
      </c>
      <c r="J5359" s="35">
        <v>-1.186147799842939E-4</v>
      </c>
      <c r="K5359" s="35">
        <v>-7.4227256740498709E-2</v>
      </c>
      <c r="L5359" s="35">
        <v>44.623503485845525</v>
      </c>
      <c r="M5359" s="58" t="s">
        <v>24</v>
      </c>
      <c r="N5359" s="7">
        <v>9.5</v>
      </c>
      <c r="O5359" s="7" t="s">
        <v>179</v>
      </c>
      <c r="P5359" s="7" t="s">
        <v>179</v>
      </c>
    </row>
    <row r="5360" spans="1:16" x14ac:dyDescent="0.25">
      <c r="A5360" t="s">
        <v>181</v>
      </c>
      <c r="B5360" t="s">
        <v>225</v>
      </c>
      <c r="C5360" s="7" t="s">
        <v>104</v>
      </c>
      <c r="D5360" t="s">
        <v>110</v>
      </c>
      <c r="F5360" s="35">
        <v>8.9965005885644906</v>
      </c>
      <c r="G5360" s="35">
        <v>78.901610116889572</v>
      </c>
      <c r="H5360" s="35">
        <v>-24.859849516127401</v>
      </c>
      <c r="I5360" s="35">
        <v>-1.4850493750682116E-2</v>
      </c>
      <c r="J5360" s="35">
        <v>-1.186147799842939E-4</v>
      </c>
      <c r="K5360" s="35">
        <v>-7.452002850081455E-3</v>
      </c>
      <c r="L5360" s="35">
        <v>186.97622999169374</v>
      </c>
      <c r="M5360" s="58" t="s">
        <v>23</v>
      </c>
      <c r="N5360" s="7">
        <v>9.5</v>
      </c>
      <c r="O5360" s="7" t="s">
        <v>179</v>
      </c>
      <c r="P5360" s="7" t="s">
        <v>179</v>
      </c>
    </row>
    <row r="5361" spans="1:16" x14ac:dyDescent="0.25">
      <c r="A5361" t="s">
        <v>181</v>
      </c>
      <c r="B5361" t="s">
        <v>225</v>
      </c>
      <c r="C5361" s="7" t="s">
        <v>104</v>
      </c>
      <c r="D5361" t="s">
        <v>111</v>
      </c>
      <c r="F5361" s="35">
        <v>0</v>
      </c>
      <c r="G5361" s="35">
        <v>-43.853908555610225</v>
      </c>
      <c r="H5361" s="35">
        <v>-26.406946932247273</v>
      </c>
      <c r="I5361" s="35">
        <v>-1.3821822505743073E-2</v>
      </c>
      <c r="J5361" s="35">
        <v>-4.8344408218568591E-4</v>
      </c>
      <c r="K5361" s="35">
        <v>-0.12770007883250845</v>
      </c>
      <c r="L5361" s="35">
        <v>-82.037247387226287</v>
      </c>
      <c r="M5361" s="58" t="s">
        <v>22</v>
      </c>
      <c r="N5361" s="7">
        <v>9.5</v>
      </c>
      <c r="O5361" s="7" t="s">
        <v>179</v>
      </c>
      <c r="P5361" s="7" t="s">
        <v>179</v>
      </c>
    </row>
    <row r="5362" spans="1:16" x14ac:dyDescent="0.25">
      <c r="A5362" t="s">
        <v>181</v>
      </c>
      <c r="B5362" t="s">
        <v>225</v>
      </c>
      <c r="C5362" s="7" t="s">
        <v>104</v>
      </c>
      <c r="D5362" t="s">
        <v>111</v>
      </c>
      <c r="F5362" s="35">
        <v>4.5</v>
      </c>
      <c r="G5362" s="35">
        <v>-42.022863955610227</v>
      </c>
      <c r="H5362" s="35">
        <v>-2.2149469322472748</v>
      </c>
      <c r="I5362" s="35">
        <v>-1.3821822505741592E-2</v>
      </c>
      <c r="J5362" s="35">
        <v>-4.8344408218568591E-4</v>
      </c>
      <c r="K5362" s="35">
        <v>-6.5501877556667934E-2</v>
      </c>
      <c r="L5362" s="35">
        <v>-17.637986192113569</v>
      </c>
      <c r="M5362" s="58" t="s">
        <v>24</v>
      </c>
      <c r="N5362" s="7">
        <v>9.5</v>
      </c>
      <c r="O5362" s="7" t="s">
        <v>179</v>
      </c>
      <c r="P5362" s="7" t="s">
        <v>179</v>
      </c>
    </row>
    <row r="5363" spans="1:16" x14ac:dyDescent="0.25">
      <c r="A5363" t="s">
        <v>181</v>
      </c>
      <c r="B5363" t="s">
        <v>225</v>
      </c>
      <c r="C5363" s="7" t="s">
        <v>104</v>
      </c>
      <c r="D5363" t="s">
        <v>111</v>
      </c>
      <c r="F5363" s="35">
        <v>4.5</v>
      </c>
      <c r="G5363" s="35">
        <v>-41.245916518771622</v>
      </c>
      <c r="H5363" s="35">
        <v>-2.2149258556584788</v>
      </c>
      <c r="I5363" s="35">
        <v>-1.3103483613209387E-2</v>
      </c>
      <c r="J5363" s="35">
        <v>2.2969504251092878E-4</v>
      </c>
      <c r="K5363" s="35">
        <v>-6.5502933432315238E-2</v>
      </c>
      <c r="L5363" s="35">
        <v>-18.609171990073133</v>
      </c>
      <c r="M5363" s="58" t="s">
        <v>24</v>
      </c>
      <c r="N5363" s="7">
        <v>9.5</v>
      </c>
      <c r="O5363" s="7" t="s">
        <v>179</v>
      </c>
      <c r="P5363" s="7" t="s">
        <v>179</v>
      </c>
    </row>
    <row r="5364" spans="1:16" x14ac:dyDescent="0.25">
      <c r="A5364" t="s">
        <v>181</v>
      </c>
      <c r="B5364" t="s">
        <v>225</v>
      </c>
      <c r="C5364" s="7" t="s">
        <v>104</v>
      </c>
      <c r="D5364" t="s">
        <v>111</v>
      </c>
      <c r="F5364" s="35">
        <v>8.9965005885644906</v>
      </c>
      <c r="G5364" s="35">
        <v>-39.416295825085435</v>
      </c>
      <c r="H5364" s="35">
        <v>21.958261308464213</v>
      </c>
      <c r="I5364" s="35">
        <v>-1.3103483613207907E-2</v>
      </c>
      <c r="J5364" s="35">
        <v>2.2969504251092878E-4</v>
      </c>
      <c r="K5364" s="35">
        <v>-6.5831116532774304E-3</v>
      </c>
      <c r="L5364" s="35">
        <v>-62.997131731956692</v>
      </c>
      <c r="M5364" s="58" t="s">
        <v>23</v>
      </c>
      <c r="N5364" s="7">
        <v>9.5</v>
      </c>
      <c r="O5364" s="7" t="s">
        <v>179</v>
      </c>
      <c r="P5364" s="7" t="s">
        <v>179</v>
      </c>
    </row>
    <row r="5365" spans="1:16" x14ac:dyDescent="0.25">
      <c r="A5365" t="s">
        <v>181</v>
      </c>
      <c r="B5365" t="s">
        <v>225</v>
      </c>
      <c r="C5365" s="7" t="s">
        <v>104</v>
      </c>
      <c r="D5365" t="s">
        <v>112</v>
      </c>
      <c r="F5365" s="35">
        <v>0</v>
      </c>
      <c r="G5365" s="35">
        <v>26.31233979810386</v>
      </c>
      <c r="H5365" s="35">
        <v>8.0003011145943503</v>
      </c>
      <c r="I5365" s="35">
        <v>-5.0351557570870058E-2</v>
      </c>
      <c r="J5365" s="35">
        <v>-3.3872376107385764E-3</v>
      </c>
      <c r="K5365" s="35">
        <v>-0.45239884105647404</v>
      </c>
      <c r="L5365" s="35">
        <v>-2.2297999169062295</v>
      </c>
      <c r="M5365" s="58" t="s">
        <v>22</v>
      </c>
      <c r="N5365" s="7">
        <v>9.5</v>
      </c>
      <c r="O5365" s="7" t="s">
        <v>179</v>
      </c>
      <c r="P5365" s="7" t="s">
        <v>179</v>
      </c>
    </row>
    <row r="5366" spans="1:16" x14ac:dyDescent="0.25">
      <c r="A5366" t="s">
        <v>181</v>
      </c>
      <c r="B5366" t="s">
        <v>225</v>
      </c>
      <c r="C5366" s="7" t="s">
        <v>104</v>
      </c>
      <c r="D5366" t="s">
        <v>112</v>
      </c>
      <c r="F5366" s="35">
        <v>4.5</v>
      </c>
      <c r="G5366" s="35">
        <v>28.143384398103862</v>
      </c>
      <c r="H5366" s="35">
        <v>-9.009698885405653</v>
      </c>
      <c r="I5366" s="35">
        <v>-5.0351557570871106E-2</v>
      </c>
      <c r="J5366" s="35">
        <v>-3.3872376107385764E-3</v>
      </c>
      <c r="K5366" s="35">
        <v>-0.22581683198755642</v>
      </c>
      <c r="L5366" s="35">
        <v>4.1345067419204851E-2</v>
      </c>
      <c r="M5366" s="58" t="s">
        <v>24</v>
      </c>
      <c r="N5366" s="7">
        <v>9.5</v>
      </c>
      <c r="O5366" s="7" t="s">
        <v>179</v>
      </c>
      <c r="P5366" s="7" t="s">
        <v>179</v>
      </c>
    </row>
    <row r="5367" spans="1:16" x14ac:dyDescent="0.25">
      <c r="A5367" t="s">
        <v>181</v>
      </c>
      <c r="B5367" t="s">
        <v>225</v>
      </c>
      <c r="C5367" s="7" t="s">
        <v>104</v>
      </c>
      <c r="D5367" t="s">
        <v>112</v>
      </c>
      <c r="F5367" s="35">
        <v>4.5</v>
      </c>
      <c r="G5367" s="35">
        <v>28.920332914798124</v>
      </c>
      <c r="H5367" s="35">
        <v>-9.0096481876356691</v>
      </c>
      <c r="I5367" s="35">
        <v>-4.5141031473857597E-2</v>
      </c>
      <c r="J5367" s="35">
        <v>2.1881296606272973E-3</v>
      </c>
      <c r="K5367" s="35">
        <v>-0.22582212239702085</v>
      </c>
      <c r="L5367" s="35">
        <v>-0.9298439259646234</v>
      </c>
      <c r="M5367" s="58" t="s">
        <v>24</v>
      </c>
      <c r="N5367" s="7">
        <v>9.5</v>
      </c>
      <c r="O5367" s="7" t="s">
        <v>179</v>
      </c>
      <c r="P5367" s="7" t="s">
        <v>179</v>
      </c>
    </row>
    <row r="5368" spans="1:16" x14ac:dyDescent="0.25">
      <c r="A5368" t="s">
        <v>181</v>
      </c>
      <c r="B5368" t="s">
        <v>225</v>
      </c>
      <c r="C5368" s="7" t="s">
        <v>104</v>
      </c>
      <c r="D5368" t="s">
        <v>112</v>
      </c>
      <c r="F5368" s="35">
        <v>8.9965005885644906</v>
      </c>
      <c r="G5368" s="35">
        <v>30.749953608484308</v>
      </c>
      <c r="H5368" s="35">
        <v>-26.00642041240944</v>
      </c>
      <c r="I5368" s="35">
        <v>-4.5141031473858638E-2</v>
      </c>
      <c r="J5368" s="35">
        <v>2.1881296606272973E-3</v>
      </c>
      <c r="K5368" s="35">
        <v>-2.2845447806409708E-2</v>
      </c>
      <c r="L5368" s="35">
        <v>77.795042608694018</v>
      </c>
      <c r="M5368" s="58" t="s">
        <v>23</v>
      </c>
      <c r="N5368" s="7">
        <v>9.5</v>
      </c>
      <c r="O5368" s="7" t="s">
        <v>179</v>
      </c>
      <c r="P5368" s="7" t="s">
        <v>179</v>
      </c>
    </row>
    <row r="5369" spans="1:16" x14ac:dyDescent="0.25">
      <c r="A5369" t="s">
        <v>181</v>
      </c>
      <c r="B5369" t="s">
        <v>225</v>
      </c>
      <c r="C5369" s="7" t="s">
        <v>104</v>
      </c>
      <c r="D5369" t="s">
        <v>113</v>
      </c>
      <c r="F5369" s="35">
        <v>0</v>
      </c>
      <c r="G5369" s="35">
        <v>-11.584633440127543</v>
      </c>
      <c r="H5369" s="35">
        <v>12.055530962415562</v>
      </c>
      <c r="I5369" s="35">
        <v>-4.6253815365247877E-2</v>
      </c>
      <c r="J5369" s="35">
        <v>-3.4087009819464453E-3</v>
      </c>
      <c r="K5369" s="35">
        <v>-0.41304543078677997</v>
      </c>
      <c r="L5369" s="35">
        <v>26.61436708183275</v>
      </c>
      <c r="M5369" s="58" t="s">
        <v>22</v>
      </c>
      <c r="N5369" s="7">
        <v>9.5</v>
      </c>
      <c r="O5369" s="7" t="s">
        <v>179</v>
      </c>
      <c r="P5369" s="7" t="s">
        <v>179</v>
      </c>
    </row>
    <row r="5370" spans="1:16" x14ac:dyDescent="0.25">
      <c r="A5370" t="s">
        <v>181</v>
      </c>
      <c r="B5370" t="s">
        <v>225</v>
      </c>
      <c r="C5370" s="7" t="s">
        <v>104</v>
      </c>
      <c r="D5370" t="s">
        <v>113</v>
      </c>
      <c r="F5370" s="35">
        <v>4.5</v>
      </c>
      <c r="G5370" s="35">
        <v>-9.7535888401275415</v>
      </c>
      <c r="H5370" s="35">
        <v>4.5711309624155607</v>
      </c>
      <c r="I5370" s="35">
        <v>-4.6253815365248335E-2</v>
      </c>
      <c r="J5370" s="35">
        <v>-3.4087009819464453E-3</v>
      </c>
      <c r="K5370" s="35">
        <v>-0.20490326164316358</v>
      </c>
      <c r="L5370" s="35">
        <v>-10.795622249037274</v>
      </c>
      <c r="M5370" s="58" t="s">
        <v>24</v>
      </c>
      <c r="N5370" s="7">
        <v>9.5</v>
      </c>
      <c r="O5370" s="7" t="s">
        <v>179</v>
      </c>
      <c r="P5370" s="7" t="s">
        <v>179</v>
      </c>
    </row>
    <row r="5371" spans="1:16" x14ac:dyDescent="0.25">
      <c r="A5371" t="s">
        <v>181</v>
      </c>
      <c r="B5371" t="s">
        <v>225</v>
      </c>
      <c r="C5371" s="7" t="s">
        <v>104</v>
      </c>
      <c r="D5371" t="s">
        <v>113</v>
      </c>
      <c r="F5371" s="35">
        <v>4.5</v>
      </c>
      <c r="G5371" s="35">
        <v>-8.9766404539904823</v>
      </c>
      <c r="H5371" s="35">
        <v>4.5711797719507183</v>
      </c>
      <c r="I5371" s="35">
        <v>-4.095693417618932E-2</v>
      </c>
      <c r="J5371" s="35">
        <v>2.2766797447728972E-3</v>
      </c>
      <c r="K5371" s="35">
        <v>-0.2049079428271923</v>
      </c>
      <c r="L5371" s="35">
        <v>-11.766810694018655</v>
      </c>
      <c r="M5371" s="58" t="s">
        <v>24</v>
      </c>
      <c r="N5371" s="7">
        <v>9.5</v>
      </c>
      <c r="O5371" s="7" t="s">
        <v>179</v>
      </c>
      <c r="P5371" s="7" t="s">
        <v>179</v>
      </c>
    </row>
    <row r="5372" spans="1:16" x14ac:dyDescent="0.25">
      <c r="A5372" t="s">
        <v>181</v>
      </c>
      <c r="B5372" t="s">
        <v>225</v>
      </c>
      <c r="C5372" s="7" t="s">
        <v>104</v>
      </c>
      <c r="D5372" t="s">
        <v>113</v>
      </c>
      <c r="F5372" s="35">
        <v>8.9965005885644906</v>
      </c>
      <c r="G5372" s="35">
        <v>-7.1470197603042962</v>
      </c>
      <c r="H5372" s="35">
        <v>-2.9074000069497408</v>
      </c>
      <c r="I5372" s="35">
        <v>-4.0956934176189785E-2</v>
      </c>
      <c r="J5372" s="35">
        <v>2.2766797447728972E-3</v>
      </c>
      <c r="K5372" s="35">
        <v>-2.0745064198158948E-2</v>
      </c>
      <c r="L5372" s="35">
        <v>-15.507404040302958</v>
      </c>
      <c r="M5372" s="58" t="s">
        <v>23</v>
      </c>
      <c r="N5372" s="7">
        <v>9.5</v>
      </c>
      <c r="O5372" s="7" t="s">
        <v>179</v>
      </c>
      <c r="P5372" s="7" t="s">
        <v>179</v>
      </c>
    </row>
    <row r="5373" spans="1:16" x14ac:dyDescent="0.25">
      <c r="A5373" t="s">
        <v>181</v>
      </c>
      <c r="B5373" t="s">
        <v>225</v>
      </c>
      <c r="C5373" s="7" t="s">
        <v>104</v>
      </c>
      <c r="D5373" t="s">
        <v>114</v>
      </c>
      <c r="F5373" s="35">
        <v>0</v>
      </c>
      <c r="G5373" s="35">
        <v>31.983330286226732</v>
      </c>
      <c r="H5373" s="35">
        <v>14.233078996059769</v>
      </c>
      <c r="I5373" s="35">
        <v>5.1325547698540877E-2</v>
      </c>
      <c r="J5373" s="35">
        <v>3.6501521117045781E-3</v>
      </c>
      <c r="K5373" s="35">
        <v>0.46016677873439965</v>
      </c>
      <c r="L5373" s="35">
        <v>6.0089457073016597</v>
      </c>
      <c r="M5373" s="58" t="s">
        <v>22</v>
      </c>
      <c r="N5373" s="7">
        <v>9.5</v>
      </c>
      <c r="O5373" s="7" t="s">
        <v>179</v>
      </c>
      <c r="P5373" s="7" t="s">
        <v>179</v>
      </c>
    </row>
    <row r="5374" spans="1:16" x14ac:dyDescent="0.25">
      <c r="A5374" t="s">
        <v>181</v>
      </c>
      <c r="B5374" t="s">
        <v>225</v>
      </c>
      <c r="C5374" s="7" t="s">
        <v>104</v>
      </c>
      <c r="D5374" t="s">
        <v>114</v>
      </c>
      <c r="F5374" s="35">
        <v>4.5</v>
      </c>
      <c r="G5374" s="35">
        <v>33.81437488622673</v>
      </c>
      <c r="H5374" s="35">
        <v>-9.5809210039402295</v>
      </c>
      <c r="I5374" s="35">
        <v>5.132554769853942E-2</v>
      </c>
      <c r="J5374" s="35">
        <v>3.6501521117045781E-3</v>
      </c>
      <c r="K5374" s="35">
        <v>0.22920181409096899</v>
      </c>
      <c r="L5374" s="35">
        <v>-4.4584097749673006</v>
      </c>
      <c r="M5374" s="58" t="s">
        <v>24</v>
      </c>
      <c r="N5374" s="7">
        <v>9.5</v>
      </c>
      <c r="O5374" s="7" t="s">
        <v>179</v>
      </c>
      <c r="P5374" s="7" t="s">
        <v>179</v>
      </c>
    </row>
    <row r="5375" spans="1:16" x14ac:dyDescent="0.25">
      <c r="A5375" t="s">
        <v>181</v>
      </c>
      <c r="B5375" t="s">
        <v>225</v>
      </c>
      <c r="C5375" s="7" t="s">
        <v>104</v>
      </c>
      <c r="D5375" t="s">
        <v>114</v>
      </c>
      <c r="F5375" s="35">
        <v>4.5</v>
      </c>
      <c r="G5375" s="35">
        <v>34.591320443708163</v>
      </c>
      <c r="H5375" s="35">
        <v>-9.5809370795789022</v>
      </c>
      <c r="I5375" s="35">
        <v>4.5817119904019377E-2</v>
      </c>
      <c r="J5375" s="35">
        <v>-2.3984355002152173E-3</v>
      </c>
      <c r="K5375" s="35">
        <v>0.22920882119505354</v>
      </c>
      <c r="L5375" s="35">
        <v>-5.4295951004678447</v>
      </c>
      <c r="M5375" s="58" t="s">
        <v>24</v>
      </c>
      <c r="N5375" s="7">
        <v>9.5</v>
      </c>
      <c r="O5375" s="7" t="s">
        <v>179</v>
      </c>
      <c r="P5375" s="7" t="s">
        <v>179</v>
      </c>
    </row>
    <row r="5376" spans="1:16" x14ac:dyDescent="0.25">
      <c r="A5376" t="s">
        <v>181</v>
      </c>
      <c r="B5376" t="s">
        <v>225</v>
      </c>
      <c r="C5376" s="7" t="s">
        <v>104</v>
      </c>
      <c r="D5376" t="s">
        <v>114</v>
      </c>
      <c r="F5376" s="35">
        <v>8.9965005885644906</v>
      </c>
      <c r="G5376" s="35">
        <v>36.420941137394351</v>
      </c>
      <c r="H5376" s="35">
        <v>-33.376418194262172</v>
      </c>
      <c r="I5376" s="35">
        <v>4.5817119904017919E-2</v>
      </c>
      <c r="J5376" s="35">
        <v>-2.3984355002152173E-3</v>
      </c>
      <c r="K5376" s="35">
        <v>2.3192114580303957E-2</v>
      </c>
      <c r="L5376" s="35">
        <v>91.149291535532257</v>
      </c>
      <c r="M5376" s="58" t="s">
        <v>23</v>
      </c>
      <c r="N5376" s="7">
        <v>9.5</v>
      </c>
      <c r="O5376" s="7" t="s">
        <v>179</v>
      </c>
      <c r="P5376" s="7" t="s">
        <v>179</v>
      </c>
    </row>
    <row r="5377" spans="1:16" x14ac:dyDescent="0.25">
      <c r="A5377" t="s">
        <v>181</v>
      </c>
      <c r="B5377" t="s">
        <v>225</v>
      </c>
      <c r="C5377" s="7" t="s">
        <v>104</v>
      </c>
      <c r="D5377" t="s">
        <v>115</v>
      </c>
      <c r="F5377" s="35">
        <v>0</v>
      </c>
      <c r="G5377" s="35">
        <v>-5.913543924382064</v>
      </c>
      <c r="H5377" s="35">
        <v>18.289009230458081</v>
      </c>
      <c r="I5377" s="35">
        <v>5.5464932787871478E-2</v>
      </c>
      <c r="J5377" s="35">
        <v>3.6313085695829786E-3</v>
      </c>
      <c r="K5377" s="35">
        <v>0.499892973475139</v>
      </c>
      <c r="L5377" s="35">
        <v>34.855165686899205</v>
      </c>
      <c r="M5377" s="58" t="s">
        <v>22</v>
      </c>
      <c r="N5377" s="7">
        <v>9.5</v>
      </c>
      <c r="O5377" s="7" t="s">
        <v>179</v>
      </c>
      <c r="P5377" s="7" t="s">
        <v>179</v>
      </c>
    </row>
    <row r="5378" spans="1:16" x14ac:dyDescent="0.25">
      <c r="A5378" t="s">
        <v>181</v>
      </c>
      <c r="B5378" t="s">
        <v>225</v>
      </c>
      <c r="C5378" s="7" t="s">
        <v>104</v>
      </c>
      <c r="D5378" t="s">
        <v>115</v>
      </c>
      <c r="F5378" s="35">
        <v>4.5</v>
      </c>
      <c r="G5378" s="35">
        <v>-4.0824993243820638</v>
      </c>
      <c r="H5378" s="35">
        <v>4.0006092304580756</v>
      </c>
      <c r="I5378" s="35">
        <v>5.5464932787870604E-2</v>
      </c>
      <c r="J5378" s="35">
        <v>3.6313085695829786E-3</v>
      </c>
      <c r="K5378" s="35">
        <v>0.25030077592971939</v>
      </c>
      <c r="L5378" s="35">
        <v>-15.296475850162134</v>
      </c>
      <c r="M5378" s="58" t="s">
        <v>24</v>
      </c>
      <c r="N5378" s="7">
        <v>9.5</v>
      </c>
      <c r="O5378" s="7" t="s">
        <v>179</v>
      </c>
      <c r="P5378" s="7" t="s">
        <v>179</v>
      </c>
    </row>
    <row r="5379" spans="1:16" x14ac:dyDescent="0.25">
      <c r="A5379" t="s">
        <v>181</v>
      </c>
      <c r="B5379" t="s">
        <v>225</v>
      </c>
      <c r="C5379" s="7" t="s">
        <v>104</v>
      </c>
      <c r="D5379" t="s">
        <v>115</v>
      </c>
      <c r="F5379" s="35">
        <v>4.5</v>
      </c>
      <c r="G5379" s="35">
        <v>-3.3055538986096211</v>
      </c>
      <c r="H5379" s="35">
        <v>4.0005910624071817</v>
      </c>
      <c r="I5379" s="35">
        <v>5.0038341055167995E-2</v>
      </c>
      <c r="J5379" s="35">
        <v>-2.3115219295139415E-3</v>
      </c>
      <c r="K5379" s="35">
        <v>0.25030839710819824</v>
      </c>
      <c r="L5379" s="35">
        <v>-16.267660628905482</v>
      </c>
      <c r="M5379" s="58" t="s">
        <v>24</v>
      </c>
      <c r="N5379" s="7">
        <v>9.5</v>
      </c>
      <c r="O5379" s="7" t="s">
        <v>179</v>
      </c>
      <c r="P5379" s="7" t="s">
        <v>179</v>
      </c>
    </row>
    <row r="5380" spans="1:16" x14ac:dyDescent="0.25">
      <c r="A5380" t="s">
        <v>181</v>
      </c>
      <c r="B5380" t="s">
        <v>225</v>
      </c>
      <c r="C5380" s="7" t="s">
        <v>104</v>
      </c>
      <c r="D5380" t="s">
        <v>115</v>
      </c>
      <c r="F5380" s="35">
        <v>8.9965005885644906</v>
      </c>
      <c r="G5380" s="35">
        <v>-1.4759332049234359</v>
      </c>
      <c r="H5380" s="35">
        <v>-10.276697606402786</v>
      </c>
      <c r="I5380" s="35">
        <v>5.0038341055167121E-2</v>
      </c>
      <c r="J5380" s="35">
        <v>-2.3115219295139415E-3</v>
      </c>
      <c r="K5380" s="35">
        <v>2.5310967102846731E-2</v>
      </c>
      <c r="L5380" s="35">
        <v>-2.1574022444206769</v>
      </c>
      <c r="M5380" s="58" t="s">
        <v>23</v>
      </c>
      <c r="N5380" s="7">
        <v>9.5</v>
      </c>
      <c r="O5380" s="7" t="s">
        <v>179</v>
      </c>
      <c r="P5380" s="7" t="s">
        <v>179</v>
      </c>
    </row>
    <row r="5381" spans="1:16" x14ac:dyDescent="0.25">
      <c r="A5381" t="s">
        <v>181</v>
      </c>
      <c r="B5381" t="s">
        <v>225</v>
      </c>
      <c r="C5381" s="7" t="s">
        <v>104</v>
      </c>
      <c r="D5381" t="s">
        <v>116</v>
      </c>
      <c r="F5381" s="35">
        <v>0</v>
      </c>
      <c r="G5381" s="35">
        <v>21.798226551445538</v>
      </c>
      <c r="H5381" s="35">
        <v>9.1460046308994301</v>
      </c>
      <c r="I5381" s="35">
        <v>-1.3224116603109508E-2</v>
      </c>
      <c r="J5381" s="35">
        <v>-2.7674098874536009E-4</v>
      </c>
      <c r="K5381" s="35">
        <v>-0.12407472863112987</v>
      </c>
      <c r="L5381" s="35">
        <v>23.691685839986178</v>
      </c>
      <c r="M5381" s="58" t="s">
        <v>22</v>
      </c>
      <c r="N5381" s="7">
        <v>9.5</v>
      </c>
      <c r="O5381" s="7" t="s">
        <v>179</v>
      </c>
      <c r="P5381" s="7" t="s">
        <v>179</v>
      </c>
    </row>
    <row r="5382" spans="1:16" x14ac:dyDescent="0.25">
      <c r="A5382" t="s">
        <v>181</v>
      </c>
      <c r="B5382" t="s">
        <v>225</v>
      </c>
      <c r="C5382" s="7" t="s">
        <v>104</v>
      </c>
      <c r="D5382" t="s">
        <v>116</v>
      </c>
      <c r="F5382" s="35">
        <v>4.5</v>
      </c>
      <c r="G5382" s="35">
        <v>23.62927115144554</v>
      </c>
      <c r="H5382" s="35">
        <v>-3.7815953691005735</v>
      </c>
      <c r="I5382" s="35">
        <v>-1.3224116603110301E-2</v>
      </c>
      <c r="J5382" s="35">
        <v>-2.7674098874536009E-4</v>
      </c>
      <c r="K5382" s="35">
        <v>-6.4566203917135287E-2</v>
      </c>
      <c r="L5382" s="35">
        <v>11.621765000938758</v>
      </c>
      <c r="M5382" s="58" t="s">
        <v>24</v>
      </c>
      <c r="N5382" s="7">
        <v>9.5</v>
      </c>
      <c r="O5382" s="7" t="s">
        <v>179</v>
      </c>
      <c r="P5382" s="7" t="s">
        <v>179</v>
      </c>
    </row>
    <row r="5383" spans="1:16" x14ac:dyDescent="0.25">
      <c r="A5383" t="s">
        <v>181</v>
      </c>
      <c r="B5383" t="s">
        <v>225</v>
      </c>
      <c r="C5383" s="7" t="s">
        <v>104</v>
      </c>
      <c r="D5383" t="s">
        <v>116</v>
      </c>
      <c r="F5383" s="35">
        <v>4.5</v>
      </c>
      <c r="G5383" s="35">
        <v>24.406218581827353</v>
      </c>
      <c r="H5383" s="35">
        <v>-3.7815926724143822</v>
      </c>
      <c r="I5383" s="35">
        <v>-1.2914553883947818E-2</v>
      </c>
      <c r="J5383" s="35">
        <v>4.6025873658189983E-5</v>
      </c>
      <c r="K5383" s="35">
        <v>-6.4567212913345329E-2</v>
      </c>
      <c r="L5383" s="35">
        <v>10.650578416331594</v>
      </c>
      <c r="M5383" s="58" t="s">
        <v>24</v>
      </c>
      <c r="N5383" s="7">
        <v>9.5</v>
      </c>
      <c r="O5383" s="7" t="s">
        <v>179</v>
      </c>
      <c r="P5383" s="7" t="s">
        <v>179</v>
      </c>
    </row>
    <row r="5384" spans="1:16" x14ac:dyDescent="0.25">
      <c r="A5384" t="s">
        <v>181</v>
      </c>
      <c r="B5384" t="s">
        <v>225</v>
      </c>
      <c r="C5384" s="7" t="s">
        <v>104</v>
      </c>
      <c r="D5384" t="s">
        <v>116</v>
      </c>
      <c r="F5384" s="35">
        <v>8.9965005885644906</v>
      </c>
      <c r="G5384" s="35">
        <v>26.235839275513538</v>
      </c>
      <c r="H5384" s="35">
        <v>-16.699139563242451</v>
      </c>
      <c r="I5384" s="35">
        <v>-1.2914553883948611E-2</v>
      </c>
      <c r="J5384" s="35">
        <v>4.6025873658189983E-5</v>
      </c>
      <c r="K5384" s="35">
        <v>-6.4969137731243848E-3</v>
      </c>
      <c r="L5384" s="35">
        <v>56.696390692262888</v>
      </c>
      <c r="M5384" s="58" t="s">
        <v>23</v>
      </c>
      <c r="N5384" s="7">
        <v>9.5</v>
      </c>
      <c r="O5384" s="7" t="s">
        <v>179</v>
      </c>
      <c r="P5384" s="7" t="s">
        <v>179</v>
      </c>
    </row>
    <row r="5385" spans="1:16" x14ac:dyDescent="0.25">
      <c r="A5385" t="s">
        <v>181</v>
      </c>
      <c r="B5385" t="s">
        <v>225</v>
      </c>
      <c r="C5385" s="7" t="s">
        <v>104</v>
      </c>
      <c r="D5385" t="s">
        <v>117</v>
      </c>
      <c r="F5385" s="35">
        <v>0</v>
      </c>
      <c r="G5385" s="35">
        <v>-26.346304218440018</v>
      </c>
      <c r="H5385" s="35">
        <v>23.781097204530301</v>
      </c>
      <c r="I5385" s="35">
        <v>-1.2452499580995724E-2</v>
      </c>
      <c r="J5385" s="35">
        <v>-3.9538634483856939E-4</v>
      </c>
      <c r="K5385" s="35">
        <v>-0.11541550197562978</v>
      </c>
      <c r="L5385" s="35">
        <v>110.835429307773</v>
      </c>
      <c r="M5385" s="58" t="s">
        <v>22</v>
      </c>
      <c r="N5385" s="7">
        <v>9.5</v>
      </c>
      <c r="O5385" s="7" t="s">
        <v>179</v>
      </c>
      <c r="P5385" s="7" t="s">
        <v>179</v>
      </c>
    </row>
    <row r="5386" spans="1:16" x14ac:dyDescent="0.25">
      <c r="A5386" t="s">
        <v>181</v>
      </c>
      <c r="B5386" t="s">
        <v>225</v>
      </c>
      <c r="C5386" s="7" t="s">
        <v>104</v>
      </c>
      <c r="D5386" t="s">
        <v>117</v>
      </c>
      <c r="F5386" s="35">
        <v>4.5</v>
      </c>
      <c r="G5386" s="35">
        <v>-24.515259618440016</v>
      </c>
      <c r="H5386" s="35">
        <v>20.379097204530304</v>
      </c>
      <c r="I5386" s="35">
        <v>-1.2452499580995931E-2</v>
      </c>
      <c r="J5386" s="35">
        <v>-3.9538634483856939E-4</v>
      </c>
      <c r="K5386" s="35">
        <v>-5.9379253861148534E-2</v>
      </c>
      <c r="L5386" s="35">
        <v>11.474991887386651</v>
      </c>
      <c r="M5386" s="58" t="s">
        <v>24</v>
      </c>
      <c r="N5386" s="7">
        <v>9.5</v>
      </c>
      <c r="O5386" s="7" t="s">
        <v>179</v>
      </c>
      <c r="P5386" s="7" t="s">
        <v>179</v>
      </c>
    </row>
    <row r="5387" spans="1:16" x14ac:dyDescent="0.25">
      <c r="A5387" t="s">
        <v>181</v>
      </c>
      <c r="B5387" t="s">
        <v>225</v>
      </c>
      <c r="C5387" s="7" t="s">
        <v>104</v>
      </c>
      <c r="D5387" t="s">
        <v>117</v>
      </c>
      <c r="F5387" s="35">
        <v>4.5</v>
      </c>
      <c r="G5387" s="35">
        <v>-23.73831223412428</v>
      </c>
      <c r="H5387" s="35">
        <v>20.379108972915464</v>
      </c>
      <c r="I5387" s="35">
        <v>-1.1878610950996505E-2</v>
      </c>
      <c r="J5387" s="35">
        <v>1.9397128666827397E-4</v>
      </c>
      <c r="K5387" s="35">
        <v>-5.9380060878059172E-2</v>
      </c>
      <c r="L5387" s="35">
        <v>10.503806079847079</v>
      </c>
      <c r="M5387" s="58" t="s">
        <v>24</v>
      </c>
      <c r="N5387" s="7">
        <v>9.5</v>
      </c>
      <c r="O5387" s="7" t="s">
        <v>179</v>
      </c>
      <c r="P5387" s="7" t="s">
        <v>179</v>
      </c>
    </row>
    <row r="5388" spans="1:16" x14ac:dyDescent="0.25">
      <c r="A5388" t="s">
        <v>181</v>
      </c>
      <c r="B5388" t="s">
        <v>225</v>
      </c>
      <c r="C5388" s="7" t="s">
        <v>104</v>
      </c>
      <c r="D5388" t="s">
        <v>117</v>
      </c>
      <c r="F5388" s="35">
        <v>8.9965005885644906</v>
      </c>
      <c r="G5388" s="35">
        <v>-21.908691540438095</v>
      </c>
      <c r="H5388" s="35">
        <v>16.979754527960708</v>
      </c>
      <c r="I5388" s="35">
        <v>-1.1878610950996713E-2</v>
      </c>
      <c r="J5388" s="35">
        <v>1.9397128666827397E-4</v>
      </c>
      <c r="K5388" s="35">
        <v>-5.9678797455743442E-3</v>
      </c>
      <c r="L5388" s="35">
        <v>-73.488269780047958</v>
      </c>
      <c r="M5388" s="58" t="s">
        <v>23</v>
      </c>
      <c r="N5388" s="7">
        <v>9.5</v>
      </c>
      <c r="O5388" s="7" t="s">
        <v>179</v>
      </c>
      <c r="P5388" s="7" t="s">
        <v>179</v>
      </c>
    </row>
    <row r="5389" spans="1:16" x14ac:dyDescent="0.25">
      <c r="A5389" t="s">
        <v>181</v>
      </c>
      <c r="B5389" t="s">
        <v>225</v>
      </c>
      <c r="C5389" s="7" t="s">
        <v>104</v>
      </c>
      <c r="D5389" t="s">
        <v>118</v>
      </c>
      <c r="F5389" s="35">
        <v>0</v>
      </c>
      <c r="G5389" s="35">
        <v>37.107925740197622</v>
      </c>
      <c r="H5389" s="35">
        <v>-34.194555284883791</v>
      </c>
      <c r="I5389" s="35">
        <v>-1.4918367553257416E-2</v>
      </c>
      <c r="J5389" s="35">
        <v>-2.6235189500747137E-4</v>
      </c>
      <c r="K5389" s="35">
        <v>-0.14029402009682146</v>
      </c>
      <c r="L5389" s="35">
        <v>-101.90576376974123</v>
      </c>
      <c r="M5389" s="58" t="s">
        <v>22</v>
      </c>
      <c r="N5389" s="7">
        <v>9.5</v>
      </c>
      <c r="O5389" s="7" t="s">
        <v>179</v>
      </c>
      <c r="P5389" s="7" t="s">
        <v>179</v>
      </c>
    </row>
    <row r="5390" spans="1:16" x14ac:dyDescent="0.25">
      <c r="A5390" t="s">
        <v>181</v>
      </c>
      <c r="B5390" t="s">
        <v>225</v>
      </c>
      <c r="C5390" s="7" t="s">
        <v>104</v>
      </c>
      <c r="D5390" t="s">
        <v>118</v>
      </c>
      <c r="F5390" s="35">
        <v>4.5</v>
      </c>
      <c r="G5390" s="35">
        <v>38.938970340197621</v>
      </c>
      <c r="H5390" s="35">
        <v>-21.947355284883795</v>
      </c>
      <c r="I5390" s="35">
        <v>-1.4918367553256666E-2</v>
      </c>
      <c r="J5390" s="35">
        <v>-2.6235189500747137E-4</v>
      </c>
      <c r="K5390" s="35">
        <v>-7.3161366107164796E-2</v>
      </c>
      <c r="L5390" s="35">
        <v>24.413535012235826</v>
      </c>
      <c r="M5390" s="58" t="s">
        <v>24</v>
      </c>
      <c r="N5390" s="7">
        <v>9.5</v>
      </c>
      <c r="O5390" s="7" t="s">
        <v>179</v>
      </c>
      <c r="P5390" s="7" t="s">
        <v>179</v>
      </c>
    </row>
    <row r="5391" spans="1:16" x14ac:dyDescent="0.25">
      <c r="A5391" t="s">
        <v>181</v>
      </c>
      <c r="B5391" t="s">
        <v>225</v>
      </c>
      <c r="C5391" s="7" t="s">
        <v>104</v>
      </c>
      <c r="D5391" t="s">
        <v>118</v>
      </c>
      <c r="F5391" s="35">
        <v>4.5</v>
      </c>
      <c r="G5391" s="35">
        <v>39.715917830530778</v>
      </c>
      <c r="H5391" s="35">
        <v>-21.94734460568338</v>
      </c>
      <c r="I5391" s="35">
        <v>-1.4636728351588761E-2</v>
      </c>
      <c r="J5391" s="35">
        <v>-3.7695177554944612E-6</v>
      </c>
      <c r="K5391" s="35">
        <v>-7.3162656211323965E-2</v>
      </c>
      <c r="L5391" s="35">
        <v>23.442348583144152</v>
      </c>
      <c r="M5391" s="58" t="s">
        <v>24</v>
      </c>
      <c r="N5391" s="7">
        <v>9.5</v>
      </c>
      <c r="O5391" s="7" t="s">
        <v>179</v>
      </c>
      <c r="P5391" s="7" t="s">
        <v>179</v>
      </c>
    </row>
    <row r="5392" spans="1:16" x14ac:dyDescent="0.25">
      <c r="A5392" t="s">
        <v>181</v>
      </c>
      <c r="B5392" t="s">
        <v>225</v>
      </c>
      <c r="C5392" s="7" t="s">
        <v>104</v>
      </c>
      <c r="D5392" t="s">
        <v>118</v>
      </c>
      <c r="F5392" s="35">
        <v>8.9965005885644906</v>
      </c>
      <c r="G5392" s="35">
        <v>41.545538524216965</v>
      </c>
      <c r="H5392" s="35">
        <v>-9.7096686038462696</v>
      </c>
      <c r="I5392" s="35">
        <v>-1.4636728351588012E-2</v>
      </c>
      <c r="J5392" s="35">
        <v>-3.7695177554944612E-6</v>
      </c>
      <c r="K5392" s="35">
        <v>-7.3485985637482543E-3</v>
      </c>
      <c r="L5392" s="35">
        <v>94.615237847566092</v>
      </c>
      <c r="M5392" s="58" t="s">
        <v>23</v>
      </c>
      <c r="N5392" s="7">
        <v>9.5</v>
      </c>
      <c r="O5392" s="7" t="s">
        <v>179</v>
      </c>
      <c r="P5392" s="7" t="s">
        <v>179</v>
      </c>
    </row>
    <row r="5393" spans="1:16" x14ac:dyDescent="0.25">
      <c r="A5393" t="s">
        <v>181</v>
      </c>
      <c r="B5393" t="s">
        <v>225</v>
      </c>
      <c r="C5393" s="7" t="s">
        <v>104</v>
      </c>
      <c r="D5393" t="s">
        <v>119</v>
      </c>
      <c r="F5393" s="35">
        <v>0</v>
      </c>
      <c r="G5393" s="35">
        <v>-69.378189548844404</v>
      </c>
      <c r="H5393" s="35">
        <v>-11.102061789210204</v>
      </c>
      <c r="I5393" s="35">
        <v>-1.3936591828580223E-2</v>
      </c>
      <c r="J5393" s="35">
        <v>-5.6407929930523272E-4</v>
      </c>
      <c r="K5393" s="35">
        <v>-0.12802439127338297</v>
      </c>
      <c r="L5393" s="35">
        <v>-33.46635175879652</v>
      </c>
      <c r="M5393" s="58" t="s">
        <v>22</v>
      </c>
      <c r="N5393" s="7">
        <v>9.5</v>
      </c>
      <c r="O5393" s="7" t="s">
        <v>179</v>
      </c>
      <c r="P5393" s="7" t="s">
        <v>179</v>
      </c>
    </row>
    <row r="5394" spans="1:16" x14ac:dyDescent="0.25">
      <c r="A5394" t="s">
        <v>181</v>
      </c>
      <c r="B5394" t="s">
        <v>225</v>
      </c>
      <c r="C5394" s="7" t="s">
        <v>104</v>
      </c>
      <c r="D5394" t="s">
        <v>119</v>
      </c>
      <c r="F5394" s="35">
        <v>4.5</v>
      </c>
      <c r="G5394" s="35">
        <v>-67.547144948844391</v>
      </c>
      <c r="H5394" s="35">
        <v>10.670738210789798</v>
      </c>
      <c r="I5394" s="35">
        <v>-1.3936591828578891E-2</v>
      </c>
      <c r="J5394" s="35">
        <v>-5.6407929930523272E-4</v>
      </c>
      <c r="K5394" s="35">
        <v>-6.5309728044774945E-2</v>
      </c>
      <c r="L5394" s="35">
        <v>-32.495873707350611</v>
      </c>
      <c r="M5394" s="58" t="s">
        <v>24</v>
      </c>
      <c r="N5394" s="7">
        <v>9.5</v>
      </c>
      <c r="O5394" s="7" t="s">
        <v>179</v>
      </c>
      <c r="P5394" s="7" t="s">
        <v>179</v>
      </c>
    </row>
    <row r="5395" spans="1:16" x14ac:dyDescent="0.25">
      <c r="A5395" t="s">
        <v>181</v>
      </c>
      <c r="B5395" t="s">
        <v>225</v>
      </c>
      <c r="C5395" s="7" t="s">
        <v>104</v>
      </c>
      <c r="D5395" t="s">
        <v>119</v>
      </c>
      <c r="F5395" s="35">
        <v>4.5</v>
      </c>
      <c r="G5395" s="35">
        <v>-66.770197517246729</v>
      </c>
      <c r="H5395" s="35">
        <v>10.670762690575756</v>
      </c>
      <c r="I5395" s="35">
        <v>-1.3064419227862556E-2</v>
      </c>
      <c r="J5395" s="35">
        <v>3.0970932249020595E-4</v>
      </c>
      <c r="K5395" s="35">
        <v>-6.5310765233958831E-2</v>
      </c>
      <c r="L5395" s="35">
        <v>-33.467059345182641</v>
      </c>
      <c r="M5395" s="58" t="s">
        <v>24</v>
      </c>
      <c r="N5395" s="7">
        <v>9.5</v>
      </c>
      <c r="O5395" s="7" t="s">
        <v>179</v>
      </c>
      <c r="P5395" s="7" t="s">
        <v>179</v>
      </c>
    </row>
    <row r="5396" spans="1:16" x14ac:dyDescent="0.25">
      <c r="A5396" t="s">
        <v>181</v>
      </c>
      <c r="B5396" t="s">
        <v>225</v>
      </c>
      <c r="C5396" s="7" t="s">
        <v>104</v>
      </c>
      <c r="D5396" t="s">
        <v>119</v>
      </c>
      <c r="F5396" s="35">
        <v>8.9965005885644906</v>
      </c>
      <c r="G5396" s="35">
        <v>-64.940576823560534</v>
      </c>
      <c r="H5396" s="35">
        <v>32.426631138286183</v>
      </c>
      <c r="I5396" s="35">
        <v>-1.3064419227861224E-2</v>
      </c>
      <c r="J5396" s="35">
        <v>3.0970932249020595E-4</v>
      </c>
      <c r="K5396" s="35">
        <v>-6.566596486624633E-3</v>
      </c>
      <c r="L5396" s="35">
        <v>-130.3607877037193</v>
      </c>
      <c r="M5396" s="58" t="s">
        <v>23</v>
      </c>
      <c r="N5396" s="7">
        <v>9.5</v>
      </c>
      <c r="O5396" s="7" t="s">
        <v>179</v>
      </c>
      <c r="P5396" s="7" t="s">
        <v>179</v>
      </c>
    </row>
    <row r="5397" spans="1:16" x14ac:dyDescent="0.25">
      <c r="A5397" t="s">
        <v>181</v>
      </c>
      <c r="B5397" t="s">
        <v>225</v>
      </c>
      <c r="C5397" s="7" t="s">
        <v>104</v>
      </c>
      <c r="D5397" t="s">
        <v>120</v>
      </c>
      <c r="F5397" s="35">
        <v>0</v>
      </c>
      <c r="G5397" s="35">
        <v>37.479132108170646</v>
      </c>
      <c r="H5397" s="35">
        <v>5.62018279750834</v>
      </c>
      <c r="I5397" s="35">
        <v>-5.5496467764034656E-2</v>
      </c>
      <c r="J5397" s="35">
        <v>-3.724390089038584E-3</v>
      </c>
      <c r="K5397" s="35">
        <v>-0.49871352648774636</v>
      </c>
      <c r="L5397" s="35">
        <v>-12.956791259330418</v>
      </c>
      <c r="M5397" s="58" t="s">
        <v>22</v>
      </c>
      <c r="N5397" s="7">
        <v>9.5</v>
      </c>
      <c r="O5397" s="7" t="s">
        <v>179</v>
      </c>
      <c r="P5397" s="7" t="s">
        <v>179</v>
      </c>
    </row>
    <row r="5398" spans="1:16" x14ac:dyDescent="0.25">
      <c r="A5398" t="s">
        <v>181</v>
      </c>
      <c r="B5398" t="s">
        <v>225</v>
      </c>
      <c r="C5398" s="7" t="s">
        <v>104</v>
      </c>
      <c r="D5398" t="s">
        <v>120</v>
      </c>
      <c r="F5398" s="35">
        <v>4.5</v>
      </c>
      <c r="G5398" s="35">
        <v>39.310176708170651</v>
      </c>
      <c r="H5398" s="35">
        <v>-13.279817202491662</v>
      </c>
      <c r="I5398" s="35">
        <v>-5.5496467764035808E-2</v>
      </c>
      <c r="J5398" s="35">
        <v>-3.724390089038584E-3</v>
      </c>
      <c r="K5398" s="35">
        <v>-0.24897942154958783</v>
      </c>
      <c r="L5398" s="35">
        <v>4.2773861518820437</v>
      </c>
      <c r="M5398" s="58" t="s">
        <v>24</v>
      </c>
      <c r="N5398" s="7">
        <v>9.5</v>
      </c>
      <c r="O5398" s="7" t="s">
        <v>179</v>
      </c>
      <c r="P5398" s="7" t="s">
        <v>179</v>
      </c>
    </row>
    <row r="5399" spans="1:16" x14ac:dyDescent="0.25">
      <c r="A5399" t="s">
        <v>181</v>
      </c>
      <c r="B5399" t="s">
        <v>225</v>
      </c>
      <c r="C5399" s="7" t="s">
        <v>104</v>
      </c>
      <c r="D5399" t="s">
        <v>120</v>
      </c>
      <c r="F5399" s="35">
        <v>4.5</v>
      </c>
      <c r="G5399" s="35">
        <v>40.087125378906052</v>
      </c>
      <c r="H5399" s="35">
        <v>-13.279761387055602</v>
      </c>
      <c r="I5399" s="35">
        <v>-4.977118525299485E-2</v>
      </c>
      <c r="J5399" s="35">
        <v>2.400351525376048E-3</v>
      </c>
      <c r="K5399" s="35">
        <v>-0.24898534267100603</v>
      </c>
      <c r="L5399" s="35">
        <v>3.3061967145459161</v>
      </c>
      <c r="M5399" s="58" t="s">
        <v>24</v>
      </c>
      <c r="N5399" s="7">
        <v>9.5</v>
      </c>
      <c r="O5399" s="7" t="s">
        <v>179</v>
      </c>
      <c r="P5399" s="7" t="s">
        <v>179</v>
      </c>
    </row>
    <row r="5400" spans="1:16" x14ac:dyDescent="0.25">
      <c r="A5400" t="s">
        <v>181</v>
      </c>
      <c r="B5400" t="s">
        <v>225</v>
      </c>
      <c r="C5400" s="7" t="s">
        <v>104</v>
      </c>
      <c r="D5400" t="s">
        <v>120</v>
      </c>
      <c r="F5400" s="35">
        <v>8.9965005885644906</v>
      </c>
      <c r="G5400" s="35">
        <v>41.916746072592233</v>
      </c>
      <c r="H5400" s="35">
        <v>-32.165063859026453</v>
      </c>
      <c r="I5400" s="35">
        <v>-4.9771185252996009E-2</v>
      </c>
      <c r="J5400" s="35">
        <v>2.400351525376048E-3</v>
      </c>
      <c r="K5400" s="35">
        <v>-2.51891788873599E-2</v>
      </c>
      <c r="L5400" s="35">
        <v>105.47753844765505</v>
      </c>
      <c r="M5400" s="58" t="s">
        <v>23</v>
      </c>
      <c r="N5400" s="7">
        <v>9.5</v>
      </c>
      <c r="O5400" s="7" t="s">
        <v>179</v>
      </c>
      <c r="P5400" s="7" t="s">
        <v>179</v>
      </c>
    </row>
    <row r="5401" spans="1:16" x14ac:dyDescent="0.25">
      <c r="A5401" t="s">
        <v>181</v>
      </c>
      <c r="B5401" t="s">
        <v>225</v>
      </c>
      <c r="C5401" s="7" t="s">
        <v>104</v>
      </c>
      <c r="D5401" t="s">
        <v>121</v>
      </c>
      <c r="F5401" s="35">
        <v>0</v>
      </c>
      <c r="G5401" s="35">
        <v>-4.6286159343086828</v>
      </c>
      <c r="H5401" s="35">
        <v>10.125993739531912</v>
      </c>
      <c r="I5401" s="35">
        <v>-5.0943420868898893E-2</v>
      </c>
      <c r="J5401" s="35">
        <v>-3.7482382792695499E-3</v>
      </c>
      <c r="K5401" s="35">
        <v>-0.45498751507697527</v>
      </c>
      <c r="L5401" s="35">
        <v>19.092283183712887</v>
      </c>
      <c r="M5401" s="58" t="s">
        <v>22</v>
      </c>
      <c r="N5401" s="7">
        <v>9.5</v>
      </c>
      <c r="O5401" s="7" t="s">
        <v>179</v>
      </c>
      <c r="P5401" s="7" t="s">
        <v>179</v>
      </c>
    </row>
    <row r="5402" spans="1:16" x14ac:dyDescent="0.25">
      <c r="A5402" t="s">
        <v>181</v>
      </c>
      <c r="B5402" t="s">
        <v>225</v>
      </c>
      <c r="C5402" s="7" t="s">
        <v>104</v>
      </c>
      <c r="D5402" t="s">
        <v>121</v>
      </c>
      <c r="F5402" s="35">
        <v>4.5</v>
      </c>
      <c r="G5402" s="35">
        <v>-2.7975713343086821</v>
      </c>
      <c r="H5402" s="35">
        <v>1.8099937395319099</v>
      </c>
      <c r="I5402" s="35">
        <v>-5.09434208688994E-2</v>
      </c>
      <c r="J5402" s="35">
        <v>-3.7482382792695499E-3</v>
      </c>
      <c r="K5402" s="35">
        <v>-0.2257421211669291</v>
      </c>
      <c r="L5402" s="35">
        <v>-7.7636886441807134</v>
      </c>
      <c r="M5402" s="58" t="s">
        <v>24</v>
      </c>
      <c r="N5402" s="7">
        <v>9.5</v>
      </c>
      <c r="O5402" s="7" t="s">
        <v>179</v>
      </c>
      <c r="P5402" s="7" t="s">
        <v>179</v>
      </c>
    </row>
    <row r="5403" spans="1:16" x14ac:dyDescent="0.25">
      <c r="A5403" t="s">
        <v>181</v>
      </c>
      <c r="B5403" t="s">
        <v>225</v>
      </c>
      <c r="C5403" s="7" t="s">
        <v>104</v>
      </c>
      <c r="D5403" t="s">
        <v>121</v>
      </c>
      <c r="F5403" s="35">
        <v>4.5</v>
      </c>
      <c r="G5403" s="35">
        <v>-2.0206228086368423</v>
      </c>
      <c r="H5403" s="35">
        <v>1.8100474569292706</v>
      </c>
      <c r="I5403" s="35">
        <v>-4.5122188255585657E-2</v>
      </c>
      <c r="J5403" s="35">
        <v>2.4987405077600481E-3</v>
      </c>
      <c r="K5403" s="35">
        <v>-0.22574736537119655</v>
      </c>
      <c r="L5403" s="35">
        <v>-8.734877472180786</v>
      </c>
      <c r="M5403" s="58" t="s">
        <v>24</v>
      </c>
      <c r="N5403" s="7">
        <v>9.5</v>
      </c>
      <c r="O5403" s="7" t="s">
        <v>179</v>
      </c>
      <c r="P5403" s="7" t="s">
        <v>179</v>
      </c>
    </row>
    <row r="5404" spans="1:16" x14ac:dyDescent="0.25">
      <c r="A5404" t="s">
        <v>181</v>
      </c>
      <c r="B5404" t="s">
        <v>225</v>
      </c>
      <c r="C5404" s="7" t="s">
        <v>104</v>
      </c>
      <c r="D5404" t="s">
        <v>121</v>
      </c>
      <c r="F5404" s="35">
        <v>8.9965005885644906</v>
      </c>
      <c r="G5404" s="35">
        <v>-0.19100211495065739</v>
      </c>
      <c r="H5404" s="35">
        <v>-6.4994856307379036</v>
      </c>
      <c r="I5404" s="35">
        <v>-4.5122188255586164E-2</v>
      </c>
      <c r="J5404" s="35">
        <v>2.4987405077600481E-3</v>
      </c>
      <c r="K5404" s="35">
        <v>-2.2855419322636836E-2</v>
      </c>
      <c r="L5404" s="35">
        <v>1.8081532821028525</v>
      </c>
      <c r="M5404" s="58" t="s">
        <v>23</v>
      </c>
      <c r="N5404" s="7">
        <v>9.5</v>
      </c>
      <c r="O5404" s="7" t="s">
        <v>179</v>
      </c>
      <c r="P5404" s="7" t="s">
        <v>179</v>
      </c>
    </row>
    <row r="5405" spans="1:16" x14ac:dyDescent="0.25">
      <c r="A5405" t="s">
        <v>181</v>
      </c>
      <c r="B5405" t="s">
        <v>225</v>
      </c>
      <c r="C5405" s="7" t="s">
        <v>104</v>
      </c>
      <c r="D5405" t="s">
        <v>122</v>
      </c>
      <c r="F5405" s="35">
        <v>0</v>
      </c>
      <c r="G5405" s="35">
        <v>43.780232650529392</v>
      </c>
      <c r="H5405" s="35">
        <v>12.545491554692141</v>
      </c>
      <c r="I5405" s="35">
        <v>5.7478093646421945E-2</v>
      </c>
      <c r="J5405" s="35">
        <v>4.0949318247871427E-3</v>
      </c>
      <c r="K5405" s="35">
        <v>0.51524827327989098</v>
      </c>
      <c r="L5405" s="35">
        <v>-3.8026294546549906</v>
      </c>
      <c r="M5405" s="58" t="s">
        <v>22</v>
      </c>
      <c r="N5405" s="7">
        <v>9.5</v>
      </c>
      <c r="O5405" s="7" t="s">
        <v>179</v>
      </c>
      <c r="P5405" s="7" t="s">
        <v>179</v>
      </c>
    </row>
    <row r="5406" spans="1:16" x14ac:dyDescent="0.25">
      <c r="A5406" t="s">
        <v>181</v>
      </c>
      <c r="B5406" t="s">
        <v>225</v>
      </c>
      <c r="C5406" s="7" t="s">
        <v>104</v>
      </c>
      <c r="D5406" t="s">
        <v>122</v>
      </c>
      <c r="F5406" s="35">
        <v>4.5</v>
      </c>
      <c r="G5406" s="35">
        <v>45.611277250529398</v>
      </c>
      <c r="H5406" s="35">
        <v>-13.914508445307858</v>
      </c>
      <c r="I5406" s="35">
        <v>5.7478093646420321E-2</v>
      </c>
      <c r="J5406" s="35">
        <v>4.0949318247871427E-3</v>
      </c>
      <c r="K5406" s="35">
        <v>0.25659685187099596</v>
      </c>
      <c r="L5406" s="35">
        <v>-0.72234145076962919</v>
      </c>
      <c r="M5406" s="58" t="s">
        <v>24</v>
      </c>
      <c r="N5406" s="7">
        <v>9.5</v>
      </c>
      <c r="O5406" s="7" t="s">
        <v>179</v>
      </c>
      <c r="P5406" s="7" t="s">
        <v>179</v>
      </c>
    </row>
    <row r="5407" spans="1:16" x14ac:dyDescent="0.25">
      <c r="A5407" t="s">
        <v>181</v>
      </c>
      <c r="B5407" t="s">
        <v>225</v>
      </c>
      <c r="C5407" s="7" t="s">
        <v>104</v>
      </c>
      <c r="D5407" t="s">
        <v>122</v>
      </c>
      <c r="F5407" s="35">
        <v>4.5</v>
      </c>
      <c r="G5407" s="35">
        <v>46.388222633250528</v>
      </c>
      <c r="H5407" s="35">
        <v>-13.914526822548083</v>
      </c>
      <c r="I5407" s="35">
        <v>5.1293427389090672E-2</v>
      </c>
      <c r="J5407" s="35">
        <v>-2.6958319866711897E-3</v>
      </c>
      <c r="K5407" s="35">
        <v>0.25660459465352103</v>
      </c>
      <c r="L5407" s="35">
        <v>-1.6935268126798864</v>
      </c>
      <c r="M5407" s="58" t="s">
        <v>24</v>
      </c>
      <c r="N5407" s="7">
        <v>9.5</v>
      </c>
      <c r="O5407" s="7" t="s">
        <v>179</v>
      </c>
      <c r="P5407" s="7" t="s">
        <v>179</v>
      </c>
    </row>
    <row r="5408" spans="1:16" x14ac:dyDescent="0.25">
      <c r="A5408" t="s">
        <v>181</v>
      </c>
      <c r="B5408" t="s">
        <v>225</v>
      </c>
      <c r="C5408" s="7" t="s">
        <v>104</v>
      </c>
      <c r="D5408" t="s">
        <v>122</v>
      </c>
      <c r="F5408" s="35">
        <v>8.9965005885644906</v>
      </c>
      <c r="G5408" s="35">
        <v>48.217843326936716</v>
      </c>
      <c r="H5408" s="35">
        <v>-40.35395028330727</v>
      </c>
      <c r="I5408" s="35">
        <v>5.1293427389089048E-2</v>
      </c>
      <c r="J5408" s="35">
        <v>-2.6958319866711897E-3</v>
      </c>
      <c r="K5408" s="35">
        <v>2.5963668208988617E-2</v>
      </c>
      <c r="L5408" s="35">
        <v>120.31559281080865</v>
      </c>
      <c r="M5408" s="58" t="s">
        <v>23</v>
      </c>
      <c r="N5408" s="7">
        <v>9.5</v>
      </c>
      <c r="O5408" s="7" t="s">
        <v>179</v>
      </c>
      <c r="P5408" s="7" t="s">
        <v>179</v>
      </c>
    </row>
    <row r="5409" spans="1:16" x14ac:dyDescent="0.25">
      <c r="A5409" t="s">
        <v>181</v>
      </c>
      <c r="B5409" t="s">
        <v>225</v>
      </c>
      <c r="C5409" s="7" t="s">
        <v>104</v>
      </c>
      <c r="D5409" t="s">
        <v>123</v>
      </c>
      <c r="F5409" s="35">
        <v>0</v>
      </c>
      <c r="G5409" s="35">
        <v>1.672594638741844</v>
      </c>
      <c r="H5409" s="35">
        <v>17.052080704023595</v>
      </c>
      <c r="I5409" s="35">
        <v>6.2077410412344824E-2</v>
      </c>
      <c r="J5409" s="35">
        <v>4.073994555763143E-3</v>
      </c>
      <c r="K5409" s="35">
        <v>0.55938848965849031</v>
      </c>
      <c r="L5409" s="35">
        <v>28.248726078231172</v>
      </c>
      <c r="M5409" s="58" t="s">
        <v>22</v>
      </c>
      <c r="N5409" s="7">
        <v>9.5</v>
      </c>
      <c r="O5409" s="7" t="s">
        <v>179</v>
      </c>
      <c r="P5409" s="7" t="s">
        <v>179</v>
      </c>
    </row>
    <row r="5410" spans="1:16" x14ac:dyDescent="0.25">
      <c r="A5410" t="s">
        <v>181</v>
      </c>
      <c r="B5410" t="s">
        <v>225</v>
      </c>
      <c r="C5410" s="7" t="s">
        <v>104</v>
      </c>
      <c r="D5410" t="s">
        <v>123</v>
      </c>
      <c r="F5410" s="35">
        <v>4.5</v>
      </c>
      <c r="G5410" s="35">
        <v>3.5036392387418447</v>
      </c>
      <c r="H5410" s="35">
        <v>1.1760807040235939</v>
      </c>
      <c r="I5410" s="35">
        <v>6.207741041234386E-2</v>
      </c>
      <c r="J5410" s="35">
        <v>4.073994555763143E-3</v>
      </c>
      <c r="K5410" s="35">
        <v>0.28004014280294076</v>
      </c>
      <c r="L5410" s="35">
        <v>-12.764637089875</v>
      </c>
      <c r="M5410" s="58" t="s">
        <v>24</v>
      </c>
      <c r="N5410" s="7">
        <v>9.5</v>
      </c>
      <c r="O5410" s="7" t="s">
        <v>179</v>
      </c>
      <c r="P5410" s="7" t="s">
        <v>179</v>
      </c>
    </row>
    <row r="5411" spans="1:16" x14ac:dyDescent="0.25">
      <c r="A5411" t="s">
        <v>181</v>
      </c>
      <c r="B5411" t="s">
        <v>225</v>
      </c>
      <c r="C5411" s="7" t="s">
        <v>104</v>
      </c>
      <c r="D5411" t="s">
        <v>123</v>
      </c>
      <c r="F5411" s="35">
        <v>4.5</v>
      </c>
      <c r="G5411" s="35">
        <v>4.28058447511967</v>
      </c>
      <c r="H5411" s="35">
        <v>1.176060001880898</v>
      </c>
      <c r="I5411" s="35">
        <v>5.5983673112589137E-2</v>
      </c>
      <c r="J5411" s="35">
        <v>-2.5992613525586614E-3</v>
      </c>
      <c r="K5411" s="35">
        <v>0.28004856789034849</v>
      </c>
      <c r="L5411" s="35">
        <v>-13.735821844277257</v>
      </c>
      <c r="M5411" s="58" t="s">
        <v>24</v>
      </c>
      <c r="N5411" s="7">
        <v>9.5</v>
      </c>
      <c r="O5411" s="7" t="s">
        <v>179</v>
      </c>
      <c r="P5411" s="7" t="s">
        <v>179</v>
      </c>
    </row>
    <row r="5412" spans="1:16" x14ac:dyDescent="0.25">
      <c r="A5412" t="s">
        <v>181</v>
      </c>
      <c r="B5412" t="s">
        <v>225</v>
      </c>
      <c r="C5412" s="7" t="s">
        <v>104</v>
      </c>
      <c r="D5412" t="s">
        <v>123</v>
      </c>
      <c r="F5412" s="35">
        <v>8.9965005885644906</v>
      </c>
      <c r="G5412" s="35">
        <v>6.1102051688058552</v>
      </c>
      <c r="H5412" s="35">
        <v>-14.687594074574619</v>
      </c>
      <c r="I5412" s="35">
        <v>5.5983673112588166E-2</v>
      </c>
      <c r="J5412" s="35">
        <v>-2.5992613525586614E-3</v>
      </c>
      <c r="K5412" s="35">
        <v>2.8317948789591697E-2</v>
      </c>
      <c r="L5412" s="35">
        <v>16.641488610860939</v>
      </c>
      <c r="M5412" s="58" t="s">
        <v>23</v>
      </c>
      <c r="N5412" s="7">
        <v>9.5</v>
      </c>
      <c r="O5412" s="7" t="s">
        <v>179</v>
      </c>
      <c r="P5412" s="7" t="s">
        <v>179</v>
      </c>
    </row>
    <row r="5413" spans="1:16" x14ac:dyDescent="0.25">
      <c r="A5413" t="s">
        <v>181</v>
      </c>
      <c r="B5413" t="s">
        <v>225</v>
      </c>
      <c r="C5413" s="7" t="s">
        <v>104</v>
      </c>
      <c r="D5413" t="s">
        <v>124</v>
      </c>
      <c r="F5413" s="35">
        <v>0</v>
      </c>
      <c r="G5413" s="35">
        <v>32.463450722994743</v>
      </c>
      <c r="H5413" s="35">
        <v>6.893186704513985</v>
      </c>
      <c r="I5413" s="35">
        <v>-1.4243755577634045E-2</v>
      </c>
      <c r="J5413" s="35">
        <v>-2.6828273126834411E-4</v>
      </c>
      <c r="K5413" s="35">
        <v>-0.13390895712625286</v>
      </c>
      <c r="L5413" s="35">
        <v>15.844859581661145</v>
      </c>
      <c r="M5413" s="58" t="s">
        <v>22</v>
      </c>
      <c r="N5413" s="7">
        <v>9.5</v>
      </c>
      <c r="O5413" s="7" t="s">
        <v>179</v>
      </c>
      <c r="P5413" s="7" t="s">
        <v>179</v>
      </c>
    </row>
    <row r="5414" spans="1:16" x14ac:dyDescent="0.25">
      <c r="A5414" t="s">
        <v>181</v>
      </c>
      <c r="B5414" t="s">
        <v>225</v>
      </c>
      <c r="C5414" s="7" t="s">
        <v>104</v>
      </c>
      <c r="D5414" t="s">
        <v>124</v>
      </c>
      <c r="F5414" s="35">
        <v>4.5</v>
      </c>
      <c r="G5414" s="35">
        <v>34.294495322994742</v>
      </c>
      <c r="H5414" s="35">
        <v>-7.4708132954860176</v>
      </c>
      <c r="I5414" s="35">
        <v>-1.4243755577634926E-2</v>
      </c>
      <c r="J5414" s="35">
        <v>-2.6828273126834411E-4</v>
      </c>
      <c r="K5414" s="35">
        <v>-6.9812057026897689E-2</v>
      </c>
      <c r="L5414" s="35">
        <v>17.14451941134821</v>
      </c>
      <c r="M5414" s="58" t="s">
        <v>24</v>
      </c>
      <c r="N5414" s="7">
        <v>9.5</v>
      </c>
      <c r="O5414" s="7" t="s">
        <v>179</v>
      </c>
      <c r="P5414" s="7" t="s">
        <v>179</v>
      </c>
    </row>
    <row r="5415" spans="1:16" x14ac:dyDescent="0.25">
      <c r="A5415" t="s">
        <v>181</v>
      </c>
      <c r="B5415" t="s">
        <v>225</v>
      </c>
      <c r="C5415" s="7" t="s">
        <v>104</v>
      </c>
      <c r="D5415" t="s">
        <v>124</v>
      </c>
      <c r="F5415" s="35">
        <v>4.5</v>
      </c>
      <c r="G5415" s="35">
        <v>35.071442786716311</v>
      </c>
      <c r="H5415" s="35">
        <v>-7.470810814587507</v>
      </c>
      <c r="I5415" s="35">
        <v>-1.3963987930872876E-2</v>
      </c>
      <c r="J5415" s="35">
        <v>2.0236206521484627E-5</v>
      </c>
      <c r="K5415" s="35">
        <v>-6.9813221022477709E-2</v>
      </c>
      <c r="L5415" s="35">
        <v>16.173332650430602</v>
      </c>
      <c r="M5415" s="58" t="s">
        <v>24</v>
      </c>
      <c r="N5415" s="7">
        <v>9.5</v>
      </c>
      <c r="O5415" s="7" t="s">
        <v>179</v>
      </c>
      <c r="P5415" s="7" t="s">
        <v>179</v>
      </c>
    </row>
    <row r="5416" spans="1:16" x14ac:dyDescent="0.25">
      <c r="A5416" t="s">
        <v>181</v>
      </c>
      <c r="B5416" t="s">
        <v>225</v>
      </c>
      <c r="C5416" s="7" t="s">
        <v>104</v>
      </c>
      <c r="D5416" t="s">
        <v>124</v>
      </c>
      <c r="F5416" s="35">
        <v>8.9965005885644906</v>
      </c>
      <c r="G5416" s="35">
        <v>36.901063480402499</v>
      </c>
      <c r="H5416" s="35">
        <v>-21.823640693285355</v>
      </c>
      <c r="I5416" s="35">
        <v>-1.3963987930873754E-2</v>
      </c>
      <c r="J5416" s="35">
        <v>2.0236206521484627E-5</v>
      </c>
      <c r="K5416" s="35">
        <v>-7.0241410725984318E-3</v>
      </c>
      <c r="L5416" s="35">
        <v>82.0345918738427</v>
      </c>
      <c r="M5416" s="58" t="s">
        <v>23</v>
      </c>
      <c r="N5416" s="7">
        <v>9.5</v>
      </c>
      <c r="O5416" s="7" t="s">
        <v>179</v>
      </c>
      <c r="P5416" s="7" t="s">
        <v>179</v>
      </c>
    </row>
    <row r="5417" spans="1:16" x14ac:dyDescent="0.25">
      <c r="A5417" t="s">
        <v>181</v>
      </c>
      <c r="B5417" t="s">
        <v>225</v>
      </c>
      <c r="C5417" s="7" t="s">
        <v>104</v>
      </c>
      <c r="D5417" t="s">
        <v>125</v>
      </c>
      <c r="F5417" s="35">
        <v>0</v>
      </c>
      <c r="G5417" s="35">
        <v>-21.030472354655878</v>
      </c>
      <c r="H5417" s="35">
        <v>23.154400675214955</v>
      </c>
      <c r="I5417" s="35">
        <v>-1.3386403330840952E-2</v>
      </c>
      <c r="J5417" s="35">
        <v>-4.0011090470524335E-4</v>
      </c>
      <c r="K5417" s="35">
        <v>-0.12428759417569721</v>
      </c>
      <c r="L5417" s="35">
        <v>112.67124121253538</v>
      </c>
      <c r="M5417" s="58" t="s">
        <v>22</v>
      </c>
      <c r="N5417" s="7">
        <v>9.5</v>
      </c>
      <c r="O5417" s="7" t="s">
        <v>179</v>
      </c>
      <c r="P5417" s="7" t="s">
        <v>179</v>
      </c>
    </row>
    <row r="5418" spans="1:16" x14ac:dyDescent="0.25">
      <c r="A5418" t="s">
        <v>181</v>
      </c>
      <c r="B5418" t="s">
        <v>225</v>
      </c>
      <c r="C5418" s="7" t="s">
        <v>104</v>
      </c>
      <c r="D5418" t="s">
        <v>125</v>
      </c>
      <c r="F5418" s="35">
        <v>4.5</v>
      </c>
      <c r="G5418" s="35">
        <v>-19.199427754655876</v>
      </c>
      <c r="H5418" s="35">
        <v>19.374400675214954</v>
      </c>
      <c r="I5418" s="35">
        <v>-1.3386403330841182E-2</v>
      </c>
      <c r="J5418" s="35">
        <v>-4.0011090470524335E-4</v>
      </c>
      <c r="K5418" s="35">
        <v>-6.4048779186912402E-2</v>
      </c>
      <c r="L5418" s="35">
        <v>16.981438174068092</v>
      </c>
      <c r="M5418" s="58" t="s">
        <v>24</v>
      </c>
      <c r="N5418" s="7">
        <v>9.5</v>
      </c>
      <c r="O5418" s="7" t="s">
        <v>179</v>
      </c>
      <c r="P5418" s="7" t="s">
        <v>179</v>
      </c>
    </row>
    <row r="5419" spans="1:16" x14ac:dyDescent="0.25">
      <c r="A5419" t="s">
        <v>181</v>
      </c>
      <c r="B5419" t="s">
        <v>225</v>
      </c>
      <c r="C5419" s="7" t="s">
        <v>104</v>
      </c>
      <c r="D5419" t="s">
        <v>125</v>
      </c>
      <c r="F5419" s="35">
        <v>4.5</v>
      </c>
      <c r="G5419" s="35">
        <v>-18.422480342118842</v>
      </c>
      <c r="H5419" s="35">
        <v>19.374413235778984</v>
      </c>
      <c r="I5419" s="35">
        <v>-1.281294022759364E-2</v>
      </c>
      <c r="J5419" s="35">
        <v>1.8461999875491126E-4</v>
      </c>
      <c r="K5419" s="35">
        <v>-6.4049718761048646E-2</v>
      </c>
      <c r="L5419" s="35">
        <v>16.010252276558923</v>
      </c>
      <c r="M5419" s="58" t="s">
        <v>24</v>
      </c>
      <c r="N5419" s="7">
        <v>9.5</v>
      </c>
      <c r="O5419" s="7" t="s">
        <v>179</v>
      </c>
      <c r="P5419" s="7" t="s">
        <v>179</v>
      </c>
    </row>
    <row r="5420" spans="1:16" x14ac:dyDescent="0.25">
      <c r="A5420" t="s">
        <v>181</v>
      </c>
      <c r="B5420" t="s">
        <v>225</v>
      </c>
      <c r="C5420" s="7" t="s">
        <v>104</v>
      </c>
      <c r="D5420" t="s">
        <v>125</v>
      </c>
      <c r="F5420" s="35">
        <v>8.9965005885644906</v>
      </c>
      <c r="G5420" s="35">
        <v>-16.592859648432654</v>
      </c>
      <c r="H5420" s="35">
        <v>15.597352741384816</v>
      </c>
      <c r="I5420" s="35">
        <v>-1.2812940227593871E-2</v>
      </c>
      <c r="J5420" s="35">
        <v>1.8461999875491126E-4</v>
      </c>
      <c r="K5420" s="35">
        <v>-6.4363254864317201E-3</v>
      </c>
      <c r="L5420" s="35">
        <v>-62.615030873169381</v>
      </c>
      <c r="M5420" s="58" t="s">
        <v>23</v>
      </c>
      <c r="N5420" s="7">
        <v>9.5</v>
      </c>
      <c r="O5420" s="7" t="s">
        <v>179</v>
      </c>
      <c r="P5420" s="7" t="s">
        <v>179</v>
      </c>
    </row>
    <row r="5421" spans="1:16" x14ac:dyDescent="0.25">
      <c r="A5421" t="s">
        <v>181</v>
      </c>
      <c r="B5421" t="s">
        <v>225</v>
      </c>
      <c r="C5421" s="7" t="s">
        <v>104</v>
      </c>
      <c r="D5421" t="s">
        <v>126</v>
      </c>
      <c r="F5421" s="35">
        <v>0</v>
      </c>
      <c r="G5421" s="35">
        <v>49.474227599385941</v>
      </c>
      <c r="H5421" s="35">
        <v>-41.262990979689597</v>
      </c>
      <c r="I5421" s="35">
        <v>-1.6126256633353944E-2</v>
      </c>
      <c r="J5421" s="35">
        <v>-2.5229484933735676E-4</v>
      </c>
      <c r="K5421" s="35">
        <v>-0.15193039208813244</v>
      </c>
      <c r="L5421" s="35">
        <v>-123.70786220692487</v>
      </c>
      <c r="M5421" s="58" t="s">
        <v>22</v>
      </c>
      <c r="N5421" s="7">
        <v>9.5</v>
      </c>
      <c r="O5421" s="7" t="s">
        <v>179</v>
      </c>
      <c r="P5421" s="7" t="s">
        <v>179</v>
      </c>
    </row>
    <row r="5422" spans="1:16" x14ac:dyDescent="0.25">
      <c r="A5422" t="s">
        <v>181</v>
      </c>
      <c r="B5422" t="s">
        <v>225</v>
      </c>
      <c r="C5422" s="7" t="s">
        <v>104</v>
      </c>
      <c r="D5422" t="s">
        <v>126</v>
      </c>
      <c r="F5422" s="35">
        <v>4.5</v>
      </c>
      <c r="G5422" s="35">
        <v>51.305272199385939</v>
      </c>
      <c r="H5422" s="35">
        <v>-27.654990979689597</v>
      </c>
      <c r="I5422" s="35">
        <v>-1.6126256633353105E-2</v>
      </c>
      <c r="J5422" s="35">
        <v>-2.5229484933735676E-4</v>
      </c>
      <c r="K5422" s="35">
        <v>-7.9362237238041575E-2</v>
      </c>
      <c r="L5422" s="35">
        <v>31.357597201678285</v>
      </c>
      <c r="M5422" s="58" t="s">
        <v>24</v>
      </c>
      <c r="N5422" s="7">
        <v>9.5</v>
      </c>
      <c r="O5422" s="7" t="s">
        <v>179</v>
      </c>
      <c r="P5422" s="7" t="s">
        <v>179</v>
      </c>
    </row>
    <row r="5423" spans="1:16" x14ac:dyDescent="0.25">
      <c r="A5423" t="s">
        <v>181</v>
      </c>
      <c r="B5423" t="s">
        <v>225</v>
      </c>
      <c r="C5423" s="7" t="s">
        <v>104</v>
      </c>
      <c r="D5423" t="s">
        <v>126</v>
      </c>
      <c r="F5423" s="35">
        <v>4.5</v>
      </c>
      <c r="G5423" s="35">
        <v>52.082219729720109</v>
      </c>
      <c r="H5423" s="35">
        <v>-27.654979629330839</v>
      </c>
      <c r="I5423" s="35">
        <v>-1.5877515117140591E-2</v>
      </c>
      <c r="J5423" s="35">
        <v>-3.5092006160386995E-5</v>
      </c>
      <c r="K5423" s="35">
        <v>-7.9363713575787295E-2</v>
      </c>
      <c r="L5423" s="35">
        <v>30.386410613555668</v>
      </c>
      <c r="M5423" s="58" t="s">
        <v>24</v>
      </c>
      <c r="N5423" s="7">
        <v>9.5</v>
      </c>
      <c r="O5423" s="7" t="s">
        <v>179</v>
      </c>
      <c r="P5423" s="7" t="s">
        <v>179</v>
      </c>
    </row>
    <row r="5424" spans="1:16" x14ac:dyDescent="0.25">
      <c r="A5424" t="s">
        <v>181</v>
      </c>
      <c r="B5424" t="s">
        <v>225</v>
      </c>
      <c r="C5424" s="7" t="s">
        <v>104</v>
      </c>
      <c r="D5424" t="s">
        <v>126</v>
      </c>
      <c r="F5424" s="35">
        <v>8.9965005885644906</v>
      </c>
      <c r="G5424" s="35">
        <v>53.911840423406296</v>
      </c>
      <c r="H5424" s="35">
        <v>-14.057561849511826</v>
      </c>
      <c r="I5424" s="35">
        <v>-1.5877515117139758E-2</v>
      </c>
      <c r="J5424" s="35">
        <v>-3.5092006160386995E-5</v>
      </c>
      <c r="K5424" s="35">
        <v>-7.970457506624954E-3</v>
      </c>
      <c r="L5424" s="35">
        <v>124.16664426862404</v>
      </c>
      <c r="M5424" s="58" t="s">
        <v>23</v>
      </c>
      <c r="N5424" s="7">
        <v>9.5</v>
      </c>
      <c r="O5424" s="7" t="s">
        <v>179</v>
      </c>
      <c r="P5424" s="7" t="s">
        <v>179</v>
      </c>
    </row>
    <row r="5425" spans="1:16" x14ac:dyDescent="0.25">
      <c r="A5425" t="s">
        <v>181</v>
      </c>
      <c r="B5425" t="s">
        <v>225</v>
      </c>
      <c r="C5425" s="7" t="s">
        <v>104</v>
      </c>
      <c r="D5425" t="s">
        <v>127</v>
      </c>
      <c r="F5425" s="35">
        <v>0</v>
      </c>
      <c r="G5425" s="35">
        <v>-68.843678277327399</v>
      </c>
      <c r="H5425" s="35">
        <v>-15.604664873385602</v>
      </c>
      <c r="I5425" s="35">
        <v>-1.5035394717045949E-2</v>
      </c>
      <c r="J5425" s="35">
        <v>-5.8754752077931388E-4</v>
      </c>
      <c r="K5425" s="35">
        <v>-0.13829747117320074</v>
      </c>
      <c r="L5425" s="35">
        <v>-47.664071083652964</v>
      </c>
      <c r="M5425" s="58" t="s">
        <v>22</v>
      </c>
      <c r="N5425" s="7">
        <v>9.5</v>
      </c>
      <c r="O5425" s="7" t="s">
        <v>179</v>
      </c>
      <c r="P5425" s="7" t="s">
        <v>179</v>
      </c>
    </row>
    <row r="5426" spans="1:16" x14ac:dyDescent="0.25">
      <c r="A5426" t="s">
        <v>181</v>
      </c>
      <c r="B5426" t="s">
        <v>225</v>
      </c>
      <c r="C5426" s="7" t="s">
        <v>104</v>
      </c>
      <c r="D5426" t="s">
        <v>127</v>
      </c>
      <c r="F5426" s="35">
        <v>4.5</v>
      </c>
      <c r="G5426" s="35">
        <v>-67.012633677327415</v>
      </c>
      <c r="H5426" s="35">
        <v>8.5873351266143967</v>
      </c>
      <c r="I5426" s="35">
        <v>-1.5035394717044468E-2</v>
      </c>
      <c r="J5426" s="35">
        <v>-5.8754752077931388E-4</v>
      </c>
      <c r="K5426" s="35">
        <v>-7.0638194946497312E-2</v>
      </c>
      <c r="L5426" s="35">
        <v>-31.875079153417754</v>
      </c>
      <c r="M5426" s="58" t="s">
        <v>24</v>
      </c>
      <c r="N5426" s="7">
        <v>9.5</v>
      </c>
      <c r="O5426" s="7" t="s">
        <v>179</v>
      </c>
      <c r="P5426" s="7" t="s">
        <v>179</v>
      </c>
    </row>
    <row r="5427" spans="1:16" x14ac:dyDescent="0.25">
      <c r="A5427" t="s">
        <v>181</v>
      </c>
      <c r="B5427" t="s">
        <v>225</v>
      </c>
      <c r="C5427" s="7" t="s">
        <v>104</v>
      </c>
      <c r="D5427" t="s">
        <v>127</v>
      </c>
      <c r="F5427" s="35">
        <v>4.5</v>
      </c>
      <c r="G5427" s="35">
        <v>-66.235686212254876</v>
      </c>
      <c r="H5427" s="35">
        <v>8.5873618109570931</v>
      </c>
      <c r="I5427" s="35">
        <v>-1.4130504979667028E-2</v>
      </c>
      <c r="J5427" s="35">
        <v>3.1321781633483563E-4</v>
      </c>
      <c r="K5427" s="35">
        <v>-7.0639390267603838E-2</v>
      </c>
      <c r="L5427" s="35">
        <v>-32.846264862362993</v>
      </c>
      <c r="M5427" s="58" t="s">
        <v>24</v>
      </c>
      <c r="N5427" s="7">
        <v>9.5</v>
      </c>
      <c r="O5427" s="7" t="s">
        <v>179</v>
      </c>
      <c r="P5427" s="7" t="s">
        <v>179</v>
      </c>
    </row>
    <row r="5428" spans="1:16" x14ac:dyDescent="0.25">
      <c r="A5428" t="s">
        <v>181</v>
      </c>
      <c r="B5428" t="s">
        <v>225</v>
      </c>
      <c r="C5428" s="7" t="s">
        <v>104</v>
      </c>
      <c r="D5428" t="s">
        <v>127</v>
      </c>
      <c r="F5428" s="35">
        <v>8.9965005885644906</v>
      </c>
      <c r="G5428" s="35">
        <v>-64.406065518568695</v>
      </c>
      <c r="H5428" s="35">
        <v>32.760548975079786</v>
      </c>
      <c r="I5428" s="35">
        <v>-1.413050497966555E-2</v>
      </c>
      <c r="J5428" s="35">
        <v>3.1321781633483563E-4</v>
      </c>
      <c r="K5428" s="35">
        <v>-7.1015663098209286E-3</v>
      </c>
      <c r="L5428" s="35">
        <v>-125.80671745502639</v>
      </c>
      <c r="M5428" s="58" t="s">
        <v>23</v>
      </c>
      <c r="N5428" s="7">
        <v>9.5</v>
      </c>
      <c r="O5428" s="7" t="s">
        <v>179</v>
      </c>
      <c r="P5428" s="7" t="s">
        <v>179</v>
      </c>
    </row>
    <row r="5429" spans="1:16" x14ac:dyDescent="0.25">
      <c r="A5429" t="s">
        <v>181</v>
      </c>
      <c r="B5429" t="s">
        <v>226</v>
      </c>
      <c r="C5429" s="7" t="s">
        <v>168</v>
      </c>
      <c r="D5429" t="s">
        <v>105</v>
      </c>
      <c r="F5429" s="35">
        <v>0</v>
      </c>
      <c r="G5429" s="35">
        <v>-47.763834232458301</v>
      </c>
      <c r="H5429" s="35">
        <v>-18.848989639652164</v>
      </c>
      <c r="I5429" s="35">
        <v>-0.26736083089763946</v>
      </c>
      <c r="J5429" s="35">
        <v>-4.1952291095898201E-5</v>
      </c>
      <c r="K5429" s="35">
        <v>-0.4269318322879313</v>
      </c>
      <c r="L5429" s="35">
        <v>-59.665170237853737</v>
      </c>
      <c r="M5429" s="58" t="s">
        <v>22</v>
      </c>
      <c r="N5429" s="7">
        <v>9.5</v>
      </c>
      <c r="O5429" s="7" t="s">
        <v>179</v>
      </c>
      <c r="P5429" s="7" t="s">
        <v>179</v>
      </c>
    </row>
    <row r="5430" spans="1:16" x14ac:dyDescent="0.25">
      <c r="A5430" t="s">
        <v>181</v>
      </c>
      <c r="B5430" t="s">
        <v>226</v>
      </c>
      <c r="C5430" s="7" t="s">
        <v>168</v>
      </c>
      <c r="D5430" t="s">
        <v>105</v>
      </c>
      <c r="F5430" s="35">
        <v>2</v>
      </c>
      <c r="G5430" s="35">
        <v>-46.950036632458307</v>
      </c>
      <c r="H5430" s="35">
        <v>-18.848989639652164</v>
      </c>
      <c r="I5430" s="35">
        <v>-0.26736083089763946</v>
      </c>
      <c r="J5430" s="35">
        <v>-4.1952291095898201E-5</v>
      </c>
      <c r="K5430" s="35">
        <v>0.10778982950734768</v>
      </c>
      <c r="L5430" s="35">
        <v>-21.967190958549406</v>
      </c>
      <c r="M5430" s="58" t="s">
        <v>22</v>
      </c>
      <c r="N5430" s="7">
        <v>9.5</v>
      </c>
      <c r="O5430" s="7" t="s">
        <v>179</v>
      </c>
      <c r="P5430" s="7" t="s">
        <v>179</v>
      </c>
    </row>
    <row r="5431" spans="1:16" x14ac:dyDescent="0.25">
      <c r="A5431" t="s">
        <v>181</v>
      </c>
      <c r="B5431" t="s">
        <v>226</v>
      </c>
      <c r="C5431" s="7" t="s">
        <v>168</v>
      </c>
      <c r="D5431" t="s">
        <v>105</v>
      </c>
      <c r="F5431" s="35">
        <v>2</v>
      </c>
      <c r="G5431" s="35">
        <v>-47.195002652574921</v>
      </c>
      <c r="H5431" s="35">
        <v>-18.848975656558945</v>
      </c>
      <c r="I5431" s="35">
        <v>1.4945413872594295E-2</v>
      </c>
      <c r="J5431" s="35">
        <v>4.2436117791416722E-6</v>
      </c>
      <c r="K5431" s="35">
        <v>0.10778982950734781</v>
      </c>
      <c r="L5431" s="35">
        <v>-21.967240234179126</v>
      </c>
      <c r="M5431" s="58" t="s">
        <v>22</v>
      </c>
      <c r="N5431" s="7">
        <v>9.5</v>
      </c>
      <c r="O5431" s="7" t="s">
        <v>179</v>
      </c>
      <c r="P5431" s="7" t="s">
        <v>179</v>
      </c>
    </row>
    <row r="5432" spans="1:16" x14ac:dyDescent="0.25">
      <c r="A5432" t="s">
        <v>181</v>
      </c>
      <c r="B5432" t="s">
        <v>226</v>
      </c>
      <c r="C5432" s="7" t="s">
        <v>168</v>
      </c>
      <c r="D5432" t="s">
        <v>105</v>
      </c>
      <c r="F5432" s="35">
        <v>4.4982502942822435</v>
      </c>
      <c r="G5432" s="35">
        <v>-46.178467605731818</v>
      </c>
      <c r="H5432" s="35">
        <v>-18.848975656558945</v>
      </c>
      <c r="I5432" s="35">
        <v>1.4945413872594295E-2</v>
      </c>
      <c r="J5432" s="35">
        <v>4.2436117791416722E-6</v>
      </c>
      <c r="K5432" s="35">
        <v>7.0452444901969197E-2</v>
      </c>
      <c r="L5432" s="35">
        <v>25.12221874673811</v>
      </c>
      <c r="M5432" s="58" t="s">
        <v>24</v>
      </c>
      <c r="N5432" s="7">
        <v>9.5</v>
      </c>
      <c r="O5432" s="7" t="s">
        <v>179</v>
      </c>
      <c r="P5432" s="7" t="s">
        <v>179</v>
      </c>
    </row>
    <row r="5433" spans="1:16" x14ac:dyDescent="0.25">
      <c r="A5433" t="s">
        <v>181</v>
      </c>
      <c r="B5433" t="s">
        <v>226</v>
      </c>
      <c r="C5433" s="7" t="s">
        <v>168</v>
      </c>
      <c r="D5433" t="s">
        <v>105</v>
      </c>
      <c r="F5433" s="35">
        <v>8.9965005885644871</v>
      </c>
      <c r="G5433" s="35">
        <v>-44.348134958888728</v>
      </c>
      <c r="H5433" s="35">
        <v>-18.848975656558945</v>
      </c>
      <c r="I5433" s="35">
        <v>1.4945413872594295E-2</v>
      </c>
      <c r="J5433" s="35">
        <v>4.2436117791416722E-6</v>
      </c>
      <c r="K5433" s="35">
        <v>3.2242325514019593E-3</v>
      </c>
      <c r="L5433" s="35">
        <v>109.90962904077325</v>
      </c>
      <c r="M5433" s="58" t="s">
        <v>23</v>
      </c>
      <c r="N5433" s="7">
        <v>9.5</v>
      </c>
      <c r="O5433" s="7" t="s">
        <v>179</v>
      </c>
      <c r="P5433" s="7" t="s">
        <v>179</v>
      </c>
    </row>
    <row r="5434" spans="1:16" x14ac:dyDescent="0.25">
      <c r="A5434" t="s">
        <v>181</v>
      </c>
      <c r="B5434" t="s">
        <v>226</v>
      </c>
      <c r="C5434" s="7" t="s">
        <v>168</v>
      </c>
      <c r="D5434" t="s">
        <v>15</v>
      </c>
      <c r="F5434" s="35">
        <v>0</v>
      </c>
      <c r="G5434" s="35">
        <v>72.568875313372573</v>
      </c>
      <c r="H5434" s="35">
        <v>4.7120559162997724</v>
      </c>
      <c r="I5434" s="35">
        <v>-4.1169968716556804</v>
      </c>
      <c r="J5434" s="35">
        <v>-7.2998413462552051E-4</v>
      </c>
      <c r="K5434" s="35">
        <v>-6.5669344821382571</v>
      </c>
      <c r="L5434" s="35">
        <v>46.170188162735826</v>
      </c>
      <c r="M5434" s="58" t="s">
        <v>22</v>
      </c>
      <c r="N5434" s="7">
        <v>9.5</v>
      </c>
      <c r="O5434" s="7" t="s">
        <v>179</v>
      </c>
      <c r="P5434" s="7" t="s">
        <v>179</v>
      </c>
    </row>
    <row r="5435" spans="1:16" x14ac:dyDescent="0.25">
      <c r="A5435" t="s">
        <v>181</v>
      </c>
      <c r="B5435" t="s">
        <v>226</v>
      </c>
      <c r="C5435" s="7" t="s">
        <v>168</v>
      </c>
      <c r="D5435" t="s">
        <v>15</v>
      </c>
      <c r="F5435" s="35">
        <v>2</v>
      </c>
      <c r="G5435" s="35">
        <v>73.382672913372573</v>
      </c>
      <c r="H5435" s="35">
        <v>13.112055916299772</v>
      </c>
      <c r="I5435" s="35">
        <v>-4.1169968716556804</v>
      </c>
      <c r="J5435" s="35">
        <v>-7.2998413462552051E-4</v>
      </c>
      <c r="K5435" s="35">
        <v>1.6670592611731032</v>
      </c>
      <c r="L5435" s="35">
        <v>28.346076330136285</v>
      </c>
      <c r="M5435" s="58" t="s">
        <v>22</v>
      </c>
      <c r="N5435" s="7">
        <v>9.5</v>
      </c>
      <c r="O5435" s="7" t="s">
        <v>179</v>
      </c>
      <c r="P5435" s="7" t="s">
        <v>179</v>
      </c>
    </row>
    <row r="5436" spans="1:16" x14ac:dyDescent="0.25">
      <c r="A5436" t="s">
        <v>181</v>
      </c>
      <c r="B5436" t="s">
        <v>226</v>
      </c>
      <c r="C5436" s="7" t="s">
        <v>168</v>
      </c>
      <c r="D5436" t="s">
        <v>15</v>
      </c>
      <c r="F5436" s="35">
        <v>2</v>
      </c>
      <c r="G5436" s="35">
        <v>69.333739941558349</v>
      </c>
      <c r="H5436" s="35">
        <v>13.112035483821559</v>
      </c>
      <c r="I5436" s="35">
        <v>0.22286590532653969</v>
      </c>
      <c r="J5436" s="35">
        <v>-7.684223612924732E-4</v>
      </c>
      <c r="K5436" s="35">
        <v>1.6670592611731039</v>
      </c>
      <c r="L5436" s="35">
        <v>28.346117330911447</v>
      </c>
      <c r="M5436" s="58" t="s">
        <v>22</v>
      </c>
      <c r="N5436" s="7">
        <v>9.5</v>
      </c>
      <c r="O5436" s="7" t="s">
        <v>179</v>
      </c>
      <c r="P5436" s="7" t="s">
        <v>179</v>
      </c>
    </row>
    <row r="5437" spans="1:16" x14ac:dyDescent="0.25">
      <c r="A5437" t="s">
        <v>181</v>
      </c>
      <c r="B5437" t="s">
        <v>226</v>
      </c>
      <c r="C5437" s="7" t="s">
        <v>168</v>
      </c>
      <c r="D5437" t="s">
        <v>15</v>
      </c>
      <c r="F5437" s="35">
        <v>4.4982502942822435</v>
      </c>
      <c r="G5437" s="35">
        <v>70.350274988401452</v>
      </c>
      <c r="H5437" s="35">
        <v>23.604686719806985</v>
      </c>
      <c r="I5437" s="35">
        <v>0.22286590532654033</v>
      </c>
      <c r="J5437" s="35">
        <v>-7.684223612924732E-4</v>
      </c>
      <c r="K5437" s="35">
        <v>1.1102844476055971</v>
      </c>
      <c r="L5437" s="35">
        <v>-17.517663694235758</v>
      </c>
      <c r="M5437" s="58" t="s">
        <v>24</v>
      </c>
      <c r="N5437" s="7">
        <v>9.5</v>
      </c>
      <c r="O5437" s="7" t="s">
        <v>179</v>
      </c>
      <c r="P5437" s="7" t="s">
        <v>179</v>
      </c>
    </row>
    <row r="5438" spans="1:16" x14ac:dyDescent="0.25">
      <c r="A5438" t="s">
        <v>181</v>
      </c>
      <c r="B5438" t="s">
        <v>226</v>
      </c>
      <c r="C5438" s="7" t="s">
        <v>168</v>
      </c>
      <c r="D5438" t="s">
        <v>15</v>
      </c>
      <c r="F5438" s="35">
        <v>8.9965005885644871</v>
      </c>
      <c r="G5438" s="35">
        <v>72.180607635244542</v>
      </c>
      <c r="H5438" s="35">
        <v>42.497337955792418</v>
      </c>
      <c r="I5438" s="35">
        <v>0.22286590532654149</v>
      </c>
      <c r="J5438" s="35">
        <v>-7.684223612924732E-4</v>
      </c>
      <c r="K5438" s="35">
        <v>0.10777782338500544</v>
      </c>
      <c r="L5438" s="35">
        <v>-166.18938966906933</v>
      </c>
      <c r="M5438" s="58" t="s">
        <v>23</v>
      </c>
      <c r="N5438" s="7">
        <v>9.5</v>
      </c>
      <c r="O5438" s="7" t="s">
        <v>179</v>
      </c>
      <c r="P5438" s="7" t="s">
        <v>179</v>
      </c>
    </row>
    <row r="5439" spans="1:16" x14ac:dyDescent="0.25">
      <c r="A5439" t="s">
        <v>181</v>
      </c>
      <c r="B5439" t="s">
        <v>226</v>
      </c>
      <c r="C5439" s="7" t="s">
        <v>168</v>
      </c>
      <c r="D5439" t="s">
        <v>16</v>
      </c>
      <c r="F5439" s="35">
        <v>0</v>
      </c>
      <c r="G5439" s="35">
        <v>30.000623251541672</v>
      </c>
      <c r="H5439" s="35">
        <v>0.27084153549909473</v>
      </c>
      <c r="I5439" s="35">
        <v>-3.4358822997217535</v>
      </c>
      <c r="J5439" s="35">
        <v>-2.1013240172982427E-4</v>
      </c>
      <c r="K5439" s="35">
        <v>-5.4922099926766386</v>
      </c>
      <c r="L5439" s="35">
        <v>14.533235242010061</v>
      </c>
      <c r="M5439" s="58" t="s">
        <v>22</v>
      </c>
      <c r="N5439" s="7">
        <v>9.5</v>
      </c>
      <c r="O5439" s="7" t="s">
        <v>179</v>
      </c>
      <c r="P5439" s="7" t="s">
        <v>179</v>
      </c>
    </row>
    <row r="5440" spans="1:16" x14ac:dyDescent="0.25">
      <c r="A5440" t="s">
        <v>181</v>
      </c>
      <c r="B5440" t="s">
        <v>226</v>
      </c>
      <c r="C5440" s="7" t="s">
        <v>168</v>
      </c>
      <c r="D5440" t="s">
        <v>16</v>
      </c>
      <c r="F5440" s="35">
        <v>2</v>
      </c>
      <c r="G5440" s="35">
        <v>30.814420851541669</v>
      </c>
      <c r="H5440" s="35">
        <v>3.966841535499094</v>
      </c>
      <c r="I5440" s="35">
        <v>-3.4358822997217535</v>
      </c>
      <c r="J5440" s="35">
        <v>-2.1013240172982427E-4</v>
      </c>
      <c r="K5440" s="35">
        <v>1.3795546067668678</v>
      </c>
      <c r="L5440" s="35">
        <v>10.295552171011877</v>
      </c>
      <c r="M5440" s="58" t="s">
        <v>22</v>
      </c>
      <c r="N5440" s="7">
        <v>9.5</v>
      </c>
      <c r="O5440" s="7" t="s">
        <v>179</v>
      </c>
      <c r="P5440" s="7" t="s">
        <v>179</v>
      </c>
    </row>
    <row r="5441" spans="1:16" x14ac:dyDescent="0.25">
      <c r="A5441" t="s">
        <v>181</v>
      </c>
      <c r="B5441" t="s">
        <v>226</v>
      </c>
      <c r="C5441" s="7" t="s">
        <v>168</v>
      </c>
      <c r="D5441" t="s">
        <v>16</v>
      </c>
      <c r="F5441" s="35">
        <v>2</v>
      </c>
      <c r="G5441" s="35">
        <v>27.439971329013893</v>
      </c>
      <c r="H5441" s="35">
        <v>3.9668343207956869</v>
      </c>
      <c r="I5441" s="35">
        <v>0.18453138707292852</v>
      </c>
      <c r="J5441" s="35">
        <v>-2.2259491213182198E-4</v>
      </c>
      <c r="K5441" s="35">
        <v>1.3795546067668694</v>
      </c>
      <c r="L5441" s="35">
        <v>10.295565464356311</v>
      </c>
      <c r="M5441" s="58" t="s">
        <v>22</v>
      </c>
      <c r="N5441" s="7">
        <v>9.5</v>
      </c>
      <c r="O5441" s="7" t="s">
        <v>179</v>
      </c>
      <c r="P5441" s="7" t="s">
        <v>179</v>
      </c>
    </row>
    <row r="5442" spans="1:16" x14ac:dyDescent="0.25">
      <c r="A5442" t="s">
        <v>181</v>
      </c>
      <c r="B5442" t="s">
        <v>226</v>
      </c>
      <c r="C5442" s="7" t="s">
        <v>168</v>
      </c>
      <c r="D5442" t="s">
        <v>16</v>
      </c>
      <c r="F5442" s="35">
        <v>4.4982502942822435</v>
      </c>
      <c r="G5442" s="35">
        <v>28.456506375856982</v>
      </c>
      <c r="H5442" s="35">
        <v>8.5836008646292754</v>
      </c>
      <c r="I5442" s="35">
        <v>0.18453138707292877</v>
      </c>
      <c r="J5442" s="35">
        <v>-2.2259491213182198E-4</v>
      </c>
      <c r="K5442" s="35">
        <v>0.91854901470761485</v>
      </c>
      <c r="L5442" s="35">
        <v>-5.3814987333227569</v>
      </c>
      <c r="M5442" s="58" t="s">
        <v>24</v>
      </c>
      <c r="N5442" s="7">
        <v>9.5</v>
      </c>
      <c r="O5442" s="7" t="s">
        <v>179</v>
      </c>
      <c r="P5442" s="7" t="s">
        <v>179</v>
      </c>
    </row>
    <row r="5443" spans="1:16" x14ac:dyDescent="0.25">
      <c r="A5443" t="s">
        <v>181</v>
      </c>
      <c r="B5443" t="s">
        <v>226</v>
      </c>
      <c r="C5443" s="7" t="s">
        <v>168</v>
      </c>
      <c r="D5443" t="s">
        <v>16</v>
      </c>
      <c r="F5443" s="35">
        <v>8.9965005885644871</v>
      </c>
      <c r="G5443" s="35">
        <v>30.286839022700075</v>
      </c>
      <c r="H5443" s="35">
        <v>16.896367408462869</v>
      </c>
      <c r="I5443" s="35">
        <v>0.18453138707292926</v>
      </c>
      <c r="J5443" s="35">
        <v>-2.2259491213182198E-4</v>
      </c>
      <c r="K5443" s="35">
        <v>8.8480648502501077E-2</v>
      </c>
      <c r="L5443" s="35">
        <v>-62.689136124692233</v>
      </c>
      <c r="M5443" s="58" t="s">
        <v>23</v>
      </c>
      <c r="N5443" s="7">
        <v>9.5</v>
      </c>
      <c r="O5443" s="7" t="s">
        <v>179</v>
      </c>
      <c r="P5443" s="7" t="s">
        <v>179</v>
      </c>
    </row>
    <row r="5444" spans="1:16" x14ac:dyDescent="0.25">
      <c r="A5444" t="s">
        <v>181</v>
      </c>
      <c r="B5444" t="s">
        <v>226</v>
      </c>
      <c r="C5444" s="7" t="s">
        <v>168</v>
      </c>
      <c r="D5444" t="s">
        <v>106</v>
      </c>
      <c r="F5444" s="35">
        <v>0</v>
      </c>
      <c r="G5444" s="35">
        <v>103.10418155451943</v>
      </c>
      <c r="H5444" s="35">
        <v>16.021032986048056</v>
      </c>
      <c r="I5444" s="35">
        <v>4.7507358977319392</v>
      </c>
      <c r="J5444" s="35">
        <v>8.7968266379248085E-4</v>
      </c>
      <c r="K5444" s="35">
        <v>7.5627011936024333</v>
      </c>
      <c r="L5444" s="35">
        <v>92.684817205228072</v>
      </c>
      <c r="M5444" s="58" t="s">
        <v>22</v>
      </c>
      <c r="N5444" s="7">
        <v>9.5</v>
      </c>
      <c r="O5444" s="7" t="s">
        <v>179</v>
      </c>
      <c r="P5444" s="7" t="s">
        <v>179</v>
      </c>
    </row>
    <row r="5445" spans="1:16" x14ac:dyDescent="0.25">
      <c r="A5445" t="s">
        <v>181</v>
      </c>
      <c r="B5445" t="s">
        <v>226</v>
      </c>
      <c r="C5445" s="7" t="s">
        <v>168</v>
      </c>
      <c r="D5445" t="s">
        <v>106</v>
      </c>
      <c r="F5445" s="35">
        <v>2</v>
      </c>
      <c r="G5445" s="35">
        <v>103.91797915451943</v>
      </c>
      <c r="H5445" s="35">
        <v>27.781032986048057</v>
      </c>
      <c r="I5445" s="35">
        <v>4.75073589773194</v>
      </c>
      <c r="J5445" s="35">
        <v>8.7968266379248085E-4</v>
      </c>
      <c r="K5445" s="35">
        <v>-1.9387706018614452</v>
      </c>
      <c r="L5445" s="35">
        <v>48.882751233131962</v>
      </c>
      <c r="M5445" s="58" t="s">
        <v>22</v>
      </c>
      <c r="N5445" s="7">
        <v>9.5</v>
      </c>
      <c r="O5445" s="7" t="s">
        <v>179</v>
      </c>
      <c r="P5445" s="7" t="s">
        <v>179</v>
      </c>
    </row>
    <row r="5446" spans="1:16" x14ac:dyDescent="0.25">
      <c r="A5446" t="s">
        <v>181</v>
      </c>
      <c r="B5446" t="s">
        <v>226</v>
      </c>
      <c r="C5446" s="7" t="s">
        <v>168</v>
      </c>
      <c r="D5446" t="s">
        <v>106</v>
      </c>
      <c r="F5446" s="35">
        <v>2</v>
      </c>
      <c r="G5446" s="35">
        <v>108.63328807797167</v>
      </c>
      <c r="H5446" s="35">
        <v>27.781004559367794</v>
      </c>
      <c r="I5446" s="35">
        <v>-0.25791277971770293</v>
      </c>
      <c r="J5446" s="35">
        <v>8.0240886573353521E-4</v>
      </c>
      <c r="K5446" s="35">
        <v>-1.9387706018614443</v>
      </c>
      <c r="L5446" s="35">
        <v>48.882833658516603</v>
      </c>
      <c r="M5446" s="58" t="s">
        <v>22</v>
      </c>
      <c r="N5446" s="7">
        <v>9.5</v>
      </c>
      <c r="O5446" s="7" t="s">
        <v>179</v>
      </c>
      <c r="P5446" s="7" t="s">
        <v>179</v>
      </c>
    </row>
    <row r="5447" spans="1:16" x14ac:dyDescent="0.25">
      <c r="A5447" t="s">
        <v>181</v>
      </c>
      <c r="B5447" t="s">
        <v>226</v>
      </c>
      <c r="C5447" s="7" t="s">
        <v>168</v>
      </c>
      <c r="D5447" t="s">
        <v>106</v>
      </c>
      <c r="F5447" s="35">
        <v>4.4982502942822435</v>
      </c>
      <c r="G5447" s="35">
        <v>109.64982312481476</v>
      </c>
      <c r="H5447" s="35">
        <v>42.470716289747386</v>
      </c>
      <c r="I5447" s="35">
        <v>-0.25791277971770199</v>
      </c>
      <c r="J5447" s="35">
        <v>8.0240886573353521E-4</v>
      </c>
      <c r="K5447" s="35">
        <v>-1.2944399240325428</v>
      </c>
      <c r="L5447" s="35">
        <v>-38.870357484051425</v>
      </c>
      <c r="M5447" s="58" t="s">
        <v>24</v>
      </c>
      <c r="N5447" s="7">
        <v>9.5</v>
      </c>
      <c r="O5447" s="7" t="s">
        <v>179</v>
      </c>
      <c r="P5447" s="7" t="s">
        <v>179</v>
      </c>
    </row>
    <row r="5448" spans="1:16" x14ac:dyDescent="0.25">
      <c r="A5448" t="s">
        <v>181</v>
      </c>
      <c r="B5448" t="s">
        <v>226</v>
      </c>
      <c r="C5448" s="7" t="s">
        <v>168</v>
      </c>
      <c r="D5448" t="s">
        <v>106</v>
      </c>
      <c r="F5448" s="35">
        <v>8.9965005885644871</v>
      </c>
      <c r="G5448" s="35">
        <v>111.48015577165785</v>
      </c>
      <c r="H5448" s="35">
        <v>68.920428020126991</v>
      </c>
      <c r="I5448" s="35">
        <v>-0.25791277971770032</v>
      </c>
      <c r="J5448" s="35">
        <v>8.0240886573353521E-4</v>
      </c>
      <c r="K5448" s="35">
        <v>-0.13428368676824159</v>
      </c>
      <c r="L5448" s="35">
        <v>-289.40298132021564</v>
      </c>
      <c r="M5448" s="58" t="s">
        <v>23</v>
      </c>
      <c r="N5448" s="7">
        <v>9.5</v>
      </c>
      <c r="O5448" s="7" t="s">
        <v>179</v>
      </c>
      <c r="P5448" s="7" t="s">
        <v>179</v>
      </c>
    </row>
    <row r="5449" spans="1:16" x14ac:dyDescent="0.25">
      <c r="A5449" t="s">
        <v>181</v>
      </c>
      <c r="B5449" t="s">
        <v>226</v>
      </c>
      <c r="C5449" s="7" t="s">
        <v>168</v>
      </c>
      <c r="D5449" t="s">
        <v>107</v>
      </c>
      <c r="F5449" s="35">
        <v>0</v>
      </c>
      <c r="G5449" s="35">
        <v>60.041479406543985</v>
      </c>
      <c r="H5449" s="35">
        <v>11.446061771994785</v>
      </c>
      <c r="I5449" s="35">
        <v>5.4363220043473097</v>
      </c>
      <c r="J5449" s="35">
        <v>1.398564528492514E-3</v>
      </c>
      <c r="K5449" s="35">
        <v>8.6444979196068452</v>
      </c>
      <c r="L5449" s="35">
        <v>60.651748290325223</v>
      </c>
      <c r="M5449" s="58" t="s">
        <v>22</v>
      </c>
      <c r="N5449" s="7">
        <v>9.5</v>
      </c>
      <c r="O5449" s="7" t="s">
        <v>179</v>
      </c>
      <c r="P5449" s="7" t="s">
        <v>179</v>
      </c>
    </row>
    <row r="5450" spans="1:16" x14ac:dyDescent="0.25">
      <c r="A5450" t="s">
        <v>181</v>
      </c>
      <c r="B5450" t="s">
        <v>226</v>
      </c>
      <c r="C5450" s="7" t="s">
        <v>168</v>
      </c>
      <c r="D5450" t="s">
        <v>107</v>
      </c>
      <c r="F5450" s="35">
        <v>2</v>
      </c>
      <c r="G5450" s="35">
        <v>60.855277006543986</v>
      </c>
      <c r="H5450" s="35">
        <v>18.502061771994786</v>
      </c>
      <c r="I5450" s="35">
        <v>5.4363220043473097</v>
      </c>
      <c r="J5450" s="35">
        <v>1.398564528492514E-3</v>
      </c>
      <c r="K5450" s="35">
        <v>-2.2281460890877729</v>
      </c>
      <c r="L5450" s="35">
        <v>30.703624746335656</v>
      </c>
      <c r="M5450" s="58" t="s">
        <v>22</v>
      </c>
      <c r="N5450" s="7">
        <v>9.5</v>
      </c>
      <c r="O5450" s="7" t="s">
        <v>179</v>
      </c>
      <c r="P5450" s="7" t="s">
        <v>179</v>
      </c>
    </row>
    <row r="5451" spans="1:16" x14ac:dyDescent="0.25">
      <c r="A5451" t="s">
        <v>181</v>
      </c>
      <c r="B5451" t="s">
        <v>226</v>
      </c>
      <c r="C5451" s="7" t="s">
        <v>168</v>
      </c>
      <c r="D5451" t="s">
        <v>107</v>
      </c>
      <c r="F5451" s="35">
        <v>2</v>
      </c>
      <c r="G5451" s="35">
        <v>66.249495313829726</v>
      </c>
      <c r="H5451" s="35">
        <v>18.502046675460889</v>
      </c>
      <c r="I5451" s="35">
        <v>-0.29649673874404014</v>
      </c>
      <c r="J5451" s="35">
        <v>1.3478134496158652E-3</v>
      </c>
      <c r="K5451" s="35">
        <v>-2.2281460890877733</v>
      </c>
      <c r="L5451" s="35">
        <v>30.703678880819837</v>
      </c>
      <c r="M5451" s="58" t="s">
        <v>22</v>
      </c>
      <c r="N5451" s="7">
        <v>9.5</v>
      </c>
      <c r="O5451" s="7" t="s">
        <v>179</v>
      </c>
      <c r="P5451" s="7" t="s">
        <v>179</v>
      </c>
    </row>
    <row r="5452" spans="1:16" x14ac:dyDescent="0.25">
      <c r="A5452" t="s">
        <v>181</v>
      </c>
      <c r="B5452" t="s">
        <v>226</v>
      </c>
      <c r="C5452" s="7" t="s">
        <v>168</v>
      </c>
      <c r="D5452" t="s">
        <v>107</v>
      </c>
      <c r="F5452" s="35">
        <v>4.4982502942822435</v>
      </c>
      <c r="G5452" s="35">
        <v>67.266030360672829</v>
      </c>
      <c r="H5452" s="35">
        <v>27.315873713688642</v>
      </c>
      <c r="I5452" s="35">
        <v>-0.29649673874403965</v>
      </c>
      <c r="J5452" s="35">
        <v>1.3478134496158652E-3</v>
      </c>
      <c r="K5452" s="35">
        <v>-1.4874230242667501</v>
      </c>
      <c r="L5452" s="35">
        <v>-26.528637666976792</v>
      </c>
      <c r="M5452" s="58" t="s">
        <v>24</v>
      </c>
      <c r="N5452" s="7">
        <v>9.5</v>
      </c>
      <c r="O5452" s="7" t="s">
        <v>179</v>
      </c>
      <c r="P5452" s="7" t="s">
        <v>179</v>
      </c>
    </row>
    <row r="5453" spans="1:16" x14ac:dyDescent="0.25">
      <c r="A5453" t="s">
        <v>181</v>
      </c>
      <c r="B5453" t="s">
        <v>226</v>
      </c>
      <c r="C5453" s="7" t="s">
        <v>168</v>
      </c>
      <c r="D5453" t="s">
        <v>107</v>
      </c>
      <c r="F5453" s="35">
        <v>8.9965005885644871</v>
      </c>
      <c r="G5453" s="35">
        <v>69.096363007515919</v>
      </c>
      <c r="H5453" s="35">
        <v>43.185700751916407</v>
      </c>
      <c r="I5453" s="35">
        <v>-0.2964967387440387</v>
      </c>
      <c r="J5453" s="35">
        <v>1.3478134496158652E-3</v>
      </c>
      <c r="K5453" s="35">
        <v>-0.15370648195765016</v>
      </c>
      <c r="L5453" s="35">
        <v>-185.09550171061153</v>
      </c>
      <c r="M5453" s="58" t="s">
        <v>23</v>
      </c>
      <c r="N5453" s="7">
        <v>9.5</v>
      </c>
      <c r="O5453" s="7" t="s">
        <v>179</v>
      </c>
      <c r="P5453" s="7" t="s">
        <v>179</v>
      </c>
    </row>
    <row r="5454" spans="1:16" x14ac:dyDescent="0.25">
      <c r="A5454" t="s">
        <v>181</v>
      </c>
      <c r="B5454" t="s">
        <v>226</v>
      </c>
      <c r="C5454" s="7" t="s">
        <v>168</v>
      </c>
      <c r="D5454" t="s">
        <v>108</v>
      </c>
      <c r="F5454" s="35">
        <v>0</v>
      </c>
      <c r="G5454" s="35">
        <v>82.6495619910024</v>
      </c>
      <c r="H5454" s="35">
        <v>52.508111944738836</v>
      </c>
      <c r="I5454" s="35">
        <v>-2.154856428399464</v>
      </c>
      <c r="J5454" s="35">
        <v>-1.285783722764851E-3</v>
      </c>
      <c r="K5454" s="35">
        <v>-3.3977722118959943</v>
      </c>
      <c r="L5454" s="35">
        <v>159.63319755872382</v>
      </c>
      <c r="M5454" s="58" t="s">
        <v>22</v>
      </c>
      <c r="N5454" s="7">
        <v>9.5</v>
      </c>
      <c r="O5454" s="7" t="s">
        <v>179</v>
      </c>
      <c r="P5454" s="7" t="s">
        <v>179</v>
      </c>
    </row>
    <row r="5455" spans="1:16" x14ac:dyDescent="0.25">
      <c r="A5455" t="s">
        <v>181</v>
      </c>
      <c r="B5455" t="s">
        <v>226</v>
      </c>
      <c r="C5455" s="7" t="s">
        <v>168</v>
      </c>
      <c r="D5455" t="s">
        <v>108</v>
      </c>
      <c r="F5455" s="35">
        <v>2</v>
      </c>
      <c r="G5455" s="35">
        <v>83.463359591002387</v>
      </c>
      <c r="H5455" s="35">
        <v>46.460111944738841</v>
      </c>
      <c r="I5455" s="35">
        <v>-2.1548564283994645</v>
      </c>
      <c r="J5455" s="35">
        <v>-1.285783722764851E-3</v>
      </c>
      <c r="K5455" s="35">
        <v>0.91194064490293292</v>
      </c>
      <c r="L5455" s="35">
        <v>60.664973669246137</v>
      </c>
      <c r="M5455" s="58" t="s">
        <v>22</v>
      </c>
      <c r="N5455" s="7">
        <v>9.5</v>
      </c>
      <c r="O5455" s="7" t="s">
        <v>179</v>
      </c>
      <c r="P5455" s="7" t="s">
        <v>179</v>
      </c>
    </row>
    <row r="5456" spans="1:16" x14ac:dyDescent="0.25">
      <c r="A5456" t="s">
        <v>181</v>
      </c>
      <c r="B5456" t="s">
        <v>226</v>
      </c>
      <c r="C5456" s="7" t="s">
        <v>168</v>
      </c>
      <c r="D5456" t="s">
        <v>108</v>
      </c>
      <c r="F5456" s="35">
        <v>2</v>
      </c>
      <c r="G5456" s="35">
        <v>81.348347613215054</v>
      </c>
      <c r="H5456" s="35">
        <v>46.4600812307566</v>
      </c>
      <c r="I5456" s="35">
        <v>0.12216748705610164</v>
      </c>
      <c r="J5456" s="35">
        <v>-1.3755789832731091E-3</v>
      </c>
      <c r="K5456" s="35">
        <v>0.91194064490293392</v>
      </c>
      <c r="L5456" s="35">
        <v>60.665069450857281</v>
      </c>
      <c r="M5456" s="58" t="s">
        <v>22</v>
      </c>
      <c r="N5456" s="7">
        <v>9.5</v>
      </c>
      <c r="O5456" s="7" t="s">
        <v>179</v>
      </c>
      <c r="P5456" s="7" t="s">
        <v>179</v>
      </c>
    </row>
    <row r="5457" spans="1:16" x14ac:dyDescent="0.25">
      <c r="A5457" t="s">
        <v>181</v>
      </c>
      <c r="B5457" t="s">
        <v>226</v>
      </c>
      <c r="C5457" s="7" t="s">
        <v>168</v>
      </c>
      <c r="D5457" t="s">
        <v>108</v>
      </c>
      <c r="F5457" s="35">
        <v>4.4982502942822435</v>
      </c>
      <c r="G5457" s="35">
        <v>82.364882660058143</v>
      </c>
      <c r="H5457" s="35">
        <v>38.905372340847087</v>
      </c>
      <c r="I5457" s="35">
        <v>0.12216748705610117</v>
      </c>
      <c r="J5457" s="35">
        <v>-1.3755789832731091E-3</v>
      </c>
      <c r="K5457" s="35">
        <v>0.6067356844133065</v>
      </c>
      <c r="L5457" s="35">
        <v>-45.967065302540796</v>
      </c>
      <c r="M5457" s="58" t="s">
        <v>24</v>
      </c>
      <c r="N5457" s="7">
        <v>9.5</v>
      </c>
      <c r="O5457" s="7" t="s">
        <v>179</v>
      </c>
      <c r="P5457" s="7" t="s">
        <v>179</v>
      </c>
    </row>
    <row r="5458" spans="1:16" x14ac:dyDescent="0.25">
      <c r="A5458" t="s">
        <v>181</v>
      </c>
      <c r="B5458" t="s">
        <v>226</v>
      </c>
      <c r="C5458" s="7" t="s">
        <v>168</v>
      </c>
      <c r="D5458" t="s">
        <v>108</v>
      </c>
      <c r="F5458" s="35">
        <v>8.9965005885644871</v>
      </c>
      <c r="G5458" s="35">
        <v>84.195215306901233</v>
      </c>
      <c r="H5458" s="35">
        <v>25.302663450937583</v>
      </c>
      <c r="I5458" s="35">
        <v>0.12216748705610034</v>
      </c>
      <c r="J5458" s="35">
        <v>-1.3755789832731091E-3</v>
      </c>
      <c r="K5458" s="35">
        <v>5.7195749811478937E-2</v>
      </c>
      <c r="L5458" s="35">
        <v>-190.37897325038091</v>
      </c>
      <c r="M5458" s="58" t="s">
        <v>23</v>
      </c>
      <c r="N5458" s="7">
        <v>9.5</v>
      </c>
      <c r="O5458" s="7" t="s">
        <v>179</v>
      </c>
      <c r="P5458" s="7" t="s">
        <v>179</v>
      </c>
    </row>
    <row r="5459" spans="1:16" x14ac:dyDescent="0.25">
      <c r="A5459" t="s">
        <v>181</v>
      </c>
      <c r="B5459" t="s">
        <v>226</v>
      </c>
      <c r="C5459" s="7" t="s">
        <v>168</v>
      </c>
      <c r="D5459" t="s">
        <v>109</v>
      </c>
      <c r="F5459" s="35">
        <v>0</v>
      </c>
      <c r="G5459" s="35">
        <v>-41.01332308786273</v>
      </c>
      <c r="H5459" s="35">
        <v>26.031188981329535</v>
      </c>
      <c r="I5459" s="35">
        <v>-1.8621163764442894</v>
      </c>
      <c r="J5459" s="35">
        <v>-8.5097104484001653E-4</v>
      </c>
      <c r="K5459" s="35">
        <v>-2.9387011468028295</v>
      </c>
      <c r="L5459" s="35">
        <v>81.479418849419659</v>
      </c>
      <c r="M5459" s="58" t="s">
        <v>22</v>
      </c>
      <c r="N5459" s="7">
        <v>9.5</v>
      </c>
      <c r="O5459" s="7" t="s">
        <v>179</v>
      </c>
      <c r="P5459" s="7" t="s">
        <v>179</v>
      </c>
    </row>
    <row r="5460" spans="1:16" x14ac:dyDescent="0.25">
      <c r="A5460" t="s">
        <v>181</v>
      </c>
      <c r="B5460" t="s">
        <v>226</v>
      </c>
      <c r="C5460" s="7" t="s">
        <v>168</v>
      </c>
      <c r="D5460" t="s">
        <v>109</v>
      </c>
      <c r="F5460" s="35">
        <v>2</v>
      </c>
      <c r="G5460" s="35">
        <v>-40.199525487862729</v>
      </c>
      <c r="H5460" s="35">
        <v>15.279188981329531</v>
      </c>
      <c r="I5460" s="35">
        <v>-1.8621163764442901</v>
      </c>
      <c r="J5460" s="35">
        <v>-8.5097104484001653E-4</v>
      </c>
      <c r="K5460" s="35">
        <v>0.78553160608575023</v>
      </c>
      <c r="L5460" s="35">
        <v>40.169040886760598</v>
      </c>
      <c r="M5460" s="58" t="s">
        <v>22</v>
      </c>
      <c r="N5460" s="7">
        <v>9.5</v>
      </c>
      <c r="O5460" s="7" t="s">
        <v>179</v>
      </c>
      <c r="P5460" s="7" t="s">
        <v>179</v>
      </c>
    </row>
    <row r="5461" spans="1:16" x14ac:dyDescent="0.25">
      <c r="A5461" t="s">
        <v>181</v>
      </c>
      <c r="B5461" t="s">
        <v>226</v>
      </c>
      <c r="C5461" s="7" t="s">
        <v>168</v>
      </c>
      <c r="D5461" t="s">
        <v>109</v>
      </c>
      <c r="F5461" s="35">
        <v>2</v>
      </c>
      <c r="G5461" s="35">
        <v>-42.024290601209351</v>
      </c>
      <c r="H5461" s="35">
        <v>15.27918981174126</v>
      </c>
      <c r="I5461" s="35">
        <v>0.10531165522326943</v>
      </c>
      <c r="J5461" s="35">
        <v>-8.1806014332919932E-4</v>
      </c>
      <c r="K5461" s="35">
        <v>0.78553160608575145</v>
      </c>
      <c r="L5461" s="35">
        <v>40.169005781798916</v>
      </c>
      <c r="M5461" s="58" t="s">
        <v>22</v>
      </c>
      <c r="N5461" s="7">
        <v>9.5</v>
      </c>
      <c r="O5461" s="7" t="s">
        <v>179</v>
      </c>
      <c r="P5461" s="7" t="s">
        <v>179</v>
      </c>
    </row>
    <row r="5462" spans="1:16" x14ac:dyDescent="0.25">
      <c r="A5462" t="s">
        <v>181</v>
      </c>
      <c r="B5462" t="s">
        <v>226</v>
      </c>
      <c r="C5462" s="7" t="s">
        <v>168</v>
      </c>
      <c r="D5462" t="s">
        <v>109</v>
      </c>
      <c r="F5462" s="35">
        <v>4.4982502942822435</v>
      </c>
      <c r="G5462" s="35">
        <v>-41.007755554366263</v>
      </c>
      <c r="H5462" s="35">
        <v>1.848596229679915</v>
      </c>
      <c r="I5462" s="35">
        <v>0.10531165522326863</v>
      </c>
      <c r="J5462" s="35">
        <v>-8.1806014332919932E-4</v>
      </c>
      <c r="K5462" s="35">
        <v>0.52243673243286937</v>
      </c>
      <c r="L5462" s="35">
        <v>18.774257522607037</v>
      </c>
      <c r="M5462" s="58" t="s">
        <v>24</v>
      </c>
      <c r="N5462" s="7">
        <v>9.5</v>
      </c>
      <c r="O5462" s="7" t="s">
        <v>179</v>
      </c>
      <c r="P5462" s="7" t="s">
        <v>179</v>
      </c>
    </row>
    <row r="5463" spans="1:16" x14ac:dyDescent="0.25">
      <c r="A5463" t="s">
        <v>181</v>
      </c>
      <c r="B5463" t="s">
        <v>226</v>
      </c>
      <c r="C5463" s="7" t="s">
        <v>168</v>
      </c>
      <c r="D5463" t="s">
        <v>109</v>
      </c>
      <c r="F5463" s="35">
        <v>8.9965005885644871</v>
      </c>
      <c r="G5463" s="35">
        <v>-39.177422907523166</v>
      </c>
      <c r="H5463" s="35">
        <v>-22.333997352381438</v>
      </c>
      <c r="I5463" s="35">
        <v>0.10531165522326714</v>
      </c>
      <c r="J5463" s="35">
        <v>-8.1806014332919932E-4</v>
      </c>
      <c r="K5463" s="35">
        <v>4.8718548333454355E-2</v>
      </c>
      <c r="L5463" s="35">
        <v>64.848488336948009</v>
      </c>
      <c r="M5463" s="58" t="s">
        <v>23</v>
      </c>
      <c r="N5463" s="7">
        <v>9.5</v>
      </c>
      <c r="O5463" s="7" t="s">
        <v>179</v>
      </c>
      <c r="P5463" s="7" t="s">
        <v>179</v>
      </c>
    </row>
    <row r="5464" spans="1:16" x14ac:dyDescent="0.25">
      <c r="A5464" t="s">
        <v>181</v>
      </c>
      <c r="B5464" t="s">
        <v>226</v>
      </c>
      <c r="C5464" s="7" t="s">
        <v>168</v>
      </c>
      <c r="D5464" t="s">
        <v>110</v>
      </c>
      <c r="F5464" s="35">
        <v>0</v>
      </c>
      <c r="G5464" s="35">
        <v>59.670891645736667</v>
      </c>
      <c r="H5464" s="35">
        <v>3.4272020634559213</v>
      </c>
      <c r="I5464" s="35">
        <v>-1.8232984670159385</v>
      </c>
      <c r="J5464" s="35">
        <v>-1.3188048717729169E-3</v>
      </c>
      <c r="K5464" s="35">
        <v>-2.8812720397587426</v>
      </c>
      <c r="L5464" s="35">
        <v>16.986057281560157</v>
      </c>
      <c r="M5464" s="58" t="s">
        <v>22</v>
      </c>
      <c r="N5464" s="7">
        <v>9.5</v>
      </c>
      <c r="O5464" s="7" t="s">
        <v>179</v>
      </c>
      <c r="P5464" s="7" t="s">
        <v>179</v>
      </c>
    </row>
    <row r="5465" spans="1:16" x14ac:dyDescent="0.25">
      <c r="A5465" t="s">
        <v>181</v>
      </c>
      <c r="B5465" t="s">
        <v>226</v>
      </c>
      <c r="C5465" s="7" t="s">
        <v>168</v>
      </c>
      <c r="D5465" t="s">
        <v>110</v>
      </c>
      <c r="F5465" s="35">
        <v>2</v>
      </c>
      <c r="G5465" s="35">
        <v>60.484689245736668</v>
      </c>
      <c r="H5465" s="35">
        <v>9.8112020634559212</v>
      </c>
      <c r="I5465" s="35">
        <v>-1.823298467015938</v>
      </c>
      <c r="J5465" s="35">
        <v>-1.3188048717729169E-3</v>
      </c>
      <c r="K5465" s="35">
        <v>0.76532489427313377</v>
      </c>
      <c r="L5465" s="35">
        <v>3.7476531546483143</v>
      </c>
      <c r="M5465" s="58" t="s">
        <v>22</v>
      </c>
      <c r="N5465" s="7">
        <v>9.5</v>
      </c>
      <c r="O5465" s="7" t="s">
        <v>179</v>
      </c>
      <c r="P5465" s="7" t="s">
        <v>179</v>
      </c>
    </row>
    <row r="5466" spans="1:16" x14ac:dyDescent="0.25">
      <c r="A5466" t="s">
        <v>181</v>
      </c>
      <c r="B5466" t="s">
        <v>226</v>
      </c>
      <c r="C5466" s="7" t="s">
        <v>168</v>
      </c>
      <c r="D5466" t="s">
        <v>110</v>
      </c>
      <c r="F5466" s="35">
        <v>2</v>
      </c>
      <c r="G5466" s="35">
        <v>58.69884378837903</v>
      </c>
      <c r="H5466" s="35">
        <v>9.8111825488560971</v>
      </c>
      <c r="I5466" s="35">
        <v>0.10261305426345527</v>
      </c>
      <c r="J5466" s="35">
        <v>-1.3785139866607039E-3</v>
      </c>
      <c r="K5466" s="35">
        <v>0.76532489427313222</v>
      </c>
      <c r="L5466" s="35">
        <v>3.7477168443708688</v>
      </c>
      <c r="M5466" s="58" t="s">
        <v>22</v>
      </c>
      <c r="N5466" s="7">
        <v>9.5</v>
      </c>
      <c r="O5466" s="7" t="s">
        <v>179</v>
      </c>
      <c r="P5466" s="7" t="s">
        <v>179</v>
      </c>
    </row>
    <row r="5467" spans="1:16" x14ac:dyDescent="0.25">
      <c r="A5467" t="s">
        <v>181</v>
      </c>
      <c r="B5467" t="s">
        <v>226</v>
      </c>
      <c r="C5467" s="7" t="s">
        <v>168</v>
      </c>
      <c r="D5467" t="s">
        <v>110</v>
      </c>
      <c r="F5467" s="35">
        <v>4.4982502942822435</v>
      </c>
      <c r="G5467" s="35">
        <v>59.715378835222118</v>
      </c>
      <c r="H5467" s="35">
        <v>17.785597488205017</v>
      </c>
      <c r="I5467" s="35">
        <v>0.10261305426345577</v>
      </c>
      <c r="J5467" s="35">
        <v>-1.3785139866607039E-3</v>
      </c>
      <c r="K5467" s="35">
        <v>0.50897180126225461</v>
      </c>
      <c r="L5467" s="35">
        <v>-30.724115080044264</v>
      </c>
      <c r="M5467" s="58" t="s">
        <v>24</v>
      </c>
      <c r="N5467" s="7">
        <v>9.5</v>
      </c>
      <c r="O5467" s="7" t="s">
        <v>179</v>
      </c>
      <c r="P5467" s="7" t="s">
        <v>179</v>
      </c>
    </row>
    <row r="5468" spans="1:16" x14ac:dyDescent="0.25">
      <c r="A5468" t="s">
        <v>181</v>
      </c>
      <c r="B5468" t="s">
        <v>226</v>
      </c>
      <c r="C5468" s="7" t="s">
        <v>168</v>
      </c>
      <c r="D5468" t="s">
        <v>110</v>
      </c>
      <c r="F5468" s="35">
        <v>8.9965005885644871</v>
      </c>
      <c r="G5468" s="35">
        <v>61.545711482065208</v>
      </c>
      <c r="H5468" s="35">
        <v>32.144012427553946</v>
      </c>
      <c r="I5468" s="35">
        <v>0.10261305426345664</v>
      </c>
      <c r="J5468" s="35">
        <v>-1.3785139866607039E-3</v>
      </c>
      <c r="K5468" s="35">
        <v>4.7392599724462775E-2</v>
      </c>
      <c r="L5468" s="35">
        <v>-143.02205632852449</v>
      </c>
      <c r="M5468" s="58" t="s">
        <v>23</v>
      </c>
      <c r="N5468" s="7">
        <v>9.5</v>
      </c>
      <c r="O5468" s="7" t="s">
        <v>179</v>
      </c>
      <c r="P5468" s="7" t="s">
        <v>179</v>
      </c>
    </row>
    <row r="5469" spans="1:16" x14ac:dyDescent="0.25">
      <c r="A5469" t="s">
        <v>181</v>
      </c>
      <c r="B5469" t="s">
        <v>226</v>
      </c>
      <c r="C5469" s="7" t="s">
        <v>168</v>
      </c>
      <c r="D5469" t="s">
        <v>111</v>
      </c>
      <c r="F5469" s="35">
        <v>0</v>
      </c>
      <c r="G5469" s="35">
        <v>6.8902240159090606</v>
      </c>
      <c r="H5469" s="35">
        <v>-12.405833728930187</v>
      </c>
      <c r="I5469" s="35">
        <v>-1.5762887089964901</v>
      </c>
      <c r="J5469" s="35">
        <v>-7.7743803007902345E-4</v>
      </c>
      <c r="K5469" s="35">
        <v>-2.495292487923455</v>
      </c>
      <c r="L5469" s="35">
        <v>-76.332394051406482</v>
      </c>
      <c r="M5469" s="58" t="s">
        <v>22</v>
      </c>
      <c r="N5469" s="7">
        <v>9.5</v>
      </c>
      <c r="O5469" s="7" t="s">
        <v>179</v>
      </c>
      <c r="P5469" s="7" t="s">
        <v>179</v>
      </c>
    </row>
    <row r="5470" spans="1:16" x14ac:dyDescent="0.25">
      <c r="A5470" t="s">
        <v>181</v>
      </c>
      <c r="B5470" t="s">
        <v>226</v>
      </c>
      <c r="C5470" s="7" t="s">
        <v>168</v>
      </c>
      <c r="D5470" t="s">
        <v>111</v>
      </c>
      <c r="F5470" s="35">
        <v>2</v>
      </c>
      <c r="G5470" s="35">
        <v>7.704021615909058</v>
      </c>
      <c r="H5470" s="35">
        <v>-10.725833728930187</v>
      </c>
      <c r="I5470" s="35">
        <v>-1.5762887089964901</v>
      </c>
      <c r="J5470" s="35">
        <v>-7.7743803007902345E-4</v>
      </c>
      <c r="K5470" s="35">
        <v>0.6572849300695246</v>
      </c>
      <c r="L5470" s="35">
        <v>-53.200726593546108</v>
      </c>
      <c r="M5470" s="58" t="s">
        <v>22</v>
      </c>
      <c r="N5470" s="7">
        <v>9.5</v>
      </c>
      <c r="O5470" s="7" t="s">
        <v>179</v>
      </c>
      <c r="P5470" s="7" t="s">
        <v>179</v>
      </c>
    </row>
    <row r="5471" spans="1:16" x14ac:dyDescent="0.25">
      <c r="A5471" t="s">
        <v>181</v>
      </c>
      <c r="B5471" t="s">
        <v>226</v>
      </c>
      <c r="C5471" s="7" t="s">
        <v>168</v>
      </c>
      <c r="D5471" t="s">
        <v>111</v>
      </c>
      <c r="F5471" s="35">
        <v>2</v>
      </c>
      <c r="G5471" s="35">
        <v>6.1632552680533905</v>
      </c>
      <c r="H5471" s="35">
        <v>-10.725830312158376</v>
      </c>
      <c r="I5471" s="35">
        <v>8.8204116197558066E-2</v>
      </c>
      <c r="J5471" s="35">
        <v>-8.2562575878361545E-4</v>
      </c>
      <c r="K5471" s="35">
        <v>0.65728493006952593</v>
      </c>
      <c r="L5471" s="35">
        <v>-53.200675193302168</v>
      </c>
      <c r="M5471" s="58" t="s">
        <v>22</v>
      </c>
      <c r="N5471" s="7">
        <v>9.5</v>
      </c>
      <c r="O5471" s="7" t="s">
        <v>179</v>
      </c>
      <c r="P5471" s="7" t="s">
        <v>179</v>
      </c>
    </row>
    <row r="5472" spans="1:16" x14ac:dyDescent="0.25">
      <c r="A5472" t="s">
        <v>181</v>
      </c>
      <c r="B5472" t="s">
        <v>226</v>
      </c>
      <c r="C5472" s="7" t="s">
        <v>168</v>
      </c>
      <c r="D5472" t="s">
        <v>111</v>
      </c>
      <c r="F5472" s="35">
        <v>4.4982502942822435</v>
      </c>
      <c r="G5472" s="35">
        <v>7.1797903148964819</v>
      </c>
      <c r="H5472" s="35">
        <v>-8.6273000649612896</v>
      </c>
      <c r="I5472" s="35">
        <v>8.8204116197558191E-2</v>
      </c>
      <c r="J5472" s="35">
        <v>-8.2562575878361545E-4</v>
      </c>
      <c r="K5472" s="35">
        <v>0.43692897082207094</v>
      </c>
      <c r="L5472" s="35">
        <v>-29.02619336334126</v>
      </c>
      <c r="M5472" s="58" t="s">
        <v>24</v>
      </c>
      <c r="N5472" s="7">
        <v>9.5</v>
      </c>
      <c r="O5472" s="7" t="s">
        <v>179</v>
      </c>
      <c r="P5472" s="7" t="s">
        <v>179</v>
      </c>
    </row>
    <row r="5473" spans="1:16" x14ac:dyDescent="0.25">
      <c r="A5473" t="s">
        <v>181</v>
      </c>
      <c r="B5473" t="s">
        <v>226</v>
      </c>
      <c r="C5473" s="7" t="s">
        <v>168</v>
      </c>
      <c r="D5473" t="s">
        <v>111</v>
      </c>
      <c r="F5473" s="35">
        <v>8.9965005885644871</v>
      </c>
      <c r="G5473" s="35">
        <v>9.0101229617395742</v>
      </c>
      <c r="H5473" s="35">
        <v>-4.8487698177642029</v>
      </c>
      <c r="I5473" s="35">
        <v>8.8204116197558427E-2</v>
      </c>
      <c r="J5473" s="35">
        <v>-8.2562575878361545E-4</v>
      </c>
      <c r="K5473" s="35">
        <v>4.0164779179499004E-2</v>
      </c>
      <c r="L5473" s="35">
        <v>1.2831742945277613</v>
      </c>
      <c r="M5473" s="58" t="s">
        <v>23</v>
      </c>
      <c r="N5473" s="7">
        <v>9.5</v>
      </c>
      <c r="O5473" s="7" t="s">
        <v>179</v>
      </c>
      <c r="P5473" s="7" t="s">
        <v>179</v>
      </c>
    </row>
    <row r="5474" spans="1:16" x14ac:dyDescent="0.25">
      <c r="A5474" t="s">
        <v>181</v>
      </c>
      <c r="B5474" t="s">
        <v>226</v>
      </c>
      <c r="C5474" s="7" t="s">
        <v>168</v>
      </c>
      <c r="D5474" t="s">
        <v>112</v>
      </c>
      <c r="F5474" s="35">
        <v>0</v>
      </c>
      <c r="G5474" s="35">
        <v>36.06873198272212</v>
      </c>
      <c r="H5474" s="35">
        <v>-8.3776018808541579</v>
      </c>
      <c r="I5474" s="35">
        <v>-3.8758843245300985</v>
      </c>
      <c r="J5474" s="35">
        <v>-6.869139174247444E-4</v>
      </c>
      <c r="K5474" s="35">
        <v>-6.180389229372846</v>
      </c>
      <c r="L5474" s="35">
        <v>1.7637063566880593</v>
      </c>
      <c r="M5474" s="58" t="s">
        <v>22</v>
      </c>
      <c r="N5474" s="7">
        <v>9.5</v>
      </c>
      <c r="O5474" s="7" t="s">
        <v>179</v>
      </c>
      <c r="P5474" s="7" t="s">
        <v>179</v>
      </c>
    </row>
    <row r="5475" spans="1:16" x14ac:dyDescent="0.25">
      <c r="A5475" t="s">
        <v>181</v>
      </c>
      <c r="B5475" t="s">
        <v>226</v>
      </c>
      <c r="C5475" s="7" t="s">
        <v>168</v>
      </c>
      <c r="D5475" t="s">
        <v>112</v>
      </c>
      <c r="F5475" s="35">
        <v>2</v>
      </c>
      <c r="G5475" s="35">
        <v>36.882529582722121</v>
      </c>
      <c r="H5475" s="35">
        <v>-0.81760188085415919</v>
      </c>
      <c r="I5475" s="35">
        <v>-3.875884324530098</v>
      </c>
      <c r="J5475" s="35">
        <v>-6.869139174247444E-4</v>
      </c>
      <c r="K5475" s="35">
        <v>1.5713794196873503</v>
      </c>
      <c r="L5475" s="35">
        <v>10.958910118396377</v>
      </c>
      <c r="M5475" s="58" t="s">
        <v>22</v>
      </c>
      <c r="N5475" s="7">
        <v>9.5</v>
      </c>
      <c r="O5475" s="7" t="s">
        <v>179</v>
      </c>
      <c r="P5475" s="7" t="s">
        <v>179</v>
      </c>
    </row>
    <row r="5476" spans="1:16" x14ac:dyDescent="0.25">
      <c r="A5476" t="s">
        <v>181</v>
      </c>
      <c r="B5476" t="s">
        <v>226</v>
      </c>
      <c r="C5476" s="7" t="s">
        <v>168</v>
      </c>
      <c r="D5476" t="s">
        <v>112</v>
      </c>
      <c r="F5476" s="35">
        <v>2</v>
      </c>
      <c r="G5476" s="35">
        <v>33.071604820879763</v>
      </c>
      <c r="H5476" s="35">
        <v>-0.81761102536012531</v>
      </c>
      <c r="I5476" s="35">
        <v>0.21010404583314202</v>
      </c>
      <c r="J5476" s="35">
        <v>-6.9038141297014235E-4</v>
      </c>
      <c r="K5476" s="35">
        <v>1.571379419687351</v>
      </c>
      <c r="L5476" s="35">
        <v>10.958913817058344</v>
      </c>
      <c r="M5476" s="58" t="s">
        <v>22</v>
      </c>
      <c r="N5476" s="7">
        <v>9.5</v>
      </c>
      <c r="O5476" s="7" t="s">
        <v>179</v>
      </c>
      <c r="P5476" s="7" t="s">
        <v>179</v>
      </c>
    </row>
    <row r="5477" spans="1:16" x14ac:dyDescent="0.25">
      <c r="A5477" t="s">
        <v>181</v>
      </c>
      <c r="B5477" t="s">
        <v>226</v>
      </c>
      <c r="C5477" s="7" t="s">
        <v>168</v>
      </c>
      <c r="D5477" t="s">
        <v>112</v>
      </c>
      <c r="F5477" s="35">
        <v>4.4982502942822435</v>
      </c>
      <c r="G5477" s="35">
        <v>34.088139867722866</v>
      </c>
      <c r="H5477" s="35">
        <v>8.6257750870267582</v>
      </c>
      <c r="I5477" s="35">
        <v>0.21010404583314263</v>
      </c>
      <c r="J5477" s="35">
        <v>-6.9038141297014235E-4</v>
      </c>
      <c r="K5477" s="35">
        <v>1.0464869253548132</v>
      </c>
      <c r="L5477" s="35">
        <v>1.2055397346269969</v>
      </c>
      <c r="M5477" s="58" t="s">
        <v>24</v>
      </c>
      <c r="N5477" s="7">
        <v>9.5</v>
      </c>
      <c r="O5477" s="7" t="s">
        <v>179</v>
      </c>
      <c r="P5477" s="7" t="s">
        <v>179</v>
      </c>
    </row>
    <row r="5478" spans="1:16" x14ac:dyDescent="0.25">
      <c r="A5478" t="s">
        <v>181</v>
      </c>
      <c r="B5478" t="s">
        <v>226</v>
      </c>
      <c r="C5478" s="7" t="s">
        <v>168</v>
      </c>
      <c r="D5478" t="s">
        <v>112</v>
      </c>
      <c r="F5478" s="35">
        <v>8.9965005885644871</v>
      </c>
      <c r="G5478" s="35">
        <v>35.918472514565956</v>
      </c>
      <c r="H5478" s="35">
        <v>25.629161199413648</v>
      </c>
      <c r="I5478" s="35">
        <v>0.21010404583314368</v>
      </c>
      <c r="J5478" s="35">
        <v>-6.9038141297014235E-4</v>
      </c>
      <c r="K5478" s="35">
        <v>0.1013863393559869</v>
      </c>
      <c r="L5478" s="35">
        <v>-75.838098880923027</v>
      </c>
      <c r="M5478" s="58" t="s">
        <v>23</v>
      </c>
      <c r="N5478" s="7">
        <v>9.5</v>
      </c>
      <c r="O5478" s="7" t="s">
        <v>179</v>
      </c>
      <c r="P5478" s="7" t="s">
        <v>179</v>
      </c>
    </row>
    <row r="5479" spans="1:16" x14ac:dyDescent="0.25">
      <c r="A5479" t="s">
        <v>181</v>
      </c>
      <c r="B5479" t="s">
        <v>226</v>
      </c>
      <c r="C5479" s="7" t="s">
        <v>168</v>
      </c>
      <c r="D5479" t="s">
        <v>113</v>
      </c>
      <c r="F5479" s="35">
        <v>0</v>
      </c>
      <c r="G5479" s="35">
        <v>-2.2426948729256977</v>
      </c>
      <c r="H5479" s="35">
        <v>-12.374694823574767</v>
      </c>
      <c r="I5479" s="35">
        <v>-3.2628812097895645</v>
      </c>
      <c r="J5479" s="35">
        <v>-2.1904735781861777E-4</v>
      </c>
      <c r="K5479" s="35">
        <v>-5.2131371888573899</v>
      </c>
      <c r="L5479" s="35">
        <v>-26.709551271965129</v>
      </c>
      <c r="M5479" s="58" t="s">
        <v>22</v>
      </c>
      <c r="N5479" s="7">
        <v>9.5</v>
      </c>
      <c r="O5479" s="7" t="s">
        <v>179</v>
      </c>
      <c r="P5479" s="7" t="s">
        <v>179</v>
      </c>
    </row>
    <row r="5480" spans="1:16" x14ac:dyDescent="0.25">
      <c r="A5480" t="s">
        <v>181</v>
      </c>
      <c r="B5480" t="s">
        <v>226</v>
      </c>
      <c r="C5480" s="7" t="s">
        <v>168</v>
      </c>
      <c r="D5480" t="s">
        <v>113</v>
      </c>
      <c r="F5480" s="35">
        <v>2</v>
      </c>
      <c r="G5480" s="35">
        <v>-1.4288972729256999</v>
      </c>
      <c r="H5480" s="35">
        <v>-9.0482948235747678</v>
      </c>
      <c r="I5480" s="35">
        <v>-3.2628812097895645</v>
      </c>
      <c r="J5480" s="35">
        <v>-2.1904735781861777E-4</v>
      </c>
      <c r="K5480" s="35">
        <v>1.3126252307217383</v>
      </c>
      <c r="L5480" s="35">
        <v>-5.2865616248155911</v>
      </c>
      <c r="M5480" s="58" t="s">
        <v>22</v>
      </c>
      <c r="N5480" s="7">
        <v>9.5</v>
      </c>
      <c r="O5480" s="7" t="s">
        <v>179</v>
      </c>
      <c r="P5480" s="7" t="s">
        <v>179</v>
      </c>
    </row>
    <row r="5481" spans="1:16" x14ac:dyDescent="0.25">
      <c r="A5481" t="s">
        <v>181</v>
      </c>
      <c r="B5481" t="s">
        <v>226</v>
      </c>
      <c r="C5481" s="7" t="s">
        <v>168</v>
      </c>
      <c r="D5481" t="s">
        <v>113</v>
      </c>
      <c r="F5481" s="35">
        <v>2</v>
      </c>
      <c r="G5481" s="35">
        <v>-4.6327869304102629</v>
      </c>
      <c r="H5481" s="35">
        <v>-9.0482920720834095</v>
      </c>
      <c r="I5481" s="35">
        <v>0.17560297940489197</v>
      </c>
      <c r="J5481" s="35">
        <v>-1.991367087255562E-4</v>
      </c>
      <c r="K5481" s="35">
        <v>1.3126252307217399</v>
      </c>
      <c r="L5481" s="35">
        <v>-5.286582862841275</v>
      </c>
      <c r="M5481" s="58" t="s">
        <v>22</v>
      </c>
      <c r="N5481" s="7">
        <v>9.5</v>
      </c>
      <c r="O5481" s="7" t="s">
        <v>179</v>
      </c>
      <c r="P5481" s="7" t="s">
        <v>179</v>
      </c>
    </row>
    <row r="5482" spans="1:16" x14ac:dyDescent="0.25">
      <c r="A5482" t="s">
        <v>181</v>
      </c>
      <c r="B5482" t="s">
        <v>226</v>
      </c>
      <c r="C5482" s="7" t="s">
        <v>168</v>
      </c>
      <c r="D5482" t="s">
        <v>113</v>
      </c>
      <c r="F5482" s="35">
        <v>4.4982502942822435</v>
      </c>
      <c r="G5482" s="35">
        <v>-3.6162518835671644</v>
      </c>
      <c r="H5482" s="35">
        <v>-4.8932021826331811</v>
      </c>
      <c r="I5482" s="35">
        <v>0.1756029794048922</v>
      </c>
      <c r="J5482" s="35">
        <v>-1.991367087255562E-4</v>
      </c>
      <c r="K5482" s="35">
        <v>0.87392503574662939</v>
      </c>
      <c r="L5482" s="35">
        <v>12.128088199448698</v>
      </c>
      <c r="M5482" s="58" t="s">
        <v>24</v>
      </c>
      <c r="N5482" s="7">
        <v>9.5</v>
      </c>
      <c r="O5482" s="7" t="s">
        <v>179</v>
      </c>
      <c r="P5482" s="7" t="s">
        <v>179</v>
      </c>
    </row>
    <row r="5483" spans="1:16" x14ac:dyDescent="0.25">
      <c r="A5483" t="s">
        <v>181</v>
      </c>
      <c r="B5483" t="s">
        <v>226</v>
      </c>
      <c r="C5483" s="7" t="s">
        <v>168</v>
      </c>
      <c r="D5483" t="s">
        <v>113</v>
      </c>
      <c r="F5483" s="35">
        <v>8.9965005885644871</v>
      </c>
      <c r="G5483" s="35">
        <v>-1.7859192367240755</v>
      </c>
      <c r="H5483" s="35">
        <v>2.5882877068170487</v>
      </c>
      <c r="I5483" s="35">
        <v>0.17560297940489267</v>
      </c>
      <c r="J5483" s="35">
        <v>-1.991367087255562E-4</v>
      </c>
      <c r="K5483" s="35">
        <v>8.4018881961732989E-2</v>
      </c>
      <c r="L5483" s="35">
        <v>17.312129309016374</v>
      </c>
      <c r="M5483" s="58" t="s">
        <v>23</v>
      </c>
      <c r="N5483" s="7">
        <v>9.5</v>
      </c>
      <c r="O5483" s="7" t="s">
        <v>179</v>
      </c>
      <c r="P5483" s="7" t="s">
        <v>179</v>
      </c>
    </row>
    <row r="5484" spans="1:16" x14ac:dyDescent="0.25">
      <c r="A5484" t="s">
        <v>181</v>
      </c>
      <c r="B5484" t="s">
        <v>226</v>
      </c>
      <c r="C5484" s="7" t="s">
        <v>168</v>
      </c>
      <c r="D5484" t="s">
        <v>114</v>
      </c>
      <c r="F5484" s="35">
        <v>0</v>
      </c>
      <c r="G5484" s="35">
        <v>63.550507599754283</v>
      </c>
      <c r="H5484" s="35">
        <v>1.8004774819193003</v>
      </c>
      <c r="I5484" s="35">
        <v>4.1050751679187591</v>
      </c>
      <c r="J5484" s="35">
        <v>7.617862011514569E-4</v>
      </c>
      <c r="K5484" s="35">
        <v>6.5362828787937746</v>
      </c>
      <c r="L5484" s="35">
        <v>43.626872494931078</v>
      </c>
      <c r="M5484" s="58" t="s">
        <v>22</v>
      </c>
      <c r="N5484" s="7">
        <v>9.5</v>
      </c>
      <c r="O5484" s="7" t="s">
        <v>179</v>
      </c>
      <c r="P5484" s="7" t="s">
        <v>179</v>
      </c>
    </row>
    <row r="5485" spans="1:16" x14ac:dyDescent="0.25">
      <c r="A5485" t="s">
        <v>181</v>
      </c>
      <c r="B5485" t="s">
        <v>226</v>
      </c>
      <c r="C5485" s="7" t="s">
        <v>168</v>
      </c>
      <c r="D5485" t="s">
        <v>114</v>
      </c>
      <c r="F5485" s="35">
        <v>2</v>
      </c>
      <c r="G5485" s="35">
        <v>64.364305199754284</v>
      </c>
      <c r="H5485" s="35">
        <v>12.384477481919301</v>
      </c>
      <c r="I5485" s="35">
        <v>4.1050751679187609</v>
      </c>
      <c r="J5485" s="35">
        <v>7.617862011514569E-4</v>
      </c>
      <c r="K5485" s="35">
        <v>-1.6738674570437435</v>
      </c>
      <c r="L5485" s="35">
        <v>29.441917531092486</v>
      </c>
      <c r="M5485" s="58" t="s">
        <v>22</v>
      </c>
      <c r="N5485" s="7">
        <v>9.5</v>
      </c>
      <c r="O5485" s="7" t="s">
        <v>179</v>
      </c>
      <c r="P5485" s="7" t="s">
        <v>179</v>
      </c>
    </row>
    <row r="5486" spans="1:16" x14ac:dyDescent="0.25">
      <c r="A5486" t="s">
        <v>181</v>
      </c>
      <c r="B5486" t="s">
        <v>226</v>
      </c>
      <c r="C5486" s="7" t="s">
        <v>168</v>
      </c>
      <c r="D5486" t="s">
        <v>114</v>
      </c>
      <c r="F5486" s="35">
        <v>2</v>
      </c>
      <c r="G5486" s="35">
        <v>68.441198143651732</v>
      </c>
      <c r="H5486" s="35">
        <v>12.384461142631489</v>
      </c>
      <c r="I5486" s="35">
        <v>-0.2225967707066763</v>
      </c>
      <c r="J5486" s="35">
        <v>7.2336669135326535E-4</v>
      </c>
      <c r="K5486" s="35">
        <v>-1.6738674570437426</v>
      </c>
      <c r="L5486" s="35">
        <v>29.441958511902989</v>
      </c>
      <c r="M5486" s="58" t="s">
        <v>22</v>
      </c>
      <c r="N5486" s="7">
        <v>9.5</v>
      </c>
      <c r="O5486" s="7" t="s">
        <v>179</v>
      </c>
      <c r="P5486" s="7" t="s">
        <v>179</v>
      </c>
    </row>
    <row r="5487" spans="1:16" x14ac:dyDescent="0.25">
      <c r="A5487" t="s">
        <v>181</v>
      </c>
      <c r="B5487" t="s">
        <v>226</v>
      </c>
      <c r="C5487" s="7" t="s">
        <v>168</v>
      </c>
      <c r="D5487" t="s">
        <v>114</v>
      </c>
      <c r="F5487" s="35">
        <v>4.4982502942822435</v>
      </c>
      <c r="G5487" s="35">
        <v>69.457733190494835</v>
      </c>
      <c r="H5487" s="35">
        <v>25.605201699973122</v>
      </c>
      <c r="I5487" s="35">
        <v>-0.22259677070667552</v>
      </c>
      <c r="J5487" s="35">
        <v>7.2336669135326535E-4</v>
      </c>
      <c r="K5487" s="35">
        <v>-1.1177650091195124</v>
      </c>
      <c r="L5487" s="35">
        <v>-18.011884676207103</v>
      </c>
      <c r="M5487" s="58" t="s">
        <v>24</v>
      </c>
      <c r="N5487" s="7">
        <v>9.5</v>
      </c>
      <c r="O5487" s="7" t="s">
        <v>179</v>
      </c>
      <c r="P5487" s="7" t="s">
        <v>179</v>
      </c>
    </row>
    <row r="5488" spans="1:16" x14ac:dyDescent="0.25">
      <c r="A5488" t="s">
        <v>181</v>
      </c>
      <c r="B5488" t="s">
        <v>226</v>
      </c>
      <c r="C5488" s="7" t="s">
        <v>168</v>
      </c>
      <c r="D5488" t="s">
        <v>114</v>
      </c>
      <c r="F5488" s="35">
        <v>8.9965005885644871</v>
      </c>
      <c r="G5488" s="35">
        <v>71.288065837337925</v>
      </c>
      <c r="H5488" s="35">
        <v>49.409942257314754</v>
      </c>
      <c r="I5488" s="35">
        <v>-0.22259677070667405</v>
      </c>
      <c r="J5488" s="35">
        <v>7.2336669135326535E-4</v>
      </c>
      <c r="K5488" s="35">
        <v>-0.11646901978193543</v>
      </c>
      <c r="L5488" s="35">
        <v>-186.73033136695469</v>
      </c>
      <c r="M5488" s="58" t="s">
        <v>23</v>
      </c>
      <c r="N5488" s="7">
        <v>9.5</v>
      </c>
      <c r="O5488" s="7" t="s">
        <v>179</v>
      </c>
      <c r="P5488" s="7" t="s">
        <v>179</v>
      </c>
    </row>
    <row r="5489" spans="1:16" x14ac:dyDescent="0.25">
      <c r="A5489" t="s">
        <v>181</v>
      </c>
      <c r="B5489" t="s">
        <v>226</v>
      </c>
      <c r="C5489" s="7" t="s">
        <v>168</v>
      </c>
      <c r="D5489" t="s">
        <v>115</v>
      </c>
      <c r="F5489" s="35">
        <v>0</v>
      </c>
      <c r="G5489" s="35">
        <v>24.794075666576394</v>
      </c>
      <c r="H5489" s="35">
        <v>-2.316996610728645</v>
      </c>
      <c r="I5489" s="35">
        <v>4.7221026638725938</v>
      </c>
      <c r="J5489" s="35">
        <v>1.2287798793814864E-3</v>
      </c>
      <c r="K5489" s="35">
        <v>7.5098999321977464</v>
      </c>
      <c r="L5489" s="35">
        <v>14.797110471518513</v>
      </c>
      <c r="M5489" s="58" t="s">
        <v>22</v>
      </c>
      <c r="N5489" s="7">
        <v>9.5</v>
      </c>
      <c r="O5489" s="7" t="s">
        <v>179</v>
      </c>
      <c r="P5489" s="7" t="s">
        <v>179</v>
      </c>
    </row>
    <row r="5490" spans="1:16" x14ac:dyDescent="0.25">
      <c r="A5490" t="s">
        <v>181</v>
      </c>
      <c r="B5490" t="s">
        <v>226</v>
      </c>
      <c r="C5490" s="7" t="s">
        <v>168</v>
      </c>
      <c r="D5490" t="s">
        <v>115</v>
      </c>
      <c r="F5490" s="35">
        <v>2</v>
      </c>
      <c r="G5490" s="35">
        <v>25.607873266576391</v>
      </c>
      <c r="H5490" s="35">
        <v>4.0334033892713554</v>
      </c>
      <c r="I5490" s="35">
        <v>4.7221026638725938</v>
      </c>
      <c r="J5490" s="35">
        <v>1.2287798793814864E-3</v>
      </c>
      <c r="K5490" s="35">
        <v>-1.9343053955474383</v>
      </c>
      <c r="L5490" s="35">
        <v>13.080703692975808</v>
      </c>
      <c r="M5490" s="58" t="s">
        <v>22</v>
      </c>
      <c r="N5490" s="7">
        <v>9.5</v>
      </c>
      <c r="O5490" s="7" t="s">
        <v>179</v>
      </c>
      <c r="P5490" s="7" t="s">
        <v>179</v>
      </c>
    </row>
    <row r="5491" spans="1:16" x14ac:dyDescent="0.25">
      <c r="A5491" t="s">
        <v>181</v>
      </c>
      <c r="B5491" t="s">
        <v>226</v>
      </c>
      <c r="C5491" s="7" t="s">
        <v>168</v>
      </c>
      <c r="D5491" t="s">
        <v>115</v>
      </c>
      <c r="F5491" s="35">
        <v>2</v>
      </c>
      <c r="G5491" s="35">
        <v>30.295784655924006</v>
      </c>
      <c r="H5491" s="35">
        <v>4.033399047115271</v>
      </c>
      <c r="I5491" s="35">
        <v>-0.25732233383037983</v>
      </c>
      <c r="J5491" s="35">
        <v>1.2142308168473623E-3</v>
      </c>
      <c r="K5491" s="35">
        <v>-1.9343053955474385</v>
      </c>
      <c r="L5491" s="35">
        <v>13.080719211975898</v>
      </c>
      <c r="M5491" s="58" t="s">
        <v>22</v>
      </c>
      <c r="N5491" s="7">
        <v>9.5</v>
      </c>
      <c r="O5491" s="7" t="s">
        <v>179</v>
      </c>
      <c r="P5491" s="7" t="s">
        <v>179</v>
      </c>
    </row>
    <row r="5492" spans="1:16" x14ac:dyDescent="0.25">
      <c r="A5492" t="s">
        <v>181</v>
      </c>
      <c r="B5492" t="s">
        <v>226</v>
      </c>
      <c r="C5492" s="7" t="s">
        <v>168</v>
      </c>
      <c r="D5492" t="s">
        <v>115</v>
      </c>
      <c r="F5492" s="35">
        <v>4.4982502942822435</v>
      </c>
      <c r="G5492" s="35">
        <v>31.312319702767105</v>
      </c>
      <c r="H5492" s="35">
        <v>11.965843381520253</v>
      </c>
      <c r="I5492" s="35">
        <v>-0.25732233383037939</v>
      </c>
      <c r="J5492" s="35">
        <v>1.2142308168473623E-3</v>
      </c>
      <c r="K5492" s="35">
        <v>-1.2914497993302989</v>
      </c>
      <c r="L5492" s="35">
        <v>-6.9043368408399317</v>
      </c>
      <c r="M5492" s="58" t="s">
        <v>24</v>
      </c>
      <c r="N5492" s="7">
        <v>9.5</v>
      </c>
      <c r="O5492" s="7" t="s">
        <v>179</v>
      </c>
      <c r="P5492" s="7" t="s">
        <v>179</v>
      </c>
    </row>
    <row r="5493" spans="1:16" x14ac:dyDescent="0.25">
      <c r="A5493" t="s">
        <v>181</v>
      </c>
      <c r="B5493" t="s">
        <v>226</v>
      </c>
      <c r="C5493" s="7" t="s">
        <v>168</v>
      </c>
      <c r="D5493" t="s">
        <v>115</v>
      </c>
      <c r="F5493" s="35">
        <v>8.9965005885644871</v>
      </c>
      <c r="G5493" s="35">
        <v>33.142652349610195</v>
      </c>
      <c r="H5493" s="35">
        <v>26.248687715925243</v>
      </c>
      <c r="I5493" s="35">
        <v>-0.2573223338303785</v>
      </c>
      <c r="J5493" s="35">
        <v>1.2142308168473623E-3</v>
      </c>
      <c r="K5493" s="35">
        <v>-0.13394953545240315</v>
      </c>
      <c r="L5493" s="35">
        <v>-92.853599718311003</v>
      </c>
      <c r="M5493" s="58" t="s">
        <v>23</v>
      </c>
      <c r="N5493" s="7">
        <v>9.5</v>
      </c>
      <c r="O5493" s="7" t="s">
        <v>179</v>
      </c>
      <c r="P5493" s="7" t="s">
        <v>179</v>
      </c>
    </row>
    <row r="5494" spans="1:16" x14ac:dyDescent="0.25">
      <c r="A5494" t="s">
        <v>181</v>
      </c>
      <c r="B5494" t="s">
        <v>226</v>
      </c>
      <c r="C5494" s="7" t="s">
        <v>168</v>
      </c>
      <c r="D5494" t="s">
        <v>116</v>
      </c>
      <c r="F5494" s="35">
        <v>0</v>
      </c>
      <c r="G5494" s="35">
        <v>45.141349992588964</v>
      </c>
      <c r="H5494" s="35">
        <v>34.638848544741002</v>
      </c>
      <c r="I5494" s="35">
        <v>-2.1099579255995033</v>
      </c>
      <c r="J5494" s="35">
        <v>-1.1871335467501418E-3</v>
      </c>
      <c r="K5494" s="35">
        <v>-3.3281431861548092</v>
      </c>
      <c r="L5494" s="35">
        <v>103.88041481307727</v>
      </c>
      <c r="M5494" s="58" t="s">
        <v>22</v>
      </c>
      <c r="N5494" s="7">
        <v>9.5</v>
      </c>
      <c r="O5494" s="7" t="s">
        <v>179</v>
      </c>
      <c r="P5494" s="7" t="s">
        <v>179</v>
      </c>
    </row>
    <row r="5495" spans="1:16" x14ac:dyDescent="0.25">
      <c r="A5495" t="s">
        <v>181</v>
      </c>
      <c r="B5495" t="s">
        <v>226</v>
      </c>
      <c r="C5495" s="7" t="s">
        <v>168</v>
      </c>
      <c r="D5495" t="s">
        <v>116</v>
      </c>
      <c r="F5495" s="35">
        <v>2</v>
      </c>
      <c r="G5495" s="35">
        <v>45.955147592588958</v>
      </c>
      <c r="H5495" s="35">
        <v>29.195648544741008</v>
      </c>
      <c r="I5495" s="35">
        <v>-2.1099579255995038</v>
      </c>
      <c r="J5495" s="35">
        <v>-1.1871335467501418E-3</v>
      </c>
      <c r="K5495" s="35">
        <v>0.89177266504419672</v>
      </c>
      <c r="L5495" s="35">
        <v>40.045917723595252</v>
      </c>
      <c r="M5495" s="58" t="s">
        <v>22</v>
      </c>
      <c r="N5495" s="7">
        <v>9.5</v>
      </c>
      <c r="O5495" s="7" t="s">
        <v>179</v>
      </c>
      <c r="P5495" s="7" t="s">
        <v>179</v>
      </c>
    </row>
    <row r="5496" spans="1:16" x14ac:dyDescent="0.25">
      <c r="A5496" t="s">
        <v>181</v>
      </c>
      <c r="B5496" t="s">
        <v>226</v>
      </c>
      <c r="C5496" s="7" t="s">
        <v>168</v>
      </c>
      <c r="D5496" t="s">
        <v>116</v>
      </c>
      <c r="F5496" s="35">
        <v>2</v>
      </c>
      <c r="G5496" s="35">
        <v>43.884751725370769</v>
      </c>
      <c r="H5496" s="35">
        <v>29.195630146881406</v>
      </c>
      <c r="I5496" s="35">
        <v>0.1194754693897478</v>
      </c>
      <c r="J5496" s="35">
        <v>-1.2368223727527146E-3</v>
      </c>
      <c r="K5496" s="35">
        <v>0.89177266504419783</v>
      </c>
      <c r="L5496" s="35">
        <v>40.045970725009596</v>
      </c>
      <c r="M5496" s="58" t="s">
        <v>22</v>
      </c>
      <c r="N5496" s="7">
        <v>9.5</v>
      </c>
      <c r="O5496" s="7" t="s">
        <v>179</v>
      </c>
      <c r="P5496" s="7" t="s">
        <v>179</v>
      </c>
    </row>
    <row r="5497" spans="1:16" x14ac:dyDescent="0.25">
      <c r="A5497" t="s">
        <v>181</v>
      </c>
      <c r="B5497" t="s">
        <v>226</v>
      </c>
      <c r="C5497" s="7" t="s">
        <v>168</v>
      </c>
      <c r="D5497" t="s">
        <v>116</v>
      </c>
      <c r="F5497" s="35">
        <v>4.4982502942822435</v>
      </c>
      <c r="G5497" s="35">
        <v>44.901286772213865</v>
      </c>
      <c r="H5497" s="35">
        <v>22.396392145962857</v>
      </c>
      <c r="I5497" s="35">
        <v>0.11947546938974737</v>
      </c>
      <c r="J5497" s="35">
        <v>-1.2368223727527146E-3</v>
      </c>
      <c r="K5497" s="35">
        <v>0.59329303848175174</v>
      </c>
      <c r="L5497" s="35">
        <v>-24.398921712847535</v>
      </c>
      <c r="M5497" s="58" t="s">
        <v>24</v>
      </c>
      <c r="N5497" s="7">
        <v>9.5</v>
      </c>
      <c r="O5497" s="7" t="s">
        <v>179</v>
      </c>
      <c r="P5497" s="7" t="s">
        <v>179</v>
      </c>
    </row>
    <row r="5498" spans="1:16" x14ac:dyDescent="0.25">
      <c r="A5498" t="s">
        <v>181</v>
      </c>
      <c r="B5498" t="s">
        <v>226</v>
      </c>
      <c r="C5498" s="7" t="s">
        <v>168</v>
      </c>
      <c r="D5498" t="s">
        <v>116</v>
      </c>
      <c r="F5498" s="35">
        <v>8.9965005885644871</v>
      </c>
      <c r="G5498" s="35">
        <v>46.731619419056955</v>
      </c>
      <c r="H5498" s="35">
        <v>10.153954145044297</v>
      </c>
      <c r="I5498" s="35">
        <v>0.11947546938974664</v>
      </c>
      <c r="J5498" s="35">
        <v>-1.2368223727527146E-3</v>
      </c>
      <c r="K5498" s="35">
        <v>5.5862473139813053E-2</v>
      </c>
      <c r="L5498" s="35">
        <v>-97.60872410410343</v>
      </c>
      <c r="M5498" s="58" t="s">
        <v>23</v>
      </c>
      <c r="N5498" s="7">
        <v>9.5</v>
      </c>
      <c r="O5498" s="7" t="s">
        <v>179</v>
      </c>
      <c r="P5498" s="7" t="s">
        <v>179</v>
      </c>
    </row>
    <row r="5499" spans="1:16" x14ac:dyDescent="0.25">
      <c r="A5499" t="s">
        <v>181</v>
      </c>
      <c r="B5499" t="s">
        <v>226</v>
      </c>
      <c r="C5499" s="7" t="s">
        <v>168</v>
      </c>
      <c r="D5499" t="s">
        <v>117</v>
      </c>
      <c r="F5499" s="35">
        <v>0</v>
      </c>
      <c r="G5499" s="35">
        <v>-66.155246578389651</v>
      </c>
      <c r="H5499" s="35">
        <v>10.809617877672631</v>
      </c>
      <c r="I5499" s="35">
        <v>-1.8464918788398463</v>
      </c>
      <c r="J5499" s="35">
        <v>-7.9580213661779083E-4</v>
      </c>
      <c r="K5499" s="35">
        <v>-2.9149792275709605</v>
      </c>
      <c r="L5499" s="35">
        <v>33.542013974703515</v>
      </c>
      <c r="M5499" s="58" t="s">
        <v>22</v>
      </c>
      <c r="N5499" s="7">
        <v>9.5</v>
      </c>
      <c r="O5499" s="7" t="s">
        <v>179</v>
      </c>
      <c r="P5499" s="7" t="s">
        <v>179</v>
      </c>
    </row>
    <row r="5500" spans="1:16" x14ac:dyDescent="0.25">
      <c r="A5500" t="s">
        <v>181</v>
      </c>
      <c r="B5500" t="s">
        <v>226</v>
      </c>
      <c r="C5500" s="7" t="s">
        <v>168</v>
      </c>
      <c r="D5500" t="s">
        <v>117</v>
      </c>
      <c r="F5500" s="35">
        <v>2</v>
      </c>
      <c r="G5500" s="35">
        <v>-65.341448978389664</v>
      </c>
      <c r="H5500" s="35">
        <v>1.132817877672627</v>
      </c>
      <c r="I5500" s="35">
        <v>-1.846491878839847</v>
      </c>
      <c r="J5500" s="35">
        <v>-7.9580213661779083E-4</v>
      </c>
      <c r="K5500" s="35">
        <v>0.77800453010873227</v>
      </c>
      <c r="L5500" s="35">
        <v>21.599578219358261</v>
      </c>
      <c r="M5500" s="58" t="s">
        <v>22</v>
      </c>
      <c r="N5500" s="7">
        <v>9.5</v>
      </c>
      <c r="O5500" s="7" t="s">
        <v>179</v>
      </c>
      <c r="P5500" s="7" t="s">
        <v>179</v>
      </c>
    </row>
    <row r="5501" spans="1:16" x14ac:dyDescent="0.25">
      <c r="A5501" t="s">
        <v>181</v>
      </c>
      <c r="B5501" t="s">
        <v>226</v>
      </c>
      <c r="C5501" s="7" t="s">
        <v>168</v>
      </c>
      <c r="D5501" t="s">
        <v>117</v>
      </c>
      <c r="F5501" s="35">
        <v>2</v>
      </c>
      <c r="G5501" s="35">
        <v>-67.150622667611188</v>
      </c>
      <c r="H5501" s="35">
        <v>1.1328278697676031</v>
      </c>
      <c r="I5501" s="35">
        <v>0.10430522074019882</v>
      </c>
      <c r="J5501" s="35">
        <v>-7.3505541680319577E-4</v>
      </c>
      <c r="K5501" s="35">
        <v>0.77800453010873361</v>
      </c>
      <c r="L5501" s="35">
        <v>21.599513422857061</v>
      </c>
      <c r="M5501" s="58" t="s">
        <v>22</v>
      </c>
      <c r="N5501" s="7">
        <v>9.5</v>
      </c>
      <c r="O5501" s="7" t="s">
        <v>179</v>
      </c>
      <c r="P5501" s="7" t="s">
        <v>179</v>
      </c>
    </row>
    <row r="5502" spans="1:16" x14ac:dyDescent="0.25">
      <c r="A5502" t="s">
        <v>181</v>
      </c>
      <c r="B5502" t="s">
        <v>226</v>
      </c>
      <c r="C5502" s="7" t="s">
        <v>168</v>
      </c>
      <c r="D5502" t="s">
        <v>117</v>
      </c>
      <c r="F5502" s="35">
        <v>4.4982502942822435</v>
      </c>
      <c r="G5502" s="35">
        <v>-66.134087620768071</v>
      </c>
      <c r="H5502" s="35">
        <v>-10.954706354087605</v>
      </c>
      <c r="I5502" s="35">
        <v>0.10430522074019809</v>
      </c>
      <c r="J5502" s="35">
        <v>-7.3505541680319577E-4</v>
      </c>
      <c r="K5502" s="35">
        <v>0.51742398169935844</v>
      </c>
      <c r="L5502" s="35">
        <v>33.868268829785514</v>
      </c>
      <c r="M5502" s="58" t="s">
        <v>24</v>
      </c>
      <c r="N5502" s="7">
        <v>9.5</v>
      </c>
      <c r="O5502" s="7" t="s">
        <v>179</v>
      </c>
      <c r="P5502" s="7" t="s">
        <v>179</v>
      </c>
    </row>
    <row r="5503" spans="1:16" x14ac:dyDescent="0.25">
      <c r="A5503" t="s">
        <v>181</v>
      </c>
      <c r="B5503" t="s">
        <v>226</v>
      </c>
      <c r="C5503" s="7" t="s">
        <v>168</v>
      </c>
      <c r="D5503" t="s">
        <v>117</v>
      </c>
      <c r="F5503" s="35">
        <v>8.9965005885644871</v>
      </c>
      <c r="G5503" s="35">
        <v>-64.303754973924995</v>
      </c>
      <c r="H5503" s="35">
        <v>-32.71904057794282</v>
      </c>
      <c r="I5503" s="35">
        <v>0.10430522074019676</v>
      </c>
      <c r="J5503" s="35">
        <v>-7.3505541680319577E-4</v>
      </c>
      <c r="K5503" s="35">
        <v>4.8232991809590932E-2</v>
      </c>
      <c r="L5503" s="35">
        <v>132.09599132449259</v>
      </c>
      <c r="M5503" s="58" t="s">
        <v>23</v>
      </c>
      <c r="N5503" s="7">
        <v>9.5</v>
      </c>
      <c r="O5503" s="7" t="s">
        <v>179</v>
      </c>
      <c r="P5503" s="7" t="s">
        <v>179</v>
      </c>
    </row>
    <row r="5504" spans="1:16" x14ac:dyDescent="0.25">
      <c r="A5504" t="s">
        <v>181</v>
      </c>
      <c r="B5504" t="s">
        <v>226</v>
      </c>
      <c r="C5504" s="7" t="s">
        <v>168</v>
      </c>
      <c r="D5504" t="s">
        <v>118</v>
      </c>
      <c r="F5504" s="35">
        <v>0</v>
      </c>
      <c r="G5504" s="35">
        <v>24.460546681849799</v>
      </c>
      <c r="H5504" s="35">
        <v>-9.5339703484136233</v>
      </c>
      <c r="I5504" s="35">
        <v>-1.8115557603543306</v>
      </c>
      <c r="J5504" s="35">
        <v>-1.2168525808574015E-3</v>
      </c>
      <c r="K5504" s="35">
        <v>-2.863293031231283</v>
      </c>
      <c r="L5504" s="35">
        <v>-24.502011436370047</v>
      </c>
      <c r="M5504" s="58" t="s">
        <v>22</v>
      </c>
      <c r="N5504" s="7">
        <v>9.5</v>
      </c>
      <c r="O5504" s="7" t="s">
        <v>179</v>
      </c>
      <c r="P5504" s="7" t="s">
        <v>179</v>
      </c>
    </row>
    <row r="5505" spans="1:16" x14ac:dyDescent="0.25">
      <c r="A5505" t="s">
        <v>181</v>
      </c>
      <c r="B5505" t="s">
        <v>226</v>
      </c>
      <c r="C5505" s="7" t="s">
        <v>168</v>
      </c>
      <c r="D5505" t="s">
        <v>118</v>
      </c>
      <c r="F5505" s="35">
        <v>2</v>
      </c>
      <c r="G5505" s="35">
        <v>25.274344281849796</v>
      </c>
      <c r="H5505" s="35">
        <v>-3.7883703484136215</v>
      </c>
      <c r="I5505" s="35">
        <v>-1.8115557603543302</v>
      </c>
      <c r="J5505" s="35">
        <v>-1.2168525808574015E-3</v>
      </c>
      <c r="K5505" s="35">
        <v>0.75981848947737762</v>
      </c>
      <c r="L5505" s="35">
        <v>-11.179670739542797</v>
      </c>
      <c r="M5505" s="58" t="s">
        <v>22</v>
      </c>
      <c r="N5505" s="7">
        <v>9.5</v>
      </c>
      <c r="O5505" s="7" t="s">
        <v>179</v>
      </c>
      <c r="P5505" s="7" t="s">
        <v>179</v>
      </c>
    </row>
    <row r="5506" spans="1:16" x14ac:dyDescent="0.25">
      <c r="A5506" t="s">
        <v>181</v>
      </c>
      <c r="B5506" t="s">
        <v>226</v>
      </c>
      <c r="C5506" s="7" t="s">
        <v>168</v>
      </c>
      <c r="D5506" t="s">
        <v>118</v>
      </c>
      <c r="F5506" s="35">
        <v>2</v>
      </c>
      <c r="G5506" s="35">
        <v>23.500198283018364</v>
      </c>
      <c r="H5506" s="35">
        <v>-3.7883786668290442</v>
      </c>
      <c r="I5506" s="35">
        <v>0.10187647987636607</v>
      </c>
      <c r="J5506" s="35">
        <v>-1.2394638758015499E-3</v>
      </c>
      <c r="K5506" s="35">
        <v>0.75981848947737629</v>
      </c>
      <c r="L5506" s="35">
        <v>-11.179646620828175</v>
      </c>
      <c r="M5506" s="58" t="s">
        <v>22</v>
      </c>
      <c r="N5506" s="7">
        <v>9.5</v>
      </c>
      <c r="O5506" s="7" t="s">
        <v>179</v>
      </c>
      <c r="P5506" s="7" t="s">
        <v>179</v>
      </c>
    </row>
    <row r="5507" spans="1:16" x14ac:dyDescent="0.25">
      <c r="A5507" t="s">
        <v>181</v>
      </c>
      <c r="B5507" t="s">
        <v>226</v>
      </c>
      <c r="C5507" s="7" t="s">
        <v>168</v>
      </c>
      <c r="D5507" t="s">
        <v>118</v>
      </c>
      <c r="F5507" s="35">
        <v>4.4982502942822435</v>
      </c>
      <c r="G5507" s="35">
        <v>24.516733329861463</v>
      </c>
      <c r="H5507" s="35">
        <v>3.3885947785849888</v>
      </c>
      <c r="I5507" s="35">
        <v>0.10187647987636651</v>
      </c>
      <c r="J5507" s="35">
        <v>-1.2394638758015499E-3</v>
      </c>
      <c r="K5507" s="35">
        <v>0.50530554364580516</v>
      </c>
      <c r="L5507" s="35">
        <v>-10.680266512600662</v>
      </c>
      <c r="M5507" s="58" t="s">
        <v>24</v>
      </c>
      <c r="N5507" s="7">
        <v>9.5</v>
      </c>
      <c r="O5507" s="7" t="s">
        <v>179</v>
      </c>
      <c r="P5507" s="7" t="s">
        <v>179</v>
      </c>
    </row>
    <row r="5508" spans="1:16" x14ac:dyDescent="0.25">
      <c r="A5508" t="s">
        <v>181</v>
      </c>
      <c r="B5508" t="s">
        <v>226</v>
      </c>
      <c r="C5508" s="7" t="s">
        <v>168</v>
      </c>
      <c r="D5508" t="s">
        <v>118</v>
      </c>
      <c r="F5508" s="35">
        <v>8.9965005885644871</v>
      </c>
      <c r="G5508" s="35">
        <v>26.347065976704553</v>
      </c>
      <c r="H5508" s="35">
        <v>16.311168223999022</v>
      </c>
      <c r="I5508" s="35">
        <v>0.1018764798763673</v>
      </c>
      <c r="J5508" s="35">
        <v>-1.2394638758015499E-3</v>
      </c>
      <c r="K5508" s="35">
        <v>4.7039638061498509E-2</v>
      </c>
      <c r="L5508" s="35">
        <v>-54.987498874432653</v>
      </c>
      <c r="M5508" s="58" t="s">
        <v>23</v>
      </c>
      <c r="N5508" s="7">
        <v>9.5</v>
      </c>
      <c r="O5508" s="7" t="s">
        <v>179</v>
      </c>
      <c r="P5508" s="7" t="s">
        <v>179</v>
      </c>
    </row>
    <row r="5509" spans="1:16" x14ac:dyDescent="0.25">
      <c r="A5509" t="s">
        <v>181</v>
      </c>
      <c r="B5509" t="s">
        <v>226</v>
      </c>
      <c r="C5509" s="7" t="s">
        <v>168</v>
      </c>
      <c r="D5509" t="s">
        <v>119</v>
      </c>
      <c r="F5509" s="35">
        <v>0</v>
      </c>
      <c r="G5509" s="35">
        <v>-23.042054184995049</v>
      </c>
      <c r="H5509" s="35">
        <v>-23.783702561561121</v>
      </c>
      <c r="I5509" s="35">
        <v>-1.5892469781368272</v>
      </c>
      <c r="J5509" s="35">
        <v>-7.2962242333289703E-4</v>
      </c>
      <c r="K5509" s="35">
        <v>-2.5159114345795244</v>
      </c>
      <c r="L5509" s="35">
        <v>-108.48861763604002</v>
      </c>
      <c r="M5509" s="58" t="s">
        <v>22</v>
      </c>
      <c r="N5509" s="7">
        <v>9.5</v>
      </c>
      <c r="O5509" s="7" t="s">
        <v>179</v>
      </c>
      <c r="P5509" s="7" t="s">
        <v>179</v>
      </c>
    </row>
    <row r="5510" spans="1:16" x14ac:dyDescent="0.25">
      <c r="A5510" t="s">
        <v>181</v>
      </c>
      <c r="B5510" t="s">
        <v>226</v>
      </c>
      <c r="C5510" s="7" t="s">
        <v>168</v>
      </c>
      <c r="D5510" t="s">
        <v>119</v>
      </c>
      <c r="F5510" s="35">
        <v>2</v>
      </c>
      <c r="G5510" s="35">
        <v>-22.228256584995052</v>
      </c>
      <c r="H5510" s="35">
        <v>-22.271702561561121</v>
      </c>
      <c r="I5510" s="35">
        <v>-1.5892469781368272</v>
      </c>
      <c r="J5510" s="35">
        <v>-7.2962242333289703E-4</v>
      </c>
      <c r="K5510" s="35">
        <v>0.66258252169412934</v>
      </c>
      <c r="L5510" s="35">
        <v>-62.433212512917777</v>
      </c>
      <c r="M5510" s="58" t="s">
        <v>22</v>
      </c>
      <c r="N5510" s="7">
        <v>9.5</v>
      </c>
      <c r="O5510" s="7" t="s">
        <v>179</v>
      </c>
      <c r="P5510" s="7" t="s">
        <v>179</v>
      </c>
    </row>
    <row r="5511" spans="1:16" x14ac:dyDescent="0.25">
      <c r="A5511" t="s">
        <v>181</v>
      </c>
      <c r="B5511" t="s">
        <v>226</v>
      </c>
      <c r="C5511" s="7" t="s">
        <v>168</v>
      </c>
      <c r="D5511" t="s">
        <v>119</v>
      </c>
      <c r="F5511" s="35">
        <v>2</v>
      </c>
      <c r="G5511" s="35">
        <v>-23.78183138527471</v>
      </c>
      <c r="H5511" s="35">
        <v>-22.271690241742068</v>
      </c>
      <c r="I5511" s="35">
        <v>8.8908435617058579E-2</v>
      </c>
      <c r="J5511" s="35">
        <v>-7.4186447071217026E-4</v>
      </c>
      <c r="K5511" s="35">
        <v>0.66258252169413057</v>
      </c>
      <c r="L5511" s="35">
        <v>-62.433199454733916</v>
      </c>
      <c r="M5511" s="58" t="s">
        <v>22</v>
      </c>
      <c r="N5511" s="7">
        <v>9.5</v>
      </c>
      <c r="O5511" s="7" t="s">
        <v>179</v>
      </c>
      <c r="P5511" s="7" t="s">
        <v>179</v>
      </c>
    </row>
    <row r="5512" spans="1:16" x14ac:dyDescent="0.25">
      <c r="A5512" t="s">
        <v>181</v>
      </c>
      <c r="B5512" t="s">
        <v>226</v>
      </c>
      <c r="C5512" s="7" t="s">
        <v>168</v>
      </c>
      <c r="D5512" t="s">
        <v>119</v>
      </c>
      <c r="F5512" s="35">
        <v>4.4982502942822435</v>
      </c>
      <c r="G5512" s="35">
        <v>-22.765296338431614</v>
      </c>
      <c r="H5512" s="35">
        <v>-20.383013019264691</v>
      </c>
      <c r="I5512" s="35">
        <v>8.8908435617058704E-2</v>
      </c>
      <c r="J5512" s="35">
        <v>-7.4186447071217026E-4</v>
      </c>
      <c r="K5512" s="35">
        <v>0.44046699624963992</v>
      </c>
      <c r="L5512" s="35">
        <v>-9.1521369675679516</v>
      </c>
      <c r="M5512" s="58" t="s">
        <v>24</v>
      </c>
      <c r="N5512" s="7">
        <v>9.5</v>
      </c>
      <c r="O5512" s="7" t="s">
        <v>179</v>
      </c>
      <c r="P5512" s="7" t="s">
        <v>179</v>
      </c>
    </row>
    <row r="5513" spans="1:16" x14ac:dyDescent="0.25">
      <c r="A5513" t="s">
        <v>181</v>
      </c>
      <c r="B5513" t="s">
        <v>226</v>
      </c>
      <c r="C5513" s="7" t="s">
        <v>168</v>
      </c>
      <c r="D5513" t="s">
        <v>119</v>
      </c>
      <c r="F5513" s="35">
        <v>8.9965005885644871</v>
      </c>
      <c r="G5513" s="35">
        <v>-20.934963691588525</v>
      </c>
      <c r="H5513" s="35">
        <v>-16.982335796787314</v>
      </c>
      <c r="I5513" s="35">
        <v>8.8908435617058926E-2</v>
      </c>
      <c r="J5513" s="35">
        <v>-7.4186447071217026E-4</v>
      </c>
      <c r="K5513" s="35">
        <v>4.0534599571031116E-2</v>
      </c>
      <c r="L5513" s="35">
        <v>74.887208686314381</v>
      </c>
      <c r="M5513" s="58" t="s">
        <v>23</v>
      </c>
      <c r="N5513" s="7">
        <v>9.5</v>
      </c>
      <c r="O5513" s="7" t="s">
        <v>179</v>
      </c>
      <c r="P5513" s="7" t="s">
        <v>179</v>
      </c>
    </row>
    <row r="5514" spans="1:16" x14ac:dyDescent="0.25">
      <c r="A5514" t="s">
        <v>181</v>
      </c>
      <c r="B5514" t="s">
        <v>226</v>
      </c>
      <c r="C5514" s="7" t="s">
        <v>168</v>
      </c>
      <c r="D5514" t="s">
        <v>120</v>
      </c>
      <c r="F5514" s="35">
        <v>0</v>
      </c>
      <c r="G5514" s="35">
        <v>48.102002937305201</v>
      </c>
      <c r="H5514" s="35">
        <v>-6.0214973252589665</v>
      </c>
      <c r="I5514" s="35">
        <v>-4.2608479286059024</v>
      </c>
      <c r="J5514" s="35">
        <v>-7.5571710177770664E-4</v>
      </c>
      <c r="K5514" s="35">
        <v>-6.7943894943578789</v>
      </c>
      <c r="L5514" s="35">
        <v>12.347242196747009</v>
      </c>
      <c r="M5514" s="58" t="s">
        <v>22</v>
      </c>
      <c r="N5514" s="7">
        <v>9.5</v>
      </c>
      <c r="O5514" s="7" t="s">
        <v>179</v>
      </c>
      <c r="P5514" s="7" t="s">
        <v>179</v>
      </c>
    </row>
    <row r="5515" spans="1:16" x14ac:dyDescent="0.25">
      <c r="A5515" t="s">
        <v>181</v>
      </c>
      <c r="B5515" t="s">
        <v>226</v>
      </c>
      <c r="C5515" s="7" t="s">
        <v>168</v>
      </c>
      <c r="D5515" t="s">
        <v>120</v>
      </c>
      <c r="F5515" s="35">
        <v>2</v>
      </c>
      <c r="G5515" s="35">
        <v>48.915800537305202</v>
      </c>
      <c r="H5515" s="35">
        <v>2.3785026747410334</v>
      </c>
      <c r="I5515" s="35">
        <v>-4.2608479286059016</v>
      </c>
      <c r="J5515" s="35">
        <v>-7.5571710177770664E-4</v>
      </c>
      <c r="K5515" s="35">
        <v>1.7273063628539258</v>
      </c>
      <c r="L5515" s="35">
        <v>15.990236847264942</v>
      </c>
      <c r="M5515" s="58" t="s">
        <v>22</v>
      </c>
      <c r="N5515" s="7">
        <v>9.5</v>
      </c>
      <c r="O5515" s="7" t="s">
        <v>179</v>
      </c>
      <c r="P5515" s="7" t="s">
        <v>179</v>
      </c>
    </row>
    <row r="5516" spans="1:16" x14ac:dyDescent="0.25">
      <c r="A5516" t="s">
        <v>181</v>
      </c>
      <c r="B5516" t="s">
        <v>226</v>
      </c>
      <c r="C5516" s="7" t="s">
        <v>168</v>
      </c>
      <c r="D5516" t="s">
        <v>120</v>
      </c>
      <c r="F5516" s="35">
        <v>2</v>
      </c>
      <c r="G5516" s="35">
        <v>44.724479080293086</v>
      </c>
      <c r="H5516" s="35">
        <v>2.3784900886779248</v>
      </c>
      <c r="I5516" s="35">
        <v>0.23089609497853655</v>
      </c>
      <c r="J5516" s="35">
        <v>-7.6764801027730386E-4</v>
      </c>
      <c r="K5516" s="35">
        <v>1.7273063628539267</v>
      </c>
      <c r="L5516" s="35">
        <v>15.990249573567402</v>
      </c>
      <c r="M5516" s="58" t="s">
        <v>22</v>
      </c>
      <c r="N5516" s="7">
        <v>9.5</v>
      </c>
      <c r="O5516" s="7" t="s">
        <v>179</v>
      </c>
      <c r="P5516" s="7" t="s">
        <v>179</v>
      </c>
    </row>
    <row r="5517" spans="1:16" x14ac:dyDescent="0.25">
      <c r="A5517" t="s">
        <v>181</v>
      </c>
      <c r="B5517" t="s">
        <v>226</v>
      </c>
      <c r="C5517" s="7" t="s">
        <v>168</v>
      </c>
      <c r="D5517" t="s">
        <v>120</v>
      </c>
      <c r="F5517" s="35">
        <v>4.4982502942822435</v>
      </c>
      <c r="G5517" s="35">
        <v>45.741014127136175</v>
      </c>
      <c r="H5517" s="35">
        <v>12.87114132466335</v>
      </c>
      <c r="I5517" s="35">
        <v>0.23089609497853722</v>
      </c>
      <c r="J5517" s="35">
        <v>-7.6764801027730386E-4</v>
      </c>
      <c r="K5517" s="35">
        <v>1.1504701256251761</v>
      </c>
      <c r="L5517" s="35">
        <v>-3.0584485094703875</v>
      </c>
      <c r="M5517" s="58" t="s">
        <v>24</v>
      </c>
      <c r="N5517" s="7">
        <v>9.5</v>
      </c>
      <c r="O5517" s="7" t="s">
        <v>179</v>
      </c>
      <c r="P5517" s="7" t="s">
        <v>179</v>
      </c>
    </row>
    <row r="5518" spans="1:16" x14ac:dyDescent="0.25">
      <c r="A5518" t="s">
        <v>181</v>
      </c>
      <c r="B5518" t="s">
        <v>226</v>
      </c>
      <c r="C5518" s="7" t="s">
        <v>168</v>
      </c>
      <c r="D5518" t="s">
        <v>120</v>
      </c>
      <c r="F5518" s="35">
        <v>8.9965005885644871</v>
      </c>
      <c r="G5518" s="35">
        <v>47.571346773979272</v>
      </c>
      <c r="H5518" s="35">
        <v>31.763792560648785</v>
      </c>
      <c r="I5518" s="35">
        <v>0.23089609497853839</v>
      </c>
      <c r="J5518" s="35">
        <v>-7.6764801027730386E-4</v>
      </c>
      <c r="K5518" s="35">
        <v>0.11184169843934726</v>
      </c>
      <c r="L5518" s="35">
        <v>-103.44800075190726</v>
      </c>
      <c r="M5518" s="58" t="s">
        <v>23</v>
      </c>
      <c r="N5518" s="7">
        <v>9.5</v>
      </c>
      <c r="O5518" s="7" t="s">
        <v>179</v>
      </c>
      <c r="P5518" s="7" t="s">
        <v>179</v>
      </c>
    </row>
    <row r="5519" spans="1:16" x14ac:dyDescent="0.25">
      <c r="A5519" t="s">
        <v>181</v>
      </c>
      <c r="B5519" t="s">
        <v>226</v>
      </c>
      <c r="C5519" s="7" t="s">
        <v>168</v>
      </c>
      <c r="D5519" t="s">
        <v>121</v>
      </c>
      <c r="F5519" s="35">
        <v>0</v>
      </c>
      <c r="G5519" s="35">
        <v>5.5337508754742943</v>
      </c>
      <c r="H5519" s="35">
        <v>-10.462711706059645</v>
      </c>
      <c r="I5519" s="35">
        <v>-3.579733356671976</v>
      </c>
      <c r="J5519" s="35">
        <v>-2.3586536888201039E-4</v>
      </c>
      <c r="K5519" s="35">
        <v>-5.7196650048962603</v>
      </c>
      <c r="L5519" s="35">
        <v>-19.289710723978754</v>
      </c>
      <c r="M5519" s="58" t="s">
        <v>22</v>
      </c>
      <c r="N5519" s="7">
        <v>9.5</v>
      </c>
      <c r="O5519" s="7" t="s">
        <v>179</v>
      </c>
      <c r="P5519" s="7" t="s">
        <v>179</v>
      </c>
    </row>
    <row r="5520" spans="1:16" x14ac:dyDescent="0.25">
      <c r="A5520" t="s">
        <v>181</v>
      </c>
      <c r="B5520" t="s">
        <v>226</v>
      </c>
      <c r="C5520" s="7" t="s">
        <v>168</v>
      </c>
      <c r="D5520" t="s">
        <v>121</v>
      </c>
      <c r="F5520" s="35">
        <v>2</v>
      </c>
      <c r="G5520" s="35">
        <v>6.3475484754742997</v>
      </c>
      <c r="H5520" s="35">
        <v>-6.7667117060596453</v>
      </c>
      <c r="I5520" s="35">
        <v>-3.579733356671976</v>
      </c>
      <c r="J5520" s="35">
        <v>-2.3586536888201039E-4</v>
      </c>
      <c r="K5520" s="35">
        <v>1.4398017084476902</v>
      </c>
      <c r="L5520" s="35">
        <v>-2.0602873118594656</v>
      </c>
      <c r="M5520" s="58" t="s">
        <v>22</v>
      </c>
      <c r="N5520" s="7">
        <v>9.5</v>
      </c>
      <c r="O5520" s="7" t="s">
        <v>179</v>
      </c>
      <c r="P5520" s="7" t="s">
        <v>179</v>
      </c>
    </row>
    <row r="5521" spans="1:16" x14ac:dyDescent="0.25">
      <c r="A5521" t="s">
        <v>181</v>
      </c>
      <c r="B5521" t="s">
        <v>226</v>
      </c>
      <c r="C5521" s="7" t="s">
        <v>168</v>
      </c>
      <c r="D5521" t="s">
        <v>121</v>
      </c>
      <c r="F5521" s="35">
        <v>2</v>
      </c>
      <c r="G5521" s="35">
        <v>2.8307104677486197</v>
      </c>
      <c r="H5521" s="35">
        <v>-6.7667110743479482</v>
      </c>
      <c r="I5521" s="35">
        <v>0.19256157672492538</v>
      </c>
      <c r="J5521" s="35">
        <v>-2.2182056111665256E-4</v>
      </c>
      <c r="K5521" s="35">
        <v>1.4398017084476922</v>
      </c>
      <c r="L5521" s="35">
        <v>-2.0603022929877337</v>
      </c>
      <c r="M5521" s="58" t="s">
        <v>22</v>
      </c>
      <c r="N5521" s="7">
        <v>9.5</v>
      </c>
      <c r="O5521" s="7" t="s">
        <v>179</v>
      </c>
      <c r="P5521" s="7" t="s">
        <v>179</v>
      </c>
    </row>
    <row r="5522" spans="1:16" x14ac:dyDescent="0.25">
      <c r="A5522" t="s">
        <v>181</v>
      </c>
      <c r="B5522" t="s">
        <v>226</v>
      </c>
      <c r="C5522" s="7" t="s">
        <v>168</v>
      </c>
      <c r="D5522" t="s">
        <v>121</v>
      </c>
      <c r="F5522" s="35">
        <v>4.4982502942822435</v>
      </c>
      <c r="G5522" s="35">
        <v>3.847245514591711</v>
      </c>
      <c r="H5522" s="35">
        <v>-2.1499445305143596</v>
      </c>
      <c r="I5522" s="35">
        <v>0.19256157672492566</v>
      </c>
      <c r="J5522" s="35">
        <v>-2.2182056111665256E-4</v>
      </c>
      <c r="K5522" s="35">
        <v>0.95873469272719392</v>
      </c>
      <c r="L5522" s="35">
        <v>9.0777164514426119</v>
      </c>
      <c r="M5522" s="58" t="s">
        <v>24</v>
      </c>
      <c r="N5522" s="7">
        <v>9.5</v>
      </c>
      <c r="O5522" s="7" t="s">
        <v>179</v>
      </c>
      <c r="P5522" s="7" t="s">
        <v>179</v>
      </c>
    </row>
    <row r="5523" spans="1:16" x14ac:dyDescent="0.25">
      <c r="A5523" t="s">
        <v>181</v>
      </c>
      <c r="B5523" t="s">
        <v>226</v>
      </c>
      <c r="C5523" s="7" t="s">
        <v>168</v>
      </c>
      <c r="D5523" t="s">
        <v>121</v>
      </c>
      <c r="F5523" s="35">
        <v>8.9965005885644871</v>
      </c>
      <c r="G5523" s="35">
        <v>5.6775781614348073</v>
      </c>
      <c r="H5523" s="35">
        <v>6.1628220133192322</v>
      </c>
      <c r="I5523" s="35">
        <v>0.19256157672492616</v>
      </c>
      <c r="J5523" s="35">
        <v>-2.2182056111665256E-4</v>
      </c>
      <c r="K5523" s="35">
        <v>9.2544523556842895E-2</v>
      </c>
      <c r="L5523" s="35">
        <v>5.2252792469844211E-2</v>
      </c>
      <c r="M5523" s="58" t="s">
        <v>23</v>
      </c>
      <c r="N5523" s="7">
        <v>9.5</v>
      </c>
      <c r="O5523" s="7" t="s">
        <v>179</v>
      </c>
      <c r="P5523" s="7" t="s">
        <v>179</v>
      </c>
    </row>
    <row r="5524" spans="1:16" x14ac:dyDescent="0.25">
      <c r="A5524" t="s">
        <v>181</v>
      </c>
      <c r="B5524" t="s">
        <v>226</v>
      </c>
      <c r="C5524" s="7" t="s">
        <v>168</v>
      </c>
      <c r="D5524" t="s">
        <v>122</v>
      </c>
      <c r="F5524" s="35">
        <v>0</v>
      </c>
      <c r="G5524" s="35">
        <v>78.637309178452057</v>
      </c>
      <c r="H5524" s="35">
        <v>5.2874797444893185</v>
      </c>
      <c r="I5524" s="35">
        <v>4.6068848407817171</v>
      </c>
      <c r="J5524" s="35">
        <v>8.5394969664029472E-4</v>
      </c>
      <c r="K5524" s="35">
        <v>7.3352461813828116</v>
      </c>
      <c r="L5524" s="35">
        <v>58.86187123923925</v>
      </c>
      <c r="M5524" s="58" t="s">
        <v>22</v>
      </c>
      <c r="N5524" s="7">
        <v>9.5</v>
      </c>
      <c r="O5524" s="7" t="s">
        <v>179</v>
      </c>
      <c r="P5524" s="7" t="s">
        <v>179</v>
      </c>
    </row>
    <row r="5525" spans="1:16" x14ac:dyDescent="0.25">
      <c r="A5525" t="s">
        <v>181</v>
      </c>
      <c r="B5525" t="s">
        <v>226</v>
      </c>
      <c r="C5525" s="7" t="s">
        <v>168</v>
      </c>
      <c r="D5525" t="s">
        <v>122</v>
      </c>
      <c r="F5525" s="35">
        <v>2</v>
      </c>
      <c r="G5525" s="35">
        <v>79.451106778452058</v>
      </c>
      <c r="H5525" s="35">
        <v>17.047479744489319</v>
      </c>
      <c r="I5525" s="35">
        <v>4.606884840781718</v>
      </c>
      <c r="J5525" s="35">
        <v>8.5394969664029472E-4</v>
      </c>
      <c r="K5525" s="35">
        <v>-1.8785235001806229</v>
      </c>
      <c r="L5525" s="35">
        <v>36.526911750260616</v>
      </c>
      <c r="M5525" s="58" t="s">
        <v>22</v>
      </c>
      <c r="N5525" s="7">
        <v>9.5</v>
      </c>
      <c r="O5525" s="7" t="s">
        <v>179</v>
      </c>
      <c r="P5525" s="7" t="s">
        <v>179</v>
      </c>
    </row>
    <row r="5526" spans="1:16" x14ac:dyDescent="0.25">
      <c r="A5526" t="s">
        <v>181</v>
      </c>
      <c r="B5526" t="s">
        <v>226</v>
      </c>
      <c r="C5526" s="7" t="s">
        <v>168</v>
      </c>
      <c r="D5526" t="s">
        <v>122</v>
      </c>
      <c r="F5526" s="35">
        <v>2</v>
      </c>
      <c r="G5526" s="35">
        <v>84.024027216706401</v>
      </c>
      <c r="H5526" s="35">
        <v>17.047459164224161</v>
      </c>
      <c r="I5526" s="35">
        <v>-0.24988259006570604</v>
      </c>
      <c r="J5526" s="35">
        <v>8.0318321674870455E-4</v>
      </c>
      <c r="K5526" s="35">
        <v>-1.8785235001806215</v>
      </c>
      <c r="L5526" s="35">
        <v>36.526965901172559</v>
      </c>
      <c r="M5526" s="58" t="s">
        <v>22</v>
      </c>
      <c r="N5526" s="7">
        <v>9.5</v>
      </c>
      <c r="O5526" s="7" t="s">
        <v>179</v>
      </c>
      <c r="P5526" s="7" t="s">
        <v>179</v>
      </c>
    </row>
    <row r="5527" spans="1:16" x14ac:dyDescent="0.25">
      <c r="A5527" t="s">
        <v>181</v>
      </c>
      <c r="B5527" t="s">
        <v>226</v>
      </c>
      <c r="C5527" s="7" t="s">
        <v>168</v>
      </c>
      <c r="D5527" t="s">
        <v>122</v>
      </c>
      <c r="F5527" s="35">
        <v>4.4982502942822435</v>
      </c>
      <c r="G5527" s="35">
        <v>85.040562263549489</v>
      </c>
      <c r="H5527" s="35">
        <v>31.737170894603754</v>
      </c>
      <c r="I5527" s="35">
        <v>-0.24988259006570515</v>
      </c>
      <c r="J5527" s="35">
        <v>8.0318321674870455E-4</v>
      </c>
      <c r="K5527" s="35">
        <v>-1.2542542460129638</v>
      </c>
      <c r="L5527" s="35">
        <v>-24.411142299286055</v>
      </c>
      <c r="M5527" s="58" t="s">
        <v>24</v>
      </c>
      <c r="N5527" s="7">
        <v>9.5</v>
      </c>
      <c r="O5527" s="7" t="s">
        <v>179</v>
      </c>
      <c r="P5527" s="7" t="s">
        <v>179</v>
      </c>
    </row>
    <row r="5528" spans="1:16" x14ac:dyDescent="0.25">
      <c r="A5528" t="s">
        <v>181</v>
      </c>
      <c r="B5528" t="s">
        <v>226</v>
      </c>
      <c r="C5528" s="7" t="s">
        <v>168</v>
      </c>
      <c r="D5528" t="s">
        <v>122</v>
      </c>
      <c r="F5528" s="35">
        <v>8.9965005885644871</v>
      </c>
      <c r="G5528" s="35">
        <v>86.870894910392579</v>
      </c>
      <c r="H5528" s="35">
        <v>58.186882624983355</v>
      </c>
      <c r="I5528" s="35">
        <v>-0.24988259006570349</v>
      </c>
      <c r="J5528" s="35">
        <v>8.0318321674870455E-4</v>
      </c>
      <c r="K5528" s="35">
        <v>-0.13021981171389979</v>
      </c>
      <c r="L5528" s="35">
        <v>-226.66159240305353</v>
      </c>
      <c r="M5528" s="58" t="s">
        <v>23</v>
      </c>
      <c r="N5528" s="7">
        <v>9.5</v>
      </c>
      <c r="O5528" s="7" t="s">
        <v>179</v>
      </c>
      <c r="P5528" s="7" t="s">
        <v>179</v>
      </c>
    </row>
    <row r="5529" spans="1:16" x14ac:dyDescent="0.25">
      <c r="A5529" t="s">
        <v>181</v>
      </c>
      <c r="B5529" t="s">
        <v>226</v>
      </c>
      <c r="C5529" s="7" t="s">
        <v>168</v>
      </c>
      <c r="D5529" t="s">
        <v>123</v>
      </c>
      <c r="F5529" s="35">
        <v>0</v>
      </c>
      <c r="G5529" s="35">
        <v>35.574607030476614</v>
      </c>
      <c r="H5529" s="35">
        <v>0.71250853043604712</v>
      </c>
      <c r="I5529" s="35">
        <v>5.2924709473970877</v>
      </c>
      <c r="J5529" s="35">
        <v>1.3728315613403277E-3</v>
      </c>
      <c r="K5529" s="35">
        <v>8.4170429073872253</v>
      </c>
      <c r="L5529" s="35">
        <v>26.828802324336412</v>
      </c>
      <c r="M5529" s="58" t="s">
        <v>22</v>
      </c>
      <c r="N5529" s="7">
        <v>9.5</v>
      </c>
      <c r="O5529" s="7" t="s">
        <v>179</v>
      </c>
      <c r="P5529" s="7" t="s">
        <v>179</v>
      </c>
    </row>
    <row r="5530" spans="1:16" x14ac:dyDescent="0.25">
      <c r="A5530" t="s">
        <v>181</v>
      </c>
      <c r="B5530" t="s">
        <v>226</v>
      </c>
      <c r="C5530" s="7" t="s">
        <v>168</v>
      </c>
      <c r="D5530" t="s">
        <v>123</v>
      </c>
      <c r="F5530" s="35">
        <v>2</v>
      </c>
      <c r="G5530" s="35">
        <v>36.388404630476614</v>
      </c>
      <c r="H5530" s="35">
        <v>7.7685085304360459</v>
      </c>
      <c r="I5530" s="35">
        <v>5.2924709473970877</v>
      </c>
      <c r="J5530" s="35">
        <v>1.3728315613403277E-3</v>
      </c>
      <c r="K5530" s="35">
        <v>-2.1678989874069505</v>
      </c>
      <c r="L5530" s="35">
        <v>18.347785263464313</v>
      </c>
      <c r="M5530" s="58" t="s">
        <v>22</v>
      </c>
      <c r="N5530" s="7">
        <v>9.5</v>
      </c>
      <c r="O5530" s="7" t="s">
        <v>179</v>
      </c>
      <c r="P5530" s="7" t="s">
        <v>179</v>
      </c>
    </row>
    <row r="5531" spans="1:16" x14ac:dyDescent="0.25">
      <c r="A5531" t="s">
        <v>181</v>
      </c>
      <c r="B5531" t="s">
        <v>226</v>
      </c>
      <c r="C5531" s="7" t="s">
        <v>168</v>
      </c>
      <c r="D5531" t="s">
        <v>123</v>
      </c>
      <c r="F5531" s="35">
        <v>2</v>
      </c>
      <c r="G5531" s="35">
        <v>41.640234452564464</v>
      </c>
      <c r="H5531" s="35">
        <v>7.7685012803172562</v>
      </c>
      <c r="I5531" s="35">
        <v>-0.28846654909204328</v>
      </c>
      <c r="J5531" s="35">
        <v>1.3485878006310346E-3</v>
      </c>
      <c r="K5531" s="35">
        <v>-2.167898987406951</v>
      </c>
      <c r="L5531" s="35">
        <v>18.347811123475793</v>
      </c>
      <c r="M5531" s="58" t="s">
        <v>22</v>
      </c>
      <c r="N5531" s="7">
        <v>9.5</v>
      </c>
      <c r="O5531" s="7" t="s">
        <v>179</v>
      </c>
      <c r="P5531" s="7" t="s">
        <v>179</v>
      </c>
    </row>
    <row r="5532" spans="1:16" x14ac:dyDescent="0.25">
      <c r="A5532" t="s">
        <v>181</v>
      </c>
      <c r="B5532" t="s">
        <v>226</v>
      </c>
      <c r="C5532" s="7" t="s">
        <v>168</v>
      </c>
      <c r="D5532" t="s">
        <v>123</v>
      </c>
      <c r="F5532" s="35">
        <v>4.4982502942822435</v>
      </c>
      <c r="G5532" s="35">
        <v>42.656769499407559</v>
      </c>
      <c r="H5532" s="35">
        <v>16.582328318545009</v>
      </c>
      <c r="I5532" s="35">
        <v>-0.28846654909204278</v>
      </c>
      <c r="J5532" s="35">
        <v>1.3485878006310346E-3</v>
      </c>
      <c r="K5532" s="35">
        <v>-1.447237346247171</v>
      </c>
      <c r="L5532" s="35">
        <v>-12.069422482211422</v>
      </c>
      <c r="M5532" s="58" t="s">
        <v>24</v>
      </c>
      <c r="N5532" s="7">
        <v>9.5</v>
      </c>
      <c r="O5532" s="7" t="s">
        <v>179</v>
      </c>
      <c r="P5532" s="7" t="s">
        <v>179</v>
      </c>
    </row>
    <row r="5533" spans="1:16" x14ac:dyDescent="0.25">
      <c r="A5533" t="s">
        <v>181</v>
      </c>
      <c r="B5533" t="s">
        <v>226</v>
      </c>
      <c r="C5533" s="7" t="s">
        <v>168</v>
      </c>
      <c r="D5533" t="s">
        <v>123</v>
      </c>
      <c r="F5533" s="35">
        <v>8.9965005885644871</v>
      </c>
      <c r="G5533" s="35">
        <v>44.487102146250656</v>
      </c>
      <c r="H5533" s="35">
        <v>32.452155356772778</v>
      </c>
      <c r="I5533" s="35">
        <v>-0.28846654909204184</v>
      </c>
      <c r="J5533" s="35">
        <v>1.3485878006310346E-3</v>
      </c>
      <c r="K5533" s="35">
        <v>-0.14964260690330833</v>
      </c>
      <c r="L5533" s="35">
        <v>-122.35411279344946</v>
      </c>
      <c r="M5533" s="58" t="s">
        <v>23</v>
      </c>
      <c r="N5533" s="7">
        <v>9.5</v>
      </c>
      <c r="O5533" s="7" t="s">
        <v>179</v>
      </c>
      <c r="P5533" s="7" t="s">
        <v>179</v>
      </c>
    </row>
    <row r="5534" spans="1:16" x14ac:dyDescent="0.25">
      <c r="A5534" t="s">
        <v>181</v>
      </c>
      <c r="B5534" t="s">
        <v>226</v>
      </c>
      <c r="C5534" s="7" t="s">
        <v>168</v>
      </c>
      <c r="D5534" t="s">
        <v>124</v>
      </c>
      <c r="F5534" s="35">
        <v>0</v>
      </c>
      <c r="G5534" s="35">
        <v>58.182689614935008</v>
      </c>
      <c r="H5534" s="35">
        <v>41.774558703180105</v>
      </c>
      <c r="I5534" s="35">
        <v>-2.2987074853496856</v>
      </c>
      <c r="J5534" s="35">
        <v>-1.3115166899170373E-3</v>
      </c>
      <c r="K5534" s="35">
        <v>-3.6252272241156156</v>
      </c>
      <c r="L5534" s="35">
        <v>125.81025159273501</v>
      </c>
      <c r="M5534" s="58" t="s">
        <v>22</v>
      </c>
      <c r="N5534" s="7">
        <v>9.5</v>
      </c>
      <c r="O5534" s="7" t="s">
        <v>179</v>
      </c>
      <c r="P5534" s="7" t="s">
        <v>179</v>
      </c>
    </row>
    <row r="5535" spans="1:16" x14ac:dyDescent="0.25">
      <c r="A5535" t="s">
        <v>181</v>
      </c>
      <c r="B5535" t="s">
        <v>226</v>
      </c>
      <c r="C5535" s="7" t="s">
        <v>168</v>
      </c>
      <c r="D5535" t="s">
        <v>124</v>
      </c>
      <c r="F5535" s="35">
        <v>2</v>
      </c>
      <c r="G5535" s="35">
        <v>58.996487214935016</v>
      </c>
      <c r="H5535" s="35">
        <v>35.726558703180103</v>
      </c>
      <c r="I5535" s="35">
        <v>-2.2987074853496861</v>
      </c>
      <c r="J5535" s="35">
        <v>-1.3115166899170373E-3</v>
      </c>
      <c r="K5535" s="35">
        <v>0.9721877465837554</v>
      </c>
      <c r="L5535" s="35">
        <v>48.309134186374791</v>
      </c>
      <c r="M5535" s="58" t="s">
        <v>22</v>
      </c>
      <c r="N5535" s="7">
        <v>9.5</v>
      </c>
      <c r="O5535" s="7" t="s">
        <v>179</v>
      </c>
      <c r="P5535" s="7" t="s">
        <v>179</v>
      </c>
    </row>
    <row r="5536" spans="1:16" x14ac:dyDescent="0.25">
      <c r="A5536" t="s">
        <v>181</v>
      </c>
      <c r="B5536" t="s">
        <v>226</v>
      </c>
      <c r="C5536" s="7" t="s">
        <v>168</v>
      </c>
      <c r="D5536" t="s">
        <v>124</v>
      </c>
      <c r="F5536" s="35">
        <v>2</v>
      </c>
      <c r="G5536" s="35">
        <v>56.73908675194977</v>
      </c>
      <c r="H5536" s="35">
        <v>35.726535835612964</v>
      </c>
      <c r="I5536" s="35">
        <v>0.13019767670809854</v>
      </c>
      <c r="J5536" s="35">
        <v>-1.3748046322579397E-3</v>
      </c>
      <c r="K5536" s="35">
        <v>0.9721877465837564</v>
      </c>
      <c r="L5536" s="35">
        <v>48.309201693513238</v>
      </c>
      <c r="M5536" s="58" t="s">
        <v>22</v>
      </c>
      <c r="N5536" s="7">
        <v>9.5</v>
      </c>
      <c r="O5536" s="7" t="s">
        <v>179</v>
      </c>
      <c r="P5536" s="7" t="s">
        <v>179</v>
      </c>
    </row>
    <row r="5537" spans="1:16" x14ac:dyDescent="0.25">
      <c r="A5537" t="s">
        <v>181</v>
      </c>
      <c r="B5537" t="s">
        <v>226</v>
      </c>
      <c r="C5537" s="7" t="s">
        <v>168</v>
      </c>
      <c r="D5537" t="s">
        <v>124</v>
      </c>
      <c r="F5537" s="35">
        <v>4.4982502942822435</v>
      </c>
      <c r="G5537" s="35">
        <v>57.755621798792866</v>
      </c>
      <c r="H5537" s="35">
        <v>28.171826945703458</v>
      </c>
      <c r="I5537" s="35">
        <v>0.13019767670809806</v>
      </c>
      <c r="J5537" s="35">
        <v>-1.3748046322579397E-3</v>
      </c>
      <c r="K5537" s="35">
        <v>0.64692136243288556</v>
      </c>
      <c r="L5537" s="35">
        <v>-31.507850117775426</v>
      </c>
      <c r="M5537" s="58" t="s">
        <v>24</v>
      </c>
      <c r="N5537" s="7">
        <v>9.5</v>
      </c>
      <c r="O5537" s="7" t="s">
        <v>179</v>
      </c>
      <c r="P5537" s="7" t="s">
        <v>179</v>
      </c>
    </row>
    <row r="5538" spans="1:16" x14ac:dyDescent="0.25">
      <c r="A5538" t="s">
        <v>181</v>
      </c>
      <c r="B5538" t="s">
        <v>226</v>
      </c>
      <c r="C5538" s="7" t="s">
        <v>168</v>
      </c>
      <c r="D5538" t="s">
        <v>124</v>
      </c>
      <c r="F5538" s="35">
        <v>8.9965005885644871</v>
      </c>
      <c r="G5538" s="35">
        <v>59.585954445635963</v>
      </c>
      <c r="H5538" s="35">
        <v>14.569118055793949</v>
      </c>
      <c r="I5538" s="35">
        <v>0.13019767670809723</v>
      </c>
      <c r="J5538" s="35">
        <v>-1.3748046322579397E-3</v>
      </c>
      <c r="K5538" s="35">
        <v>6.1259624865820754E-2</v>
      </c>
      <c r="L5538" s="35">
        <v>-127.63758433321884</v>
      </c>
      <c r="M5538" s="58" t="s">
        <v>23</v>
      </c>
      <c r="N5538" s="7">
        <v>9.5</v>
      </c>
      <c r="O5538" s="7" t="s">
        <v>179</v>
      </c>
      <c r="P5538" s="7" t="s">
        <v>179</v>
      </c>
    </row>
    <row r="5539" spans="1:16" x14ac:dyDescent="0.25">
      <c r="A5539" t="s">
        <v>181</v>
      </c>
      <c r="B5539" t="s">
        <v>226</v>
      </c>
      <c r="C5539" s="7" t="s">
        <v>168</v>
      </c>
      <c r="D5539" t="s">
        <v>125</v>
      </c>
      <c r="F5539" s="35">
        <v>0</v>
      </c>
      <c r="G5539" s="35">
        <v>-65.480195463930102</v>
      </c>
      <c r="H5539" s="35">
        <v>15.297635739770799</v>
      </c>
      <c r="I5539" s="35">
        <v>-2.0059674333945114</v>
      </c>
      <c r="J5539" s="35">
        <v>-8.7670401199220255E-4</v>
      </c>
      <c r="K5539" s="35">
        <v>-3.1661561590224507</v>
      </c>
      <c r="L5539" s="35">
        <v>47.656472883430851</v>
      </c>
      <c r="M5539" s="58" t="s">
        <v>22</v>
      </c>
      <c r="N5539" s="7">
        <v>9.5</v>
      </c>
      <c r="O5539" s="7" t="s">
        <v>179</v>
      </c>
      <c r="P5539" s="7" t="s">
        <v>179</v>
      </c>
    </row>
    <row r="5540" spans="1:16" x14ac:dyDescent="0.25">
      <c r="A5540" t="s">
        <v>181</v>
      </c>
      <c r="B5540" t="s">
        <v>226</v>
      </c>
      <c r="C5540" s="7" t="s">
        <v>168</v>
      </c>
      <c r="D5540" t="s">
        <v>125</v>
      </c>
      <c r="F5540" s="35">
        <v>2</v>
      </c>
      <c r="G5540" s="35">
        <v>-64.666397863930101</v>
      </c>
      <c r="H5540" s="35">
        <v>4.5456357397707938</v>
      </c>
      <c r="I5540" s="35">
        <v>-2.0059674333945119</v>
      </c>
      <c r="J5540" s="35">
        <v>-8.7670401199220255E-4</v>
      </c>
      <c r="K5540" s="35">
        <v>0.84577870776657271</v>
      </c>
      <c r="L5540" s="35">
        <v>27.813201403889256</v>
      </c>
      <c r="M5540" s="58" t="s">
        <v>22</v>
      </c>
      <c r="N5540" s="7">
        <v>9.5</v>
      </c>
      <c r="O5540" s="7" t="s">
        <v>179</v>
      </c>
      <c r="P5540" s="7" t="s">
        <v>179</v>
      </c>
    </row>
    <row r="5541" spans="1:16" x14ac:dyDescent="0.25">
      <c r="A5541" t="s">
        <v>181</v>
      </c>
      <c r="B5541" t="s">
        <v>226</v>
      </c>
      <c r="C5541" s="7" t="s">
        <v>168</v>
      </c>
      <c r="D5541" t="s">
        <v>125</v>
      </c>
      <c r="F5541" s="35">
        <v>2</v>
      </c>
      <c r="G5541" s="35">
        <v>-66.633551462474614</v>
      </c>
      <c r="H5541" s="35">
        <v>4.5456444165976233</v>
      </c>
      <c r="I5541" s="35">
        <v>0.11334184487526633</v>
      </c>
      <c r="J5541" s="35">
        <v>-8.1728579231402987E-4</v>
      </c>
      <c r="K5541" s="35">
        <v>0.84577870776657393</v>
      </c>
      <c r="L5541" s="35">
        <v>27.813138024454869</v>
      </c>
      <c r="M5541" s="58" t="s">
        <v>22</v>
      </c>
      <c r="N5541" s="7">
        <v>9.5</v>
      </c>
      <c r="O5541" s="7" t="s">
        <v>179</v>
      </c>
      <c r="P5541" s="7" t="s">
        <v>179</v>
      </c>
    </row>
    <row r="5542" spans="1:16" x14ac:dyDescent="0.25">
      <c r="A5542" t="s">
        <v>181</v>
      </c>
      <c r="B5542" t="s">
        <v>226</v>
      </c>
      <c r="C5542" s="7" t="s">
        <v>168</v>
      </c>
      <c r="D5542" t="s">
        <v>125</v>
      </c>
      <c r="F5542" s="35">
        <v>4.4982502942822435</v>
      </c>
      <c r="G5542" s="35">
        <v>-65.617016415631525</v>
      </c>
      <c r="H5542" s="35">
        <v>-8.8849491654637198</v>
      </c>
      <c r="I5542" s="35">
        <v>0.11334184487526551</v>
      </c>
      <c r="J5542" s="35">
        <v>-8.1728579231402987E-4</v>
      </c>
      <c r="K5542" s="35">
        <v>0.56262241045244843</v>
      </c>
      <c r="L5542" s="35">
        <v>33.233472707372407</v>
      </c>
      <c r="M5542" s="58" t="s">
        <v>24</v>
      </c>
      <c r="N5542" s="7">
        <v>9.5</v>
      </c>
      <c r="O5542" s="7" t="s">
        <v>179</v>
      </c>
      <c r="P5542" s="7" t="s">
        <v>179</v>
      </c>
    </row>
    <row r="5543" spans="1:16" x14ac:dyDescent="0.25">
      <c r="A5543" t="s">
        <v>181</v>
      </c>
      <c r="B5543" t="s">
        <v>226</v>
      </c>
      <c r="C5543" s="7" t="s">
        <v>168</v>
      </c>
      <c r="D5543" t="s">
        <v>125</v>
      </c>
      <c r="F5543" s="35">
        <v>8.9965005885644871</v>
      </c>
      <c r="G5543" s="35">
        <v>-63.786683768788436</v>
      </c>
      <c r="H5543" s="35">
        <v>-33.067542747525067</v>
      </c>
      <c r="I5543" s="35">
        <v>0.11334184487526404</v>
      </c>
      <c r="J5543" s="35">
        <v>-8.1728579231402987E-4</v>
      </c>
      <c r="K5543" s="35">
        <v>5.2782423387796172E-2</v>
      </c>
      <c r="L5543" s="35">
        <v>127.58987725411008</v>
      </c>
      <c r="M5543" s="58" t="s">
        <v>23</v>
      </c>
      <c r="N5543" s="7">
        <v>9.5</v>
      </c>
      <c r="O5543" s="7" t="s">
        <v>179</v>
      </c>
      <c r="P5543" s="7" t="s">
        <v>179</v>
      </c>
    </row>
    <row r="5544" spans="1:16" x14ac:dyDescent="0.25">
      <c r="A5544" t="s">
        <v>181</v>
      </c>
      <c r="B5544" t="s">
        <v>226</v>
      </c>
      <c r="C5544" s="7" t="s">
        <v>168</v>
      </c>
      <c r="D5544" t="s">
        <v>126</v>
      </c>
      <c r="F5544" s="35">
        <v>0</v>
      </c>
      <c r="G5544" s="35">
        <v>35.204019269669288</v>
      </c>
      <c r="H5544" s="35">
        <v>-7.3063511781028181</v>
      </c>
      <c r="I5544" s="35">
        <v>-1.9671495239661605</v>
      </c>
      <c r="J5544" s="35">
        <v>-1.3445378389251032E-3</v>
      </c>
      <c r="K5544" s="35">
        <v>-3.1087270519783639</v>
      </c>
      <c r="L5544" s="35">
        <v>-16.836888684428658</v>
      </c>
      <c r="M5544" s="58" t="s">
        <v>22</v>
      </c>
      <c r="N5544" s="7">
        <v>9.5</v>
      </c>
      <c r="O5544" s="7" t="s">
        <v>179</v>
      </c>
      <c r="P5544" s="7" t="s">
        <v>179</v>
      </c>
    </row>
    <row r="5545" spans="1:16" x14ac:dyDescent="0.25">
      <c r="A5545" t="s">
        <v>181</v>
      </c>
      <c r="B5545" t="s">
        <v>226</v>
      </c>
      <c r="C5545" s="7" t="s">
        <v>168</v>
      </c>
      <c r="D5545" t="s">
        <v>126</v>
      </c>
      <c r="F5545" s="35">
        <v>2</v>
      </c>
      <c r="G5545" s="35">
        <v>36.017816869669296</v>
      </c>
      <c r="H5545" s="35">
        <v>-0.92235117810281719</v>
      </c>
      <c r="I5545" s="35">
        <v>-1.9671495239661601</v>
      </c>
      <c r="J5545" s="35">
        <v>-1.3445378389251032E-3</v>
      </c>
      <c r="K5545" s="35">
        <v>0.82557199595395614</v>
      </c>
      <c r="L5545" s="35">
        <v>-8.6081863282230291</v>
      </c>
      <c r="M5545" s="58" t="s">
        <v>22</v>
      </c>
      <c r="N5545" s="7">
        <v>9.5</v>
      </c>
      <c r="O5545" s="7" t="s">
        <v>179</v>
      </c>
      <c r="P5545" s="7" t="s">
        <v>179</v>
      </c>
    </row>
    <row r="5546" spans="1:16" x14ac:dyDescent="0.25">
      <c r="A5546" t="s">
        <v>181</v>
      </c>
      <c r="B5546" t="s">
        <v>226</v>
      </c>
      <c r="C5546" s="7" t="s">
        <v>168</v>
      </c>
      <c r="D5546" t="s">
        <v>126</v>
      </c>
      <c r="F5546" s="35">
        <v>2</v>
      </c>
      <c r="G5546" s="35">
        <v>34.089582927113753</v>
      </c>
      <c r="H5546" s="35">
        <v>-0.9223628462875384</v>
      </c>
      <c r="I5546" s="35">
        <v>0.11064324391545215</v>
      </c>
      <c r="J5546" s="35">
        <v>-1.3777396356455343E-3</v>
      </c>
      <c r="K5546" s="35">
        <v>0.8255719959539547</v>
      </c>
      <c r="L5546" s="35">
        <v>-8.6081509129731764</v>
      </c>
      <c r="M5546" s="58" t="s">
        <v>22</v>
      </c>
      <c r="N5546" s="7">
        <v>9.5</v>
      </c>
      <c r="O5546" s="7" t="s">
        <v>179</v>
      </c>
      <c r="P5546" s="7" t="s">
        <v>179</v>
      </c>
    </row>
    <row r="5547" spans="1:16" x14ac:dyDescent="0.25">
      <c r="A5547" t="s">
        <v>181</v>
      </c>
      <c r="B5547" t="s">
        <v>226</v>
      </c>
      <c r="C5547" s="7" t="s">
        <v>168</v>
      </c>
      <c r="D5547" t="s">
        <v>126</v>
      </c>
      <c r="F5547" s="35">
        <v>4.4982502942822435</v>
      </c>
      <c r="G5547" s="35">
        <v>35.106117973956849</v>
      </c>
      <c r="H5547" s="35">
        <v>7.0520520930613841</v>
      </c>
      <c r="I5547" s="35">
        <v>0.11064324391545265</v>
      </c>
      <c r="J5547" s="35">
        <v>-1.3777396356455343E-3</v>
      </c>
      <c r="K5547" s="35">
        <v>0.54915747928183367</v>
      </c>
      <c r="L5547" s="35">
        <v>-16.264899895278898</v>
      </c>
      <c r="M5547" s="58" t="s">
        <v>24</v>
      </c>
      <c r="N5547" s="7">
        <v>9.5</v>
      </c>
      <c r="O5547" s="7" t="s">
        <v>179</v>
      </c>
      <c r="P5547" s="7" t="s">
        <v>179</v>
      </c>
    </row>
    <row r="5548" spans="1:16" x14ac:dyDescent="0.25">
      <c r="A5548" t="s">
        <v>181</v>
      </c>
      <c r="B5548" t="s">
        <v>226</v>
      </c>
      <c r="C5548" s="7" t="s">
        <v>168</v>
      </c>
      <c r="D5548" t="s">
        <v>126</v>
      </c>
      <c r="F5548" s="35">
        <v>8.9965005885644871</v>
      </c>
      <c r="G5548" s="35">
        <v>36.936450620799945</v>
      </c>
      <c r="H5548" s="35">
        <v>21.41046703241031</v>
      </c>
      <c r="I5548" s="35">
        <v>0.11064324391545353</v>
      </c>
      <c r="J5548" s="35">
        <v>-1.3777396356455343E-3</v>
      </c>
      <c r="K5548" s="35">
        <v>5.1456474778804592E-2</v>
      </c>
      <c r="L5548" s="35">
        <v>-80.280667411362415</v>
      </c>
      <c r="M5548" s="58" t="s">
        <v>23</v>
      </c>
      <c r="N5548" s="7">
        <v>9.5</v>
      </c>
      <c r="O5548" s="7" t="s">
        <v>179</v>
      </c>
      <c r="P5548" s="7" t="s">
        <v>179</v>
      </c>
    </row>
    <row r="5549" spans="1:16" x14ac:dyDescent="0.25">
      <c r="A5549" t="s">
        <v>181</v>
      </c>
      <c r="B5549" t="s">
        <v>226</v>
      </c>
      <c r="C5549" s="7" t="s">
        <v>168</v>
      </c>
      <c r="D5549" t="s">
        <v>127</v>
      </c>
      <c r="F5549" s="35">
        <v>0</v>
      </c>
      <c r="G5549" s="35">
        <v>-17.576648360158316</v>
      </c>
      <c r="H5549" s="35">
        <v>-23.139386970488925</v>
      </c>
      <c r="I5549" s="35">
        <v>-1.7201397659467121</v>
      </c>
      <c r="J5549" s="35">
        <v>-8.0317099723120958E-4</v>
      </c>
      <c r="K5549" s="35">
        <v>-2.7227475001430763</v>
      </c>
      <c r="L5549" s="35">
        <v>-110.15534001739529</v>
      </c>
      <c r="M5549" s="58" t="s">
        <v>22</v>
      </c>
      <c r="N5549" s="7">
        <v>9.5</v>
      </c>
      <c r="O5549" s="7" t="s">
        <v>179</v>
      </c>
      <c r="P5549" s="7" t="s">
        <v>179</v>
      </c>
    </row>
    <row r="5550" spans="1:16" x14ac:dyDescent="0.25">
      <c r="A5550" t="s">
        <v>181</v>
      </c>
      <c r="B5550" t="s">
        <v>226</v>
      </c>
      <c r="C5550" s="7" t="s">
        <v>168</v>
      </c>
      <c r="D5550" t="s">
        <v>127</v>
      </c>
      <c r="F5550" s="35">
        <v>2</v>
      </c>
      <c r="G5550" s="35">
        <v>-16.762850760158312</v>
      </c>
      <c r="H5550" s="35">
        <v>-21.459386970488925</v>
      </c>
      <c r="I5550" s="35">
        <v>-1.7201397659467121</v>
      </c>
      <c r="J5550" s="35">
        <v>-8.0317099723120958E-4</v>
      </c>
      <c r="K5550" s="35">
        <v>0.71753203175034708</v>
      </c>
      <c r="L5550" s="35">
        <v>-65.556566076417454</v>
      </c>
      <c r="M5550" s="58" t="s">
        <v>22</v>
      </c>
      <c r="N5550" s="7">
        <v>9.5</v>
      </c>
      <c r="O5550" s="7" t="s">
        <v>179</v>
      </c>
      <c r="P5550" s="7" t="s">
        <v>179</v>
      </c>
    </row>
    <row r="5551" spans="1:16" x14ac:dyDescent="0.25">
      <c r="A5551" t="s">
        <v>181</v>
      </c>
      <c r="B5551" t="s">
        <v>226</v>
      </c>
      <c r="C5551" s="7" t="s">
        <v>168</v>
      </c>
      <c r="D5551" t="s">
        <v>127</v>
      </c>
      <c r="F5551" s="35">
        <v>2</v>
      </c>
      <c r="G5551" s="35">
        <v>-18.446005593211883</v>
      </c>
      <c r="H5551" s="35">
        <v>-21.459375707302009</v>
      </c>
      <c r="I5551" s="35">
        <v>9.6234305849554946E-2</v>
      </c>
      <c r="J5551" s="35">
        <v>-8.2485140776844611E-4</v>
      </c>
      <c r="K5551" s="35">
        <v>0.7175320317503483</v>
      </c>
      <c r="L5551" s="35">
        <v>-65.556542950646218</v>
      </c>
      <c r="M5551" s="58" t="s">
        <v>22</v>
      </c>
      <c r="N5551" s="7">
        <v>9.5</v>
      </c>
      <c r="O5551" s="7" t="s">
        <v>179</v>
      </c>
      <c r="P5551" s="7" t="s">
        <v>179</v>
      </c>
    </row>
    <row r="5552" spans="1:16" x14ac:dyDescent="0.25">
      <c r="A5552" t="s">
        <v>181</v>
      </c>
      <c r="B5552" t="s">
        <v>226</v>
      </c>
      <c r="C5552" s="7" t="s">
        <v>168</v>
      </c>
      <c r="D5552" t="s">
        <v>127</v>
      </c>
      <c r="F5552" s="35">
        <v>4.4982502942822435</v>
      </c>
      <c r="G5552" s="35">
        <v>-17.42947054636879</v>
      </c>
      <c r="H5552" s="35">
        <v>-19.360845460104926</v>
      </c>
      <c r="I5552" s="35">
        <v>9.6234305849555085E-2</v>
      </c>
      <c r="J5552" s="35">
        <v>-8.2485140776844611E-4</v>
      </c>
      <c r="K5552" s="35">
        <v>0.47711464884165006</v>
      </c>
      <c r="L5552" s="35">
        <v>-14.566978178575892</v>
      </c>
      <c r="M5552" s="58" t="s">
        <v>24</v>
      </c>
      <c r="N5552" s="7">
        <v>9.5</v>
      </c>
      <c r="O5552" s="7" t="s">
        <v>179</v>
      </c>
      <c r="P5552" s="7" t="s">
        <v>179</v>
      </c>
    </row>
    <row r="5553" spans="1:16" x14ac:dyDescent="0.25">
      <c r="A5553" t="s">
        <v>181</v>
      </c>
      <c r="B5553" t="s">
        <v>226</v>
      </c>
      <c r="C5553" s="7" t="s">
        <v>168</v>
      </c>
      <c r="D5553" t="s">
        <v>127</v>
      </c>
      <c r="F5553" s="35">
        <v>8.9965005885644871</v>
      </c>
      <c r="G5553" s="35">
        <v>-15.599137899525694</v>
      </c>
      <c r="H5553" s="35">
        <v>-15.582315212907838</v>
      </c>
      <c r="I5553" s="35">
        <v>9.6234305849555321E-2</v>
      </c>
      <c r="J5553" s="35">
        <v>-8.2485140776844611E-4</v>
      </c>
      <c r="K5553" s="35">
        <v>4.4228654233840821E-2</v>
      </c>
      <c r="L5553" s="35">
        <v>64.024563211689838</v>
      </c>
      <c r="M5553" s="58" t="s">
        <v>23</v>
      </c>
      <c r="N5553" s="7">
        <v>9.5</v>
      </c>
      <c r="O5553" s="7" t="s">
        <v>179</v>
      </c>
      <c r="P5553" s="7" t="s">
        <v>179</v>
      </c>
    </row>
    <row r="5554" spans="1:16" x14ac:dyDescent="0.25">
      <c r="A5554" t="s">
        <v>183</v>
      </c>
      <c r="B5554" t="s">
        <v>227</v>
      </c>
      <c r="C5554" s="7" t="s">
        <v>169</v>
      </c>
      <c r="D5554" t="s">
        <v>105</v>
      </c>
      <c r="F5554" s="35">
        <v>0</v>
      </c>
      <c r="G5554" s="35">
        <v>-98.904779119469765</v>
      </c>
      <c r="H5554" s="35">
        <v>2.8087641412896605</v>
      </c>
      <c r="I5554" s="35">
        <v>1.2400872636183071</v>
      </c>
      <c r="J5554" s="35">
        <v>-1.6388999034661517E-4</v>
      </c>
      <c r="K5554" s="35">
        <v>0.1994862117987391</v>
      </c>
      <c r="L5554" s="35">
        <v>8.4900857972368229</v>
      </c>
      <c r="M5554" s="58" t="s">
        <v>22</v>
      </c>
      <c r="N5554" s="7">
        <v>11.333333333333334</v>
      </c>
      <c r="O5554" s="7" t="s">
        <v>180</v>
      </c>
      <c r="P5554" s="7" t="s">
        <v>180</v>
      </c>
    </row>
    <row r="5555" spans="1:16" x14ac:dyDescent="0.25">
      <c r="A5555" t="s">
        <v>183</v>
      </c>
      <c r="B5555" t="s">
        <v>227</v>
      </c>
      <c r="C5555" s="7" t="s">
        <v>169</v>
      </c>
      <c r="D5555" t="s">
        <v>105</v>
      </c>
      <c r="F5555" s="35">
        <v>0.29999999999999988</v>
      </c>
      <c r="G5555" s="35">
        <v>-98.761873279469768</v>
      </c>
      <c r="H5555" s="35">
        <v>2.8087641412896605</v>
      </c>
      <c r="I5555" s="35">
        <v>1.2400872636183071</v>
      </c>
      <c r="J5555" s="35">
        <v>-1.6388999034661517E-4</v>
      </c>
      <c r="K5555" s="35">
        <v>-0.17253996728675286</v>
      </c>
      <c r="L5555" s="35">
        <v>7.6474565548499243</v>
      </c>
      <c r="M5555" s="58" t="s">
        <v>22</v>
      </c>
      <c r="N5555" s="7">
        <v>11.333333333333334</v>
      </c>
      <c r="O5555" s="7" t="s">
        <v>180</v>
      </c>
      <c r="P5555" s="7" t="s">
        <v>180</v>
      </c>
    </row>
    <row r="5556" spans="1:16" x14ac:dyDescent="0.25">
      <c r="A5556" t="s">
        <v>183</v>
      </c>
      <c r="B5556" t="s">
        <v>227</v>
      </c>
      <c r="C5556" s="7" t="s">
        <v>169</v>
      </c>
      <c r="D5556" t="s">
        <v>105</v>
      </c>
      <c r="F5556" s="35">
        <v>0.29999999999999988</v>
      </c>
      <c r="G5556" s="35">
        <v>-76.283680841692245</v>
      </c>
      <c r="H5556" s="35">
        <v>2.8087641412896529</v>
      </c>
      <c r="I5556" s="35">
        <v>-6.1630036617588889E-2</v>
      </c>
      <c r="J5556" s="35">
        <v>1.1143167618277694E-4</v>
      </c>
      <c r="K5556" s="35">
        <v>-0.1725399672867535</v>
      </c>
      <c r="L5556" s="35">
        <v>7.6474400355499323</v>
      </c>
      <c r="M5556" s="58" t="s">
        <v>22</v>
      </c>
      <c r="N5556" s="7">
        <v>11.333333333333334</v>
      </c>
      <c r="O5556" s="7" t="s">
        <v>180</v>
      </c>
      <c r="P5556" s="7" t="s">
        <v>180</v>
      </c>
    </row>
    <row r="5557" spans="1:16" x14ac:dyDescent="0.25">
      <c r="A5557" t="s">
        <v>183</v>
      </c>
      <c r="B5557" t="s">
        <v>227</v>
      </c>
      <c r="C5557" s="7" t="s">
        <v>169</v>
      </c>
      <c r="D5557" t="s">
        <v>105</v>
      </c>
      <c r="F5557" s="35">
        <v>5.3</v>
      </c>
      <c r="G5557" s="35">
        <v>-73.901916841692241</v>
      </c>
      <c r="H5557" s="35">
        <v>2.8087641412896529</v>
      </c>
      <c r="I5557" s="35">
        <v>-6.1630036617588889E-2</v>
      </c>
      <c r="J5557" s="35">
        <v>1.1143167618277694E-4</v>
      </c>
      <c r="K5557" s="35">
        <v>0.13561021580119093</v>
      </c>
      <c r="L5557" s="35">
        <v>-6.3963806708983304</v>
      </c>
      <c r="M5557" s="58" t="s">
        <v>24</v>
      </c>
      <c r="N5557" s="7">
        <v>11.333333333333334</v>
      </c>
      <c r="O5557" s="7" t="s">
        <v>180</v>
      </c>
      <c r="P5557" s="7" t="s">
        <v>180</v>
      </c>
    </row>
    <row r="5558" spans="1:16" x14ac:dyDescent="0.25">
      <c r="A5558" t="s">
        <v>183</v>
      </c>
      <c r="B5558" t="s">
        <v>227</v>
      </c>
      <c r="C5558" s="7" t="s">
        <v>169</v>
      </c>
      <c r="D5558" t="s">
        <v>105</v>
      </c>
      <c r="F5558" s="35">
        <v>5.3</v>
      </c>
      <c r="G5558" s="35">
        <v>-91.963467340704824</v>
      </c>
      <c r="H5558" s="35">
        <v>2.8088628499511992</v>
      </c>
      <c r="I5558" s="35">
        <v>3.3491139546840194E-2</v>
      </c>
      <c r="J5558" s="35">
        <v>3.6290840545819579E-5</v>
      </c>
      <c r="K5558" s="35">
        <v>0.13561021580119101</v>
      </c>
      <c r="L5558" s="35">
        <v>-6.3960736760416737</v>
      </c>
      <c r="M5558" s="58" t="s">
        <v>24</v>
      </c>
      <c r="N5558" s="7">
        <v>11.333333333333334</v>
      </c>
      <c r="O5558" s="7" t="s">
        <v>180</v>
      </c>
      <c r="P5558" s="7" t="s">
        <v>180</v>
      </c>
    </row>
    <row r="5559" spans="1:16" x14ac:dyDescent="0.25">
      <c r="A5559" t="s">
        <v>183</v>
      </c>
      <c r="B5559" t="s">
        <v>227</v>
      </c>
      <c r="C5559" s="7" t="s">
        <v>169</v>
      </c>
      <c r="D5559" t="s">
        <v>105</v>
      </c>
      <c r="F5559" s="35">
        <v>5.4149169609489114</v>
      </c>
      <c r="G5559" s="35">
        <v>-91.908726324589324</v>
      </c>
      <c r="H5559" s="35">
        <v>2.8088628499511992</v>
      </c>
      <c r="I5559" s="35">
        <v>3.3491139546840194E-2</v>
      </c>
      <c r="J5559" s="35">
        <v>3.6290840545819579E-5</v>
      </c>
      <c r="K5559" s="35">
        <v>0.13176151582575224</v>
      </c>
      <c r="L5559" s="35">
        <v>-6.7188596584803637</v>
      </c>
      <c r="M5559" s="58" t="s">
        <v>24</v>
      </c>
      <c r="N5559" s="7">
        <v>11.333333333333334</v>
      </c>
      <c r="O5559" s="7" t="s">
        <v>180</v>
      </c>
      <c r="P5559" s="7" t="s">
        <v>180</v>
      </c>
    </row>
    <row r="5560" spans="1:16" x14ac:dyDescent="0.25">
      <c r="A5560" t="s">
        <v>183</v>
      </c>
      <c r="B5560" t="s">
        <v>227</v>
      </c>
      <c r="C5560" s="7" t="s">
        <v>169</v>
      </c>
      <c r="D5560" t="s">
        <v>105</v>
      </c>
      <c r="F5560" s="35">
        <v>10.829833921897823</v>
      </c>
      <c r="G5560" s="35">
        <v>-89.329315468473823</v>
      </c>
      <c r="H5560" s="35">
        <v>2.8088628499511992</v>
      </c>
      <c r="I5560" s="35">
        <v>3.3491139546840194E-2</v>
      </c>
      <c r="J5560" s="35">
        <v>3.6290840545819579E-5</v>
      </c>
      <c r="K5560" s="35">
        <v>-4.9590223747939491E-2</v>
      </c>
      <c r="L5560" s="35">
        <v>-21.928618745660405</v>
      </c>
      <c r="M5560" s="58" t="s">
        <v>23</v>
      </c>
      <c r="N5560" s="7">
        <v>11.333333333333334</v>
      </c>
      <c r="O5560" s="7" t="s">
        <v>180</v>
      </c>
      <c r="P5560" s="7" t="s">
        <v>180</v>
      </c>
    </row>
    <row r="5561" spans="1:16" x14ac:dyDescent="0.25">
      <c r="A5561" t="s">
        <v>183</v>
      </c>
      <c r="B5561" t="s">
        <v>227</v>
      </c>
      <c r="C5561" s="7" t="s">
        <v>169</v>
      </c>
      <c r="D5561" t="s">
        <v>15</v>
      </c>
      <c r="F5561" s="35">
        <v>0</v>
      </c>
      <c r="G5561" s="35">
        <v>131.37908869384972</v>
      </c>
      <c r="H5561" s="35">
        <v>-6.2354326987255941</v>
      </c>
      <c r="I5561" s="35">
        <v>-6.9599384659181993</v>
      </c>
      <c r="J5561" s="35">
        <v>5.0855992713365003E-4</v>
      </c>
      <c r="K5561" s="35">
        <v>-7.8290832255832887</v>
      </c>
      <c r="L5561" s="35">
        <v>-21.247275859138309</v>
      </c>
      <c r="M5561" s="58" t="s">
        <v>22</v>
      </c>
      <c r="N5561" s="7">
        <v>11.333333333333334</v>
      </c>
      <c r="O5561" s="7" t="s">
        <v>180</v>
      </c>
      <c r="P5561" s="7" t="s">
        <v>180</v>
      </c>
    </row>
    <row r="5562" spans="1:16" x14ac:dyDescent="0.25">
      <c r="A5562" t="s">
        <v>183</v>
      </c>
      <c r="B5562" t="s">
        <v>227</v>
      </c>
      <c r="C5562" s="7" t="s">
        <v>169</v>
      </c>
      <c r="D5562" t="s">
        <v>15</v>
      </c>
      <c r="F5562" s="35">
        <v>0.29999999999999988</v>
      </c>
      <c r="G5562" s="35">
        <v>131.52199453384975</v>
      </c>
      <c r="H5562" s="35">
        <v>-6.2354326987255941</v>
      </c>
      <c r="I5562" s="35">
        <v>-6.9599384659181993</v>
      </c>
      <c r="J5562" s="35">
        <v>5.0855992713365003E-4</v>
      </c>
      <c r="K5562" s="35">
        <v>-5.7411016858078314</v>
      </c>
      <c r="L5562" s="35">
        <v>-19.37664604952063</v>
      </c>
      <c r="M5562" s="58" t="s">
        <v>22</v>
      </c>
      <c r="N5562" s="7">
        <v>11.333333333333334</v>
      </c>
      <c r="O5562" s="7" t="s">
        <v>180</v>
      </c>
      <c r="P5562" s="7" t="s">
        <v>180</v>
      </c>
    </row>
    <row r="5563" spans="1:16" x14ac:dyDescent="0.25">
      <c r="A5563" t="s">
        <v>183</v>
      </c>
      <c r="B5563" t="s">
        <v>227</v>
      </c>
      <c r="C5563" s="7" t="s">
        <v>169</v>
      </c>
      <c r="D5563" t="s">
        <v>15</v>
      </c>
      <c r="F5563" s="35">
        <v>0.29999999999999988</v>
      </c>
      <c r="G5563" s="35">
        <v>47.344886362069367</v>
      </c>
      <c r="H5563" s="35">
        <v>-6.2354326987255817</v>
      </c>
      <c r="I5563" s="35">
        <v>-1.8623377295805992</v>
      </c>
      <c r="J5563" s="35">
        <v>-1.8329694994417066E-4</v>
      </c>
      <c r="K5563" s="35">
        <v>-5.741101685807843</v>
      </c>
      <c r="L5563" s="35">
        <v>-19.376604538108015</v>
      </c>
      <c r="M5563" s="58" t="s">
        <v>22</v>
      </c>
      <c r="N5563" s="7">
        <v>11.333333333333334</v>
      </c>
      <c r="O5563" s="7" t="s">
        <v>180</v>
      </c>
      <c r="P5563" s="7" t="s">
        <v>180</v>
      </c>
    </row>
    <row r="5564" spans="1:16" x14ac:dyDescent="0.25">
      <c r="A5564" t="s">
        <v>183</v>
      </c>
      <c r="B5564" t="s">
        <v>227</v>
      </c>
      <c r="C5564" s="7" t="s">
        <v>169</v>
      </c>
      <c r="D5564" t="s">
        <v>15</v>
      </c>
      <c r="F5564" s="35">
        <v>5.3</v>
      </c>
      <c r="G5564" s="35">
        <v>49.726650362069364</v>
      </c>
      <c r="H5564" s="35">
        <v>-6.2354326987255817</v>
      </c>
      <c r="I5564" s="35">
        <v>-1.8623377295805992</v>
      </c>
      <c r="J5564" s="35">
        <v>-1.8329694994417066E-4</v>
      </c>
      <c r="K5564" s="35">
        <v>3.5705869620951525</v>
      </c>
      <c r="L5564" s="35">
        <v>11.800558955519891</v>
      </c>
      <c r="M5564" s="58" t="s">
        <v>24</v>
      </c>
      <c r="N5564" s="7">
        <v>11.333333333333334</v>
      </c>
      <c r="O5564" s="7" t="s">
        <v>180</v>
      </c>
      <c r="P5564" s="7" t="s">
        <v>180</v>
      </c>
    </row>
    <row r="5565" spans="1:16" x14ac:dyDescent="0.25">
      <c r="A5565" t="s">
        <v>183</v>
      </c>
      <c r="B5565" t="s">
        <v>227</v>
      </c>
      <c r="C5565" s="7" t="s">
        <v>169</v>
      </c>
      <c r="D5565" t="s">
        <v>15</v>
      </c>
      <c r="F5565" s="35">
        <v>5.3</v>
      </c>
      <c r="G5565" s="35">
        <v>126.01808602304196</v>
      </c>
      <c r="H5565" s="35">
        <v>-6.2356419328235893</v>
      </c>
      <c r="I5565" s="35">
        <v>0.60313044660967541</v>
      </c>
      <c r="J5565" s="35">
        <v>-2.2144833247202421E-5</v>
      </c>
      <c r="K5565" s="35">
        <v>3.570586962095152</v>
      </c>
      <c r="L5565" s="35">
        <v>11.799703691618692</v>
      </c>
      <c r="M5565" s="58" t="s">
        <v>24</v>
      </c>
      <c r="N5565" s="7">
        <v>11.333333333333334</v>
      </c>
      <c r="O5565" s="7" t="s">
        <v>180</v>
      </c>
      <c r="P5565" s="7" t="s">
        <v>180</v>
      </c>
    </row>
    <row r="5566" spans="1:16" x14ac:dyDescent="0.25">
      <c r="A5566" t="s">
        <v>183</v>
      </c>
      <c r="B5566" t="s">
        <v>227</v>
      </c>
      <c r="C5566" s="7" t="s">
        <v>169</v>
      </c>
      <c r="D5566" t="s">
        <v>15</v>
      </c>
      <c r="F5566" s="35">
        <v>5.4149169609489114</v>
      </c>
      <c r="G5566" s="35">
        <v>126.07282703915747</v>
      </c>
      <c r="H5566" s="35">
        <v>-6.2356419328235893</v>
      </c>
      <c r="I5566" s="35">
        <v>0.60313044660967541</v>
      </c>
      <c r="J5566" s="35">
        <v>-2.2144833247202421E-5</v>
      </c>
      <c r="K5566" s="35">
        <v>3.501277044115009</v>
      </c>
      <c r="L5566" s="35">
        <v>12.516284712104376</v>
      </c>
      <c r="M5566" s="58" t="s">
        <v>24</v>
      </c>
      <c r="N5566" s="7">
        <v>11.333333333333334</v>
      </c>
      <c r="O5566" s="7" t="s">
        <v>180</v>
      </c>
      <c r="P5566" s="7" t="s">
        <v>180</v>
      </c>
    </row>
    <row r="5567" spans="1:16" x14ac:dyDescent="0.25">
      <c r="A5567" t="s">
        <v>183</v>
      </c>
      <c r="B5567" t="s">
        <v>227</v>
      </c>
      <c r="C5567" s="7" t="s">
        <v>169</v>
      </c>
      <c r="D5567" t="s">
        <v>15</v>
      </c>
      <c r="F5567" s="35">
        <v>10.829833921897823</v>
      </c>
      <c r="G5567" s="35">
        <v>128.65223789527298</v>
      </c>
      <c r="H5567" s="35">
        <v>-6.2356419328235893</v>
      </c>
      <c r="I5567" s="35">
        <v>0.60313044660967541</v>
      </c>
      <c r="J5567" s="35">
        <v>-2.2144833247202421E-5</v>
      </c>
      <c r="K5567" s="35">
        <v>0.23537575910358632</v>
      </c>
      <c r="L5567" s="35">
        <v>46.281767976555074</v>
      </c>
      <c r="M5567" s="58" t="s">
        <v>23</v>
      </c>
      <c r="N5567" s="7">
        <v>11.333333333333334</v>
      </c>
      <c r="O5567" s="7" t="s">
        <v>180</v>
      </c>
      <c r="P5567" s="7" t="s">
        <v>180</v>
      </c>
    </row>
    <row r="5568" spans="1:16" x14ac:dyDescent="0.25">
      <c r="A5568" t="s">
        <v>183</v>
      </c>
      <c r="B5568" t="s">
        <v>227</v>
      </c>
      <c r="C5568" s="7" t="s">
        <v>169</v>
      </c>
      <c r="D5568" t="s">
        <v>16</v>
      </c>
      <c r="F5568" s="35">
        <v>0</v>
      </c>
      <c r="G5568" s="35">
        <v>49.193824937494071</v>
      </c>
      <c r="H5568" s="35">
        <v>-2.5731030363735572</v>
      </c>
      <c r="I5568" s="35">
        <v>-3.1241151806966876</v>
      </c>
      <c r="J5568" s="35">
        <v>3.756489190910208E-6</v>
      </c>
      <c r="K5568" s="35">
        <v>-3.7414089409687197</v>
      </c>
      <c r="L5568" s="35">
        <v>-8.9260456982317606</v>
      </c>
      <c r="M5568" s="58" t="s">
        <v>22</v>
      </c>
      <c r="N5568" s="7">
        <v>11.333333333333334</v>
      </c>
      <c r="O5568" s="7" t="s">
        <v>180</v>
      </c>
      <c r="P5568" s="7" t="s">
        <v>180</v>
      </c>
    </row>
    <row r="5569" spans="1:16" x14ac:dyDescent="0.25">
      <c r="A5569" t="s">
        <v>183</v>
      </c>
      <c r="B5569" t="s">
        <v>227</v>
      </c>
      <c r="C5569" s="7" t="s">
        <v>169</v>
      </c>
      <c r="D5569" t="s">
        <v>16</v>
      </c>
      <c r="F5569" s="35">
        <v>0.29999999999999988</v>
      </c>
      <c r="G5569" s="35">
        <v>49.336730777494076</v>
      </c>
      <c r="H5569" s="35">
        <v>-2.5731030363735572</v>
      </c>
      <c r="I5569" s="35">
        <v>-3.1241151806966876</v>
      </c>
      <c r="J5569" s="35">
        <v>3.756489190910208E-6</v>
      </c>
      <c r="K5569" s="35">
        <v>-2.8041743867597138</v>
      </c>
      <c r="L5569" s="35">
        <v>-8.154114787319692</v>
      </c>
      <c r="M5569" s="58" t="s">
        <v>22</v>
      </c>
      <c r="N5569" s="7">
        <v>11.333333333333334</v>
      </c>
      <c r="O5569" s="7" t="s">
        <v>180</v>
      </c>
      <c r="P5569" s="7" t="s">
        <v>180</v>
      </c>
    </row>
    <row r="5570" spans="1:16" x14ac:dyDescent="0.25">
      <c r="A5570" t="s">
        <v>183</v>
      </c>
      <c r="B5570" t="s">
        <v>227</v>
      </c>
      <c r="C5570" s="7" t="s">
        <v>169</v>
      </c>
      <c r="D5570" t="s">
        <v>16</v>
      </c>
      <c r="F5570" s="35">
        <v>0.29999999999999988</v>
      </c>
      <c r="G5570" s="35">
        <v>12.98913070895723</v>
      </c>
      <c r="H5570" s="35">
        <v>-2.5731030363735528</v>
      </c>
      <c r="I5570" s="35">
        <v>-0.89628493055372249</v>
      </c>
      <c r="J5570" s="35">
        <v>-2.9409911764866677E-4</v>
      </c>
      <c r="K5570" s="35">
        <v>-2.8041743867597155</v>
      </c>
      <c r="L5570" s="35">
        <v>-8.1540969159832866</v>
      </c>
      <c r="M5570" s="58" t="s">
        <v>22</v>
      </c>
      <c r="N5570" s="7">
        <v>11.333333333333334</v>
      </c>
      <c r="O5570" s="7" t="s">
        <v>180</v>
      </c>
      <c r="P5570" s="7" t="s">
        <v>180</v>
      </c>
    </row>
    <row r="5571" spans="1:16" x14ac:dyDescent="0.25">
      <c r="A5571" t="s">
        <v>183</v>
      </c>
      <c r="B5571" t="s">
        <v>227</v>
      </c>
      <c r="C5571" s="7" t="s">
        <v>169</v>
      </c>
      <c r="D5571" t="s">
        <v>16</v>
      </c>
      <c r="F5571" s="35">
        <v>5.3</v>
      </c>
      <c r="G5571" s="35">
        <v>15.370894708957229</v>
      </c>
      <c r="H5571" s="35">
        <v>-2.5731030363735528</v>
      </c>
      <c r="I5571" s="35">
        <v>-0.89628493055372249</v>
      </c>
      <c r="J5571" s="35">
        <v>-2.9409911764866677E-4</v>
      </c>
      <c r="K5571" s="35">
        <v>1.677250266008897</v>
      </c>
      <c r="L5571" s="35">
        <v>4.7114182658844763</v>
      </c>
      <c r="M5571" s="58" t="s">
        <v>24</v>
      </c>
      <c r="N5571" s="7">
        <v>11.333333333333334</v>
      </c>
      <c r="O5571" s="7" t="s">
        <v>180</v>
      </c>
      <c r="P5571" s="7" t="s">
        <v>180</v>
      </c>
    </row>
    <row r="5572" spans="1:16" x14ac:dyDescent="0.25">
      <c r="A5572" t="s">
        <v>183</v>
      </c>
      <c r="B5572" t="s">
        <v>227</v>
      </c>
      <c r="C5572" s="7" t="s">
        <v>169</v>
      </c>
      <c r="D5572" t="s">
        <v>16</v>
      </c>
      <c r="F5572" s="35">
        <v>5.3</v>
      </c>
      <c r="G5572" s="35">
        <v>47.516389327312744</v>
      </c>
      <c r="H5572" s="35">
        <v>-2.5731953786374961</v>
      </c>
      <c r="I5572" s="35">
        <v>0.28931045423314855</v>
      </c>
      <c r="J5572" s="35">
        <v>-2.3795661544203023E-4</v>
      </c>
      <c r="K5572" s="35">
        <v>1.6772502660088966</v>
      </c>
      <c r="L5572" s="35">
        <v>4.7110699334527721</v>
      </c>
      <c r="M5572" s="58" t="s">
        <v>24</v>
      </c>
      <c r="N5572" s="7">
        <v>11.333333333333334</v>
      </c>
      <c r="O5572" s="7" t="s">
        <v>180</v>
      </c>
      <c r="P5572" s="7" t="s">
        <v>180</v>
      </c>
    </row>
    <row r="5573" spans="1:16" x14ac:dyDescent="0.25">
      <c r="A5573" t="s">
        <v>183</v>
      </c>
      <c r="B5573" t="s">
        <v>227</v>
      </c>
      <c r="C5573" s="7" t="s">
        <v>169</v>
      </c>
      <c r="D5573" t="s">
        <v>16</v>
      </c>
      <c r="F5573" s="35">
        <v>5.4149169609489114</v>
      </c>
      <c r="G5573" s="35">
        <v>47.571130343428251</v>
      </c>
      <c r="H5573" s="35">
        <v>-2.5731953786374961</v>
      </c>
      <c r="I5573" s="35">
        <v>0.28931045423314855</v>
      </c>
      <c r="J5573" s="35">
        <v>-2.3795661544203023E-4</v>
      </c>
      <c r="K5573" s="35">
        <v>1.644003587837674</v>
      </c>
      <c r="L5573" s="35">
        <v>5.0067737262935754</v>
      </c>
      <c r="M5573" s="58" t="s">
        <v>24</v>
      </c>
      <c r="N5573" s="7">
        <v>11.333333333333334</v>
      </c>
      <c r="O5573" s="7" t="s">
        <v>180</v>
      </c>
      <c r="P5573" s="7" t="s">
        <v>180</v>
      </c>
    </row>
    <row r="5574" spans="1:16" x14ac:dyDescent="0.25">
      <c r="A5574" t="s">
        <v>183</v>
      </c>
      <c r="B5574" t="s">
        <v>227</v>
      </c>
      <c r="C5574" s="7" t="s">
        <v>169</v>
      </c>
      <c r="D5574" t="s">
        <v>16</v>
      </c>
      <c r="F5574" s="35">
        <v>10.829833921897823</v>
      </c>
      <c r="G5574" s="35">
        <v>50.150541199543753</v>
      </c>
      <c r="H5574" s="35">
        <v>-2.5731953786374961</v>
      </c>
      <c r="I5574" s="35">
        <v>0.28931045423314855</v>
      </c>
      <c r="J5574" s="35">
        <v>-2.3795661544203023E-4</v>
      </c>
      <c r="K5574" s="35">
        <v>7.7411502230764845E-2</v>
      </c>
      <c r="L5574" s="35">
        <v>18.940413025913102</v>
      </c>
      <c r="M5574" s="58" t="s">
        <v>23</v>
      </c>
      <c r="N5574" s="7">
        <v>11.333333333333334</v>
      </c>
      <c r="O5574" s="7" t="s">
        <v>180</v>
      </c>
      <c r="P5574" s="7" t="s">
        <v>180</v>
      </c>
    </row>
    <row r="5575" spans="1:16" x14ac:dyDescent="0.25">
      <c r="A5575" t="s">
        <v>183</v>
      </c>
      <c r="B5575" t="s">
        <v>227</v>
      </c>
      <c r="C5575" s="7" t="s">
        <v>169</v>
      </c>
      <c r="D5575" t="s">
        <v>106</v>
      </c>
      <c r="F5575" s="35">
        <v>0</v>
      </c>
      <c r="G5575" s="35">
        <v>186.61487434129663</v>
      </c>
      <c r="H5575" s="35">
        <v>-12.18912318260551</v>
      </c>
      <c r="I5575" s="35">
        <v>4.492867832013796</v>
      </c>
      <c r="J5575" s="35">
        <v>1.2337185536631817E-3</v>
      </c>
      <c r="K5575" s="35">
        <v>7.9012688506881013</v>
      </c>
      <c r="L5575" s="35">
        <v>-42.732146105974842</v>
      </c>
      <c r="M5575" s="58" t="s">
        <v>22</v>
      </c>
      <c r="N5575" s="7">
        <v>11.333333333333334</v>
      </c>
      <c r="O5575" s="7" t="s">
        <v>180</v>
      </c>
      <c r="P5575" s="7" t="s">
        <v>180</v>
      </c>
    </row>
    <row r="5576" spans="1:16" x14ac:dyDescent="0.25">
      <c r="A5576" t="s">
        <v>183</v>
      </c>
      <c r="B5576" t="s">
        <v>227</v>
      </c>
      <c r="C5576" s="7" t="s">
        <v>169</v>
      </c>
      <c r="D5576" t="s">
        <v>106</v>
      </c>
      <c r="F5576" s="35">
        <v>0.29999999999999988</v>
      </c>
      <c r="G5576" s="35">
        <v>186.75778018129665</v>
      </c>
      <c r="H5576" s="35">
        <v>-12.18912318260551</v>
      </c>
      <c r="I5576" s="35">
        <v>4.492867832013796</v>
      </c>
      <c r="J5576" s="35">
        <v>1.2337185536631817E-3</v>
      </c>
      <c r="K5576" s="35">
        <v>6.5534085010839629</v>
      </c>
      <c r="L5576" s="35">
        <v>-39.075409151193199</v>
      </c>
      <c r="M5576" s="58" t="s">
        <v>22</v>
      </c>
      <c r="N5576" s="7">
        <v>11.333333333333334</v>
      </c>
      <c r="O5576" s="7" t="s">
        <v>180</v>
      </c>
      <c r="P5576" s="7" t="s">
        <v>180</v>
      </c>
    </row>
    <row r="5577" spans="1:16" x14ac:dyDescent="0.25">
      <c r="A5577" t="s">
        <v>183</v>
      </c>
      <c r="B5577" t="s">
        <v>227</v>
      </c>
      <c r="C5577" s="7" t="s">
        <v>169</v>
      </c>
      <c r="D5577" t="s">
        <v>106</v>
      </c>
      <c r="F5577" s="35">
        <v>0.29999999999999988</v>
      </c>
      <c r="G5577" s="35">
        <v>226.7303930918244</v>
      </c>
      <c r="H5577" s="35">
        <v>-12.189123182605531</v>
      </c>
      <c r="I5577" s="35">
        <v>2.1414853034128938</v>
      </c>
      <c r="J5577" s="35">
        <v>-2.8088085301039984E-4</v>
      </c>
      <c r="K5577" s="35">
        <v>6.5534085010839558</v>
      </c>
      <c r="L5577" s="35">
        <v>-39.075318275228767</v>
      </c>
      <c r="M5577" s="58" t="s">
        <v>22</v>
      </c>
      <c r="N5577" s="7">
        <v>11.333333333333334</v>
      </c>
      <c r="O5577" s="7" t="s">
        <v>180</v>
      </c>
      <c r="P5577" s="7" t="s">
        <v>180</v>
      </c>
    </row>
    <row r="5578" spans="1:16" x14ac:dyDescent="0.25">
      <c r="A5578" t="s">
        <v>183</v>
      </c>
      <c r="B5578" t="s">
        <v>227</v>
      </c>
      <c r="C5578" s="7" t="s">
        <v>169</v>
      </c>
      <c r="D5578" t="s">
        <v>106</v>
      </c>
      <c r="F5578" s="35">
        <v>5.3</v>
      </c>
      <c r="G5578" s="35">
        <v>229.11215709182437</v>
      </c>
      <c r="H5578" s="35">
        <v>-12.189123182605531</v>
      </c>
      <c r="I5578" s="35">
        <v>2.1414853034128938</v>
      </c>
      <c r="J5578" s="35">
        <v>-2.8088085301039984E-4</v>
      </c>
      <c r="K5578" s="35">
        <v>-4.1540180159805118</v>
      </c>
      <c r="L5578" s="35">
        <v>21.870297637798881</v>
      </c>
      <c r="M5578" s="58" t="s">
        <v>24</v>
      </c>
      <c r="N5578" s="7">
        <v>11.333333333333334</v>
      </c>
      <c r="O5578" s="7" t="s">
        <v>180</v>
      </c>
      <c r="P5578" s="7" t="s">
        <v>180</v>
      </c>
    </row>
    <row r="5579" spans="1:16" x14ac:dyDescent="0.25">
      <c r="A5579" t="s">
        <v>183</v>
      </c>
      <c r="B5579" t="s">
        <v>227</v>
      </c>
      <c r="C5579" s="7" t="s">
        <v>169</v>
      </c>
      <c r="D5579" t="s">
        <v>106</v>
      </c>
      <c r="F5579" s="35">
        <v>5.3</v>
      </c>
      <c r="G5579" s="35">
        <v>199.70168157784843</v>
      </c>
      <c r="H5579" s="35">
        <v>-12.189554713798454</v>
      </c>
      <c r="I5579" s="35">
        <v>-0.67760730203117103</v>
      </c>
      <c r="J5579" s="35">
        <v>1.7732571420619951E-5</v>
      </c>
      <c r="K5579" s="35">
        <v>-4.1540180159805145</v>
      </c>
      <c r="L5579" s="35">
        <v>21.868374953366516</v>
      </c>
      <c r="M5579" s="58" t="s">
        <v>24</v>
      </c>
      <c r="N5579" s="7">
        <v>11.333333333333334</v>
      </c>
      <c r="O5579" s="7" t="s">
        <v>180</v>
      </c>
      <c r="P5579" s="7" t="s">
        <v>180</v>
      </c>
    </row>
    <row r="5580" spans="1:16" x14ac:dyDescent="0.25">
      <c r="A5580" t="s">
        <v>183</v>
      </c>
      <c r="B5580" t="s">
        <v>227</v>
      </c>
      <c r="C5580" s="7" t="s">
        <v>169</v>
      </c>
      <c r="D5580" t="s">
        <v>106</v>
      </c>
      <c r="F5580" s="35">
        <v>5.4149169609489114</v>
      </c>
      <c r="G5580" s="35">
        <v>199.75642259396395</v>
      </c>
      <c r="H5580" s="35">
        <v>-12.189554713798454</v>
      </c>
      <c r="I5580" s="35">
        <v>-0.67760730203117103</v>
      </c>
      <c r="J5580" s="35">
        <v>1.7732571420619951E-5</v>
      </c>
      <c r="K5580" s="35">
        <v>-4.0761494441143009</v>
      </c>
      <c r="L5580" s="35">
        <v>23.269161536396709</v>
      </c>
      <c r="M5580" s="58" t="s">
        <v>24</v>
      </c>
      <c r="N5580" s="7">
        <v>11.333333333333334</v>
      </c>
      <c r="O5580" s="7" t="s">
        <v>180</v>
      </c>
      <c r="P5580" s="7" t="s">
        <v>180</v>
      </c>
    </row>
    <row r="5581" spans="1:16" x14ac:dyDescent="0.25">
      <c r="A5581" t="s">
        <v>183</v>
      </c>
      <c r="B5581" t="s">
        <v>227</v>
      </c>
      <c r="C5581" s="7" t="s">
        <v>169</v>
      </c>
      <c r="D5581" t="s">
        <v>106</v>
      </c>
      <c r="F5581" s="35">
        <v>10.829833921897823</v>
      </c>
      <c r="G5581" s="35">
        <v>202.33583345007946</v>
      </c>
      <c r="H5581" s="35">
        <v>-12.189554713798454</v>
      </c>
      <c r="I5581" s="35">
        <v>-0.67760730203117103</v>
      </c>
      <c r="J5581" s="35">
        <v>1.7732571420619951E-5</v>
      </c>
      <c r="K5581" s="35">
        <v>-0.40696217148288288</v>
      </c>
      <c r="L5581" s="35">
        <v>89.274588102558681</v>
      </c>
      <c r="M5581" s="58" t="s">
        <v>23</v>
      </c>
      <c r="N5581" s="7">
        <v>11.333333333333334</v>
      </c>
      <c r="O5581" s="7" t="s">
        <v>180</v>
      </c>
      <c r="P5581" s="7" t="s">
        <v>180</v>
      </c>
    </row>
    <row r="5582" spans="1:16" x14ac:dyDescent="0.25">
      <c r="A5582" t="s">
        <v>183</v>
      </c>
      <c r="B5582" t="s">
        <v>227</v>
      </c>
      <c r="C5582" s="7" t="s">
        <v>169</v>
      </c>
      <c r="D5582" t="s">
        <v>107</v>
      </c>
      <c r="F5582" s="35">
        <v>0</v>
      </c>
      <c r="G5582" s="35">
        <v>104.38391050928433</v>
      </c>
      <c r="H5582" s="35">
        <v>-8.47851773375824</v>
      </c>
      <c r="I5582" s="35">
        <v>8.3271975297834384</v>
      </c>
      <c r="J5582" s="35">
        <v>7.1965844932404192E-4</v>
      </c>
      <c r="K5582" s="35">
        <v>11.986327139774767</v>
      </c>
      <c r="L5582" s="35">
        <v>-30.224352028998482</v>
      </c>
      <c r="M5582" s="58" t="s">
        <v>22</v>
      </c>
      <c r="N5582" s="7">
        <v>11.333333333333334</v>
      </c>
      <c r="O5582" s="7" t="s">
        <v>180</v>
      </c>
      <c r="P5582" s="7" t="s">
        <v>180</v>
      </c>
    </row>
    <row r="5583" spans="1:16" x14ac:dyDescent="0.25">
      <c r="A5583" t="s">
        <v>183</v>
      </c>
      <c r="B5583" t="s">
        <v>227</v>
      </c>
      <c r="C5583" s="7" t="s">
        <v>169</v>
      </c>
      <c r="D5583" t="s">
        <v>107</v>
      </c>
      <c r="F5583" s="35">
        <v>0.29999999999999988</v>
      </c>
      <c r="G5583" s="35">
        <v>104.52681634928435</v>
      </c>
      <c r="H5583" s="35">
        <v>-8.47851773375824</v>
      </c>
      <c r="I5583" s="35">
        <v>8.3271975297834384</v>
      </c>
      <c r="J5583" s="35">
        <v>7.1965844932404192E-4</v>
      </c>
      <c r="K5583" s="35">
        <v>9.4881678808397361</v>
      </c>
      <c r="L5583" s="35">
        <v>-27.680796708871007</v>
      </c>
      <c r="M5583" s="58" t="s">
        <v>22</v>
      </c>
      <c r="N5583" s="7">
        <v>11.333333333333334</v>
      </c>
      <c r="O5583" s="7" t="s">
        <v>180</v>
      </c>
      <c r="P5583" s="7" t="s">
        <v>180</v>
      </c>
    </row>
    <row r="5584" spans="1:16" x14ac:dyDescent="0.25">
      <c r="A5584" t="s">
        <v>183</v>
      </c>
      <c r="B5584" t="s">
        <v>227</v>
      </c>
      <c r="C5584" s="7" t="s">
        <v>169</v>
      </c>
      <c r="D5584" t="s">
        <v>107</v>
      </c>
      <c r="F5584" s="35">
        <v>0.29999999999999988</v>
      </c>
      <c r="G5584" s="35">
        <v>192.3156311413413</v>
      </c>
      <c r="H5584" s="35">
        <v>-8.47851773375824</v>
      </c>
      <c r="I5584" s="35">
        <v>3.1068428882908363</v>
      </c>
      <c r="J5584" s="35">
        <v>-3.9197260113759856E-4</v>
      </c>
      <c r="K5584" s="35">
        <v>9.4881678808397183</v>
      </c>
      <c r="L5584" s="35">
        <v>-27.680730011007977</v>
      </c>
      <c r="M5584" s="58" t="s">
        <v>22</v>
      </c>
      <c r="N5584" s="7">
        <v>11.333333333333334</v>
      </c>
      <c r="O5584" s="7" t="s">
        <v>180</v>
      </c>
      <c r="P5584" s="7" t="s">
        <v>180</v>
      </c>
    </row>
    <row r="5585" spans="1:16" x14ac:dyDescent="0.25">
      <c r="A5585" t="s">
        <v>183</v>
      </c>
      <c r="B5585" t="s">
        <v>227</v>
      </c>
      <c r="C5585" s="7" t="s">
        <v>169</v>
      </c>
      <c r="D5585" t="s">
        <v>107</v>
      </c>
      <c r="F5585" s="35">
        <v>5.3</v>
      </c>
      <c r="G5585" s="35">
        <v>194.6973951413413</v>
      </c>
      <c r="H5585" s="35">
        <v>-8.47851773375824</v>
      </c>
      <c r="I5585" s="35">
        <v>3.1068428882908363</v>
      </c>
      <c r="J5585" s="35">
        <v>-3.9197260113759856E-4</v>
      </c>
      <c r="K5585" s="35">
        <v>-6.0460465606144629</v>
      </c>
      <c r="L5585" s="35">
        <v>14.71185865778321</v>
      </c>
      <c r="M5585" s="58" t="s">
        <v>24</v>
      </c>
      <c r="N5585" s="7">
        <v>11.333333333333334</v>
      </c>
      <c r="O5585" s="7" t="s">
        <v>180</v>
      </c>
      <c r="P5585" s="7" t="s">
        <v>180</v>
      </c>
    </row>
    <row r="5586" spans="1:16" x14ac:dyDescent="0.25">
      <c r="A5586" t="s">
        <v>183</v>
      </c>
      <c r="B5586" t="s">
        <v>227</v>
      </c>
      <c r="C5586" s="7" t="s">
        <v>169</v>
      </c>
      <c r="D5586" t="s">
        <v>107</v>
      </c>
      <c r="F5586" s="35">
        <v>5.3</v>
      </c>
      <c r="G5586" s="35">
        <v>121.14915765259182</v>
      </c>
      <c r="H5586" s="35">
        <v>-8.4788300286532028</v>
      </c>
      <c r="I5586" s="35">
        <v>-0.99121108394135315</v>
      </c>
      <c r="J5586" s="35">
        <v>-1.9921092906229738E-4</v>
      </c>
      <c r="K5586" s="35">
        <v>-6.0460465606144664</v>
      </c>
      <c r="L5586" s="35">
        <v>14.710454494849175</v>
      </c>
      <c r="M5586" s="58" t="s">
        <v>24</v>
      </c>
      <c r="N5586" s="7">
        <v>11.333333333333334</v>
      </c>
      <c r="O5586" s="7" t="s">
        <v>180</v>
      </c>
      <c r="P5586" s="7" t="s">
        <v>180</v>
      </c>
    </row>
    <row r="5587" spans="1:16" x14ac:dyDescent="0.25">
      <c r="A5587" t="s">
        <v>183</v>
      </c>
      <c r="B5587" t="s">
        <v>227</v>
      </c>
      <c r="C5587" s="7" t="s">
        <v>169</v>
      </c>
      <c r="D5587" t="s">
        <v>107</v>
      </c>
      <c r="F5587" s="35">
        <v>5.4149169609489114</v>
      </c>
      <c r="G5587" s="35">
        <v>121.20389866870734</v>
      </c>
      <c r="H5587" s="35">
        <v>-8.4788300286532028</v>
      </c>
      <c r="I5587" s="35">
        <v>-0.99121108394135315</v>
      </c>
      <c r="J5587" s="35">
        <v>-1.9921092906229738E-4</v>
      </c>
      <c r="K5587" s="35">
        <v>-5.9321395951890494</v>
      </c>
      <c r="L5587" s="35">
        <v>15.684815874144373</v>
      </c>
      <c r="M5587" s="58" t="s">
        <v>24</v>
      </c>
      <c r="N5587" s="7">
        <v>11.333333333333334</v>
      </c>
      <c r="O5587" s="7" t="s">
        <v>180</v>
      </c>
      <c r="P5587" s="7" t="s">
        <v>180</v>
      </c>
    </row>
    <row r="5588" spans="1:16" x14ac:dyDescent="0.25">
      <c r="A5588" t="s">
        <v>183</v>
      </c>
      <c r="B5588" t="s">
        <v>227</v>
      </c>
      <c r="C5588" s="7" t="s">
        <v>169</v>
      </c>
      <c r="D5588" t="s">
        <v>107</v>
      </c>
      <c r="F5588" s="35">
        <v>10.829833921897823</v>
      </c>
      <c r="G5588" s="35">
        <v>123.78330952482284</v>
      </c>
      <c r="H5588" s="35">
        <v>-8.4788300286532028</v>
      </c>
      <c r="I5588" s="35">
        <v>-0.99121108394135315</v>
      </c>
      <c r="J5588" s="35">
        <v>-1.9921092906229738E-4</v>
      </c>
      <c r="K5588" s="35">
        <v>-0.56481388487446249</v>
      </c>
      <c r="L5588" s="35">
        <v>61.59697640530154</v>
      </c>
      <c r="M5588" s="58" t="s">
        <v>23</v>
      </c>
      <c r="N5588" s="7">
        <v>11.333333333333334</v>
      </c>
      <c r="O5588" s="7" t="s">
        <v>180</v>
      </c>
      <c r="P5588" s="7" t="s">
        <v>180</v>
      </c>
    </row>
    <row r="5589" spans="1:16" x14ac:dyDescent="0.25">
      <c r="A5589" t="s">
        <v>183</v>
      </c>
      <c r="B5589" t="s">
        <v>227</v>
      </c>
      <c r="C5589" s="7" t="s">
        <v>169</v>
      </c>
      <c r="D5589" t="s">
        <v>108</v>
      </c>
      <c r="F5589" s="35">
        <v>0</v>
      </c>
      <c r="G5589" s="35">
        <v>122.33754218887651</v>
      </c>
      <c r="H5589" s="35">
        <v>-0.97659149325287575</v>
      </c>
      <c r="I5589" s="35">
        <v>-8.5793830446584778</v>
      </c>
      <c r="J5589" s="35">
        <v>1.1190087339183281E-3</v>
      </c>
      <c r="K5589" s="35">
        <v>-10.124658967707754</v>
      </c>
      <c r="L5589" s="35">
        <v>13.428898987604681</v>
      </c>
      <c r="M5589" s="58" t="s">
        <v>22</v>
      </c>
      <c r="N5589" s="7">
        <v>11.333333333333334</v>
      </c>
      <c r="O5589" s="7" t="s">
        <v>180</v>
      </c>
      <c r="P5589" s="7" t="s">
        <v>180</v>
      </c>
    </row>
    <row r="5590" spans="1:16" x14ac:dyDescent="0.25">
      <c r="A5590" t="s">
        <v>183</v>
      </c>
      <c r="B5590" t="s">
        <v>227</v>
      </c>
      <c r="C5590" s="7" t="s">
        <v>169</v>
      </c>
      <c r="D5590" t="s">
        <v>108</v>
      </c>
      <c r="F5590" s="35">
        <v>0.29999999999999988</v>
      </c>
      <c r="G5590" s="35">
        <v>122.48044802887652</v>
      </c>
      <c r="H5590" s="35">
        <v>-0.97659149325287575</v>
      </c>
      <c r="I5590" s="35">
        <v>-8.5793830446584778</v>
      </c>
      <c r="J5590" s="35">
        <v>1.1190087339183281E-3</v>
      </c>
      <c r="K5590" s="35">
        <v>-7.5508440543102138</v>
      </c>
      <c r="L5590" s="35">
        <v>13.721876435580544</v>
      </c>
      <c r="M5590" s="58" t="s">
        <v>22</v>
      </c>
      <c r="N5590" s="7">
        <v>11.333333333333334</v>
      </c>
      <c r="O5590" s="7" t="s">
        <v>180</v>
      </c>
      <c r="P5590" s="7" t="s">
        <v>180</v>
      </c>
    </row>
    <row r="5591" spans="1:16" x14ac:dyDescent="0.25">
      <c r="A5591" t="s">
        <v>183</v>
      </c>
      <c r="B5591" t="s">
        <v>227</v>
      </c>
      <c r="C5591" s="7" t="s">
        <v>169</v>
      </c>
      <c r="D5591" t="s">
        <v>108</v>
      </c>
      <c r="F5591" s="35">
        <v>0.29999999999999988</v>
      </c>
      <c r="G5591" s="35">
        <v>21.72122464187035</v>
      </c>
      <c r="H5591" s="35">
        <v>-0.97659149325287165</v>
      </c>
      <c r="I5591" s="35">
        <v>-2.4868553954073578</v>
      </c>
      <c r="J5591" s="35">
        <v>4.3071743695614846E-4</v>
      </c>
      <c r="K5591" s="35">
        <v>-7.5508440543102138</v>
      </c>
      <c r="L5591" s="35">
        <v>13.721917733058348</v>
      </c>
      <c r="M5591" s="58" t="s">
        <v>22</v>
      </c>
      <c r="N5591" s="7">
        <v>11.333333333333334</v>
      </c>
      <c r="O5591" s="7" t="s">
        <v>180</v>
      </c>
      <c r="P5591" s="7" t="s">
        <v>180</v>
      </c>
    </row>
    <row r="5592" spans="1:16" x14ac:dyDescent="0.25">
      <c r="A5592" t="s">
        <v>183</v>
      </c>
      <c r="B5592" t="s">
        <v>227</v>
      </c>
      <c r="C5592" s="7" t="s">
        <v>169</v>
      </c>
      <c r="D5592" t="s">
        <v>108</v>
      </c>
      <c r="F5592" s="35">
        <v>5.3</v>
      </c>
      <c r="G5592" s="35">
        <v>24.102988641870351</v>
      </c>
      <c r="H5592" s="35">
        <v>-0.97659149325287165</v>
      </c>
      <c r="I5592" s="35">
        <v>-2.4868553954073578</v>
      </c>
      <c r="J5592" s="35">
        <v>4.3071743695614846E-4</v>
      </c>
      <c r="K5592" s="35">
        <v>4.8834329227265743</v>
      </c>
      <c r="L5592" s="35">
        <v>18.604875199322706</v>
      </c>
      <c r="M5592" s="58" t="s">
        <v>24</v>
      </c>
      <c r="N5592" s="7">
        <v>11.333333333333334</v>
      </c>
      <c r="O5592" s="7" t="s">
        <v>180</v>
      </c>
      <c r="P5592" s="7" t="s">
        <v>180</v>
      </c>
    </row>
    <row r="5593" spans="1:16" x14ac:dyDescent="0.25">
      <c r="A5593" t="s">
        <v>183</v>
      </c>
      <c r="B5593" t="s">
        <v>227</v>
      </c>
      <c r="C5593" s="7" t="s">
        <v>169</v>
      </c>
      <c r="D5593" t="s">
        <v>108</v>
      </c>
      <c r="F5593" s="35">
        <v>5.3</v>
      </c>
      <c r="G5593" s="35">
        <v>119.63192459034146</v>
      </c>
      <c r="H5593" s="35">
        <v>-0.97687174173563285</v>
      </c>
      <c r="I5593" s="35">
        <v>0.82048033006308196</v>
      </c>
      <c r="J5593" s="35">
        <v>5.2733567151654406E-4</v>
      </c>
      <c r="K5593" s="35">
        <v>4.8834329227265831</v>
      </c>
      <c r="L5593" s="35">
        <v>18.603785658194475</v>
      </c>
      <c r="M5593" s="58" t="s">
        <v>24</v>
      </c>
      <c r="N5593" s="7">
        <v>11.333333333333334</v>
      </c>
      <c r="O5593" s="7" t="s">
        <v>180</v>
      </c>
      <c r="P5593" s="7" t="s">
        <v>180</v>
      </c>
    </row>
    <row r="5594" spans="1:16" x14ac:dyDescent="0.25">
      <c r="A5594" t="s">
        <v>183</v>
      </c>
      <c r="B5594" t="s">
        <v>227</v>
      </c>
      <c r="C5594" s="7" t="s">
        <v>169</v>
      </c>
      <c r="D5594" t="s">
        <v>108</v>
      </c>
      <c r="F5594" s="35">
        <v>5.4149169609489114</v>
      </c>
      <c r="G5594" s="35">
        <v>119.68666560645697</v>
      </c>
      <c r="H5594" s="35">
        <v>-0.97687174173563285</v>
      </c>
      <c r="I5594" s="35">
        <v>0.82048033006308196</v>
      </c>
      <c r="J5594" s="35">
        <v>5.2733567151654406E-4</v>
      </c>
      <c r="K5594" s="35">
        <v>4.7891458166773733</v>
      </c>
      <c r="L5594" s="35">
        <v>18.716044789991603</v>
      </c>
      <c r="M5594" s="58" t="s">
        <v>24</v>
      </c>
      <c r="N5594" s="7">
        <v>11.333333333333334</v>
      </c>
      <c r="O5594" s="7" t="s">
        <v>180</v>
      </c>
      <c r="P5594" s="7" t="s">
        <v>180</v>
      </c>
    </row>
    <row r="5595" spans="1:16" x14ac:dyDescent="0.25">
      <c r="A5595" t="s">
        <v>183</v>
      </c>
      <c r="B5595" t="s">
        <v>227</v>
      </c>
      <c r="C5595" s="7" t="s">
        <v>169</v>
      </c>
      <c r="D5595" t="s">
        <v>108</v>
      </c>
      <c r="F5595" s="35">
        <v>10.829833921897823</v>
      </c>
      <c r="G5595" s="35">
        <v>122.26607646257247</v>
      </c>
      <c r="H5595" s="35">
        <v>-0.97687174173563285</v>
      </c>
      <c r="I5595" s="35">
        <v>0.82048033006308196</v>
      </c>
      <c r="J5595" s="35">
        <v>5.2733567151654406E-4</v>
      </c>
      <c r="K5595" s="35">
        <v>0.3463129612938316</v>
      </c>
      <c r="L5595" s="35">
        <v>24.005724152987582</v>
      </c>
      <c r="M5595" s="58" t="s">
        <v>23</v>
      </c>
      <c r="N5595" s="7">
        <v>11.333333333333334</v>
      </c>
      <c r="O5595" s="7" t="s">
        <v>180</v>
      </c>
      <c r="P5595" s="7" t="s">
        <v>180</v>
      </c>
    </row>
    <row r="5596" spans="1:16" x14ac:dyDescent="0.25">
      <c r="A5596" t="s">
        <v>183</v>
      </c>
      <c r="B5596" t="s">
        <v>227</v>
      </c>
      <c r="C5596" s="7" t="s">
        <v>169</v>
      </c>
      <c r="D5596" t="s">
        <v>109</v>
      </c>
      <c r="F5596" s="35">
        <v>0</v>
      </c>
      <c r="G5596" s="35">
        <v>-90.050886889603007</v>
      </c>
      <c r="H5596" s="35">
        <v>14.413823426791984</v>
      </c>
      <c r="I5596" s="35">
        <v>-3.4546899204304431</v>
      </c>
      <c r="J5596" s="35">
        <v>1.9925887934746698E-4</v>
      </c>
      <c r="K5596" s="35">
        <v>-5.9147043150024716</v>
      </c>
      <c r="L5596" s="35">
        <v>85.527794366846166</v>
      </c>
      <c r="M5596" s="58" t="s">
        <v>22</v>
      </c>
      <c r="N5596" s="7">
        <v>11.333333333333334</v>
      </c>
      <c r="O5596" s="7" t="s">
        <v>180</v>
      </c>
      <c r="P5596" s="7" t="s">
        <v>180</v>
      </c>
    </row>
    <row r="5597" spans="1:16" x14ac:dyDescent="0.25">
      <c r="A5597" t="s">
        <v>183</v>
      </c>
      <c r="B5597" t="s">
        <v>227</v>
      </c>
      <c r="C5597" s="7" t="s">
        <v>169</v>
      </c>
      <c r="D5597" t="s">
        <v>109</v>
      </c>
      <c r="F5597" s="35">
        <v>0.29999999999999988</v>
      </c>
      <c r="G5597" s="35">
        <v>-89.907981049602995</v>
      </c>
      <c r="H5597" s="35">
        <v>14.413823426791984</v>
      </c>
      <c r="I5597" s="35">
        <v>-3.4546899204304431</v>
      </c>
      <c r="J5597" s="35">
        <v>1.9925887934746698E-4</v>
      </c>
      <c r="K5597" s="35">
        <v>-4.8782973388733391</v>
      </c>
      <c r="L5597" s="35">
        <v>81.203647338808565</v>
      </c>
      <c r="M5597" s="58" t="s">
        <v>22</v>
      </c>
      <c r="N5597" s="7">
        <v>11.333333333333334</v>
      </c>
      <c r="O5597" s="7" t="s">
        <v>180</v>
      </c>
      <c r="P5597" s="7" t="s">
        <v>180</v>
      </c>
    </row>
    <row r="5598" spans="1:16" x14ac:dyDescent="0.25">
      <c r="A5598" t="s">
        <v>183</v>
      </c>
      <c r="B5598" t="s">
        <v>227</v>
      </c>
      <c r="C5598" s="7" t="s">
        <v>169</v>
      </c>
      <c r="D5598" t="s">
        <v>109</v>
      </c>
      <c r="F5598" s="35">
        <v>0.29999999999999988</v>
      </c>
      <c r="G5598" s="35">
        <v>-119.80290669515135</v>
      </c>
      <c r="H5598" s="35">
        <v>14.413823426791893</v>
      </c>
      <c r="I5598" s="35">
        <v>-1.6140201356667774</v>
      </c>
      <c r="J5598" s="35">
        <v>5.4935629780986518E-4</v>
      </c>
      <c r="K5598" s="35">
        <v>-4.8782973388733479</v>
      </c>
      <c r="L5598" s="35">
        <v>81.203626332963495</v>
      </c>
      <c r="M5598" s="58" t="s">
        <v>22</v>
      </c>
      <c r="N5598" s="7">
        <v>11.333333333333334</v>
      </c>
      <c r="O5598" s="7" t="s">
        <v>180</v>
      </c>
      <c r="P5598" s="7" t="s">
        <v>180</v>
      </c>
    </row>
    <row r="5599" spans="1:16" x14ac:dyDescent="0.25">
      <c r="A5599" t="s">
        <v>183</v>
      </c>
      <c r="B5599" t="s">
        <v>227</v>
      </c>
      <c r="C5599" s="7" t="s">
        <v>169</v>
      </c>
      <c r="D5599" t="s">
        <v>109</v>
      </c>
      <c r="F5599" s="35">
        <v>5.3</v>
      </c>
      <c r="G5599" s="35">
        <v>-117.42114269515133</v>
      </c>
      <c r="H5599" s="35">
        <v>14.413823426791893</v>
      </c>
      <c r="I5599" s="35">
        <v>-1.6140201356667774</v>
      </c>
      <c r="J5599" s="35">
        <v>5.4935629780986518E-4</v>
      </c>
      <c r="K5599" s="35">
        <v>3.1918033394605398</v>
      </c>
      <c r="L5599" s="35">
        <v>9.1345091990040199</v>
      </c>
      <c r="M5599" s="58" t="s">
        <v>24</v>
      </c>
      <c r="N5599" s="7">
        <v>11.333333333333334</v>
      </c>
      <c r="O5599" s="7" t="s">
        <v>180</v>
      </c>
      <c r="P5599" s="7" t="s">
        <v>180</v>
      </c>
    </row>
    <row r="5600" spans="1:16" x14ac:dyDescent="0.25">
      <c r="A5600" t="s">
        <v>183</v>
      </c>
      <c r="B5600" t="s">
        <v>227</v>
      </c>
      <c r="C5600" s="7" t="s">
        <v>169</v>
      </c>
      <c r="D5600" t="s">
        <v>109</v>
      </c>
      <c r="F5600" s="35">
        <v>5.3</v>
      </c>
      <c r="G5600" s="35">
        <v>-87.387206402723592</v>
      </c>
      <c r="H5600" s="35">
        <v>14.413770790004314</v>
      </c>
      <c r="I5600" s="35">
        <v>0.53995973550730869</v>
      </c>
      <c r="J5600" s="35">
        <v>3.1321390991767751E-4</v>
      </c>
      <c r="K5600" s="35">
        <v>3.1918033394605425</v>
      </c>
      <c r="L5600" s="35">
        <v>9.1344255326069881</v>
      </c>
      <c r="M5600" s="58" t="s">
        <v>24</v>
      </c>
      <c r="N5600" s="7">
        <v>11.333333333333334</v>
      </c>
      <c r="O5600" s="7" t="s">
        <v>180</v>
      </c>
      <c r="P5600" s="7" t="s">
        <v>180</v>
      </c>
    </row>
    <row r="5601" spans="1:16" x14ac:dyDescent="0.25">
      <c r="A5601" t="s">
        <v>183</v>
      </c>
      <c r="B5601" t="s">
        <v>227</v>
      </c>
      <c r="C5601" s="7" t="s">
        <v>169</v>
      </c>
      <c r="D5601" t="s">
        <v>109</v>
      </c>
      <c r="F5601" s="35">
        <v>5.4149169609489114</v>
      </c>
      <c r="G5601" s="35">
        <v>-87.332465386608078</v>
      </c>
      <c r="H5601" s="35">
        <v>14.413770790004314</v>
      </c>
      <c r="I5601" s="35">
        <v>0.53995973550730869</v>
      </c>
      <c r="J5601" s="35">
        <v>3.1321390991767751E-4</v>
      </c>
      <c r="K5601" s="35">
        <v>3.1297528076212648</v>
      </c>
      <c r="L5601" s="35">
        <v>7.4780387976055032</v>
      </c>
      <c r="M5601" s="58" t="s">
        <v>24</v>
      </c>
      <c r="N5601" s="7">
        <v>11.333333333333334</v>
      </c>
      <c r="O5601" s="7" t="s">
        <v>180</v>
      </c>
      <c r="P5601" s="7" t="s">
        <v>180</v>
      </c>
    </row>
    <row r="5602" spans="1:16" x14ac:dyDescent="0.25">
      <c r="A5602" t="s">
        <v>183</v>
      </c>
      <c r="B5602" t="s">
        <v>227</v>
      </c>
      <c r="C5602" s="7" t="s">
        <v>169</v>
      </c>
      <c r="D5602" t="s">
        <v>109</v>
      </c>
      <c r="F5602" s="35">
        <v>10.829833921897823</v>
      </c>
      <c r="G5602" s="35">
        <v>-84.753054530492591</v>
      </c>
      <c r="H5602" s="35">
        <v>14.413770790004314</v>
      </c>
      <c r="I5602" s="35">
        <v>0.53995973550730869</v>
      </c>
      <c r="J5602" s="35">
        <v>3.1321390991767751E-4</v>
      </c>
      <c r="K5602" s="35">
        <v>0.20591567759325216</v>
      </c>
      <c r="L5602" s="35">
        <v>-70.5713331244188</v>
      </c>
      <c r="M5602" s="58" t="s">
        <v>23</v>
      </c>
      <c r="N5602" s="7">
        <v>11.333333333333334</v>
      </c>
      <c r="O5602" s="7" t="s">
        <v>180</v>
      </c>
      <c r="P5602" s="7" t="s">
        <v>180</v>
      </c>
    </row>
    <row r="5603" spans="1:16" x14ac:dyDescent="0.25">
      <c r="A5603" t="s">
        <v>183</v>
      </c>
      <c r="B5603" t="s">
        <v>227</v>
      </c>
      <c r="C5603" s="7" t="s">
        <v>169</v>
      </c>
      <c r="D5603" t="s">
        <v>110</v>
      </c>
      <c r="F5603" s="35">
        <v>0</v>
      </c>
      <c r="G5603" s="35">
        <v>123.74121574869444</v>
      </c>
      <c r="H5603" s="35">
        <v>-10.921410264336661</v>
      </c>
      <c r="I5603" s="35">
        <v>-8.5523497271066748</v>
      </c>
      <c r="J5603" s="35">
        <v>9.6646382848137029E-4</v>
      </c>
      <c r="K5603" s="35">
        <v>-10.075894648476106</v>
      </c>
      <c r="L5603" s="35">
        <v>-53.34742197048844</v>
      </c>
      <c r="M5603" s="58" t="s">
        <v>22</v>
      </c>
      <c r="N5603" s="7">
        <v>11.333333333333334</v>
      </c>
      <c r="O5603" s="7" t="s">
        <v>180</v>
      </c>
      <c r="P5603" s="7" t="s">
        <v>180</v>
      </c>
    </row>
    <row r="5604" spans="1:16" x14ac:dyDescent="0.25">
      <c r="A5604" t="s">
        <v>183</v>
      </c>
      <c r="B5604" t="s">
        <v>227</v>
      </c>
      <c r="C5604" s="7" t="s">
        <v>169</v>
      </c>
      <c r="D5604" t="s">
        <v>110</v>
      </c>
      <c r="F5604" s="35">
        <v>0.29999999999999988</v>
      </c>
      <c r="G5604" s="35">
        <v>123.88412158869444</v>
      </c>
      <c r="H5604" s="35">
        <v>-10.921410264336661</v>
      </c>
      <c r="I5604" s="35">
        <v>-8.5523497271066748</v>
      </c>
      <c r="J5604" s="35">
        <v>9.6646382848137029E-4</v>
      </c>
      <c r="K5604" s="35">
        <v>-7.5101897303441056</v>
      </c>
      <c r="L5604" s="35">
        <v>-50.070998891187436</v>
      </c>
      <c r="M5604" s="58" t="s">
        <v>22</v>
      </c>
      <c r="N5604" s="7">
        <v>11.333333333333334</v>
      </c>
      <c r="O5604" s="7" t="s">
        <v>180</v>
      </c>
      <c r="P5604" s="7" t="s">
        <v>180</v>
      </c>
    </row>
    <row r="5605" spans="1:16" x14ac:dyDescent="0.25">
      <c r="A5605" t="s">
        <v>183</v>
      </c>
      <c r="B5605" t="s">
        <v>227</v>
      </c>
      <c r="C5605" s="7" t="s">
        <v>169</v>
      </c>
      <c r="D5605" t="s">
        <v>110</v>
      </c>
      <c r="F5605" s="35">
        <v>0.29999999999999988</v>
      </c>
      <c r="G5605" s="35">
        <v>23.361404195122784</v>
      </c>
      <c r="H5605" s="35">
        <v>-10.921410264336606</v>
      </c>
      <c r="I5605" s="35">
        <v>-2.4740124374616177</v>
      </c>
      <c r="J5605" s="35">
        <v>3.3176017717216556E-4</v>
      </c>
      <c r="K5605" s="35">
        <v>-7.5101897303441127</v>
      </c>
      <c r="L5605" s="35">
        <v>-50.070960808968373</v>
      </c>
      <c r="M5605" s="58" t="s">
        <v>22</v>
      </c>
      <c r="N5605" s="7">
        <v>11.333333333333334</v>
      </c>
      <c r="O5605" s="7" t="s">
        <v>180</v>
      </c>
      <c r="P5605" s="7" t="s">
        <v>180</v>
      </c>
    </row>
    <row r="5606" spans="1:16" x14ac:dyDescent="0.25">
      <c r="A5606" t="s">
        <v>183</v>
      </c>
      <c r="B5606" t="s">
        <v>227</v>
      </c>
      <c r="C5606" s="7" t="s">
        <v>169</v>
      </c>
      <c r="D5606" t="s">
        <v>110</v>
      </c>
      <c r="F5606" s="35">
        <v>5.3</v>
      </c>
      <c r="G5606" s="35">
        <v>25.743168195122781</v>
      </c>
      <c r="H5606" s="35">
        <v>-10.921410264336606</v>
      </c>
      <c r="I5606" s="35">
        <v>-2.4740124374616177</v>
      </c>
      <c r="J5606" s="35">
        <v>3.3176017717216556E-4</v>
      </c>
      <c r="K5606" s="35">
        <v>4.8598724569639753</v>
      </c>
      <c r="L5606" s="35">
        <v>4.5360905127146438</v>
      </c>
      <c r="M5606" s="58" t="s">
        <v>24</v>
      </c>
      <c r="N5606" s="7">
        <v>11.333333333333334</v>
      </c>
      <c r="O5606" s="7" t="s">
        <v>180</v>
      </c>
      <c r="P5606" s="7" t="s">
        <v>180</v>
      </c>
    </row>
    <row r="5607" spans="1:16" x14ac:dyDescent="0.25">
      <c r="A5607" t="s">
        <v>183</v>
      </c>
      <c r="B5607" t="s">
        <v>227</v>
      </c>
      <c r="C5607" s="7" t="s">
        <v>169</v>
      </c>
      <c r="D5607" t="s">
        <v>110</v>
      </c>
      <c r="F5607" s="35">
        <v>5.3</v>
      </c>
      <c r="G5607" s="35">
        <v>121.1406894572202</v>
      </c>
      <c r="H5607" s="35">
        <v>-10.921518722253005</v>
      </c>
      <c r="I5607" s="35">
        <v>0.8165680656378913</v>
      </c>
      <c r="J5607" s="35">
        <v>5.863924392870124E-4</v>
      </c>
      <c r="K5607" s="35">
        <v>4.8598724569639815</v>
      </c>
      <c r="L5607" s="35">
        <v>4.5354588373615501</v>
      </c>
      <c r="M5607" s="58" t="s">
        <v>24</v>
      </c>
      <c r="N5607" s="7">
        <v>11.333333333333334</v>
      </c>
      <c r="O5607" s="7" t="s">
        <v>180</v>
      </c>
      <c r="P5607" s="7" t="s">
        <v>180</v>
      </c>
    </row>
    <row r="5608" spans="1:16" x14ac:dyDescent="0.25">
      <c r="A5608" t="s">
        <v>183</v>
      </c>
      <c r="B5608" t="s">
        <v>227</v>
      </c>
      <c r="C5608" s="7" t="s">
        <v>169</v>
      </c>
      <c r="D5608" t="s">
        <v>110</v>
      </c>
      <c r="F5608" s="35">
        <v>5.4149169609489114</v>
      </c>
      <c r="G5608" s="35">
        <v>121.19543047333572</v>
      </c>
      <c r="H5608" s="35">
        <v>-10.921518722253005</v>
      </c>
      <c r="I5608" s="35">
        <v>0.8165680656378913</v>
      </c>
      <c r="J5608" s="35">
        <v>5.863924392870124E-4</v>
      </c>
      <c r="K5608" s="35">
        <v>4.766034936452944</v>
      </c>
      <c r="L5608" s="35">
        <v>5.7905265778695041</v>
      </c>
      <c r="M5608" s="58" t="s">
        <v>24</v>
      </c>
      <c r="N5608" s="7">
        <v>11.333333333333334</v>
      </c>
      <c r="O5608" s="7" t="s">
        <v>180</v>
      </c>
      <c r="P5608" s="7" t="s">
        <v>180</v>
      </c>
    </row>
    <row r="5609" spans="1:16" x14ac:dyDescent="0.25">
      <c r="A5609" t="s">
        <v>183</v>
      </c>
      <c r="B5609" t="s">
        <v>227</v>
      </c>
      <c r="C5609" s="7" t="s">
        <v>169</v>
      </c>
      <c r="D5609" t="s">
        <v>110</v>
      </c>
      <c r="F5609" s="35">
        <v>10.829833921897823</v>
      </c>
      <c r="G5609" s="35">
        <v>123.77484132945122</v>
      </c>
      <c r="H5609" s="35">
        <v>-10.921518722253005</v>
      </c>
      <c r="I5609" s="35">
        <v>0.8165680656378913</v>
      </c>
      <c r="J5609" s="35">
        <v>5.863924392870124E-4</v>
      </c>
      <c r="K5609" s="35">
        <v>0.34438666806108381</v>
      </c>
      <c r="L5609" s="35">
        <v>64.92964354631836</v>
      </c>
      <c r="M5609" s="58" t="s">
        <v>23</v>
      </c>
      <c r="N5609" s="7">
        <v>11.333333333333334</v>
      </c>
      <c r="O5609" s="7" t="s">
        <v>180</v>
      </c>
      <c r="P5609" s="7" t="s">
        <v>180</v>
      </c>
    </row>
    <row r="5610" spans="1:16" x14ac:dyDescent="0.25">
      <c r="A5610" t="s">
        <v>183</v>
      </c>
      <c r="B5610" t="s">
        <v>227</v>
      </c>
      <c r="C5610" s="7" t="s">
        <v>169</v>
      </c>
      <c r="D5610" t="s">
        <v>111</v>
      </c>
      <c r="F5610" s="35">
        <v>0</v>
      </c>
      <c r="G5610" s="35">
        <v>6.6220939097365905</v>
      </c>
      <c r="H5610" s="35">
        <v>-20.544370183922325</v>
      </c>
      <c r="I5610" s="35">
        <v>-4.3274055100523077</v>
      </c>
      <c r="J5610" s="35">
        <v>1.4588986414618202E-3</v>
      </c>
      <c r="K5610" s="35">
        <v>-5.9079104741002109</v>
      </c>
      <c r="L5610" s="35">
        <v>-111.90995227392766</v>
      </c>
      <c r="M5610" s="58" t="s">
        <v>22</v>
      </c>
      <c r="N5610" s="7">
        <v>11.333333333333334</v>
      </c>
      <c r="O5610" s="7" t="s">
        <v>180</v>
      </c>
      <c r="P5610" s="7" t="s">
        <v>180</v>
      </c>
    </row>
    <row r="5611" spans="1:16" x14ac:dyDescent="0.25">
      <c r="A5611" t="s">
        <v>183</v>
      </c>
      <c r="B5611" t="s">
        <v>227</v>
      </c>
      <c r="C5611" s="7" t="s">
        <v>169</v>
      </c>
      <c r="D5611" t="s">
        <v>111</v>
      </c>
      <c r="F5611" s="35">
        <v>0.29999999999999988</v>
      </c>
      <c r="G5611" s="35">
        <v>6.7649997497365968</v>
      </c>
      <c r="H5611" s="35">
        <v>-20.544370183922325</v>
      </c>
      <c r="I5611" s="35">
        <v>-4.3274055100523077</v>
      </c>
      <c r="J5611" s="35">
        <v>1.4588986414618202E-3</v>
      </c>
      <c r="K5611" s="35">
        <v>-4.6096888210845197</v>
      </c>
      <c r="L5611" s="35">
        <v>-105.74664121875097</v>
      </c>
      <c r="M5611" s="58" t="s">
        <v>22</v>
      </c>
      <c r="N5611" s="7">
        <v>11.333333333333334</v>
      </c>
      <c r="O5611" s="7" t="s">
        <v>180</v>
      </c>
      <c r="P5611" s="7" t="s">
        <v>180</v>
      </c>
    </row>
    <row r="5612" spans="1:16" x14ac:dyDescent="0.25">
      <c r="A5612" t="s">
        <v>183</v>
      </c>
      <c r="B5612" t="s">
        <v>227</v>
      </c>
      <c r="C5612" s="7" t="s">
        <v>169</v>
      </c>
      <c r="D5612" t="s">
        <v>111</v>
      </c>
      <c r="F5612" s="35">
        <v>0.29999999999999988</v>
      </c>
      <c r="G5612" s="35">
        <v>-39.201285605793942</v>
      </c>
      <c r="H5612" s="35">
        <v>-20.544370183922169</v>
      </c>
      <c r="I5612" s="35">
        <v>-1.5224541426897122</v>
      </c>
      <c r="J5612" s="35">
        <v>1.4534606652213836E-4</v>
      </c>
      <c r="K5612" s="35">
        <v>-4.609688821084525</v>
      </c>
      <c r="L5612" s="35">
        <v>-105.74656240559653</v>
      </c>
      <c r="M5612" s="58" t="s">
        <v>22</v>
      </c>
      <c r="N5612" s="7">
        <v>11.333333333333334</v>
      </c>
      <c r="O5612" s="7" t="s">
        <v>180</v>
      </c>
      <c r="P5612" s="7" t="s">
        <v>180</v>
      </c>
    </row>
    <row r="5613" spans="1:16" x14ac:dyDescent="0.25">
      <c r="A5613" t="s">
        <v>183</v>
      </c>
      <c r="B5613" t="s">
        <v>227</v>
      </c>
      <c r="C5613" s="7" t="s">
        <v>169</v>
      </c>
      <c r="D5613" t="s">
        <v>111</v>
      </c>
      <c r="F5613" s="35">
        <v>5.3</v>
      </c>
      <c r="G5613" s="35">
        <v>-36.819521605793938</v>
      </c>
      <c r="H5613" s="35">
        <v>-20.544370183922169</v>
      </c>
      <c r="I5613" s="35">
        <v>-1.5224541426897122</v>
      </c>
      <c r="J5613" s="35">
        <v>1.4534606652213836E-4</v>
      </c>
      <c r="K5613" s="35">
        <v>3.0025818923640375</v>
      </c>
      <c r="L5613" s="35">
        <v>-3.0247114859856903</v>
      </c>
      <c r="M5613" s="58" t="s">
        <v>24</v>
      </c>
      <c r="N5613" s="7">
        <v>11.333333333333334</v>
      </c>
      <c r="O5613" s="7" t="s">
        <v>180</v>
      </c>
      <c r="P5613" s="7" t="s">
        <v>180</v>
      </c>
    </row>
    <row r="5614" spans="1:16" x14ac:dyDescent="0.25">
      <c r="A5614" t="s">
        <v>183</v>
      </c>
      <c r="B5614" t="s">
        <v>227</v>
      </c>
      <c r="C5614" s="7" t="s">
        <v>169</v>
      </c>
      <c r="D5614" t="s">
        <v>111</v>
      </c>
      <c r="F5614" s="35">
        <v>5.3</v>
      </c>
      <c r="G5614" s="35">
        <v>8.281864519321875</v>
      </c>
      <c r="H5614" s="35">
        <v>-20.544506083246386</v>
      </c>
      <c r="I5614" s="35">
        <v>0.50861975421376526</v>
      </c>
      <c r="J5614" s="35">
        <v>5.4867346214184851E-4</v>
      </c>
      <c r="K5614" s="35">
        <v>3.0025818923640406</v>
      </c>
      <c r="L5614" s="35">
        <v>-3.0260903406588322</v>
      </c>
      <c r="M5614" s="58" t="s">
        <v>24</v>
      </c>
      <c r="N5614" s="7">
        <v>11.333333333333334</v>
      </c>
      <c r="O5614" s="7" t="s">
        <v>180</v>
      </c>
      <c r="P5614" s="7" t="s">
        <v>180</v>
      </c>
    </row>
    <row r="5615" spans="1:16" x14ac:dyDescent="0.25">
      <c r="A5615" t="s">
        <v>183</v>
      </c>
      <c r="B5615" t="s">
        <v>227</v>
      </c>
      <c r="C5615" s="7" t="s">
        <v>169</v>
      </c>
      <c r="D5615" t="s">
        <v>111</v>
      </c>
      <c r="F5615" s="35">
        <v>5.4149169609489114</v>
      </c>
      <c r="G5615" s="35">
        <v>8.3366055354373803</v>
      </c>
      <c r="H5615" s="35">
        <v>-20.544506083246386</v>
      </c>
      <c r="I5615" s="35">
        <v>0.50861975421376526</v>
      </c>
      <c r="J5615" s="35">
        <v>5.4867346214184851E-4</v>
      </c>
      <c r="K5615" s="35">
        <v>2.9441328559312128</v>
      </c>
      <c r="L5615" s="35">
        <v>-0.66517813737573361</v>
      </c>
      <c r="M5615" s="58" t="s">
        <v>24</v>
      </c>
      <c r="N5615" s="7">
        <v>11.333333333333334</v>
      </c>
      <c r="O5615" s="7" t="s">
        <v>180</v>
      </c>
      <c r="P5615" s="7" t="s">
        <v>180</v>
      </c>
    </row>
    <row r="5616" spans="1:16" x14ac:dyDescent="0.25">
      <c r="A5616" t="s">
        <v>183</v>
      </c>
      <c r="B5616" t="s">
        <v>227</v>
      </c>
      <c r="C5616" s="7" t="s">
        <v>169</v>
      </c>
      <c r="D5616" t="s">
        <v>111</v>
      </c>
      <c r="F5616" s="35">
        <v>10.829833921897823</v>
      </c>
      <c r="G5616" s="35">
        <v>10.91601639155288</v>
      </c>
      <c r="H5616" s="35">
        <v>-20.544506083246386</v>
      </c>
      <c r="I5616" s="35">
        <v>0.50861975421376526</v>
      </c>
      <c r="J5616" s="35">
        <v>5.4867346214184851E-4</v>
      </c>
      <c r="K5616" s="35">
        <v>0.18999912216542952</v>
      </c>
      <c r="L5616" s="35">
        <v>110.58161630711317</v>
      </c>
      <c r="M5616" s="58" t="s">
        <v>23</v>
      </c>
      <c r="N5616" s="7">
        <v>11.333333333333334</v>
      </c>
      <c r="O5616" s="7" t="s">
        <v>180</v>
      </c>
      <c r="P5616" s="7" t="s">
        <v>180</v>
      </c>
    </row>
    <row r="5617" spans="1:16" x14ac:dyDescent="0.25">
      <c r="A5617" t="s">
        <v>183</v>
      </c>
      <c r="B5617" t="s">
        <v>227</v>
      </c>
      <c r="C5617" s="7" t="s">
        <v>169</v>
      </c>
      <c r="D5617" t="s">
        <v>112</v>
      </c>
      <c r="F5617" s="35">
        <v>0</v>
      </c>
      <c r="G5617" s="35">
        <v>57.867351683895095</v>
      </c>
      <c r="H5617" s="35">
        <v>-3.4011528273347134</v>
      </c>
      <c r="I5617" s="35">
        <v>-5.6456935164461663</v>
      </c>
      <c r="J5617" s="35">
        <v>2.9669033536944121E-4</v>
      </c>
      <c r="K5617" s="35">
        <v>-6.9855264970755</v>
      </c>
      <c r="L5617" s="35">
        <v>-12.095938780847158</v>
      </c>
      <c r="M5617" s="58" t="s">
        <v>22</v>
      </c>
      <c r="N5617" s="7">
        <v>11.333333333333334</v>
      </c>
      <c r="O5617" s="7" t="s">
        <v>180</v>
      </c>
      <c r="P5617" s="7" t="s">
        <v>180</v>
      </c>
    </row>
    <row r="5618" spans="1:16" x14ac:dyDescent="0.25">
      <c r="A5618" t="s">
        <v>183</v>
      </c>
      <c r="B5618" t="s">
        <v>227</v>
      </c>
      <c r="C5618" s="7" t="s">
        <v>169</v>
      </c>
      <c r="D5618" t="s">
        <v>112</v>
      </c>
      <c r="F5618" s="35">
        <v>0.29999999999999988</v>
      </c>
      <c r="G5618" s="35">
        <v>58.010257523895085</v>
      </c>
      <c r="H5618" s="35">
        <v>-3.4011528273347134</v>
      </c>
      <c r="I5618" s="35">
        <v>-5.6456935164461663</v>
      </c>
      <c r="J5618" s="35">
        <v>2.9669033536944121E-4</v>
      </c>
      <c r="K5618" s="35">
        <v>-5.2918184421416505</v>
      </c>
      <c r="L5618" s="35">
        <v>-11.075592932646741</v>
      </c>
      <c r="M5618" s="58" t="s">
        <v>22</v>
      </c>
      <c r="N5618" s="7">
        <v>11.333333333333334</v>
      </c>
      <c r="O5618" s="7" t="s">
        <v>180</v>
      </c>
      <c r="P5618" s="7" t="s">
        <v>180</v>
      </c>
    </row>
    <row r="5619" spans="1:16" x14ac:dyDescent="0.25">
      <c r="A5619" t="s">
        <v>183</v>
      </c>
      <c r="B5619" t="s">
        <v>227</v>
      </c>
      <c r="C5619" s="7" t="s">
        <v>169</v>
      </c>
      <c r="D5619" t="s">
        <v>112</v>
      </c>
      <c r="F5619" s="35">
        <v>0.29999999999999988</v>
      </c>
      <c r="G5619" s="35">
        <v>-6.6352943881066011</v>
      </c>
      <c r="H5619" s="35">
        <v>-3.4011528273347063</v>
      </c>
      <c r="I5619" s="35">
        <v>-1.7199861556952876</v>
      </c>
      <c r="J5619" s="35">
        <v>-9.0886026000239027E-5</v>
      </c>
      <c r="K5619" s="35">
        <v>-5.2918184421416621</v>
      </c>
      <c r="L5619" s="35">
        <v>-11.075569678065071</v>
      </c>
      <c r="M5619" s="58" t="s">
        <v>22</v>
      </c>
      <c r="N5619" s="7">
        <v>11.333333333333334</v>
      </c>
      <c r="O5619" s="7" t="s">
        <v>180</v>
      </c>
      <c r="P5619" s="7" t="s">
        <v>180</v>
      </c>
    </row>
    <row r="5620" spans="1:16" x14ac:dyDescent="0.25">
      <c r="A5620" t="s">
        <v>183</v>
      </c>
      <c r="B5620" t="s">
        <v>227</v>
      </c>
      <c r="C5620" s="7" t="s">
        <v>169</v>
      </c>
      <c r="D5620" t="s">
        <v>112</v>
      </c>
      <c r="F5620" s="35">
        <v>5.3</v>
      </c>
      <c r="G5620" s="35">
        <v>-4.253530388106606</v>
      </c>
      <c r="H5620" s="35">
        <v>-3.4011528273347063</v>
      </c>
      <c r="I5620" s="35">
        <v>-1.7199861556952876</v>
      </c>
      <c r="J5620" s="35">
        <v>-9.0886026000239027E-5</v>
      </c>
      <c r="K5620" s="35">
        <v>3.3081123363347742</v>
      </c>
      <c r="L5620" s="35">
        <v>5.9301944586084607</v>
      </c>
      <c r="M5620" s="58" t="s">
        <v>24</v>
      </c>
      <c r="N5620" s="7">
        <v>11.333333333333334</v>
      </c>
      <c r="O5620" s="7" t="s">
        <v>180</v>
      </c>
      <c r="P5620" s="7" t="s">
        <v>180</v>
      </c>
    </row>
    <row r="5621" spans="1:16" x14ac:dyDescent="0.25">
      <c r="A5621" t="s">
        <v>183</v>
      </c>
      <c r="B5621" t="s">
        <v>227</v>
      </c>
      <c r="C5621" s="7" t="s">
        <v>169</v>
      </c>
      <c r="D5621" t="s">
        <v>112</v>
      </c>
      <c r="F5621" s="35">
        <v>5.3</v>
      </c>
      <c r="G5621" s="35">
        <v>54.375355474558155</v>
      </c>
      <c r="H5621" s="35">
        <v>-3.4012634083736297</v>
      </c>
      <c r="I5621" s="35">
        <v>0.55955550459778225</v>
      </c>
      <c r="J5621" s="35">
        <v>-3.7082822170577777E-6</v>
      </c>
      <c r="K5621" s="35">
        <v>3.3081123363347738</v>
      </c>
      <c r="L5621" s="35">
        <v>5.9297007845253598</v>
      </c>
      <c r="M5621" s="58" t="s">
        <v>24</v>
      </c>
      <c r="N5621" s="7">
        <v>11.333333333333334</v>
      </c>
      <c r="O5621" s="7" t="s">
        <v>180</v>
      </c>
      <c r="P5621" s="7" t="s">
        <v>180</v>
      </c>
    </row>
    <row r="5622" spans="1:16" x14ac:dyDescent="0.25">
      <c r="A5622" t="s">
        <v>183</v>
      </c>
      <c r="B5622" t="s">
        <v>227</v>
      </c>
      <c r="C5622" s="7" t="s">
        <v>169</v>
      </c>
      <c r="D5622" t="s">
        <v>112</v>
      </c>
      <c r="F5622" s="35">
        <v>5.4149169609489114</v>
      </c>
      <c r="G5622" s="35">
        <v>54.430096490673655</v>
      </c>
      <c r="H5622" s="35">
        <v>-3.4012634083736297</v>
      </c>
      <c r="I5622" s="35">
        <v>0.55955550459778225</v>
      </c>
      <c r="J5622" s="35">
        <v>-3.7082822170577777E-6</v>
      </c>
      <c r="K5622" s="35">
        <v>3.2438099182641622</v>
      </c>
      <c r="L5622" s="35">
        <v>6.3205636388023931</v>
      </c>
      <c r="M5622" s="58" t="s">
        <v>24</v>
      </c>
      <c r="N5622" s="7">
        <v>11.333333333333334</v>
      </c>
      <c r="O5622" s="7" t="s">
        <v>180</v>
      </c>
      <c r="P5622" s="7" t="s">
        <v>180</v>
      </c>
    </row>
    <row r="5623" spans="1:16" x14ac:dyDescent="0.25">
      <c r="A5623" t="s">
        <v>183</v>
      </c>
      <c r="B5623" t="s">
        <v>227</v>
      </c>
      <c r="C5623" s="7" t="s">
        <v>169</v>
      </c>
      <c r="D5623" t="s">
        <v>112</v>
      </c>
      <c r="F5623" s="35">
        <v>10.829833921897823</v>
      </c>
      <c r="G5623" s="35">
        <v>57.00950734678915</v>
      </c>
      <c r="H5623" s="35">
        <v>-3.4012634083736297</v>
      </c>
      <c r="I5623" s="35">
        <v>0.55955550459778225</v>
      </c>
      <c r="J5623" s="35">
        <v>-3.7082822170577777E-6</v>
      </c>
      <c r="K5623" s="35">
        <v>0.21386332582530618</v>
      </c>
      <c r="L5623" s="35">
        <v>24.738122557459654</v>
      </c>
      <c r="M5623" s="58" t="s">
        <v>23</v>
      </c>
      <c r="N5623" s="7">
        <v>11.333333333333334</v>
      </c>
      <c r="O5623" s="7" t="s">
        <v>180</v>
      </c>
      <c r="P5623" s="7" t="s">
        <v>180</v>
      </c>
    </row>
    <row r="5624" spans="1:16" x14ac:dyDescent="0.25">
      <c r="A5624" t="s">
        <v>183</v>
      </c>
      <c r="B5624" t="s">
        <v>227</v>
      </c>
      <c r="C5624" s="7" t="s">
        <v>169</v>
      </c>
      <c r="D5624" t="s">
        <v>113</v>
      </c>
      <c r="F5624" s="35">
        <v>0</v>
      </c>
      <c r="G5624" s="35">
        <v>-16.099385696824985</v>
      </c>
      <c r="H5624" s="35">
        <v>-0.10505613121787971</v>
      </c>
      <c r="I5624" s="35">
        <v>-2.193452559746806</v>
      </c>
      <c r="J5624" s="35">
        <v>-1.5763275877902464E-4</v>
      </c>
      <c r="K5624" s="35">
        <v>-3.3066196409223871</v>
      </c>
      <c r="L5624" s="35">
        <v>-1.0068316360312624</v>
      </c>
      <c r="M5624" s="58" t="s">
        <v>22</v>
      </c>
      <c r="N5624" s="7">
        <v>11.333333333333334</v>
      </c>
      <c r="O5624" s="7" t="s">
        <v>180</v>
      </c>
      <c r="P5624" s="7" t="s">
        <v>180</v>
      </c>
    </row>
    <row r="5625" spans="1:16" x14ac:dyDescent="0.25">
      <c r="A5625" t="s">
        <v>183</v>
      </c>
      <c r="B5625" t="s">
        <v>227</v>
      </c>
      <c r="C5625" s="7" t="s">
        <v>169</v>
      </c>
      <c r="D5625" t="s">
        <v>113</v>
      </c>
      <c r="F5625" s="35">
        <v>0.29999999999999988</v>
      </c>
      <c r="G5625" s="35">
        <v>-15.956479856824995</v>
      </c>
      <c r="H5625" s="35">
        <v>-0.10505613121787971</v>
      </c>
      <c r="I5625" s="35">
        <v>-2.193452559746806</v>
      </c>
      <c r="J5625" s="35">
        <v>-1.5763275877902464E-4</v>
      </c>
      <c r="K5625" s="35">
        <v>-2.648583872998346</v>
      </c>
      <c r="L5625" s="35">
        <v>-0.97531479666589738</v>
      </c>
      <c r="M5625" s="58" t="s">
        <v>22</v>
      </c>
      <c r="N5625" s="7">
        <v>11.333333333333334</v>
      </c>
      <c r="O5625" s="7" t="s">
        <v>180</v>
      </c>
      <c r="P5625" s="7" t="s">
        <v>180</v>
      </c>
    </row>
    <row r="5626" spans="1:16" x14ac:dyDescent="0.25">
      <c r="A5626" t="s">
        <v>183</v>
      </c>
      <c r="B5626" t="s">
        <v>227</v>
      </c>
      <c r="C5626" s="7" t="s">
        <v>169</v>
      </c>
      <c r="D5626" t="s">
        <v>113</v>
      </c>
      <c r="F5626" s="35">
        <v>0.29999999999999988</v>
      </c>
      <c r="G5626" s="35">
        <v>-37.555474475907538</v>
      </c>
      <c r="H5626" s="35">
        <v>-0.10505613121787971</v>
      </c>
      <c r="I5626" s="35">
        <v>-0.85053863657109841</v>
      </c>
      <c r="J5626" s="35">
        <v>-1.906079769342855E-4</v>
      </c>
      <c r="K5626" s="35">
        <v>-2.6485838729983473</v>
      </c>
      <c r="L5626" s="35">
        <v>-0.9753128181528139</v>
      </c>
      <c r="M5626" s="58" t="s">
        <v>22</v>
      </c>
      <c r="N5626" s="7">
        <v>11.333333333333334</v>
      </c>
      <c r="O5626" s="7" t="s">
        <v>180</v>
      </c>
      <c r="P5626" s="7" t="s">
        <v>180</v>
      </c>
    </row>
    <row r="5627" spans="1:16" x14ac:dyDescent="0.25">
      <c r="A5627" t="s">
        <v>183</v>
      </c>
      <c r="B5627" t="s">
        <v>227</v>
      </c>
      <c r="C5627" s="7" t="s">
        <v>169</v>
      </c>
      <c r="D5627" t="s">
        <v>113</v>
      </c>
      <c r="F5627" s="35">
        <v>5.3</v>
      </c>
      <c r="G5627" s="35">
        <v>-35.173710475907548</v>
      </c>
      <c r="H5627" s="35">
        <v>-0.10505613121787971</v>
      </c>
      <c r="I5627" s="35">
        <v>-0.85053863657109841</v>
      </c>
      <c r="J5627" s="35">
        <v>-1.906079769342855E-4</v>
      </c>
      <c r="K5627" s="35">
        <v>1.6041093098571446</v>
      </c>
      <c r="L5627" s="35">
        <v>-0.45003216206341318</v>
      </c>
      <c r="M5627" s="58" t="s">
        <v>24</v>
      </c>
      <c r="N5627" s="7">
        <v>11.333333333333334</v>
      </c>
      <c r="O5627" s="7" t="s">
        <v>180</v>
      </c>
      <c r="P5627" s="7" t="s">
        <v>180</v>
      </c>
    </row>
    <row r="5628" spans="1:16" x14ac:dyDescent="0.25">
      <c r="A5628" t="s">
        <v>183</v>
      </c>
      <c r="B5628" t="s">
        <v>227</v>
      </c>
      <c r="C5628" s="7" t="s">
        <v>169</v>
      </c>
      <c r="D5628" t="s">
        <v>113</v>
      </c>
      <c r="F5628" s="35">
        <v>5.3</v>
      </c>
      <c r="G5628" s="35">
        <v>-16.276171551598161</v>
      </c>
      <c r="H5628" s="35">
        <v>-0.10506150960614466</v>
      </c>
      <c r="I5628" s="35">
        <v>0.27711751145890795</v>
      </c>
      <c r="J5628" s="35">
        <v>-1.9793888619240284E-4</v>
      </c>
      <c r="K5628" s="35">
        <v>1.6041093098571442</v>
      </c>
      <c r="L5628" s="35">
        <v>-0.45006959782397082</v>
      </c>
      <c r="M5628" s="58" t="s">
        <v>24</v>
      </c>
      <c r="N5628" s="7">
        <v>11.333333333333334</v>
      </c>
      <c r="O5628" s="7" t="s">
        <v>180</v>
      </c>
      <c r="P5628" s="7" t="s">
        <v>180</v>
      </c>
    </row>
    <row r="5629" spans="1:16" x14ac:dyDescent="0.25">
      <c r="A5629" t="s">
        <v>183</v>
      </c>
      <c r="B5629" t="s">
        <v>227</v>
      </c>
      <c r="C5629" s="7" t="s">
        <v>169</v>
      </c>
      <c r="D5629" t="s">
        <v>113</v>
      </c>
      <c r="F5629" s="35">
        <v>5.4149169609489114</v>
      </c>
      <c r="G5629" s="35">
        <v>-16.221430535482661</v>
      </c>
      <c r="H5629" s="35">
        <v>-0.10506150960614466</v>
      </c>
      <c r="I5629" s="35">
        <v>0.27711751145890795</v>
      </c>
      <c r="J5629" s="35">
        <v>-1.9793888619240284E-4</v>
      </c>
      <c r="K5629" s="35">
        <v>1.5722638076145612</v>
      </c>
      <c r="L5629" s="35">
        <v>-0.43799624842732759</v>
      </c>
      <c r="M5629" s="58" t="s">
        <v>24</v>
      </c>
      <c r="N5629" s="7">
        <v>11.333333333333334</v>
      </c>
      <c r="O5629" s="7" t="s">
        <v>180</v>
      </c>
      <c r="P5629" s="7" t="s">
        <v>180</v>
      </c>
    </row>
    <row r="5630" spans="1:16" x14ac:dyDescent="0.25">
      <c r="A5630" t="s">
        <v>183</v>
      </c>
      <c r="B5630" t="s">
        <v>227</v>
      </c>
      <c r="C5630" s="7" t="s">
        <v>169</v>
      </c>
      <c r="D5630" t="s">
        <v>113</v>
      </c>
      <c r="F5630" s="35">
        <v>10.829833921897823</v>
      </c>
      <c r="G5630" s="35">
        <v>-13.642019679367161</v>
      </c>
      <c r="H5630" s="35">
        <v>-0.10506150960614466</v>
      </c>
      <c r="I5630" s="35">
        <v>0.27711751145890795</v>
      </c>
      <c r="J5630" s="35">
        <v>-1.9793888619240284E-4</v>
      </c>
      <c r="K5630" s="35">
        <v>7.1695494639766877E-2</v>
      </c>
      <c r="L5630" s="35">
        <v>0.130903101881884</v>
      </c>
      <c r="M5630" s="58" t="s">
        <v>23</v>
      </c>
      <c r="N5630" s="7">
        <v>11.333333333333334</v>
      </c>
      <c r="O5630" s="7" t="s">
        <v>180</v>
      </c>
      <c r="P5630" s="7" t="s">
        <v>180</v>
      </c>
    </row>
    <row r="5631" spans="1:16" x14ac:dyDescent="0.25">
      <c r="A5631" t="s">
        <v>183</v>
      </c>
      <c r="B5631" t="s">
        <v>227</v>
      </c>
      <c r="C5631" s="7" t="s">
        <v>169</v>
      </c>
      <c r="D5631" t="s">
        <v>114</v>
      </c>
      <c r="F5631" s="35">
        <v>0</v>
      </c>
      <c r="G5631" s="35">
        <v>107.57955876659733</v>
      </c>
      <c r="H5631" s="35">
        <v>-8.7594742628266378</v>
      </c>
      <c r="I5631" s="35">
        <v>4.6618321516926295</v>
      </c>
      <c r="J5631" s="35">
        <v>9.4933309924602005E-4</v>
      </c>
      <c r="K5631" s="35">
        <v>7.1717903715687523</v>
      </c>
      <c r="L5631" s="35">
        <v>-31.432322003000042</v>
      </c>
      <c r="M5631" s="58" t="s">
        <v>22</v>
      </c>
      <c r="N5631" s="7">
        <v>11.333333333333334</v>
      </c>
      <c r="O5631" s="7" t="s">
        <v>180</v>
      </c>
      <c r="P5631" s="7" t="s">
        <v>180</v>
      </c>
    </row>
    <row r="5632" spans="1:16" x14ac:dyDescent="0.25">
      <c r="A5632" t="s">
        <v>183</v>
      </c>
      <c r="B5632" t="s">
        <v>227</v>
      </c>
      <c r="C5632" s="7" t="s">
        <v>169</v>
      </c>
      <c r="D5632" t="s">
        <v>114</v>
      </c>
      <c r="F5632" s="35">
        <v>0.29999999999999988</v>
      </c>
      <c r="G5632" s="35">
        <v>107.72246460659733</v>
      </c>
      <c r="H5632" s="35">
        <v>-8.7594742628266378</v>
      </c>
      <c r="I5632" s="35">
        <v>4.6618321516926295</v>
      </c>
      <c r="J5632" s="35">
        <v>9.4933309924602005E-4</v>
      </c>
      <c r="K5632" s="35">
        <v>5.7732407260609637</v>
      </c>
      <c r="L5632" s="35">
        <v>-28.804479724152056</v>
      </c>
      <c r="M5632" s="58" t="s">
        <v>22</v>
      </c>
      <c r="N5632" s="7">
        <v>11.333333333333334</v>
      </c>
      <c r="O5632" s="7" t="s">
        <v>180</v>
      </c>
      <c r="P5632" s="7" t="s">
        <v>180</v>
      </c>
    </row>
    <row r="5633" spans="1:16" x14ac:dyDescent="0.25">
      <c r="A5633" t="s">
        <v>183</v>
      </c>
      <c r="B5633" t="s">
        <v>227</v>
      </c>
      <c r="C5633" s="7" t="s">
        <v>169</v>
      </c>
      <c r="D5633" t="s">
        <v>114</v>
      </c>
      <c r="F5633" s="35">
        <v>0.29999999999999988</v>
      </c>
      <c r="G5633" s="35">
        <v>154.81166166867288</v>
      </c>
      <c r="H5633" s="35">
        <v>-8.7594742628266591</v>
      </c>
      <c r="I5633" s="35">
        <v>1.883454573998856</v>
      </c>
      <c r="J5633" s="35">
        <v>-1.7871153875984527E-4</v>
      </c>
      <c r="K5633" s="35">
        <v>5.7732407260609575</v>
      </c>
      <c r="L5633" s="35">
        <v>-28.80441204147375</v>
      </c>
      <c r="M5633" s="58" t="s">
        <v>22</v>
      </c>
      <c r="N5633" s="7">
        <v>11.333333333333334</v>
      </c>
      <c r="O5633" s="7" t="s">
        <v>180</v>
      </c>
      <c r="P5633" s="7" t="s">
        <v>180</v>
      </c>
    </row>
    <row r="5634" spans="1:16" x14ac:dyDescent="0.25">
      <c r="A5634" t="s">
        <v>183</v>
      </c>
      <c r="B5634" t="s">
        <v>227</v>
      </c>
      <c r="C5634" s="7" t="s">
        <v>169</v>
      </c>
      <c r="D5634" t="s">
        <v>114</v>
      </c>
      <c r="F5634" s="35">
        <v>5.3</v>
      </c>
      <c r="G5634" s="35">
        <v>157.19342566867289</v>
      </c>
      <c r="H5634" s="35">
        <v>-8.7594742628266591</v>
      </c>
      <c r="I5634" s="35">
        <v>1.883454573998856</v>
      </c>
      <c r="J5634" s="35">
        <v>-1.7871153875984527E-4</v>
      </c>
      <c r="K5634" s="35">
        <v>-3.6440321439333236</v>
      </c>
      <c r="L5634" s="35">
        <v>14.992959272659551</v>
      </c>
      <c r="M5634" s="58" t="s">
        <v>24</v>
      </c>
      <c r="N5634" s="7">
        <v>11.333333333333334</v>
      </c>
      <c r="O5634" s="7" t="s">
        <v>180</v>
      </c>
      <c r="P5634" s="7" t="s">
        <v>180</v>
      </c>
    </row>
    <row r="5635" spans="1:16" x14ac:dyDescent="0.25">
      <c r="A5635" t="s">
        <v>183</v>
      </c>
      <c r="B5635" t="s">
        <v>227</v>
      </c>
      <c r="C5635" s="7" t="s">
        <v>169</v>
      </c>
      <c r="D5635" t="s">
        <v>114</v>
      </c>
      <c r="F5635" s="35">
        <v>5.3</v>
      </c>
      <c r="G5635" s="35">
        <v>120.69059147388398</v>
      </c>
      <c r="H5635" s="35">
        <v>-8.7597849112510069</v>
      </c>
      <c r="I5635" s="35">
        <v>-0.59310846917897964</v>
      </c>
      <c r="J5635" s="35">
        <v>3.2181381983982357E-5</v>
      </c>
      <c r="K5635" s="35">
        <v>-3.6440321439333259</v>
      </c>
      <c r="L5635" s="35">
        <v>14.9915049200984</v>
      </c>
      <c r="M5635" s="58" t="s">
        <v>24</v>
      </c>
      <c r="N5635" s="7">
        <v>11.333333333333334</v>
      </c>
      <c r="O5635" s="7" t="s">
        <v>180</v>
      </c>
      <c r="P5635" s="7" t="s">
        <v>180</v>
      </c>
    </row>
    <row r="5636" spans="1:16" x14ac:dyDescent="0.25">
      <c r="A5636" t="s">
        <v>183</v>
      </c>
      <c r="B5636" t="s">
        <v>227</v>
      </c>
      <c r="C5636" s="7" t="s">
        <v>169</v>
      </c>
      <c r="D5636" t="s">
        <v>114</v>
      </c>
      <c r="F5636" s="35">
        <v>5.4149169609489114</v>
      </c>
      <c r="G5636" s="35">
        <v>120.74533248999948</v>
      </c>
      <c r="H5636" s="35">
        <v>-8.7597849112510069</v>
      </c>
      <c r="I5636" s="35">
        <v>-0.59310846917897964</v>
      </c>
      <c r="J5636" s="35">
        <v>3.2181381983982357E-5</v>
      </c>
      <c r="K5636" s="35">
        <v>-3.5758739211422168</v>
      </c>
      <c r="L5636" s="35">
        <v>15.998152780665498</v>
      </c>
      <c r="M5636" s="58" t="s">
        <v>24</v>
      </c>
      <c r="N5636" s="7">
        <v>11.333333333333334</v>
      </c>
      <c r="O5636" s="7" t="s">
        <v>180</v>
      </c>
      <c r="P5636" s="7" t="s">
        <v>180</v>
      </c>
    </row>
    <row r="5637" spans="1:16" x14ac:dyDescent="0.25">
      <c r="A5637" t="s">
        <v>183</v>
      </c>
      <c r="B5637" t="s">
        <v>227</v>
      </c>
      <c r="C5637" s="7" t="s">
        <v>169</v>
      </c>
      <c r="D5637" t="s">
        <v>114</v>
      </c>
      <c r="F5637" s="35">
        <v>10.829833921897823</v>
      </c>
      <c r="G5637" s="35">
        <v>123.32474334611499</v>
      </c>
      <c r="H5637" s="35">
        <v>-8.7597849112510069</v>
      </c>
      <c r="I5637" s="35">
        <v>-0.59310846917897964</v>
      </c>
      <c r="J5637" s="35">
        <v>3.2181381983982357E-5</v>
      </c>
      <c r="K5637" s="35">
        <v>-0.36424081170251615</v>
      </c>
      <c r="L5637" s="35">
        <v>63.431660670862911</v>
      </c>
      <c r="M5637" s="58" t="s">
        <v>23</v>
      </c>
      <c r="N5637" s="7">
        <v>11.333333333333334</v>
      </c>
      <c r="O5637" s="7" t="s">
        <v>180</v>
      </c>
      <c r="P5637" s="7" t="s">
        <v>180</v>
      </c>
    </row>
    <row r="5638" spans="1:16" x14ac:dyDescent="0.25">
      <c r="A5638" t="s">
        <v>183</v>
      </c>
      <c r="B5638" t="s">
        <v>227</v>
      </c>
      <c r="C5638" s="7" t="s">
        <v>169</v>
      </c>
      <c r="D5638" t="s">
        <v>115</v>
      </c>
      <c r="F5638" s="35">
        <v>0</v>
      </c>
      <c r="G5638" s="35">
        <v>33.571691317786254</v>
      </c>
      <c r="H5638" s="35">
        <v>-5.4199293588640929</v>
      </c>
      <c r="I5638" s="35">
        <v>8.1127288796853065</v>
      </c>
      <c r="J5638" s="35">
        <v>4.8667900534079379E-4</v>
      </c>
      <c r="K5638" s="35">
        <v>10.84834283174675</v>
      </c>
      <c r="L5638" s="35">
        <v>-20.175307333721314</v>
      </c>
      <c r="M5638" s="58" t="s">
        <v>22</v>
      </c>
      <c r="N5638" s="7">
        <v>11.333333333333334</v>
      </c>
      <c r="O5638" s="7" t="s">
        <v>180</v>
      </c>
      <c r="P5638" s="7" t="s">
        <v>180</v>
      </c>
    </row>
    <row r="5639" spans="1:16" x14ac:dyDescent="0.25">
      <c r="A5639" t="s">
        <v>183</v>
      </c>
      <c r="B5639" t="s">
        <v>227</v>
      </c>
      <c r="C5639" s="7" t="s">
        <v>169</v>
      </c>
      <c r="D5639" t="s">
        <v>115</v>
      </c>
      <c r="F5639" s="35">
        <v>0.29999999999999988</v>
      </c>
      <c r="G5639" s="35">
        <v>33.714597157786244</v>
      </c>
      <c r="H5639" s="35">
        <v>-5.4199293588640929</v>
      </c>
      <c r="I5639" s="35">
        <v>8.1127288796853065</v>
      </c>
      <c r="J5639" s="35">
        <v>4.8667900534079379E-4</v>
      </c>
      <c r="K5639" s="35">
        <v>8.4145241678411598</v>
      </c>
      <c r="L5639" s="35">
        <v>-18.549328526062084</v>
      </c>
      <c r="M5639" s="58" t="s">
        <v>22</v>
      </c>
      <c r="N5639" s="7">
        <v>11.333333333333334</v>
      </c>
      <c r="O5639" s="7" t="s">
        <v>180</v>
      </c>
      <c r="P5639" s="7" t="s">
        <v>180</v>
      </c>
    </row>
    <row r="5640" spans="1:16" x14ac:dyDescent="0.25">
      <c r="A5640" t="s">
        <v>183</v>
      </c>
      <c r="B5640" t="s">
        <v>227</v>
      </c>
      <c r="C5640" s="7" t="s">
        <v>169</v>
      </c>
      <c r="D5640" t="s">
        <v>115</v>
      </c>
      <c r="F5640" s="35">
        <v>0.29999999999999988</v>
      </c>
      <c r="G5640" s="35">
        <v>123.83837591323812</v>
      </c>
      <c r="H5640" s="35">
        <v>-5.4199293588640964</v>
      </c>
      <c r="I5640" s="35">
        <v>2.7522764003890052</v>
      </c>
      <c r="J5640" s="35">
        <v>-2.7869411207432406E-4</v>
      </c>
      <c r="K5640" s="35">
        <v>8.414524167841142</v>
      </c>
      <c r="L5640" s="35">
        <v>-18.549282603675035</v>
      </c>
      <c r="M5640" s="58" t="s">
        <v>22</v>
      </c>
      <c r="N5640" s="7">
        <v>11.333333333333334</v>
      </c>
      <c r="O5640" s="7" t="s">
        <v>180</v>
      </c>
      <c r="P5640" s="7" t="s">
        <v>180</v>
      </c>
    </row>
    <row r="5641" spans="1:16" x14ac:dyDescent="0.25">
      <c r="A5641" t="s">
        <v>183</v>
      </c>
      <c r="B5641" t="s">
        <v>227</v>
      </c>
      <c r="C5641" s="7" t="s">
        <v>169</v>
      </c>
      <c r="D5641" t="s">
        <v>115</v>
      </c>
      <c r="F5641" s="35">
        <v>5.3</v>
      </c>
      <c r="G5641" s="35">
        <v>126.22013991323813</v>
      </c>
      <c r="H5641" s="35">
        <v>-5.4199293588640964</v>
      </c>
      <c r="I5641" s="35">
        <v>2.7522764003890052</v>
      </c>
      <c r="J5641" s="35">
        <v>-2.7869411207432406E-4</v>
      </c>
      <c r="K5641" s="35">
        <v>-5.346857834103881</v>
      </c>
      <c r="L5641" s="35">
        <v>8.5503641906454462</v>
      </c>
      <c r="M5641" s="58" t="s">
        <v>24</v>
      </c>
      <c r="N5641" s="7">
        <v>11.333333333333334</v>
      </c>
      <c r="O5641" s="7" t="s">
        <v>180</v>
      </c>
      <c r="P5641" s="7" t="s">
        <v>180</v>
      </c>
    </row>
    <row r="5642" spans="1:16" x14ac:dyDescent="0.25">
      <c r="A5642" t="s">
        <v>183</v>
      </c>
      <c r="B5642" t="s">
        <v>227</v>
      </c>
      <c r="C5642" s="7" t="s">
        <v>169</v>
      </c>
      <c r="D5642" t="s">
        <v>115</v>
      </c>
      <c r="F5642" s="35">
        <v>5.3</v>
      </c>
      <c r="G5642" s="35">
        <v>49.993319941153011</v>
      </c>
      <c r="H5642" s="35">
        <v>-5.4201326946202819</v>
      </c>
      <c r="I5642" s="35">
        <v>-0.87535187289814353</v>
      </c>
      <c r="J5642" s="35">
        <v>-1.6306776845064321E-4</v>
      </c>
      <c r="K5642" s="35">
        <v>-5.3468578341038828</v>
      </c>
      <c r="L5642" s="35">
        <v>8.5493765074327932</v>
      </c>
      <c r="M5642" s="58" t="s">
        <v>24</v>
      </c>
      <c r="N5642" s="7">
        <v>11.333333333333334</v>
      </c>
      <c r="O5642" s="7" t="s">
        <v>180</v>
      </c>
      <c r="P5642" s="7" t="s">
        <v>180</v>
      </c>
    </row>
    <row r="5643" spans="1:16" x14ac:dyDescent="0.25">
      <c r="A5643" t="s">
        <v>183</v>
      </c>
      <c r="B5643" t="s">
        <v>227</v>
      </c>
      <c r="C5643" s="7" t="s">
        <v>169</v>
      </c>
      <c r="D5643" t="s">
        <v>115</v>
      </c>
      <c r="F5643" s="35">
        <v>5.4149169609489114</v>
      </c>
      <c r="G5643" s="35">
        <v>50.048060957268511</v>
      </c>
      <c r="H5643" s="35">
        <v>-5.4201326946202819</v>
      </c>
      <c r="I5643" s="35">
        <v>-0.87535187289814353</v>
      </c>
      <c r="J5643" s="35">
        <v>-1.6306776845064321E-4</v>
      </c>
      <c r="K5643" s="35">
        <v>-5.2462650571094898</v>
      </c>
      <c r="L5643" s="35">
        <v>9.1722416846383901</v>
      </c>
      <c r="M5643" s="58" t="s">
        <v>24</v>
      </c>
      <c r="N5643" s="7">
        <v>11.333333333333334</v>
      </c>
      <c r="O5643" s="7" t="s">
        <v>180</v>
      </c>
      <c r="P5643" s="7" t="s">
        <v>180</v>
      </c>
    </row>
    <row r="5644" spans="1:16" x14ac:dyDescent="0.25">
      <c r="A5644" t="s">
        <v>183</v>
      </c>
      <c r="B5644" t="s">
        <v>227</v>
      </c>
      <c r="C5644" s="7" t="s">
        <v>169</v>
      </c>
      <c r="D5644" t="s">
        <v>115</v>
      </c>
      <c r="F5644" s="35">
        <v>10.829833921897823</v>
      </c>
      <c r="G5644" s="35">
        <v>52.627471813384012</v>
      </c>
      <c r="H5644" s="35">
        <v>-5.4201326946202819</v>
      </c>
      <c r="I5644" s="35">
        <v>-0.87535187289814353</v>
      </c>
      <c r="J5644" s="35">
        <v>-1.6306776845064321E-4</v>
      </c>
      <c r="K5644" s="35">
        <v>-0.50630735375493785</v>
      </c>
      <c r="L5644" s="35">
        <v>38.521810143331471</v>
      </c>
      <c r="M5644" s="58" t="s">
        <v>23</v>
      </c>
      <c r="N5644" s="7">
        <v>11.333333333333334</v>
      </c>
      <c r="O5644" s="7" t="s">
        <v>180</v>
      </c>
      <c r="P5644" s="7" t="s">
        <v>180</v>
      </c>
    </row>
    <row r="5645" spans="1:16" x14ac:dyDescent="0.25">
      <c r="A5645" t="s">
        <v>183</v>
      </c>
      <c r="B5645" t="s">
        <v>227</v>
      </c>
      <c r="C5645" s="7" t="s">
        <v>169</v>
      </c>
      <c r="D5645" t="s">
        <v>116</v>
      </c>
      <c r="F5645" s="35">
        <v>0</v>
      </c>
      <c r="G5645" s="35">
        <v>49.729959829419201</v>
      </c>
      <c r="H5645" s="35">
        <v>1.3318042575907338</v>
      </c>
      <c r="I5645" s="35">
        <v>-7.1031936373124172</v>
      </c>
      <c r="J5645" s="35">
        <v>8.4609426147565182E-4</v>
      </c>
      <c r="K5645" s="35">
        <v>-9.0515446649875209</v>
      </c>
      <c r="L5645" s="35">
        <v>19.11261858122154</v>
      </c>
      <c r="M5645" s="58" t="s">
        <v>22</v>
      </c>
      <c r="N5645" s="7">
        <v>11.333333333333334</v>
      </c>
      <c r="O5645" s="7" t="s">
        <v>180</v>
      </c>
      <c r="P5645" s="7" t="s">
        <v>180</v>
      </c>
    </row>
    <row r="5646" spans="1:16" x14ac:dyDescent="0.25">
      <c r="A5646" t="s">
        <v>183</v>
      </c>
      <c r="B5646" t="s">
        <v>227</v>
      </c>
      <c r="C5646" s="7" t="s">
        <v>169</v>
      </c>
      <c r="D5646" t="s">
        <v>116</v>
      </c>
      <c r="F5646" s="35">
        <v>0.29999999999999988</v>
      </c>
      <c r="G5646" s="35">
        <v>49.872865669419191</v>
      </c>
      <c r="H5646" s="35">
        <v>1.3318042575907338</v>
      </c>
      <c r="I5646" s="35">
        <v>-7.1031936373124172</v>
      </c>
      <c r="J5646" s="35">
        <v>8.4609426147565182E-4</v>
      </c>
      <c r="K5646" s="35">
        <v>-6.9205865737937948</v>
      </c>
      <c r="L5646" s="35">
        <v>18.713077303944313</v>
      </c>
      <c r="M5646" s="58" t="s">
        <v>22</v>
      </c>
      <c r="N5646" s="7">
        <v>11.333333333333334</v>
      </c>
      <c r="O5646" s="7" t="s">
        <v>180</v>
      </c>
      <c r="P5646" s="7" t="s">
        <v>180</v>
      </c>
    </row>
    <row r="5647" spans="1:16" x14ac:dyDescent="0.25">
      <c r="A5647" t="s">
        <v>183</v>
      </c>
      <c r="B5647" t="s">
        <v>227</v>
      </c>
      <c r="C5647" s="7" t="s">
        <v>169</v>
      </c>
      <c r="D5647" t="s">
        <v>116</v>
      </c>
      <c r="F5647" s="35">
        <v>0.29999999999999988</v>
      </c>
      <c r="G5647" s="35">
        <v>-29.696589936285733</v>
      </c>
      <c r="H5647" s="35">
        <v>1.331804257590733</v>
      </c>
      <c r="I5647" s="35">
        <v>-2.2820520549393697</v>
      </c>
      <c r="J5647" s="35">
        <v>4.6172692221004821E-4</v>
      </c>
      <c r="K5647" s="35">
        <v>-6.9205865737937948</v>
      </c>
      <c r="L5647" s="35">
        <v>18.713100365984658</v>
      </c>
      <c r="M5647" s="58" t="s">
        <v>22</v>
      </c>
      <c r="N5647" s="7">
        <v>11.333333333333334</v>
      </c>
      <c r="O5647" s="7" t="s">
        <v>180</v>
      </c>
      <c r="P5647" s="7" t="s">
        <v>180</v>
      </c>
    </row>
    <row r="5648" spans="1:16" x14ac:dyDescent="0.25">
      <c r="A5648" t="s">
        <v>183</v>
      </c>
      <c r="B5648" t="s">
        <v>227</v>
      </c>
      <c r="C5648" s="7" t="s">
        <v>169</v>
      </c>
      <c r="D5648" t="s">
        <v>116</v>
      </c>
      <c r="F5648" s="35">
        <v>5.3</v>
      </c>
      <c r="G5648" s="35">
        <v>-27.314825936285736</v>
      </c>
      <c r="H5648" s="35">
        <v>1.331804257590733</v>
      </c>
      <c r="I5648" s="35">
        <v>-2.2820520549393697</v>
      </c>
      <c r="J5648" s="35">
        <v>4.6172692221004821E-4</v>
      </c>
      <c r="K5648" s="35">
        <v>4.4896737009030527</v>
      </c>
      <c r="L5648" s="35">
        <v>12.054079078030993</v>
      </c>
      <c r="M5648" s="58" t="s">
        <v>24</v>
      </c>
      <c r="N5648" s="7">
        <v>11.333333333333334</v>
      </c>
      <c r="O5648" s="7" t="s">
        <v>180</v>
      </c>
      <c r="P5648" s="7" t="s">
        <v>180</v>
      </c>
    </row>
    <row r="5649" spans="1:16" x14ac:dyDescent="0.25">
      <c r="A5649" t="s">
        <v>183</v>
      </c>
      <c r="B5649" t="s">
        <v>227</v>
      </c>
      <c r="C5649" s="7" t="s">
        <v>169</v>
      </c>
      <c r="D5649" t="s">
        <v>116</v>
      </c>
      <c r="F5649" s="35">
        <v>5.3</v>
      </c>
      <c r="G5649" s="35">
        <v>48.627810185127679</v>
      </c>
      <c r="H5649" s="35">
        <v>1.3316297636055323</v>
      </c>
      <c r="I5649" s="35">
        <v>0.75517039970584809</v>
      </c>
      <c r="J5649" s="35">
        <v>4.9082417207031411E-4</v>
      </c>
      <c r="K5649" s="35">
        <v>4.4896737009030625</v>
      </c>
      <c r="L5649" s="35">
        <v>12.053374554443563</v>
      </c>
      <c r="M5649" s="58" t="s">
        <v>24</v>
      </c>
      <c r="N5649" s="7">
        <v>11.333333333333334</v>
      </c>
      <c r="O5649" s="7" t="s">
        <v>180</v>
      </c>
      <c r="P5649" s="7" t="s">
        <v>180</v>
      </c>
    </row>
    <row r="5650" spans="1:16" x14ac:dyDescent="0.25">
      <c r="A5650" t="s">
        <v>183</v>
      </c>
      <c r="B5650" t="s">
        <v>227</v>
      </c>
      <c r="C5650" s="7" t="s">
        <v>169</v>
      </c>
      <c r="D5650" t="s">
        <v>116</v>
      </c>
      <c r="F5650" s="35">
        <v>5.4149169609489114</v>
      </c>
      <c r="G5650" s="35">
        <v>48.682551201243179</v>
      </c>
      <c r="H5650" s="35">
        <v>1.3316297636055323</v>
      </c>
      <c r="I5650" s="35">
        <v>0.75517039970584809</v>
      </c>
      <c r="J5650" s="35">
        <v>4.9082417207031411E-4</v>
      </c>
      <c r="K5650" s="35">
        <v>4.4028918135702906</v>
      </c>
      <c r="L5650" s="35">
        <v>11.900347708900899</v>
      </c>
      <c r="M5650" s="58" t="s">
        <v>24</v>
      </c>
      <c r="N5650" s="7">
        <v>11.333333333333334</v>
      </c>
      <c r="O5650" s="7" t="s">
        <v>180</v>
      </c>
      <c r="P5650" s="7" t="s">
        <v>180</v>
      </c>
    </row>
    <row r="5651" spans="1:16" x14ac:dyDescent="0.25">
      <c r="A5651" t="s">
        <v>183</v>
      </c>
      <c r="B5651" t="s">
        <v>227</v>
      </c>
      <c r="C5651" s="7" t="s">
        <v>169</v>
      </c>
      <c r="D5651" t="s">
        <v>116</v>
      </c>
      <c r="F5651" s="35">
        <v>10.829833921897823</v>
      </c>
      <c r="G5651" s="35">
        <v>51.26196205735868</v>
      </c>
      <c r="H5651" s="35">
        <v>1.3316297636055323</v>
      </c>
      <c r="I5651" s="35">
        <v>0.75517039970584809</v>
      </c>
      <c r="J5651" s="35">
        <v>4.9082417207031411E-4</v>
      </c>
      <c r="K5651" s="35">
        <v>0.31370680779652699</v>
      </c>
      <c r="L5651" s="35">
        <v>4.6896831162489123</v>
      </c>
      <c r="M5651" s="58" t="s">
        <v>23</v>
      </c>
      <c r="N5651" s="7">
        <v>11.333333333333334</v>
      </c>
      <c r="O5651" s="7" t="s">
        <v>180</v>
      </c>
      <c r="P5651" s="7" t="s">
        <v>180</v>
      </c>
    </row>
    <row r="5652" spans="1:16" x14ac:dyDescent="0.25">
      <c r="A5652" t="s">
        <v>183</v>
      </c>
      <c r="B5652" t="s">
        <v>227</v>
      </c>
      <c r="C5652" s="7" t="s">
        <v>169</v>
      </c>
      <c r="D5652" t="s">
        <v>117</v>
      </c>
      <c r="F5652" s="35">
        <v>0</v>
      </c>
      <c r="G5652" s="35">
        <v>-141.41962634121234</v>
      </c>
      <c r="H5652" s="35">
        <v>15.183177685631108</v>
      </c>
      <c r="I5652" s="35">
        <v>-2.4909698255071859</v>
      </c>
      <c r="J5652" s="35">
        <v>1.8319392361876505E-5</v>
      </c>
      <c r="K5652" s="35">
        <v>-5.262585477552765</v>
      </c>
      <c r="L5652" s="35">
        <v>84.001624422538868</v>
      </c>
      <c r="M5652" s="58" t="s">
        <v>22</v>
      </c>
      <c r="N5652" s="7">
        <v>11.333333333333334</v>
      </c>
      <c r="O5652" s="7" t="s">
        <v>180</v>
      </c>
      <c r="P5652" s="7" t="s">
        <v>180</v>
      </c>
    </row>
    <row r="5653" spans="1:16" x14ac:dyDescent="0.25">
      <c r="A5653" t="s">
        <v>183</v>
      </c>
      <c r="B5653" t="s">
        <v>227</v>
      </c>
      <c r="C5653" s="7" t="s">
        <v>169</v>
      </c>
      <c r="D5653" t="s">
        <v>117</v>
      </c>
      <c r="F5653" s="35">
        <v>0.29999999999999988</v>
      </c>
      <c r="G5653" s="35">
        <v>-141.27672050121234</v>
      </c>
      <c r="H5653" s="35">
        <v>15.183177685631108</v>
      </c>
      <c r="I5653" s="35">
        <v>-2.4909698255071859</v>
      </c>
      <c r="J5653" s="35">
        <v>1.8319392361876505E-5</v>
      </c>
      <c r="K5653" s="35">
        <v>-4.5152945299006086</v>
      </c>
      <c r="L5653" s="35">
        <v>79.446671116849529</v>
      </c>
      <c r="M5653" s="58" t="s">
        <v>22</v>
      </c>
      <c r="N5653" s="7">
        <v>11.333333333333334</v>
      </c>
      <c r="O5653" s="7" t="s">
        <v>180</v>
      </c>
      <c r="P5653" s="7" t="s">
        <v>180</v>
      </c>
    </row>
    <row r="5654" spans="1:16" x14ac:dyDescent="0.25">
      <c r="A5654" t="s">
        <v>183</v>
      </c>
      <c r="B5654" t="s">
        <v>227</v>
      </c>
      <c r="C5654" s="7" t="s">
        <v>169</v>
      </c>
      <c r="D5654" t="s">
        <v>117</v>
      </c>
      <c r="F5654" s="35">
        <v>0.29999999999999988</v>
      </c>
      <c r="G5654" s="35">
        <v>-157.06830813960525</v>
      </c>
      <c r="H5654" s="35">
        <v>15.183177685631021</v>
      </c>
      <c r="I5654" s="35">
        <v>-1.4965003211728478</v>
      </c>
      <c r="J5654" s="35">
        <v>5.6850189697839316E-4</v>
      </c>
      <c r="K5654" s="35">
        <v>-4.5152945299006157</v>
      </c>
      <c r="L5654" s="35">
        <v>79.446638105899282</v>
      </c>
      <c r="M5654" s="58" t="s">
        <v>22</v>
      </c>
      <c r="N5654" s="7">
        <v>11.333333333333334</v>
      </c>
      <c r="O5654" s="7" t="s">
        <v>180</v>
      </c>
      <c r="P5654" s="7" t="s">
        <v>180</v>
      </c>
    </row>
    <row r="5655" spans="1:16" x14ac:dyDescent="0.25">
      <c r="A5655" t="s">
        <v>183</v>
      </c>
      <c r="B5655" t="s">
        <v>227</v>
      </c>
      <c r="C5655" s="7" t="s">
        <v>169</v>
      </c>
      <c r="D5655" t="s">
        <v>117</v>
      </c>
      <c r="F5655" s="35">
        <v>5.3</v>
      </c>
      <c r="G5655" s="35">
        <v>-154.68654413960527</v>
      </c>
      <c r="H5655" s="35">
        <v>15.183177685631021</v>
      </c>
      <c r="I5655" s="35">
        <v>-1.4965003211728478</v>
      </c>
      <c r="J5655" s="35">
        <v>5.6850189697839316E-4</v>
      </c>
      <c r="K5655" s="35">
        <v>2.9672070759636227</v>
      </c>
      <c r="L5655" s="35">
        <v>3.5307496777441765</v>
      </c>
      <c r="M5655" s="58" t="s">
        <v>24</v>
      </c>
      <c r="N5655" s="7">
        <v>11.333333333333334</v>
      </c>
      <c r="O5655" s="7" t="s">
        <v>180</v>
      </c>
      <c r="P5655" s="7" t="s">
        <v>180</v>
      </c>
    </row>
    <row r="5656" spans="1:16" x14ac:dyDescent="0.25">
      <c r="A5656" t="s">
        <v>183</v>
      </c>
      <c r="B5656" t="s">
        <v>227</v>
      </c>
      <c r="C5656" s="7" t="s">
        <v>169</v>
      </c>
      <c r="D5656" t="s">
        <v>117</v>
      </c>
      <c r="F5656" s="35">
        <v>5.3</v>
      </c>
      <c r="G5656" s="35">
        <v>-137.68940770863088</v>
      </c>
      <c r="H5656" s="35">
        <v>15.183208042171485</v>
      </c>
      <c r="I5656" s="35">
        <v>0.50270186460565203</v>
      </c>
      <c r="J5656" s="35">
        <v>2.9811458663133415E-4</v>
      </c>
      <c r="K5656" s="35">
        <v>2.9672070759636253</v>
      </c>
      <c r="L5656" s="35">
        <v>3.5309504414148245</v>
      </c>
      <c r="M5656" s="58" t="s">
        <v>24</v>
      </c>
      <c r="N5656" s="7">
        <v>11.333333333333334</v>
      </c>
      <c r="O5656" s="7" t="s">
        <v>180</v>
      </c>
      <c r="P5656" s="7" t="s">
        <v>180</v>
      </c>
    </row>
    <row r="5657" spans="1:16" x14ac:dyDescent="0.25">
      <c r="A5657" t="s">
        <v>183</v>
      </c>
      <c r="B5657" t="s">
        <v>227</v>
      </c>
      <c r="C5657" s="7" t="s">
        <v>169</v>
      </c>
      <c r="D5657" t="s">
        <v>117</v>
      </c>
      <c r="F5657" s="35">
        <v>5.4149169609489114</v>
      </c>
      <c r="G5657" s="35">
        <v>-137.63466669251537</v>
      </c>
      <c r="H5657" s="35">
        <v>15.183208042171485</v>
      </c>
      <c r="I5657" s="35">
        <v>0.50270186460565203</v>
      </c>
      <c r="J5657" s="35">
        <v>2.9811458663133415E-4</v>
      </c>
      <c r="K5657" s="35">
        <v>2.9094381054197931</v>
      </c>
      <c r="L5657" s="35">
        <v>1.7861423157534064</v>
      </c>
      <c r="M5657" s="58" t="s">
        <v>24</v>
      </c>
      <c r="N5657" s="7">
        <v>11.333333333333334</v>
      </c>
      <c r="O5657" s="7" t="s">
        <v>180</v>
      </c>
      <c r="P5657" s="7" t="s">
        <v>180</v>
      </c>
    </row>
    <row r="5658" spans="1:16" x14ac:dyDescent="0.25">
      <c r="A5658" t="s">
        <v>183</v>
      </c>
      <c r="B5658" t="s">
        <v>227</v>
      </c>
      <c r="C5658" s="7" t="s">
        <v>169</v>
      </c>
      <c r="D5658" t="s">
        <v>117</v>
      </c>
      <c r="F5658" s="35">
        <v>10.829833921897823</v>
      </c>
      <c r="G5658" s="35">
        <v>-135.05525583639985</v>
      </c>
      <c r="H5658" s="35">
        <v>15.183208042171485</v>
      </c>
      <c r="I5658" s="35">
        <v>0.50270186460565203</v>
      </c>
      <c r="J5658" s="35">
        <v>2.9811458663133415E-4</v>
      </c>
      <c r="K5658" s="35">
        <v>0.18734925246600542</v>
      </c>
      <c r="L5658" s="35">
        <v>-80.42966843341685</v>
      </c>
      <c r="M5658" s="58" t="s">
        <v>23</v>
      </c>
      <c r="N5658" s="7">
        <v>11.333333333333334</v>
      </c>
      <c r="O5658" s="7" t="s">
        <v>180</v>
      </c>
      <c r="P5658" s="7" t="s">
        <v>180</v>
      </c>
    </row>
    <row r="5659" spans="1:16" x14ac:dyDescent="0.25">
      <c r="A5659" t="s">
        <v>183</v>
      </c>
      <c r="B5659" t="s">
        <v>227</v>
      </c>
      <c r="C5659" s="7" t="s">
        <v>169</v>
      </c>
      <c r="D5659" t="s">
        <v>118</v>
      </c>
      <c r="F5659" s="35">
        <v>0</v>
      </c>
      <c r="G5659" s="35">
        <v>50.993266033255367</v>
      </c>
      <c r="H5659" s="35">
        <v>-7.618532636384673</v>
      </c>
      <c r="I5659" s="35">
        <v>-7.0788636515157934</v>
      </c>
      <c r="J5659" s="35">
        <v>7.0880384658238951E-4</v>
      </c>
      <c r="K5659" s="35">
        <v>-9.0076567776790366</v>
      </c>
      <c r="L5659" s="35">
        <v>-40.986070281062283</v>
      </c>
      <c r="M5659" s="58" t="s">
        <v>22</v>
      </c>
      <c r="N5659" s="7">
        <v>11.333333333333334</v>
      </c>
      <c r="O5659" s="7" t="s">
        <v>180</v>
      </c>
      <c r="P5659" s="7" t="s">
        <v>180</v>
      </c>
    </row>
    <row r="5660" spans="1:16" x14ac:dyDescent="0.25">
      <c r="A5660" t="s">
        <v>183</v>
      </c>
      <c r="B5660" t="s">
        <v>227</v>
      </c>
      <c r="C5660" s="7" t="s">
        <v>169</v>
      </c>
      <c r="D5660" t="s">
        <v>118</v>
      </c>
      <c r="F5660" s="35">
        <v>0.29999999999999988</v>
      </c>
      <c r="G5660" s="35">
        <v>51.136171873255364</v>
      </c>
      <c r="H5660" s="35">
        <v>-7.618532636384673</v>
      </c>
      <c r="I5660" s="35">
        <v>-7.0788636515157934</v>
      </c>
      <c r="J5660" s="35">
        <v>7.0880384658238951E-4</v>
      </c>
      <c r="K5660" s="35">
        <v>-6.8839976822242983</v>
      </c>
      <c r="L5660" s="35">
        <v>-38.700510490146883</v>
      </c>
      <c r="M5660" s="58" t="s">
        <v>22</v>
      </c>
      <c r="N5660" s="7">
        <v>11.333333333333334</v>
      </c>
      <c r="O5660" s="7" t="s">
        <v>180</v>
      </c>
      <c r="P5660" s="7" t="s">
        <v>180</v>
      </c>
    </row>
    <row r="5661" spans="1:16" x14ac:dyDescent="0.25">
      <c r="A5661" t="s">
        <v>183</v>
      </c>
      <c r="B5661" t="s">
        <v>227</v>
      </c>
      <c r="C5661" s="7" t="s">
        <v>169</v>
      </c>
      <c r="D5661" t="s">
        <v>118</v>
      </c>
      <c r="F5661" s="35">
        <v>0.29999999999999988</v>
      </c>
      <c r="G5661" s="35">
        <v>-28.220428338358545</v>
      </c>
      <c r="H5661" s="35">
        <v>-7.6185326363846277</v>
      </c>
      <c r="I5661" s="35">
        <v>-2.2704933927882038</v>
      </c>
      <c r="J5661" s="35">
        <v>3.7266538840446359E-4</v>
      </c>
      <c r="K5661" s="35">
        <v>-6.8839976822243045</v>
      </c>
      <c r="L5661" s="35">
        <v>-38.700490321839396</v>
      </c>
      <c r="M5661" s="58" t="s">
        <v>22</v>
      </c>
      <c r="N5661" s="7">
        <v>11.333333333333334</v>
      </c>
      <c r="O5661" s="7" t="s">
        <v>180</v>
      </c>
      <c r="P5661" s="7" t="s">
        <v>180</v>
      </c>
    </row>
    <row r="5662" spans="1:16" x14ac:dyDescent="0.25">
      <c r="A5662" t="s">
        <v>183</v>
      </c>
      <c r="B5662" t="s">
        <v>227</v>
      </c>
      <c r="C5662" s="7" t="s">
        <v>169</v>
      </c>
      <c r="D5662" t="s">
        <v>118</v>
      </c>
      <c r="F5662" s="35">
        <v>5.3</v>
      </c>
      <c r="G5662" s="35">
        <v>-25.838664338358548</v>
      </c>
      <c r="H5662" s="35">
        <v>-7.6185326363846277</v>
      </c>
      <c r="I5662" s="35">
        <v>-2.2704933927882038</v>
      </c>
      <c r="J5662" s="35">
        <v>3.7266538840446359E-4</v>
      </c>
      <c r="K5662" s="35">
        <v>4.4684692817167146</v>
      </c>
      <c r="L5662" s="35">
        <v>-0.60782713991626336</v>
      </c>
      <c r="M5662" s="58" t="s">
        <v>24</v>
      </c>
      <c r="N5662" s="7">
        <v>11.333333333333334</v>
      </c>
      <c r="O5662" s="7" t="s">
        <v>180</v>
      </c>
      <c r="P5662" s="7" t="s">
        <v>180</v>
      </c>
    </row>
    <row r="5663" spans="1:16" x14ac:dyDescent="0.25">
      <c r="A5663" t="s">
        <v>183</v>
      </c>
      <c r="B5663" t="s">
        <v>227</v>
      </c>
      <c r="C5663" s="7" t="s">
        <v>169</v>
      </c>
      <c r="D5663" t="s">
        <v>118</v>
      </c>
      <c r="F5663" s="35">
        <v>5.3</v>
      </c>
      <c r="G5663" s="35">
        <v>49.985698565318557</v>
      </c>
      <c r="H5663" s="35">
        <v>-7.6185525188601027</v>
      </c>
      <c r="I5663" s="35">
        <v>0.75164936172317642</v>
      </c>
      <c r="J5663" s="35">
        <v>5.4397526306373544E-4</v>
      </c>
      <c r="K5663" s="35">
        <v>4.46846928171672</v>
      </c>
      <c r="L5663" s="35">
        <v>-0.60811958430607038</v>
      </c>
      <c r="M5663" s="58" t="s">
        <v>24</v>
      </c>
      <c r="N5663" s="7">
        <v>11.333333333333334</v>
      </c>
      <c r="O5663" s="7" t="s">
        <v>180</v>
      </c>
      <c r="P5663" s="7" t="s">
        <v>180</v>
      </c>
    </row>
    <row r="5664" spans="1:16" x14ac:dyDescent="0.25">
      <c r="A5664" t="s">
        <v>183</v>
      </c>
      <c r="B5664" t="s">
        <v>227</v>
      </c>
      <c r="C5664" s="7" t="s">
        <v>169</v>
      </c>
      <c r="D5664" t="s">
        <v>118</v>
      </c>
      <c r="F5664" s="35">
        <v>5.4149169609489114</v>
      </c>
      <c r="G5664" s="35">
        <v>50.040439581434057</v>
      </c>
      <c r="H5664" s="35">
        <v>-7.6185525188601027</v>
      </c>
      <c r="I5664" s="35">
        <v>0.75164936172317642</v>
      </c>
      <c r="J5664" s="35">
        <v>5.4397526306373544E-4</v>
      </c>
      <c r="K5664" s="35">
        <v>4.3820920213683037</v>
      </c>
      <c r="L5664" s="35">
        <v>0.26738131799100706</v>
      </c>
      <c r="M5664" s="58" t="s">
        <v>24</v>
      </c>
      <c r="N5664" s="7">
        <v>11.333333333333334</v>
      </c>
      <c r="O5664" s="7" t="s">
        <v>180</v>
      </c>
      <c r="P5664" s="7" t="s">
        <v>180</v>
      </c>
    </row>
    <row r="5665" spans="1:16" x14ac:dyDescent="0.25">
      <c r="A5665" t="s">
        <v>183</v>
      </c>
      <c r="B5665" t="s">
        <v>227</v>
      </c>
      <c r="C5665" s="7" t="s">
        <v>169</v>
      </c>
      <c r="D5665" t="s">
        <v>118</v>
      </c>
      <c r="F5665" s="35">
        <v>10.829833921897823</v>
      </c>
      <c r="G5665" s="35">
        <v>52.619850437549559</v>
      </c>
      <c r="H5665" s="35">
        <v>-7.6185525188601027</v>
      </c>
      <c r="I5665" s="35">
        <v>0.75164936172317642</v>
      </c>
      <c r="J5665" s="35">
        <v>5.4397526306373544E-4</v>
      </c>
      <c r="K5665" s="35">
        <v>0.31197314388705394</v>
      </c>
      <c r="L5665" s="35">
        <v>41.521210570246616</v>
      </c>
      <c r="M5665" s="58" t="s">
        <v>23</v>
      </c>
      <c r="N5665" s="7">
        <v>11.333333333333334</v>
      </c>
      <c r="O5665" s="7" t="s">
        <v>180</v>
      </c>
      <c r="P5665" s="7" t="s">
        <v>180</v>
      </c>
    </row>
    <row r="5666" spans="1:16" x14ac:dyDescent="0.25">
      <c r="A5666" t="s">
        <v>183</v>
      </c>
      <c r="B5666" t="s">
        <v>227</v>
      </c>
      <c r="C5666" s="7" t="s">
        <v>169</v>
      </c>
      <c r="D5666" t="s">
        <v>119</v>
      </c>
      <c r="F5666" s="35">
        <v>0</v>
      </c>
      <c r="G5666" s="35">
        <v>-54.413943621806716</v>
      </c>
      <c r="H5666" s="35">
        <v>-16.27919656401177</v>
      </c>
      <c r="I5666" s="35">
        <v>-3.2764138561668634</v>
      </c>
      <c r="J5666" s="35">
        <v>1.1519951782647945E-3</v>
      </c>
      <c r="K5666" s="35">
        <v>-5.2564710207407295</v>
      </c>
      <c r="L5666" s="35">
        <v>-93.692347554157578</v>
      </c>
      <c r="M5666" s="58" t="s">
        <v>22</v>
      </c>
      <c r="N5666" s="7">
        <v>11.333333333333334</v>
      </c>
      <c r="O5666" s="7" t="s">
        <v>180</v>
      </c>
      <c r="P5666" s="7" t="s">
        <v>180</v>
      </c>
    </row>
    <row r="5667" spans="1:16" x14ac:dyDescent="0.25">
      <c r="A5667" t="s">
        <v>183</v>
      </c>
      <c r="B5667" t="s">
        <v>227</v>
      </c>
      <c r="C5667" s="7" t="s">
        <v>169</v>
      </c>
      <c r="D5667" t="s">
        <v>119</v>
      </c>
      <c r="F5667" s="35">
        <v>0.29999999999999988</v>
      </c>
      <c r="G5667" s="35">
        <v>-54.271037781806726</v>
      </c>
      <c r="H5667" s="35">
        <v>-16.27919656401177</v>
      </c>
      <c r="I5667" s="35">
        <v>-3.2764138561668634</v>
      </c>
      <c r="J5667" s="35">
        <v>1.1519951782647945E-3</v>
      </c>
      <c r="K5667" s="35">
        <v>-4.2735468638906706</v>
      </c>
      <c r="L5667" s="35">
        <v>-88.808588584954052</v>
      </c>
      <c r="M5667" s="58" t="s">
        <v>22</v>
      </c>
      <c r="N5667" s="7">
        <v>11.333333333333334</v>
      </c>
      <c r="O5667" s="7" t="s">
        <v>180</v>
      </c>
      <c r="P5667" s="7" t="s">
        <v>180</v>
      </c>
    </row>
    <row r="5668" spans="1:16" x14ac:dyDescent="0.25">
      <c r="A5668" t="s">
        <v>183</v>
      </c>
      <c r="B5668" t="s">
        <v>227</v>
      </c>
      <c r="C5668" s="7" t="s">
        <v>169</v>
      </c>
      <c r="D5668" t="s">
        <v>119</v>
      </c>
      <c r="F5668" s="35">
        <v>0.29999999999999988</v>
      </c>
      <c r="G5668" s="35">
        <v>-84.526849159183584</v>
      </c>
      <c r="H5668" s="35">
        <v>-16.279196564011635</v>
      </c>
      <c r="I5668" s="35">
        <v>-1.4140909274934894</v>
      </c>
      <c r="J5668" s="35">
        <v>2.0489268881943907E-4</v>
      </c>
      <c r="K5668" s="35">
        <v>-4.273546863890676</v>
      </c>
      <c r="L5668" s="35">
        <v>-88.808531758804733</v>
      </c>
      <c r="M5668" s="58" t="s">
        <v>22</v>
      </c>
      <c r="N5668" s="7">
        <v>11.333333333333334</v>
      </c>
      <c r="O5668" s="7" t="s">
        <v>180</v>
      </c>
      <c r="P5668" s="7" t="s">
        <v>180</v>
      </c>
    </row>
    <row r="5669" spans="1:16" x14ac:dyDescent="0.25">
      <c r="A5669" t="s">
        <v>183</v>
      </c>
      <c r="B5669" t="s">
        <v>227</v>
      </c>
      <c r="C5669" s="7" t="s">
        <v>169</v>
      </c>
      <c r="D5669" t="s">
        <v>119</v>
      </c>
      <c r="F5669" s="35">
        <v>5.3</v>
      </c>
      <c r="G5669" s="35">
        <v>-82.145085159183594</v>
      </c>
      <c r="H5669" s="35">
        <v>-16.279196564011635</v>
      </c>
      <c r="I5669" s="35">
        <v>-1.4140909274934894</v>
      </c>
      <c r="J5669" s="35">
        <v>2.0489268881943907E-4</v>
      </c>
      <c r="K5669" s="35">
        <v>2.7969077735767707</v>
      </c>
      <c r="L5669" s="35">
        <v>-7.4125489387465642</v>
      </c>
      <c r="M5669" s="58" t="s">
        <v>24</v>
      </c>
      <c r="N5669" s="7">
        <v>11.333333333333334</v>
      </c>
      <c r="O5669" s="7" t="s">
        <v>180</v>
      </c>
      <c r="P5669" s="7" t="s">
        <v>180</v>
      </c>
    </row>
    <row r="5670" spans="1:16" x14ac:dyDescent="0.25">
      <c r="A5670" t="s">
        <v>183</v>
      </c>
      <c r="B5670" t="s">
        <v>227</v>
      </c>
      <c r="C5670" s="7" t="s">
        <v>169</v>
      </c>
      <c r="D5670" t="s">
        <v>119</v>
      </c>
      <c r="F5670" s="35">
        <v>5.3</v>
      </c>
      <c r="G5670" s="35">
        <v>-51.587243878789948</v>
      </c>
      <c r="H5670" s="35">
        <v>-16.279241143754145</v>
      </c>
      <c r="I5670" s="35">
        <v>0.47449588144146293</v>
      </c>
      <c r="J5670" s="35">
        <v>5.1002818363308805E-4</v>
      </c>
      <c r="K5670" s="35">
        <v>2.7969077735767738</v>
      </c>
      <c r="L5670" s="35">
        <v>-7.4135138445244131</v>
      </c>
      <c r="M5670" s="58" t="s">
        <v>24</v>
      </c>
      <c r="N5670" s="7">
        <v>11.333333333333334</v>
      </c>
      <c r="O5670" s="7" t="s">
        <v>180</v>
      </c>
      <c r="P5670" s="7" t="s">
        <v>180</v>
      </c>
    </row>
    <row r="5671" spans="1:16" x14ac:dyDescent="0.25">
      <c r="A5671" t="s">
        <v>183</v>
      </c>
      <c r="B5671" t="s">
        <v>227</v>
      </c>
      <c r="C5671" s="7" t="s">
        <v>169</v>
      </c>
      <c r="D5671" t="s">
        <v>119</v>
      </c>
      <c r="F5671" s="35">
        <v>5.4149169609489114</v>
      </c>
      <c r="G5671" s="35">
        <v>-51.532502862674448</v>
      </c>
      <c r="H5671" s="35">
        <v>-16.279241143754145</v>
      </c>
      <c r="I5671" s="35">
        <v>0.47449588144146293</v>
      </c>
      <c r="J5671" s="35">
        <v>5.1002818363308805E-4</v>
      </c>
      <c r="K5671" s="35">
        <v>2.7423801488987456</v>
      </c>
      <c r="L5671" s="35">
        <v>-5.5427529257297063</v>
      </c>
      <c r="M5671" s="58" t="s">
        <v>24</v>
      </c>
      <c r="N5671" s="7">
        <v>11.333333333333334</v>
      </c>
      <c r="O5671" s="7" t="s">
        <v>180</v>
      </c>
      <c r="P5671" s="7" t="s">
        <v>180</v>
      </c>
    </row>
    <row r="5672" spans="1:16" x14ac:dyDescent="0.25">
      <c r="A5672" t="s">
        <v>183</v>
      </c>
      <c r="B5672" t="s">
        <v>227</v>
      </c>
      <c r="C5672" s="7" t="s">
        <v>169</v>
      </c>
      <c r="D5672" t="s">
        <v>119</v>
      </c>
      <c r="F5672" s="35">
        <v>10.829833921897823</v>
      </c>
      <c r="G5672" s="35">
        <v>-48.953092006558947</v>
      </c>
      <c r="H5672" s="35">
        <v>-16.279241143754145</v>
      </c>
      <c r="I5672" s="35">
        <v>0.47449588144146293</v>
      </c>
      <c r="J5672" s="35">
        <v>5.1002818363308805E-4</v>
      </c>
      <c r="K5672" s="35">
        <v>0.17302435258096507</v>
      </c>
      <c r="L5672" s="35">
        <v>82.607986054961941</v>
      </c>
      <c r="M5672" s="58" t="s">
        <v>23</v>
      </c>
      <c r="N5672" s="7">
        <v>11.333333333333334</v>
      </c>
      <c r="O5672" s="7" t="s">
        <v>180</v>
      </c>
      <c r="P5672" s="7" t="s">
        <v>180</v>
      </c>
    </row>
    <row r="5673" spans="1:16" x14ac:dyDescent="0.25">
      <c r="A5673" t="s">
        <v>183</v>
      </c>
      <c r="B5673" t="s">
        <v>227</v>
      </c>
      <c r="C5673" s="7" t="s">
        <v>169</v>
      </c>
      <c r="D5673" t="s">
        <v>120</v>
      </c>
      <c r="F5673" s="35">
        <v>0</v>
      </c>
      <c r="G5673" s="35">
        <v>80.895738465227041</v>
      </c>
      <c r="H5673" s="35">
        <v>-4.305572511336238</v>
      </c>
      <c r="I5673" s="35">
        <v>-6.4656960893998168</v>
      </c>
      <c r="J5673" s="35">
        <v>3.6393532711746773E-4</v>
      </c>
      <c r="K5673" s="35">
        <v>-7.7883834408137025</v>
      </c>
      <c r="L5673" s="35">
        <v>-15.069674946484668</v>
      </c>
      <c r="M5673" s="58" t="s">
        <v>22</v>
      </c>
      <c r="N5673" s="7">
        <v>11.333333333333334</v>
      </c>
      <c r="O5673" s="7" t="s">
        <v>180</v>
      </c>
      <c r="P5673" s="7" t="s">
        <v>180</v>
      </c>
    </row>
    <row r="5674" spans="1:16" x14ac:dyDescent="0.25">
      <c r="A5674" t="s">
        <v>183</v>
      </c>
      <c r="B5674" t="s">
        <v>227</v>
      </c>
      <c r="C5674" s="7" t="s">
        <v>169</v>
      </c>
      <c r="D5674" t="s">
        <v>120</v>
      </c>
      <c r="F5674" s="35">
        <v>0.29999999999999988</v>
      </c>
      <c r="G5674" s="35">
        <v>81.038644305227052</v>
      </c>
      <c r="H5674" s="35">
        <v>-4.305572511336238</v>
      </c>
      <c r="I5674" s="35">
        <v>-6.4656960893998168</v>
      </c>
      <c r="J5674" s="35">
        <v>3.6393532711746773E-4</v>
      </c>
      <c r="K5674" s="35">
        <v>-5.8486746139937589</v>
      </c>
      <c r="L5674" s="35">
        <v>-13.778003193083796</v>
      </c>
      <c r="M5674" s="58" t="s">
        <v>22</v>
      </c>
      <c r="N5674" s="7">
        <v>11.333333333333334</v>
      </c>
      <c r="O5674" s="7" t="s">
        <v>180</v>
      </c>
      <c r="P5674" s="7" t="s">
        <v>180</v>
      </c>
    </row>
    <row r="5675" spans="1:16" x14ac:dyDescent="0.25">
      <c r="A5675" t="s">
        <v>183</v>
      </c>
      <c r="B5675" t="s">
        <v>227</v>
      </c>
      <c r="C5675" s="7" t="s">
        <v>169</v>
      </c>
      <c r="D5675" t="s">
        <v>120</v>
      </c>
      <c r="F5675" s="35">
        <v>0.29999999999999988</v>
      </c>
      <c r="G5675" s="35">
        <v>5.7275623322695308</v>
      </c>
      <c r="H5675" s="35">
        <v>-4.3055725113362291</v>
      </c>
      <c r="I5675" s="35">
        <v>-1.9000569249915882</v>
      </c>
      <c r="J5675" s="35">
        <v>-1.2035888861293378E-4</v>
      </c>
      <c r="K5675" s="35">
        <v>-5.8486746139937704</v>
      </c>
      <c r="L5675" s="35">
        <v>-13.777974135430865</v>
      </c>
      <c r="M5675" s="58" t="s">
        <v>22</v>
      </c>
      <c r="N5675" s="7">
        <v>11.333333333333334</v>
      </c>
      <c r="O5675" s="7" t="s">
        <v>180</v>
      </c>
      <c r="P5675" s="7" t="s">
        <v>180</v>
      </c>
    </row>
    <row r="5676" spans="1:16" x14ac:dyDescent="0.25">
      <c r="A5676" t="s">
        <v>183</v>
      </c>
      <c r="B5676" t="s">
        <v>227</v>
      </c>
      <c r="C5676" s="7" t="s">
        <v>169</v>
      </c>
      <c r="D5676" t="s">
        <v>120</v>
      </c>
      <c r="F5676" s="35">
        <v>5.3</v>
      </c>
      <c r="G5676" s="35">
        <v>8.109326332269541</v>
      </c>
      <c r="H5676" s="35">
        <v>-4.3055725113362291</v>
      </c>
      <c r="I5676" s="35">
        <v>-1.9000569249915882</v>
      </c>
      <c r="J5676" s="35">
        <v>-1.2035888861293378E-4</v>
      </c>
      <c r="K5676" s="35">
        <v>3.6516100109641707</v>
      </c>
      <c r="L5676" s="35">
        <v>7.7498884212502821</v>
      </c>
      <c r="M5676" s="58" t="s">
        <v>24</v>
      </c>
      <c r="N5676" s="7">
        <v>11.333333333333334</v>
      </c>
      <c r="O5676" s="7" t="s">
        <v>180</v>
      </c>
      <c r="P5676" s="7" t="s">
        <v>180</v>
      </c>
    </row>
    <row r="5677" spans="1:16" x14ac:dyDescent="0.25">
      <c r="A5677" t="s">
        <v>183</v>
      </c>
      <c r="B5677" t="s">
        <v>227</v>
      </c>
      <c r="C5677" s="7" t="s">
        <v>169</v>
      </c>
      <c r="D5677" t="s">
        <v>120</v>
      </c>
      <c r="F5677" s="35">
        <v>5.3</v>
      </c>
      <c r="G5677" s="35">
        <v>76.173510810932797</v>
      </c>
      <c r="H5677" s="35">
        <v>-4.305713886651108</v>
      </c>
      <c r="I5677" s="35">
        <v>0.61651943530406572</v>
      </c>
      <c r="J5677" s="35">
        <v>-9.5518495963599768E-6</v>
      </c>
      <c r="K5677" s="35">
        <v>3.6516100109641703</v>
      </c>
      <c r="L5677" s="35">
        <v>7.7492785212913953</v>
      </c>
      <c r="M5677" s="58" t="s">
        <v>24</v>
      </c>
      <c r="N5677" s="7">
        <v>11.333333333333334</v>
      </c>
      <c r="O5677" s="7" t="s">
        <v>180</v>
      </c>
      <c r="P5677" s="7" t="s">
        <v>180</v>
      </c>
    </row>
    <row r="5678" spans="1:16" x14ac:dyDescent="0.25">
      <c r="A5678" t="s">
        <v>183</v>
      </c>
      <c r="B5678" t="s">
        <v>227</v>
      </c>
      <c r="C5678" s="7" t="s">
        <v>169</v>
      </c>
      <c r="D5678" t="s">
        <v>120</v>
      </c>
      <c r="F5678" s="35">
        <v>5.4149169609489114</v>
      </c>
      <c r="G5678" s="35">
        <v>76.228251827048311</v>
      </c>
      <c r="H5678" s="35">
        <v>-4.305713886651108</v>
      </c>
      <c r="I5678" s="35">
        <v>0.61651943530406572</v>
      </c>
      <c r="J5678" s="35">
        <v>-9.5518495963599768E-6</v>
      </c>
      <c r="K5678" s="35">
        <v>3.580761471093088</v>
      </c>
      <c r="L5678" s="35">
        <v>8.2440780758608678</v>
      </c>
      <c r="M5678" s="58" t="s">
        <v>24</v>
      </c>
      <c r="N5678" s="7">
        <v>11.333333333333334</v>
      </c>
      <c r="O5678" s="7" t="s">
        <v>180</v>
      </c>
      <c r="P5678" s="7" t="s">
        <v>180</v>
      </c>
    </row>
    <row r="5679" spans="1:16" x14ac:dyDescent="0.25">
      <c r="A5679" t="s">
        <v>183</v>
      </c>
      <c r="B5679" t="s">
        <v>227</v>
      </c>
      <c r="C5679" s="7" t="s">
        <v>169</v>
      </c>
      <c r="D5679" t="s">
        <v>120</v>
      </c>
      <c r="F5679" s="35">
        <v>10.829833921897823</v>
      </c>
      <c r="G5679" s="35">
        <v>78.807662683163812</v>
      </c>
      <c r="H5679" s="35">
        <v>-4.305713886651108</v>
      </c>
      <c r="I5679" s="35">
        <v>0.61651943530406572</v>
      </c>
      <c r="J5679" s="35">
        <v>-9.5518495963599768E-6</v>
      </c>
      <c r="K5679" s="35">
        <v>0.24235992411045876</v>
      </c>
      <c r="L5679" s="35">
        <v>31.559161229681202</v>
      </c>
      <c r="M5679" s="58" t="s">
        <v>23</v>
      </c>
      <c r="N5679" s="7">
        <v>11.333333333333334</v>
      </c>
      <c r="O5679" s="7" t="s">
        <v>180</v>
      </c>
      <c r="P5679" s="7" t="s">
        <v>180</v>
      </c>
    </row>
    <row r="5680" spans="1:16" x14ac:dyDescent="0.25">
      <c r="A5680" t="s">
        <v>183</v>
      </c>
      <c r="B5680" t="s">
        <v>227</v>
      </c>
      <c r="C5680" s="7" t="s">
        <v>169</v>
      </c>
      <c r="D5680" t="s">
        <v>121</v>
      </c>
      <c r="F5680" s="35">
        <v>0</v>
      </c>
      <c r="G5680" s="35">
        <v>-1.2895252911286077</v>
      </c>
      <c r="H5680" s="35">
        <v>-0.64324284898420125</v>
      </c>
      <c r="I5680" s="35">
        <v>-2.6298728041783055</v>
      </c>
      <c r="J5680" s="35">
        <v>-1.4086811082527208E-4</v>
      </c>
      <c r="K5680" s="35">
        <v>-3.700709156199133</v>
      </c>
      <c r="L5680" s="35">
        <v>-2.74844478557812</v>
      </c>
      <c r="M5680" s="58" t="s">
        <v>22</v>
      </c>
      <c r="N5680" s="7">
        <v>11.333333333333334</v>
      </c>
      <c r="O5680" s="7" t="s">
        <v>180</v>
      </c>
      <c r="P5680" s="7" t="s">
        <v>180</v>
      </c>
    </row>
    <row r="5681" spans="1:16" x14ac:dyDescent="0.25">
      <c r="A5681" t="s">
        <v>183</v>
      </c>
      <c r="B5681" t="s">
        <v>227</v>
      </c>
      <c r="C5681" s="7" t="s">
        <v>169</v>
      </c>
      <c r="D5681" t="s">
        <v>121</v>
      </c>
      <c r="F5681" s="35">
        <v>0.29999999999999988</v>
      </c>
      <c r="G5681" s="35">
        <v>-1.146619451128601</v>
      </c>
      <c r="H5681" s="35">
        <v>-0.64324284898420125</v>
      </c>
      <c r="I5681" s="35">
        <v>-2.6298728041783055</v>
      </c>
      <c r="J5681" s="35">
        <v>-1.4086811082527208E-4</v>
      </c>
      <c r="K5681" s="35">
        <v>-2.9117473149456421</v>
      </c>
      <c r="L5681" s="35">
        <v>-2.5554719308828582</v>
      </c>
      <c r="M5681" s="58" t="s">
        <v>22</v>
      </c>
      <c r="N5681" s="7">
        <v>11.333333333333334</v>
      </c>
      <c r="O5681" s="7" t="s">
        <v>180</v>
      </c>
      <c r="P5681" s="7" t="s">
        <v>180</v>
      </c>
    </row>
    <row r="5682" spans="1:16" x14ac:dyDescent="0.25">
      <c r="A5682" t="s">
        <v>183</v>
      </c>
      <c r="B5682" t="s">
        <v>227</v>
      </c>
      <c r="C5682" s="7" t="s">
        <v>169</v>
      </c>
      <c r="D5682" t="s">
        <v>121</v>
      </c>
      <c r="F5682" s="35">
        <v>0.29999999999999988</v>
      </c>
      <c r="G5682" s="35">
        <v>-28.628193320842605</v>
      </c>
      <c r="H5682" s="35">
        <v>-0.64324284898419992</v>
      </c>
      <c r="I5682" s="35">
        <v>-0.93400412596471172</v>
      </c>
      <c r="J5682" s="35">
        <v>-2.3116105631742985E-4</v>
      </c>
      <c r="K5682" s="35">
        <v>-2.9117473149456434</v>
      </c>
      <c r="L5682" s="35">
        <v>-2.5554665133061345</v>
      </c>
      <c r="M5682" s="58" t="s">
        <v>22</v>
      </c>
      <c r="N5682" s="7">
        <v>11.333333333333334</v>
      </c>
      <c r="O5682" s="7" t="s">
        <v>180</v>
      </c>
      <c r="P5682" s="7" t="s">
        <v>180</v>
      </c>
    </row>
    <row r="5683" spans="1:16" x14ac:dyDescent="0.25">
      <c r="A5683" t="s">
        <v>183</v>
      </c>
      <c r="B5683" t="s">
        <v>227</v>
      </c>
      <c r="C5683" s="7" t="s">
        <v>169</v>
      </c>
      <c r="D5683" t="s">
        <v>121</v>
      </c>
      <c r="F5683" s="35">
        <v>5.3</v>
      </c>
      <c r="G5683" s="35">
        <v>-26.246429320842598</v>
      </c>
      <c r="H5683" s="35">
        <v>-0.64324284898419992</v>
      </c>
      <c r="I5683" s="35">
        <v>-0.93400412596471172</v>
      </c>
      <c r="J5683" s="35">
        <v>-2.3116105631742985E-4</v>
      </c>
      <c r="K5683" s="35">
        <v>1.7582733148779151</v>
      </c>
      <c r="L5683" s="35">
        <v>0.66074773161486611</v>
      </c>
      <c r="M5683" s="58" t="s">
        <v>24</v>
      </c>
      <c r="N5683" s="7">
        <v>11.333333333333334</v>
      </c>
      <c r="O5683" s="7" t="s">
        <v>180</v>
      </c>
      <c r="P5683" s="7" t="s">
        <v>180</v>
      </c>
    </row>
    <row r="5684" spans="1:16" x14ac:dyDescent="0.25">
      <c r="A5684" t="s">
        <v>183</v>
      </c>
      <c r="B5684" t="s">
        <v>227</v>
      </c>
      <c r="C5684" s="7" t="s">
        <v>169</v>
      </c>
      <c r="D5684" t="s">
        <v>121</v>
      </c>
      <c r="F5684" s="35">
        <v>5.3</v>
      </c>
      <c r="G5684" s="35">
        <v>-2.3281858847964174</v>
      </c>
      <c r="H5684" s="35">
        <v>-0.64326733246501444</v>
      </c>
      <c r="I5684" s="35">
        <v>0.30269944292753875</v>
      </c>
      <c r="J5684" s="35">
        <v>-2.2536363179118777E-4</v>
      </c>
      <c r="K5684" s="35">
        <v>1.7582733148779146</v>
      </c>
      <c r="L5684" s="35">
        <v>0.66064476312547349</v>
      </c>
      <c r="M5684" s="58" t="s">
        <v>24</v>
      </c>
      <c r="N5684" s="7">
        <v>11.333333333333334</v>
      </c>
      <c r="O5684" s="7" t="s">
        <v>180</v>
      </c>
      <c r="P5684" s="7" t="s">
        <v>180</v>
      </c>
    </row>
    <row r="5685" spans="1:16" x14ac:dyDescent="0.25">
      <c r="A5685" t="s">
        <v>183</v>
      </c>
      <c r="B5685" t="s">
        <v>227</v>
      </c>
      <c r="C5685" s="7" t="s">
        <v>169</v>
      </c>
      <c r="D5685" t="s">
        <v>121</v>
      </c>
      <c r="F5685" s="35">
        <v>5.4149169609489114</v>
      </c>
      <c r="G5685" s="35">
        <v>-2.2734448686809041</v>
      </c>
      <c r="H5685" s="35">
        <v>-0.64326733246501444</v>
      </c>
      <c r="I5685" s="35">
        <v>0.30269944292753875</v>
      </c>
      <c r="J5685" s="35">
        <v>-2.2536363179118777E-4</v>
      </c>
      <c r="K5685" s="35">
        <v>1.7234880148157534</v>
      </c>
      <c r="L5685" s="35">
        <v>0.73456709005006571</v>
      </c>
      <c r="M5685" s="58" t="s">
        <v>24</v>
      </c>
      <c r="N5685" s="7">
        <v>11.333333333333334</v>
      </c>
      <c r="O5685" s="7" t="s">
        <v>180</v>
      </c>
      <c r="P5685" s="7" t="s">
        <v>180</v>
      </c>
    </row>
    <row r="5686" spans="1:16" x14ac:dyDescent="0.25">
      <c r="A5686" t="s">
        <v>183</v>
      </c>
      <c r="B5686" t="s">
        <v>227</v>
      </c>
      <c r="C5686" s="7" t="s">
        <v>169</v>
      </c>
      <c r="D5686" t="s">
        <v>121</v>
      </c>
      <c r="F5686" s="35">
        <v>10.829833921897823</v>
      </c>
      <c r="G5686" s="35">
        <v>0.30596598743459613</v>
      </c>
      <c r="H5686" s="35">
        <v>-0.64326733246501444</v>
      </c>
      <c r="I5686" s="35">
        <v>0.30269944292753875</v>
      </c>
      <c r="J5686" s="35">
        <v>-2.2536363179118777E-4</v>
      </c>
      <c r="K5686" s="35">
        <v>8.4395667237637279E-2</v>
      </c>
      <c r="L5686" s="35">
        <v>4.2178062790392294</v>
      </c>
      <c r="M5686" s="58" t="s">
        <v>23</v>
      </c>
      <c r="N5686" s="7">
        <v>11.333333333333334</v>
      </c>
      <c r="O5686" s="7" t="s">
        <v>180</v>
      </c>
      <c r="P5686" s="7" t="s">
        <v>180</v>
      </c>
    </row>
    <row r="5687" spans="1:16" x14ac:dyDescent="0.25">
      <c r="A5687" t="s">
        <v>183</v>
      </c>
      <c r="B5687" t="s">
        <v>227</v>
      </c>
      <c r="C5687" s="7" t="s">
        <v>169</v>
      </c>
      <c r="D5687" t="s">
        <v>122</v>
      </c>
      <c r="F5687" s="35">
        <v>0</v>
      </c>
      <c r="G5687" s="35">
        <v>136.13152411267399</v>
      </c>
      <c r="H5687" s="35">
        <v>-10.259262995216153</v>
      </c>
      <c r="I5687" s="35">
        <v>4.9871102085321777</v>
      </c>
      <c r="J5687" s="35">
        <v>1.0890939536469994E-3</v>
      </c>
      <c r="K5687" s="35">
        <v>7.9419686354576875</v>
      </c>
      <c r="L5687" s="35">
        <v>-36.554545193321204</v>
      </c>
      <c r="M5687" s="58" t="s">
        <v>22</v>
      </c>
      <c r="N5687" s="7">
        <v>11.333333333333334</v>
      </c>
      <c r="O5687" s="7" t="s">
        <v>180</v>
      </c>
      <c r="P5687" s="7" t="s">
        <v>180</v>
      </c>
    </row>
    <row r="5688" spans="1:16" x14ac:dyDescent="0.25">
      <c r="A5688" t="s">
        <v>183</v>
      </c>
      <c r="B5688" t="s">
        <v>227</v>
      </c>
      <c r="C5688" s="7" t="s">
        <v>169</v>
      </c>
      <c r="D5688" t="s">
        <v>122</v>
      </c>
      <c r="F5688" s="35">
        <v>0.29999999999999988</v>
      </c>
      <c r="G5688" s="35">
        <v>136.27442995267396</v>
      </c>
      <c r="H5688" s="35">
        <v>-10.259262995216153</v>
      </c>
      <c r="I5688" s="35">
        <v>4.9871102085321777</v>
      </c>
      <c r="J5688" s="35">
        <v>1.0890939536469994E-3</v>
      </c>
      <c r="K5688" s="35">
        <v>6.4458355728980354</v>
      </c>
      <c r="L5688" s="35">
        <v>-33.476766294756366</v>
      </c>
      <c r="M5688" s="58" t="s">
        <v>22</v>
      </c>
      <c r="N5688" s="7">
        <v>11.333333333333334</v>
      </c>
      <c r="O5688" s="7" t="s">
        <v>180</v>
      </c>
      <c r="P5688" s="7" t="s">
        <v>180</v>
      </c>
    </row>
    <row r="5689" spans="1:16" x14ac:dyDescent="0.25">
      <c r="A5689" t="s">
        <v>183</v>
      </c>
      <c r="B5689" t="s">
        <v>227</v>
      </c>
      <c r="C5689" s="7" t="s">
        <v>169</v>
      </c>
      <c r="D5689" t="s">
        <v>122</v>
      </c>
      <c r="F5689" s="35">
        <v>0.29999999999999988</v>
      </c>
      <c r="G5689" s="35">
        <v>185.11306906202455</v>
      </c>
      <c r="H5689" s="35">
        <v>-10.259262995216179</v>
      </c>
      <c r="I5689" s="35">
        <v>2.1037661080019041</v>
      </c>
      <c r="J5689" s="35">
        <v>-2.1794279167916292E-4</v>
      </c>
      <c r="K5689" s="35">
        <v>6.4458355728980274</v>
      </c>
      <c r="L5689" s="35">
        <v>-33.476687872551615</v>
      </c>
      <c r="M5689" s="58" t="s">
        <v>22</v>
      </c>
      <c r="N5689" s="7">
        <v>11.333333333333334</v>
      </c>
      <c r="O5689" s="7" t="s">
        <v>180</v>
      </c>
      <c r="P5689" s="7" t="s">
        <v>180</v>
      </c>
    </row>
    <row r="5690" spans="1:16" x14ac:dyDescent="0.25">
      <c r="A5690" t="s">
        <v>183</v>
      </c>
      <c r="B5690" t="s">
        <v>227</v>
      </c>
      <c r="C5690" s="7" t="s">
        <v>169</v>
      </c>
      <c r="D5690" t="s">
        <v>122</v>
      </c>
      <c r="F5690" s="35">
        <v>5.3</v>
      </c>
      <c r="G5690" s="35">
        <v>187.49483306202455</v>
      </c>
      <c r="H5690" s="35">
        <v>-10.259262995216179</v>
      </c>
      <c r="I5690" s="35">
        <v>2.1037661080019041</v>
      </c>
      <c r="J5690" s="35">
        <v>-2.1794279167916292E-4</v>
      </c>
      <c r="K5690" s="35">
        <v>-4.0729949671114944</v>
      </c>
      <c r="L5690" s="35">
        <v>17.819627103529271</v>
      </c>
      <c r="M5690" s="58" t="s">
        <v>24</v>
      </c>
      <c r="N5690" s="7">
        <v>11.333333333333334</v>
      </c>
      <c r="O5690" s="7" t="s">
        <v>180</v>
      </c>
      <c r="P5690" s="7" t="s">
        <v>180</v>
      </c>
    </row>
    <row r="5691" spans="1:16" x14ac:dyDescent="0.25">
      <c r="A5691" t="s">
        <v>183</v>
      </c>
      <c r="B5691" t="s">
        <v>227</v>
      </c>
      <c r="C5691" s="7" t="s">
        <v>169</v>
      </c>
      <c r="D5691" t="s">
        <v>122</v>
      </c>
      <c r="F5691" s="35">
        <v>5.3</v>
      </c>
      <c r="G5691" s="35">
        <v>149.85710636573927</v>
      </c>
      <c r="H5691" s="35">
        <v>-10.259626667625971</v>
      </c>
      <c r="I5691" s="35">
        <v>-0.66421831333678083</v>
      </c>
      <c r="J5691" s="35">
        <v>3.0325555071462394E-5</v>
      </c>
      <c r="K5691" s="35">
        <v>-4.0729949671114962</v>
      </c>
      <c r="L5691" s="35">
        <v>17.817949783039214</v>
      </c>
      <c r="M5691" s="58" t="s">
        <v>24</v>
      </c>
      <c r="N5691" s="7">
        <v>11.333333333333334</v>
      </c>
      <c r="O5691" s="7" t="s">
        <v>180</v>
      </c>
      <c r="P5691" s="7" t="s">
        <v>180</v>
      </c>
    </row>
    <row r="5692" spans="1:16" x14ac:dyDescent="0.25">
      <c r="A5692" t="s">
        <v>183</v>
      </c>
      <c r="B5692" t="s">
        <v>227</v>
      </c>
      <c r="C5692" s="7" t="s">
        <v>169</v>
      </c>
      <c r="D5692" t="s">
        <v>122</v>
      </c>
      <c r="F5692" s="35">
        <v>5.4149169609489114</v>
      </c>
      <c r="G5692" s="35">
        <v>149.91184738185481</v>
      </c>
      <c r="H5692" s="35">
        <v>-10.259626667625971</v>
      </c>
      <c r="I5692" s="35">
        <v>-0.66421831333678083</v>
      </c>
      <c r="J5692" s="35">
        <v>3.0325555071462394E-5</v>
      </c>
      <c r="K5692" s="35">
        <v>-3.9966650171362219</v>
      </c>
      <c r="L5692" s="35">
        <v>18.996954900153199</v>
      </c>
      <c r="M5692" s="58" t="s">
        <v>24</v>
      </c>
      <c r="N5692" s="7">
        <v>11.333333333333334</v>
      </c>
      <c r="O5692" s="7" t="s">
        <v>180</v>
      </c>
      <c r="P5692" s="7" t="s">
        <v>180</v>
      </c>
    </row>
    <row r="5693" spans="1:16" x14ac:dyDescent="0.25">
      <c r="A5693" t="s">
        <v>183</v>
      </c>
      <c r="B5693" t="s">
        <v>227</v>
      </c>
      <c r="C5693" s="7" t="s">
        <v>169</v>
      </c>
      <c r="D5693" t="s">
        <v>122</v>
      </c>
      <c r="F5693" s="35">
        <v>10.829833921897823</v>
      </c>
      <c r="G5693" s="35">
        <v>152.4912582379703</v>
      </c>
      <c r="H5693" s="35">
        <v>-10.259626667625971</v>
      </c>
      <c r="I5693" s="35">
        <v>-0.66421831333678083</v>
      </c>
      <c r="J5693" s="35">
        <v>3.0325555071462394E-5</v>
      </c>
      <c r="K5693" s="35">
        <v>-0.39997800647601045</v>
      </c>
      <c r="L5693" s="35">
        <v>74.551981355684802</v>
      </c>
      <c r="M5693" s="58" t="s">
        <v>23</v>
      </c>
      <c r="N5693" s="7">
        <v>11.333333333333334</v>
      </c>
      <c r="O5693" s="7" t="s">
        <v>180</v>
      </c>
      <c r="P5693" s="7" t="s">
        <v>180</v>
      </c>
    </row>
    <row r="5694" spans="1:16" x14ac:dyDescent="0.25">
      <c r="A5694" t="s">
        <v>183</v>
      </c>
      <c r="B5694" t="s">
        <v>227</v>
      </c>
      <c r="C5694" s="7" t="s">
        <v>169</v>
      </c>
      <c r="D5694" t="s">
        <v>123</v>
      </c>
      <c r="F5694" s="35">
        <v>0</v>
      </c>
      <c r="G5694" s="35">
        <v>53.900560280661658</v>
      </c>
      <c r="H5694" s="35">
        <v>-6.548657546368883</v>
      </c>
      <c r="I5694" s="35">
        <v>8.8214399063018192</v>
      </c>
      <c r="J5694" s="35">
        <v>5.7503384930785969E-4</v>
      </c>
      <c r="K5694" s="35">
        <v>12.027026924544352</v>
      </c>
      <c r="L5694" s="35">
        <v>-24.04675111634484</v>
      </c>
      <c r="M5694" s="58" t="s">
        <v>22</v>
      </c>
      <c r="N5694" s="7">
        <v>11.333333333333334</v>
      </c>
      <c r="O5694" s="7" t="s">
        <v>180</v>
      </c>
      <c r="P5694" s="7" t="s">
        <v>180</v>
      </c>
    </row>
    <row r="5695" spans="1:16" x14ac:dyDescent="0.25">
      <c r="A5695" t="s">
        <v>183</v>
      </c>
      <c r="B5695" t="s">
        <v>227</v>
      </c>
      <c r="C5695" s="7" t="s">
        <v>169</v>
      </c>
      <c r="D5695" t="s">
        <v>123</v>
      </c>
      <c r="F5695" s="35">
        <v>0.29999999999999988</v>
      </c>
      <c r="G5695" s="35">
        <v>54.043466120661662</v>
      </c>
      <c r="H5695" s="35">
        <v>-6.548657546368883</v>
      </c>
      <c r="I5695" s="35">
        <v>8.8214399063018192</v>
      </c>
      <c r="J5695" s="35">
        <v>5.7503384930785969E-4</v>
      </c>
      <c r="K5695" s="35">
        <v>9.3805949526538086</v>
      </c>
      <c r="L5695" s="35">
        <v>-22.082153852434175</v>
      </c>
      <c r="M5695" s="58" t="s">
        <v>22</v>
      </c>
      <c r="N5695" s="7">
        <v>11.333333333333334</v>
      </c>
      <c r="O5695" s="7" t="s">
        <v>180</v>
      </c>
      <c r="P5695" s="7" t="s">
        <v>180</v>
      </c>
    </row>
    <row r="5696" spans="1:16" x14ac:dyDescent="0.25">
      <c r="A5696" t="s">
        <v>183</v>
      </c>
      <c r="B5696" t="s">
        <v>227</v>
      </c>
      <c r="C5696" s="7" t="s">
        <v>169</v>
      </c>
      <c r="D5696" t="s">
        <v>123</v>
      </c>
      <c r="F5696" s="35">
        <v>0.29999999999999988</v>
      </c>
      <c r="G5696" s="35">
        <v>150.69830711154148</v>
      </c>
      <c r="H5696" s="35">
        <v>-6.5486575463688865</v>
      </c>
      <c r="I5696" s="35">
        <v>3.0691236928798471</v>
      </c>
      <c r="J5696" s="35">
        <v>-3.2903453980636169E-4</v>
      </c>
      <c r="K5696" s="35">
        <v>9.3805949526537891</v>
      </c>
      <c r="L5696" s="35">
        <v>-22.082099608330825</v>
      </c>
      <c r="M5696" s="58" t="s">
        <v>22</v>
      </c>
      <c r="N5696" s="7">
        <v>11.333333333333334</v>
      </c>
      <c r="O5696" s="7" t="s">
        <v>180</v>
      </c>
      <c r="P5696" s="7" t="s">
        <v>180</v>
      </c>
    </row>
    <row r="5697" spans="1:16" x14ac:dyDescent="0.25">
      <c r="A5697" t="s">
        <v>183</v>
      </c>
      <c r="B5697" t="s">
        <v>227</v>
      </c>
      <c r="C5697" s="7" t="s">
        <v>169</v>
      </c>
      <c r="D5697" t="s">
        <v>123</v>
      </c>
      <c r="F5697" s="35">
        <v>5.3</v>
      </c>
      <c r="G5697" s="35">
        <v>153.08007111154149</v>
      </c>
      <c r="H5697" s="35">
        <v>-6.5486575463688865</v>
      </c>
      <c r="I5697" s="35">
        <v>3.0691236928798471</v>
      </c>
      <c r="J5697" s="35">
        <v>-3.2903453980636169E-4</v>
      </c>
      <c r="K5697" s="35">
        <v>-5.9650235117454455</v>
      </c>
      <c r="L5697" s="35">
        <v>10.6611881235136</v>
      </c>
      <c r="M5697" s="58" t="s">
        <v>24</v>
      </c>
      <c r="N5697" s="7">
        <v>11.333333333333334</v>
      </c>
      <c r="O5697" s="7" t="s">
        <v>180</v>
      </c>
      <c r="P5697" s="7" t="s">
        <v>180</v>
      </c>
    </row>
    <row r="5698" spans="1:16" x14ac:dyDescent="0.25">
      <c r="A5698" t="s">
        <v>183</v>
      </c>
      <c r="B5698" t="s">
        <v>227</v>
      </c>
      <c r="C5698" s="7" t="s">
        <v>169</v>
      </c>
      <c r="D5698" t="s">
        <v>123</v>
      </c>
      <c r="F5698" s="35">
        <v>5.3</v>
      </c>
      <c r="G5698" s="35">
        <v>71.304582440482676</v>
      </c>
      <c r="H5698" s="35">
        <v>-6.5489019824807215</v>
      </c>
      <c r="I5698" s="35">
        <v>-0.97782209524696284</v>
      </c>
      <c r="J5698" s="35">
        <v>-1.8661794541145491E-4</v>
      </c>
      <c r="K5698" s="35">
        <v>-5.9650235117454482</v>
      </c>
      <c r="L5698" s="35">
        <v>10.660029324521878</v>
      </c>
      <c r="M5698" s="58" t="s">
        <v>24</v>
      </c>
      <c r="N5698" s="7">
        <v>11.333333333333334</v>
      </c>
      <c r="O5698" s="7" t="s">
        <v>180</v>
      </c>
      <c r="P5698" s="7" t="s">
        <v>180</v>
      </c>
    </row>
    <row r="5699" spans="1:16" x14ac:dyDescent="0.25">
      <c r="A5699" t="s">
        <v>183</v>
      </c>
      <c r="B5699" t="s">
        <v>227</v>
      </c>
      <c r="C5699" s="7" t="s">
        <v>169</v>
      </c>
      <c r="D5699" t="s">
        <v>123</v>
      </c>
      <c r="F5699" s="35">
        <v>5.4149169609489114</v>
      </c>
      <c r="G5699" s="35">
        <v>71.35932345659819</v>
      </c>
      <c r="H5699" s="35">
        <v>-6.5489019824807215</v>
      </c>
      <c r="I5699" s="35">
        <v>-0.97782209524696284</v>
      </c>
      <c r="J5699" s="35">
        <v>-1.8661794541145491E-4</v>
      </c>
      <c r="K5699" s="35">
        <v>-5.8526551682109709</v>
      </c>
      <c r="L5699" s="35">
        <v>11.412609237900863</v>
      </c>
      <c r="M5699" s="58" t="s">
        <v>24</v>
      </c>
      <c r="N5699" s="7">
        <v>11.333333333333334</v>
      </c>
      <c r="O5699" s="7" t="s">
        <v>180</v>
      </c>
      <c r="P5699" s="7" t="s">
        <v>180</v>
      </c>
    </row>
    <row r="5700" spans="1:16" x14ac:dyDescent="0.25">
      <c r="A5700" t="s">
        <v>183</v>
      </c>
      <c r="B5700" t="s">
        <v>227</v>
      </c>
      <c r="C5700" s="7" t="s">
        <v>169</v>
      </c>
      <c r="D5700" t="s">
        <v>123</v>
      </c>
      <c r="F5700" s="35">
        <v>10.829833921897823</v>
      </c>
      <c r="G5700" s="35">
        <v>73.938734312713692</v>
      </c>
      <c r="H5700" s="35">
        <v>-6.5489019824807215</v>
      </c>
      <c r="I5700" s="35">
        <v>-0.97782209524696284</v>
      </c>
      <c r="J5700" s="35">
        <v>-1.8661794541145491E-4</v>
      </c>
      <c r="K5700" s="35">
        <v>-0.55782971986759011</v>
      </c>
      <c r="L5700" s="35">
        <v>46.874369658427668</v>
      </c>
      <c r="M5700" s="58" t="s">
        <v>23</v>
      </c>
      <c r="N5700" s="7">
        <v>11.333333333333334</v>
      </c>
      <c r="O5700" s="7" t="s">
        <v>180</v>
      </c>
      <c r="P5700" s="7" t="s">
        <v>180</v>
      </c>
    </row>
    <row r="5701" spans="1:16" x14ac:dyDescent="0.25">
      <c r="A5701" t="s">
        <v>183</v>
      </c>
      <c r="B5701" t="s">
        <v>227</v>
      </c>
      <c r="C5701" s="7" t="s">
        <v>169</v>
      </c>
      <c r="D5701" t="s">
        <v>124</v>
      </c>
      <c r="F5701" s="35">
        <v>0</v>
      </c>
      <c r="G5701" s="35">
        <v>71.854191960253843</v>
      </c>
      <c r="H5701" s="35">
        <v>0.9532686941364803</v>
      </c>
      <c r="I5701" s="35">
        <v>-8.0851406681400952</v>
      </c>
      <c r="J5701" s="35">
        <v>9.74384133902146E-4</v>
      </c>
      <c r="K5701" s="35">
        <v>-10.08395918293817</v>
      </c>
      <c r="L5701" s="35">
        <v>19.606499900258321</v>
      </c>
      <c r="M5701" s="58" t="s">
        <v>22</v>
      </c>
      <c r="N5701" s="7">
        <v>11.333333333333334</v>
      </c>
      <c r="O5701" s="7" t="s">
        <v>180</v>
      </c>
      <c r="P5701" s="7" t="s">
        <v>180</v>
      </c>
    </row>
    <row r="5702" spans="1:16" x14ac:dyDescent="0.25">
      <c r="A5702" t="s">
        <v>183</v>
      </c>
      <c r="B5702" t="s">
        <v>227</v>
      </c>
      <c r="C5702" s="7" t="s">
        <v>169</v>
      </c>
      <c r="D5702" t="s">
        <v>124</v>
      </c>
      <c r="F5702" s="35">
        <v>0.29999999999999988</v>
      </c>
      <c r="G5702" s="35">
        <v>71.99709780025384</v>
      </c>
      <c r="H5702" s="35">
        <v>0.9532686941364803</v>
      </c>
      <c r="I5702" s="35">
        <v>-8.0851406681400952</v>
      </c>
      <c r="J5702" s="35">
        <v>9.74384133902146E-4</v>
      </c>
      <c r="K5702" s="35">
        <v>-7.6584169824961412</v>
      </c>
      <c r="L5702" s="35">
        <v>19.320519292017377</v>
      </c>
      <c r="M5702" s="58" t="s">
        <v>22</v>
      </c>
      <c r="N5702" s="7">
        <v>11.333333333333334</v>
      </c>
      <c r="O5702" s="7" t="s">
        <v>180</v>
      </c>
      <c r="P5702" s="7" t="s">
        <v>180</v>
      </c>
    </row>
    <row r="5703" spans="1:16" x14ac:dyDescent="0.25">
      <c r="A5703" t="s">
        <v>183</v>
      </c>
      <c r="B5703" t="s">
        <v>227</v>
      </c>
      <c r="C5703" s="7" t="s">
        <v>169</v>
      </c>
      <c r="D5703" t="s">
        <v>124</v>
      </c>
      <c r="F5703" s="35">
        <v>0.29999999999999988</v>
      </c>
      <c r="G5703" s="35">
        <v>-19.896099387929485</v>
      </c>
      <c r="H5703" s="35">
        <v>0.95326869413648097</v>
      </c>
      <c r="I5703" s="35">
        <v>-2.524574590818347</v>
      </c>
      <c r="J5703" s="35">
        <v>4.9365549828738538E-4</v>
      </c>
      <c r="K5703" s="35">
        <v>-7.6584169824961412</v>
      </c>
      <c r="L5703" s="35">
        <v>19.3205481357355</v>
      </c>
      <c r="M5703" s="58" t="s">
        <v>22</v>
      </c>
      <c r="N5703" s="7">
        <v>11.333333333333334</v>
      </c>
      <c r="O5703" s="7" t="s">
        <v>180</v>
      </c>
      <c r="P5703" s="7" t="s">
        <v>180</v>
      </c>
    </row>
    <row r="5704" spans="1:16" x14ac:dyDescent="0.25">
      <c r="A5704" t="s">
        <v>183</v>
      </c>
      <c r="B5704" t="s">
        <v>227</v>
      </c>
      <c r="C5704" s="7" t="s">
        <v>169</v>
      </c>
      <c r="D5704" t="s">
        <v>124</v>
      </c>
      <c r="F5704" s="35">
        <v>5.3</v>
      </c>
      <c r="G5704" s="35">
        <v>-17.514335387929478</v>
      </c>
      <c r="H5704" s="35">
        <v>0.95326869413648097</v>
      </c>
      <c r="I5704" s="35">
        <v>-2.524574590818347</v>
      </c>
      <c r="J5704" s="35">
        <v>4.9365549828738538E-4</v>
      </c>
      <c r="K5704" s="35">
        <v>4.9644559715955916</v>
      </c>
      <c r="L5704" s="35">
        <v>14.554204665053096</v>
      </c>
      <c r="M5704" s="58" t="s">
        <v>24</v>
      </c>
      <c r="N5704" s="7">
        <v>11.333333333333334</v>
      </c>
      <c r="O5704" s="7" t="s">
        <v>180</v>
      </c>
      <c r="P5704" s="7" t="s">
        <v>180</v>
      </c>
    </row>
    <row r="5705" spans="1:16" x14ac:dyDescent="0.25">
      <c r="A5705" t="s">
        <v>183</v>
      </c>
      <c r="B5705" t="s">
        <v>227</v>
      </c>
      <c r="C5705" s="7" t="s">
        <v>169</v>
      </c>
      <c r="D5705" t="s">
        <v>124</v>
      </c>
      <c r="F5705" s="35">
        <v>5.3</v>
      </c>
      <c r="G5705" s="35">
        <v>69.787349378232307</v>
      </c>
      <c r="H5705" s="35">
        <v>0.95305630443684897</v>
      </c>
      <c r="I5705" s="35">
        <v>0.83386931875747206</v>
      </c>
      <c r="J5705" s="35">
        <v>5.3992865516738645E-4</v>
      </c>
      <c r="K5705" s="35">
        <v>4.9644559715956005</v>
      </c>
      <c r="L5705" s="35">
        <v>14.553360487867174</v>
      </c>
      <c r="M5705" s="58" t="s">
        <v>24</v>
      </c>
      <c r="N5705" s="7">
        <v>11.333333333333334</v>
      </c>
      <c r="O5705" s="7" t="s">
        <v>180</v>
      </c>
      <c r="P5705" s="7" t="s">
        <v>180</v>
      </c>
    </row>
    <row r="5706" spans="1:16" x14ac:dyDescent="0.25">
      <c r="A5706" t="s">
        <v>183</v>
      </c>
      <c r="B5706" t="s">
        <v>227</v>
      </c>
      <c r="C5706" s="7" t="s">
        <v>169</v>
      </c>
      <c r="D5706" t="s">
        <v>124</v>
      </c>
      <c r="F5706" s="35">
        <v>5.4149169609489114</v>
      </c>
      <c r="G5706" s="35">
        <v>69.842090394347821</v>
      </c>
      <c r="H5706" s="35">
        <v>0.95305630443684897</v>
      </c>
      <c r="I5706" s="35">
        <v>0.83386931875747206</v>
      </c>
      <c r="J5706" s="35">
        <v>5.3992865516738645E-4</v>
      </c>
      <c r="K5706" s="35">
        <v>4.8686302436554518</v>
      </c>
      <c r="L5706" s="35">
        <v>14.443838153748093</v>
      </c>
      <c r="M5706" s="58" t="s">
        <v>24</v>
      </c>
      <c r="N5706" s="7">
        <v>11.333333333333334</v>
      </c>
      <c r="O5706" s="7" t="s">
        <v>180</v>
      </c>
      <c r="P5706" s="7" t="s">
        <v>180</v>
      </c>
    </row>
    <row r="5707" spans="1:16" x14ac:dyDescent="0.25">
      <c r="A5707" t="s">
        <v>183</v>
      </c>
      <c r="B5707" t="s">
        <v>227</v>
      </c>
      <c r="C5707" s="7" t="s">
        <v>169</v>
      </c>
      <c r="D5707" t="s">
        <v>124</v>
      </c>
      <c r="F5707" s="35">
        <v>10.829833921897823</v>
      </c>
      <c r="G5707" s="35">
        <v>72.421501250463322</v>
      </c>
      <c r="H5707" s="35">
        <v>0.95305630443684897</v>
      </c>
      <c r="I5707" s="35">
        <v>0.83386931875747206</v>
      </c>
      <c r="J5707" s="35">
        <v>5.3992865516738645E-4</v>
      </c>
      <c r="K5707" s="35">
        <v>0.35329712630070403</v>
      </c>
      <c r="L5707" s="35">
        <v>9.2831174061137087</v>
      </c>
      <c r="M5707" s="58" t="s">
        <v>23</v>
      </c>
      <c r="N5707" s="7">
        <v>11.333333333333334</v>
      </c>
      <c r="O5707" s="7" t="s">
        <v>180</v>
      </c>
      <c r="P5707" s="7" t="s">
        <v>180</v>
      </c>
    </row>
    <row r="5708" spans="1:16" x14ac:dyDescent="0.25">
      <c r="A5708" t="s">
        <v>183</v>
      </c>
      <c r="B5708" t="s">
        <v>227</v>
      </c>
      <c r="C5708" s="7" t="s">
        <v>169</v>
      </c>
      <c r="D5708" t="s">
        <v>125</v>
      </c>
      <c r="F5708" s="35">
        <v>0</v>
      </c>
      <c r="G5708" s="35">
        <v>-140.53423711822569</v>
      </c>
      <c r="H5708" s="35">
        <v>16.343683614181341</v>
      </c>
      <c r="I5708" s="35">
        <v>-2.960447543912061</v>
      </c>
      <c r="J5708" s="35">
        <v>5.4634279331284705E-5</v>
      </c>
      <c r="K5708" s="35">
        <v>-5.8740045302328854</v>
      </c>
      <c r="L5708" s="35">
        <v>91.705395279499811</v>
      </c>
      <c r="M5708" s="58" t="s">
        <v>22</v>
      </c>
      <c r="N5708" s="7">
        <v>11.333333333333334</v>
      </c>
      <c r="O5708" s="7" t="s">
        <v>180</v>
      </c>
      <c r="P5708" s="7" t="s">
        <v>180</v>
      </c>
    </row>
    <row r="5709" spans="1:16" x14ac:dyDescent="0.25">
      <c r="A5709" t="s">
        <v>183</v>
      </c>
      <c r="B5709" t="s">
        <v>227</v>
      </c>
      <c r="C5709" s="7" t="s">
        <v>169</v>
      </c>
      <c r="D5709" t="s">
        <v>125</v>
      </c>
      <c r="F5709" s="35">
        <v>0.29999999999999988</v>
      </c>
      <c r="G5709" s="35">
        <v>-140.39133127822566</v>
      </c>
      <c r="H5709" s="35">
        <v>16.343683614181341</v>
      </c>
      <c r="I5709" s="35">
        <v>-2.960447543912061</v>
      </c>
      <c r="J5709" s="35">
        <v>5.4634279331284705E-5</v>
      </c>
      <c r="K5709" s="35">
        <v>-4.9858702670592674</v>
      </c>
      <c r="L5709" s="35">
        <v>86.802290195245391</v>
      </c>
      <c r="M5709" s="58" t="s">
        <v>22</v>
      </c>
      <c r="N5709" s="7">
        <v>11.333333333333334</v>
      </c>
      <c r="O5709" s="7" t="s">
        <v>180</v>
      </c>
      <c r="P5709" s="7" t="s">
        <v>180</v>
      </c>
    </row>
    <row r="5710" spans="1:16" x14ac:dyDescent="0.25">
      <c r="A5710" t="s">
        <v>183</v>
      </c>
      <c r="B5710" t="s">
        <v>227</v>
      </c>
      <c r="C5710" s="7" t="s">
        <v>169</v>
      </c>
      <c r="D5710" t="s">
        <v>125</v>
      </c>
      <c r="F5710" s="35">
        <v>0.29999999999999988</v>
      </c>
      <c r="G5710" s="35">
        <v>-161.42023072495115</v>
      </c>
      <c r="H5710" s="35">
        <v>16.343683614181245</v>
      </c>
      <c r="I5710" s="35">
        <v>-1.6517393310777664</v>
      </c>
      <c r="J5710" s="35">
        <v>6.1229435914110205E-4</v>
      </c>
      <c r="K5710" s="35">
        <v>-4.9858702670592754</v>
      </c>
      <c r="L5710" s="35">
        <v>86.80225673564064</v>
      </c>
      <c r="M5710" s="58" t="s">
        <v>22</v>
      </c>
      <c r="N5710" s="7">
        <v>11.333333333333334</v>
      </c>
      <c r="O5710" s="7" t="s">
        <v>180</v>
      </c>
      <c r="P5710" s="7" t="s">
        <v>180</v>
      </c>
    </row>
    <row r="5711" spans="1:16" x14ac:dyDescent="0.25">
      <c r="A5711" t="s">
        <v>183</v>
      </c>
      <c r="B5711" t="s">
        <v>227</v>
      </c>
      <c r="C5711" s="7" t="s">
        <v>169</v>
      </c>
      <c r="D5711" t="s">
        <v>125</v>
      </c>
      <c r="F5711" s="35">
        <v>5.3</v>
      </c>
      <c r="G5711" s="35">
        <v>-159.03846672495118</v>
      </c>
      <c r="H5711" s="35">
        <v>16.343683614181245</v>
      </c>
      <c r="I5711" s="35">
        <v>-1.6517393310777664</v>
      </c>
      <c r="J5711" s="35">
        <v>6.1229435914110205E-4</v>
      </c>
      <c r="K5711" s="35">
        <v>3.2728263883295576</v>
      </c>
      <c r="L5711" s="35">
        <v>5.0838386647344107</v>
      </c>
      <c r="M5711" s="58" t="s">
        <v>24</v>
      </c>
      <c r="N5711" s="7">
        <v>11.333333333333334</v>
      </c>
      <c r="O5711" s="7" t="s">
        <v>180</v>
      </c>
      <c r="P5711" s="7" t="s">
        <v>180</v>
      </c>
    </row>
    <row r="5712" spans="1:16" x14ac:dyDescent="0.25">
      <c r="A5712" t="s">
        <v>183</v>
      </c>
      <c r="B5712" t="s">
        <v>227</v>
      </c>
      <c r="C5712" s="7" t="s">
        <v>169</v>
      </c>
      <c r="D5712" t="s">
        <v>125</v>
      </c>
      <c r="F5712" s="35">
        <v>5.3</v>
      </c>
      <c r="G5712" s="35">
        <v>-137.23178161483276</v>
      </c>
      <c r="H5712" s="35">
        <v>16.343698836176795</v>
      </c>
      <c r="I5712" s="35">
        <v>0.55334872420169889</v>
      </c>
      <c r="J5712" s="35">
        <v>3.2580689356852E-4</v>
      </c>
      <c r="K5712" s="35">
        <v>3.2728263883295603</v>
      </c>
      <c r="L5712" s="35">
        <v>5.0840003622796912</v>
      </c>
      <c r="M5712" s="58" t="s">
        <v>24</v>
      </c>
      <c r="N5712" s="7">
        <v>11.333333333333334</v>
      </c>
      <c r="O5712" s="7" t="s">
        <v>180</v>
      </c>
      <c r="P5712" s="7" t="s">
        <v>180</v>
      </c>
    </row>
    <row r="5713" spans="1:16" x14ac:dyDescent="0.25">
      <c r="A5713" t="s">
        <v>183</v>
      </c>
      <c r="B5713" t="s">
        <v>227</v>
      </c>
      <c r="C5713" s="7" t="s">
        <v>169</v>
      </c>
      <c r="D5713" t="s">
        <v>125</v>
      </c>
      <c r="F5713" s="35">
        <v>5.4149169609489114</v>
      </c>
      <c r="G5713" s="35">
        <v>-137.17704059871724</v>
      </c>
      <c r="H5713" s="35">
        <v>16.343698836176795</v>
      </c>
      <c r="I5713" s="35">
        <v>0.55334872420169889</v>
      </c>
      <c r="J5713" s="35">
        <v>3.2580689356852E-4</v>
      </c>
      <c r="K5713" s="35">
        <v>3.2092372345993443</v>
      </c>
      <c r="L5713" s="35">
        <v>3.2058321613619936</v>
      </c>
      <c r="M5713" s="58" t="s">
        <v>24</v>
      </c>
      <c r="N5713" s="7">
        <v>11.333333333333334</v>
      </c>
      <c r="O5713" s="7" t="s">
        <v>180</v>
      </c>
      <c r="P5713" s="7" t="s">
        <v>180</v>
      </c>
    </row>
    <row r="5714" spans="1:16" x14ac:dyDescent="0.25">
      <c r="A5714" t="s">
        <v>183</v>
      </c>
      <c r="B5714" t="s">
        <v>227</v>
      </c>
      <c r="C5714" s="7" t="s">
        <v>169</v>
      </c>
      <c r="D5714" t="s">
        <v>125</v>
      </c>
      <c r="F5714" s="35">
        <v>10.829833921897823</v>
      </c>
      <c r="G5714" s="35">
        <v>-134.59762974260175</v>
      </c>
      <c r="H5714" s="35">
        <v>16.343698836176795</v>
      </c>
      <c r="I5714" s="35">
        <v>0.55334872420169889</v>
      </c>
      <c r="J5714" s="35">
        <v>3.2580689356852E-4</v>
      </c>
      <c r="K5714" s="35">
        <v>0.21289984260012459</v>
      </c>
      <c r="L5714" s="35">
        <v>-85.293939871292693</v>
      </c>
      <c r="M5714" s="58" t="s">
        <v>23</v>
      </c>
      <c r="N5714" s="7">
        <v>11.333333333333334</v>
      </c>
      <c r="O5714" s="7" t="s">
        <v>180</v>
      </c>
      <c r="P5714" s="7" t="s">
        <v>180</v>
      </c>
    </row>
    <row r="5715" spans="1:16" x14ac:dyDescent="0.25">
      <c r="A5715" t="s">
        <v>183</v>
      </c>
      <c r="B5715" t="s">
        <v>227</v>
      </c>
      <c r="C5715" s="7" t="s">
        <v>169</v>
      </c>
      <c r="D5715" t="s">
        <v>126</v>
      </c>
      <c r="F5715" s="35">
        <v>0</v>
      </c>
      <c r="G5715" s="35">
        <v>73.257865520071761</v>
      </c>
      <c r="H5715" s="35">
        <v>-8.9915500769473038</v>
      </c>
      <c r="I5715" s="35">
        <v>-8.0581073505882941</v>
      </c>
      <c r="J5715" s="35">
        <v>8.2183922846518795E-4</v>
      </c>
      <c r="K5715" s="35">
        <v>-10.03519486370652</v>
      </c>
      <c r="L5715" s="35">
        <v>-47.169821057834803</v>
      </c>
      <c r="M5715" s="58" t="s">
        <v>22</v>
      </c>
      <c r="N5715" s="7">
        <v>11.333333333333334</v>
      </c>
      <c r="O5715" s="7" t="s">
        <v>180</v>
      </c>
      <c r="P5715" s="7" t="s">
        <v>180</v>
      </c>
    </row>
    <row r="5716" spans="1:16" x14ac:dyDescent="0.25">
      <c r="A5716" t="s">
        <v>183</v>
      </c>
      <c r="B5716" t="s">
        <v>227</v>
      </c>
      <c r="C5716" s="7" t="s">
        <v>169</v>
      </c>
      <c r="D5716" t="s">
        <v>126</v>
      </c>
      <c r="F5716" s="35">
        <v>0.29999999999999988</v>
      </c>
      <c r="G5716" s="35">
        <v>73.400771360071772</v>
      </c>
      <c r="H5716" s="35">
        <v>-8.9915500769473038</v>
      </c>
      <c r="I5716" s="35">
        <v>-8.0581073505882941</v>
      </c>
      <c r="J5716" s="35">
        <v>8.2183922846518795E-4</v>
      </c>
      <c r="K5716" s="35">
        <v>-7.6177626585300331</v>
      </c>
      <c r="L5716" s="35">
        <v>-44.472356034750604</v>
      </c>
      <c r="M5716" s="58" t="s">
        <v>22</v>
      </c>
      <c r="N5716" s="7">
        <v>11.333333333333334</v>
      </c>
      <c r="O5716" s="7" t="s">
        <v>180</v>
      </c>
      <c r="P5716" s="7" t="s">
        <v>180</v>
      </c>
    </row>
    <row r="5717" spans="1:16" x14ac:dyDescent="0.25">
      <c r="A5717" t="s">
        <v>183</v>
      </c>
      <c r="B5717" t="s">
        <v>227</v>
      </c>
      <c r="C5717" s="7" t="s">
        <v>169</v>
      </c>
      <c r="D5717" t="s">
        <v>126</v>
      </c>
      <c r="F5717" s="35">
        <v>0.29999999999999988</v>
      </c>
      <c r="G5717" s="35">
        <v>-18.255919834677055</v>
      </c>
      <c r="H5717" s="35">
        <v>-8.9915500769472523</v>
      </c>
      <c r="I5717" s="35">
        <v>-2.5117316328726069</v>
      </c>
      <c r="J5717" s="35">
        <v>3.9469823850340243E-4</v>
      </c>
      <c r="K5717" s="35">
        <v>-7.6177626585300402</v>
      </c>
      <c r="L5717" s="35">
        <v>-44.472330406291221</v>
      </c>
      <c r="M5717" s="58" t="s">
        <v>22</v>
      </c>
      <c r="N5717" s="7">
        <v>11.333333333333334</v>
      </c>
      <c r="O5717" s="7" t="s">
        <v>180</v>
      </c>
      <c r="P5717" s="7" t="s">
        <v>180</v>
      </c>
    </row>
    <row r="5718" spans="1:16" x14ac:dyDescent="0.25">
      <c r="A5718" t="s">
        <v>183</v>
      </c>
      <c r="B5718" t="s">
        <v>227</v>
      </c>
      <c r="C5718" s="7" t="s">
        <v>169</v>
      </c>
      <c r="D5718" t="s">
        <v>126</v>
      </c>
      <c r="F5718" s="35">
        <v>5.3</v>
      </c>
      <c r="G5718" s="35">
        <v>-15.874155834677044</v>
      </c>
      <c r="H5718" s="35">
        <v>-8.9915500769472523</v>
      </c>
      <c r="I5718" s="35">
        <v>-2.5117316328726069</v>
      </c>
      <c r="J5718" s="35">
        <v>3.9469823850340243E-4</v>
      </c>
      <c r="K5718" s="35">
        <v>4.9408955058329935</v>
      </c>
      <c r="L5718" s="35">
        <v>0.48541997844503343</v>
      </c>
      <c r="M5718" s="58" t="s">
        <v>24</v>
      </c>
      <c r="N5718" s="7">
        <v>11.333333333333334</v>
      </c>
      <c r="O5718" s="7" t="s">
        <v>180</v>
      </c>
      <c r="P5718" s="7" t="s">
        <v>180</v>
      </c>
    </row>
    <row r="5719" spans="1:16" x14ac:dyDescent="0.25">
      <c r="A5719" t="s">
        <v>183</v>
      </c>
      <c r="B5719" t="s">
        <v>227</v>
      </c>
      <c r="C5719" s="7" t="s">
        <v>169</v>
      </c>
      <c r="D5719" t="s">
        <v>126</v>
      </c>
      <c r="F5719" s="35">
        <v>5.3</v>
      </c>
      <c r="G5719" s="35">
        <v>71.296114245111056</v>
      </c>
      <c r="H5719" s="35">
        <v>-8.9915906760805253</v>
      </c>
      <c r="I5719" s="35">
        <v>0.8299570543322814</v>
      </c>
      <c r="J5719" s="35">
        <v>5.9898542293785467E-4</v>
      </c>
      <c r="K5719" s="35">
        <v>4.9408955058329989</v>
      </c>
      <c r="L5719" s="35">
        <v>0.48503366703425149</v>
      </c>
      <c r="M5719" s="58" t="s">
        <v>24</v>
      </c>
      <c r="N5719" s="7">
        <v>11.333333333333334</v>
      </c>
      <c r="O5719" s="7" t="s">
        <v>180</v>
      </c>
      <c r="P5719" s="7" t="s">
        <v>180</v>
      </c>
    </row>
    <row r="5720" spans="1:16" x14ac:dyDescent="0.25">
      <c r="A5720" t="s">
        <v>183</v>
      </c>
      <c r="B5720" t="s">
        <v>227</v>
      </c>
      <c r="C5720" s="7" t="s">
        <v>169</v>
      </c>
      <c r="D5720" t="s">
        <v>126</v>
      </c>
      <c r="F5720" s="35">
        <v>5.4149169609489114</v>
      </c>
      <c r="G5720" s="35">
        <v>71.35085526122657</v>
      </c>
      <c r="H5720" s="35">
        <v>-8.9915906760805253</v>
      </c>
      <c r="I5720" s="35">
        <v>0.8299570543322814</v>
      </c>
      <c r="J5720" s="35">
        <v>5.9898542293785467E-4</v>
      </c>
      <c r="K5720" s="35">
        <v>4.8455193634310225</v>
      </c>
      <c r="L5720" s="35">
        <v>1.5183199416259943</v>
      </c>
      <c r="M5720" s="58" t="s">
        <v>24</v>
      </c>
      <c r="N5720" s="7">
        <v>11.333333333333334</v>
      </c>
      <c r="O5720" s="7" t="s">
        <v>180</v>
      </c>
      <c r="P5720" s="7" t="s">
        <v>180</v>
      </c>
    </row>
    <row r="5721" spans="1:16" x14ac:dyDescent="0.25">
      <c r="A5721" t="s">
        <v>183</v>
      </c>
      <c r="B5721" t="s">
        <v>227</v>
      </c>
      <c r="C5721" s="7" t="s">
        <v>169</v>
      </c>
      <c r="D5721" t="s">
        <v>126</v>
      </c>
      <c r="F5721" s="35">
        <v>10.829833921897823</v>
      </c>
      <c r="G5721" s="35">
        <v>73.930266117342057</v>
      </c>
      <c r="H5721" s="35">
        <v>-8.9915906760805253</v>
      </c>
      <c r="I5721" s="35">
        <v>0.8299570543322814</v>
      </c>
      <c r="J5721" s="35">
        <v>5.9898542293785467E-4</v>
      </c>
      <c r="K5721" s="35">
        <v>0.35137083306795625</v>
      </c>
      <c r="L5721" s="35">
        <v>50.207036799444488</v>
      </c>
      <c r="M5721" s="58" t="s">
        <v>23</v>
      </c>
      <c r="N5721" s="7">
        <v>11.333333333333334</v>
      </c>
      <c r="O5721" s="7" t="s">
        <v>180</v>
      </c>
      <c r="P5721" s="7" t="s">
        <v>180</v>
      </c>
    </row>
    <row r="5722" spans="1:16" x14ac:dyDescent="0.25">
      <c r="A5722" t="s">
        <v>183</v>
      </c>
      <c r="B5722" t="s">
        <v>227</v>
      </c>
      <c r="C5722" s="7" t="s">
        <v>169</v>
      </c>
      <c r="D5722" t="s">
        <v>127</v>
      </c>
      <c r="F5722" s="35">
        <v>0</v>
      </c>
      <c r="G5722" s="35">
        <v>-43.861256318886085</v>
      </c>
      <c r="H5722" s="35">
        <v>-18.61450999653297</v>
      </c>
      <c r="I5722" s="35">
        <v>-3.8331631335339256</v>
      </c>
      <c r="J5722" s="35">
        <v>1.3142740414456378E-3</v>
      </c>
      <c r="K5722" s="35">
        <v>-5.8672106893306246</v>
      </c>
      <c r="L5722" s="35">
        <v>-105.73235136127403</v>
      </c>
      <c r="M5722" s="58" t="s">
        <v>22</v>
      </c>
      <c r="N5722" s="7">
        <v>11.333333333333334</v>
      </c>
      <c r="O5722" s="7" t="s">
        <v>180</v>
      </c>
      <c r="P5722" s="7" t="s">
        <v>180</v>
      </c>
    </row>
    <row r="5723" spans="1:16" x14ac:dyDescent="0.25">
      <c r="A5723" t="s">
        <v>183</v>
      </c>
      <c r="B5723" t="s">
        <v>227</v>
      </c>
      <c r="C5723" s="7" t="s">
        <v>169</v>
      </c>
      <c r="D5723" t="s">
        <v>127</v>
      </c>
      <c r="F5723" s="35">
        <v>0.29999999999999988</v>
      </c>
      <c r="G5723" s="35">
        <v>-43.71835047888608</v>
      </c>
      <c r="H5723" s="35">
        <v>-18.61450999653297</v>
      </c>
      <c r="I5723" s="35">
        <v>-3.8331631335339256</v>
      </c>
      <c r="J5723" s="35">
        <v>1.3142740414456378E-3</v>
      </c>
      <c r="K5723" s="35">
        <v>-4.7172617492704472</v>
      </c>
      <c r="L5723" s="35">
        <v>-100.14799836231414</v>
      </c>
      <c r="M5723" s="58" t="s">
        <v>22</v>
      </c>
      <c r="N5723" s="7">
        <v>11.333333333333334</v>
      </c>
      <c r="O5723" s="7" t="s">
        <v>180</v>
      </c>
      <c r="P5723" s="7" t="s">
        <v>180</v>
      </c>
    </row>
    <row r="5724" spans="1:16" x14ac:dyDescent="0.25">
      <c r="A5724" t="s">
        <v>183</v>
      </c>
      <c r="B5724" t="s">
        <v>227</v>
      </c>
      <c r="C5724" s="7" t="s">
        <v>169</v>
      </c>
      <c r="D5724" t="s">
        <v>127</v>
      </c>
      <c r="F5724" s="35">
        <v>0.29999999999999988</v>
      </c>
      <c r="G5724" s="35">
        <v>-80.818609635593774</v>
      </c>
      <c r="H5724" s="35">
        <v>-18.614509996532817</v>
      </c>
      <c r="I5724" s="35">
        <v>-1.5601733381007015</v>
      </c>
      <c r="J5724" s="35">
        <v>2.0828412785337525E-4</v>
      </c>
      <c r="K5724" s="35">
        <v>-4.7172617492704525</v>
      </c>
      <c r="L5724" s="35">
        <v>-100.14793200291939</v>
      </c>
      <c r="M5724" s="58" t="s">
        <v>22</v>
      </c>
      <c r="N5724" s="7">
        <v>11.333333333333334</v>
      </c>
      <c r="O5724" s="7" t="s">
        <v>180</v>
      </c>
      <c r="P5724" s="7" t="s">
        <v>180</v>
      </c>
    </row>
    <row r="5725" spans="1:16" x14ac:dyDescent="0.25">
      <c r="A5725" t="s">
        <v>183</v>
      </c>
      <c r="B5725" t="s">
        <v>227</v>
      </c>
      <c r="C5725" s="7" t="s">
        <v>169</v>
      </c>
      <c r="D5725" t="s">
        <v>127</v>
      </c>
      <c r="F5725" s="35">
        <v>5.3</v>
      </c>
      <c r="G5725" s="35">
        <v>-78.43684563559377</v>
      </c>
      <c r="H5725" s="35">
        <v>-18.614509996532817</v>
      </c>
      <c r="I5725" s="35">
        <v>-1.5601733381007015</v>
      </c>
      <c r="J5725" s="35">
        <v>2.0828412785337525E-4</v>
      </c>
      <c r="K5725" s="35">
        <v>3.0836049412330553</v>
      </c>
      <c r="L5725" s="35">
        <v>-7.0753820202552999</v>
      </c>
      <c r="M5725" s="58" t="s">
        <v>24</v>
      </c>
      <c r="N5725" s="7">
        <v>11.333333333333334</v>
      </c>
      <c r="O5725" s="7" t="s">
        <v>180</v>
      </c>
      <c r="P5725" s="7" t="s">
        <v>180</v>
      </c>
    </row>
    <row r="5726" spans="1:16" x14ac:dyDescent="0.25">
      <c r="A5726" t="s">
        <v>183</v>
      </c>
      <c r="B5726" t="s">
        <v>227</v>
      </c>
      <c r="C5726" s="7" t="s">
        <v>169</v>
      </c>
      <c r="D5726" t="s">
        <v>127</v>
      </c>
      <c r="F5726" s="35">
        <v>5.3</v>
      </c>
      <c r="G5726" s="35">
        <v>-41.562710692787284</v>
      </c>
      <c r="H5726" s="35">
        <v>-18.614578037073901</v>
      </c>
      <c r="I5726" s="35">
        <v>0.52200874290815547</v>
      </c>
      <c r="J5726" s="35">
        <v>5.6126644579269089E-4</v>
      </c>
      <c r="K5726" s="35">
        <v>3.0836049412330584</v>
      </c>
      <c r="L5726" s="35">
        <v>-7.0765155109861295</v>
      </c>
      <c r="M5726" s="58" t="s">
        <v>24</v>
      </c>
      <c r="N5726" s="7">
        <v>11.333333333333334</v>
      </c>
      <c r="O5726" s="7" t="s">
        <v>180</v>
      </c>
      <c r="P5726" s="7" t="s">
        <v>180</v>
      </c>
    </row>
    <row r="5727" spans="1:16" x14ac:dyDescent="0.25">
      <c r="A5727" t="s">
        <v>183</v>
      </c>
      <c r="B5727" t="s">
        <v>227</v>
      </c>
      <c r="C5727" s="7" t="s">
        <v>169</v>
      </c>
      <c r="D5727" t="s">
        <v>127</v>
      </c>
      <c r="F5727" s="35">
        <v>5.4149169609489114</v>
      </c>
      <c r="G5727" s="35">
        <v>-41.507969676671777</v>
      </c>
      <c r="H5727" s="35">
        <v>-18.614578037073901</v>
      </c>
      <c r="I5727" s="35">
        <v>0.52200874290815547</v>
      </c>
      <c r="J5727" s="35">
        <v>5.6126644579269089E-4</v>
      </c>
      <c r="K5727" s="35">
        <v>3.0236172829092918</v>
      </c>
      <c r="L5727" s="35">
        <v>-4.9373847736192431</v>
      </c>
      <c r="M5727" s="58" t="s">
        <v>24</v>
      </c>
      <c r="N5727" s="7">
        <v>11.333333333333334</v>
      </c>
      <c r="O5727" s="7" t="s">
        <v>180</v>
      </c>
      <c r="P5727" s="7" t="s">
        <v>180</v>
      </c>
    </row>
    <row r="5728" spans="1:16" x14ac:dyDescent="0.25">
      <c r="A5728" t="s">
        <v>183</v>
      </c>
      <c r="B5728" t="s">
        <v>227</v>
      </c>
      <c r="C5728" s="7" t="s">
        <v>169</v>
      </c>
      <c r="D5728" t="s">
        <v>127</v>
      </c>
      <c r="F5728" s="35">
        <v>10.829833921897823</v>
      </c>
      <c r="G5728" s="35">
        <v>-38.928558820556276</v>
      </c>
      <c r="H5728" s="35">
        <v>-18.614578037073901</v>
      </c>
      <c r="I5728" s="35">
        <v>0.52200874290815547</v>
      </c>
      <c r="J5728" s="35">
        <v>5.6126644579269089E-4</v>
      </c>
      <c r="K5728" s="35">
        <v>0.19698328717230196</v>
      </c>
      <c r="L5728" s="35">
        <v>95.859009560239286</v>
      </c>
      <c r="M5728" s="58" t="s">
        <v>23</v>
      </c>
      <c r="N5728" s="7">
        <v>11.333333333333334</v>
      </c>
      <c r="O5728" s="7" t="s">
        <v>180</v>
      </c>
      <c r="P5728" s="7" t="s">
        <v>180</v>
      </c>
    </row>
    <row r="5729" spans="1:16" x14ac:dyDescent="0.25">
      <c r="A5729" t="s">
        <v>183</v>
      </c>
      <c r="B5729" t="s">
        <v>228</v>
      </c>
      <c r="C5729" s="7" t="s">
        <v>170</v>
      </c>
      <c r="D5729" t="s">
        <v>105</v>
      </c>
      <c r="F5729" s="35">
        <v>0</v>
      </c>
      <c r="G5729" s="35">
        <v>-98.908921664704678</v>
      </c>
      <c r="H5729" s="35">
        <v>-2.8089664884473553</v>
      </c>
      <c r="I5729" s="35">
        <v>1.2409402604659883</v>
      </c>
      <c r="J5729" s="35">
        <v>1.6439786251896599E-4</v>
      </c>
      <c r="K5729" s="35">
        <v>0.20055203750845726</v>
      </c>
      <c r="L5729" s="35">
        <v>-8.4913763479275115</v>
      </c>
      <c r="M5729" s="58" t="s">
        <v>22</v>
      </c>
      <c r="N5729" s="7">
        <v>11.333333333333334</v>
      </c>
      <c r="O5729" s="7" t="s">
        <v>180</v>
      </c>
      <c r="P5729" s="7" t="s">
        <v>180</v>
      </c>
    </row>
    <row r="5730" spans="1:16" x14ac:dyDescent="0.25">
      <c r="A5730" t="s">
        <v>183</v>
      </c>
      <c r="B5730" t="s">
        <v>228</v>
      </c>
      <c r="C5730" s="7" t="s">
        <v>170</v>
      </c>
      <c r="D5730" t="s">
        <v>105</v>
      </c>
      <c r="F5730" s="35">
        <v>0.29999999999999988</v>
      </c>
      <c r="G5730" s="35">
        <v>-98.766015824704667</v>
      </c>
      <c r="H5730" s="35">
        <v>-2.8089664884473553</v>
      </c>
      <c r="I5730" s="35">
        <v>1.2409402604659883</v>
      </c>
      <c r="J5730" s="35">
        <v>1.6439786251896599E-4</v>
      </c>
      <c r="K5730" s="35">
        <v>-0.17173004063133909</v>
      </c>
      <c r="L5730" s="35">
        <v>-7.6486864013933058</v>
      </c>
      <c r="M5730" s="58" t="s">
        <v>22</v>
      </c>
      <c r="N5730" s="7">
        <v>11.333333333333334</v>
      </c>
      <c r="O5730" s="7" t="s">
        <v>180</v>
      </c>
      <c r="P5730" s="7" t="s">
        <v>180</v>
      </c>
    </row>
    <row r="5731" spans="1:16" x14ac:dyDescent="0.25">
      <c r="A5731" t="s">
        <v>183</v>
      </c>
      <c r="B5731" t="s">
        <v>228</v>
      </c>
      <c r="C5731" s="7" t="s">
        <v>170</v>
      </c>
      <c r="D5731" t="s">
        <v>105</v>
      </c>
      <c r="F5731" s="35">
        <v>0.29999999999999988</v>
      </c>
      <c r="G5731" s="35">
        <v>-76.277871667512244</v>
      </c>
      <c r="H5731" s="35">
        <v>-2.8089664884473549</v>
      </c>
      <c r="I5731" s="35">
        <v>-6.1374142934806537E-2</v>
      </c>
      <c r="J5731" s="35">
        <v>-1.1112594128108491E-4</v>
      </c>
      <c r="K5731" s="35">
        <v>-0.17173004063133904</v>
      </c>
      <c r="L5731" s="35">
        <v>-7.6486698699650724</v>
      </c>
      <c r="M5731" s="58" t="s">
        <v>22</v>
      </c>
      <c r="N5731" s="7">
        <v>11.333333333333334</v>
      </c>
      <c r="O5731" s="7" t="s">
        <v>180</v>
      </c>
      <c r="P5731" s="7" t="s">
        <v>180</v>
      </c>
    </row>
    <row r="5732" spans="1:16" x14ac:dyDescent="0.25">
      <c r="A5732" t="s">
        <v>183</v>
      </c>
      <c r="B5732" t="s">
        <v>228</v>
      </c>
      <c r="C5732" s="7" t="s">
        <v>170</v>
      </c>
      <c r="D5732" t="s">
        <v>105</v>
      </c>
      <c r="F5732" s="35">
        <v>5.3</v>
      </c>
      <c r="G5732" s="35">
        <v>-73.89610766751224</v>
      </c>
      <c r="H5732" s="35">
        <v>-2.8089664884473549</v>
      </c>
      <c r="I5732" s="35">
        <v>-6.1374142934806537E-2</v>
      </c>
      <c r="J5732" s="35">
        <v>-1.1112594128108491E-4</v>
      </c>
      <c r="K5732" s="35">
        <v>0.13514067404269364</v>
      </c>
      <c r="L5732" s="35">
        <v>6.3961625722717033</v>
      </c>
      <c r="M5732" s="58" t="s">
        <v>24</v>
      </c>
      <c r="N5732" s="7">
        <v>11.333333333333334</v>
      </c>
      <c r="O5732" s="7" t="s">
        <v>180</v>
      </c>
      <c r="P5732" s="7" t="s">
        <v>180</v>
      </c>
    </row>
    <row r="5733" spans="1:16" x14ac:dyDescent="0.25">
      <c r="A5733" t="s">
        <v>183</v>
      </c>
      <c r="B5733" t="s">
        <v>228</v>
      </c>
      <c r="C5733" s="7" t="s">
        <v>170</v>
      </c>
      <c r="D5733" t="s">
        <v>105</v>
      </c>
      <c r="F5733" s="35">
        <v>5.3</v>
      </c>
      <c r="G5733" s="35">
        <v>-91.965180326827678</v>
      </c>
      <c r="H5733" s="35">
        <v>-2.809065226358161</v>
      </c>
      <c r="I5733" s="35">
        <v>3.3413375789370876E-2</v>
      </c>
      <c r="J5733" s="35">
        <v>-3.5974939230957621E-5</v>
      </c>
      <c r="K5733" s="35">
        <v>0.13514067404269373</v>
      </c>
      <c r="L5733" s="35">
        <v>6.3958552071793955</v>
      </c>
      <c r="M5733" s="58" t="s">
        <v>24</v>
      </c>
      <c r="N5733" s="7">
        <v>11.333333333333334</v>
      </c>
      <c r="O5733" s="7" t="s">
        <v>180</v>
      </c>
      <c r="P5733" s="7" t="s">
        <v>180</v>
      </c>
    </row>
    <row r="5734" spans="1:16" x14ac:dyDescent="0.25">
      <c r="A5734" t="s">
        <v>183</v>
      </c>
      <c r="B5734" t="s">
        <v>228</v>
      </c>
      <c r="C5734" s="7" t="s">
        <v>170</v>
      </c>
      <c r="D5734" t="s">
        <v>105</v>
      </c>
      <c r="F5734" s="35">
        <v>5.4149169609489114</v>
      </c>
      <c r="G5734" s="35">
        <v>-91.910439310712164</v>
      </c>
      <c r="H5734" s="35">
        <v>-2.809065226358161</v>
      </c>
      <c r="I5734" s="35">
        <v>3.3413375789370876E-2</v>
      </c>
      <c r="J5734" s="35">
        <v>-3.5974939230957621E-5</v>
      </c>
      <c r="K5734" s="35">
        <v>0.13130091044193526</v>
      </c>
      <c r="L5734" s="35">
        <v>6.7186644460997416</v>
      </c>
      <c r="M5734" s="58" t="s">
        <v>24</v>
      </c>
      <c r="N5734" s="7">
        <v>11.333333333333334</v>
      </c>
      <c r="O5734" s="7" t="s">
        <v>180</v>
      </c>
      <c r="P5734" s="7" t="s">
        <v>180</v>
      </c>
    </row>
    <row r="5735" spans="1:16" x14ac:dyDescent="0.25">
      <c r="A5735" t="s">
        <v>183</v>
      </c>
      <c r="B5735" t="s">
        <v>228</v>
      </c>
      <c r="C5735" s="7" t="s">
        <v>170</v>
      </c>
      <c r="D5735" t="s">
        <v>105</v>
      </c>
      <c r="F5735" s="35">
        <v>10.829833921897823</v>
      </c>
      <c r="G5735" s="35">
        <v>-89.331028454596677</v>
      </c>
      <c r="H5735" s="35">
        <v>-2.809065226358161</v>
      </c>
      <c r="I5735" s="35">
        <v>3.3413375789370876E-2</v>
      </c>
      <c r="J5735" s="35">
        <v>-3.5974939230957621E-5</v>
      </c>
      <c r="K5735" s="35">
        <v>-4.9629744842488756E-2</v>
      </c>
      <c r="L5735" s="35">
        <v>21.929519384718333</v>
      </c>
      <c r="M5735" s="58" t="s">
        <v>23</v>
      </c>
      <c r="N5735" s="7">
        <v>11.333333333333334</v>
      </c>
      <c r="O5735" s="7" t="s">
        <v>180</v>
      </c>
      <c r="P5735" s="7" t="s">
        <v>180</v>
      </c>
    </row>
    <row r="5736" spans="1:16" x14ac:dyDescent="0.25">
      <c r="A5736" t="s">
        <v>183</v>
      </c>
      <c r="B5736" t="s">
        <v>228</v>
      </c>
      <c r="C5736" s="7" t="s">
        <v>170</v>
      </c>
      <c r="D5736" t="s">
        <v>15</v>
      </c>
      <c r="F5736" s="35">
        <v>0</v>
      </c>
      <c r="G5736" s="35">
        <v>131.46727509189563</v>
      </c>
      <c r="H5736" s="35">
        <v>6.2397395416115122</v>
      </c>
      <c r="I5736" s="35">
        <v>-6.9780966450745527</v>
      </c>
      <c r="J5736" s="35">
        <v>-5.1936954854021032E-4</v>
      </c>
      <c r="K5736" s="35">
        <v>-7.8517791679415705</v>
      </c>
      <c r="L5736" s="35">
        <v>21.274744468524233</v>
      </c>
      <c r="M5736" s="58" t="s">
        <v>22</v>
      </c>
      <c r="N5736" s="7">
        <v>11.333333333333334</v>
      </c>
      <c r="O5736" s="7" t="s">
        <v>180</v>
      </c>
      <c r="P5736" s="7" t="s">
        <v>180</v>
      </c>
    </row>
    <row r="5737" spans="1:16" x14ac:dyDescent="0.25">
      <c r="A5737" t="s">
        <v>183</v>
      </c>
      <c r="B5737" t="s">
        <v>228</v>
      </c>
      <c r="C5737" s="7" t="s">
        <v>170</v>
      </c>
      <c r="D5737" t="s">
        <v>15</v>
      </c>
      <c r="F5737" s="35">
        <v>0.29999999999999988</v>
      </c>
      <c r="G5737" s="35">
        <v>131.61018093189566</v>
      </c>
      <c r="H5737" s="35">
        <v>6.2397395416115122</v>
      </c>
      <c r="I5737" s="35">
        <v>-6.9780966450745527</v>
      </c>
      <c r="J5737" s="35">
        <v>-5.1936954854021032E-4</v>
      </c>
      <c r="K5737" s="35">
        <v>-5.7583501744192063</v>
      </c>
      <c r="L5737" s="35">
        <v>19.402822606040779</v>
      </c>
      <c r="M5737" s="58" t="s">
        <v>22</v>
      </c>
      <c r="N5737" s="7">
        <v>11.333333333333334</v>
      </c>
      <c r="O5737" s="7" t="s">
        <v>180</v>
      </c>
      <c r="P5737" s="7" t="s">
        <v>180</v>
      </c>
    </row>
    <row r="5738" spans="1:16" x14ac:dyDescent="0.25">
      <c r="A5738" t="s">
        <v>183</v>
      </c>
      <c r="B5738" t="s">
        <v>228</v>
      </c>
      <c r="C5738" s="7" t="s">
        <v>170</v>
      </c>
      <c r="D5738" t="s">
        <v>15</v>
      </c>
      <c r="F5738" s="35">
        <v>0.29999999999999988</v>
      </c>
      <c r="G5738" s="35">
        <v>47.221251247925736</v>
      </c>
      <c r="H5738" s="35">
        <v>6.2397395416115273</v>
      </c>
      <c r="I5738" s="35">
        <v>-1.8677866180055966</v>
      </c>
      <c r="J5738" s="35">
        <v>1.7678970080618915E-4</v>
      </c>
      <c r="K5738" s="35">
        <v>-5.7583501744192089</v>
      </c>
      <c r="L5738" s="35">
        <v>19.402780836485825</v>
      </c>
      <c r="M5738" s="58" t="s">
        <v>22</v>
      </c>
      <c r="N5738" s="7">
        <v>11.333333333333334</v>
      </c>
      <c r="O5738" s="7" t="s">
        <v>180</v>
      </c>
      <c r="P5738" s="7" t="s">
        <v>180</v>
      </c>
    </row>
    <row r="5739" spans="1:16" x14ac:dyDescent="0.25">
      <c r="A5739" t="s">
        <v>183</v>
      </c>
      <c r="B5739" t="s">
        <v>228</v>
      </c>
      <c r="C5739" s="7" t="s">
        <v>170</v>
      </c>
      <c r="D5739" t="s">
        <v>15</v>
      </c>
      <c r="F5739" s="35">
        <v>5.3</v>
      </c>
      <c r="G5739" s="35">
        <v>49.603015247925732</v>
      </c>
      <c r="H5739" s="35">
        <v>6.2397395416115273</v>
      </c>
      <c r="I5739" s="35">
        <v>-1.8677866180055966</v>
      </c>
      <c r="J5739" s="35">
        <v>1.7678970080618915E-4</v>
      </c>
      <c r="K5739" s="35">
        <v>3.5805829156087743</v>
      </c>
      <c r="L5739" s="35">
        <v>-11.79591687157181</v>
      </c>
      <c r="M5739" s="58" t="s">
        <v>24</v>
      </c>
      <c r="N5739" s="7">
        <v>11.333333333333334</v>
      </c>
      <c r="O5739" s="7" t="s">
        <v>180</v>
      </c>
      <c r="P5739" s="7" t="s">
        <v>180</v>
      </c>
    </row>
    <row r="5740" spans="1:16" x14ac:dyDescent="0.25">
      <c r="A5740" t="s">
        <v>183</v>
      </c>
      <c r="B5740" t="s">
        <v>228</v>
      </c>
      <c r="C5740" s="7" t="s">
        <v>170</v>
      </c>
      <c r="D5740" t="s">
        <v>15</v>
      </c>
      <c r="F5740" s="35">
        <v>5.3</v>
      </c>
      <c r="G5740" s="35">
        <v>126.05455330634234</v>
      </c>
      <c r="H5740" s="35">
        <v>6.2399493982661998</v>
      </c>
      <c r="I5740" s="35">
        <v>0.60478593960044158</v>
      </c>
      <c r="J5740" s="35">
        <v>1.5421204379087361E-5</v>
      </c>
      <c r="K5740" s="35">
        <v>3.580582915608777</v>
      </c>
      <c r="L5740" s="35">
        <v>-11.795053727441031</v>
      </c>
      <c r="M5740" s="58" t="s">
        <v>24</v>
      </c>
      <c r="N5740" s="7">
        <v>11.333333333333334</v>
      </c>
      <c r="O5740" s="7" t="s">
        <v>180</v>
      </c>
      <c r="P5740" s="7" t="s">
        <v>180</v>
      </c>
    </row>
    <row r="5741" spans="1:16" x14ac:dyDescent="0.25">
      <c r="A5741" t="s">
        <v>183</v>
      </c>
      <c r="B5741" t="s">
        <v>228</v>
      </c>
      <c r="C5741" s="7" t="s">
        <v>170</v>
      </c>
      <c r="D5741" t="s">
        <v>15</v>
      </c>
      <c r="F5741" s="35">
        <v>5.4149169609489114</v>
      </c>
      <c r="G5741" s="35">
        <v>126.10929432245786</v>
      </c>
      <c r="H5741" s="35">
        <v>6.2399493982661998</v>
      </c>
      <c r="I5741" s="35">
        <v>0.60478593960044158</v>
      </c>
      <c r="J5741" s="35">
        <v>1.5421204379087361E-5</v>
      </c>
      <c r="K5741" s="35">
        <v>3.5110827534052622</v>
      </c>
      <c r="L5741" s="35">
        <v>-12.512129748764771</v>
      </c>
      <c r="M5741" s="58" t="s">
        <v>24</v>
      </c>
      <c r="N5741" s="7">
        <v>11.333333333333334</v>
      </c>
      <c r="O5741" s="7" t="s">
        <v>180</v>
      </c>
      <c r="P5741" s="7" t="s">
        <v>180</v>
      </c>
    </row>
    <row r="5742" spans="1:16" x14ac:dyDescent="0.25">
      <c r="A5742" t="s">
        <v>183</v>
      </c>
      <c r="B5742" t="s">
        <v>228</v>
      </c>
      <c r="C5742" s="7" t="s">
        <v>170</v>
      </c>
      <c r="D5742" t="s">
        <v>15</v>
      </c>
      <c r="F5742" s="35">
        <v>10.829833921897823</v>
      </c>
      <c r="G5742" s="35">
        <v>128.68870517857334</v>
      </c>
      <c r="H5742" s="35">
        <v>6.2399493982661998</v>
      </c>
      <c r="I5742" s="35">
        <v>0.60478593960044158</v>
      </c>
      <c r="J5742" s="35">
        <v>1.5421204379087361E-5</v>
      </c>
      <c r="K5742" s="35">
        <v>0.23621711131940823</v>
      </c>
      <c r="L5742" s="35">
        <v>-46.300937580899351</v>
      </c>
      <c r="M5742" s="58" t="s">
        <v>23</v>
      </c>
      <c r="N5742" s="7">
        <v>11.333333333333334</v>
      </c>
      <c r="O5742" s="7" t="s">
        <v>180</v>
      </c>
      <c r="P5742" s="7" t="s">
        <v>180</v>
      </c>
    </row>
    <row r="5743" spans="1:16" x14ac:dyDescent="0.25">
      <c r="A5743" t="s">
        <v>183</v>
      </c>
      <c r="B5743" t="s">
        <v>228</v>
      </c>
      <c r="C5743" s="7" t="s">
        <v>170</v>
      </c>
      <c r="D5743" t="s">
        <v>16</v>
      </c>
      <c r="F5743" s="35">
        <v>0</v>
      </c>
      <c r="G5743" s="35">
        <v>49.318093251245564</v>
      </c>
      <c r="H5743" s="35">
        <v>2.5791719540020055</v>
      </c>
      <c r="I5743" s="35">
        <v>-3.1497028209342748</v>
      </c>
      <c r="J5743" s="35">
        <v>-1.8988672744259289E-5</v>
      </c>
      <c r="K5743" s="35">
        <v>-3.7733918992236388</v>
      </c>
      <c r="L5743" s="35">
        <v>8.9647526399746553</v>
      </c>
      <c r="M5743" s="58" t="s">
        <v>22</v>
      </c>
      <c r="N5743" s="7">
        <v>11.333333333333334</v>
      </c>
      <c r="O5743" s="7" t="s">
        <v>180</v>
      </c>
      <c r="P5743" s="7" t="s">
        <v>180</v>
      </c>
    </row>
    <row r="5744" spans="1:16" x14ac:dyDescent="0.25">
      <c r="A5744" t="s">
        <v>183</v>
      </c>
      <c r="B5744" t="s">
        <v>228</v>
      </c>
      <c r="C5744" s="7" t="s">
        <v>170</v>
      </c>
      <c r="D5744" t="s">
        <v>16</v>
      </c>
      <c r="F5744" s="35">
        <v>0.29999999999999988</v>
      </c>
      <c r="G5744" s="35">
        <v>49.460999091245569</v>
      </c>
      <c r="H5744" s="35">
        <v>2.5791719540020055</v>
      </c>
      <c r="I5744" s="35">
        <v>-3.1497028209342748</v>
      </c>
      <c r="J5744" s="35">
        <v>-1.8988672744259289E-5</v>
      </c>
      <c r="K5744" s="35">
        <v>-2.8284810529433564</v>
      </c>
      <c r="L5744" s="35">
        <v>8.1910010537740554</v>
      </c>
      <c r="M5744" s="58" t="s">
        <v>22</v>
      </c>
      <c r="N5744" s="7">
        <v>11.333333333333334</v>
      </c>
      <c r="O5744" s="7" t="s">
        <v>180</v>
      </c>
      <c r="P5744" s="7" t="s">
        <v>180</v>
      </c>
    </row>
    <row r="5745" spans="1:16" x14ac:dyDescent="0.25">
      <c r="A5745" t="s">
        <v>183</v>
      </c>
      <c r="B5745" t="s">
        <v>228</v>
      </c>
      <c r="C5745" s="7" t="s">
        <v>170</v>
      </c>
      <c r="D5745" t="s">
        <v>16</v>
      </c>
      <c r="F5745" s="35">
        <v>0.29999999999999988</v>
      </c>
      <c r="G5745" s="35">
        <v>12.814913556695389</v>
      </c>
      <c r="H5745" s="35">
        <v>2.5791719540020028</v>
      </c>
      <c r="I5745" s="35">
        <v>-0.90396344283050356</v>
      </c>
      <c r="J5745" s="35">
        <v>2.849295515970931E-4</v>
      </c>
      <c r="K5745" s="35">
        <v>-2.8284810529433591</v>
      </c>
      <c r="L5745" s="35">
        <v>8.1909828186805971</v>
      </c>
      <c r="M5745" s="58" t="s">
        <v>22</v>
      </c>
      <c r="N5745" s="7">
        <v>11.333333333333334</v>
      </c>
      <c r="O5745" s="7" t="s">
        <v>180</v>
      </c>
      <c r="P5745" s="7" t="s">
        <v>180</v>
      </c>
    </row>
    <row r="5746" spans="1:16" x14ac:dyDescent="0.25">
      <c r="A5746" t="s">
        <v>183</v>
      </c>
      <c r="B5746" t="s">
        <v>228</v>
      </c>
      <c r="C5746" s="7" t="s">
        <v>170</v>
      </c>
      <c r="D5746" t="s">
        <v>16</v>
      </c>
      <c r="F5746" s="35">
        <v>5.3</v>
      </c>
      <c r="G5746" s="35">
        <v>15.196677556695391</v>
      </c>
      <c r="H5746" s="35">
        <v>2.5791719540020028</v>
      </c>
      <c r="I5746" s="35">
        <v>-0.90396344283050356</v>
      </c>
      <c r="J5746" s="35">
        <v>2.849295515970931E-4</v>
      </c>
      <c r="K5746" s="35">
        <v>1.6913361612091586</v>
      </c>
      <c r="L5746" s="35">
        <v>-4.7048769513294166</v>
      </c>
      <c r="M5746" s="58" t="s">
        <v>24</v>
      </c>
      <c r="N5746" s="7">
        <v>11.333333333333334</v>
      </c>
      <c r="O5746" s="7" t="s">
        <v>180</v>
      </c>
      <c r="P5746" s="7" t="s">
        <v>180</v>
      </c>
    </row>
    <row r="5747" spans="1:16" x14ac:dyDescent="0.25">
      <c r="A5747" t="s">
        <v>183</v>
      </c>
      <c r="B5747" t="s">
        <v>228</v>
      </c>
      <c r="C5747" s="7" t="s">
        <v>170</v>
      </c>
      <c r="D5747" t="s">
        <v>16</v>
      </c>
      <c r="F5747" s="35">
        <v>5.3</v>
      </c>
      <c r="G5747" s="35">
        <v>47.5677775498635</v>
      </c>
      <c r="H5747" s="35">
        <v>2.5792651735319758</v>
      </c>
      <c r="I5747" s="35">
        <v>0.29164330834723645</v>
      </c>
      <c r="J5747" s="35">
        <v>2.2848214224896162E-4</v>
      </c>
      <c r="K5747" s="35">
        <v>1.6913361612091569</v>
      </c>
      <c r="L5747" s="35">
        <v>-4.704517514603376</v>
      </c>
      <c r="M5747" s="58" t="s">
        <v>24</v>
      </c>
      <c r="N5747" s="7">
        <v>11.333333333333334</v>
      </c>
      <c r="O5747" s="7" t="s">
        <v>180</v>
      </c>
      <c r="P5747" s="7" t="s">
        <v>180</v>
      </c>
    </row>
    <row r="5748" spans="1:16" x14ac:dyDescent="0.25">
      <c r="A5748" t="s">
        <v>183</v>
      </c>
      <c r="B5748" t="s">
        <v>228</v>
      </c>
      <c r="C5748" s="7" t="s">
        <v>170</v>
      </c>
      <c r="D5748" t="s">
        <v>16</v>
      </c>
      <c r="F5748" s="35">
        <v>5.4149169609489114</v>
      </c>
      <c r="G5748" s="35">
        <v>47.622518565979007</v>
      </c>
      <c r="H5748" s="35">
        <v>2.5792651735319758</v>
      </c>
      <c r="I5748" s="35">
        <v>0.29164330834723645</v>
      </c>
      <c r="J5748" s="35">
        <v>2.2848214224896162E-4</v>
      </c>
      <c r="K5748" s="35">
        <v>1.6578213985328063</v>
      </c>
      <c r="L5748" s="35">
        <v>-5.0009188298270377</v>
      </c>
      <c r="M5748" s="58" t="s">
        <v>24</v>
      </c>
      <c r="N5748" s="7">
        <v>11.333333333333334</v>
      </c>
      <c r="O5748" s="7" t="s">
        <v>180</v>
      </c>
      <c r="P5748" s="7" t="s">
        <v>180</v>
      </c>
    </row>
    <row r="5749" spans="1:16" x14ac:dyDescent="0.25">
      <c r="A5749" t="s">
        <v>183</v>
      </c>
      <c r="B5749" t="s">
        <v>228</v>
      </c>
      <c r="C5749" s="7" t="s">
        <v>170</v>
      </c>
      <c r="D5749" t="s">
        <v>16</v>
      </c>
      <c r="F5749" s="35">
        <v>10.829833921897823</v>
      </c>
      <c r="G5749" s="35">
        <v>50.201929422094508</v>
      </c>
      <c r="H5749" s="35">
        <v>2.5792651735319758</v>
      </c>
      <c r="I5749" s="35">
        <v>0.29164330834723645</v>
      </c>
      <c r="J5749" s="35">
        <v>2.2848214224896162E-4</v>
      </c>
      <c r="K5749" s="35">
        <v>7.8597101616102755E-2</v>
      </c>
      <c r="L5749" s="35">
        <v>-18.967425564770164</v>
      </c>
      <c r="M5749" s="58" t="s">
        <v>23</v>
      </c>
      <c r="N5749" s="7">
        <v>11.333333333333334</v>
      </c>
      <c r="O5749" s="7" t="s">
        <v>180</v>
      </c>
      <c r="P5749" s="7" t="s">
        <v>180</v>
      </c>
    </row>
    <row r="5750" spans="1:16" x14ac:dyDescent="0.25">
      <c r="A5750" t="s">
        <v>183</v>
      </c>
      <c r="B5750" t="s">
        <v>228</v>
      </c>
      <c r="C5750" s="7" t="s">
        <v>170</v>
      </c>
      <c r="D5750" t="s">
        <v>106</v>
      </c>
      <c r="F5750" s="35">
        <v>0</v>
      </c>
      <c r="G5750" s="35">
        <v>186.54022494585004</v>
      </c>
      <c r="H5750" s="35">
        <v>12.185477738721135</v>
      </c>
      <c r="I5750" s="35">
        <v>4.5082384960668591</v>
      </c>
      <c r="J5750" s="35">
        <v>-1.2245690154303226E-3</v>
      </c>
      <c r="K5750" s="35">
        <v>7.9204834621001137</v>
      </c>
      <c r="L5750" s="35">
        <v>42.708895840487607</v>
      </c>
      <c r="M5750" s="58" t="s">
        <v>22</v>
      </c>
      <c r="N5750" s="7">
        <v>11.333333333333334</v>
      </c>
      <c r="O5750" s="7" t="s">
        <v>180</v>
      </c>
      <c r="P5750" s="7" t="s">
        <v>180</v>
      </c>
    </row>
    <row r="5751" spans="1:16" x14ac:dyDescent="0.25">
      <c r="A5751" t="s">
        <v>183</v>
      </c>
      <c r="B5751" t="s">
        <v>228</v>
      </c>
      <c r="C5751" s="7" t="s">
        <v>170</v>
      </c>
      <c r="D5751" t="s">
        <v>106</v>
      </c>
      <c r="F5751" s="35">
        <v>0.29999999999999988</v>
      </c>
      <c r="G5751" s="35">
        <v>186.68313078585007</v>
      </c>
      <c r="H5751" s="35">
        <v>12.185477738721135</v>
      </c>
      <c r="I5751" s="35">
        <v>4.5082384960668591</v>
      </c>
      <c r="J5751" s="35">
        <v>-1.2245690154303226E-3</v>
      </c>
      <c r="K5751" s="35">
        <v>6.5680119132800563</v>
      </c>
      <c r="L5751" s="35">
        <v>39.053252518871268</v>
      </c>
      <c r="M5751" s="58" t="s">
        <v>22</v>
      </c>
      <c r="N5751" s="7">
        <v>11.333333333333334</v>
      </c>
      <c r="O5751" s="7" t="s">
        <v>180</v>
      </c>
      <c r="P5751" s="7" t="s">
        <v>180</v>
      </c>
    </row>
    <row r="5752" spans="1:16" x14ac:dyDescent="0.25">
      <c r="A5752" t="s">
        <v>183</v>
      </c>
      <c r="B5752" t="s">
        <v>228</v>
      </c>
      <c r="C5752" s="7" t="s">
        <v>170</v>
      </c>
      <c r="D5752" t="s">
        <v>106</v>
      </c>
      <c r="F5752" s="35">
        <v>0.29999999999999988</v>
      </c>
      <c r="G5752" s="35">
        <v>226.8350378210362</v>
      </c>
      <c r="H5752" s="35">
        <v>12.18547773872111</v>
      </c>
      <c r="I5752" s="35">
        <v>2.1460983199864532</v>
      </c>
      <c r="J5752" s="35">
        <v>2.8638873272916683E-4</v>
      </c>
      <c r="K5752" s="35">
        <v>6.5680119132800554</v>
      </c>
      <c r="L5752" s="35">
        <v>39.053161861406387</v>
      </c>
      <c r="M5752" s="58" t="s">
        <v>22</v>
      </c>
      <c r="N5752" s="7">
        <v>11.333333333333334</v>
      </c>
      <c r="O5752" s="7" t="s">
        <v>180</v>
      </c>
      <c r="P5752" s="7" t="s">
        <v>180</v>
      </c>
    </row>
    <row r="5753" spans="1:16" x14ac:dyDescent="0.25">
      <c r="A5753" t="s">
        <v>183</v>
      </c>
      <c r="B5753" t="s">
        <v>228</v>
      </c>
      <c r="C5753" s="7" t="s">
        <v>170</v>
      </c>
      <c r="D5753" t="s">
        <v>106</v>
      </c>
      <c r="F5753" s="35">
        <v>5.3</v>
      </c>
      <c r="G5753" s="35">
        <v>229.21680182103623</v>
      </c>
      <c r="H5753" s="35">
        <v>12.18547773872111</v>
      </c>
      <c r="I5753" s="35">
        <v>2.1460983199864532</v>
      </c>
      <c r="J5753" s="35">
        <v>2.8638873272916683E-4</v>
      </c>
      <c r="K5753" s="35">
        <v>-4.1624796866522091</v>
      </c>
      <c r="L5753" s="35">
        <v>-21.874226832199152</v>
      </c>
      <c r="M5753" s="58" t="s">
        <v>24</v>
      </c>
      <c r="N5753" s="7">
        <v>11.333333333333334</v>
      </c>
      <c r="O5753" s="7" t="s">
        <v>180</v>
      </c>
      <c r="P5753" s="7" t="s">
        <v>180</v>
      </c>
    </row>
    <row r="5754" spans="1:16" x14ac:dyDescent="0.25">
      <c r="A5754" t="s">
        <v>183</v>
      </c>
      <c r="B5754" t="s">
        <v>228</v>
      </c>
      <c r="C5754" s="7" t="s">
        <v>170</v>
      </c>
      <c r="D5754" t="s">
        <v>106</v>
      </c>
      <c r="F5754" s="35">
        <v>5.3</v>
      </c>
      <c r="G5754" s="35">
        <v>199.67081168651845</v>
      </c>
      <c r="H5754" s="35">
        <v>12.185908742961731</v>
      </c>
      <c r="I5754" s="35">
        <v>-0.6790086929044048</v>
      </c>
      <c r="J5754" s="35">
        <v>-1.2041543805646539E-5</v>
      </c>
      <c r="K5754" s="35">
        <v>-4.1624796866522127</v>
      </c>
      <c r="L5754" s="35">
        <v>-21.8723108178255</v>
      </c>
      <c r="M5754" s="58" t="s">
        <v>24</v>
      </c>
      <c r="N5754" s="7">
        <v>11.333333333333334</v>
      </c>
      <c r="O5754" s="7" t="s">
        <v>180</v>
      </c>
      <c r="P5754" s="7" t="s">
        <v>180</v>
      </c>
    </row>
    <row r="5755" spans="1:16" x14ac:dyDescent="0.25">
      <c r="A5755" t="s">
        <v>183</v>
      </c>
      <c r="B5755" t="s">
        <v>228</v>
      </c>
      <c r="C5755" s="7" t="s">
        <v>170</v>
      </c>
      <c r="D5755" t="s">
        <v>106</v>
      </c>
      <c r="F5755" s="35">
        <v>5.4149169609489114</v>
      </c>
      <c r="G5755" s="35">
        <v>199.72555270263396</v>
      </c>
      <c r="H5755" s="35">
        <v>12.185908742961731</v>
      </c>
      <c r="I5755" s="35">
        <v>-0.6790086929044048</v>
      </c>
      <c r="J5755" s="35">
        <v>-1.2041543805646539E-5</v>
      </c>
      <c r="K5755" s="35">
        <v>-4.0844500712057457</v>
      </c>
      <c r="L5755" s="35">
        <v>-23.272678416967437</v>
      </c>
      <c r="M5755" s="58" t="s">
        <v>24</v>
      </c>
      <c r="N5755" s="7">
        <v>11.333333333333334</v>
      </c>
      <c r="O5755" s="7" t="s">
        <v>180</v>
      </c>
      <c r="P5755" s="7" t="s">
        <v>180</v>
      </c>
    </row>
    <row r="5756" spans="1:16" x14ac:dyDescent="0.25">
      <c r="A5756" t="s">
        <v>183</v>
      </c>
      <c r="B5756" t="s">
        <v>228</v>
      </c>
      <c r="C5756" s="7" t="s">
        <v>170</v>
      </c>
      <c r="D5756" t="s">
        <v>106</v>
      </c>
      <c r="F5756" s="35">
        <v>10.829833921897823</v>
      </c>
      <c r="G5756" s="35">
        <v>202.30496355874945</v>
      </c>
      <c r="H5756" s="35">
        <v>12.185908742961731</v>
      </c>
      <c r="I5756" s="35">
        <v>-0.6790086929044048</v>
      </c>
      <c r="J5756" s="35">
        <v>-1.2041543805646539E-5</v>
      </c>
      <c r="K5756" s="35">
        <v>-0.40767438336593431</v>
      </c>
      <c r="L5756" s="35">
        <v>-89.258362353806532</v>
      </c>
      <c r="M5756" s="58" t="s">
        <v>23</v>
      </c>
      <c r="N5756" s="7">
        <v>11.333333333333334</v>
      </c>
      <c r="O5756" s="7" t="s">
        <v>180</v>
      </c>
      <c r="P5756" s="7" t="s">
        <v>180</v>
      </c>
    </row>
    <row r="5757" spans="1:16" x14ac:dyDescent="0.25">
      <c r="A5757" t="s">
        <v>183</v>
      </c>
      <c r="B5757" t="s">
        <v>228</v>
      </c>
      <c r="C5757" s="7" t="s">
        <v>170</v>
      </c>
      <c r="D5757" t="s">
        <v>107</v>
      </c>
      <c r="F5757" s="35">
        <v>0</v>
      </c>
      <c r="G5757" s="35">
        <v>104.345373590731</v>
      </c>
      <c r="H5757" s="35">
        <v>8.4766358570395965</v>
      </c>
      <c r="I5757" s="35">
        <v>8.3351324400664062</v>
      </c>
      <c r="J5757" s="35">
        <v>-7.149352190034549E-4</v>
      </c>
      <c r="K5757" s="35">
        <v>11.996246868824093</v>
      </c>
      <c r="L5757" s="35">
        <v>30.212349614389776</v>
      </c>
      <c r="M5757" s="58" t="s">
        <v>22</v>
      </c>
      <c r="N5757" s="7">
        <v>11.333333333333334</v>
      </c>
      <c r="O5757" s="7" t="s">
        <v>180</v>
      </c>
      <c r="P5757" s="7" t="s">
        <v>180</v>
      </c>
    </row>
    <row r="5758" spans="1:16" x14ac:dyDescent="0.25">
      <c r="A5758" t="s">
        <v>183</v>
      </c>
      <c r="B5758" t="s">
        <v>228</v>
      </c>
      <c r="C5758" s="7" t="s">
        <v>170</v>
      </c>
      <c r="D5758" t="s">
        <v>107</v>
      </c>
      <c r="F5758" s="35">
        <v>0.29999999999999988</v>
      </c>
      <c r="G5758" s="35">
        <v>104.488279430731</v>
      </c>
      <c r="H5758" s="35">
        <v>8.4766358570395965</v>
      </c>
      <c r="I5758" s="35">
        <v>8.3351324400664062</v>
      </c>
      <c r="J5758" s="35">
        <v>-7.149352190034549E-4</v>
      </c>
      <c r="K5758" s="35">
        <v>9.4957071368041746</v>
      </c>
      <c r="L5758" s="35">
        <v>27.669358857277896</v>
      </c>
      <c r="M5758" s="58" t="s">
        <v>22</v>
      </c>
      <c r="N5758" s="7">
        <v>11.333333333333334</v>
      </c>
      <c r="O5758" s="7" t="s">
        <v>180</v>
      </c>
      <c r="P5758" s="7" t="s">
        <v>180</v>
      </c>
    </row>
    <row r="5759" spans="1:16" x14ac:dyDescent="0.25">
      <c r="A5759" t="s">
        <v>183</v>
      </c>
      <c r="B5759" t="s">
        <v>228</v>
      </c>
      <c r="C5759" s="7" t="s">
        <v>170</v>
      </c>
      <c r="D5759" t="s">
        <v>107</v>
      </c>
      <c r="F5759" s="35">
        <v>0.29999999999999988</v>
      </c>
      <c r="G5759" s="35">
        <v>192.36965099160813</v>
      </c>
      <c r="H5759" s="35">
        <v>8.4766358570395806</v>
      </c>
      <c r="I5759" s="35">
        <v>3.1092243924445575</v>
      </c>
      <c r="J5759" s="35">
        <v>3.9481590905082037E-4</v>
      </c>
      <c r="K5759" s="35">
        <v>9.4957071368041674</v>
      </c>
      <c r="L5759" s="35">
        <v>27.669292272210207</v>
      </c>
      <c r="M5759" s="58" t="s">
        <v>22</v>
      </c>
      <c r="N5759" s="7">
        <v>11.333333333333334</v>
      </c>
      <c r="O5759" s="7" t="s">
        <v>180</v>
      </c>
      <c r="P5759" s="7" t="s">
        <v>180</v>
      </c>
    </row>
    <row r="5760" spans="1:16" x14ac:dyDescent="0.25">
      <c r="A5760" t="s">
        <v>183</v>
      </c>
      <c r="B5760" t="s">
        <v>228</v>
      </c>
      <c r="C5760" s="7" t="s">
        <v>170</v>
      </c>
      <c r="D5760" t="s">
        <v>107</v>
      </c>
      <c r="F5760" s="35">
        <v>5.3</v>
      </c>
      <c r="G5760" s="35">
        <v>194.7514149916081</v>
      </c>
      <c r="H5760" s="35">
        <v>8.4766358570395806</v>
      </c>
      <c r="I5760" s="35">
        <v>3.1092243924445575</v>
      </c>
      <c r="J5760" s="35">
        <v>3.9481590905082037E-4</v>
      </c>
      <c r="K5760" s="35">
        <v>-6.0504148254186179</v>
      </c>
      <c r="L5760" s="35">
        <v>-14.713887012987696</v>
      </c>
      <c r="M5760" s="58" t="s">
        <v>24</v>
      </c>
      <c r="N5760" s="7">
        <v>11.333333333333334</v>
      </c>
      <c r="O5760" s="7" t="s">
        <v>180</v>
      </c>
      <c r="P5760" s="7" t="s">
        <v>180</v>
      </c>
    </row>
    <row r="5761" spans="1:16" x14ac:dyDescent="0.25">
      <c r="A5761" t="s">
        <v>183</v>
      </c>
      <c r="B5761" t="s">
        <v>228</v>
      </c>
      <c r="C5761" s="7" t="s">
        <v>170</v>
      </c>
      <c r="D5761" t="s">
        <v>107</v>
      </c>
      <c r="F5761" s="35">
        <v>5.3</v>
      </c>
      <c r="G5761" s="35">
        <v>121.13322133854643</v>
      </c>
      <c r="H5761" s="35">
        <v>8.4769478799073106</v>
      </c>
      <c r="I5761" s="35">
        <v>-0.99193453996632008</v>
      </c>
      <c r="J5761" s="35">
        <v>2.0214878248076714E-4</v>
      </c>
      <c r="K5761" s="35">
        <v>-6.0504148254186187</v>
      </c>
      <c r="L5761" s="35">
        <v>-14.712486293316909</v>
      </c>
      <c r="M5761" s="58" t="s">
        <v>24</v>
      </c>
      <c r="N5761" s="7">
        <v>11.333333333333334</v>
      </c>
      <c r="O5761" s="7" t="s">
        <v>180</v>
      </c>
      <c r="P5761" s="7" t="s">
        <v>180</v>
      </c>
    </row>
    <row r="5762" spans="1:16" x14ac:dyDescent="0.25">
      <c r="A5762" t="s">
        <v>183</v>
      </c>
      <c r="B5762" t="s">
        <v>228</v>
      </c>
      <c r="C5762" s="7" t="s">
        <v>170</v>
      </c>
      <c r="D5762" t="s">
        <v>107</v>
      </c>
      <c r="F5762" s="35">
        <v>5.4149169609489114</v>
      </c>
      <c r="G5762" s="35">
        <v>121.18796235466195</v>
      </c>
      <c r="H5762" s="35">
        <v>8.4769478799073106</v>
      </c>
      <c r="I5762" s="35">
        <v>-0.99193453996632008</v>
      </c>
      <c r="J5762" s="35">
        <v>2.0214878248076714E-4</v>
      </c>
      <c r="K5762" s="35">
        <v>-5.936424722625433</v>
      </c>
      <c r="L5762" s="35">
        <v>-15.686631381798172</v>
      </c>
      <c r="M5762" s="58" t="s">
        <v>24</v>
      </c>
      <c r="N5762" s="7">
        <v>11.333333333333334</v>
      </c>
      <c r="O5762" s="7" t="s">
        <v>180</v>
      </c>
      <c r="P5762" s="7" t="s">
        <v>180</v>
      </c>
    </row>
    <row r="5763" spans="1:16" x14ac:dyDescent="0.25">
      <c r="A5763" t="s">
        <v>183</v>
      </c>
      <c r="B5763" t="s">
        <v>228</v>
      </c>
      <c r="C5763" s="7" t="s">
        <v>170</v>
      </c>
      <c r="D5763" t="s">
        <v>107</v>
      </c>
      <c r="F5763" s="35">
        <v>10.829833921897823</v>
      </c>
      <c r="G5763" s="35">
        <v>123.76737321077745</v>
      </c>
      <c r="H5763" s="35">
        <v>8.4769478799073106</v>
      </c>
      <c r="I5763" s="35">
        <v>-0.99193453996632008</v>
      </c>
      <c r="J5763" s="35">
        <v>2.0214878248076714E-4</v>
      </c>
      <c r="K5763" s="35">
        <v>-0.56518155801075198</v>
      </c>
      <c r="L5763" s="35">
        <v>-61.588600233788171</v>
      </c>
      <c r="M5763" s="58" t="s">
        <v>23</v>
      </c>
      <c r="N5763" s="7">
        <v>11.333333333333334</v>
      </c>
      <c r="O5763" s="7" t="s">
        <v>180</v>
      </c>
      <c r="P5763" s="7" t="s">
        <v>180</v>
      </c>
    </row>
    <row r="5764" spans="1:16" x14ac:dyDescent="0.25">
      <c r="A5764" t="s">
        <v>183</v>
      </c>
      <c r="B5764" t="s">
        <v>228</v>
      </c>
      <c r="C5764" s="7" t="s">
        <v>170</v>
      </c>
      <c r="D5764" t="s">
        <v>108</v>
      </c>
      <c r="F5764" s="35">
        <v>0</v>
      </c>
      <c r="G5764" s="35">
        <v>123.65247678495649</v>
      </c>
      <c r="H5764" s="35">
        <v>10.916326060264373</v>
      </c>
      <c r="I5764" s="35">
        <v>-8.5338798897840817</v>
      </c>
      <c r="J5764" s="35">
        <v>-9.5460249366697029E-4</v>
      </c>
      <c r="K5764" s="35">
        <v>-10.052792113653672</v>
      </c>
      <c r="L5764" s="35">
        <v>53.31606152087096</v>
      </c>
      <c r="M5764" s="58" t="s">
        <v>22</v>
      </c>
      <c r="N5764" s="7">
        <v>11.333333333333334</v>
      </c>
      <c r="O5764" s="7" t="s">
        <v>180</v>
      </c>
      <c r="P5764" s="7" t="s">
        <v>180</v>
      </c>
    </row>
    <row r="5765" spans="1:16" x14ac:dyDescent="0.25">
      <c r="A5765" t="s">
        <v>183</v>
      </c>
      <c r="B5765" t="s">
        <v>228</v>
      </c>
      <c r="C5765" s="7" t="s">
        <v>170</v>
      </c>
      <c r="D5765" t="s">
        <v>108</v>
      </c>
      <c r="F5765" s="35">
        <v>0.29999999999999988</v>
      </c>
      <c r="G5765" s="35">
        <v>123.79538262495649</v>
      </c>
      <c r="H5765" s="35">
        <v>10.916326060264373</v>
      </c>
      <c r="I5765" s="35">
        <v>-8.5338798897840817</v>
      </c>
      <c r="J5765" s="35">
        <v>-9.5460249366697029E-4</v>
      </c>
      <c r="K5765" s="35">
        <v>-7.4926281467184488</v>
      </c>
      <c r="L5765" s="35">
        <v>50.04116370279165</v>
      </c>
      <c r="M5765" s="58" t="s">
        <v>22</v>
      </c>
      <c r="N5765" s="7">
        <v>11.333333333333334</v>
      </c>
      <c r="O5765" s="7" t="s">
        <v>180</v>
      </c>
      <c r="P5765" s="7" t="s">
        <v>180</v>
      </c>
    </row>
    <row r="5766" spans="1:16" x14ac:dyDescent="0.25">
      <c r="A5766" t="s">
        <v>183</v>
      </c>
      <c r="B5766" t="s">
        <v>228</v>
      </c>
      <c r="C5766" s="7" t="s">
        <v>170</v>
      </c>
      <c r="D5766" t="s">
        <v>108</v>
      </c>
      <c r="F5766" s="35">
        <v>0.29999999999999988</v>
      </c>
      <c r="G5766" s="35">
        <v>23.488040084968361</v>
      </c>
      <c r="H5766" s="35">
        <v>10.916326060264423</v>
      </c>
      <c r="I5766" s="35">
        <v>-2.4684650913539841</v>
      </c>
      <c r="J5766" s="35">
        <v>-3.2457373404461907E-4</v>
      </c>
      <c r="K5766" s="35">
        <v>-7.4926281467184515</v>
      </c>
      <c r="L5766" s="35">
        <v>50.041125901066081</v>
      </c>
      <c r="M5766" s="58" t="s">
        <v>22</v>
      </c>
      <c r="N5766" s="7">
        <v>11.333333333333334</v>
      </c>
      <c r="O5766" s="7" t="s">
        <v>180</v>
      </c>
      <c r="P5766" s="7" t="s">
        <v>180</v>
      </c>
    </row>
    <row r="5767" spans="1:16" x14ac:dyDescent="0.25">
      <c r="A5767" t="s">
        <v>183</v>
      </c>
      <c r="B5767" t="s">
        <v>228</v>
      </c>
      <c r="C5767" s="7" t="s">
        <v>170</v>
      </c>
      <c r="D5767" t="s">
        <v>108</v>
      </c>
      <c r="F5767" s="35">
        <v>5.3</v>
      </c>
      <c r="G5767" s="35">
        <v>25.869804084968361</v>
      </c>
      <c r="H5767" s="35">
        <v>10.916326060264423</v>
      </c>
      <c r="I5767" s="35">
        <v>-2.4684650913539841</v>
      </c>
      <c r="J5767" s="35">
        <v>-3.2457373404461907E-4</v>
      </c>
      <c r="K5767" s="35">
        <v>4.8496973100514689</v>
      </c>
      <c r="L5767" s="35">
        <v>-4.5405044002560233</v>
      </c>
      <c r="M5767" s="58" t="s">
        <v>24</v>
      </c>
      <c r="N5767" s="7">
        <v>11.333333333333334</v>
      </c>
      <c r="O5767" s="7" t="s">
        <v>180</v>
      </c>
      <c r="P5767" s="7" t="s">
        <v>180</v>
      </c>
    </row>
    <row r="5768" spans="1:16" x14ac:dyDescent="0.25">
      <c r="A5768" t="s">
        <v>183</v>
      </c>
      <c r="B5768" t="s">
        <v>228</v>
      </c>
      <c r="C5768" s="7" t="s">
        <v>170</v>
      </c>
      <c r="D5768" t="s">
        <v>108</v>
      </c>
      <c r="F5768" s="35">
        <v>5.3</v>
      </c>
      <c r="G5768" s="35">
        <v>121.10457107456699</v>
      </c>
      <c r="H5768" s="35">
        <v>10.916433841236881</v>
      </c>
      <c r="I5768" s="35">
        <v>0.81488308179922975</v>
      </c>
      <c r="J5768" s="35">
        <v>-5.7895423984413838E-4</v>
      </c>
      <c r="K5768" s="35">
        <v>4.849697310051468</v>
      </c>
      <c r="L5768" s="35">
        <v>-4.5398812828365784</v>
      </c>
      <c r="M5768" s="58" t="s">
        <v>24</v>
      </c>
      <c r="N5768" s="7">
        <v>11.333333333333334</v>
      </c>
      <c r="O5768" s="7" t="s">
        <v>180</v>
      </c>
      <c r="P5768" s="7" t="s">
        <v>180</v>
      </c>
    </row>
    <row r="5769" spans="1:16" x14ac:dyDescent="0.25">
      <c r="A5769" t="s">
        <v>183</v>
      </c>
      <c r="B5769" t="s">
        <v>228</v>
      </c>
      <c r="C5769" s="7" t="s">
        <v>170</v>
      </c>
      <c r="D5769" t="s">
        <v>108</v>
      </c>
      <c r="F5769" s="35">
        <v>5.4149169609489114</v>
      </c>
      <c r="G5769" s="35">
        <v>121.15931209068249</v>
      </c>
      <c r="H5769" s="35">
        <v>10.916433841236881</v>
      </c>
      <c r="I5769" s="35">
        <v>0.81488308179922975</v>
      </c>
      <c r="J5769" s="35">
        <v>-5.7895423984413838E-4</v>
      </c>
      <c r="K5769" s="35">
        <v>4.7560534227624167</v>
      </c>
      <c r="L5769" s="35">
        <v>-5.7943646842713736</v>
      </c>
      <c r="M5769" s="58" t="s">
        <v>24</v>
      </c>
      <c r="N5769" s="7">
        <v>11.333333333333334</v>
      </c>
      <c r="O5769" s="7" t="s">
        <v>180</v>
      </c>
      <c r="P5769" s="7" t="s">
        <v>180</v>
      </c>
    </row>
    <row r="5770" spans="1:16" x14ac:dyDescent="0.25">
      <c r="A5770" t="s">
        <v>183</v>
      </c>
      <c r="B5770" t="s">
        <v>228</v>
      </c>
      <c r="C5770" s="7" t="s">
        <v>170</v>
      </c>
      <c r="D5770" t="s">
        <v>108</v>
      </c>
      <c r="F5770" s="35">
        <v>10.829833921897823</v>
      </c>
      <c r="G5770" s="35">
        <v>123.73872294679799</v>
      </c>
      <c r="H5770" s="35">
        <v>10.916433841236881</v>
      </c>
      <c r="I5770" s="35">
        <v>0.81488308179922975</v>
      </c>
      <c r="J5770" s="35">
        <v>-5.7895423984413838E-4</v>
      </c>
      <c r="K5770" s="35">
        <v>0.34352920193744979</v>
      </c>
      <c r="L5770" s="35">
        <v>-64.905947444261614</v>
      </c>
      <c r="M5770" s="58" t="s">
        <v>23</v>
      </c>
      <c r="N5770" s="7">
        <v>11.333333333333334</v>
      </c>
      <c r="O5770" s="7" t="s">
        <v>180</v>
      </c>
      <c r="P5770" s="7" t="s">
        <v>180</v>
      </c>
    </row>
    <row r="5771" spans="1:16" x14ac:dyDescent="0.25">
      <c r="A5771" t="s">
        <v>183</v>
      </c>
      <c r="B5771" t="s">
        <v>228</v>
      </c>
      <c r="C5771" s="7" t="s">
        <v>170</v>
      </c>
      <c r="D5771" t="s">
        <v>109</v>
      </c>
      <c r="F5771" s="35">
        <v>0</v>
      </c>
      <c r="G5771" s="35">
        <v>6.5961957698153411</v>
      </c>
      <c r="H5771" s="35">
        <v>20.53889079827109</v>
      </c>
      <c r="I5771" s="35">
        <v>-4.3210531609891571</v>
      </c>
      <c r="J5771" s="35">
        <v>-1.4497175837123097E-3</v>
      </c>
      <c r="K5771" s="35">
        <v>-5.8998889906822329</v>
      </c>
      <c r="L5771" s="35">
        <v>111.88051739978869</v>
      </c>
      <c r="M5771" s="58" t="s">
        <v>22</v>
      </c>
      <c r="N5771" s="7">
        <v>11.333333333333334</v>
      </c>
      <c r="O5771" s="7" t="s">
        <v>180</v>
      </c>
      <c r="P5771" s="7" t="s">
        <v>180</v>
      </c>
    </row>
    <row r="5772" spans="1:16" x14ac:dyDescent="0.25">
      <c r="A5772" t="s">
        <v>183</v>
      </c>
      <c r="B5772" t="s">
        <v>228</v>
      </c>
      <c r="C5772" s="7" t="s">
        <v>170</v>
      </c>
      <c r="D5772" t="s">
        <v>109</v>
      </c>
      <c r="F5772" s="35">
        <v>0.29999999999999988</v>
      </c>
      <c r="G5772" s="35">
        <v>6.7391016098153402</v>
      </c>
      <c r="H5772" s="35">
        <v>20.53889079827109</v>
      </c>
      <c r="I5772" s="35">
        <v>-4.3210531609891571</v>
      </c>
      <c r="J5772" s="35">
        <v>-1.4497175837123097E-3</v>
      </c>
      <c r="K5772" s="35">
        <v>-4.603573042385487</v>
      </c>
      <c r="L5772" s="35">
        <v>105.71885016030738</v>
      </c>
      <c r="M5772" s="58" t="s">
        <v>22</v>
      </c>
      <c r="N5772" s="7">
        <v>11.333333333333334</v>
      </c>
      <c r="O5772" s="7" t="s">
        <v>180</v>
      </c>
      <c r="P5772" s="7" t="s">
        <v>180</v>
      </c>
    </row>
    <row r="5773" spans="1:16" x14ac:dyDescent="0.25">
      <c r="A5773" t="s">
        <v>183</v>
      </c>
      <c r="B5773" t="s">
        <v>228</v>
      </c>
      <c r="C5773" s="7" t="s">
        <v>170</v>
      </c>
      <c r="D5773" t="s">
        <v>109</v>
      </c>
      <c r="F5773" s="35">
        <v>0.29999999999999988</v>
      </c>
      <c r="G5773" s="35">
        <v>-39.153481784381739</v>
      </c>
      <c r="H5773" s="35">
        <v>20.538890798271016</v>
      </c>
      <c r="I5773" s="35">
        <v>-1.5205239113065665</v>
      </c>
      <c r="J5773" s="35">
        <v>-1.3954822466657842E-4</v>
      </c>
      <c r="K5773" s="35">
        <v>-4.6035730423854924</v>
      </c>
      <c r="L5773" s="35">
        <v>105.71877155014579</v>
      </c>
      <c r="M5773" s="58" t="s">
        <v>22</v>
      </c>
      <c r="N5773" s="7">
        <v>11.333333333333334</v>
      </c>
      <c r="O5773" s="7" t="s">
        <v>180</v>
      </c>
      <c r="P5773" s="7" t="s">
        <v>180</v>
      </c>
    </row>
    <row r="5774" spans="1:16" x14ac:dyDescent="0.25">
      <c r="A5774" t="s">
        <v>183</v>
      </c>
      <c r="B5774" t="s">
        <v>228</v>
      </c>
      <c r="C5774" s="7" t="s">
        <v>170</v>
      </c>
      <c r="D5774" t="s">
        <v>109</v>
      </c>
      <c r="F5774" s="35">
        <v>5.3</v>
      </c>
      <c r="G5774" s="35">
        <v>-36.771717784381735</v>
      </c>
      <c r="H5774" s="35">
        <v>20.538890798271016</v>
      </c>
      <c r="I5774" s="35">
        <v>-1.5205239113065665</v>
      </c>
      <c r="J5774" s="35">
        <v>-1.3954822466657842E-4</v>
      </c>
      <c r="K5774" s="35">
        <v>2.9990465141473397</v>
      </c>
      <c r="L5774" s="35">
        <v>3.0243175587907314</v>
      </c>
      <c r="M5774" s="58" t="s">
        <v>24</v>
      </c>
      <c r="N5774" s="7">
        <v>11.333333333333334</v>
      </c>
      <c r="O5774" s="7" t="s">
        <v>180</v>
      </c>
      <c r="P5774" s="7" t="s">
        <v>180</v>
      </c>
    </row>
    <row r="5775" spans="1:16" x14ac:dyDescent="0.25">
      <c r="A5775" t="s">
        <v>183</v>
      </c>
      <c r="B5775" t="s">
        <v>228</v>
      </c>
      <c r="C5775" s="7" t="s">
        <v>170</v>
      </c>
      <c r="D5775" t="s">
        <v>109</v>
      </c>
      <c r="F5775" s="35">
        <v>5.3</v>
      </c>
      <c r="G5775" s="35">
        <v>8.2741293904729005</v>
      </c>
      <c r="H5775" s="35">
        <v>20.539026207646607</v>
      </c>
      <c r="I5775" s="35">
        <v>0.50803541292684395</v>
      </c>
      <c r="J5775" s="35">
        <v>-5.4261599598167949E-4</v>
      </c>
      <c r="K5775" s="35">
        <v>2.999046514147341</v>
      </c>
      <c r="L5775" s="35">
        <v>3.0256902308519726</v>
      </c>
      <c r="M5775" s="58" t="s">
        <v>24</v>
      </c>
      <c r="N5775" s="7">
        <v>11.333333333333334</v>
      </c>
      <c r="O5775" s="7" t="s">
        <v>180</v>
      </c>
      <c r="P5775" s="7" t="s">
        <v>180</v>
      </c>
    </row>
    <row r="5776" spans="1:16" x14ac:dyDescent="0.25">
      <c r="A5776" t="s">
        <v>183</v>
      </c>
      <c r="B5776" t="s">
        <v>228</v>
      </c>
      <c r="C5776" s="7" t="s">
        <v>170</v>
      </c>
      <c r="D5776" t="s">
        <v>109</v>
      </c>
      <c r="F5776" s="35">
        <v>5.4149169609489114</v>
      </c>
      <c r="G5776" s="35">
        <v>8.3288704065884076</v>
      </c>
      <c r="H5776" s="35">
        <v>20.539026207646607</v>
      </c>
      <c r="I5776" s="35">
        <v>0.50803541292684395</v>
      </c>
      <c r="J5776" s="35">
        <v>-5.4261599598167949E-4</v>
      </c>
      <c r="K5776" s="35">
        <v>2.9406646284393627</v>
      </c>
      <c r="L5776" s="35">
        <v>0.66540775821917886</v>
      </c>
      <c r="M5776" s="58" t="s">
        <v>24</v>
      </c>
      <c r="N5776" s="7">
        <v>11.333333333333334</v>
      </c>
      <c r="O5776" s="7" t="s">
        <v>180</v>
      </c>
      <c r="P5776" s="7" t="s">
        <v>180</v>
      </c>
    </row>
    <row r="5777" spans="1:16" x14ac:dyDescent="0.25">
      <c r="A5777" t="s">
        <v>183</v>
      </c>
      <c r="B5777" t="s">
        <v>228</v>
      </c>
      <c r="C5777" s="7" t="s">
        <v>170</v>
      </c>
      <c r="D5777" t="s">
        <v>109</v>
      </c>
      <c r="F5777" s="35">
        <v>10.829833921897823</v>
      </c>
      <c r="G5777" s="35">
        <v>10.908281262703907</v>
      </c>
      <c r="H5777" s="35">
        <v>20.539026207646607</v>
      </c>
      <c r="I5777" s="35">
        <v>0.50803541292684395</v>
      </c>
      <c r="J5777" s="35">
        <v>-5.4261599598167949E-4</v>
      </c>
      <c r="K5777" s="35">
        <v>0.18969505421911223</v>
      </c>
      <c r="L5777" s="35">
        <v>-110.5517136149406</v>
      </c>
      <c r="M5777" s="58" t="s">
        <v>23</v>
      </c>
      <c r="N5777" s="7">
        <v>11.333333333333334</v>
      </c>
      <c r="O5777" s="7" t="s">
        <v>180</v>
      </c>
      <c r="P5777" s="7" t="s">
        <v>180</v>
      </c>
    </row>
    <row r="5778" spans="1:16" x14ac:dyDescent="0.25">
      <c r="A5778" t="s">
        <v>183</v>
      </c>
      <c r="B5778" t="s">
        <v>228</v>
      </c>
      <c r="C5778" s="7" t="s">
        <v>170</v>
      </c>
      <c r="D5778" t="s">
        <v>110</v>
      </c>
      <c r="F5778" s="35">
        <v>0</v>
      </c>
      <c r="G5778" s="35">
        <v>122.23770090357542</v>
      </c>
      <c r="H5778" s="35">
        <v>0.97246624895488465</v>
      </c>
      <c r="I5778" s="35">
        <v>-8.5590231601688114</v>
      </c>
      <c r="J5778" s="35">
        <v>-1.1077556246940287E-3</v>
      </c>
      <c r="K5778" s="35">
        <v>-10.099223925399723</v>
      </c>
      <c r="L5778" s="35">
        <v>-13.456275458659681</v>
      </c>
      <c r="M5778" s="58" t="s">
        <v>22</v>
      </c>
      <c r="N5778" s="7">
        <v>11.333333333333334</v>
      </c>
      <c r="O5778" s="7" t="s">
        <v>180</v>
      </c>
      <c r="P5778" s="7" t="s">
        <v>180</v>
      </c>
    </row>
    <row r="5779" spans="1:16" x14ac:dyDescent="0.25">
      <c r="A5779" t="s">
        <v>183</v>
      </c>
      <c r="B5779" t="s">
        <v>228</v>
      </c>
      <c r="C5779" s="7" t="s">
        <v>170</v>
      </c>
      <c r="D5779" t="s">
        <v>110</v>
      </c>
      <c r="F5779" s="35">
        <v>0.29999999999999988</v>
      </c>
      <c r="G5779" s="35">
        <v>122.38060674357543</v>
      </c>
      <c r="H5779" s="35">
        <v>0.97246624895488465</v>
      </c>
      <c r="I5779" s="35">
        <v>-8.5590231601688114</v>
      </c>
      <c r="J5779" s="35">
        <v>-1.1077556246940287E-3</v>
      </c>
      <c r="K5779" s="35">
        <v>-7.5315169773490807</v>
      </c>
      <c r="L5779" s="35">
        <v>-13.748015333346146</v>
      </c>
      <c r="M5779" s="58" t="s">
        <v>22</v>
      </c>
      <c r="N5779" s="7">
        <v>11.333333333333334</v>
      </c>
      <c r="O5779" s="7" t="s">
        <v>180</v>
      </c>
      <c r="P5779" s="7" t="s">
        <v>180</v>
      </c>
    </row>
    <row r="5780" spans="1:16" x14ac:dyDescent="0.25">
      <c r="A5780" t="s">
        <v>183</v>
      </c>
      <c r="B5780" t="s">
        <v>228</v>
      </c>
      <c r="C5780" s="7" t="s">
        <v>170</v>
      </c>
      <c r="D5780" t="s">
        <v>110</v>
      </c>
      <c r="F5780" s="35">
        <v>0.29999999999999988</v>
      </c>
      <c r="G5780" s="35">
        <v>21.858955536956827</v>
      </c>
      <c r="H5780" s="35">
        <v>0.97246624895488709</v>
      </c>
      <c r="I5780" s="35">
        <v>-2.480749841740896</v>
      </c>
      <c r="J5780" s="35">
        <v>-4.2398932278134353E-4</v>
      </c>
      <c r="K5780" s="35">
        <v>-7.531516977349086</v>
      </c>
      <c r="L5780" s="35">
        <v>-13.748056359324265</v>
      </c>
      <c r="M5780" s="58" t="s">
        <v>22</v>
      </c>
      <c r="N5780" s="7">
        <v>11.333333333333334</v>
      </c>
      <c r="O5780" s="7" t="s">
        <v>180</v>
      </c>
      <c r="P5780" s="7" t="s">
        <v>180</v>
      </c>
    </row>
    <row r="5781" spans="1:16" x14ac:dyDescent="0.25">
      <c r="A5781" t="s">
        <v>183</v>
      </c>
      <c r="B5781" t="s">
        <v>228</v>
      </c>
      <c r="C5781" s="7" t="s">
        <v>170</v>
      </c>
      <c r="D5781" t="s">
        <v>110</v>
      </c>
      <c r="F5781" s="35">
        <v>5.3</v>
      </c>
      <c r="G5781" s="35">
        <v>24.240719536956831</v>
      </c>
      <c r="H5781" s="35">
        <v>0.97246624895488709</v>
      </c>
      <c r="I5781" s="35">
        <v>-2.480749841740896</v>
      </c>
      <c r="J5781" s="35">
        <v>-4.2398932278134353E-4</v>
      </c>
      <c r="K5781" s="35">
        <v>4.8722322313553956</v>
      </c>
      <c r="L5781" s="35">
        <v>-18.610387604098698</v>
      </c>
      <c r="M5781" s="58" t="s">
        <v>24</v>
      </c>
      <c r="N5781" s="7">
        <v>11.333333333333334</v>
      </c>
      <c r="O5781" s="7" t="s">
        <v>180</v>
      </c>
      <c r="P5781" s="7" t="s">
        <v>180</v>
      </c>
    </row>
    <row r="5782" spans="1:16" x14ac:dyDescent="0.25">
      <c r="A5782" t="s">
        <v>183</v>
      </c>
      <c r="B5782" t="s">
        <v>228</v>
      </c>
      <c r="C5782" s="7" t="s">
        <v>170</v>
      </c>
      <c r="D5782" t="s">
        <v>110</v>
      </c>
      <c r="F5782" s="35">
        <v>5.3</v>
      </c>
      <c r="G5782" s="35">
        <v>119.59005956374089</v>
      </c>
      <c r="H5782" s="35">
        <v>0.97274584314855139</v>
      </c>
      <c r="I5782" s="35">
        <v>0.81862512609133498</v>
      </c>
      <c r="J5782" s="35">
        <v>-5.2039662639823028E-4</v>
      </c>
      <c r="K5782" s="35">
        <v>4.8722322313553992</v>
      </c>
      <c r="L5782" s="35">
        <v>-18.609306355548537</v>
      </c>
      <c r="M5782" s="58" t="s">
        <v>24</v>
      </c>
      <c r="N5782" s="7">
        <v>11.333333333333334</v>
      </c>
      <c r="O5782" s="7" t="s">
        <v>180</v>
      </c>
      <c r="P5782" s="7" t="s">
        <v>180</v>
      </c>
    </row>
    <row r="5783" spans="1:16" x14ac:dyDescent="0.25">
      <c r="A5783" t="s">
        <v>183</v>
      </c>
      <c r="B5783" t="s">
        <v>228</v>
      </c>
      <c r="C5783" s="7" t="s">
        <v>170</v>
      </c>
      <c r="D5783" t="s">
        <v>110</v>
      </c>
      <c r="F5783" s="35">
        <v>5.4149169609489114</v>
      </c>
      <c r="G5783" s="35">
        <v>119.64480057985641</v>
      </c>
      <c r="H5783" s="35">
        <v>0.97274584314855139</v>
      </c>
      <c r="I5783" s="35">
        <v>0.81862512609133498</v>
      </c>
      <c r="J5783" s="35">
        <v>-5.2039662639823028E-4</v>
      </c>
      <c r="K5783" s="35">
        <v>4.778158319708564</v>
      </c>
      <c r="L5783" s="35">
        <v>-18.721091351618856</v>
      </c>
      <c r="M5783" s="58" t="s">
        <v>24</v>
      </c>
      <c r="N5783" s="7">
        <v>11.333333333333334</v>
      </c>
      <c r="O5783" s="7" t="s">
        <v>180</v>
      </c>
      <c r="P5783" s="7" t="s">
        <v>180</v>
      </c>
    </row>
    <row r="5784" spans="1:16" x14ac:dyDescent="0.25">
      <c r="A5784" t="s">
        <v>183</v>
      </c>
      <c r="B5784" t="s">
        <v>228</v>
      </c>
      <c r="C5784" s="7" t="s">
        <v>170</v>
      </c>
      <c r="D5784" t="s">
        <v>110</v>
      </c>
      <c r="F5784" s="35">
        <v>10.829833921897823</v>
      </c>
      <c r="G5784" s="35">
        <v>122.22421143597191</v>
      </c>
      <c r="H5784" s="35">
        <v>0.97274584314855139</v>
      </c>
      <c r="I5784" s="35">
        <v>0.81862512609133498</v>
      </c>
      <c r="J5784" s="35">
        <v>-5.2039662639823028E-4</v>
      </c>
      <c r="K5784" s="35">
        <v>0.34537123977765444</v>
      </c>
      <c r="L5784" s="35">
        <v>-23.988429316376493</v>
      </c>
      <c r="M5784" s="58" t="s">
        <v>23</v>
      </c>
      <c r="N5784" s="7">
        <v>11.333333333333334</v>
      </c>
      <c r="O5784" s="7" t="s">
        <v>180</v>
      </c>
      <c r="P5784" s="7" t="s">
        <v>180</v>
      </c>
    </row>
    <row r="5785" spans="1:16" x14ac:dyDescent="0.25">
      <c r="A5785" t="s">
        <v>183</v>
      </c>
      <c r="B5785" t="s">
        <v>228</v>
      </c>
      <c r="C5785" s="7" t="s">
        <v>170</v>
      </c>
      <c r="D5785" t="s">
        <v>111</v>
      </c>
      <c r="F5785" s="35">
        <v>0</v>
      </c>
      <c r="G5785" s="35">
        <v>-90.14803560015956</v>
      </c>
      <c r="H5785" s="35">
        <v>-14.414353291299559</v>
      </c>
      <c r="I5785" s="35">
        <v>-3.4357061444224861</v>
      </c>
      <c r="J5785" s="35">
        <v>-1.9335751402251643E-4</v>
      </c>
      <c r="K5785" s="35">
        <v>-5.8910570725956699</v>
      </c>
      <c r="L5785" s="35">
        <v>-85.536685880957748</v>
      </c>
      <c r="M5785" s="58" t="s">
        <v>22</v>
      </c>
      <c r="N5785" s="7">
        <v>11.333333333333334</v>
      </c>
      <c r="O5785" s="7" t="s">
        <v>180</v>
      </c>
      <c r="P5785" s="7" t="s">
        <v>180</v>
      </c>
    </row>
    <row r="5786" spans="1:16" x14ac:dyDescent="0.25">
      <c r="A5786" t="s">
        <v>183</v>
      </c>
      <c r="B5786" t="s">
        <v>228</v>
      </c>
      <c r="C5786" s="7" t="s">
        <v>170</v>
      </c>
      <c r="D5786" t="s">
        <v>111</v>
      </c>
      <c r="F5786" s="35">
        <v>0.29999999999999988</v>
      </c>
      <c r="G5786" s="35">
        <v>-90.005129760159576</v>
      </c>
      <c r="H5786" s="35">
        <v>-14.414353291299559</v>
      </c>
      <c r="I5786" s="35">
        <v>-3.4357061444224861</v>
      </c>
      <c r="J5786" s="35">
        <v>-1.9335751402251643E-4</v>
      </c>
      <c r="K5786" s="35">
        <v>-4.8603452292689244</v>
      </c>
      <c r="L5786" s="35">
        <v>-81.212379893567856</v>
      </c>
      <c r="M5786" s="58" t="s">
        <v>22</v>
      </c>
      <c r="N5786" s="7">
        <v>11.333333333333334</v>
      </c>
      <c r="O5786" s="7" t="s">
        <v>180</v>
      </c>
      <c r="P5786" s="7" t="s">
        <v>180</v>
      </c>
    </row>
    <row r="5787" spans="1:16" x14ac:dyDescent="0.25">
      <c r="A5787" t="s">
        <v>183</v>
      </c>
      <c r="B5787" t="s">
        <v>228</v>
      </c>
      <c r="C5787" s="7" t="s">
        <v>170</v>
      </c>
      <c r="D5787" t="s">
        <v>111</v>
      </c>
      <c r="F5787" s="35">
        <v>0.29999999999999988</v>
      </c>
      <c r="G5787" s="35">
        <v>-119.67820640642375</v>
      </c>
      <c r="H5787" s="35">
        <v>-14.414353291299514</v>
      </c>
      <c r="I5787" s="35">
        <v>-1.6083472996158927</v>
      </c>
      <c r="J5787" s="35">
        <v>-5.4607472848809311E-4</v>
      </c>
      <c r="K5787" s="35">
        <v>-4.8603452292689253</v>
      </c>
      <c r="L5787" s="35">
        <v>-81.21235873053503</v>
      </c>
      <c r="M5787" s="58" t="s">
        <v>22</v>
      </c>
      <c r="N5787" s="7">
        <v>11.333333333333334</v>
      </c>
      <c r="O5787" s="7" t="s">
        <v>180</v>
      </c>
      <c r="P5787" s="7" t="s">
        <v>180</v>
      </c>
    </row>
    <row r="5788" spans="1:16" x14ac:dyDescent="0.25">
      <c r="A5788" t="s">
        <v>183</v>
      </c>
      <c r="B5788" t="s">
        <v>228</v>
      </c>
      <c r="C5788" s="7" t="s">
        <v>170</v>
      </c>
      <c r="D5788" t="s">
        <v>111</v>
      </c>
      <c r="F5788" s="35">
        <v>5.3</v>
      </c>
      <c r="G5788" s="35">
        <v>-117.29644240642375</v>
      </c>
      <c r="H5788" s="35">
        <v>-14.414353291299514</v>
      </c>
      <c r="I5788" s="35">
        <v>-1.6083472996158927</v>
      </c>
      <c r="J5788" s="35">
        <v>-5.4607472848809311E-4</v>
      </c>
      <c r="K5788" s="35">
        <v>3.1813912688105375</v>
      </c>
      <c r="L5788" s="35">
        <v>-9.1405922740374415</v>
      </c>
      <c r="M5788" s="58" t="s">
        <v>24</v>
      </c>
      <c r="N5788" s="7">
        <v>11.333333333333334</v>
      </c>
      <c r="O5788" s="7" t="s">
        <v>180</v>
      </c>
      <c r="P5788" s="7" t="s">
        <v>180</v>
      </c>
    </row>
    <row r="5789" spans="1:16" x14ac:dyDescent="0.25">
      <c r="A5789" t="s">
        <v>183</v>
      </c>
      <c r="B5789" t="s">
        <v>228</v>
      </c>
      <c r="C5789" s="7" t="s">
        <v>170</v>
      </c>
      <c r="D5789" t="s">
        <v>111</v>
      </c>
      <c r="F5789" s="35">
        <v>5.3</v>
      </c>
      <c r="G5789" s="35">
        <v>-87.430354415200284</v>
      </c>
      <c r="H5789" s="35">
        <v>-14.414301033204628</v>
      </c>
      <c r="I5789" s="35">
        <v>0.53823415164425858</v>
      </c>
      <c r="J5789" s="35">
        <v>-3.098900556324579E-4</v>
      </c>
      <c r="K5789" s="35">
        <v>3.1813912688105397</v>
      </c>
      <c r="L5789" s="35">
        <v>-9.140513420148844</v>
      </c>
      <c r="M5789" s="58" t="s">
        <v>24</v>
      </c>
      <c r="N5789" s="7">
        <v>11.333333333333334</v>
      </c>
      <c r="O5789" s="7" t="s">
        <v>180</v>
      </c>
      <c r="P5789" s="7" t="s">
        <v>180</v>
      </c>
    </row>
    <row r="5790" spans="1:16" x14ac:dyDescent="0.25">
      <c r="A5790" t="s">
        <v>183</v>
      </c>
      <c r="B5790" t="s">
        <v>228</v>
      </c>
      <c r="C5790" s="7" t="s">
        <v>170</v>
      </c>
      <c r="D5790" t="s">
        <v>111</v>
      </c>
      <c r="F5790" s="35">
        <v>5.4149169609489114</v>
      </c>
      <c r="G5790" s="35">
        <v>-87.375613399084784</v>
      </c>
      <c r="H5790" s="35">
        <v>-14.414301033204628</v>
      </c>
      <c r="I5790" s="35">
        <v>0.53823415164425858</v>
      </c>
      <c r="J5790" s="35">
        <v>-3.098900556324579E-4</v>
      </c>
      <c r="K5790" s="35">
        <v>3.1195390358246655</v>
      </c>
      <c r="L5790" s="35">
        <v>-7.4840657512102124</v>
      </c>
      <c r="M5790" s="58" t="s">
        <v>24</v>
      </c>
      <c r="N5790" s="7">
        <v>11.333333333333334</v>
      </c>
      <c r="O5790" s="7" t="s">
        <v>180</v>
      </c>
      <c r="P5790" s="7" t="s">
        <v>180</v>
      </c>
    </row>
    <row r="5791" spans="1:16" x14ac:dyDescent="0.25">
      <c r="A5791" t="s">
        <v>183</v>
      </c>
      <c r="B5791" t="s">
        <v>228</v>
      </c>
      <c r="C5791" s="7" t="s">
        <v>170</v>
      </c>
      <c r="D5791" t="s">
        <v>111</v>
      </c>
      <c r="F5791" s="35">
        <v>10.829833921897823</v>
      </c>
      <c r="G5791" s="35">
        <v>-84.796202542969269</v>
      </c>
      <c r="H5791" s="35">
        <v>-14.414301033204628</v>
      </c>
      <c r="I5791" s="35">
        <v>0.53823415164425858</v>
      </c>
      <c r="J5791" s="35">
        <v>-3.098900556324579E-4</v>
      </c>
      <c r="K5791" s="35">
        <v>0.20504579912422238</v>
      </c>
      <c r="L5791" s="35">
        <v>70.568177393712915</v>
      </c>
      <c r="M5791" s="58" t="s">
        <v>23</v>
      </c>
      <c r="N5791" s="7">
        <v>11.333333333333334</v>
      </c>
      <c r="O5791" s="7" t="s">
        <v>180</v>
      </c>
      <c r="P5791" s="7" t="s">
        <v>180</v>
      </c>
    </row>
    <row r="5792" spans="1:16" x14ac:dyDescent="0.25">
      <c r="A5792" t="s">
        <v>183</v>
      </c>
      <c r="B5792" t="s">
        <v>228</v>
      </c>
      <c r="C5792" s="7" t="s">
        <v>170</v>
      </c>
      <c r="D5792" t="s">
        <v>112</v>
      </c>
      <c r="F5792" s="35">
        <v>0</v>
      </c>
      <c r="G5792" s="35">
        <v>57.944148717328446</v>
      </c>
      <c r="H5792" s="35">
        <v>3.4049033970996208</v>
      </c>
      <c r="I5792" s="35">
        <v>-5.661506525954902</v>
      </c>
      <c r="J5792" s="35">
        <v>-3.0610377472391876E-4</v>
      </c>
      <c r="K5792" s="35">
        <v>-7.0052916056308829</v>
      </c>
      <c r="L5792" s="35">
        <v>12.11985953528116</v>
      </c>
      <c r="M5792" s="58" t="s">
        <v>22</v>
      </c>
      <c r="N5792" s="7">
        <v>11.333333333333334</v>
      </c>
      <c r="O5792" s="7" t="s">
        <v>180</v>
      </c>
      <c r="P5792" s="7" t="s">
        <v>180</v>
      </c>
    </row>
    <row r="5793" spans="1:16" x14ac:dyDescent="0.25">
      <c r="A5793" t="s">
        <v>183</v>
      </c>
      <c r="B5793" t="s">
        <v>228</v>
      </c>
      <c r="C5793" s="7" t="s">
        <v>170</v>
      </c>
      <c r="D5793" t="s">
        <v>112</v>
      </c>
      <c r="F5793" s="35">
        <v>0.29999999999999988</v>
      </c>
      <c r="G5793" s="35">
        <v>58.08705455732845</v>
      </c>
      <c r="H5793" s="35">
        <v>3.4049033970996208</v>
      </c>
      <c r="I5793" s="35">
        <v>-5.661506525954902</v>
      </c>
      <c r="J5793" s="35">
        <v>-3.0610377472391876E-4</v>
      </c>
      <c r="K5793" s="35">
        <v>-5.3068396478444129</v>
      </c>
      <c r="L5793" s="35">
        <v>11.098388516151271</v>
      </c>
      <c r="M5793" s="58" t="s">
        <v>22</v>
      </c>
      <c r="N5793" s="7">
        <v>11.333333333333334</v>
      </c>
      <c r="O5793" s="7" t="s">
        <v>180</v>
      </c>
      <c r="P5793" s="7" t="s">
        <v>180</v>
      </c>
    </row>
    <row r="5794" spans="1:16" x14ac:dyDescent="0.25">
      <c r="A5794" t="s">
        <v>183</v>
      </c>
      <c r="B5794" t="s">
        <v>228</v>
      </c>
      <c r="C5794" s="7" t="s">
        <v>170</v>
      </c>
      <c r="D5794" t="s">
        <v>112</v>
      </c>
      <c r="F5794" s="35">
        <v>0.29999999999999988</v>
      </c>
      <c r="G5794" s="35">
        <v>-6.7429602081685864</v>
      </c>
      <c r="H5794" s="35">
        <v>3.4049033970996359</v>
      </c>
      <c r="I5794" s="35">
        <v>-1.7247313939943176</v>
      </c>
      <c r="J5794" s="35">
        <v>8.5219263034573775E-5</v>
      </c>
      <c r="K5794" s="35">
        <v>-5.3068396478444155</v>
      </c>
      <c r="L5794" s="35">
        <v>11.098365036769017</v>
      </c>
      <c r="M5794" s="58" t="s">
        <v>22</v>
      </c>
      <c r="N5794" s="7">
        <v>11.333333333333334</v>
      </c>
      <c r="O5794" s="7" t="s">
        <v>180</v>
      </c>
      <c r="P5794" s="7" t="s">
        <v>180</v>
      </c>
    </row>
    <row r="5795" spans="1:16" x14ac:dyDescent="0.25">
      <c r="A5795" t="s">
        <v>183</v>
      </c>
      <c r="B5795" t="s">
        <v>228</v>
      </c>
      <c r="C5795" s="7" t="s">
        <v>170</v>
      </c>
      <c r="D5795" t="s">
        <v>112</v>
      </c>
      <c r="F5795" s="35">
        <v>5.3</v>
      </c>
      <c r="G5795" s="35">
        <v>-4.3611962081685913</v>
      </c>
      <c r="H5795" s="35">
        <v>3.4049033970996359</v>
      </c>
      <c r="I5795" s="35">
        <v>-1.7247313939943176</v>
      </c>
      <c r="J5795" s="35">
        <v>8.5219263034573775E-5</v>
      </c>
      <c r="K5795" s="35">
        <v>3.3168173221271724</v>
      </c>
      <c r="L5795" s="35">
        <v>-5.9261519487291574</v>
      </c>
      <c r="M5795" s="58" t="s">
        <v>24</v>
      </c>
      <c r="N5795" s="7">
        <v>11.333333333333334</v>
      </c>
      <c r="O5795" s="7" t="s">
        <v>180</v>
      </c>
      <c r="P5795" s="7" t="s">
        <v>180</v>
      </c>
    </row>
    <row r="5796" spans="1:16" x14ac:dyDescent="0.25">
      <c r="A5796" t="s">
        <v>183</v>
      </c>
      <c r="B5796" t="s">
        <v>228</v>
      </c>
      <c r="C5796" s="7" t="s">
        <v>170</v>
      </c>
      <c r="D5796" t="s">
        <v>112</v>
      </c>
      <c r="F5796" s="35">
        <v>5.3</v>
      </c>
      <c r="G5796" s="35">
        <v>54.407113041474112</v>
      </c>
      <c r="H5796" s="35">
        <v>3.4050145202857731</v>
      </c>
      <c r="I5796" s="35">
        <v>0.56099719229307243</v>
      </c>
      <c r="J5796" s="35">
        <v>-2.1469124449359777E-6</v>
      </c>
      <c r="K5796" s="35">
        <v>3.3168173221271742</v>
      </c>
      <c r="L5796" s="35">
        <v>-5.9256514122306037</v>
      </c>
      <c r="M5796" s="58" t="s">
        <v>24</v>
      </c>
      <c r="N5796" s="7">
        <v>11.333333333333334</v>
      </c>
      <c r="O5796" s="7" t="s">
        <v>180</v>
      </c>
      <c r="P5796" s="7" t="s">
        <v>180</v>
      </c>
    </row>
    <row r="5797" spans="1:16" x14ac:dyDescent="0.25">
      <c r="A5797" t="s">
        <v>183</v>
      </c>
      <c r="B5797" t="s">
        <v>228</v>
      </c>
      <c r="C5797" s="7" t="s">
        <v>170</v>
      </c>
      <c r="D5797" t="s">
        <v>112</v>
      </c>
      <c r="F5797" s="35">
        <v>5.4149169609489114</v>
      </c>
      <c r="G5797" s="35">
        <v>54.461854057589619</v>
      </c>
      <c r="H5797" s="35">
        <v>3.4050145202857731</v>
      </c>
      <c r="I5797" s="35">
        <v>0.56099719229307243</v>
      </c>
      <c r="J5797" s="35">
        <v>-2.1469124449359777E-6</v>
      </c>
      <c r="K5797" s="35">
        <v>3.2523492296879821</v>
      </c>
      <c r="L5797" s="35">
        <v>-6.3169453328887597</v>
      </c>
      <c r="M5797" s="58" t="s">
        <v>24</v>
      </c>
      <c r="N5797" s="7">
        <v>11.333333333333334</v>
      </c>
      <c r="O5797" s="7" t="s">
        <v>180</v>
      </c>
      <c r="P5797" s="7" t="s">
        <v>180</v>
      </c>
    </row>
    <row r="5798" spans="1:16" x14ac:dyDescent="0.25">
      <c r="A5798" t="s">
        <v>183</v>
      </c>
      <c r="B5798" t="s">
        <v>228</v>
      </c>
      <c r="C5798" s="7" t="s">
        <v>170</v>
      </c>
      <c r="D5798" t="s">
        <v>112</v>
      </c>
      <c r="F5798" s="35">
        <v>10.829833921897823</v>
      </c>
      <c r="G5798" s="35">
        <v>57.041264913705106</v>
      </c>
      <c r="H5798" s="35">
        <v>3.4050145202857731</v>
      </c>
      <c r="I5798" s="35">
        <v>0.56099719229307243</v>
      </c>
      <c r="J5798" s="35">
        <v>-2.1469124449359777E-6</v>
      </c>
      <c r="K5798" s="35">
        <v>0.21459601809550746</v>
      </c>
      <c r="L5798" s="35">
        <v>-24.754816211061513</v>
      </c>
      <c r="M5798" s="58" t="s">
        <v>23</v>
      </c>
      <c r="N5798" s="7">
        <v>11.333333333333334</v>
      </c>
      <c r="O5798" s="7" t="s">
        <v>180</v>
      </c>
      <c r="P5798" s="7" t="s">
        <v>180</v>
      </c>
    </row>
    <row r="5799" spans="1:16" x14ac:dyDescent="0.25">
      <c r="A5799" t="s">
        <v>183</v>
      </c>
      <c r="B5799" t="s">
        <v>228</v>
      </c>
      <c r="C5799" s="7" t="s">
        <v>170</v>
      </c>
      <c r="D5799" t="s">
        <v>113</v>
      </c>
      <c r="F5799" s="35">
        <v>0</v>
      </c>
      <c r="G5799" s="35">
        <v>-15.990114939256612</v>
      </c>
      <c r="H5799" s="35">
        <v>0.11039256825106439</v>
      </c>
      <c r="I5799" s="35">
        <v>-2.2159520842286504</v>
      </c>
      <c r="J5799" s="35">
        <v>1.4423901349243712E-4</v>
      </c>
      <c r="K5799" s="35">
        <v>-3.3347430637847437</v>
      </c>
      <c r="L5799" s="35">
        <v>1.0408668895865396</v>
      </c>
      <c r="M5799" s="58" t="s">
        <v>22</v>
      </c>
      <c r="N5799" s="7">
        <v>11.333333333333334</v>
      </c>
      <c r="O5799" s="7" t="s">
        <v>180</v>
      </c>
      <c r="P5799" s="7" t="s">
        <v>180</v>
      </c>
    </row>
    <row r="5800" spans="1:16" x14ac:dyDescent="0.25">
      <c r="A5800" t="s">
        <v>183</v>
      </c>
      <c r="B5800" t="s">
        <v>228</v>
      </c>
      <c r="C5800" s="7" t="s">
        <v>170</v>
      </c>
      <c r="D5800" t="s">
        <v>113</v>
      </c>
      <c r="F5800" s="35">
        <v>0.29999999999999988</v>
      </c>
      <c r="G5800" s="35">
        <v>-15.847209099256606</v>
      </c>
      <c r="H5800" s="35">
        <v>0.11039256825106439</v>
      </c>
      <c r="I5800" s="35">
        <v>-2.2159520842286504</v>
      </c>
      <c r="J5800" s="35">
        <v>1.4423901349243712E-4</v>
      </c>
      <c r="K5800" s="35">
        <v>-2.6699574385161489</v>
      </c>
      <c r="L5800" s="35">
        <v>1.0077491191112211</v>
      </c>
      <c r="M5800" s="58" t="s">
        <v>22</v>
      </c>
      <c r="N5800" s="7">
        <v>11.333333333333334</v>
      </c>
      <c r="O5800" s="7" t="s">
        <v>180</v>
      </c>
      <c r="P5800" s="7" t="s">
        <v>180</v>
      </c>
    </row>
    <row r="5801" spans="1:16" x14ac:dyDescent="0.25">
      <c r="A5801" t="s">
        <v>183</v>
      </c>
      <c r="B5801" t="s">
        <v>228</v>
      </c>
      <c r="C5801" s="7" t="s">
        <v>170</v>
      </c>
      <c r="D5801" t="s">
        <v>113</v>
      </c>
      <c r="F5801" s="35">
        <v>0.29999999999999988</v>
      </c>
      <c r="G5801" s="35">
        <v>-37.708664130275899</v>
      </c>
      <c r="H5801" s="35">
        <v>0.11039256825106347</v>
      </c>
      <c r="I5801" s="35">
        <v>-0.8572905363367338</v>
      </c>
      <c r="J5801" s="35">
        <v>1.8254512874638741E-4</v>
      </c>
      <c r="K5801" s="35">
        <v>-2.6699574385161511</v>
      </c>
      <c r="L5801" s="35">
        <v>1.0077468207443112</v>
      </c>
      <c r="M5801" s="58" t="s">
        <v>22</v>
      </c>
      <c r="N5801" s="7">
        <v>11.333333333333334</v>
      </c>
      <c r="O5801" s="7" t="s">
        <v>180</v>
      </c>
      <c r="P5801" s="7" t="s">
        <v>180</v>
      </c>
    </row>
    <row r="5802" spans="1:16" x14ac:dyDescent="0.25">
      <c r="A5802" t="s">
        <v>183</v>
      </c>
      <c r="B5802" t="s">
        <v>228</v>
      </c>
      <c r="C5802" s="7" t="s">
        <v>170</v>
      </c>
      <c r="D5802" t="s">
        <v>113</v>
      </c>
      <c r="F5802" s="35">
        <v>5.3</v>
      </c>
      <c r="G5802" s="35">
        <v>-35.326900130275909</v>
      </c>
      <c r="H5802" s="35">
        <v>0.11039256825106347</v>
      </c>
      <c r="I5802" s="35">
        <v>-0.8572905363367338</v>
      </c>
      <c r="J5802" s="35">
        <v>1.8254512874638741E-4</v>
      </c>
      <c r="K5802" s="35">
        <v>1.6164952431675181</v>
      </c>
      <c r="L5802" s="35">
        <v>0.45578397948899668</v>
      </c>
      <c r="M5802" s="58" t="s">
        <v>24</v>
      </c>
      <c r="N5802" s="7">
        <v>11.333333333333334</v>
      </c>
      <c r="O5802" s="7" t="s">
        <v>180</v>
      </c>
      <c r="P5802" s="7" t="s">
        <v>180</v>
      </c>
    </row>
    <row r="5803" spans="1:16" x14ac:dyDescent="0.25">
      <c r="A5803" t="s">
        <v>183</v>
      </c>
      <c r="B5803" t="s">
        <v>228</v>
      </c>
      <c r="C5803" s="7" t="s">
        <v>170</v>
      </c>
      <c r="D5803" t="s">
        <v>113</v>
      </c>
      <c r="F5803" s="35">
        <v>5.3</v>
      </c>
      <c r="G5803" s="35">
        <v>-16.230985139356836</v>
      </c>
      <c r="H5803" s="35">
        <v>0.11039871802497235</v>
      </c>
      <c r="I5803" s="35">
        <v>0.27916882416518779</v>
      </c>
      <c r="J5803" s="35">
        <v>1.896079316379509E-4</v>
      </c>
      <c r="K5803" s="35">
        <v>1.6164952431675164</v>
      </c>
      <c r="L5803" s="35">
        <v>0.45583117932328476</v>
      </c>
      <c r="M5803" s="58" t="s">
        <v>24</v>
      </c>
      <c r="N5803" s="7">
        <v>11.333333333333334</v>
      </c>
      <c r="O5803" s="7" t="s">
        <v>180</v>
      </c>
      <c r="P5803" s="7" t="s">
        <v>180</v>
      </c>
    </row>
    <row r="5804" spans="1:16" x14ac:dyDescent="0.25">
      <c r="A5804" t="s">
        <v>183</v>
      </c>
      <c r="B5804" t="s">
        <v>228</v>
      </c>
      <c r="C5804" s="7" t="s">
        <v>170</v>
      </c>
      <c r="D5804" t="s">
        <v>113</v>
      </c>
      <c r="F5804" s="35">
        <v>5.4149169609489114</v>
      </c>
      <c r="G5804" s="35">
        <v>-16.176244123241322</v>
      </c>
      <c r="H5804" s="35">
        <v>0.11039871802497235</v>
      </c>
      <c r="I5804" s="35">
        <v>0.27916882416518779</v>
      </c>
      <c r="J5804" s="35">
        <v>1.896079316379509E-4</v>
      </c>
      <c r="K5804" s="35">
        <v>1.584414010302772</v>
      </c>
      <c r="L5804" s="35">
        <v>0.44314449415519913</v>
      </c>
      <c r="M5804" s="58" t="s">
        <v>24</v>
      </c>
      <c r="N5804" s="7">
        <v>11.333333333333334</v>
      </c>
      <c r="O5804" s="7" t="s">
        <v>180</v>
      </c>
      <c r="P5804" s="7" t="s">
        <v>180</v>
      </c>
    </row>
    <row r="5805" spans="1:16" x14ac:dyDescent="0.25">
      <c r="A5805" t="s">
        <v>183</v>
      </c>
      <c r="B5805" t="s">
        <v>228</v>
      </c>
      <c r="C5805" s="7" t="s">
        <v>170</v>
      </c>
      <c r="D5805" t="s">
        <v>113</v>
      </c>
      <c r="F5805" s="35">
        <v>10.829833921897823</v>
      </c>
      <c r="G5805" s="35">
        <v>-13.596833267125836</v>
      </c>
      <c r="H5805" s="35">
        <v>0.11039871802497235</v>
      </c>
      <c r="I5805" s="35">
        <v>0.27916882416518779</v>
      </c>
      <c r="J5805" s="35">
        <v>1.896079316379509E-4</v>
      </c>
      <c r="K5805" s="35">
        <v>7.2738009362532552E-2</v>
      </c>
      <c r="L5805" s="35">
        <v>-0.15465539654523874</v>
      </c>
      <c r="M5805" s="58" t="s">
        <v>23</v>
      </c>
      <c r="N5805" s="7">
        <v>11.333333333333334</v>
      </c>
      <c r="O5805" s="7" t="s">
        <v>180</v>
      </c>
      <c r="P5805" s="7" t="s">
        <v>180</v>
      </c>
    </row>
    <row r="5806" spans="1:16" x14ac:dyDescent="0.25">
      <c r="A5806" t="s">
        <v>183</v>
      </c>
      <c r="B5806" t="s">
        <v>228</v>
      </c>
      <c r="C5806" s="7" t="s">
        <v>170</v>
      </c>
      <c r="D5806" t="s">
        <v>114</v>
      </c>
      <c r="F5806" s="35">
        <v>0</v>
      </c>
      <c r="G5806" s="35">
        <v>107.50980358588744</v>
      </c>
      <c r="H5806" s="35">
        <v>8.7560677744982804</v>
      </c>
      <c r="I5806" s="35">
        <v>4.6761951010723699</v>
      </c>
      <c r="J5806" s="35">
        <v>-9.4078329492501989E-4</v>
      </c>
      <c r="K5806" s="35">
        <v>7.189744761406633</v>
      </c>
      <c r="L5806" s="35">
        <v>31.410595770048189</v>
      </c>
      <c r="M5806" s="58" t="s">
        <v>22</v>
      </c>
      <c r="N5806" s="7">
        <v>11.333333333333334</v>
      </c>
      <c r="O5806" s="7" t="s">
        <v>180</v>
      </c>
      <c r="P5806" s="7" t="s">
        <v>180</v>
      </c>
    </row>
    <row r="5807" spans="1:16" x14ac:dyDescent="0.25">
      <c r="A5807" t="s">
        <v>183</v>
      </c>
      <c r="B5807" t="s">
        <v>228</v>
      </c>
      <c r="C5807" s="7" t="s">
        <v>170</v>
      </c>
      <c r="D5807" t="s">
        <v>114</v>
      </c>
      <c r="F5807" s="35">
        <v>0.29999999999999988</v>
      </c>
      <c r="G5807" s="35">
        <v>107.65270942588745</v>
      </c>
      <c r="H5807" s="35">
        <v>8.7560677744982804</v>
      </c>
      <c r="I5807" s="35">
        <v>4.6761951010723699</v>
      </c>
      <c r="J5807" s="35">
        <v>-9.4078329492501989E-4</v>
      </c>
      <c r="K5807" s="35">
        <v>5.7868862310849227</v>
      </c>
      <c r="L5807" s="35">
        <v>28.783775437698715</v>
      </c>
      <c r="M5807" s="58" t="s">
        <v>22</v>
      </c>
      <c r="N5807" s="7">
        <v>11.333333333333334</v>
      </c>
      <c r="O5807" s="7" t="s">
        <v>180</v>
      </c>
      <c r="P5807" s="7" t="s">
        <v>180</v>
      </c>
    </row>
    <row r="5808" spans="1:16" x14ac:dyDescent="0.25">
      <c r="A5808" t="s">
        <v>183</v>
      </c>
      <c r="B5808" t="s">
        <v>228</v>
      </c>
      <c r="C5808" s="7" t="s">
        <v>170</v>
      </c>
      <c r="D5808" t="s">
        <v>114</v>
      </c>
      <c r="F5808" s="35">
        <v>0.29999999999999988</v>
      </c>
      <c r="G5808" s="35">
        <v>154.90944770763085</v>
      </c>
      <c r="H5808" s="35">
        <v>8.7560677744982591</v>
      </c>
      <c r="I5808" s="35">
        <v>1.8877650501985273</v>
      </c>
      <c r="J5808" s="35">
        <v>1.8385839176525374E-4</v>
      </c>
      <c r="K5808" s="35">
        <v>5.7868862310849218</v>
      </c>
      <c r="L5808" s="35">
        <v>28.783707959197521</v>
      </c>
      <c r="M5808" s="58" t="s">
        <v>22</v>
      </c>
      <c r="N5808" s="7">
        <v>11.333333333333334</v>
      </c>
      <c r="O5808" s="7" t="s">
        <v>180</v>
      </c>
      <c r="P5808" s="7" t="s">
        <v>180</v>
      </c>
    </row>
    <row r="5809" spans="1:16" x14ac:dyDescent="0.25">
      <c r="A5809" t="s">
        <v>183</v>
      </c>
      <c r="B5809" t="s">
        <v>228</v>
      </c>
      <c r="C5809" s="7" t="s">
        <v>170</v>
      </c>
      <c r="D5809" t="s">
        <v>114</v>
      </c>
      <c r="F5809" s="35">
        <v>5.3</v>
      </c>
      <c r="G5809" s="35">
        <v>157.29121170763082</v>
      </c>
      <c r="H5809" s="35">
        <v>8.7560677744982591</v>
      </c>
      <c r="I5809" s="35">
        <v>1.8877650501985273</v>
      </c>
      <c r="J5809" s="35">
        <v>1.8385839176525374E-4</v>
      </c>
      <c r="K5809" s="35">
        <v>-3.6519390199077133</v>
      </c>
      <c r="L5809" s="35">
        <v>-14.99663091329376</v>
      </c>
      <c r="M5809" s="58" t="s">
        <v>24</v>
      </c>
      <c r="N5809" s="7">
        <v>11.333333333333334</v>
      </c>
      <c r="O5809" s="7" t="s">
        <v>180</v>
      </c>
      <c r="P5809" s="7" t="s">
        <v>180</v>
      </c>
    </row>
    <row r="5810" spans="1:16" x14ac:dyDescent="0.25">
      <c r="A5810" t="s">
        <v>183</v>
      </c>
      <c r="B5810" t="s">
        <v>228</v>
      </c>
      <c r="C5810" s="7" t="s">
        <v>170</v>
      </c>
      <c r="D5810" t="s">
        <v>114</v>
      </c>
      <c r="F5810" s="35">
        <v>5.3</v>
      </c>
      <c r="G5810" s="35">
        <v>120.66174558363261</v>
      </c>
      <c r="H5810" s="35">
        <v>8.7563779305117517</v>
      </c>
      <c r="I5810" s="35">
        <v>-0.5944179769612894</v>
      </c>
      <c r="J5810" s="35">
        <v>-2.6863385811196488E-5</v>
      </c>
      <c r="K5810" s="35">
        <v>-3.6519390199077164</v>
      </c>
      <c r="L5810" s="35">
        <v>-14.995182793576632</v>
      </c>
      <c r="M5810" s="58" t="s">
        <v>24</v>
      </c>
      <c r="N5810" s="7">
        <v>11.333333333333334</v>
      </c>
      <c r="O5810" s="7" t="s">
        <v>180</v>
      </c>
      <c r="P5810" s="7" t="s">
        <v>180</v>
      </c>
    </row>
    <row r="5811" spans="1:16" x14ac:dyDescent="0.25">
      <c r="A5811" t="s">
        <v>183</v>
      </c>
      <c r="B5811" t="s">
        <v>228</v>
      </c>
      <c r="C5811" s="7" t="s">
        <v>170</v>
      </c>
      <c r="D5811" t="s">
        <v>114</v>
      </c>
      <c r="F5811" s="35">
        <v>5.4149169609489114</v>
      </c>
      <c r="G5811" s="35">
        <v>120.71648659974811</v>
      </c>
      <c r="H5811" s="35">
        <v>8.7563779305117517</v>
      </c>
      <c r="I5811" s="35">
        <v>-0.5944179769612894</v>
      </c>
      <c r="J5811" s="35">
        <v>-2.6863385811196488E-5</v>
      </c>
      <c r="K5811" s="35">
        <v>-3.5836303124619246</v>
      </c>
      <c r="L5811" s="35">
        <v>-16.001439134271163</v>
      </c>
      <c r="M5811" s="58" t="s">
        <v>24</v>
      </c>
      <c r="N5811" s="7">
        <v>11.333333333333334</v>
      </c>
      <c r="O5811" s="7" t="s">
        <v>180</v>
      </c>
      <c r="P5811" s="7" t="s">
        <v>180</v>
      </c>
    </row>
    <row r="5812" spans="1:16" x14ac:dyDescent="0.25">
      <c r="A5812" t="s">
        <v>183</v>
      </c>
      <c r="B5812" t="s">
        <v>228</v>
      </c>
      <c r="C5812" s="7" t="s">
        <v>170</v>
      </c>
      <c r="D5812" t="s">
        <v>114</v>
      </c>
      <c r="F5812" s="35">
        <v>10.829833921897823</v>
      </c>
      <c r="G5812" s="35">
        <v>123.2958974558636</v>
      </c>
      <c r="H5812" s="35">
        <v>8.7563779305117517</v>
      </c>
      <c r="I5812" s="35">
        <v>-0.5944179769612894</v>
      </c>
      <c r="J5812" s="35">
        <v>-2.6863385811196488E-5</v>
      </c>
      <c r="K5812" s="35">
        <v>-0.36490632712130083</v>
      </c>
      <c r="L5812" s="35">
        <v>-63.416498506677968</v>
      </c>
      <c r="M5812" s="58" t="s">
        <v>23</v>
      </c>
      <c r="N5812" s="7">
        <v>11.333333333333334</v>
      </c>
      <c r="O5812" s="7" t="s">
        <v>180</v>
      </c>
      <c r="P5812" s="7" t="s">
        <v>180</v>
      </c>
    </row>
    <row r="5813" spans="1:16" x14ac:dyDescent="0.25">
      <c r="A5813" t="s">
        <v>183</v>
      </c>
      <c r="B5813" t="s">
        <v>228</v>
      </c>
      <c r="C5813" s="7" t="s">
        <v>170</v>
      </c>
      <c r="D5813" t="s">
        <v>115</v>
      </c>
      <c r="F5813" s="35">
        <v>0</v>
      </c>
      <c r="G5813" s="35">
        <v>33.534437366280279</v>
      </c>
      <c r="H5813" s="35">
        <v>5.4181100809848957</v>
      </c>
      <c r="I5813" s="35">
        <v>8.1203996506719616</v>
      </c>
      <c r="J5813" s="35">
        <v>-4.8211287814083916E-4</v>
      </c>
      <c r="K5813" s="35">
        <v>10.857931827458215</v>
      </c>
      <c r="L5813" s="35">
        <v>20.163704166560144</v>
      </c>
      <c r="M5813" s="58" t="s">
        <v>22</v>
      </c>
      <c r="N5813" s="7">
        <v>11.333333333333334</v>
      </c>
      <c r="O5813" s="7" t="s">
        <v>180</v>
      </c>
      <c r="P5813" s="7" t="s">
        <v>180</v>
      </c>
    </row>
    <row r="5814" spans="1:16" x14ac:dyDescent="0.25">
      <c r="A5814" t="s">
        <v>183</v>
      </c>
      <c r="B5814" t="s">
        <v>228</v>
      </c>
      <c r="C5814" s="7" t="s">
        <v>170</v>
      </c>
      <c r="D5814" t="s">
        <v>115</v>
      </c>
      <c r="F5814" s="35">
        <v>0.29999999999999988</v>
      </c>
      <c r="G5814" s="35">
        <v>33.677343206280284</v>
      </c>
      <c r="H5814" s="35">
        <v>5.4181100809848957</v>
      </c>
      <c r="I5814" s="35">
        <v>8.1203996506719616</v>
      </c>
      <c r="J5814" s="35">
        <v>-4.8211287814083916E-4</v>
      </c>
      <c r="K5814" s="35">
        <v>8.4218119322566292</v>
      </c>
      <c r="L5814" s="35">
        <v>18.538271142264684</v>
      </c>
      <c r="M5814" s="58" t="s">
        <v>22</v>
      </c>
      <c r="N5814" s="7">
        <v>11.333333333333334</v>
      </c>
      <c r="O5814" s="7" t="s">
        <v>180</v>
      </c>
      <c r="P5814" s="7" t="s">
        <v>180</v>
      </c>
    </row>
    <row r="5815" spans="1:16" x14ac:dyDescent="0.25">
      <c r="A5815" t="s">
        <v>183</v>
      </c>
      <c r="B5815" t="s">
        <v>228</v>
      </c>
      <c r="C5815" s="7" t="s">
        <v>170</v>
      </c>
      <c r="D5815" t="s">
        <v>115</v>
      </c>
      <c r="F5815" s="35">
        <v>0.29999999999999988</v>
      </c>
      <c r="G5815" s="35">
        <v>123.89059956114554</v>
      </c>
      <c r="H5815" s="35">
        <v>5.4181100809848841</v>
      </c>
      <c r="I5815" s="35">
        <v>2.7545785154108207</v>
      </c>
      <c r="J5815" s="35">
        <v>2.8144285045474197E-4</v>
      </c>
      <c r="K5815" s="35">
        <v>8.4218119322566221</v>
      </c>
      <c r="L5815" s="35">
        <v>18.538225328920962</v>
      </c>
      <c r="M5815" s="58" t="s">
        <v>22</v>
      </c>
      <c r="N5815" s="7">
        <v>11.333333333333334</v>
      </c>
      <c r="O5815" s="7" t="s">
        <v>180</v>
      </c>
      <c r="P5815" s="7" t="s">
        <v>180</v>
      </c>
    </row>
    <row r="5816" spans="1:16" x14ac:dyDescent="0.25">
      <c r="A5816" t="s">
        <v>183</v>
      </c>
      <c r="B5816" t="s">
        <v>228</v>
      </c>
      <c r="C5816" s="7" t="s">
        <v>170</v>
      </c>
      <c r="D5816" t="s">
        <v>115</v>
      </c>
      <c r="F5816" s="35">
        <v>5.3</v>
      </c>
      <c r="G5816" s="35">
        <v>126.27236356114553</v>
      </c>
      <c r="H5816" s="35">
        <v>5.4181100809848841</v>
      </c>
      <c r="I5816" s="35">
        <v>2.7545785154108207</v>
      </c>
      <c r="J5816" s="35">
        <v>2.8144285045474197E-4</v>
      </c>
      <c r="K5816" s="35">
        <v>-5.3510806447974817</v>
      </c>
      <c r="L5816" s="35">
        <v>-8.5523250760034522</v>
      </c>
      <c r="M5816" s="58" t="s">
        <v>24</v>
      </c>
      <c r="N5816" s="7">
        <v>11.333333333333334</v>
      </c>
      <c r="O5816" s="7" t="s">
        <v>180</v>
      </c>
      <c r="P5816" s="7" t="s">
        <v>180</v>
      </c>
    </row>
    <row r="5817" spans="1:16" x14ac:dyDescent="0.25">
      <c r="A5817" t="s">
        <v>183</v>
      </c>
      <c r="B5817" t="s">
        <v>228</v>
      </c>
      <c r="C5817" s="7" t="s">
        <v>170</v>
      </c>
      <c r="D5817" t="s">
        <v>115</v>
      </c>
      <c r="F5817" s="35">
        <v>5.3</v>
      </c>
      <c r="G5817" s="35">
        <v>49.977914270457788</v>
      </c>
      <c r="H5817" s="35">
        <v>5.4183131537627727</v>
      </c>
      <c r="I5817" s="35">
        <v>-0.87605123931701312</v>
      </c>
      <c r="J5817" s="35">
        <v>1.6590790784657585E-4</v>
      </c>
      <c r="K5817" s="35">
        <v>-5.3510806447974826</v>
      </c>
      <c r="L5817" s="35">
        <v>-8.5513407215188941</v>
      </c>
      <c r="M5817" s="58" t="s">
        <v>24</v>
      </c>
      <c r="N5817" s="7">
        <v>11.333333333333334</v>
      </c>
      <c r="O5817" s="7" t="s">
        <v>180</v>
      </c>
      <c r="P5817" s="7" t="s">
        <v>180</v>
      </c>
    </row>
    <row r="5818" spans="1:16" x14ac:dyDescent="0.25">
      <c r="A5818" t="s">
        <v>183</v>
      </c>
      <c r="B5818" t="s">
        <v>228</v>
      </c>
      <c r="C5818" s="7" t="s">
        <v>170</v>
      </c>
      <c r="D5818" t="s">
        <v>115</v>
      </c>
      <c r="F5818" s="35">
        <v>5.4149169609489114</v>
      </c>
      <c r="G5818" s="35">
        <v>50.032655286573302</v>
      </c>
      <c r="H5818" s="35">
        <v>5.4183131537627727</v>
      </c>
      <c r="I5818" s="35">
        <v>-0.87605123931701312</v>
      </c>
      <c r="J5818" s="35">
        <v>1.6590790784657585E-4</v>
      </c>
      <c r="K5818" s="35">
        <v>-5.2504074987396434</v>
      </c>
      <c r="L5818" s="35">
        <v>-9.1739968026188219</v>
      </c>
      <c r="M5818" s="58" t="s">
        <v>24</v>
      </c>
      <c r="N5818" s="7">
        <v>11.333333333333334</v>
      </c>
      <c r="O5818" s="7" t="s">
        <v>180</v>
      </c>
      <c r="P5818" s="7" t="s">
        <v>180</v>
      </c>
    </row>
    <row r="5819" spans="1:16" x14ac:dyDescent="0.25">
      <c r="A5819" t="s">
        <v>183</v>
      </c>
      <c r="B5819" t="s">
        <v>228</v>
      </c>
      <c r="C5819" s="7" t="s">
        <v>170</v>
      </c>
      <c r="D5819" t="s">
        <v>115</v>
      </c>
      <c r="F5819" s="35">
        <v>10.829833921897823</v>
      </c>
      <c r="G5819" s="35">
        <v>52.612066142688789</v>
      </c>
      <c r="H5819" s="35">
        <v>5.4183131537627727</v>
      </c>
      <c r="I5819" s="35">
        <v>-0.87605123931701312</v>
      </c>
      <c r="J5819" s="35">
        <v>1.6590790784657585E-4</v>
      </c>
      <c r="K5819" s="35">
        <v>-0.50666278430163669</v>
      </c>
      <c r="L5819" s="35">
        <v>-38.513712598661442</v>
      </c>
      <c r="M5819" s="58" t="s">
        <v>23</v>
      </c>
      <c r="N5819" s="7">
        <v>11.333333333333334</v>
      </c>
      <c r="O5819" s="7" t="s">
        <v>180</v>
      </c>
      <c r="P5819" s="7" t="s">
        <v>180</v>
      </c>
    </row>
    <row r="5820" spans="1:16" x14ac:dyDescent="0.25">
      <c r="A5820" t="s">
        <v>183</v>
      </c>
      <c r="B5820" t="s">
        <v>228</v>
      </c>
      <c r="C5820" s="7" t="s">
        <v>170</v>
      </c>
      <c r="D5820" t="s">
        <v>116</v>
      </c>
      <c r="F5820" s="35">
        <v>0</v>
      </c>
      <c r="G5820" s="35">
        <v>50.910830241083204</v>
      </c>
      <c r="H5820" s="35">
        <v>7.613831263887195</v>
      </c>
      <c r="I5820" s="35">
        <v>-7.0617114461934802</v>
      </c>
      <c r="J5820" s="35">
        <v>-6.9781342533800292E-4</v>
      </c>
      <c r="K5820" s="35">
        <v>-8.9862032567717751</v>
      </c>
      <c r="L5820" s="35">
        <v>40.957044882393213</v>
      </c>
      <c r="M5820" s="58" t="s">
        <v>22</v>
      </c>
      <c r="N5820" s="7">
        <v>11.333333333333334</v>
      </c>
      <c r="O5820" s="7" t="s">
        <v>180</v>
      </c>
      <c r="P5820" s="7" t="s">
        <v>180</v>
      </c>
    </row>
    <row r="5821" spans="1:16" x14ac:dyDescent="0.25">
      <c r="A5821" t="s">
        <v>183</v>
      </c>
      <c r="B5821" t="s">
        <v>228</v>
      </c>
      <c r="C5821" s="7" t="s">
        <v>170</v>
      </c>
      <c r="D5821" t="s">
        <v>116</v>
      </c>
      <c r="F5821" s="35">
        <v>0.29999999999999988</v>
      </c>
      <c r="G5821" s="35">
        <v>51.053736081083208</v>
      </c>
      <c r="H5821" s="35">
        <v>7.613831263887195</v>
      </c>
      <c r="I5821" s="35">
        <v>-7.0617114461934802</v>
      </c>
      <c r="J5821" s="35">
        <v>-6.9781342533800292E-4</v>
      </c>
      <c r="K5821" s="35">
        <v>-6.8676898229137322</v>
      </c>
      <c r="L5821" s="35">
        <v>38.672895503227053</v>
      </c>
      <c r="M5821" s="58" t="s">
        <v>22</v>
      </c>
      <c r="N5821" s="7">
        <v>11.333333333333334</v>
      </c>
      <c r="O5821" s="7" t="s">
        <v>180</v>
      </c>
      <c r="P5821" s="7" t="s">
        <v>180</v>
      </c>
    </row>
    <row r="5822" spans="1:16" x14ac:dyDescent="0.25">
      <c r="A5822" t="s">
        <v>183</v>
      </c>
      <c r="B5822" t="s">
        <v>228</v>
      </c>
      <c r="C5822" s="7" t="s">
        <v>170</v>
      </c>
      <c r="D5822" t="s">
        <v>116</v>
      </c>
      <c r="F5822" s="35">
        <v>0.29999999999999988</v>
      </c>
      <c r="G5822" s="35">
        <v>-28.10285025483023</v>
      </c>
      <c r="H5822" s="35">
        <v>7.6138312638872412</v>
      </c>
      <c r="I5822" s="35">
        <v>-2.2653420200078664</v>
      </c>
      <c r="J5822" s="35">
        <v>-3.6600782833115351E-4</v>
      </c>
      <c r="K5822" s="35">
        <v>-6.867689822913734</v>
      </c>
      <c r="L5822" s="35">
        <v>38.672875594891245</v>
      </c>
      <c r="M5822" s="58" t="s">
        <v>22</v>
      </c>
      <c r="N5822" s="7">
        <v>11.333333333333334</v>
      </c>
      <c r="O5822" s="7" t="s">
        <v>180</v>
      </c>
      <c r="P5822" s="7" t="s">
        <v>180</v>
      </c>
    </row>
    <row r="5823" spans="1:16" x14ac:dyDescent="0.25">
      <c r="A5823" t="s">
        <v>183</v>
      </c>
      <c r="B5823" t="s">
        <v>228</v>
      </c>
      <c r="C5823" s="7" t="s">
        <v>170</v>
      </c>
      <c r="D5823" t="s">
        <v>116</v>
      </c>
      <c r="F5823" s="35">
        <v>5.3</v>
      </c>
      <c r="G5823" s="35">
        <v>-25.721086254830233</v>
      </c>
      <c r="H5823" s="35">
        <v>7.6138312638872412</v>
      </c>
      <c r="I5823" s="35">
        <v>-2.2653420200078664</v>
      </c>
      <c r="J5823" s="35">
        <v>-3.6600782833115351E-4</v>
      </c>
      <c r="K5823" s="35">
        <v>4.4590202771255969</v>
      </c>
      <c r="L5823" s="35">
        <v>0.603719275455051</v>
      </c>
      <c r="M5823" s="58" t="s">
        <v>24</v>
      </c>
      <c r="N5823" s="7">
        <v>11.333333333333334</v>
      </c>
      <c r="O5823" s="7" t="s">
        <v>180</v>
      </c>
      <c r="P5823" s="7" t="s">
        <v>180</v>
      </c>
    </row>
    <row r="5824" spans="1:16" x14ac:dyDescent="0.25">
      <c r="A5824" t="s">
        <v>183</v>
      </c>
      <c r="B5824" t="s">
        <v>228</v>
      </c>
      <c r="C5824" s="7" t="s">
        <v>170</v>
      </c>
      <c r="D5824" t="s">
        <v>116</v>
      </c>
      <c r="F5824" s="35">
        <v>5.3</v>
      </c>
      <c r="G5824" s="35">
        <v>49.952129032876321</v>
      </c>
      <c r="H5824" s="35">
        <v>7.6138505189593859</v>
      </c>
      <c r="I5824" s="35">
        <v>0.75008462027198186</v>
      </c>
      <c r="J5824" s="35">
        <v>-5.3708481224583923E-4</v>
      </c>
      <c r="K5824" s="35">
        <v>4.459020277125596</v>
      </c>
      <c r="L5824" s="35">
        <v>0.60400378791340337</v>
      </c>
      <c r="M5824" s="58" t="s">
        <v>24</v>
      </c>
      <c r="N5824" s="7">
        <v>11.333333333333334</v>
      </c>
      <c r="O5824" s="7" t="s">
        <v>180</v>
      </c>
      <c r="P5824" s="7" t="s">
        <v>180</v>
      </c>
    </row>
    <row r="5825" spans="1:16" x14ac:dyDescent="0.25">
      <c r="A5825" t="s">
        <v>183</v>
      </c>
      <c r="B5825" t="s">
        <v>228</v>
      </c>
      <c r="C5825" s="7" t="s">
        <v>170</v>
      </c>
      <c r="D5825" t="s">
        <v>116</v>
      </c>
      <c r="F5825" s="35">
        <v>5.4149169609489114</v>
      </c>
      <c r="G5825" s="35">
        <v>50.006870048991829</v>
      </c>
      <c r="H5825" s="35">
        <v>7.6138505189593859</v>
      </c>
      <c r="I5825" s="35">
        <v>0.75008462027198186</v>
      </c>
      <c r="J5825" s="35">
        <v>-5.3708481224583923E-4</v>
      </c>
      <c r="K5825" s="35">
        <v>4.3728228321094216</v>
      </c>
      <c r="L5825" s="35">
        <v>-0.27095677484470226</v>
      </c>
      <c r="M5825" s="58" t="s">
        <v>24</v>
      </c>
      <c r="N5825" s="7">
        <v>11.333333333333334</v>
      </c>
      <c r="O5825" s="7" t="s">
        <v>180</v>
      </c>
      <c r="P5825" s="7" t="s">
        <v>180</v>
      </c>
    </row>
    <row r="5826" spans="1:16" x14ac:dyDescent="0.25">
      <c r="A5826" t="s">
        <v>183</v>
      </c>
      <c r="B5826" t="s">
        <v>228</v>
      </c>
      <c r="C5826" s="7" t="s">
        <v>170</v>
      </c>
      <c r="D5826" t="s">
        <v>116</v>
      </c>
      <c r="F5826" s="35">
        <v>10.829833921897823</v>
      </c>
      <c r="G5826" s="35">
        <v>52.586280905107316</v>
      </c>
      <c r="H5826" s="35">
        <v>7.6138505189593859</v>
      </c>
      <c r="I5826" s="35">
        <v>0.75008462027198186</v>
      </c>
      <c r="J5826" s="35">
        <v>-5.3708481224583923E-4</v>
      </c>
      <c r="K5826" s="35">
        <v>0.31117689965174489</v>
      </c>
      <c r="L5826" s="35">
        <v>-41.499325088087545</v>
      </c>
      <c r="M5826" s="58" t="s">
        <v>23</v>
      </c>
      <c r="N5826" s="7">
        <v>11.333333333333334</v>
      </c>
      <c r="O5826" s="7" t="s">
        <v>180</v>
      </c>
      <c r="P5826" s="7" t="s">
        <v>180</v>
      </c>
    </row>
    <row r="5827" spans="1:16" x14ac:dyDescent="0.25">
      <c r="A5827" t="s">
        <v>183</v>
      </c>
      <c r="B5827" t="s">
        <v>228</v>
      </c>
      <c r="C5827" s="7" t="s">
        <v>170</v>
      </c>
      <c r="D5827" t="s">
        <v>117</v>
      </c>
      <c r="F5827" s="35">
        <v>0</v>
      </c>
      <c r="G5827" s="35">
        <v>-54.439822672543819</v>
      </c>
      <c r="H5827" s="35">
        <v>16.27413952809324</v>
      </c>
      <c r="I5827" s="35">
        <v>-3.2701673902780448</v>
      </c>
      <c r="J5827" s="35">
        <v>-1.1434170063788082E-3</v>
      </c>
      <c r="K5827" s="35">
        <v>-5.248590446097479</v>
      </c>
      <c r="L5827" s="35">
        <v>93.665055173419177</v>
      </c>
      <c r="M5827" s="58" t="s">
        <v>22</v>
      </c>
      <c r="N5827" s="7">
        <v>11.333333333333334</v>
      </c>
      <c r="O5827" s="7" t="s">
        <v>180</v>
      </c>
      <c r="P5827" s="7" t="s">
        <v>180</v>
      </c>
    </row>
    <row r="5828" spans="1:16" x14ac:dyDescent="0.25">
      <c r="A5828" t="s">
        <v>183</v>
      </c>
      <c r="B5828" t="s">
        <v>228</v>
      </c>
      <c r="C5828" s="7" t="s">
        <v>170</v>
      </c>
      <c r="D5828" t="s">
        <v>117</v>
      </c>
      <c r="F5828" s="35">
        <v>0.29999999999999988</v>
      </c>
      <c r="G5828" s="35">
        <v>-54.296916832543815</v>
      </c>
      <c r="H5828" s="35">
        <v>16.27413952809324</v>
      </c>
      <c r="I5828" s="35">
        <v>-3.2701673902780448</v>
      </c>
      <c r="J5828" s="35">
        <v>-1.1434170063788082E-3</v>
      </c>
      <c r="K5828" s="35">
        <v>-4.2675402290140658</v>
      </c>
      <c r="L5828" s="35">
        <v>88.782813314991216</v>
      </c>
      <c r="M5828" s="58" t="s">
        <v>22</v>
      </c>
      <c r="N5828" s="7">
        <v>11.333333333333334</v>
      </c>
      <c r="O5828" s="7" t="s">
        <v>180</v>
      </c>
      <c r="P5828" s="7" t="s">
        <v>180</v>
      </c>
    </row>
    <row r="5829" spans="1:16" x14ac:dyDescent="0.25">
      <c r="A5829" t="s">
        <v>183</v>
      </c>
      <c r="B5829" t="s">
        <v>228</v>
      </c>
      <c r="C5829" s="7" t="s">
        <v>170</v>
      </c>
      <c r="D5829" t="s">
        <v>117</v>
      </c>
      <c r="F5829" s="35">
        <v>0.29999999999999988</v>
      </c>
      <c r="G5829" s="35">
        <v>-84.480219937245309</v>
      </c>
      <c r="H5829" s="35">
        <v>16.274139528093173</v>
      </c>
      <c r="I5829" s="35">
        <v>-1.4121949579651905</v>
      </c>
      <c r="J5829" s="35">
        <v>-1.9948486989091699E-4</v>
      </c>
      <c r="K5829" s="35">
        <v>-4.2675402290140712</v>
      </c>
      <c r="L5829" s="35">
        <v>88.782756679062985</v>
      </c>
      <c r="M5829" s="58" t="s">
        <v>22</v>
      </c>
      <c r="N5829" s="7">
        <v>11.333333333333334</v>
      </c>
      <c r="O5829" s="7" t="s">
        <v>180</v>
      </c>
      <c r="P5829" s="7" t="s">
        <v>180</v>
      </c>
    </row>
    <row r="5830" spans="1:16" x14ac:dyDescent="0.25">
      <c r="A5830" t="s">
        <v>183</v>
      </c>
      <c r="B5830" t="s">
        <v>228</v>
      </c>
      <c r="C5830" s="7" t="s">
        <v>170</v>
      </c>
      <c r="D5830" t="s">
        <v>117</v>
      </c>
      <c r="F5830" s="35">
        <v>5.3</v>
      </c>
      <c r="G5830" s="35">
        <v>-82.098455937245319</v>
      </c>
      <c r="H5830" s="35">
        <v>16.274139528093173</v>
      </c>
      <c r="I5830" s="35">
        <v>-1.4121949579651905</v>
      </c>
      <c r="J5830" s="35">
        <v>-1.9948486989091699E-4</v>
      </c>
      <c r="K5830" s="35">
        <v>2.7934345608118809</v>
      </c>
      <c r="L5830" s="35">
        <v>7.4120590385971301</v>
      </c>
      <c r="M5830" s="58" t="s">
        <v>24</v>
      </c>
      <c r="N5830" s="7">
        <v>11.333333333333334</v>
      </c>
      <c r="O5830" s="7" t="s">
        <v>180</v>
      </c>
      <c r="P5830" s="7" t="s">
        <v>180</v>
      </c>
    </row>
    <row r="5831" spans="1:16" x14ac:dyDescent="0.25">
      <c r="A5831" t="s">
        <v>183</v>
      </c>
      <c r="B5831" t="s">
        <v>228</v>
      </c>
      <c r="C5831" s="7" t="s">
        <v>170</v>
      </c>
      <c r="D5831" t="s">
        <v>117</v>
      </c>
      <c r="F5831" s="35">
        <v>5.3</v>
      </c>
      <c r="G5831" s="35">
        <v>-51.595268482808386</v>
      </c>
      <c r="H5831" s="35">
        <v>16.27418364872814</v>
      </c>
      <c r="I5831" s="35">
        <v>0.47392171828683466</v>
      </c>
      <c r="J5831" s="35">
        <v>-5.0438039276962598E-4</v>
      </c>
      <c r="K5831" s="35">
        <v>2.7934345608118822</v>
      </c>
      <c r="L5831" s="35">
        <v>7.413018150233099</v>
      </c>
      <c r="M5831" s="58" t="s">
        <v>24</v>
      </c>
      <c r="N5831" s="7">
        <v>11.333333333333334</v>
      </c>
      <c r="O5831" s="7" t="s">
        <v>180</v>
      </c>
      <c r="P5831" s="7" t="s">
        <v>180</v>
      </c>
    </row>
    <row r="5832" spans="1:16" x14ac:dyDescent="0.25">
      <c r="A5832" t="s">
        <v>183</v>
      </c>
      <c r="B5832" t="s">
        <v>228</v>
      </c>
      <c r="C5832" s="7" t="s">
        <v>170</v>
      </c>
      <c r="D5832" t="s">
        <v>117</v>
      </c>
      <c r="F5832" s="35">
        <v>5.4149169609489114</v>
      </c>
      <c r="G5832" s="35">
        <v>-51.540527466692872</v>
      </c>
      <c r="H5832" s="35">
        <v>16.27418364872814</v>
      </c>
      <c r="I5832" s="35">
        <v>0.47392171828683466</v>
      </c>
      <c r="J5832" s="35">
        <v>-5.0438039276962598E-4</v>
      </c>
      <c r="K5832" s="35">
        <v>2.7389729172186734</v>
      </c>
      <c r="L5832" s="35">
        <v>5.5428384233967938</v>
      </c>
      <c r="M5832" s="58" t="s">
        <v>24</v>
      </c>
      <c r="N5832" s="7">
        <v>11.333333333333334</v>
      </c>
      <c r="O5832" s="7" t="s">
        <v>180</v>
      </c>
      <c r="P5832" s="7" t="s">
        <v>180</v>
      </c>
    </row>
    <row r="5833" spans="1:16" x14ac:dyDescent="0.25">
      <c r="A5833" t="s">
        <v>183</v>
      </c>
      <c r="B5833" t="s">
        <v>228</v>
      </c>
      <c r="C5833" s="7" t="s">
        <v>170</v>
      </c>
      <c r="D5833" t="s">
        <v>117</v>
      </c>
      <c r="F5833" s="35">
        <v>10.829833921897823</v>
      </c>
      <c r="G5833" s="35">
        <v>-48.961116610577385</v>
      </c>
      <c r="H5833" s="35">
        <v>16.27418364872814</v>
      </c>
      <c r="I5833" s="35">
        <v>0.47392171828683466</v>
      </c>
      <c r="J5833" s="35">
        <v>-5.0438039276962598E-4</v>
      </c>
      <c r="K5833" s="35">
        <v>0.1727261667052411</v>
      </c>
      <c r="L5833" s="35">
        <v>-82.580514641698642</v>
      </c>
      <c r="M5833" s="58" t="s">
        <v>23</v>
      </c>
      <c r="N5833" s="7">
        <v>11.333333333333334</v>
      </c>
      <c r="O5833" s="7" t="s">
        <v>180</v>
      </c>
      <c r="P5833" s="7" t="s">
        <v>180</v>
      </c>
    </row>
    <row r="5834" spans="1:16" x14ac:dyDescent="0.25">
      <c r="A5834" t="s">
        <v>183</v>
      </c>
      <c r="B5834" t="s">
        <v>228</v>
      </c>
      <c r="C5834" s="7" t="s">
        <v>170</v>
      </c>
      <c r="D5834" t="s">
        <v>118</v>
      </c>
      <c r="F5834" s="35">
        <v>0</v>
      </c>
      <c r="G5834" s="35">
        <v>49.637531947840273</v>
      </c>
      <c r="H5834" s="35">
        <v>-1.3356425662913445</v>
      </c>
      <c r="I5834" s="35">
        <v>-7.0843403895397357</v>
      </c>
      <c r="J5834" s="35">
        <v>-8.3565124326235533E-4</v>
      </c>
      <c r="K5834" s="35">
        <v>-9.0279918873432194</v>
      </c>
      <c r="L5834" s="35">
        <v>-19.138058399184363</v>
      </c>
      <c r="M5834" s="58" t="s">
        <v>22</v>
      </c>
      <c r="N5834" s="7">
        <v>11.333333333333334</v>
      </c>
      <c r="O5834" s="7" t="s">
        <v>180</v>
      </c>
      <c r="P5834" s="7" t="s">
        <v>180</v>
      </c>
    </row>
    <row r="5835" spans="1:16" x14ac:dyDescent="0.25">
      <c r="A5835" t="s">
        <v>183</v>
      </c>
      <c r="B5835" t="s">
        <v>228</v>
      </c>
      <c r="C5835" s="7" t="s">
        <v>170</v>
      </c>
      <c r="D5835" t="s">
        <v>118</v>
      </c>
      <c r="F5835" s="35">
        <v>0.29999999999999988</v>
      </c>
      <c r="G5835" s="35">
        <v>49.780437787840278</v>
      </c>
      <c r="H5835" s="35">
        <v>-1.3356425662913445</v>
      </c>
      <c r="I5835" s="35">
        <v>-7.0843403895397357</v>
      </c>
      <c r="J5835" s="35">
        <v>-8.3565124326235533E-4</v>
      </c>
      <c r="K5835" s="35">
        <v>-6.9026897704813006</v>
      </c>
      <c r="L5835" s="35">
        <v>-18.73736562929696</v>
      </c>
      <c r="M5835" s="58" t="s">
        <v>22</v>
      </c>
      <c r="N5835" s="7">
        <v>11.333333333333334</v>
      </c>
      <c r="O5835" s="7" t="s">
        <v>180</v>
      </c>
      <c r="P5835" s="7" t="s">
        <v>180</v>
      </c>
    </row>
    <row r="5836" spans="1:16" x14ac:dyDescent="0.25">
      <c r="A5836" t="s">
        <v>183</v>
      </c>
      <c r="B5836" t="s">
        <v>228</v>
      </c>
      <c r="C5836" s="7" t="s">
        <v>170</v>
      </c>
      <c r="D5836" t="s">
        <v>118</v>
      </c>
      <c r="F5836" s="35">
        <v>0.29999999999999988</v>
      </c>
      <c r="G5836" s="35">
        <v>-29.569026348040609</v>
      </c>
      <c r="H5836" s="35">
        <v>-1.3356425662913411</v>
      </c>
      <c r="I5836" s="35">
        <v>-2.2763982953560875</v>
      </c>
      <c r="J5836" s="35">
        <v>-4.5548185819420563E-4</v>
      </c>
      <c r="K5836" s="35">
        <v>-6.9026897704813051</v>
      </c>
      <c r="L5836" s="35">
        <v>-18.737388439460066</v>
      </c>
      <c r="M5836" s="58" t="s">
        <v>22</v>
      </c>
      <c r="N5836" s="7">
        <v>11.333333333333334</v>
      </c>
      <c r="O5836" s="7" t="s">
        <v>180</v>
      </c>
      <c r="P5836" s="7" t="s">
        <v>180</v>
      </c>
    </row>
    <row r="5837" spans="1:16" x14ac:dyDescent="0.25">
      <c r="A5837" t="s">
        <v>183</v>
      </c>
      <c r="B5837" t="s">
        <v>228</v>
      </c>
      <c r="C5837" s="7" t="s">
        <v>170</v>
      </c>
      <c r="D5837" t="s">
        <v>118</v>
      </c>
      <c r="F5837" s="35">
        <v>5.3</v>
      </c>
      <c r="G5837" s="35">
        <v>-27.187262348040612</v>
      </c>
      <c r="H5837" s="35">
        <v>-1.3356425662913411</v>
      </c>
      <c r="I5837" s="35">
        <v>-2.2763982953560875</v>
      </c>
      <c r="J5837" s="35">
        <v>-4.5548185819420563E-4</v>
      </c>
      <c r="K5837" s="35">
        <v>4.4793017062991307</v>
      </c>
      <c r="L5837" s="35">
        <v>-12.059175608003356</v>
      </c>
      <c r="M5837" s="58" t="s">
        <v>24</v>
      </c>
      <c r="N5837" s="7">
        <v>11.333333333333334</v>
      </c>
      <c r="O5837" s="7" t="s">
        <v>180</v>
      </c>
      <c r="P5837" s="7" t="s">
        <v>180</v>
      </c>
    </row>
    <row r="5838" spans="1:16" x14ac:dyDescent="0.25">
      <c r="A5838" t="s">
        <v>183</v>
      </c>
      <c r="B5838" t="s">
        <v>228</v>
      </c>
      <c r="C5838" s="7" t="s">
        <v>170</v>
      </c>
      <c r="D5838" t="s">
        <v>118</v>
      </c>
      <c r="F5838" s="35">
        <v>5.3</v>
      </c>
      <c r="G5838" s="35">
        <v>48.589068673132807</v>
      </c>
      <c r="H5838" s="35">
        <v>-1.3354686793201096</v>
      </c>
      <c r="I5838" s="35">
        <v>0.75345246013487654</v>
      </c>
      <c r="J5838" s="35">
        <v>-4.8438296014452188E-4</v>
      </c>
      <c r="K5838" s="35">
        <v>4.4793017062991343</v>
      </c>
      <c r="L5838" s="35">
        <v>-12.058478777527359</v>
      </c>
      <c r="M5838" s="58" t="s">
        <v>24</v>
      </c>
      <c r="N5838" s="7">
        <v>11.333333333333334</v>
      </c>
      <c r="O5838" s="7" t="s">
        <v>180</v>
      </c>
      <c r="P5838" s="7" t="s">
        <v>180</v>
      </c>
    </row>
    <row r="5839" spans="1:16" x14ac:dyDescent="0.25">
      <c r="A5839" t="s">
        <v>183</v>
      </c>
      <c r="B5839" t="s">
        <v>228</v>
      </c>
      <c r="C5839" s="7" t="s">
        <v>170</v>
      </c>
      <c r="D5839" t="s">
        <v>118</v>
      </c>
      <c r="F5839" s="35">
        <v>5.4149169609489114</v>
      </c>
      <c r="G5839" s="35">
        <v>48.643809689248322</v>
      </c>
      <c r="H5839" s="35">
        <v>-1.3354686793201096</v>
      </c>
      <c r="I5839" s="35">
        <v>0.75345246013487654</v>
      </c>
      <c r="J5839" s="35">
        <v>-4.8438296014452188E-4</v>
      </c>
      <c r="K5839" s="35">
        <v>4.3927172393609544</v>
      </c>
      <c r="L5839" s="35">
        <v>-11.905010775457434</v>
      </c>
      <c r="M5839" s="58" t="s">
        <v>24</v>
      </c>
      <c r="N5839" s="7">
        <v>11.333333333333334</v>
      </c>
      <c r="O5839" s="7" t="s">
        <v>180</v>
      </c>
      <c r="P5839" s="7" t="s">
        <v>180</v>
      </c>
    </row>
    <row r="5840" spans="1:16" x14ac:dyDescent="0.25">
      <c r="A5840" t="s">
        <v>183</v>
      </c>
      <c r="B5840" t="s">
        <v>228</v>
      </c>
      <c r="C5840" s="7" t="s">
        <v>170</v>
      </c>
      <c r="D5840" t="s">
        <v>118</v>
      </c>
      <c r="F5840" s="35">
        <v>10.829833921897823</v>
      </c>
      <c r="G5840" s="35">
        <v>51.223220545363809</v>
      </c>
      <c r="H5840" s="35">
        <v>-1.3354686793201096</v>
      </c>
      <c r="I5840" s="35">
        <v>0.75345246013487654</v>
      </c>
      <c r="J5840" s="35">
        <v>-4.8438296014452188E-4</v>
      </c>
      <c r="K5840" s="35">
        <v>0.31283473370792908</v>
      </c>
      <c r="L5840" s="35">
        <v>-4.6735587729909369</v>
      </c>
      <c r="M5840" s="58" t="s">
        <v>23</v>
      </c>
      <c r="N5840" s="7">
        <v>11.333333333333334</v>
      </c>
      <c r="O5840" s="7" t="s">
        <v>180</v>
      </c>
      <c r="P5840" s="7" t="s">
        <v>180</v>
      </c>
    </row>
    <row r="5841" spans="1:16" x14ac:dyDescent="0.25">
      <c r="A5841" t="s">
        <v>183</v>
      </c>
      <c r="B5841" t="s">
        <v>228</v>
      </c>
      <c r="C5841" s="7" t="s">
        <v>170</v>
      </c>
      <c r="D5841" t="s">
        <v>119</v>
      </c>
      <c r="F5841" s="35">
        <v>0</v>
      </c>
      <c r="G5841" s="35">
        <v>-141.50963090552125</v>
      </c>
      <c r="H5841" s="35">
        <v>-15.183780152520344</v>
      </c>
      <c r="I5841" s="35">
        <v>-2.4733550753680409</v>
      </c>
      <c r="J5841" s="35">
        <v>-1.2692943657994331E-5</v>
      </c>
      <c r="K5841" s="35">
        <v>-5.2406417198195721</v>
      </c>
      <c r="L5841" s="35">
        <v>-84.010427779252609</v>
      </c>
      <c r="M5841" s="58" t="s">
        <v>22</v>
      </c>
      <c r="N5841" s="7">
        <v>11.333333333333334</v>
      </c>
      <c r="O5841" s="7" t="s">
        <v>180</v>
      </c>
      <c r="P5841" s="7" t="s">
        <v>180</v>
      </c>
    </row>
    <row r="5842" spans="1:16" x14ac:dyDescent="0.25">
      <c r="A5842" t="s">
        <v>183</v>
      </c>
      <c r="B5842" t="s">
        <v>228</v>
      </c>
      <c r="C5842" s="7" t="s">
        <v>170</v>
      </c>
      <c r="D5842" t="s">
        <v>119</v>
      </c>
      <c r="F5842" s="35">
        <v>0.29999999999999988</v>
      </c>
      <c r="G5842" s="35">
        <v>-141.36672506552122</v>
      </c>
      <c r="H5842" s="35">
        <v>-15.183780152520344</v>
      </c>
      <c r="I5842" s="35">
        <v>-2.4733550753680409</v>
      </c>
      <c r="J5842" s="35">
        <v>-1.2692943657994331E-5</v>
      </c>
      <c r="K5842" s="35">
        <v>-4.4986351972091594</v>
      </c>
      <c r="L5842" s="35">
        <v>-79.455293733496518</v>
      </c>
      <c r="M5842" s="58" t="s">
        <v>22</v>
      </c>
      <c r="N5842" s="7">
        <v>11.333333333333334</v>
      </c>
      <c r="O5842" s="7" t="s">
        <v>180</v>
      </c>
      <c r="P5842" s="7" t="s">
        <v>180</v>
      </c>
    </row>
    <row r="5843" spans="1:16" x14ac:dyDescent="0.25">
      <c r="A5843" t="s">
        <v>183</v>
      </c>
      <c r="B5843" t="s">
        <v>228</v>
      </c>
      <c r="C5843" s="7" t="s">
        <v>170</v>
      </c>
      <c r="D5843" t="s">
        <v>119</v>
      </c>
      <c r="F5843" s="35">
        <v>0.29999999999999988</v>
      </c>
      <c r="G5843" s="35">
        <v>-156.95247209708313</v>
      </c>
      <c r="H5843" s="35">
        <v>-15.183780152520304</v>
      </c>
      <c r="I5843" s="35">
        <v>-1.491236007443584</v>
      </c>
      <c r="J5843" s="35">
        <v>-5.6535872333028018E-4</v>
      </c>
      <c r="K5843" s="35">
        <v>-4.4986351972091603</v>
      </c>
      <c r="L5843" s="35">
        <v>-79.455260573549737</v>
      </c>
      <c r="M5843" s="58" t="s">
        <v>22</v>
      </c>
      <c r="N5843" s="7">
        <v>11.333333333333334</v>
      </c>
      <c r="O5843" s="7" t="s">
        <v>180</v>
      </c>
      <c r="P5843" s="7" t="s">
        <v>180</v>
      </c>
    </row>
    <row r="5844" spans="1:16" x14ac:dyDescent="0.25">
      <c r="A5844" t="s">
        <v>183</v>
      </c>
      <c r="B5844" t="s">
        <v>228</v>
      </c>
      <c r="C5844" s="7" t="s">
        <v>170</v>
      </c>
      <c r="D5844" t="s">
        <v>119</v>
      </c>
      <c r="F5844" s="35">
        <v>5.3</v>
      </c>
      <c r="G5844" s="35">
        <v>-154.57070809708313</v>
      </c>
      <c r="H5844" s="35">
        <v>-15.183780152520304</v>
      </c>
      <c r="I5844" s="35">
        <v>-1.491236007443584</v>
      </c>
      <c r="J5844" s="35">
        <v>-5.6535872333028018E-4</v>
      </c>
      <c r="K5844" s="35">
        <v>2.9575448400087585</v>
      </c>
      <c r="L5844" s="35">
        <v>-3.5363598109482255</v>
      </c>
      <c r="M5844" s="58" t="s">
        <v>24</v>
      </c>
      <c r="N5844" s="7">
        <v>11.333333333333334</v>
      </c>
      <c r="O5844" s="7" t="s">
        <v>180</v>
      </c>
      <c r="P5844" s="7" t="s">
        <v>180</v>
      </c>
    </row>
    <row r="5845" spans="1:16" x14ac:dyDescent="0.25">
      <c r="A5845" t="s">
        <v>183</v>
      </c>
      <c r="B5845" t="s">
        <v>228</v>
      </c>
      <c r="C5845" s="7" t="s">
        <v>170</v>
      </c>
      <c r="D5845" t="s">
        <v>119</v>
      </c>
      <c r="F5845" s="35">
        <v>5.3</v>
      </c>
      <c r="G5845" s="35">
        <v>-137.72930390791427</v>
      </c>
      <c r="H5845" s="35">
        <v>-15.183810868037972</v>
      </c>
      <c r="I5845" s="35">
        <v>0.50110058313250772</v>
      </c>
      <c r="J5845" s="35">
        <v>-2.9492704645532673E-4</v>
      </c>
      <c r="K5845" s="35">
        <v>2.9575448400087612</v>
      </c>
      <c r="L5845" s="35">
        <v>-3.5365651356676362</v>
      </c>
      <c r="M5845" s="58" t="s">
        <v>24</v>
      </c>
      <c r="N5845" s="7">
        <v>11.333333333333334</v>
      </c>
      <c r="O5845" s="7" t="s">
        <v>180</v>
      </c>
      <c r="P5845" s="7" t="s">
        <v>180</v>
      </c>
    </row>
    <row r="5846" spans="1:16" x14ac:dyDescent="0.25">
      <c r="A5846" t="s">
        <v>183</v>
      </c>
      <c r="B5846" t="s">
        <v>228</v>
      </c>
      <c r="C5846" s="7" t="s">
        <v>170</v>
      </c>
      <c r="D5846" t="s">
        <v>119</v>
      </c>
      <c r="F5846" s="35">
        <v>5.4149169609489114</v>
      </c>
      <c r="G5846" s="35">
        <v>-137.67456289179873</v>
      </c>
      <c r="H5846" s="35">
        <v>-15.183810868037972</v>
      </c>
      <c r="I5846" s="35">
        <v>0.50110058313250772</v>
      </c>
      <c r="J5846" s="35">
        <v>-2.9492704645532673E-4</v>
      </c>
      <c r="K5846" s="35">
        <v>2.8999598838654452</v>
      </c>
      <c r="L5846" s="35">
        <v>-1.7916877350896592</v>
      </c>
      <c r="M5846" s="58" t="s">
        <v>24</v>
      </c>
      <c r="N5846" s="7">
        <v>11.333333333333334</v>
      </c>
      <c r="O5846" s="7" t="s">
        <v>180</v>
      </c>
      <c r="P5846" s="7" t="s">
        <v>180</v>
      </c>
    </row>
    <row r="5847" spans="1:16" x14ac:dyDescent="0.25">
      <c r="A5847" t="s">
        <v>183</v>
      </c>
      <c r="B5847" t="s">
        <v>228</v>
      </c>
      <c r="C5847" s="7" t="s">
        <v>170</v>
      </c>
      <c r="D5847" t="s">
        <v>119</v>
      </c>
      <c r="F5847" s="35">
        <v>10.829833921897823</v>
      </c>
      <c r="G5847" s="35">
        <v>-135.09515203568324</v>
      </c>
      <c r="H5847" s="35">
        <v>-15.183810868037972</v>
      </c>
      <c r="I5847" s="35">
        <v>0.50110058313250772</v>
      </c>
      <c r="J5847" s="35">
        <v>-2.9492704645532673E-4</v>
      </c>
      <c r="K5847" s="35">
        <v>0.18654183711984021</v>
      </c>
      <c r="L5847" s="35">
        <v>80.427387266089539</v>
      </c>
      <c r="M5847" s="58" t="s">
        <v>23</v>
      </c>
      <c r="N5847" s="7">
        <v>11.333333333333334</v>
      </c>
      <c r="O5847" s="7" t="s">
        <v>180</v>
      </c>
      <c r="P5847" s="7" t="s">
        <v>180</v>
      </c>
    </row>
    <row r="5848" spans="1:16" x14ac:dyDescent="0.25">
      <c r="A5848" t="s">
        <v>183</v>
      </c>
      <c r="B5848" t="s">
        <v>228</v>
      </c>
      <c r="C5848" s="7" t="s">
        <v>170</v>
      </c>
      <c r="D5848" t="s">
        <v>120</v>
      </c>
      <c r="F5848" s="35">
        <v>0</v>
      </c>
      <c r="G5848" s="35">
        <v>80.981768392988485</v>
      </c>
      <c r="H5848" s="35">
        <v>4.3097740001055067</v>
      </c>
      <c r="I5848" s="35">
        <v>-6.4834102165089549</v>
      </c>
      <c r="J5848" s="35">
        <v>-3.7448051582983637E-4</v>
      </c>
      <c r="K5848" s="35">
        <v>-7.8105247261758857</v>
      </c>
      <c r="L5848" s="35">
        <v>15.096471616926333</v>
      </c>
      <c r="M5848" s="58" t="s">
        <v>22</v>
      </c>
      <c r="N5848" s="7">
        <v>11.333333333333334</v>
      </c>
      <c r="O5848" s="7" t="s">
        <v>180</v>
      </c>
      <c r="P5848" s="7" t="s">
        <v>180</v>
      </c>
    </row>
    <row r="5849" spans="1:16" x14ac:dyDescent="0.25">
      <c r="A5849" t="s">
        <v>183</v>
      </c>
      <c r="B5849" t="s">
        <v>228</v>
      </c>
      <c r="C5849" s="7" t="s">
        <v>170</v>
      </c>
      <c r="D5849" t="s">
        <v>120</v>
      </c>
      <c r="F5849" s="35">
        <v>0.29999999999999988</v>
      </c>
      <c r="G5849" s="35">
        <v>81.124674232988482</v>
      </c>
      <c r="H5849" s="35">
        <v>4.3097740001055067</v>
      </c>
      <c r="I5849" s="35">
        <v>-6.4834102165089549</v>
      </c>
      <c r="J5849" s="35">
        <v>-3.7448051582983637E-4</v>
      </c>
      <c r="K5849" s="35">
        <v>-5.8655016612232007</v>
      </c>
      <c r="L5849" s="35">
        <v>13.803539416894679</v>
      </c>
      <c r="M5849" s="58" t="s">
        <v>22</v>
      </c>
      <c r="N5849" s="7">
        <v>11.333333333333334</v>
      </c>
      <c r="O5849" s="7" t="s">
        <v>180</v>
      </c>
      <c r="P5849" s="7" t="s">
        <v>180</v>
      </c>
    </row>
    <row r="5850" spans="1:16" x14ac:dyDescent="0.25">
      <c r="A5850" t="s">
        <v>183</v>
      </c>
      <c r="B5850" t="s">
        <v>228</v>
      </c>
      <c r="C5850" s="7" t="s">
        <v>170</v>
      </c>
      <c r="D5850" t="s">
        <v>120</v>
      </c>
      <c r="F5850" s="35">
        <v>0.29999999999999988</v>
      </c>
      <c r="G5850" s="35">
        <v>5.6069520833751874</v>
      </c>
      <c r="H5850" s="35">
        <v>4.3097740001055236</v>
      </c>
      <c r="I5850" s="35">
        <v>-1.9053726415013967</v>
      </c>
      <c r="J5850" s="35">
        <v>1.1401082724330119E-4</v>
      </c>
      <c r="K5850" s="35">
        <v>-5.8655016612232034</v>
      </c>
      <c r="L5850" s="35">
        <v>13.803510107414105</v>
      </c>
      <c r="M5850" s="58" t="s">
        <v>22</v>
      </c>
      <c r="N5850" s="7">
        <v>11.333333333333334</v>
      </c>
      <c r="O5850" s="7" t="s">
        <v>180</v>
      </c>
      <c r="P5850" s="7" t="s">
        <v>180</v>
      </c>
    </row>
    <row r="5851" spans="1:16" x14ac:dyDescent="0.25">
      <c r="A5851" t="s">
        <v>183</v>
      </c>
      <c r="B5851" t="s">
        <v>228</v>
      </c>
      <c r="C5851" s="7" t="s">
        <v>170</v>
      </c>
      <c r="D5851" t="s">
        <v>120</v>
      </c>
      <c r="F5851" s="35">
        <v>5.3</v>
      </c>
      <c r="G5851" s="35">
        <v>7.9887160833751967</v>
      </c>
      <c r="H5851" s="35">
        <v>4.3097740001055236</v>
      </c>
      <c r="I5851" s="35">
        <v>-1.9053726415013967</v>
      </c>
      <c r="J5851" s="35">
        <v>1.1401082724330119E-4</v>
      </c>
      <c r="K5851" s="35">
        <v>3.6613615462837803</v>
      </c>
      <c r="L5851" s="35">
        <v>-7.745359893113509</v>
      </c>
      <c r="M5851" s="58" t="s">
        <v>24</v>
      </c>
      <c r="N5851" s="7">
        <v>11.333333333333334</v>
      </c>
      <c r="O5851" s="7" t="s">
        <v>180</v>
      </c>
      <c r="P5851" s="7" t="s">
        <v>180</v>
      </c>
    </row>
    <row r="5852" spans="1:16" x14ac:dyDescent="0.25">
      <c r="A5852" t="s">
        <v>183</v>
      </c>
      <c r="B5852" t="s">
        <v>228</v>
      </c>
      <c r="C5852" s="7" t="s">
        <v>170</v>
      </c>
      <c r="D5852" t="s">
        <v>120</v>
      </c>
      <c r="F5852" s="35">
        <v>5.3</v>
      </c>
      <c r="G5852" s="35">
        <v>76.209086404791123</v>
      </c>
      <c r="H5852" s="35">
        <v>4.3099159827482101</v>
      </c>
      <c r="I5852" s="35">
        <v>0.61813444867417944</v>
      </c>
      <c r="J5852" s="35">
        <v>2.9927019160685185E-6</v>
      </c>
      <c r="K5852" s="35">
        <v>3.6613615462837825</v>
      </c>
      <c r="L5852" s="35">
        <v>-7.7447423056926468</v>
      </c>
      <c r="M5852" s="58" t="s">
        <v>24</v>
      </c>
      <c r="N5852" s="7">
        <v>11.333333333333334</v>
      </c>
      <c r="O5852" s="7" t="s">
        <v>180</v>
      </c>
      <c r="P5852" s="7" t="s">
        <v>180</v>
      </c>
    </row>
    <row r="5853" spans="1:16" x14ac:dyDescent="0.25">
      <c r="A5853" t="s">
        <v>183</v>
      </c>
      <c r="B5853" t="s">
        <v>228</v>
      </c>
      <c r="C5853" s="7" t="s">
        <v>170</v>
      </c>
      <c r="D5853" t="s">
        <v>120</v>
      </c>
      <c r="F5853" s="35">
        <v>5.4149169609489114</v>
      </c>
      <c r="G5853" s="35">
        <v>76.263827420906608</v>
      </c>
      <c r="H5853" s="35">
        <v>4.3099159827482101</v>
      </c>
      <c r="I5853" s="35">
        <v>0.61813444867417944</v>
      </c>
      <c r="J5853" s="35">
        <v>2.9927019160685185E-6</v>
      </c>
      <c r="K5853" s="35">
        <v>3.5903274139843151</v>
      </c>
      <c r="L5853" s="35">
        <v>-8.240024752375211</v>
      </c>
      <c r="M5853" s="58" t="s">
        <v>24</v>
      </c>
      <c r="N5853" s="7">
        <v>11.333333333333334</v>
      </c>
      <c r="O5853" s="7" t="s">
        <v>180</v>
      </c>
      <c r="P5853" s="7" t="s">
        <v>180</v>
      </c>
    </row>
    <row r="5854" spans="1:16" x14ac:dyDescent="0.25">
      <c r="A5854" t="s">
        <v>183</v>
      </c>
      <c r="B5854" t="s">
        <v>228</v>
      </c>
      <c r="C5854" s="7" t="s">
        <v>170</v>
      </c>
      <c r="D5854" t="s">
        <v>120</v>
      </c>
      <c r="F5854" s="35">
        <v>10.829833921897823</v>
      </c>
      <c r="G5854" s="35">
        <v>78.84323827702211</v>
      </c>
      <c r="H5854" s="35">
        <v>4.3099159827482101</v>
      </c>
      <c r="I5854" s="35">
        <v>0.61813444867417944</v>
      </c>
      <c r="J5854" s="35">
        <v>2.9927019160685185E-6</v>
      </c>
      <c r="K5854" s="35">
        <v>0.2431807037116972</v>
      </c>
      <c r="L5854" s="35">
        <v>-31.577861907623276</v>
      </c>
      <c r="M5854" s="58" t="s">
        <v>23</v>
      </c>
      <c r="N5854" s="7">
        <v>11.333333333333334</v>
      </c>
      <c r="O5854" s="7" t="s">
        <v>180</v>
      </c>
      <c r="P5854" s="7" t="s">
        <v>180</v>
      </c>
    </row>
    <row r="5855" spans="1:16" x14ac:dyDescent="0.25">
      <c r="A5855" t="s">
        <v>183</v>
      </c>
      <c r="B5855" t="s">
        <v>228</v>
      </c>
      <c r="C5855" s="7" t="s">
        <v>170</v>
      </c>
      <c r="D5855" t="s">
        <v>121</v>
      </c>
      <c r="F5855" s="35">
        <v>0</v>
      </c>
      <c r="G5855" s="35">
        <v>-1.1674134476616016</v>
      </c>
      <c r="H5855" s="35">
        <v>0.64920641249599964</v>
      </c>
      <c r="I5855" s="35">
        <v>-2.6550163923686769</v>
      </c>
      <c r="J5855" s="35">
        <v>1.2590035996611461E-4</v>
      </c>
      <c r="K5855" s="35">
        <v>-3.7321374574579536</v>
      </c>
      <c r="L5855" s="35">
        <v>2.7864797883767554</v>
      </c>
      <c r="M5855" s="58" t="s">
        <v>22</v>
      </c>
      <c r="N5855" s="7">
        <v>11.333333333333334</v>
      </c>
      <c r="O5855" s="7" t="s">
        <v>180</v>
      </c>
      <c r="P5855" s="7" t="s">
        <v>180</v>
      </c>
    </row>
    <row r="5856" spans="1:16" x14ac:dyDescent="0.25">
      <c r="A5856" t="s">
        <v>183</v>
      </c>
      <c r="B5856" t="s">
        <v>228</v>
      </c>
      <c r="C5856" s="7" t="s">
        <v>170</v>
      </c>
      <c r="D5856" t="s">
        <v>121</v>
      </c>
      <c r="F5856" s="35">
        <v>0.29999999999999988</v>
      </c>
      <c r="G5856" s="35">
        <v>-1.0245076076615949</v>
      </c>
      <c r="H5856" s="35">
        <v>0.64920641249599964</v>
      </c>
      <c r="I5856" s="35">
        <v>-2.6550163923686769</v>
      </c>
      <c r="J5856" s="35">
        <v>1.2590035996611461E-4</v>
      </c>
      <c r="K5856" s="35">
        <v>-2.9356325397473508</v>
      </c>
      <c r="L5856" s="35">
        <v>2.5917178646279568</v>
      </c>
      <c r="M5856" s="58" t="s">
        <v>22</v>
      </c>
      <c r="N5856" s="7">
        <v>11.333333333333334</v>
      </c>
      <c r="O5856" s="7" t="s">
        <v>180</v>
      </c>
      <c r="P5856" s="7" t="s">
        <v>180</v>
      </c>
    </row>
    <row r="5857" spans="1:16" x14ac:dyDescent="0.25">
      <c r="A5857" t="s">
        <v>183</v>
      </c>
      <c r="B5857" t="s">
        <v>228</v>
      </c>
      <c r="C5857" s="7" t="s">
        <v>170</v>
      </c>
      <c r="D5857" t="s">
        <v>121</v>
      </c>
      <c r="F5857" s="35">
        <v>0.29999999999999988</v>
      </c>
      <c r="G5857" s="35">
        <v>-28.799385607855157</v>
      </c>
      <c r="H5857" s="35">
        <v>0.64920641249599875</v>
      </c>
      <c r="I5857" s="35">
        <v>-0.94154946632630354</v>
      </c>
      <c r="J5857" s="35">
        <v>2.2215067803420515E-4</v>
      </c>
      <c r="K5857" s="35">
        <v>-2.9356325397473531</v>
      </c>
      <c r="L5857" s="35">
        <v>2.5917120896088792</v>
      </c>
      <c r="M5857" s="58" t="s">
        <v>22</v>
      </c>
      <c r="N5857" s="7">
        <v>11.333333333333334</v>
      </c>
      <c r="O5857" s="7" t="s">
        <v>180</v>
      </c>
      <c r="P5857" s="7" t="s">
        <v>180</v>
      </c>
    </row>
    <row r="5858" spans="1:16" x14ac:dyDescent="0.25">
      <c r="A5858" t="s">
        <v>183</v>
      </c>
      <c r="B5858" t="s">
        <v>228</v>
      </c>
      <c r="C5858" s="7" t="s">
        <v>170</v>
      </c>
      <c r="D5858" t="s">
        <v>121</v>
      </c>
      <c r="F5858" s="35">
        <v>5.3</v>
      </c>
      <c r="G5858" s="35">
        <v>-26.417621607855146</v>
      </c>
      <c r="H5858" s="35">
        <v>0.64920641249599875</v>
      </c>
      <c r="I5858" s="35">
        <v>-0.94154946632630354</v>
      </c>
      <c r="J5858" s="35">
        <v>2.2215067803420515E-4</v>
      </c>
      <c r="K5858" s="35">
        <v>1.7721147918841644</v>
      </c>
      <c r="L5858" s="35">
        <v>-0.65431997287111432</v>
      </c>
      <c r="M5858" s="58" t="s">
        <v>24</v>
      </c>
      <c r="N5858" s="7">
        <v>11.333333333333334</v>
      </c>
      <c r="O5858" s="7" t="s">
        <v>180</v>
      </c>
      <c r="P5858" s="7" t="s">
        <v>180</v>
      </c>
    </row>
    <row r="5859" spans="1:16" x14ac:dyDescent="0.25">
      <c r="A5859" t="s">
        <v>183</v>
      </c>
      <c r="B5859" t="s">
        <v>228</v>
      </c>
      <c r="C5859" s="7" t="s">
        <v>170</v>
      </c>
      <c r="D5859" t="s">
        <v>121</v>
      </c>
      <c r="F5859" s="35">
        <v>5.3</v>
      </c>
      <c r="G5859" s="35">
        <v>-2.2776893516877315</v>
      </c>
      <c r="H5859" s="35">
        <v>0.64923175801398603</v>
      </c>
      <c r="I5859" s="35">
        <v>0.30499181742097436</v>
      </c>
      <c r="J5859" s="35">
        <v>2.1605363978594277E-4</v>
      </c>
      <c r="K5859" s="35">
        <v>1.7721147918841624</v>
      </c>
      <c r="L5859" s="35">
        <v>-0.65420609285499232</v>
      </c>
      <c r="M5859" s="58" t="s">
        <v>24</v>
      </c>
      <c r="N5859" s="7">
        <v>11.333333333333334</v>
      </c>
      <c r="O5859" s="7" t="s">
        <v>180</v>
      </c>
      <c r="P5859" s="7" t="s">
        <v>180</v>
      </c>
    </row>
    <row r="5860" spans="1:16" x14ac:dyDescent="0.25">
      <c r="A5860" t="s">
        <v>183</v>
      </c>
      <c r="B5860" t="s">
        <v>228</v>
      </c>
      <c r="C5860" s="7" t="s">
        <v>170</v>
      </c>
      <c r="D5860" t="s">
        <v>121</v>
      </c>
      <c r="F5860" s="35">
        <v>5.4149169609489114</v>
      </c>
      <c r="G5860" s="35">
        <v>-2.2229483355722328</v>
      </c>
      <c r="H5860" s="35">
        <v>0.64923175801398603</v>
      </c>
      <c r="I5860" s="35">
        <v>0.30499181742097436</v>
      </c>
      <c r="J5860" s="35">
        <v>2.1605363978594277E-4</v>
      </c>
      <c r="K5860" s="35">
        <v>1.737066059111859</v>
      </c>
      <c r="L5860" s="35">
        <v>-0.72881383343747708</v>
      </c>
      <c r="M5860" s="58" t="s">
        <v>24</v>
      </c>
      <c r="N5860" s="7">
        <v>11.333333333333334</v>
      </c>
      <c r="O5860" s="7" t="s">
        <v>180</v>
      </c>
      <c r="P5860" s="7" t="s">
        <v>180</v>
      </c>
    </row>
    <row r="5861" spans="1:16" x14ac:dyDescent="0.25">
      <c r="A5861" t="s">
        <v>183</v>
      </c>
      <c r="B5861" t="s">
        <v>228</v>
      </c>
      <c r="C5861" s="7" t="s">
        <v>170</v>
      </c>
      <c r="D5861" t="s">
        <v>121</v>
      </c>
      <c r="F5861" s="35">
        <v>10.829833921897823</v>
      </c>
      <c r="G5861" s="35">
        <v>0.35646252054326755</v>
      </c>
      <c r="H5861" s="35">
        <v>0.64923175801398603</v>
      </c>
      <c r="I5861" s="35">
        <v>0.30499181742097436</v>
      </c>
      <c r="J5861" s="35">
        <v>2.1605363978594277E-4</v>
      </c>
      <c r="K5861" s="35">
        <v>8.5560694008391711E-2</v>
      </c>
      <c r="L5861" s="35">
        <v>-4.2443498914940907</v>
      </c>
      <c r="M5861" s="58" t="s">
        <v>23</v>
      </c>
      <c r="N5861" s="7">
        <v>11.333333333333334</v>
      </c>
      <c r="O5861" s="7" t="s">
        <v>180</v>
      </c>
      <c r="P5861" s="7" t="s">
        <v>180</v>
      </c>
    </row>
    <row r="5862" spans="1:16" x14ac:dyDescent="0.25">
      <c r="A5862" t="s">
        <v>183</v>
      </c>
      <c r="B5862" t="s">
        <v>228</v>
      </c>
      <c r="C5862" s="7" t="s">
        <v>170</v>
      </c>
      <c r="D5862" t="s">
        <v>122</v>
      </c>
      <c r="F5862" s="35">
        <v>0</v>
      </c>
      <c r="G5862" s="35">
        <v>136.05471824694288</v>
      </c>
      <c r="H5862" s="35">
        <v>10.255512197215127</v>
      </c>
      <c r="I5862" s="35">
        <v>5.002924924632457</v>
      </c>
      <c r="J5862" s="35">
        <v>-1.0796799827199489E-3</v>
      </c>
      <c r="K5862" s="35">
        <v>7.9617379038657985</v>
      </c>
      <c r="L5862" s="35">
        <v>36.530622988889697</v>
      </c>
      <c r="M5862" s="58" t="s">
        <v>22</v>
      </c>
      <c r="N5862" s="7">
        <v>11.333333333333334</v>
      </c>
      <c r="O5862" s="7" t="s">
        <v>180</v>
      </c>
      <c r="P5862" s="7" t="s">
        <v>180</v>
      </c>
    </row>
    <row r="5863" spans="1:16" x14ac:dyDescent="0.25">
      <c r="A5863" t="s">
        <v>183</v>
      </c>
      <c r="B5863" t="s">
        <v>228</v>
      </c>
      <c r="C5863" s="7" t="s">
        <v>170</v>
      </c>
      <c r="D5863" t="s">
        <v>122</v>
      </c>
      <c r="F5863" s="35">
        <v>0.29999999999999988</v>
      </c>
      <c r="G5863" s="35">
        <v>136.19762408694291</v>
      </c>
      <c r="H5863" s="35">
        <v>10.255512197215127</v>
      </c>
      <c r="I5863" s="35">
        <v>5.002924924632457</v>
      </c>
      <c r="J5863" s="35">
        <v>-1.0796799827199489E-3</v>
      </c>
      <c r="K5863" s="35">
        <v>6.4608604264760618</v>
      </c>
      <c r="L5863" s="35">
        <v>33.453969329725169</v>
      </c>
      <c r="M5863" s="58" t="s">
        <v>22</v>
      </c>
      <c r="N5863" s="7">
        <v>11.333333333333334</v>
      </c>
      <c r="O5863" s="7" t="s">
        <v>180</v>
      </c>
      <c r="P5863" s="7" t="s">
        <v>180</v>
      </c>
    </row>
    <row r="5864" spans="1:16" x14ac:dyDescent="0.25">
      <c r="A5864" t="s">
        <v>183</v>
      </c>
      <c r="B5864" t="s">
        <v>228</v>
      </c>
      <c r="C5864" s="7" t="s">
        <v>170</v>
      </c>
      <c r="D5864" t="s">
        <v>122</v>
      </c>
      <c r="F5864" s="35">
        <v>0.29999999999999988</v>
      </c>
      <c r="G5864" s="35">
        <v>185.22073865648565</v>
      </c>
      <c r="H5864" s="35">
        <v>10.255512197215104</v>
      </c>
      <c r="I5864" s="35">
        <v>2.1085122964906526</v>
      </c>
      <c r="J5864" s="35">
        <v>2.2360985916627891E-4</v>
      </c>
      <c r="K5864" s="35">
        <v>6.460860426476061</v>
      </c>
      <c r="L5864" s="35">
        <v>33.453891132334668</v>
      </c>
      <c r="M5864" s="58" t="s">
        <v>22</v>
      </c>
      <c r="N5864" s="7">
        <v>11.333333333333334</v>
      </c>
      <c r="O5864" s="7" t="s">
        <v>180</v>
      </c>
      <c r="P5864" s="7" t="s">
        <v>180</v>
      </c>
    </row>
    <row r="5865" spans="1:16" x14ac:dyDescent="0.25">
      <c r="A5865" t="s">
        <v>183</v>
      </c>
      <c r="B5865" t="s">
        <v>228</v>
      </c>
      <c r="C5865" s="7" t="s">
        <v>170</v>
      </c>
      <c r="D5865" t="s">
        <v>122</v>
      </c>
      <c r="F5865" s="35">
        <v>5.3</v>
      </c>
      <c r="G5865" s="35">
        <v>187.60250265648568</v>
      </c>
      <c r="H5865" s="35">
        <v>10.255512197215104</v>
      </c>
      <c r="I5865" s="35">
        <v>2.1085122964906526</v>
      </c>
      <c r="J5865" s="35">
        <v>2.2360985916627891E-4</v>
      </c>
      <c r="K5865" s="35">
        <v>-4.081701055977204</v>
      </c>
      <c r="L5865" s="35">
        <v>-17.823669853740849</v>
      </c>
      <c r="M5865" s="58" t="s">
        <v>24</v>
      </c>
      <c r="N5865" s="7">
        <v>11.333333333333334</v>
      </c>
      <c r="O5865" s="7" t="s">
        <v>180</v>
      </c>
      <c r="P5865" s="7" t="s">
        <v>180</v>
      </c>
    </row>
    <row r="5866" spans="1:16" x14ac:dyDescent="0.25">
      <c r="A5866" t="s">
        <v>183</v>
      </c>
      <c r="B5866" t="s">
        <v>228</v>
      </c>
      <c r="C5866" s="7" t="s">
        <v>170</v>
      </c>
      <c r="D5866" t="s">
        <v>122</v>
      </c>
      <c r="F5866" s="35">
        <v>5.3</v>
      </c>
      <c r="G5866" s="35">
        <v>149.82534478496723</v>
      </c>
      <c r="H5866" s="35">
        <v>10.255875327443743</v>
      </c>
      <c r="I5866" s="35">
        <v>-0.66566018383066694</v>
      </c>
      <c r="J5866" s="35">
        <v>-2.447004626866538E-5</v>
      </c>
      <c r="K5866" s="35">
        <v>-4.0817010559772067</v>
      </c>
      <c r="L5866" s="35">
        <v>-17.821999396077121</v>
      </c>
      <c r="M5866" s="58" t="s">
        <v>24</v>
      </c>
      <c r="N5866" s="7">
        <v>11.333333333333334</v>
      </c>
      <c r="O5866" s="7" t="s">
        <v>180</v>
      </c>
      <c r="P5866" s="7" t="s">
        <v>180</v>
      </c>
    </row>
    <row r="5867" spans="1:16" x14ac:dyDescent="0.25">
      <c r="A5867" t="s">
        <v>183</v>
      </c>
      <c r="B5867" t="s">
        <v>228</v>
      </c>
      <c r="C5867" s="7" t="s">
        <v>170</v>
      </c>
      <c r="D5867" t="s">
        <v>122</v>
      </c>
      <c r="F5867" s="35">
        <v>5.4149169609489114</v>
      </c>
      <c r="G5867" s="35">
        <v>149.88008580108271</v>
      </c>
      <c r="H5867" s="35">
        <v>10.255875327443743</v>
      </c>
      <c r="I5867" s="35">
        <v>-0.66566018383066694</v>
      </c>
      <c r="J5867" s="35">
        <v>-2.447004626866538E-5</v>
      </c>
      <c r="K5867" s="35">
        <v>-4.0052054106266928</v>
      </c>
      <c r="L5867" s="35">
        <v>-19.000573420577879</v>
      </c>
      <c r="M5867" s="58" t="s">
        <v>24</v>
      </c>
      <c r="N5867" s="7">
        <v>11.333333333333334</v>
      </c>
      <c r="O5867" s="7" t="s">
        <v>180</v>
      </c>
      <c r="P5867" s="7" t="s">
        <v>180</v>
      </c>
    </row>
    <row r="5868" spans="1:16" x14ac:dyDescent="0.25">
      <c r="A5868" t="s">
        <v>183</v>
      </c>
      <c r="B5868" t="s">
        <v>228</v>
      </c>
      <c r="C5868" s="7" t="s">
        <v>170</v>
      </c>
      <c r="D5868" t="s">
        <v>122</v>
      </c>
      <c r="F5868" s="35">
        <v>10.829833921897823</v>
      </c>
      <c r="G5868" s="35">
        <v>152.4594966571982</v>
      </c>
      <c r="H5868" s="35">
        <v>10.255875327443743</v>
      </c>
      <c r="I5868" s="35">
        <v>-0.66566018383066694</v>
      </c>
      <c r="J5868" s="35">
        <v>-2.447004626866538E-5</v>
      </c>
      <c r="K5868" s="35">
        <v>-0.40071079097364537</v>
      </c>
      <c r="L5868" s="35">
        <v>-74.535286680530476</v>
      </c>
      <c r="M5868" s="58" t="s">
        <v>23</v>
      </c>
      <c r="N5868" s="7">
        <v>11.333333333333334</v>
      </c>
      <c r="O5868" s="7" t="s">
        <v>180</v>
      </c>
      <c r="P5868" s="7" t="s">
        <v>180</v>
      </c>
    </row>
    <row r="5869" spans="1:16" x14ac:dyDescent="0.25">
      <c r="A5869" t="s">
        <v>183</v>
      </c>
      <c r="B5869" t="s">
        <v>228</v>
      </c>
      <c r="C5869" s="7" t="s">
        <v>170</v>
      </c>
      <c r="D5869" t="s">
        <v>123</v>
      </c>
      <c r="F5869" s="35">
        <v>0</v>
      </c>
      <c r="G5869" s="35">
        <v>53.859866891823827</v>
      </c>
      <c r="H5869" s="35">
        <v>6.546670315533591</v>
      </c>
      <c r="I5869" s="35">
        <v>8.8298188686320032</v>
      </c>
      <c r="J5869" s="35">
        <v>-5.7004618629308116E-4</v>
      </c>
      <c r="K5869" s="35">
        <v>12.037501310589779</v>
      </c>
      <c r="L5869" s="35">
        <v>24.034076762791873</v>
      </c>
      <c r="M5869" s="58" t="s">
        <v>22</v>
      </c>
      <c r="N5869" s="7">
        <v>11.333333333333334</v>
      </c>
      <c r="O5869" s="7" t="s">
        <v>180</v>
      </c>
      <c r="P5869" s="7" t="s">
        <v>180</v>
      </c>
    </row>
    <row r="5870" spans="1:16" x14ac:dyDescent="0.25">
      <c r="A5870" t="s">
        <v>183</v>
      </c>
      <c r="B5870" t="s">
        <v>228</v>
      </c>
      <c r="C5870" s="7" t="s">
        <v>170</v>
      </c>
      <c r="D5870" t="s">
        <v>123</v>
      </c>
      <c r="F5870" s="35">
        <v>0.29999999999999988</v>
      </c>
      <c r="G5870" s="35">
        <v>54.002772731823839</v>
      </c>
      <c r="H5870" s="35">
        <v>6.546670315533591</v>
      </c>
      <c r="I5870" s="35">
        <v>8.8298188686320032</v>
      </c>
      <c r="J5870" s="35">
        <v>-5.7004618629308116E-4</v>
      </c>
      <c r="K5870" s="35">
        <v>9.3885556500001801</v>
      </c>
      <c r="L5870" s="35">
        <v>22.0700756681318</v>
      </c>
      <c r="M5870" s="58" t="s">
        <v>22</v>
      </c>
      <c r="N5870" s="7">
        <v>11.333333333333334</v>
      </c>
      <c r="O5870" s="7" t="s">
        <v>180</v>
      </c>
      <c r="P5870" s="7" t="s">
        <v>180</v>
      </c>
    </row>
    <row r="5871" spans="1:16" x14ac:dyDescent="0.25">
      <c r="A5871" t="s">
        <v>183</v>
      </c>
      <c r="B5871" t="s">
        <v>228</v>
      </c>
      <c r="C5871" s="7" t="s">
        <v>170</v>
      </c>
      <c r="D5871" t="s">
        <v>123</v>
      </c>
      <c r="F5871" s="35">
        <v>0.29999999999999988</v>
      </c>
      <c r="G5871" s="35">
        <v>150.75535182705758</v>
      </c>
      <c r="H5871" s="35">
        <v>6.5466703155335759</v>
      </c>
      <c r="I5871" s="35">
        <v>3.071638368948757</v>
      </c>
      <c r="J5871" s="35">
        <v>3.3203703548793245E-4</v>
      </c>
      <c r="K5871" s="35">
        <v>9.388555650000173</v>
      </c>
      <c r="L5871" s="35">
        <v>22.070021543138491</v>
      </c>
      <c r="M5871" s="58" t="s">
        <v>22</v>
      </c>
      <c r="N5871" s="7">
        <v>11.333333333333334</v>
      </c>
      <c r="O5871" s="7" t="s">
        <v>180</v>
      </c>
      <c r="P5871" s="7" t="s">
        <v>180</v>
      </c>
    </row>
    <row r="5872" spans="1:16" x14ac:dyDescent="0.25">
      <c r="A5872" t="s">
        <v>183</v>
      </c>
      <c r="B5872" t="s">
        <v>228</v>
      </c>
      <c r="C5872" s="7" t="s">
        <v>170</v>
      </c>
      <c r="D5872" t="s">
        <v>123</v>
      </c>
      <c r="F5872" s="35">
        <v>5.3</v>
      </c>
      <c r="G5872" s="35">
        <v>153.13711582705756</v>
      </c>
      <c r="H5872" s="35">
        <v>6.5466703155335759</v>
      </c>
      <c r="I5872" s="35">
        <v>3.071638368948757</v>
      </c>
      <c r="J5872" s="35">
        <v>3.3203703548793245E-4</v>
      </c>
      <c r="K5872" s="35">
        <v>-5.9696361947436118</v>
      </c>
      <c r="L5872" s="35">
        <v>-10.663330034529393</v>
      </c>
      <c r="M5872" s="58" t="s">
        <v>24</v>
      </c>
      <c r="N5872" s="7">
        <v>11.333333333333334</v>
      </c>
      <c r="O5872" s="7" t="s">
        <v>180</v>
      </c>
      <c r="P5872" s="7" t="s">
        <v>180</v>
      </c>
    </row>
    <row r="5873" spans="1:16" x14ac:dyDescent="0.25">
      <c r="A5873" t="s">
        <v>183</v>
      </c>
      <c r="B5873" t="s">
        <v>228</v>
      </c>
      <c r="C5873" s="7" t="s">
        <v>170</v>
      </c>
      <c r="D5873" t="s">
        <v>123</v>
      </c>
      <c r="F5873" s="35">
        <v>5.3</v>
      </c>
      <c r="G5873" s="35">
        <v>71.287754436995215</v>
      </c>
      <c r="H5873" s="35">
        <v>6.5469144643893209</v>
      </c>
      <c r="I5873" s="35">
        <v>-0.97858603089258211</v>
      </c>
      <c r="J5873" s="35">
        <v>1.8972028001774829E-4</v>
      </c>
      <c r="K5873" s="35">
        <v>-5.9696361947436127</v>
      </c>
      <c r="L5873" s="35">
        <v>-10.662174871568524</v>
      </c>
      <c r="M5873" s="58" t="s">
        <v>24</v>
      </c>
      <c r="N5873" s="7">
        <v>11.333333333333334</v>
      </c>
      <c r="O5873" s="7" t="s">
        <v>180</v>
      </c>
      <c r="P5873" s="7" t="s">
        <v>180</v>
      </c>
    </row>
    <row r="5874" spans="1:16" x14ac:dyDescent="0.25">
      <c r="A5874" t="s">
        <v>183</v>
      </c>
      <c r="B5874" t="s">
        <v>228</v>
      </c>
      <c r="C5874" s="7" t="s">
        <v>170</v>
      </c>
      <c r="D5874" t="s">
        <v>123</v>
      </c>
      <c r="F5874" s="35">
        <v>5.4149169609489114</v>
      </c>
      <c r="G5874" s="35">
        <v>71.342495453110701</v>
      </c>
      <c r="H5874" s="35">
        <v>6.5469144643893209</v>
      </c>
      <c r="I5874" s="35">
        <v>-0.97858603089258211</v>
      </c>
      <c r="J5874" s="35">
        <v>1.8972028001774829E-4</v>
      </c>
      <c r="K5874" s="35">
        <v>-5.8571800620463792</v>
      </c>
      <c r="L5874" s="35">
        <v>-11.414526385408612</v>
      </c>
      <c r="M5874" s="58" t="s">
        <v>24</v>
      </c>
      <c r="N5874" s="7">
        <v>11.333333333333334</v>
      </c>
      <c r="O5874" s="7" t="s">
        <v>180</v>
      </c>
      <c r="P5874" s="7" t="s">
        <v>180</v>
      </c>
    </row>
    <row r="5875" spans="1:16" x14ac:dyDescent="0.25">
      <c r="A5875" t="s">
        <v>183</v>
      </c>
      <c r="B5875" t="s">
        <v>228</v>
      </c>
      <c r="C5875" s="7" t="s">
        <v>170</v>
      </c>
      <c r="D5875" t="s">
        <v>123</v>
      </c>
      <c r="F5875" s="35">
        <v>10.829833921897823</v>
      </c>
      <c r="G5875" s="35">
        <v>73.921906309226202</v>
      </c>
      <c r="H5875" s="35">
        <v>6.5469144643893209</v>
      </c>
      <c r="I5875" s="35">
        <v>-0.97858603089258211</v>
      </c>
      <c r="J5875" s="35">
        <v>1.8972028001774829E-4</v>
      </c>
      <c r="K5875" s="35">
        <v>-0.55821796561846304</v>
      </c>
      <c r="L5875" s="35">
        <v>-46.865524560512092</v>
      </c>
      <c r="M5875" s="58" t="s">
        <v>23</v>
      </c>
      <c r="N5875" s="7">
        <v>11.333333333333334</v>
      </c>
      <c r="O5875" s="7" t="s">
        <v>180</v>
      </c>
      <c r="P5875" s="7" t="s">
        <v>180</v>
      </c>
    </row>
    <row r="5876" spans="1:16" x14ac:dyDescent="0.25">
      <c r="A5876" t="s">
        <v>183</v>
      </c>
      <c r="B5876" t="s">
        <v>228</v>
      </c>
      <c r="C5876" s="7" t="s">
        <v>170</v>
      </c>
      <c r="D5876" t="s">
        <v>124</v>
      </c>
      <c r="F5876" s="35">
        <v>0</v>
      </c>
      <c r="G5876" s="35">
        <v>73.166970086049318</v>
      </c>
      <c r="H5876" s="35">
        <v>8.9863605187583673</v>
      </c>
      <c r="I5876" s="35">
        <v>-8.0391934612184848</v>
      </c>
      <c r="J5876" s="35">
        <v>-8.0971346095659645E-4</v>
      </c>
      <c r="K5876" s="35">
        <v>-10.011537671887988</v>
      </c>
      <c r="L5876" s="35">
        <v>47.137788669273057</v>
      </c>
      <c r="M5876" s="58" t="s">
        <v>22</v>
      </c>
      <c r="N5876" s="7">
        <v>11.333333333333334</v>
      </c>
      <c r="O5876" s="7" t="s">
        <v>180</v>
      </c>
      <c r="P5876" s="7" t="s">
        <v>180</v>
      </c>
    </row>
    <row r="5877" spans="1:16" x14ac:dyDescent="0.25">
      <c r="A5877" t="s">
        <v>183</v>
      </c>
      <c r="B5877" t="s">
        <v>228</v>
      </c>
      <c r="C5877" s="7" t="s">
        <v>170</v>
      </c>
      <c r="D5877" t="s">
        <v>124</v>
      </c>
      <c r="F5877" s="35">
        <v>0.29999999999999988</v>
      </c>
      <c r="G5877" s="35">
        <v>73.30987592604933</v>
      </c>
      <c r="H5877" s="35">
        <v>8.9863605187583673</v>
      </c>
      <c r="I5877" s="35">
        <v>-8.0391934612184848</v>
      </c>
      <c r="J5877" s="35">
        <v>-8.0971346095659645E-4</v>
      </c>
      <c r="K5877" s="35">
        <v>-7.5997796335224432</v>
      </c>
      <c r="L5877" s="35">
        <v>44.44188051364555</v>
      </c>
      <c r="M5877" s="58" t="s">
        <v>22</v>
      </c>
      <c r="N5877" s="7">
        <v>11.333333333333334</v>
      </c>
      <c r="O5877" s="7" t="s">
        <v>180</v>
      </c>
      <c r="P5877" s="7" t="s">
        <v>180</v>
      </c>
    </row>
    <row r="5878" spans="1:16" x14ac:dyDescent="0.25">
      <c r="A5878" t="s">
        <v>183</v>
      </c>
      <c r="B5878" t="s">
        <v>228</v>
      </c>
      <c r="C5878" s="7" t="s">
        <v>170</v>
      </c>
      <c r="D5878" t="s">
        <v>124</v>
      </c>
      <c r="F5878" s="35">
        <v>0.29999999999999988</v>
      </c>
      <c r="G5878" s="35">
        <v>-18.126259079582184</v>
      </c>
      <c r="H5878" s="35">
        <v>8.986360518758417</v>
      </c>
      <c r="I5878" s="35">
        <v>-2.5060511148497846</v>
      </c>
      <c r="J5878" s="35">
        <v>-3.8735260760750699E-4</v>
      </c>
      <c r="K5878" s="35">
        <v>-7.5997796335224459</v>
      </c>
      <c r="L5878" s="35">
        <v>44.441855171994362</v>
      </c>
      <c r="M5878" s="58" t="s">
        <v>22</v>
      </c>
      <c r="N5878" s="7">
        <v>11.333333333333334</v>
      </c>
      <c r="O5878" s="7" t="s">
        <v>180</v>
      </c>
      <c r="P5878" s="7" t="s">
        <v>180</v>
      </c>
    </row>
    <row r="5879" spans="1:16" x14ac:dyDescent="0.25">
      <c r="A5879" t="s">
        <v>183</v>
      </c>
      <c r="B5879" t="s">
        <v>228</v>
      </c>
      <c r="C5879" s="7" t="s">
        <v>170</v>
      </c>
      <c r="D5879" t="s">
        <v>124</v>
      </c>
      <c r="F5879" s="35">
        <v>5.3</v>
      </c>
      <c r="G5879" s="35">
        <v>-15.744495079582176</v>
      </c>
      <c r="H5879" s="35">
        <v>8.986360518758417</v>
      </c>
      <c r="I5879" s="35">
        <v>-2.5060511148497846</v>
      </c>
      <c r="J5879" s="35">
        <v>-3.8735260760750699E-4</v>
      </c>
      <c r="K5879" s="35">
        <v>4.9304759407264749</v>
      </c>
      <c r="L5879" s="35">
        <v>-0.48994742179772149</v>
      </c>
      <c r="M5879" s="58" t="s">
        <v>24</v>
      </c>
      <c r="N5879" s="7">
        <v>11.333333333333334</v>
      </c>
      <c r="O5879" s="7" t="s">
        <v>180</v>
      </c>
      <c r="P5879" s="7" t="s">
        <v>180</v>
      </c>
    </row>
    <row r="5880" spans="1:16" x14ac:dyDescent="0.25">
      <c r="A5880" t="s">
        <v>183</v>
      </c>
      <c r="B5880" t="s">
        <v>228</v>
      </c>
      <c r="C5880" s="7" t="s">
        <v>170</v>
      </c>
      <c r="D5880" t="s">
        <v>124</v>
      </c>
      <c r="F5880" s="35">
        <v>5.3</v>
      </c>
      <c r="G5880" s="35">
        <v>71.259104173015757</v>
      </c>
      <c r="H5880" s="35">
        <v>8.986400425718891</v>
      </c>
      <c r="I5880" s="35">
        <v>0.8282315908729676</v>
      </c>
      <c r="J5880" s="35">
        <v>-5.9138274230715725E-4</v>
      </c>
      <c r="K5880" s="35">
        <v>4.930475940726474</v>
      </c>
      <c r="L5880" s="35">
        <v>-0.48956986108819478</v>
      </c>
      <c r="M5880" s="58" t="s">
        <v>24</v>
      </c>
      <c r="N5880" s="7">
        <v>11.333333333333334</v>
      </c>
      <c r="O5880" s="7" t="s">
        <v>180</v>
      </c>
      <c r="P5880" s="7" t="s">
        <v>180</v>
      </c>
    </row>
    <row r="5881" spans="1:16" x14ac:dyDescent="0.25">
      <c r="A5881" t="s">
        <v>183</v>
      </c>
      <c r="B5881" t="s">
        <v>228</v>
      </c>
      <c r="C5881" s="7" t="s">
        <v>170</v>
      </c>
      <c r="D5881" t="s">
        <v>124</v>
      </c>
      <c r="F5881" s="35">
        <v>5.4149169609489114</v>
      </c>
      <c r="G5881" s="35">
        <v>71.313845189131257</v>
      </c>
      <c r="H5881" s="35">
        <v>8.986400425718891</v>
      </c>
      <c r="I5881" s="35">
        <v>0.8282315908729676</v>
      </c>
      <c r="J5881" s="35">
        <v>-5.9138274230715725E-4</v>
      </c>
      <c r="K5881" s="35">
        <v>4.8352980833414705</v>
      </c>
      <c r="L5881" s="35">
        <v>-1.5222596878818131</v>
      </c>
      <c r="M5881" s="58" t="s">
        <v>24</v>
      </c>
      <c r="N5881" s="7">
        <v>11.333333333333334</v>
      </c>
      <c r="O5881" s="7" t="s">
        <v>180</v>
      </c>
      <c r="P5881" s="7" t="s">
        <v>180</v>
      </c>
    </row>
    <row r="5882" spans="1:16" x14ac:dyDescent="0.25">
      <c r="A5882" t="s">
        <v>183</v>
      </c>
      <c r="B5882" t="s">
        <v>228</v>
      </c>
      <c r="C5882" s="7" t="s">
        <v>170</v>
      </c>
      <c r="D5882" t="s">
        <v>124</v>
      </c>
      <c r="F5882" s="35">
        <v>10.829833921897823</v>
      </c>
      <c r="G5882" s="35">
        <v>73.893256045246758</v>
      </c>
      <c r="H5882" s="35">
        <v>8.986400425718891</v>
      </c>
      <c r="I5882" s="35">
        <v>0.8282315908729676</v>
      </c>
      <c r="J5882" s="35">
        <v>-5.9138274230715725E-4</v>
      </c>
      <c r="K5882" s="35">
        <v>0.35049279432973873</v>
      </c>
      <c r="L5882" s="35">
        <v>-50.182871770985535</v>
      </c>
      <c r="M5882" s="58" t="s">
        <v>23</v>
      </c>
      <c r="N5882" s="7">
        <v>11.333333333333334</v>
      </c>
      <c r="O5882" s="7" t="s">
        <v>180</v>
      </c>
      <c r="P5882" s="7" t="s">
        <v>180</v>
      </c>
    </row>
    <row r="5883" spans="1:16" x14ac:dyDescent="0.25">
      <c r="A5883" t="s">
        <v>183</v>
      </c>
      <c r="B5883" t="s">
        <v>228</v>
      </c>
      <c r="C5883" s="7" t="s">
        <v>170</v>
      </c>
      <c r="D5883" t="s">
        <v>125</v>
      </c>
      <c r="F5883" s="35">
        <v>0</v>
      </c>
      <c r="G5883" s="35">
        <v>-43.889310929091828</v>
      </c>
      <c r="H5883" s="35">
        <v>18.608925256765087</v>
      </c>
      <c r="I5883" s="35">
        <v>-3.8263667324235584</v>
      </c>
      <c r="J5883" s="35">
        <v>-1.3048285510019358E-3</v>
      </c>
      <c r="K5883" s="35">
        <v>-5.8586345489165481</v>
      </c>
      <c r="L5883" s="35">
        <v>105.70224454819081</v>
      </c>
      <c r="M5883" s="58" t="s">
        <v>22</v>
      </c>
      <c r="N5883" s="7">
        <v>11.333333333333334</v>
      </c>
      <c r="O5883" s="7" t="s">
        <v>180</v>
      </c>
      <c r="P5883" s="7" t="s">
        <v>180</v>
      </c>
    </row>
    <row r="5884" spans="1:16" x14ac:dyDescent="0.25">
      <c r="A5884" t="s">
        <v>183</v>
      </c>
      <c r="B5884" t="s">
        <v>228</v>
      </c>
      <c r="C5884" s="7" t="s">
        <v>170</v>
      </c>
      <c r="D5884" t="s">
        <v>125</v>
      </c>
      <c r="F5884" s="35">
        <v>0.29999999999999988</v>
      </c>
      <c r="G5884" s="35">
        <v>-43.746405089091823</v>
      </c>
      <c r="H5884" s="35">
        <v>18.608925256765087</v>
      </c>
      <c r="I5884" s="35">
        <v>-3.8263667324235584</v>
      </c>
      <c r="J5884" s="35">
        <v>-1.3048285510019358E-3</v>
      </c>
      <c r="K5884" s="35">
        <v>-4.7107245291894815</v>
      </c>
      <c r="L5884" s="35">
        <v>100.11956697116128</v>
      </c>
      <c r="M5884" s="58" t="s">
        <v>22</v>
      </c>
      <c r="N5884" s="7">
        <v>11.333333333333334</v>
      </c>
      <c r="O5884" s="7" t="s">
        <v>180</v>
      </c>
      <c r="P5884" s="7" t="s">
        <v>180</v>
      </c>
    </row>
    <row r="5885" spans="1:16" x14ac:dyDescent="0.25">
      <c r="A5885" t="s">
        <v>183</v>
      </c>
      <c r="B5885" t="s">
        <v>228</v>
      </c>
      <c r="C5885" s="7" t="s">
        <v>170</v>
      </c>
      <c r="D5885" t="s">
        <v>125</v>
      </c>
      <c r="F5885" s="35">
        <v>0.29999999999999988</v>
      </c>
      <c r="G5885" s="35">
        <v>-80.767780948932284</v>
      </c>
      <c r="H5885" s="35">
        <v>18.608925256765012</v>
      </c>
      <c r="I5885" s="35">
        <v>-1.5581099348023664</v>
      </c>
      <c r="J5885" s="35">
        <v>-2.0232709822946634E-4</v>
      </c>
      <c r="K5885" s="35">
        <v>-4.7107245291894868</v>
      </c>
      <c r="L5885" s="35">
        <v>100.11950082107407</v>
      </c>
      <c r="M5885" s="58" t="s">
        <v>22</v>
      </c>
      <c r="N5885" s="7">
        <v>11.333333333333334</v>
      </c>
      <c r="O5885" s="7" t="s">
        <v>180</v>
      </c>
      <c r="P5885" s="7" t="s">
        <v>180</v>
      </c>
    </row>
    <row r="5886" spans="1:16" x14ac:dyDescent="0.25">
      <c r="A5886" t="s">
        <v>183</v>
      </c>
      <c r="B5886" t="s">
        <v>228</v>
      </c>
      <c r="C5886" s="7" t="s">
        <v>170</v>
      </c>
      <c r="D5886" t="s">
        <v>125</v>
      </c>
      <c r="F5886" s="35">
        <v>5.3</v>
      </c>
      <c r="G5886" s="35">
        <v>-78.386016948932266</v>
      </c>
      <c r="H5886" s="35">
        <v>18.608925256765012</v>
      </c>
      <c r="I5886" s="35">
        <v>-1.5581099348023664</v>
      </c>
      <c r="J5886" s="35">
        <v>-2.0232709822946634E-4</v>
      </c>
      <c r="K5886" s="35">
        <v>3.0798251448223453</v>
      </c>
      <c r="L5886" s="35">
        <v>7.0748745372490331</v>
      </c>
      <c r="M5886" s="58" t="s">
        <v>24</v>
      </c>
      <c r="N5886" s="7">
        <v>11.333333333333334</v>
      </c>
      <c r="O5886" s="7" t="s">
        <v>180</v>
      </c>
      <c r="P5886" s="7" t="s">
        <v>180</v>
      </c>
    </row>
    <row r="5887" spans="1:16" x14ac:dyDescent="0.25">
      <c r="A5887" t="s">
        <v>183</v>
      </c>
      <c r="B5887" t="s">
        <v>228</v>
      </c>
      <c r="C5887" s="7" t="s">
        <v>170</v>
      </c>
      <c r="D5887" t="s">
        <v>125</v>
      </c>
      <c r="F5887" s="35">
        <v>5.3</v>
      </c>
      <c r="G5887" s="35">
        <v>-41.571337511078333</v>
      </c>
      <c r="H5887" s="35">
        <v>18.608992792128618</v>
      </c>
      <c r="I5887" s="35">
        <v>0.52138392200058181</v>
      </c>
      <c r="J5887" s="35">
        <v>-5.5504449844469826E-4</v>
      </c>
      <c r="K5887" s="35">
        <v>3.0798251448223466</v>
      </c>
      <c r="L5887" s="35">
        <v>7.0760016526003566</v>
      </c>
      <c r="M5887" s="58" t="s">
        <v>24</v>
      </c>
      <c r="N5887" s="7">
        <v>11.333333333333334</v>
      </c>
      <c r="O5887" s="7" t="s">
        <v>180</v>
      </c>
      <c r="P5887" s="7" t="s">
        <v>180</v>
      </c>
    </row>
    <row r="5888" spans="1:16" x14ac:dyDescent="0.25">
      <c r="A5888" t="s">
        <v>183</v>
      </c>
      <c r="B5888" t="s">
        <v>228</v>
      </c>
      <c r="C5888" s="7" t="s">
        <v>170</v>
      </c>
      <c r="D5888" t="s">
        <v>125</v>
      </c>
      <c r="F5888" s="35">
        <v>5.4149169609489114</v>
      </c>
      <c r="G5888" s="35">
        <v>-41.516596494962833</v>
      </c>
      <c r="H5888" s="35">
        <v>18.608992792128618</v>
      </c>
      <c r="I5888" s="35">
        <v>0.52138392200058181</v>
      </c>
      <c r="J5888" s="35">
        <v>-5.5504449844469826E-4</v>
      </c>
      <c r="K5888" s="35">
        <v>3.0199092890184156</v>
      </c>
      <c r="L5888" s="35">
        <v>4.937512754608739</v>
      </c>
      <c r="M5888" s="58" t="s">
        <v>24</v>
      </c>
      <c r="N5888" s="7">
        <v>11.333333333333334</v>
      </c>
      <c r="O5888" s="7" t="s">
        <v>180</v>
      </c>
      <c r="P5888" s="7" t="s">
        <v>180</v>
      </c>
    </row>
    <row r="5889" spans="1:16" x14ac:dyDescent="0.25">
      <c r="A5889" t="s">
        <v>183</v>
      </c>
      <c r="B5889" t="s">
        <v>228</v>
      </c>
      <c r="C5889" s="7" t="s">
        <v>170</v>
      </c>
      <c r="D5889" t="s">
        <v>125</v>
      </c>
      <c r="F5889" s="35">
        <v>10.829833921897823</v>
      </c>
      <c r="G5889" s="35">
        <v>-38.937185638847332</v>
      </c>
      <c r="H5889" s="35">
        <v>18.608992792128618</v>
      </c>
      <c r="I5889" s="35">
        <v>0.52138392200058181</v>
      </c>
      <c r="J5889" s="35">
        <v>-5.5504449844469826E-4</v>
      </c>
      <c r="K5889" s="35">
        <v>0.19665864661140117</v>
      </c>
      <c r="L5889" s="35">
        <v>-95.828637941664525</v>
      </c>
      <c r="M5889" s="58" t="s">
        <v>23</v>
      </c>
      <c r="N5889" s="7">
        <v>11.333333333333334</v>
      </c>
      <c r="O5889" s="7" t="s">
        <v>180</v>
      </c>
      <c r="P5889" s="7" t="s">
        <v>180</v>
      </c>
    </row>
    <row r="5890" spans="1:16" x14ac:dyDescent="0.25">
      <c r="A5890" t="s">
        <v>183</v>
      </c>
      <c r="B5890" t="s">
        <v>228</v>
      </c>
      <c r="C5890" s="7" t="s">
        <v>170</v>
      </c>
      <c r="D5890" t="s">
        <v>126</v>
      </c>
      <c r="F5890" s="35">
        <v>0</v>
      </c>
      <c r="G5890" s="35">
        <v>71.752194204668257</v>
      </c>
      <c r="H5890" s="35">
        <v>-0.95749929255112132</v>
      </c>
      <c r="I5890" s="35">
        <v>-8.0643367316032144</v>
      </c>
      <c r="J5890" s="35">
        <v>-9.6286659198365485E-4</v>
      </c>
      <c r="K5890" s="35">
        <v>-10.057969483634039</v>
      </c>
      <c r="L5890" s="35">
        <v>-19.634548310257578</v>
      </c>
      <c r="M5890" s="58" t="s">
        <v>22</v>
      </c>
      <c r="N5890" s="7">
        <v>11.333333333333334</v>
      </c>
      <c r="O5890" s="7" t="s">
        <v>180</v>
      </c>
      <c r="P5890" s="7" t="s">
        <v>180</v>
      </c>
    </row>
    <row r="5891" spans="1:16" x14ac:dyDescent="0.25">
      <c r="A5891" t="s">
        <v>183</v>
      </c>
      <c r="B5891" t="s">
        <v>228</v>
      </c>
      <c r="C5891" s="7" t="s">
        <v>170</v>
      </c>
      <c r="D5891" t="s">
        <v>126</v>
      </c>
      <c r="F5891" s="35">
        <v>0.29999999999999988</v>
      </c>
      <c r="G5891" s="35">
        <v>71.895100044668254</v>
      </c>
      <c r="H5891" s="35">
        <v>-0.95749929255112132</v>
      </c>
      <c r="I5891" s="35">
        <v>-8.0643367316032144</v>
      </c>
      <c r="J5891" s="35">
        <v>-9.6286659198365485E-4</v>
      </c>
      <c r="K5891" s="35">
        <v>-7.6386684641530751</v>
      </c>
      <c r="L5891" s="35">
        <v>-19.347298522492245</v>
      </c>
      <c r="M5891" s="58" t="s">
        <v>22</v>
      </c>
      <c r="N5891" s="7">
        <v>11.333333333333334</v>
      </c>
      <c r="O5891" s="7" t="s">
        <v>180</v>
      </c>
      <c r="P5891" s="7" t="s">
        <v>180</v>
      </c>
    </row>
    <row r="5892" spans="1:16" x14ac:dyDescent="0.25">
      <c r="A5892" t="s">
        <v>183</v>
      </c>
      <c r="B5892" t="s">
        <v>228</v>
      </c>
      <c r="C5892" s="7" t="s">
        <v>170</v>
      </c>
      <c r="D5892" t="s">
        <v>126</v>
      </c>
      <c r="F5892" s="35">
        <v>0.29999999999999988</v>
      </c>
      <c r="G5892" s="35">
        <v>-19.755343627593717</v>
      </c>
      <c r="H5892" s="35">
        <v>-0.95749929255111721</v>
      </c>
      <c r="I5892" s="35">
        <v>-2.5183358652366965</v>
      </c>
      <c r="J5892" s="35">
        <v>-4.8676819634423145E-4</v>
      </c>
      <c r="K5892" s="35">
        <v>-7.6386684641530804</v>
      </c>
      <c r="L5892" s="35">
        <v>-19.347327088395986</v>
      </c>
      <c r="M5892" s="58" t="s">
        <v>22</v>
      </c>
      <c r="N5892" s="7">
        <v>11.333333333333334</v>
      </c>
      <c r="O5892" s="7" t="s">
        <v>180</v>
      </c>
      <c r="P5892" s="7" t="s">
        <v>180</v>
      </c>
    </row>
    <row r="5893" spans="1:16" x14ac:dyDescent="0.25">
      <c r="A5893" t="s">
        <v>183</v>
      </c>
      <c r="B5893" t="s">
        <v>228</v>
      </c>
      <c r="C5893" s="7" t="s">
        <v>170</v>
      </c>
      <c r="D5893" t="s">
        <v>126</v>
      </c>
      <c r="F5893" s="35">
        <v>5.3</v>
      </c>
      <c r="G5893" s="35">
        <v>-17.373579627593706</v>
      </c>
      <c r="H5893" s="35">
        <v>-0.95749929255111721</v>
      </c>
      <c r="I5893" s="35">
        <v>-2.5183358652366965</v>
      </c>
      <c r="J5893" s="35">
        <v>-4.8676819634423145E-4</v>
      </c>
      <c r="K5893" s="35">
        <v>4.9530108620304016</v>
      </c>
      <c r="L5893" s="35">
        <v>-14.559830625640396</v>
      </c>
      <c r="M5893" s="58" t="s">
        <v>24</v>
      </c>
      <c r="N5893" s="7">
        <v>11.333333333333334</v>
      </c>
      <c r="O5893" s="7" t="s">
        <v>180</v>
      </c>
      <c r="P5893" s="7" t="s">
        <v>180</v>
      </c>
    </row>
    <row r="5894" spans="1:16" x14ac:dyDescent="0.25">
      <c r="A5894" t="s">
        <v>183</v>
      </c>
      <c r="B5894" t="s">
        <v>228</v>
      </c>
      <c r="C5894" s="7" t="s">
        <v>170</v>
      </c>
      <c r="D5894" t="s">
        <v>126</v>
      </c>
      <c r="F5894" s="35">
        <v>5.3</v>
      </c>
      <c r="G5894" s="35">
        <v>69.74459266218966</v>
      </c>
      <c r="H5894" s="35">
        <v>-0.95728757236943851</v>
      </c>
      <c r="I5894" s="35">
        <v>0.83197363516507283</v>
      </c>
      <c r="J5894" s="35">
        <v>-5.3282512886124915E-4</v>
      </c>
      <c r="K5894" s="35">
        <v>4.9530108620304052</v>
      </c>
      <c r="L5894" s="35">
        <v>-14.558994933800156</v>
      </c>
      <c r="M5894" s="58" t="s">
        <v>24</v>
      </c>
      <c r="N5894" s="7">
        <v>11.333333333333334</v>
      </c>
      <c r="O5894" s="7" t="s">
        <v>180</v>
      </c>
      <c r="P5894" s="7" t="s">
        <v>180</v>
      </c>
    </row>
    <row r="5895" spans="1:16" x14ac:dyDescent="0.25">
      <c r="A5895" t="s">
        <v>183</v>
      </c>
      <c r="B5895" t="s">
        <v>228</v>
      </c>
      <c r="C5895" s="7" t="s">
        <v>170</v>
      </c>
      <c r="D5895" t="s">
        <v>126</v>
      </c>
      <c r="F5895" s="35">
        <v>5.4149169609489114</v>
      </c>
      <c r="G5895" s="35">
        <v>69.79933367830516</v>
      </c>
      <c r="H5895" s="35">
        <v>-0.95728757236943851</v>
      </c>
      <c r="I5895" s="35">
        <v>0.83197363516507283</v>
      </c>
      <c r="J5895" s="35">
        <v>-5.3282512886124915E-4</v>
      </c>
      <c r="K5895" s="35">
        <v>4.8574029802876177</v>
      </c>
      <c r="L5895" s="35">
        <v>-14.448986355229295</v>
      </c>
      <c r="M5895" s="58" t="s">
        <v>24</v>
      </c>
      <c r="N5895" s="7">
        <v>11.333333333333334</v>
      </c>
      <c r="O5895" s="7" t="s">
        <v>180</v>
      </c>
      <c r="P5895" s="7" t="s">
        <v>180</v>
      </c>
    </row>
    <row r="5896" spans="1:16" x14ac:dyDescent="0.25">
      <c r="A5896" t="s">
        <v>183</v>
      </c>
      <c r="B5896" t="s">
        <v>228</v>
      </c>
      <c r="C5896" s="7" t="s">
        <v>170</v>
      </c>
      <c r="D5896" t="s">
        <v>126</v>
      </c>
      <c r="F5896" s="35">
        <v>10.829833921897823</v>
      </c>
      <c r="G5896" s="35">
        <v>72.378744534420662</v>
      </c>
      <c r="H5896" s="35">
        <v>-0.95728757236943851</v>
      </c>
      <c r="I5896" s="35">
        <v>0.83197363516507283</v>
      </c>
      <c r="J5896" s="35">
        <v>-5.3282512886124915E-4</v>
      </c>
      <c r="K5896" s="35">
        <v>0.35233483216994338</v>
      </c>
      <c r="L5896" s="35">
        <v>-9.2653536431004202</v>
      </c>
      <c r="M5896" s="58" t="s">
        <v>23</v>
      </c>
      <c r="N5896" s="7">
        <v>11.333333333333334</v>
      </c>
      <c r="O5896" s="7" t="s">
        <v>180</v>
      </c>
      <c r="P5896" s="7" t="s">
        <v>180</v>
      </c>
    </row>
    <row r="5897" spans="1:16" x14ac:dyDescent="0.25">
      <c r="A5897" t="s">
        <v>183</v>
      </c>
      <c r="B5897" t="s">
        <v>228</v>
      </c>
      <c r="C5897" s="7" t="s">
        <v>170</v>
      </c>
      <c r="D5897" t="s">
        <v>127</v>
      </c>
      <c r="F5897" s="35">
        <v>0</v>
      </c>
      <c r="G5897" s="35">
        <v>-140.63354229906673</v>
      </c>
      <c r="H5897" s="35">
        <v>-16.344318832805563</v>
      </c>
      <c r="I5897" s="35">
        <v>-2.9410197158568883</v>
      </c>
      <c r="J5897" s="35">
        <v>-4.8468481312142544E-5</v>
      </c>
      <c r="K5897" s="35">
        <v>-5.849802630829986</v>
      </c>
      <c r="L5897" s="35">
        <v>-91.71495873255563</v>
      </c>
      <c r="M5897" s="58" t="s">
        <v>22</v>
      </c>
      <c r="N5897" s="7">
        <v>11.333333333333334</v>
      </c>
      <c r="O5897" s="7" t="s">
        <v>180</v>
      </c>
      <c r="P5897" s="7" t="s">
        <v>180</v>
      </c>
    </row>
    <row r="5898" spans="1:16" x14ac:dyDescent="0.25">
      <c r="A5898" t="s">
        <v>183</v>
      </c>
      <c r="B5898" t="s">
        <v>228</v>
      </c>
      <c r="C5898" s="7" t="s">
        <v>170</v>
      </c>
      <c r="D5898" t="s">
        <v>127</v>
      </c>
      <c r="F5898" s="35">
        <v>0.29999999999999988</v>
      </c>
      <c r="G5898" s="35">
        <v>-140.49063645906674</v>
      </c>
      <c r="H5898" s="35">
        <v>-16.344318832805563</v>
      </c>
      <c r="I5898" s="35">
        <v>-2.9410197158568883</v>
      </c>
      <c r="J5898" s="35">
        <v>-4.8468481312142544E-5</v>
      </c>
      <c r="K5898" s="35">
        <v>-4.9674967160729189</v>
      </c>
      <c r="L5898" s="35">
        <v>-86.811663082713949</v>
      </c>
      <c r="M5898" s="58" t="s">
        <v>22</v>
      </c>
      <c r="N5898" s="7">
        <v>11.333333333333334</v>
      </c>
      <c r="O5898" s="7" t="s">
        <v>180</v>
      </c>
      <c r="P5898" s="7" t="s">
        <v>180</v>
      </c>
    </row>
    <row r="5899" spans="1:16" x14ac:dyDescent="0.25">
      <c r="A5899" t="s">
        <v>183</v>
      </c>
      <c r="B5899" t="s">
        <v>228</v>
      </c>
      <c r="C5899" s="7" t="s">
        <v>170</v>
      </c>
      <c r="D5899" t="s">
        <v>127</v>
      </c>
      <c r="F5899" s="35">
        <v>0.29999999999999988</v>
      </c>
      <c r="G5899" s="35">
        <v>-161.2925055709743</v>
      </c>
      <c r="H5899" s="35">
        <v>-16.34431883280552</v>
      </c>
      <c r="I5899" s="35">
        <v>-1.6459333231116926</v>
      </c>
      <c r="J5899" s="35">
        <v>-6.0885360205098103E-4</v>
      </c>
      <c r="K5899" s="35">
        <v>-4.9674967160729198</v>
      </c>
      <c r="L5899" s="35">
        <v>-86.811629459606749</v>
      </c>
      <c r="M5899" s="58" t="s">
        <v>22</v>
      </c>
      <c r="N5899" s="7">
        <v>11.333333333333334</v>
      </c>
      <c r="O5899" s="7" t="s">
        <v>180</v>
      </c>
      <c r="P5899" s="7" t="s">
        <v>180</v>
      </c>
    </row>
    <row r="5900" spans="1:16" x14ac:dyDescent="0.25">
      <c r="A5900" t="s">
        <v>183</v>
      </c>
      <c r="B5900" t="s">
        <v>228</v>
      </c>
      <c r="C5900" s="7" t="s">
        <v>170</v>
      </c>
      <c r="D5900" t="s">
        <v>127</v>
      </c>
      <c r="F5900" s="35">
        <v>5.3</v>
      </c>
      <c r="G5900" s="35">
        <v>-158.9107415709743</v>
      </c>
      <c r="H5900" s="35">
        <v>-16.34431883280552</v>
      </c>
      <c r="I5900" s="35">
        <v>-1.6459333231116926</v>
      </c>
      <c r="J5900" s="35">
        <v>-6.0885360205098103E-4</v>
      </c>
      <c r="K5900" s="35">
        <v>3.262169899485543</v>
      </c>
      <c r="L5900" s="35">
        <v>-5.0900352955791401</v>
      </c>
      <c r="M5900" s="58" t="s">
        <v>24</v>
      </c>
      <c r="N5900" s="7">
        <v>11.333333333333334</v>
      </c>
      <c r="O5900" s="7" t="s">
        <v>180</v>
      </c>
      <c r="P5900" s="7" t="s">
        <v>180</v>
      </c>
    </row>
    <row r="5901" spans="1:16" x14ac:dyDescent="0.25">
      <c r="A5901" t="s">
        <v>183</v>
      </c>
      <c r="B5901" t="s">
        <v>228</v>
      </c>
      <c r="C5901" s="7" t="s">
        <v>170</v>
      </c>
      <c r="D5901" t="s">
        <v>127</v>
      </c>
      <c r="F5901" s="35">
        <v>5.3</v>
      </c>
      <c r="G5901" s="35">
        <v>-137.27582131675152</v>
      </c>
      <c r="H5901" s="35">
        <v>-16.344334448722616</v>
      </c>
      <c r="I5901" s="35">
        <v>0.55158266071799644</v>
      </c>
      <c r="J5901" s="35">
        <v>-3.2231855809547672E-4</v>
      </c>
      <c r="K5901" s="35">
        <v>3.2621698994855453</v>
      </c>
      <c r="L5901" s="35">
        <v>-5.0902019984004596</v>
      </c>
      <c r="M5901" s="58" t="s">
        <v>24</v>
      </c>
      <c r="N5901" s="7">
        <v>11.333333333333334</v>
      </c>
      <c r="O5901" s="7" t="s">
        <v>180</v>
      </c>
      <c r="P5901" s="7" t="s">
        <v>180</v>
      </c>
    </row>
    <row r="5902" spans="1:16" x14ac:dyDescent="0.25">
      <c r="A5902" t="s">
        <v>183</v>
      </c>
      <c r="B5902" t="s">
        <v>228</v>
      </c>
      <c r="C5902" s="7" t="s">
        <v>170</v>
      </c>
      <c r="D5902" t="s">
        <v>127</v>
      </c>
      <c r="F5902" s="35">
        <v>5.4149169609489114</v>
      </c>
      <c r="G5902" s="35">
        <v>-137.221080300636</v>
      </c>
      <c r="H5902" s="35">
        <v>-16.344334448722616</v>
      </c>
      <c r="I5902" s="35">
        <v>0.55158266071799644</v>
      </c>
      <c r="J5902" s="35">
        <v>-3.2231855809547672E-4</v>
      </c>
      <c r="K5902" s="35">
        <v>3.1987836964037184</v>
      </c>
      <c r="L5902" s="35">
        <v>-3.2119607548206535</v>
      </c>
      <c r="M5902" s="58" t="s">
        <v>24</v>
      </c>
      <c r="N5902" s="7">
        <v>11.333333333333334</v>
      </c>
      <c r="O5902" s="7" t="s">
        <v>180</v>
      </c>
      <c r="P5902" s="7" t="s">
        <v>180</v>
      </c>
    </row>
    <row r="5903" spans="1:16" x14ac:dyDescent="0.25">
      <c r="A5903" t="s">
        <v>183</v>
      </c>
      <c r="B5903" t="s">
        <v>228</v>
      </c>
      <c r="C5903" s="7" t="s">
        <v>170</v>
      </c>
      <c r="D5903" t="s">
        <v>127</v>
      </c>
      <c r="F5903" s="35">
        <v>10.829833921897823</v>
      </c>
      <c r="G5903" s="35">
        <v>-134.64166944452052</v>
      </c>
      <c r="H5903" s="35">
        <v>-16.344334448722616</v>
      </c>
      <c r="I5903" s="35">
        <v>0.55158266071799644</v>
      </c>
      <c r="J5903" s="35">
        <v>-3.2231855809547672E-4</v>
      </c>
      <c r="K5903" s="35">
        <v>0.21200939151651133</v>
      </c>
      <c r="L5903" s="35">
        <v>85.291253066989</v>
      </c>
      <c r="M5903" s="58" t="s">
        <v>23</v>
      </c>
      <c r="N5903" s="7">
        <v>11.333333333333334</v>
      </c>
      <c r="O5903" s="7" t="s">
        <v>180</v>
      </c>
      <c r="P5903" s="7" t="s">
        <v>180</v>
      </c>
    </row>
    <row r="5904" spans="1:16" x14ac:dyDescent="0.25">
      <c r="A5904" t="s">
        <v>181</v>
      </c>
      <c r="B5904" t="s">
        <v>229</v>
      </c>
      <c r="C5904" s="7" t="s">
        <v>128</v>
      </c>
      <c r="D5904" t="s">
        <v>105</v>
      </c>
      <c r="F5904" s="35">
        <v>0</v>
      </c>
      <c r="G5904" s="35">
        <v>-47.782377677536417</v>
      </c>
      <c r="H5904" s="35">
        <v>18.848744982486529</v>
      </c>
      <c r="I5904" s="35">
        <v>-0.26077872914923045</v>
      </c>
      <c r="J5904" s="35">
        <v>4.2290514389974297E-5</v>
      </c>
      <c r="K5904" s="35">
        <v>-0.41641159315185616</v>
      </c>
      <c r="L5904" s="35">
        <v>59.663719492504804</v>
      </c>
      <c r="M5904" s="58" t="s">
        <v>22</v>
      </c>
      <c r="N5904" s="7">
        <v>9.5</v>
      </c>
      <c r="O5904" s="7" t="s">
        <v>179</v>
      </c>
      <c r="P5904" s="7" t="s">
        <v>179</v>
      </c>
    </row>
    <row r="5905" spans="1:16" x14ac:dyDescent="0.25">
      <c r="A5905" t="s">
        <v>181</v>
      </c>
      <c r="B5905" t="s">
        <v>229</v>
      </c>
      <c r="C5905" s="7" t="s">
        <v>128</v>
      </c>
      <c r="D5905" t="s">
        <v>105</v>
      </c>
      <c r="F5905" s="35">
        <v>2</v>
      </c>
      <c r="G5905" s="35">
        <v>-46.968580077536409</v>
      </c>
      <c r="H5905" s="35">
        <v>18.848744982486529</v>
      </c>
      <c r="I5905" s="35">
        <v>-0.26077872914923045</v>
      </c>
      <c r="J5905" s="35">
        <v>4.2290514389974297E-5</v>
      </c>
      <c r="K5905" s="35">
        <v>0.10514586514660469</v>
      </c>
      <c r="L5905" s="35">
        <v>21.966229527531748</v>
      </c>
      <c r="M5905" s="58" t="s">
        <v>22</v>
      </c>
      <c r="N5905" s="7">
        <v>9.5</v>
      </c>
      <c r="O5905" s="7" t="s">
        <v>179</v>
      </c>
      <c r="P5905" s="7" t="s">
        <v>179</v>
      </c>
    </row>
    <row r="5906" spans="1:16" x14ac:dyDescent="0.25">
      <c r="A5906" t="s">
        <v>181</v>
      </c>
      <c r="B5906" t="s">
        <v>229</v>
      </c>
      <c r="C5906" s="7" t="s">
        <v>128</v>
      </c>
      <c r="D5906" t="s">
        <v>105</v>
      </c>
      <c r="F5906" s="35">
        <v>2</v>
      </c>
      <c r="G5906" s="35">
        <v>-47.207044843571076</v>
      </c>
      <c r="H5906" s="35">
        <v>18.848731003047078</v>
      </c>
      <c r="I5906" s="35">
        <v>1.4592860241775417E-2</v>
      </c>
      <c r="J5906" s="35">
        <v>-3.9054920907610549E-6</v>
      </c>
      <c r="K5906" s="35">
        <v>0.10514586514660491</v>
      </c>
      <c r="L5906" s="35">
        <v>21.966278803272004</v>
      </c>
      <c r="M5906" s="58" t="s">
        <v>22</v>
      </c>
      <c r="N5906" s="7">
        <v>9.5</v>
      </c>
      <c r="O5906" s="7" t="s">
        <v>179</v>
      </c>
      <c r="P5906" s="7" t="s">
        <v>179</v>
      </c>
    </row>
    <row r="5907" spans="1:16" x14ac:dyDescent="0.25">
      <c r="A5907" t="s">
        <v>181</v>
      </c>
      <c r="B5907" t="s">
        <v>229</v>
      </c>
      <c r="C5907" s="7" t="s">
        <v>128</v>
      </c>
      <c r="D5907" t="s">
        <v>105</v>
      </c>
      <c r="F5907" s="35">
        <v>4.4982502942822453</v>
      </c>
      <c r="G5907" s="35">
        <v>-46.190509796727987</v>
      </c>
      <c r="H5907" s="35">
        <v>18.848731003047078</v>
      </c>
      <c r="I5907" s="35">
        <v>1.4592860241775417E-2</v>
      </c>
      <c r="J5907" s="35">
        <v>-3.9054920907610549E-6</v>
      </c>
      <c r="K5907" s="35">
        <v>6.8689247753169813E-2</v>
      </c>
      <c r="L5907" s="35">
        <v>-25.12256897193723</v>
      </c>
      <c r="M5907" s="58" t="s">
        <v>24</v>
      </c>
      <c r="N5907" s="7">
        <v>9.5</v>
      </c>
      <c r="O5907" s="7" t="s">
        <v>179</v>
      </c>
      <c r="P5907" s="7" t="s">
        <v>179</v>
      </c>
    </row>
    <row r="5908" spans="1:16" x14ac:dyDescent="0.25">
      <c r="A5908" t="s">
        <v>181</v>
      </c>
      <c r="B5908" t="s">
        <v>229</v>
      </c>
      <c r="C5908" s="7" t="s">
        <v>128</v>
      </c>
      <c r="D5908" t="s">
        <v>105</v>
      </c>
      <c r="F5908" s="35">
        <v>8.9965005885644906</v>
      </c>
      <c r="G5908" s="35">
        <v>-44.36017714988489</v>
      </c>
      <c r="H5908" s="35">
        <v>18.848731003047078</v>
      </c>
      <c r="I5908" s="35">
        <v>1.4592860241775417E-2</v>
      </c>
      <c r="J5908" s="35">
        <v>-3.9054920907610549E-6</v>
      </c>
      <c r="K5908" s="35">
        <v>3.046909876183875E-3</v>
      </c>
      <c r="L5908" s="35">
        <v>-109.90887875324061</v>
      </c>
      <c r="M5908" s="58" t="s">
        <v>23</v>
      </c>
      <c r="N5908" s="7">
        <v>9.5</v>
      </c>
      <c r="O5908" s="7" t="s">
        <v>179</v>
      </c>
      <c r="P5908" s="7" t="s">
        <v>179</v>
      </c>
    </row>
    <row r="5909" spans="1:16" x14ac:dyDescent="0.25">
      <c r="A5909" t="s">
        <v>181</v>
      </c>
      <c r="B5909" t="s">
        <v>229</v>
      </c>
      <c r="C5909" s="7" t="s">
        <v>128</v>
      </c>
      <c r="D5909" t="s">
        <v>15</v>
      </c>
      <c r="F5909" s="35">
        <v>0</v>
      </c>
      <c r="G5909" s="35">
        <v>72.963561203702028</v>
      </c>
      <c r="H5909" s="35">
        <v>-4.7068485171800463</v>
      </c>
      <c r="I5909" s="35">
        <v>-4.2570928403489816</v>
      </c>
      <c r="J5909" s="35">
        <v>7.2278503749918506E-4</v>
      </c>
      <c r="K5909" s="35">
        <v>-6.7908512418551741</v>
      </c>
      <c r="L5909" s="35">
        <v>-46.139309786443654</v>
      </c>
      <c r="M5909" s="58" t="s">
        <v>22</v>
      </c>
      <c r="N5909" s="7">
        <v>9.5</v>
      </c>
      <c r="O5909" s="7" t="s">
        <v>179</v>
      </c>
      <c r="P5909" s="7" t="s">
        <v>179</v>
      </c>
    </row>
    <row r="5910" spans="1:16" x14ac:dyDescent="0.25">
      <c r="A5910" t="s">
        <v>181</v>
      </c>
      <c r="B5910" t="s">
        <v>229</v>
      </c>
      <c r="C5910" s="7" t="s">
        <v>128</v>
      </c>
      <c r="D5910" t="s">
        <v>15</v>
      </c>
      <c r="F5910" s="35">
        <v>2</v>
      </c>
      <c r="G5910" s="35">
        <v>73.777358803702043</v>
      </c>
      <c r="H5910" s="35">
        <v>-13.106848517180046</v>
      </c>
      <c r="I5910" s="35">
        <v>-4.2570928403489825</v>
      </c>
      <c r="J5910" s="35">
        <v>7.2278503749918506E-4</v>
      </c>
      <c r="K5910" s="35">
        <v>1.7233344388427894</v>
      </c>
      <c r="L5910" s="35">
        <v>-28.325612752083579</v>
      </c>
      <c r="M5910" s="58" t="s">
        <v>22</v>
      </c>
      <c r="N5910" s="7">
        <v>9.5</v>
      </c>
      <c r="O5910" s="7" t="s">
        <v>179</v>
      </c>
      <c r="P5910" s="7" t="s">
        <v>179</v>
      </c>
    </row>
    <row r="5911" spans="1:16" x14ac:dyDescent="0.25">
      <c r="A5911" t="s">
        <v>181</v>
      </c>
      <c r="B5911" t="s">
        <v>229</v>
      </c>
      <c r="C5911" s="7" t="s">
        <v>128</v>
      </c>
      <c r="D5911" t="s">
        <v>15</v>
      </c>
      <c r="F5911" s="35">
        <v>2</v>
      </c>
      <c r="G5911" s="35">
        <v>69.590050652091662</v>
      </c>
      <c r="H5911" s="35">
        <v>-13.106828162471141</v>
      </c>
      <c r="I5911" s="35">
        <v>0.23036979549606609</v>
      </c>
      <c r="J5911" s="35">
        <v>7.6122546895308863E-4</v>
      </c>
      <c r="K5911" s="35">
        <v>1.7233344388427878</v>
      </c>
      <c r="L5911" s="35">
        <v>-28.3256537552104</v>
      </c>
      <c r="M5911" s="58" t="s">
        <v>22</v>
      </c>
      <c r="N5911" s="7">
        <v>9.5</v>
      </c>
      <c r="O5911" s="7" t="s">
        <v>179</v>
      </c>
      <c r="P5911" s="7" t="s">
        <v>179</v>
      </c>
    </row>
    <row r="5912" spans="1:16" x14ac:dyDescent="0.25">
      <c r="A5912" t="s">
        <v>181</v>
      </c>
      <c r="B5912" t="s">
        <v>229</v>
      </c>
      <c r="C5912" s="7" t="s">
        <v>128</v>
      </c>
      <c r="D5912" t="s">
        <v>15</v>
      </c>
      <c r="F5912" s="35">
        <v>4.4982502942822453</v>
      </c>
      <c r="G5912" s="35">
        <v>70.606585698934765</v>
      </c>
      <c r="H5912" s="35">
        <v>-23.599479398456573</v>
      </c>
      <c r="I5912" s="35">
        <v>0.2303697954960654</v>
      </c>
      <c r="J5912" s="35">
        <v>7.6122546895308863E-4</v>
      </c>
      <c r="K5912" s="35">
        <v>1.1478130294510009</v>
      </c>
      <c r="L5912" s="35">
        <v>17.52511807784072</v>
      </c>
      <c r="M5912" s="58" t="s">
        <v>24</v>
      </c>
      <c r="N5912" s="7">
        <v>9.5</v>
      </c>
      <c r="O5912" s="7" t="s">
        <v>179</v>
      </c>
      <c r="P5912" s="7" t="s">
        <v>179</v>
      </c>
    </row>
    <row r="5913" spans="1:16" x14ac:dyDescent="0.25">
      <c r="A5913" t="s">
        <v>181</v>
      </c>
      <c r="B5913" t="s">
        <v>229</v>
      </c>
      <c r="C5913" s="7" t="s">
        <v>128</v>
      </c>
      <c r="D5913" t="s">
        <v>15</v>
      </c>
      <c r="F5913" s="35">
        <v>8.9965005885644906</v>
      </c>
      <c r="G5913" s="35">
        <v>72.436918345777855</v>
      </c>
      <c r="H5913" s="35">
        <v>-42.492130634441999</v>
      </c>
      <c r="I5913" s="35">
        <v>0.23036979549606423</v>
      </c>
      <c r="J5913" s="35">
        <v>7.6122546895308863E-4</v>
      </c>
      <c r="K5913" s="35">
        <v>0.11155202906708686</v>
      </c>
      <c r="L5913" s="35">
        <v>166.17342021787741</v>
      </c>
      <c r="M5913" s="58" t="s">
        <v>23</v>
      </c>
      <c r="N5913" s="7">
        <v>9.5</v>
      </c>
      <c r="O5913" s="7" t="s">
        <v>179</v>
      </c>
      <c r="P5913" s="7" t="s">
        <v>179</v>
      </c>
    </row>
    <row r="5914" spans="1:16" x14ac:dyDescent="0.25">
      <c r="A5914" t="s">
        <v>181</v>
      </c>
      <c r="B5914" t="s">
        <v>229</v>
      </c>
      <c r="C5914" s="7" t="s">
        <v>128</v>
      </c>
      <c r="D5914" t="s">
        <v>16</v>
      </c>
      <c r="F5914" s="35">
        <v>0</v>
      </c>
      <c r="G5914" s="35">
        <v>30.55678840739111</v>
      </c>
      <c r="H5914" s="35">
        <v>-0.26350361214300844</v>
      </c>
      <c r="I5914" s="35">
        <v>-3.6332962357933196</v>
      </c>
      <c r="J5914" s="35">
        <v>1.999878842564202E-4</v>
      </c>
      <c r="K5914" s="35">
        <v>-5.8077386218197002</v>
      </c>
      <c r="L5914" s="35">
        <v>-14.489723467795365</v>
      </c>
      <c r="M5914" s="58" t="s">
        <v>22</v>
      </c>
      <c r="N5914" s="7">
        <v>9.5</v>
      </c>
      <c r="O5914" s="7" t="s">
        <v>179</v>
      </c>
      <c r="P5914" s="7" t="s">
        <v>179</v>
      </c>
    </row>
    <row r="5915" spans="1:16" x14ac:dyDescent="0.25">
      <c r="A5915" t="s">
        <v>181</v>
      </c>
      <c r="B5915" t="s">
        <v>229</v>
      </c>
      <c r="C5915" s="7" t="s">
        <v>128</v>
      </c>
      <c r="D5915" t="s">
        <v>16</v>
      </c>
      <c r="F5915" s="35">
        <v>2</v>
      </c>
      <c r="G5915" s="35">
        <v>31.370586007391111</v>
      </c>
      <c r="H5915" s="35">
        <v>-3.9595036121430085</v>
      </c>
      <c r="I5915" s="35">
        <v>-3.6332962357933196</v>
      </c>
      <c r="J5915" s="35">
        <v>1.999878842564202E-4</v>
      </c>
      <c r="K5915" s="35">
        <v>1.4588538497669377</v>
      </c>
      <c r="L5915" s="35">
        <v>-10.266716243509348</v>
      </c>
      <c r="M5915" s="58" t="s">
        <v>22</v>
      </c>
      <c r="N5915" s="7">
        <v>9.5</v>
      </c>
      <c r="O5915" s="7" t="s">
        <v>179</v>
      </c>
      <c r="P5915" s="7" t="s">
        <v>179</v>
      </c>
    </row>
    <row r="5916" spans="1:16" x14ac:dyDescent="0.25">
      <c r="A5916" t="s">
        <v>181</v>
      </c>
      <c r="B5916" t="s">
        <v>229</v>
      </c>
      <c r="C5916" s="7" t="s">
        <v>128</v>
      </c>
      <c r="D5916" t="s">
        <v>16</v>
      </c>
      <c r="F5916" s="35">
        <v>2</v>
      </c>
      <c r="G5916" s="35">
        <v>27.801147370294618</v>
      </c>
      <c r="H5916" s="35">
        <v>-3.9594965070270165</v>
      </c>
      <c r="I5916" s="35">
        <v>0.19510537074629347</v>
      </c>
      <c r="J5916" s="35">
        <v>2.1245350144729052E-4</v>
      </c>
      <c r="K5916" s="35">
        <v>1.458853849766939</v>
      </c>
      <c r="L5916" s="35">
        <v>-10.266729540167683</v>
      </c>
      <c r="M5916" s="58" t="s">
        <v>22</v>
      </c>
      <c r="N5916" s="7">
        <v>9.5</v>
      </c>
      <c r="O5916" s="7" t="s">
        <v>179</v>
      </c>
      <c r="P5916" s="7" t="s">
        <v>179</v>
      </c>
    </row>
    <row r="5917" spans="1:16" x14ac:dyDescent="0.25">
      <c r="A5917" t="s">
        <v>181</v>
      </c>
      <c r="B5917" t="s">
        <v>229</v>
      </c>
      <c r="C5917" s="7" t="s">
        <v>128</v>
      </c>
      <c r="D5917" t="s">
        <v>16</v>
      </c>
      <c r="F5917" s="35">
        <v>4.4982502942822453</v>
      </c>
      <c r="G5917" s="35">
        <v>28.817682417137711</v>
      </c>
      <c r="H5917" s="35">
        <v>-8.5762630508606073</v>
      </c>
      <c r="I5917" s="35">
        <v>0.19510537074629322</v>
      </c>
      <c r="J5917" s="35">
        <v>2.1245350144729052E-4</v>
      </c>
      <c r="K5917" s="35">
        <v>0.97143179988396555</v>
      </c>
      <c r="L5917" s="35">
        <v>5.3920029621044252</v>
      </c>
      <c r="M5917" s="58" t="s">
        <v>24</v>
      </c>
      <c r="N5917" s="7">
        <v>9.5</v>
      </c>
      <c r="O5917" s="7" t="s">
        <v>179</v>
      </c>
      <c r="P5917" s="7" t="s">
        <v>179</v>
      </c>
    </row>
    <row r="5918" spans="1:16" x14ac:dyDescent="0.25">
      <c r="A5918" t="s">
        <v>181</v>
      </c>
      <c r="B5918" t="s">
        <v>229</v>
      </c>
      <c r="C5918" s="7" t="s">
        <v>128</v>
      </c>
      <c r="D5918" t="s">
        <v>16</v>
      </c>
      <c r="F5918" s="35">
        <v>8.9965005885644906</v>
      </c>
      <c r="G5918" s="35">
        <v>30.648015063980804</v>
      </c>
      <c r="H5918" s="35">
        <v>-16.889029594694197</v>
      </c>
      <c r="I5918" s="35">
        <v>0.19510537074629272</v>
      </c>
      <c r="J5918" s="35">
        <v>2.1245350144729052E-4</v>
      </c>
      <c r="K5918" s="35">
        <v>9.379900850840675E-2</v>
      </c>
      <c r="L5918" s="35">
        <v>62.666633030529617</v>
      </c>
      <c r="M5918" s="58" t="s">
        <v>23</v>
      </c>
      <c r="N5918" s="7">
        <v>9.5</v>
      </c>
      <c r="O5918" s="7" t="s">
        <v>179</v>
      </c>
      <c r="P5918" s="7" t="s">
        <v>179</v>
      </c>
    </row>
    <row r="5919" spans="1:16" x14ac:dyDescent="0.25">
      <c r="A5919" t="s">
        <v>181</v>
      </c>
      <c r="B5919" t="s">
        <v>229</v>
      </c>
      <c r="C5919" s="7" t="s">
        <v>128</v>
      </c>
      <c r="D5919" t="s">
        <v>106</v>
      </c>
      <c r="F5919" s="35">
        <v>0</v>
      </c>
      <c r="G5919" s="35">
        <v>102.77010744442732</v>
      </c>
      <c r="H5919" s="35">
        <v>-16.025440693064425</v>
      </c>
      <c r="I5919" s="35">
        <v>4.8693173679101838</v>
      </c>
      <c r="J5919" s="35">
        <v>-8.7358904579089834E-4</v>
      </c>
      <c r="K5919" s="35">
        <v>7.7522311230896879</v>
      </c>
      <c r="L5919" s="35">
        <v>-92.710953647179736</v>
      </c>
      <c r="M5919" s="58" t="s">
        <v>22</v>
      </c>
      <c r="N5919" s="7">
        <v>9.5</v>
      </c>
      <c r="O5919" s="7" t="s">
        <v>179</v>
      </c>
      <c r="P5919" s="7" t="s">
        <v>179</v>
      </c>
    </row>
    <row r="5920" spans="1:16" x14ac:dyDescent="0.25">
      <c r="A5920" t="s">
        <v>181</v>
      </c>
      <c r="B5920" t="s">
        <v>229</v>
      </c>
      <c r="C5920" s="7" t="s">
        <v>128</v>
      </c>
      <c r="D5920" t="s">
        <v>106</v>
      </c>
      <c r="F5920" s="35">
        <v>2</v>
      </c>
      <c r="G5920" s="35">
        <v>103.58390504442733</v>
      </c>
      <c r="H5920" s="35">
        <v>-27.78544069306442</v>
      </c>
      <c r="I5920" s="35">
        <v>4.8693173679101829</v>
      </c>
      <c r="J5920" s="35">
        <v>-8.7358904579089834E-4</v>
      </c>
      <c r="K5920" s="35">
        <v>-1.9864036127306794</v>
      </c>
      <c r="L5920" s="35">
        <v>-48.900072261050887</v>
      </c>
      <c r="M5920" s="58" t="s">
        <v>22</v>
      </c>
      <c r="N5920" s="7">
        <v>9.5</v>
      </c>
      <c r="O5920" s="7" t="s">
        <v>179</v>
      </c>
      <c r="P5920" s="7" t="s">
        <v>179</v>
      </c>
    </row>
    <row r="5921" spans="1:16" x14ac:dyDescent="0.25">
      <c r="A5921" t="s">
        <v>181</v>
      </c>
      <c r="B5921" t="s">
        <v>229</v>
      </c>
      <c r="C5921" s="7" t="s">
        <v>128</v>
      </c>
      <c r="D5921" t="s">
        <v>106</v>
      </c>
      <c r="F5921" s="35">
        <v>2</v>
      </c>
      <c r="G5921" s="35">
        <v>108.41633890977334</v>
      </c>
      <c r="H5921" s="35">
        <v>-27.785412200557616</v>
      </c>
      <c r="I5921" s="35">
        <v>-0.26426429909960464</v>
      </c>
      <c r="J5921" s="35">
        <v>-7.9631711377720061E-4</v>
      </c>
      <c r="K5921" s="35">
        <v>-1.9864036127306817</v>
      </c>
      <c r="L5921" s="35">
        <v>-48.900154684445056</v>
      </c>
      <c r="M5921" s="58" t="s">
        <v>22</v>
      </c>
      <c r="N5921" s="7">
        <v>9.5</v>
      </c>
      <c r="O5921" s="7" t="s">
        <v>179</v>
      </c>
      <c r="P5921" s="7" t="s">
        <v>179</v>
      </c>
    </row>
    <row r="5922" spans="1:16" x14ac:dyDescent="0.25">
      <c r="A5922" t="s">
        <v>181</v>
      </c>
      <c r="B5922" t="s">
        <v>229</v>
      </c>
      <c r="C5922" s="7" t="s">
        <v>128</v>
      </c>
      <c r="D5922" t="s">
        <v>106</v>
      </c>
      <c r="F5922" s="35">
        <v>4.4982502942822453</v>
      </c>
      <c r="G5922" s="35">
        <v>109.43287395661643</v>
      </c>
      <c r="H5922" s="35">
        <v>-42.475123930937215</v>
      </c>
      <c r="I5922" s="35">
        <v>-0.26426429909960553</v>
      </c>
      <c r="J5922" s="35">
        <v>-7.9631711377720061E-4</v>
      </c>
      <c r="K5922" s="35">
        <v>-1.3262052497368018</v>
      </c>
      <c r="L5922" s="35">
        <v>38.864047849022555</v>
      </c>
      <c r="M5922" s="58" t="s">
        <v>24</v>
      </c>
      <c r="N5922" s="7">
        <v>9.5</v>
      </c>
      <c r="O5922" s="7" t="s">
        <v>179</v>
      </c>
      <c r="P5922" s="7" t="s">
        <v>179</v>
      </c>
    </row>
    <row r="5923" spans="1:16" x14ac:dyDescent="0.25">
      <c r="A5923" t="s">
        <v>181</v>
      </c>
      <c r="B5923" t="s">
        <v>229</v>
      </c>
      <c r="C5923" s="7" t="s">
        <v>128</v>
      </c>
      <c r="D5923" t="s">
        <v>106</v>
      </c>
      <c r="F5923" s="35">
        <v>8.9965005885644906</v>
      </c>
      <c r="G5923" s="35">
        <v>111.26320660345952</v>
      </c>
      <c r="H5923" s="35">
        <v>-68.92483566131682</v>
      </c>
      <c r="I5923" s="35">
        <v>-0.26426429909960719</v>
      </c>
      <c r="J5923" s="35">
        <v>-7.9631711377720061E-4</v>
      </c>
      <c r="K5923" s="35">
        <v>-0.1374782885437065</v>
      </c>
      <c r="L5923" s="35">
        <v>289.41649835846596</v>
      </c>
      <c r="M5923" s="58" t="s">
        <v>23</v>
      </c>
      <c r="N5923" s="7">
        <v>9.5</v>
      </c>
      <c r="O5923" s="7" t="s">
        <v>179</v>
      </c>
      <c r="P5923" s="7" t="s">
        <v>179</v>
      </c>
    </row>
    <row r="5924" spans="1:16" x14ac:dyDescent="0.25">
      <c r="A5924" t="s">
        <v>181</v>
      </c>
      <c r="B5924" t="s">
        <v>229</v>
      </c>
      <c r="C5924" s="7" t="s">
        <v>128</v>
      </c>
      <c r="D5924" t="s">
        <v>107</v>
      </c>
      <c r="F5924" s="35">
        <v>0</v>
      </c>
      <c r="G5924" s="35">
        <v>59.869021329938569</v>
      </c>
      <c r="H5924" s="35">
        <v>-11.448337150285326</v>
      </c>
      <c r="I5924" s="35">
        <v>5.4975369605946121</v>
      </c>
      <c r="J5924" s="35">
        <v>-1.3954188255316852E-3</v>
      </c>
      <c r="K5924" s="35">
        <v>8.7423383872360176</v>
      </c>
      <c r="L5924" s="35">
        <v>-60.665240634247887</v>
      </c>
      <c r="M5924" s="58" t="s">
        <v>22</v>
      </c>
      <c r="N5924" s="7">
        <v>9.5</v>
      </c>
      <c r="O5924" s="7" t="s">
        <v>179</v>
      </c>
      <c r="P5924" s="7" t="s">
        <v>179</v>
      </c>
    </row>
    <row r="5925" spans="1:16" x14ac:dyDescent="0.25">
      <c r="A5925" t="s">
        <v>181</v>
      </c>
      <c r="B5925" t="s">
        <v>229</v>
      </c>
      <c r="C5925" s="7" t="s">
        <v>128</v>
      </c>
      <c r="D5925" t="s">
        <v>107</v>
      </c>
      <c r="F5925" s="35">
        <v>2</v>
      </c>
      <c r="G5925" s="35">
        <v>60.682818929938563</v>
      </c>
      <c r="H5925" s="35">
        <v>-18.504337150285323</v>
      </c>
      <c r="I5925" s="35">
        <v>5.4975369605946121</v>
      </c>
      <c r="J5925" s="35">
        <v>-1.3954188255316852E-3</v>
      </c>
      <c r="K5925" s="35">
        <v>-2.252735533953206</v>
      </c>
      <c r="L5925" s="35">
        <v>-30.712566333677248</v>
      </c>
      <c r="M5925" s="58" t="s">
        <v>22</v>
      </c>
      <c r="N5925" s="7">
        <v>9.5</v>
      </c>
      <c r="O5925" s="7" t="s">
        <v>179</v>
      </c>
      <c r="P5925" s="7" t="s">
        <v>179</v>
      </c>
    </row>
    <row r="5926" spans="1:16" x14ac:dyDescent="0.25">
      <c r="A5926" t="s">
        <v>181</v>
      </c>
      <c r="B5926" t="s">
        <v>229</v>
      </c>
      <c r="C5926" s="7" t="s">
        <v>128</v>
      </c>
      <c r="D5926" t="s">
        <v>107</v>
      </c>
      <c r="F5926" s="35">
        <v>2</v>
      </c>
      <c r="G5926" s="35">
        <v>66.137500294086976</v>
      </c>
      <c r="H5926" s="35">
        <v>-18.504322019769997</v>
      </c>
      <c r="I5926" s="35">
        <v>-0.29977556434756908</v>
      </c>
      <c r="J5926" s="35">
        <v>-1.3446687099344199E-3</v>
      </c>
      <c r="K5926" s="35">
        <v>-2.2527355339532069</v>
      </c>
      <c r="L5926" s="35">
        <v>-30.712620467133856</v>
      </c>
      <c r="M5926" s="58" t="s">
        <v>22</v>
      </c>
      <c r="N5926" s="7">
        <v>9.5</v>
      </c>
      <c r="O5926" s="7" t="s">
        <v>179</v>
      </c>
      <c r="P5926" s="7" t="s">
        <v>179</v>
      </c>
    </row>
    <row r="5927" spans="1:16" x14ac:dyDescent="0.25">
      <c r="A5927" t="s">
        <v>181</v>
      </c>
      <c r="B5927" t="s">
        <v>229</v>
      </c>
      <c r="C5927" s="7" t="s">
        <v>128</v>
      </c>
      <c r="D5927" t="s">
        <v>107</v>
      </c>
      <c r="F5927" s="35">
        <v>4.4982502942822453</v>
      </c>
      <c r="G5927" s="35">
        <v>67.154035340930065</v>
      </c>
      <c r="H5927" s="35">
        <v>-27.318149057997758</v>
      </c>
      <c r="I5927" s="35">
        <v>-0.29977556434756958</v>
      </c>
      <c r="J5927" s="35">
        <v>-1.3446687099344199E-3</v>
      </c>
      <c r="K5927" s="35">
        <v>-1.5038211421032661</v>
      </c>
      <c r="L5927" s="35">
        <v>26.525380460252599</v>
      </c>
      <c r="M5927" s="58" t="s">
        <v>24</v>
      </c>
      <c r="N5927" s="7">
        <v>9.5</v>
      </c>
      <c r="O5927" s="7" t="s">
        <v>179</v>
      </c>
      <c r="P5927" s="7" t="s">
        <v>179</v>
      </c>
    </row>
    <row r="5928" spans="1:16" x14ac:dyDescent="0.25">
      <c r="A5928" t="s">
        <v>181</v>
      </c>
      <c r="B5928" t="s">
        <v>229</v>
      </c>
      <c r="C5928" s="7" t="s">
        <v>128</v>
      </c>
      <c r="D5928" t="s">
        <v>107</v>
      </c>
      <c r="F5928" s="35">
        <v>8.9965005885644906</v>
      </c>
      <c r="G5928" s="35">
        <v>68.984367987773155</v>
      </c>
      <c r="H5928" s="35">
        <v>-43.187976096225519</v>
      </c>
      <c r="I5928" s="35">
        <v>-0.29977556434757052</v>
      </c>
      <c r="J5928" s="35">
        <v>-1.3446687099344199E-3</v>
      </c>
      <c r="K5928" s="35">
        <v>-0.15535562155818289</v>
      </c>
      <c r="L5928" s="35">
        <v>185.10247957209538</v>
      </c>
      <c r="M5928" s="58" t="s">
        <v>23</v>
      </c>
      <c r="N5928" s="7">
        <v>9.5</v>
      </c>
      <c r="O5928" s="7" t="s">
        <v>179</v>
      </c>
      <c r="P5928" s="7" t="s">
        <v>179</v>
      </c>
    </row>
    <row r="5929" spans="1:16" x14ac:dyDescent="0.25">
      <c r="A5929" t="s">
        <v>181</v>
      </c>
      <c r="B5929" t="s">
        <v>229</v>
      </c>
      <c r="C5929" s="7" t="s">
        <v>128</v>
      </c>
      <c r="D5929" t="s">
        <v>108</v>
      </c>
      <c r="F5929" s="35">
        <v>0</v>
      </c>
      <c r="G5929" s="35">
        <v>59.24901729797422</v>
      </c>
      <c r="H5929" s="35">
        <v>-3.4327819286233421</v>
      </c>
      <c r="I5929" s="35">
        <v>-1.6735770650795188</v>
      </c>
      <c r="J5929" s="35">
        <v>1.3266312023818088E-3</v>
      </c>
      <c r="K5929" s="35">
        <v>-2.6419700665066146</v>
      </c>
      <c r="L5929" s="35">
        <v>-17.019413680815322</v>
      </c>
      <c r="M5929" s="58" t="s">
        <v>22</v>
      </c>
      <c r="N5929" s="7">
        <v>9.5</v>
      </c>
      <c r="O5929" s="7" t="s">
        <v>179</v>
      </c>
      <c r="P5929" s="7" t="s">
        <v>179</v>
      </c>
    </row>
    <row r="5930" spans="1:16" x14ac:dyDescent="0.25">
      <c r="A5930" t="s">
        <v>181</v>
      </c>
      <c r="B5930" t="s">
        <v>229</v>
      </c>
      <c r="C5930" s="7" t="s">
        <v>128</v>
      </c>
      <c r="D5930" t="s">
        <v>108</v>
      </c>
      <c r="F5930" s="35">
        <v>2</v>
      </c>
      <c r="G5930" s="35">
        <v>60.062814897974221</v>
      </c>
      <c r="H5930" s="35">
        <v>-9.8167819286233424</v>
      </c>
      <c r="I5930" s="35">
        <v>-1.6735770650795192</v>
      </c>
      <c r="J5930" s="35">
        <v>1.3266312023818088E-3</v>
      </c>
      <c r="K5930" s="35">
        <v>0.70518406365242281</v>
      </c>
      <c r="L5930" s="35">
        <v>-3.7698498235686428</v>
      </c>
      <c r="M5930" s="58" t="s">
        <v>22</v>
      </c>
      <c r="N5930" s="7">
        <v>9.5</v>
      </c>
      <c r="O5930" s="7" t="s">
        <v>179</v>
      </c>
      <c r="P5930" s="7" t="s">
        <v>179</v>
      </c>
    </row>
    <row r="5931" spans="1:16" x14ac:dyDescent="0.25">
      <c r="A5931" t="s">
        <v>181</v>
      </c>
      <c r="B5931" t="s">
        <v>229</v>
      </c>
      <c r="C5931" s="7" t="s">
        <v>128</v>
      </c>
      <c r="D5931" t="s">
        <v>108</v>
      </c>
      <c r="F5931" s="35">
        <v>2</v>
      </c>
      <c r="G5931" s="35">
        <v>58.424851727433555</v>
      </c>
      <c r="H5931" s="35">
        <v>-9.8167623301598432</v>
      </c>
      <c r="I5931" s="35">
        <v>9.4593706036791125E-2</v>
      </c>
      <c r="J5931" s="35">
        <v>1.3863377868591857E-3</v>
      </c>
      <c r="K5931" s="35">
        <v>0.70518406365242492</v>
      </c>
      <c r="L5931" s="35">
        <v>-3.7699135105921022</v>
      </c>
      <c r="M5931" s="58" t="s">
        <v>22</v>
      </c>
      <c r="N5931" s="7">
        <v>9.5</v>
      </c>
      <c r="O5931" s="7" t="s">
        <v>179</v>
      </c>
      <c r="P5931" s="7" t="s">
        <v>179</v>
      </c>
    </row>
    <row r="5932" spans="1:16" x14ac:dyDescent="0.25">
      <c r="A5932" t="s">
        <v>181</v>
      </c>
      <c r="B5932" t="s">
        <v>229</v>
      </c>
      <c r="C5932" s="7" t="s">
        <v>128</v>
      </c>
      <c r="D5932" t="s">
        <v>108</v>
      </c>
      <c r="F5932" s="35">
        <v>4.4982502942822453</v>
      </c>
      <c r="G5932" s="35">
        <v>59.441386774276651</v>
      </c>
      <c r="H5932" s="35">
        <v>-17.791177269508768</v>
      </c>
      <c r="I5932" s="35">
        <v>9.459370603679064E-2</v>
      </c>
      <c r="J5932" s="35">
        <v>1.3863377868591857E-3</v>
      </c>
      <c r="K5932" s="35">
        <v>0.46886530970876394</v>
      </c>
      <c r="L5932" s="35">
        <v>30.71585810410717</v>
      </c>
      <c r="M5932" s="58" t="s">
        <v>24</v>
      </c>
      <c r="N5932" s="7">
        <v>9.5</v>
      </c>
      <c r="O5932" s="7" t="s">
        <v>179</v>
      </c>
      <c r="P5932" s="7" t="s">
        <v>179</v>
      </c>
    </row>
    <row r="5933" spans="1:16" x14ac:dyDescent="0.25">
      <c r="A5933" t="s">
        <v>181</v>
      </c>
      <c r="B5933" t="s">
        <v>229</v>
      </c>
      <c r="C5933" s="7" t="s">
        <v>128</v>
      </c>
      <c r="D5933" t="s">
        <v>108</v>
      </c>
      <c r="F5933" s="35">
        <v>8.9965005885644906</v>
      </c>
      <c r="G5933" s="35">
        <v>61.271719421119734</v>
      </c>
      <c r="H5933" s="35">
        <v>-32.149592208857698</v>
      </c>
      <c r="I5933" s="35">
        <v>9.4593706036789765E-2</v>
      </c>
      <c r="J5933" s="35">
        <v>1.3863377868591857E-3</v>
      </c>
      <c r="K5933" s="35">
        <v>4.3359143691524292E-2</v>
      </c>
      <c r="L5933" s="35">
        <v>143.03889860547903</v>
      </c>
      <c r="M5933" s="58" t="s">
        <v>23</v>
      </c>
      <c r="N5933" s="7">
        <v>9.5</v>
      </c>
      <c r="O5933" s="7" t="s">
        <v>179</v>
      </c>
      <c r="P5933" s="7" t="s">
        <v>179</v>
      </c>
    </row>
    <row r="5934" spans="1:16" x14ac:dyDescent="0.25">
      <c r="A5934" t="s">
        <v>181</v>
      </c>
      <c r="B5934" t="s">
        <v>229</v>
      </c>
      <c r="C5934" s="7" t="s">
        <v>128</v>
      </c>
      <c r="D5934" t="s">
        <v>109</v>
      </c>
      <c r="F5934" s="35">
        <v>0</v>
      </c>
      <c r="G5934" s="35">
        <v>6.6259909641441945</v>
      </c>
      <c r="H5934" s="35">
        <v>12.402159665784097</v>
      </c>
      <c r="I5934" s="35">
        <v>-1.4826052210808893</v>
      </c>
      <c r="J5934" s="35">
        <v>7.8306556874256162E-4</v>
      </c>
      <c r="K5934" s="35">
        <v>-2.3455539523381419</v>
      </c>
      <c r="L5934" s="35">
        <v>76.309205050111629</v>
      </c>
      <c r="M5934" s="58" t="s">
        <v>22</v>
      </c>
      <c r="N5934" s="7">
        <v>9.5</v>
      </c>
      <c r="O5934" s="7" t="s">
        <v>179</v>
      </c>
      <c r="P5934" s="7" t="s">
        <v>179</v>
      </c>
    </row>
    <row r="5935" spans="1:16" x14ac:dyDescent="0.25">
      <c r="A5935" t="s">
        <v>181</v>
      </c>
      <c r="B5935" t="s">
        <v>229</v>
      </c>
      <c r="C5935" s="7" t="s">
        <v>128</v>
      </c>
      <c r="D5935" t="s">
        <v>109</v>
      </c>
      <c r="F5935" s="35">
        <v>2</v>
      </c>
      <c r="G5935" s="35">
        <v>7.4397885641441954</v>
      </c>
      <c r="H5935" s="35">
        <v>10.722159665784096</v>
      </c>
      <c r="I5935" s="35">
        <v>-1.4826052210808893</v>
      </c>
      <c r="J5935" s="35">
        <v>7.8306556874256162E-4</v>
      </c>
      <c r="K5935" s="35">
        <v>0.61965648982363652</v>
      </c>
      <c r="L5935" s="35">
        <v>53.184885718543441</v>
      </c>
      <c r="M5935" s="58" t="s">
        <v>22</v>
      </c>
      <c r="N5935" s="7">
        <v>9.5</v>
      </c>
      <c r="O5935" s="7" t="s">
        <v>179</v>
      </c>
      <c r="P5935" s="7" t="s">
        <v>179</v>
      </c>
    </row>
    <row r="5936" spans="1:16" x14ac:dyDescent="0.25">
      <c r="A5936" t="s">
        <v>181</v>
      </c>
      <c r="B5936" t="s">
        <v>229</v>
      </c>
      <c r="C5936" s="7" t="s">
        <v>128</v>
      </c>
      <c r="D5936" t="s">
        <v>109</v>
      </c>
      <c r="F5936" s="35">
        <v>2</v>
      </c>
      <c r="G5936" s="35">
        <v>5.9915545904698506</v>
      </c>
      <c r="H5936" s="35">
        <v>10.722156306573826</v>
      </c>
      <c r="I5936" s="35">
        <v>8.3186627535868224E-2</v>
      </c>
      <c r="J5936" s="35">
        <v>8.3125093688469023E-4</v>
      </c>
      <c r="K5936" s="35">
        <v>0.61965648982363641</v>
      </c>
      <c r="L5936" s="35">
        <v>53.184834320817416</v>
      </c>
      <c r="M5936" s="58" t="s">
        <v>22</v>
      </c>
      <c r="N5936" s="7">
        <v>9.5</v>
      </c>
      <c r="O5936" s="7" t="s">
        <v>179</v>
      </c>
      <c r="P5936" s="7" t="s">
        <v>179</v>
      </c>
    </row>
    <row r="5937" spans="1:16" x14ac:dyDescent="0.25">
      <c r="A5937" t="s">
        <v>181</v>
      </c>
      <c r="B5937" t="s">
        <v>229</v>
      </c>
      <c r="C5937" s="7" t="s">
        <v>128</v>
      </c>
      <c r="D5937" t="s">
        <v>109</v>
      </c>
      <c r="F5937" s="35">
        <v>4.4982502942822453</v>
      </c>
      <c r="G5937" s="35">
        <v>7.008089637312942</v>
      </c>
      <c r="H5937" s="35">
        <v>8.6236260593767398</v>
      </c>
      <c r="I5937" s="35">
        <v>8.3186627535868099E-2</v>
      </c>
      <c r="J5937" s="35">
        <v>8.3125093688469023E-4</v>
      </c>
      <c r="K5937" s="35">
        <v>0.41183547310180635</v>
      </c>
      <c r="L5937" s="35">
        <v>29.019531076389281</v>
      </c>
      <c r="M5937" s="58" t="s">
        <v>24</v>
      </c>
      <c r="N5937" s="7">
        <v>9.5</v>
      </c>
      <c r="O5937" s="7" t="s">
        <v>179</v>
      </c>
      <c r="P5937" s="7" t="s">
        <v>179</v>
      </c>
    </row>
    <row r="5938" spans="1:16" x14ac:dyDescent="0.25">
      <c r="A5938" t="s">
        <v>181</v>
      </c>
      <c r="B5938" t="s">
        <v>229</v>
      </c>
      <c r="C5938" s="7" t="s">
        <v>128</v>
      </c>
      <c r="D5938" t="s">
        <v>109</v>
      </c>
      <c r="F5938" s="35">
        <v>8.9965005885644906</v>
      </c>
      <c r="G5938" s="35">
        <v>8.8384222841560351</v>
      </c>
      <c r="H5938" s="35">
        <v>4.845095812179653</v>
      </c>
      <c r="I5938" s="35">
        <v>8.3186627535867849E-2</v>
      </c>
      <c r="J5938" s="35">
        <v>8.3125093688469023E-4</v>
      </c>
      <c r="K5938" s="35">
        <v>3.7641201308240807E-2</v>
      </c>
      <c r="L5938" s="35">
        <v>-1.2733099847778377</v>
      </c>
      <c r="M5938" s="58" t="s">
        <v>23</v>
      </c>
      <c r="N5938" s="7">
        <v>9.5</v>
      </c>
      <c r="O5938" s="7" t="s">
        <v>179</v>
      </c>
      <c r="P5938" s="7" t="s">
        <v>179</v>
      </c>
    </row>
    <row r="5939" spans="1:16" x14ac:dyDescent="0.25">
      <c r="A5939" t="s">
        <v>181</v>
      </c>
      <c r="B5939" t="s">
        <v>229</v>
      </c>
      <c r="C5939" s="7" t="s">
        <v>128</v>
      </c>
      <c r="D5939" t="s">
        <v>110</v>
      </c>
      <c r="F5939" s="35">
        <v>0</v>
      </c>
      <c r="G5939" s="35">
        <v>82.227468129946359</v>
      </c>
      <c r="H5939" s="35">
        <v>-52.513667220896039</v>
      </c>
      <c r="I5939" s="35">
        <v>-2.0050065960955994</v>
      </c>
      <c r="J5939" s="35">
        <v>1.2933515561618927E-3</v>
      </c>
      <c r="K5939" s="35">
        <v>-3.1582665401928858</v>
      </c>
      <c r="L5939" s="35">
        <v>-159.66586935326202</v>
      </c>
      <c r="M5939" s="58" t="s">
        <v>22</v>
      </c>
      <c r="N5939" s="7">
        <v>9.5</v>
      </c>
      <c r="O5939" s="7" t="s">
        <v>179</v>
      </c>
      <c r="P5939" s="7" t="s">
        <v>179</v>
      </c>
    </row>
    <row r="5940" spans="1:16" x14ac:dyDescent="0.25">
      <c r="A5940" t="s">
        <v>181</v>
      </c>
      <c r="B5940" t="s">
        <v>229</v>
      </c>
      <c r="C5940" s="7" t="s">
        <v>128</v>
      </c>
      <c r="D5940" t="s">
        <v>110</v>
      </c>
      <c r="F5940" s="35">
        <v>2</v>
      </c>
      <c r="G5940" s="35">
        <v>83.04126572994636</v>
      </c>
      <c r="H5940" s="35">
        <v>-46.465667220896044</v>
      </c>
      <c r="I5940" s="35">
        <v>-2.0050065960955989</v>
      </c>
      <c r="J5940" s="35">
        <v>1.2933515561618927E-3</v>
      </c>
      <c r="K5940" s="35">
        <v>0.85174665199831212</v>
      </c>
      <c r="L5940" s="35">
        <v>-60.686534911469948</v>
      </c>
      <c r="M5940" s="58" t="s">
        <v>22</v>
      </c>
      <c r="N5940" s="7">
        <v>9.5</v>
      </c>
      <c r="O5940" s="7" t="s">
        <v>179</v>
      </c>
      <c r="P5940" s="7" t="s">
        <v>179</v>
      </c>
    </row>
    <row r="5941" spans="1:16" x14ac:dyDescent="0.25">
      <c r="A5941" t="s">
        <v>181</v>
      </c>
      <c r="B5941" t="s">
        <v>229</v>
      </c>
      <c r="C5941" s="7" t="s">
        <v>128</v>
      </c>
      <c r="D5941" t="s">
        <v>110</v>
      </c>
      <c r="F5941" s="35">
        <v>2</v>
      </c>
      <c r="G5941" s="35">
        <v>81.074263086564002</v>
      </c>
      <c r="H5941" s="35">
        <v>-46.465636424480756</v>
      </c>
      <c r="I5941" s="35">
        <v>0.11414105211133471</v>
      </c>
      <c r="J5941" s="35">
        <v>1.3831446327538389E-3</v>
      </c>
      <c r="K5941" s="35">
        <v>0.85174665199831245</v>
      </c>
      <c r="L5941" s="35">
        <v>-60.68663069075162</v>
      </c>
      <c r="M5941" s="58" t="s">
        <v>22</v>
      </c>
      <c r="N5941" s="7">
        <v>9.5</v>
      </c>
      <c r="O5941" s="7" t="s">
        <v>179</v>
      </c>
      <c r="P5941" s="7" t="s">
        <v>179</v>
      </c>
    </row>
    <row r="5942" spans="1:16" x14ac:dyDescent="0.25">
      <c r="A5942" t="s">
        <v>181</v>
      </c>
      <c r="B5942" t="s">
        <v>229</v>
      </c>
      <c r="C5942" s="7" t="s">
        <v>128</v>
      </c>
      <c r="D5942" t="s">
        <v>110</v>
      </c>
      <c r="F5942" s="35">
        <v>4.4982502942822453</v>
      </c>
      <c r="G5942" s="35">
        <v>82.090798133407105</v>
      </c>
      <c r="H5942" s="35">
        <v>-38.91092753457125</v>
      </c>
      <c r="I5942" s="35">
        <v>0.11414105211133517</v>
      </c>
      <c r="J5942" s="35">
        <v>1.3831446327538389E-3</v>
      </c>
      <c r="K5942" s="35">
        <v>0.56659373497148502</v>
      </c>
      <c r="L5942" s="35">
        <v>45.95938232700265</v>
      </c>
      <c r="M5942" s="58" t="s">
        <v>24</v>
      </c>
      <c r="N5942" s="7">
        <v>9.5</v>
      </c>
      <c r="O5942" s="7" t="s">
        <v>179</v>
      </c>
      <c r="P5942" s="7" t="s">
        <v>179</v>
      </c>
    </row>
    <row r="5943" spans="1:16" x14ac:dyDescent="0.25">
      <c r="A5943" t="s">
        <v>181</v>
      </c>
      <c r="B5943" t="s">
        <v>229</v>
      </c>
      <c r="C5943" s="7" t="s">
        <v>128</v>
      </c>
      <c r="D5943" t="s">
        <v>110</v>
      </c>
      <c r="F5943" s="35">
        <v>8.9965005885644906</v>
      </c>
      <c r="G5943" s="35">
        <v>83.921130780250195</v>
      </c>
      <c r="H5943" s="35">
        <v>-25.308218644661736</v>
      </c>
      <c r="I5943" s="35">
        <v>0.11414105211133602</v>
      </c>
      <c r="J5943" s="35">
        <v>1.3831446327538389E-3</v>
      </c>
      <c r="K5943" s="35">
        <v>5.3158713721984704E-2</v>
      </c>
      <c r="L5943" s="35">
        <v>190.39627892664728</v>
      </c>
      <c r="M5943" s="58" t="s">
        <v>23</v>
      </c>
      <c r="N5943" s="7">
        <v>9.5</v>
      </c>
      <c r="O5943" s="7" t="s">
        <v>179</v>
      </c>
      <c r="P5943" s="7" t="s">
        <v>179</v>
      </c>
    </row>
    <row r="5944" spans="1:16" x14ac:dyDescent="0.25">
      <c r="A5944" t="s">
        <v>181</v>
      </c>
      <c r="B5944" t="s">
        <v>229</v>
      </c>
      <c r="C5944" s="7" t="s">
        <v>128</v>
      </c>
      <c r="D5944" t="s">
        <v>111</v>
      </c>
      <c r="F5944" s="35">
        <v>0</v>
      </c>
      <c r="G5944" s="35">
        <v>-41.299787190462773</v>
      </c>
      <c r="H5944" s="35">
        <v>-26.034780697904967</v>
      </c>
      <c r="I5944" s="35">
        <v>-1.7603268246027084</v>
      </c>
      <c r="J5944" s="35">
        <v>8.5538829059543498E-4</v>
      </c>
      <c r="K5944" s="35">
        <v>-2.7760132036205549</v>
      </c>
      <c r="L5944" s="35">
        <v>-81.499313831815783</v>
      </c>
      <c r="M5944" s="58" t="s">
        <v>22</v>
      </c>
      <c r="N5944" s="7">
        <v>9.5</v>
      </c>
      <c r="O5944" s="7" t="s">
        <v>179</v>
      </c>
      <c r="P5944" s="7" t="s">
        <v>179</v>
      </c>
    </row>
    <row r="5945" spans="1:16" x14ac:dyDescent="0.25">
      <c r="A5945" t="s">
        <v>181</v>
      </c>
      <c r="B5945" t="s">
        <v>229</v>
      </c>
      <c r="C5945" s="7" t="s">
        <v>128</v>
      </c>
      <c r="D5945" t="s">
        <v>111</v>
      </c>
      <c r="F5945" s="35">
        <v>2</v>
      </c>
      <c r="G5945" s="35">
        <v>-40.485989590462772</v>
      </c>
      <c r="H5945" s="35">
        <v>-15.282780697904967</v>
      </c>
      <c r="I5945" s="35">
        <v>-1.7603268246027077</v>
      </c>
      <c r="J5945" s="35">
        <v>8.5538829059543498E-4</v>
      </c>
      <c r="K5945" s="35">
        <v>0.74464044558486053</v>
      </c>
      <c r="L5945" s="35">
        <v>-40.181752436005858</v>
      </c>
      <c r="M5945" s="58" t="s">
        <v>22</v>
      </c>
      <c r="N5945" s="7">
        <v>9.5</v>
      </c>
      <c r="O5945" s="7" t="s">
        <v>179</v>
      </c>
      <c r="P5945" s="7" t="s">
        <v>179</v>
      </c>
    </row>
    <row r="5946" spans="1:16" x14ac:dyDescent="0.25">
      <c r="A5946" t="s">
        <v>181</v>
      </c>
      <c r="B5946" t="s">
        <v>229</v>
      </c>
      <c r="C5946" s="7" t="s">
        <v>128</v>
      </c>
      <c r="D5946" t="s">
        <v>111</v>
      </c>
      <c r="F5946" s="35">
        <v>2</v>
      </c>
      <c r="G5946" s="35">
        <v>-42.21021502024734</v>
      </c>
      <c r="H5946" s="35">
        <v>-15.282781477368211</v>
      </c>
      <c r="I5946" s="35">
        <v>9.9859119898611584E-2</v>
      </c>
      <c r="J5946" s="35">
        <v>8.2247667341072512E-4</v>
      </c>
      <c r="K5946" s="35">
        <v>0.74464044558486331</v>
      </c>
      <c r="L5946" s="35">
        <v>-40.181717330280776</v>
      </c>
      <c r="M5946" s="58" t="s">
        <v>22</v>
      </c>
      <c r="N5946" s="7">
        <v>9.5</v>
      </c>
      <c r="O5946" s="7" t="s">
        <v>179</v>
      </c>
      <c r="P5946" s="7" t="s">
        <v>179</v>
      </c>
    </row>
    <row r="5947" spans="1:16" x14ac:dyDescent="0.25">
      <c r="A5947" t="s">
        <v>181</v>
      </c>
      <c r="B5947" t="s">
        <v>229</v>
      </c>
      <c r="C5947" s="7" t="s">
        <v>128</v>
      </c>
      <c r="D5947" t="s">
        <v>111</v>
      </c>
      <c r="F5947" s="35">
        <v>4.4982502942822453</v>
      </c>
      <c r="G5947" s="35">
        <v>-41.193679973404251</v>
      </c>
      <c r="H5947" s="35">
        <v>-1.8521878953068622</v>
      </c>
      <c r="I5947" s="35">
        <v>9.9859119898612417E-2</v>
      </c>
      <c r="J5947" s="35">
        <v>8.2247667341072512E-4</v>
      </c>
      <c r="K5947" s="35">
        <v>0.49516736991138999</v>
      </c>
      <c r="L5947" s="35">
        <v>-18.777996191379401</v>
      </c>
      <c r="M5947" s="58" t="s">
        <v>24</v>
      </c>
      <c r="N5947" s="7">
        <v>9.5</v>
      </c>
      <c r="O5947" s="7" t="s">
        <v>179</v>
      </c>
      <c r="P5947" s="7" t="s">
        <v>179</v>
      </c>
    </row>
    <row r="5948" spans="1:16" x14ac:dyDescent="0.25">
      <c r="A5948" t="s">
        <v>181</v>
      </c>
      <c r="B5948" t="s">
        <v>229</v>
      </c>
      <c r="C5948" s="7" t="s">
        <v>128</v>
      </c>
      <c r="D5948" t="s">
        <v>111</v>
      </c>
      <c r="F5948" s="35">
        <v>8.9965005885644906</v>
      </c>
      <c r="G5948" s="35">
        <v>-39.363347326561161</v>
      </c>
      <c r="H5948" s="35">
        <v>22.330405686754489</v>
      </c>
      <c r="I5948" s="35">
        <v>9.9859119898613888E-2</v>
      </c>
      <c r="J5948" s="35">
        <v>8.2247667341072512E-4</v>
      </c>
      <c r="K5948" s="35">
        <v>4.5976054440687454E-2</v>
      </c>
      <c r="L5948" s="35">
        <v>-64.836070794756978</v>
      </c>
      <c r="M5948" s="58" t="s">
        <v>23</v>
      </c>
      <c r="N5948" s="7">
        <v>9.5</v>
      </c>
      <c r="O5948" s="7" t="s">
        <v>179</v>
      </c>
      <c r="P5948" s="7" t="s">
        <v>179</v>
      </c>
    </row>
    <row r="5949" spans="1:16" x14ac:dyDescent="0.25">
      <c r="A5949" t="s">
        <v>181</v>
      </c>
      <c r="B5949" t="s">
        <v>229</v>
      </c>
      <c r="C5949" s="7" t="s">
        <v>128</v>
      </c>
      <c r="D5949" t="s">
        <v>112</v>
      </c>
      <c r="F5949" s="35">
        <v>0</v>
      </c>
      <c r="G5949" s="35">
        <v>36.412440101562119</v>
      </c>
      <c r="H5949" s="35">
        <v>8.3821366914118212</v>
      </c>
      <c r="I5949" s="35">
        <v>-3.9978854461522482</v>
      </c>
      <c r="J5949" s="35">
        <v>6.8064464622657615E-4</v>
      </c>
      <c r="K5949" s="35">
        <v>-6.3753848176494134</v>
      </c>
      <c r="L5949" s="35">
        <v>-1.7368162354198391</v>
      </c>
      <c r="M5949" s="58" t="s">
        <v>22</v>
      </c>
      <c r="N5949" s="7">
        <v>9.5</v>
      </c>
      <c r="O5949" s="7" t="s">
        <v>179</v>
      </c>
      <c r="P5949" s="7" t="s">
        <v>179</v>
      </c>
    </row>
    <row r="5950" spans="1:16" x14ac:dyDescent="0.25">
      <c r="A5950" t="s">
        <v>181</v>
      </c>
      <c r="B5950" t="s">
        <v>229</v>
      </c>
      <c r="C5950" s="7" t="s">
        <v>128</v>
      </c>
      <c r="D5950" t="s">
        <v>112</v>
      </c>
      <c r="F5950" s="35">
        <v>2</v>
      </c>
      <c r="G5950" s="35">
        <v>37.226237701562127</v>
      </c>
      <c r="H5950" s="35">
        <v>0.82213669141182233</v>
      </c>
      <c r="I5950" s="35">
        <v>-3.9978854461522486</v>
      </c>
      <c r="J5950" s="35">
        <v>6.8064464622657615E-4</v>
      </c>
      <c r="K5950" s="35">
        <v>1.6203860746550827</v>
      </c>
      <c r="L5950" s="35">
        <v>-10.941089618243486</v>
      </c>
      <c r="M5950" s="58" t="s">
        <v>22</v>
      </c>
      <c r="N5950" s="7">
        <v>9.5</v>
      </c>
      <c r="O5950" s="7" t="s">
        <v>179</v>
      </c>
      <c r="P5950" s="7" t="s">
        <v>179</v>
      </c>
    </row>
    <row r="5951" spans="1:16" x14ac:dyDescent="0.25">
      <c r="A5951" t="s">
        <v>181</v>
      </c>
      <c r="B5951" t="s">
        <v>229</v>
      </c>
      <c r="C5951" s="7" t="s">
        <v>128</v>
      </c>
      <c r="D5951" t="s">
        <v>112</v>
      </c>
      <c r="F5951" s="35">
        <v>2</v>
      </c>
      <c r="G5951" s="35">
        <v>33.294810349261482</v>
      </c>
      <c r="H5951" s="35">
        <v>0.82214576819314589</v>
      </c>
      <c r="I5951" s="35">
        <v>0.21663873078015786</v>
      </c>
      <c r="J5951" s="35">
        <v>6.8411406176592255E-4</v>
      </c>
      <c r="K5951" s="35">
        <v>1.6203860746550813</v>
      </c>
      <c r="L5951" s="35">
        <v>-10.941093318953332</v>
      </c>
      <c r="M5951" s="58" t="s">
        <v>22</v>
      </c>
      <c r="N5951" s="7">
        <v>9.5</v>
      </c>
      <c r="O5951" s="7" t="s">
        <v>179</v>
      </c>
      <c r="P5951" s="7" t="s">
        <v>179</v>
      </c>
    </row>
    <row r="5952" spans="1:16" x14ac:dyDescent="0.25">
      <c r="A5952" t="s">
        <v>181</v>
      </c>
      <c r="B5952" t="s">
        <v>229</v>
      </c>
      <c r="C5952" s="7" t="s">
        <v>128</v>
      </c>
      <c r="D5952" t="s">
        <v>112</v>
      </c>
      <c r="F5952" s="35">
        <v>4.4982502942822453</v>
      </c>
      <c r="G5952" s="35">
        <v>34.311345396104578</v>
      </c>
      <c r="H5952" s="35">
        <v>-8.6212403441937404</v>
      </c>
      <c r="I5952" s="35">
        <v>0.21663873078015725</v>
      </c>
      <c r="J5952" s="35">
        <v>6.8411406176592255E-4</v>
      </c>
      <c r="K5952" s="35">
        <v>1.0791683017306208</v>
      </c>
      <c r="L5952" s="35">
        <v>-1.1990481591390629</v>
      </c>
      <c r="M5952" s="58" t="s">
        <v>24</v>
      </c>
      <c r="N5952" s="7">
        <v>9.5</v>
      </c>
      <c r="O5952" s="7" t="s">
        <v>179</v>
      </c>
      <c r="P5952" s="7" t="s">
        <v>179</v>
      </c>
    </row>
    <row r="5953" spans="1:16" x14ac:dyDescent="0.25">
      <c r="A5953" t="s">
        <v>181</v>
      </c>
      <c r="B5953" t="s">
        <v>229</v>
      </c>
      <c r="C5953" s="7" t="s">
        <v>128</v>
      </c>
      <c r="D5953" t="s">
        <v>112</v>
      </c>
      <c r="F5953" s="35">
        <v>8.9965005885644906</v>
      </c>
      <c r="G5953" s="35">
        <v>36.141678042947674</v>
      </c>
      <c r="H5953" s="35">
        <v>-25.624626456580629</v>
      </c>
      <c r="I5953" s="35">
        <v>0.21663873078015619</v>
      </c>
      <c r="J5953" s="35">
        <v>6.8411406176592255E-4</v>
      </c>
      <c r="K5953" s="35">
        <v>0.10467306724584892</v>
      </c>
      <c r="L5953" s="35">
        <v>75.82419204812787</v>
      </c>
      <c r="M5953" s="58" t="s">
        <v>23</v>
      </c>
      <c r="N5953" s="7">
        <v>9.5</v>
      </c>
      <c r="O5953" s="7" t="s">
        <v>179</v>
      </c>
      <c r="P5953" s="7" t="s">
        <v>179</v>
      </c>
    </row>
    <row r="5954" spans="1:16" x14ac:dyDescent="0.25">
      <c r="A5954" t="s">
        <v>181</v>
      </c>
      <c r="B5954" t="s">
        <v>229</v>
      </c>
      <c r="C5954" s="7" t="s">
        <v>128</v>
      </c>
      <c r="D5954" t="s">
        <v>113</v>
      </c>
      <c r="F5954" s="35">
        <v>0</v>
      </c>
      <c r="G5954" s="35">
        <v>-1.7536554151177113</v>
      </c>
      <c r="H5954" s="35">
        <v>12.381147105945155</v>
      </c>
      <c r="I5954" s="35">
        <v>-3.4364685020521515</v>
      </c>
      <c r="J5954" s="35">
        <v>2.1012720830808771E-4</v>
      </c>
      <c r="K5954" s="35">
        <v>-5.4905834596174863</v>
      </c>
      <c r="L5954" s="35">
        <v>26.747811451363628</v>
      </c>
      <c r="M5954" s="58" t="s">
        <v>22</v>
      </c>
      <c r="N5954" s="7">
        <v>9.5</v>
      </c>
      <c r="O5954" s="7" t="s">
        <v>179</v>
      </c>
      <c r="P5954" s="7" t="s">
        <v>179</v>
      </c>
    </row>
    <row r="5955" spans="1:16" x14ac:dyDescent="0.25">
      <c r="A5955" t="s">
        <v>181</v>
      </c>
      <c r="B5955" t="s">
        <v>229</v>
      </c>
      <c r="C5955" s="7" t="s">
        <v>128</v>
      </c>
      <c r="D5955" t="s">
        <v>113</v>
      </c>
      <c r="F5955" s="35">
        <v>2</v>
      </c>
      <c r="G5955" s="35">
        <v>-0.93985781511770605</v>
      </c>
      <c r="H5955" s="35">
        <v>9.0547471059451539</v>
      </c>
      <c r="I5955" s="35">
        <v>-3.4364685020521515</v>
      </c>
      <c r="J5955" s="35">
        <v>2.1012720830808771E-4</v>
      </c>
      <c r="K5955" s="35">
        <v>1.3823535444868162</v>
      </c>
      <c r="L5955" s="35">
        <v>5.3119172394733196</v>
      </c>
      <c r="M5955" s="58" t="s">
        <v>22</v>
      </c>
      <c r="N5955" s="7">
        <v>9.5</v>
      </c>
      <c r="O5955" s="7" t="s">
        <v>179</v>
      </c>
      <c r="P5955" s="7" t="s">
        <v>179</v>
      </c>
    </row>
    <row r="5956" spans="1:16" x14ac:dyDescent="0.25">
      <c r="A5956" t="s">
        <v>181</v>
      </c>
      <c r="B5956" t="s">
        <v>229</v>
      </c>
      <c r="C5956" s="7" t="s">
        <v>128</v>
      </c>
      <c r="D5956" t="s">
        <v>113</v>
      </c>
      <c r="F5956" s="35">
        <v>2</v>
      </c>
      <c r="G5956" s="35">
        <v>-4.3152026043558642</v>
      </c>
      <c r="H5956" s="35">
        <v>9.0547442580928585</v>
      </c>
      <c r="I5956" s="35">
        <v>0.18490074850536251</v>
      </c>
      <c r="J5956" s="35">
        <v>1.9021929101070437E-4</v>
      </c>
      <c r="K5956" s="35">
        <v>1.3823535444868176</v>
      </c>
      <c r="L5956" s="35">
        <v>5.3119384745851086</v>
      </c>
      <c r="M5956" s="58" t="s">
        <v>22</v>
      </c>
      <c r="N5956" s="7">
        <v>9.5</v>
      </c>
      <c r="O5956" s="7" t="s">
        <v>179</v>
      </c>
      <c r="P5956" s="7" t="s">
        <v>179</v>
      </c>
    </row>
    <row r="5957" spans="1:16" x14ac:dyDescent="0.25">
      <c r="A5957" t="s">
        <v>181</v>
      </c>
      <c r="B5957" t="s">
        <v>229</v>
      </c>
      <c r="C5957" s="7" t="s">
        <v>128</v>
      </c>
      <c r="D5957" t="s">
        <v>113</v>
      </c>
      <c r="F5957" s="35">
        <v>4.4982502942822453</v>
      </c>
      <c r="G5957" s="35">
        <v>-3.2986675575127733</v>
      </c>
      <c r="H5957" s="35">
        <v>4.8996543686426275</v>
      </c>
      <c r="I5957" s="35">
        <v>0.18490074850536226</v>
      </c>
      <c r="J5957" s="35">
        <v>1.9021929101070437E-4</v>
      </c>
      <c r="K5957" s="35">
        <v>0.92042519512028886</v>
      </c>
      <c r="L5957" s="35">
        <v>-12.118851763301729</v>
      </c>
      <c r="M5957" s="58" t="s">
        <v>24</v>
      </c>
      <c r="N5957" s="7">
        <v>9.5</v>
      </c>
      <c r="O5957" s="7" t="s">
        <v>179</v>
      </c>
      <c r="P5957" s="7" t="s">
        <v>179</v>
      </c>
    </row>
    <row r="5958" spans="1:16" x14ac:dyDescent="0.25">
      <c r="A5958" t="s">
        <v>181</v>
      </c>
      <c r="B5958" t="s">
        <v>229</v>
      </c>
      <c r="C5958" s="7" t="s">
        <v>128</v>
      </c>
      <c r="D5958" t="s">
        <v>113</v>
      </c>
      <c r="F5958" s="35">
        <v>8.9965005885644906</v>
      </c>
      <c r="G5958" s="35">
        <v>-1.4683349106696766</v>
      </c>
      <c r="H5958" s="35">
        <v>-2.5818355208076023</v>
      </c>
      <c r="I5958" s="35">
        <v>0.18490074850536178</v>
      </c>
      <c r="J5958" s="35">
        <v>1.9021929101070437E-4</v>
      </c>
      <c r="K5958" s="35">
        <v>8.8695348743036806E-2</v>
      </c>
      <c r="L5958" s="35">
        <v>-17.33191642048515</v>
      </c>
      <c r="M5958" s="58" t="s">
        <v>23</v>
      </c>
      <c r="N5958" s="7">
        <v>9.5</v>
      </c>
      <c r="O5958" s="7" t="s">
        <v>179</v>
      </c>
      <c r="P5958" s="7" t="s">
        <v>179</v>
      </c>
    </row>
    <row r="5959" spans="1:16" x14ac:dyDescent="0.25">
      <c r="A5959" t="s">
        <v>181</v>
      </c>
      <c r="B5959" t="s">
        <v>229</v>
      </c>
      <c r="C5959" s="7" t="s">
        <v>128</v>
      </c>
      <c r="D5959" t="s">
        <v>114</v>
      </c>
      <c r="F5959" s="35">
        <v>0</v>
      </c>
      <c r="G5959" s="35">
        <v>63.23833171821488</v>
      </c>
      <c r="H5959" s="35">
        <v>-1.80459626688412</v>
      </c>
      <c r="I5959" s="35">
        <v>4.2158837412810017</v>
      </c>
      <c r="J5959" s="35">
        <v>-7.5609202873449903E-4</v>
      </c>
      <c r="K5959" s="35">
        <v>6.713389310800963</v>
      </c>
      <c r="L5959" s="35">
        <v>-43.651295710082309</v>
      </c>
      <c r="M5959" s="58" t="s">
        <v>22</v>
      </c>
      <c r="N5959" s="7">
        <v>9.5</v>
      </c>
      <c r="O5959" s="7" t="s">
        <v>179</v>
      </c>
      <c r="P5959" s="7" t="s">
        <v>179</v>
      </c>
    </row>
    <row r="5960" spans="1:16" x14ac:dyDescent="0.25">
      <c r="A5960" t="s">
        <v>181</v>
      </c>
      <c r="B5960" t="s">
        <v>229</v>
      </c>
      <c r="C5960" s="7" t="s">
        <v>128</v>
      </c>
      <c r="D5960" t="s">
        <v>114</v>
      </c>
      <c r="F5960" s="35">
        <v>2</v>
      </c>
      <c r="G5960" s="35">
        <v>64.052129318214881</v>
      </c>
      <c r="H5960" s="35">
        <v>-12.388596266884118</v>
      </c>
      <c r="I5960" s="35">
        <v>4.2158837412810009</v>
      </c>
      <c r="J5960" s="35">
        <v>-7.5609202873449903E-4</v>
      </c>
      <c r="K5960" s="35">
        <v>-1.7183781717610391</v>
      </c>
      <c r="L5960" s="35">
        <v>-29.458103176314069</v>
      </c>
      <c r="M5960" s="58" t="s">
        <v>22</v>
      </c>
      <c r="N5960" s="7">
        <v>9.5</v>
      </c>
      <c r="O5960" s="7" t="s">
        <v>179</v>
      </c>
      <c r="P5960" s="7" t="s">
        <v>179</v>
      </c>
    </row>
    <row r="5961" spans="1:16" x14ac:dyDescent="0.25">
      <c r="A5961" t="s">
        <v>181</v>
      </c>
      <c r="B5961" t="s">
        <v>229</v>
      </c>
      <c r="C5961" s="7" t="s">
        <v>128</v>
      </c>
      <c r="D5961" t="s">
        <v>114</v>
      </c>
      <c r="F5961" s="35">
        <v>2</v>
      </c>
      <c r="G5961" s="35">
        <v>68.238469781174985</v>
      </c>
      <c r="H5961" s="35">
        <v>-12.38857986608468</v>
      </c>
      <c r="I5961" s="35">
        <v>-0.22853195435594581</v>
      </c>
      <c r="J5961" s="35">
        <v>-7.1767426269133761E-4</v>
      </c>
      <c r="K5961" s="35">
        <v>-1.7183781717610411</v>
      </c>
      <c r="L5961" s="35">
        <v>-29.458144155264527</v>
      </c>
      <c r="M5961" s="58" t="s">
        <v>22</v>
      </c>
      <c r="N5961" s="7">
        <v>9.5</v>
      </c>
      <c r="O5961" s="7" t="s">
        <v>179</v>
      </c>
      <c r="P5961" s="7" t="s">
        <v>179</v>
      </c>
    </row>
    <row r="5962" spans="1:16" x14ac:dyDescent="0.25">
      <c r="A5962" t="s">
        <v>181</v>
      </c>
      <c r="B5962" t="s">
        <v>229</v>
      </c>
      <c r="C5962" s="7" t="s">
        <v>128</v>
      </c>
      <c r="D5962" t="s">
        <v>114</v>
      </c>
      <c r="F5962" s="35">
        <v>4.4982502942822453</v>
      </c>
      <c r="G5962" s="35">
        <v>69.255004828018059</v>
      </c>
      <c r="H5962" s="35">
        <v>-25.609320423426318</v>
      </c>
      <c r="I5962" s="35">
        <v>-0.22853195435594664</v>
      </c>
      <c r="J5962" s="35">
        <v>-7.1767426269133761E-4</v>
      </c>
      <c r="K5962" s="35">
        <v>-1.1474481495384017</v>
      </c>
      <c r="L5962" s="35">
        <v>18.005988634924591</v>
      </c>
      <c r="M5962" s="58" t="s">
        <v>24</v>
      </c>
      <c r="N5962" s="7">
        <v>9.5</v>
      </c>
      <c r="O5962" s="7" t="s">
        <v>179</v>
      </c>
      <c r="P5962" s="7" t="s">
        <v>179</v>
      </c>
    </row>
    <row r="5963" spans="1:16" x14ac:dyDescent="0.25">
      <c r="A5963" t="s">
        <v>181</v>
      </c>
      <c r="B5963" t="s">
        <v>229</v>
      </c>
      <c r="C5963" s="7" t="s">
        <v>128</v>
      </c>
      <c r="D5963" t="s">
        <v>114</v>
      </c>
      <c r="F5963" s="35">
        <v>8.9965005885644906</v>
      </c>
      <c r="G5963" s="35">
        <v>71.085337474861163</v>
      </c>
      <c r="H5963" s="35">
        <v>-49.414060980767964</v>
      </c>
      <c r="I5963" s="35">
        <v>-0.22853195435594809</v>
      </c>
      <c r="J5963" s="35">
        <v>-7.1767426269133761E-4</v>
      </c>
      <c r="K5963" s="35">
        <v>-0.11945421860386513</v>
      </c>
      <c r="L5963" s="35">
        <v>186.74296237465759</v>
      </c>
      <c r="M5963" s="58" t="s">
        <v>23</v>
      </c>
      <c r="N5963" s="7">
        <v>9.5</v>
      </c>
      <c r="O5963" s="7" t="s">
        <v>179</v>
      </c>
      <c r="P5963" s="7" t="s">
        <v>179</v>
      </c>
    </row>
    <row r="5964" spans="1:16" x14ac:dyDescent="0.25">
      <c r="A5964" t="s">
        <v>181</v>
      </c>
      <c r="B5964" t="s">
        <v>229</v>
      </c>
      <c r="C5964" s="7" t="s">
        <v>128</v>
      </c>
      <c r="D5964" t="s">
        <v>115</v>
      </c>
      <c r="F5964" s="35">
        <v>0</v>
      </c>
      <c r="G5964" s="35">
        <v>24.627354215175011</v>
      </c>
      <c r="H5964" s="35">
        <v>2.314796921617071</v>
      </c>
      <c r="I5964" s="35">
        <v>4.781281374696988</v>
      </c>
      <c r="J5964" s="35">
        <v>-1.2257388305012072E-3</v>
      </c>
      <c r="K5964" s="35">
        <v>7.6044858485326605</v>
      </c>
      <c r="L5964" s="35">
        <v>-14.810153998443644</v>
      </c>
      <c r="M5964" s="58" t="s">
        <v>22</v>
      </c>
      <c r="N5964" s="7">
        <v>9.5</v>
      </c>
      <c r="O5964" s="7" t="s">
        <v>179</v>
      </c>
      <c r="P5964" s="7" t="s">
        <v>179</v>
      </c>
    </row>
    <row r="5965" spans="1:16" x14ac:dyDescent="0.25">
      <c r="A5965" t="s">
        <v>181</v>
      </c>
      <c r="B5965" t="s">
        <v>229</v>
      </c>
      <c r="C5965" s="7" t="s">
        <v>128</v>
      </c>
      <c r="D5965" t="s">
        <v>115</v>
      </c>
      <c r="F5965" s="35">
        <v>2</v>
      </c>
      <c r="G5965" s="35">
        <v>25.441151815175015</v>
      </c>
      <c r="H5965" s="35">
        <v>-4.0356030783829295</v>
      </c>
      <c r="I5965" s="35">
        <v>4.781281374696988</v>
      </c>
      <c r="J5965" s="35">
        <v>-1.2257388305012072E-3</v>
      </c>
      <c r="K5965" s="35">
        <v>-1.958076900861313</v>
      </c>
      <c r="L5965" s="35">
        <v>-13.089347841677785</v>
      </c>
      <c r="M5965" s="58" t="s">
        <v>22</v>
      </c>
      <c r="N5965" s="7">
        <v>9.5</v>
      </c>
      <c r="O5965" s="7" t="s">
        <v>179</v>
      </c>
      <c r="P5965" s="7" t="s">
        <v>179</v>
      </c>
    </row>
    <row r="5966" spans="1:16" x14ac:dyDescent="0.25">
      <c r="A5966" t="s">
        <v>181</v>
      </c>
      <c r="B5966" t="s">
        <v>229</v>
      </c>
      <c r="C5966" s="7" t="s">
        <v>128</v>
      </c>
      <c r="D5966" t="s">
        <v>115</v>
      </c>
      <c r="F5966" s="35">
        <v>2</v>
      </c>
      <c r="G5966" s="35">
        <v>30.187515027057241</v>
      </c>
      <c r="H5966" s="35">
        <v>-4.0355987033758201</v>
      </c>
      <c r="I5966" s="35">
        <v>-0.26049209307911375</v>
      </c>
      <c r="J5966" s="35">
        <v>-1.2111906992328348E-3</v>
      </c>
      <c r="K5966" s="35">
        <v>-1.9580769008613139</v>
      </c>
      <c r="L5966" s="35">
        <v>-13.08936335968445</v>
      </c>
      <c r="M5966" s="58" t="s">
        <v>22</v>
      </c>
      <c r="N5966" s="7">
        <v>9.5</v>
      </c>
      <c r="O5966" s="7" t="s">
        <v>179</v>
      </c>
      <c r="P5966" s="7" t="s">
        <v>179</v>
      </c>
    </row>
    <row r="5967" spans="1:16" x14ac:dyDescent="0.25">
      <c r="A5967" t="s">
        <v>181</v>
      </c>
      <c r="B5967" t="s">
        <v>229</v>
      </c>
      <c r="C5967" s="7" t="s">
        <v>128</v>
      </c>
      <c r="D5967" t="s">
        <v>115</v>
      </c>
      <c r="F5967" s="35">
        <v>4.4982502942822453</v>
      </c>
      <c r="G5967" s="35">
        <v>31.204050073900333</v>
      </c>
      <c r="H5967" s="35">
        <v>-11.968043037780806</v>
      </c>
      <c r="I5967" s="35">
        <v>-0.26049209307911425</v>
      </c>
      <c r="J5967" s="35">
        <v>-1.2111906992328348E-3</v>
      </c>
      <c r="K5967" s="35">
        <v>-1.3073024526682195</v>
      </c>
      <c r="L5967" s="35">
        <v>6.9011879850316289</v>
      </c>
      <c r="M5967" s="58" t="s">
        <v>24</v>
      </c>
      <c r="N5967" s="7">
        <v>9.5</v>
      </c>
      <c r="O5967" s="7" t="s">
        <v>179</v>
      </c>
      <c r="P5967" s="7" t="s">
        <v>179</v>
      </c>
    </row>
    <row r="5968" spans="1:16" x14ac:dyDescent="0.25">
      <c r="A5968" t="s">
        <v>181</v>
      </c>
      <c r="B5968" t="s">
        <v>229</v>
      </c>
      <c r="C5968" s="7" t="s">
        <v>128</v>
      </c>
      <c r="D5968" t="s">
        <v>115</v>
      </c>
      <c r="F5968" s="35">
        <v>8.9965005885644906</v>
      </c>
      <c r="G5968" s="35">
        <v>33.03438272074343</v>
      </c>
      <c r="H5968" s="35">
        <v>-26.25088737218579</v>
      </c>
      <c r="I5968" s="35">
        <v>-0.26049209307911508</v>
      </c>
      <c r="J5968" s="35">
        <v>-1.2111906992328348E-3</v>
      </c>
      <c r="K5968" s="35">
        <v>-0.13554381831689388</v>
      </c>
      <c r="L5968" s="35">
        <v>92.860345466924045</v>
      </c>
      <c r="M5968" s="58" t="s">
        <v>23</v>
      </c>
      <c r="N5968" s="7">
        <v>9.5</v>
      </c>
      <c r="O5968" s="7" t="s">
        <v>179</v>
      </c>
      <c r="P5968" s="7" t="s">
        <v>179</v>
      </c>
    </row>
    <row r="5969" spans="1:16" x14ac:dyDescent="0.25">
      <c r="A5969" t="s">
        <v>181</v>
      </c>
      <c r="B5969" t="s">
        <v>229</v>
      </c>
      <c r="C5969" s="7" t="s">
        <v>128</v>
      </c>
      <c r="D5969" t="s">
        <v>116</v>
      </c>
      <c r="F5969" s="35">
        <v>0</v>
      </c>
      <c r="G5969" s="35">
        <v>24.069350586407086</v>
      </c>
      <c r="H5969" s="35">
        <v>9.5287966211128552</v>
      </c>
      <c r="I5969" s="35">
        <v>-1.6727212484097307</v>
      </c>
      <c r="J5969" s="35">
        <v>1.2241061946209374E-3</v>
      </c>
      <c r="K5969" s="35">
        <v>-2.6413917598357091</v>
      </c>
      <c r="L5969" s="35">
        <v>24.471090259645663</v>
      </c>
      <c r="M5969" s="58" t="s">
        <v>22</v>
      </c>
      <c r="N5969" s="7">
        <v>9.5</v>
      </c>
      <c r="O5969" s="7" t="s">
        <v>179</v>
      </c>
      <c r="P5969" s="7" t="s">
        <v>179</v>
      </c>
    </row>
    <row r="5970" spans="1:16" x14ac:dyDescent="0.25">
      <c r="A5970" t="s">
        <v>181</v>
      </c>
      <c r="B5970" t="s">
        <v>229</v>
      </c>
      <c r="C5970" s="7" t="s">
        <v>128</v>
      </c>
      <c r="D5970" t="s">
        <v>116</v>
      </c>
      <c r="F5970" s="35">
        <v>2</v>
      </c>
      <c r="G5970" s="35">
        <v>24.883148186407091</v>
      </c>
      <c r="H5970" s="35">
        <v>3.7831966211128538</v>
      </c>
      <c r="I5970" s="35">
        <v>-1.6727212484097311</v>
      </c>
      <c r="J5970" s="35">
        <v>1.2241061946209374E-3</v>
      </c>
      <c r="K5970" s="35">
        <v>0.70405073698375287</v>
      </c>
      <c r="L5970" s="35">
        <v>11.159097017419954</v>
      </c>
      <c r="M5970" s="58" t="s">
        <v>22</v>
      </c>
      <c r="N5970" s="7">
        <v>9.5</v>
      </c>
      <c r="O5970" s="7" t="s">
        <v>179</v>
      </c>
      <c r="P5970" s="7" t="s">
        <v>179</v>
      </c>
    </row>
    <row r="5971" spans="1:16" x14ac:dyDescent="0.25">
      <c r="A5971" t="s">
        <v>181</v>
      </c>
      <c r="B5971" t="s">
        <v>229</v>
      </c>
      <c r="C5971" s="7" t="s">
        <v>128</v>
      </c>
      <c r="D5971" t="s">
        <v>116</v>
      </c>
      <c r="F5971" s="35">
        <v>2</v>
      </c>
      <c r="G5971" s="35">
        <v>23.246131317069182</v>
      </c>
      <c r="H5971" s="35">
        <v>3.7832050172733154</v>
      </c>
      <c r="I5971" s="35">
        <v>9.4440250266810397E-2</v>
      </c>
      <c r="J5971" s="35">
        <v>1.24671514788141E-3</v>
      </c>
      <c r="K5971" s="35">
        <v>0.70405073698375487</v>
      </c>
      <c r="L5971" s="35">
        <v>11.159072901203132</v>
      </c>
      <c r="M5971" s="58" t="s">
        <v>22</v>
      </c>
      <c r="N5971" s="7">
        <v>9.5</v>
      </c>
      <c r="O5971" s="7" t="s">
        <v>179</v>
      </c>
      <c r="P5971" s="7" t="s">
        <v>179</v>
      </c>
    </row>
    <row r="5972" spans="1:16" x14ac:dyDescent="0.25">
      <c r="A5972" t="s">
        <v>181</v>
      </c>
      <c r="B5972" t="s">
        <v>229</v>
      </c>
      <c r="C5972" s="7" t="s">
        <v>128</v>
      </c>
      <c r="D5972" t="s">
        <v>116</v>
      </c>
      <c r="F5972" s="35">
        <v>4.4982502942822453</v>
      </c>
      <c r="G5972" s="35">
        <v>24.262666363912274</v>
      </c>
      <c r="H5972" s="35">
        <v>-3.3937684281407194</v>
      </c>
      <c r="I5972" s="35">
        <v>9.4440250266809939E-2</v>
      </c>
      <c r="J5972" s="35">
        <v>1.24671514788141E-3</v>
      </c>
      <c r="K5972" s="35">
        <v>0.46811535396260745</v>
      </c>
      <c r="L5972" s="35">
        <v>10.672617864500747</v>
      </c>
      <c r="M5972" s="58" t="s">
        <v>24</v>
      </c>
      <c r="N5972" s="7">
        <v>9.5</v>
      </c>
      <c r="O5972" s="7" t="s">
        <v>179</v>
      </c>
      <c r="P5972" s="7" t="s">
        <v>179</v>
      </c>
    </row>
    <row r="5973" spans="1:16" x14ac:dyDescent="0.25">
      <c r="A5973" t="s">
        <v>181</v>
      </c>
      <c r="B5973" t="s">
        <v>229</v>
      </c>
      <c r="C5973" s="7" t="s">
        <v>128</v>
      </c>
      <c r="D5973" t="s">
        <v>116</v>
      </c>
      <c r="F5973" s="35">
        <v>8.9965005885644906</v>
      </c>
      <c r="G5973" s="35">
        <v>26.092999010755371</v>
      </c>
      <c r="H5973" s="35">
        <v>-16.316341873554759</v>
      </c>
      <c r="I5973" s="35">
        <v>9.4440250266809175E-2</v>
      </c>
      <c r="J5973" s="35">
        <v>1.24671514788141E-3</v>
      </c>
      <c r="K5973" s="35">
        <v>4.3299470407842586E-2</v>
      </c>
      <c r="L5973" s="35">
        <v>55.00312259696932</v>
      </c>
      <c r="M5973" s="58" t="s">
        <v>23</v>
      </c>
      <c r="N5973" s="7">
        <v>9.5</v>
      </c>
      <c r="O5973" s="7" t="s">
        <v>179</v>
      </c>
      <c r="P5973" s="7" t="s">
        <v>179</v>
      </c>
    </row>
    <row r="5974" spans="1:16" x14ac:dyDescent="0.25">
      <c r="A5974" t="s">
        <v>181</v>
      </c>
      <c r="B5974" t="s">
        <v>229</v>
      </c>
      <c r="C5974" s="7" t="s">
        <v>128</v>
      </c>
      <c r="D5974" t="s">
        <v>117</v>
      </c>
      <c r="F5974" s="35">
        <v>0</v>
      </c>
      <c r="G5974" s="35">
        <v>-23.291373114039931</v>
      </c>
      <c r="H5974" s="35">
        <v>23.78024405607955</v>
      </c>
      <c r="I5974" s="35">
        <v>-1.5008465888109643</v>
      </c>
      <c r="J5974" s="35">
        <v>7.3489712434561506E-4</v>
      </c>
      <c r="K5974" s="35">
        <v>-2.3746172570840836</v>
      </c>
      <c r="L5974" s="35">
        <v>108.46684711747993</v>
      </c>
      <c r="M5974" s="58" t="s">
        <v>22</v>
      </c>
      <c r="N5974" s="7">
        <v>9.5</v>
      </c>
      <c r="O5974" s="7" t="s">
        <v>179</v>
      </c>
      <c r="P5974" s="7" t="s">
        <v>179</v>
      </c>
    </row>
    <row r="5975" spans="1:16" x14ac:dyDescent="0.25">
      <c r="A5975" t="s">
        <v>181</v>
      </c>
      <c r="B5975" t="s">
        <v>229</v>
      </c>
      <c r="C5975" s="7" t="s">
        <v>128</v>
      </c>
      <c r="D5975" t="s">
        <v>117</v>
      </c>
      <c r="F5975" s="35">
        <v>2</v>
      </c>
      <c r="G5975" s="35">
        <v>-22.477575514039927</v>
      </c>
      <c r="H5975" s="35">
        <v>22.268244056079549</v>
      </c>
      <c r="I5975" s="35">
        <v>-1.5008465888109643</v>
      </c>
      <c r="J5975" s="35">
        <v>7.3489712434561506E-4</v>
      </c>
      <c r="K5975" s="35">
        <v>0.62707592053784522</v>
      </c>
      <c r="L5975" s="35">
        <v>62.418359005320831</v>
      </c>
      <c r="M5975" s="58" t="s">
        <v>22</v>
      </c>
      <c r="N5975" s="7">
        <v>9.5</v>
      </c>
      <c r="O5975" s="7" t="s">
        <v>179</v>
      </c>
      <c r="P5975" s="7" t="s">
        <v>179</v>
      </c>
    </row>
    <row r="5976" spans="1:16" x14ac:dyDescent="0.25">
      <c r="A5976" t="s">
        <v>181</v>
      </c>
      <c r="B5976" t="s">
        <v>229</v>
      </c>
      <c r="C5976" s="7" t="s">
        <v>128</v>
      </c>
      <c r="D5976" t="s">
        <v>117</v>
      </c>
      <c r="F5976" s="35">
        <v>2</v>
      </c>
      <c r="G5976" s="35">
        <v>-23.943836106198159</v>
      </c>
      <c r="H5976" s="35">
        <v>22.268231790333619</v>
      </c>
      <c r="I5976" s="35">
        <v>8.4173879615979774E-2</v>
      </c>
      <c r="J5976" s="35">
        <v>7.4713698290436404E-4</v>
      </c>
      <c r="K5976" s="35">
        <v>0.62707592053784522</v>
      </c>
      <c r="L5976" s="35">
        <v>62.418345949471707</v>
      </c>
      <c r="M5976" s="58" t="s">
        <v>22</v>
      </c>
      <c r="N5976" s="7">
        <v>9.5</v>
      </c>
      <c r="O5976" s="7" t="s">
        <v>179</v>
      </c>
      <c r="P5976" s="7" t="s">
        <v>179</v>
      </c>
    </row>
    <row r="5977" spans="1:16" x14ac:dyDescent="0.25">
      <c r="A5977" t="s">
        <v>181</v>
      </c>
      <c r="B5977" t="s">
        <v>229</v>
      </c>
      <c r="C5977" s="7" t="s">
        <v>128</v>
      </c>
      <c r="D5977" t="s">
        <v>117</v>
      </c>
      <c r="F5977" s="35">
        <v>4.4982502942822453</v>
      </c>
      <c r="G5977" s="35">
        <v>-22.927301059355067</v>
      </c>
      <c r="H5977" s="35">
        <v>20.379554567856239</v>
      </c>
      <c r="I5977" s="35">
        <v>8.4173879615979649E-2</v>
      </c>
      <c r="J5977" s="35">
        <v>7.4713698290436404E-4</v>
      </c>
      <c r="K5977" s="35">
        <v>0.41678850101634568</v>
      </c>
      <c r="L5977" s="35">
        <v>9.1459235395546497</v>
      </c>
      <c r="M5977" s="58" t="s">
        <v>24</v>
      </c>
      <c r="N5977" s="7">
        <v>9.5</v>
      </c>
      <c r="O5977" s="7" t="s">
        <v>179</v>
      </c>
      <c r="P5977" s="7" t="s">
        <v>179</v>
      </c>
    </row>
    <row r="5978" spans="1:16" x14ac:dyDescent="0.25">
      <c r="A5978" t="s">
        <v>181</v>
      </c>
      <c r="B5978" t="s">
        <v>229</v>
      </c>
      <c r="C5978" s="7" t="s">
        <v>128</v>
      </c>
      <c r="D5978" t="s">
        <v>117</v>
      </c>
      <c r="F5978" s="35">
        <v>8.9965005885644906</v>
      </c>
      <c r="G5978" s="35">
        <v>-21.09696841251197</v>
      </c>
      <c r="H5978" s="35">
        <v>16.978877345378862</v>
      </c>
      <c r="I5978" s="35">
        <v>8.4173879615979427E-2</v>
      </c>
      <c r="J5978" s="35">
        <v>7.4713698290436404E-4</v>
      </c>
      <c r="K5978" s="35">
        <v>3.8153322262887458E-2</v>
      </c>
      <c r="L5978" s="35">
        <v>-74.877865134261839</v>
      </c>
      <c r="M5978" s="58" t="s">
        <v>23</v>
      </c>
      <c r="N5978" s="7">
        <v>9.5</v>
      </c>
      <c r="O5978" s="7" t="s">
        <v>179</v>
      </c>
      <c r="P5978" s="7" t="s">
        <v>179</v>
      </c>
    </row>
    <row r="5979" spans="1:16" x14ac:dyDescent="0.25">
      <c r="A5979" t="s">
        <v>181</v>
      </c>
      <c r="B5979" t="s">
        <v>229</v>
      </c>
      <c r="C5979" s="7" t="s">
        <v>128</v>
      </c>
      <c r="D5979" t="s">
        <v>118</v>
      </c>
      <c r="F5979" s="35">
        <v>0</v>
      </c>
      <c r="G5979" s="35">
        <v>44.749956335181999</v>
      </c>
      <c r="H5979" s="35">
        <v>-34.64400014193258</v>
      </c>
      <c r="I5979" s="35">
        <v>-1.9710078263242032</v>
      </c>
      <c r="J5979" s="35">
        <v>1.194154513023013E-3</v>
      </c>
      <c r="K5979" s="35">
        <v>-3.106058586153353</v>
      </c>
      <c r="L5979" s="35">
        <v>-103.9107198455564</v>
      </c>
      <c r="M5979" s="58" t="s">
        <v>22</v>
      </c>
      <c r="N5979" s="7">
        <v>9.5</v>
      </c>
      <c r="O5979" s="7" t="s">
        <v>179</v>
      </c>
      <c r="P5979" s="7" t="s">
        <v>179</v>
      </c>
    </row>
    <row r="5980" spans="1:16" x14ac:dyDescent="0.25">
      <c r="A5980" t="s">
        <v>181</v>
      </c>
      <c r="B5980" t="s">
        <v>229</v>
      </c>
      <c r="C5980" s="7" t="s">
        <v>128</v>
      </c>
      <c r="D5980" t="s">
        <v>118</v>
      </c>
      <c r="F5980" s="35">
        <v>2</v>
      </c>
      <c r="G5980" s="35">
        <v>45.563753935182007</v>
      </c>
      <c r="H5980" s="35">
        <v>-29.200800141932582</v>
      </c>
      <c r="I5980" s="35">
        <v>-1.9710078263242028</v>
      </c>
      <c r="J5980" s="35">
        <v>1.194154513023013E-3</v>
      </c>
      <c r="K5980" s="35">
        <v>0.8359570664950533</v>
      </c>
      <c r="L5980" s="35">
        <v>-40.065919561691231</v>
      </c>
      <c r="M5980" s="58" t="s">
        <v>22</v>
      </c>
      <c r="N5980" s="7">
        <v>9.5</v>
      </c>
      <c r="O5980" s="7" t="s">
        <v>179</v>
      </c>
      <c r="P5980" s="7" t="s">
        <v>179</v>
      </c>
    </row>
    <row r="5981" spans="1:16" x14ac:dyDescent="0.25">
      <c r="A5981" t="s">
        <v>181</v>
      </c>
      <c r="B5981" t="s">
        <v>229</v>
      </c>
      <c r="C5981" s="7" t="s">
        <v>128</v>
      </c>
      <c r="D5981" t="s">
        <v>118</v>
      </c>
      <c r="F5981" s="35">
        <v>2</v>
      </c>
      <c r="G5981" s="35">
        <v>43.630601540286598</v>
      </c>
      <c r="H5981" s="35">
        <v>-29.200781667615505</v>
      </c>
      <c r="I5981" s="35">
        <v>0.11203286173389962</v>
      </c>
      <c r="J5981" s="35">
        <v>1.2438413091865979E-3</v>
      </c>
      <c r="K5981" s="35">
        <v>0.83595706649505375</v>
      </c>
      <c r="L5981" s="35">
        <v>-40.065972560940438</v>
      </c>
      <c r="M5981" s="58" t="s">
        <v>22</v>
      </c>
      <c r="N5981" s="7">
        <v>9.5</v>
      </c>
      <c r="O5981" s="7" t="s">
        <v>179</v>
      </c>
      <c r="P5981" s="7" t="s">
        <v>179</v>
      </c>
    </row>
    <row r="5982" spans="1:16" x14ac:dyDescent="0.25">
      <c r="A5982" t="s">
        <v>181</v>
      </c>
      <c r="B5982" t="s">
        <v>229</v>
      </c>
      <c r="C5982" s="7" t="s">
        <v>128</v>
      </c>
      <c r="D5982" t="s">
        <v>118</v>
      </c>
      <c r="F5982" s="35">
        <v>4.4982502942822453</v>
      </c>
      <c r="G5982" s="35">
        <v>44.647136587129687</v>
      </c>
      <c r="H5982" s="35">
        <v>-22.401543666696949</v>
      </c>
      <c r="I5982" s="35">
        <v>0.11203286173390004</v>
      </c>
      <c r="J5982" s="35">
        <v>1.2438413091865979E-3</v>
      </c>
      <c r="K5982" s="35">
        <v>0.5560709366990565</v>
      </c>
      <c r="L5982" s="35">
        <v>24.391789665106675</v>
      </c>
      <c r="M5982" s="58" t="s">
        <v>24</v>
      </c>
      <c r="N5982" s="7">
        <v>9.5</v>
      </c>
      <c r="O5982" s="7" t="s">
        <v>179</v>
      </c>
      <c r="P5982" s="7" t="s">
        <v>179</v>
      </c>
    </row>
    <row r="5983" spans="1:16" x14ac:dyDescent="0.25">
      <c r="A5983" t="s">
        <v>181</v>
      </c>
      <c r="B5983" t="s">
        <v>229</v>
      </c>
      <c r="C5983" s="7" t="s">
        <v>128</v>
      </c>
      <c r="D5983" t="s">
        <v>118</v>
      </c>
      <c r="F5983" s="35">
        <v>8.9965005885644906</v>
      </c>
      <c r="G5983" s="35">
        <v>46.477469233972784</v>
      </c>
      <c r="H5983" s="35">
        <v>-10.159105665778389</v>
      </c>
      <c r="I5983" s="35">
        <v>0.11203286173390078</v>
      </c>
      <c r="J5983" s="35">
        <v>1.2438413091865979E-3</v>
      </c>
      <c r="K5983" s="35">
        <v>5.2119083435256959E-2</v>
      </c>
      <c r="L5983" s="35">
        <v>97.624764886020756</v>
      </c>
      <c r="M5983" s="58" t="s">
        <v>23</v>
      </c>
      <c r="N5983" s="7">
        <v>9.5</v>
      </c>
      <c r="O5983" s="7" t="s">
        <v>179</v>
      </c>
      <c r="P5983" s="7" t="s">
        <v>179</v>
      </c>
    </row>
    <row r="5984" spans="1:16" x14ac:dyDescent="0.25">
      <c r="A5984" t="s">
        <v>181</v>
      </c>
      <c r="B5984" t="s">
        <v>229</v>
      </c>
      <c r="C5984" s="7" t="s">
        <v>128</v>
      </c>
      <c r="D5984" t="s">
        <v>119</v>
      </c>
      <c r="F5984" s="35">
        <v>0</v>
      </c>
      <c r="G5984" s="35">
        <v>-66.424573453186213</v>
      </c>
      <c r="H5984" s="35">
        <v>-10.813002271240611</v>
      </c>
      <c r="I5984" s="35">
        <v>-1.7507960319806015</v>
      </c>
      <c r="J5984" s="35">
        <v>7.9998757401320106E-4</v>
      </c>
      <c r="K5984" s="35">
        <v>-2.7620305832382552</v>
      </c>
      <c r="L5984" s="35">
        <v>-33.560819876254762</v>
      </c>
      <c r="M5984" s="58" t="s">
        <v>22</v>
      </c>
      <c r="N5984" s="7">
        <v>9.5</v>
      </c>
      <c r="O5984" s="7" t="s">
        <v>179</v>
      </c>
      <c r="P5984" s="7" t="s">
        <v>179</v>
      </c>
    </row>
    <row r="5985" spans="1:16" x14ac:dyDescent="0.25">
      <c r="A5985" t="s">
        <v>181</v>
      </c>
      <c r="B5985" t="s">
        <v>229</v>
      </c>
      <c r="C5985" s="7" t="s">
        <v>128</v>
      </c>
      <c r="D5985" t="s">
        <v>119</v>
      </c>
      <c r="F5985" s="35">
        <v>2</v>
      </c>
      <c r="G5985" s="35">
        <v>-65.610775853186198</v>
      </c>
      <c r="H5985" s="35">
        <v>-1.1362022712406068</v>
      </c>
      <c r="I5985" s="35">
        <v>-1.7507960319806009</v>
      </c>
      <c r="J5985" s="35">
        <v>7.9998757401320106E-4</v>
      </c>
      <c r="K5985" s="35">
        <v>0.7395614807229467</v>
      </c>
      <c r="L5985" s="35">
        <v>-21.611615333773535</v>
      </c>
      <c r="M5985" s="58" t="s">
        <v>22</v>
      </c>
      <c r="N5985" s="7">
        <v>9.5</v>
      </c>
      <c r="O5985" s="7" t="s">
        <v>179</v>
      </c>
      <c r="P5985" s="7" t="s">
        <v>179</v>
      </c>
    </row>
    <row r="5986" spans="1:16" x14ac:dyDescent="0.25">
      <c r="A5986" t="s">
        <v>181</v>
      </c>
      <c r="B5986" t="s">
        <v>229</v>
      </c>
      <c r="C5986" s="7" t="s">
        <v>128</v>
      </c>
      <c r="D5986" t="s">
        <v>119</v>
      </c>
      <c r="F5986" s="35">
        <v>2</v>
      </c>
      <c r="G5986" s="35">
        <v>-67.325428755843632</v>
      </c>
      <c r="H5986" s="35">
        <v>-1.136212215214218</v>
      </c>
      <c r="I5986" s="35">
        <v>9.9179122742448791E-2</v>
      </c>
      <c r="J5986" s="35">
        <v>7.3924014577779549E-4</v>
      </c>
      <c r="K5986" s="35">
        <v>0.73956148072294947</v>
      </c>
      <c r="L5986" s="35">
        <v>-21.611550536516674</v>
      </c>
      <c r="M5986" s="58" t="s">
        <v>22</v>
      </c>
      <c r="N5986" s="7">
        <v>9.5</v>
      </c>
      <c r="O5986" s="7" t="s">
        <v>179</v>
      </c>
      <c r="P5986" s="7" t="s">
        <v>179</v>
      </c>
    </row>
    <row r="5987" spans="1:16" x14ac:dyDescent="0.25">
      <c r="A5987" t="s">
        <v>181</v>
      </c>
      <c r="B5987" t="s">
        <v>229</v>
      </c>
      <c r="C5987" s="7" t="s">
        <v>128</v>
      </c>
      <c r="D5987" t="s">
        <v>119</v>
      </c>
      <c r="F5987" s="35">
        <v>4.4982502942822453</v>
      </c>
      <c r="G5987" s="35">
        <v>-66.308893709000543</v>
      </c>
      <c r="H5987" s="35">
        <v>10.951322008640998</v>
      </c>
      <c r="I5987" s="35">
        <v>9.9179122742449527E-2</v>
      </c>
      <c r="J5987" s="35">
        <v>7.3924014577779549E-4</v>
      </c>
      <c r="K5987" s="35">
        <v>0.4917872081449709</v>
      </c>
      <c r="L5987" s="35">
        <v>-33.871851001437172</v>
      </c>
      <c r="M5987" s="58" t="s">
        <v>24</v>
      </c>
      <c r="N5987" s="7">
        <v>9.5</v>
      </c>
      <c r="O5987" s="7" t="s">
        <v>179</v>
      </c>
      <c r="P5987" s="7" t="s">
        <v>179</v>
      </c>
    </row>
    <row r="5988" spans="1:16" x14ac:dyDescent="0.25">
      <c r="A5988" t="s">
        <v>181</v>
      </c>
      <c r="B5988" t="s">
        <v>229</v>
      </c>
      <c r="C5988" s="7" t="s">
        <v>128</v>
      </c>
      <c r="D5988" t="s">
        <v>119</v>
      </c>
      <c r="F5988" s="35">
        <v>8.9965005885644906</v>
      </c>
      <c r="G5988" s="35">
        <v>-64.478561062157453</v>
      </c>
      <c r="H5988" s="35">
        <v>32.715656232496215</v>
      </c>
      <c r="I5988" s="35">
        <v>9.9179122742450873E-2</v>
      </c>
      <c r="J5988" s="35">
        <v>7.3924014577779549E-4</v>
      </c>
      <c r="K5988" s="35">
        <v>4.5654690082089437E-2</v>
      </c>
      <c r="L5988" s="35">
        <v>-132.08434986324309</v>
      </c>
      <c r="M5988" s="58" t="s">
        <v>23</v>
      </c>
      <c r="N5988" s="7">
        <v>9.5</v>
      </c>
      <c r="O5988" s="7" t="s">
        <v>179</v>
      </c>
      <c r="P5988" s="7" t="s">
        <v>179</v>
      </c>
    </row>
    <row r="5989" spans="1:16" x14ac:dyDescent="0.25">
      <c r="A5989" t="s">
        <v>181</v>
      </c>
      <c r="B5989" t="s">
        <v>229</v>
      </c>
      <c r="C5989" s="7" t="s">
        <v>128</v>
      </c>
      <c r="D5989" t="s">
        <v>120</v>
      </c>
      <c r="F5989" s="35">
        <v>0</v>
      </c>
      <c r="G5989" s="35">
        <v>48.487033989685962</v>
      </c>
      <c r="H5989" s="35">
        <v>6.0265773414451642</v>
      </c>
      <c r="I5989" s="35">
        <v>-4.3975168572722225</v>
      </c>
      <c r="J5989" s="35">
        <v>7.4869409853749722E-4</v>
      </c>
      <c r="K5989" s="35">
        <v>-7.0128287825197448</v>
      </c>
      <c r="L5989" s="35">
        <v>-12.317119163314683</v>
      </c>
      <c r="M5989" s="58" t="s">
        <v>22</v>
      </c>
      <c r="N5989" s="7">
        <v>9.5</v>
      </c>
      <c r="O5989" s="7" t="s">
        <v>179</v>
      </c>
      <c r="P5989" s="7" t="s">
        <v>179</v>
      </c>
    </row>
    <row r="5990" spans="1:16" x14ac:dyDescent="0.25">
      <c r="A5990" t="s">
        <v>181</v>
      </c>
      <c r="B5990" t="s">
        <v>229</v>
      </c>
      <c r="C5990" s="7" t="s">
        <v>128</v>
      </c>
      <c r="D5990" t="s">
        <v>120</v>
      </c>
      <c r="F5990" s="35">
        <v>2</v>
      </c>
      <c r="G5990" s="35">
        <v>49.300831589685963</v>
      </c>
      <c r="H5990" s="35">
        <v>-2.3734226585548344</v>
      </c>
      <c r="I5990" s="35">
        <v>-4.3975168572722234</v>
      </c>
      <c r="J5990" s="35">
        <v>7.4869409853749722E-4</v>
      </c>
      <c r="K5990" s="35">
        <v>1.7822049320247011</v>
      </c>
      <c r="L5990" s="35">
        <v>-15.970273846205014</v>
      </c>
      <c r="M5990" s="58" t="s">
        <v>22</v>
      </c>
      <c r="N5990" s="7">
        <v>9.5</v>
      </c>
      <c r="O5990" s="7" t="s">
        <v>179</v>
      </c>
      <c r="P5990" s="7" t="s">
        <v>179</v>
      </c>
    </row>
    <row r="5991" spans="1:16" x14ac:dyDescent="0.25">
      <c r="A5991" t="s">
        <v>181</v>
      </c>
      <c r="B5991" t="s">
        <v>229</v>
      </c>
      <c r="C5991" s="7" t="s">
        <v>128</v>
      </c>
      <c r="D5991" t="s">
        <v>120</v>
      </c>
      <c r="F5991" s="35">
        <v>2</v>
      </c>
      <c r="G5991" s="35">
        <v>44.974519898827751</v>
      </c>
      <c r="H5991" s="35">
        <v>-2.3734101483586705</v>
      </c>
      <c r="I5991" s="35">
        <v>0.23821642430558693</v>
      </c>
      <c r="J5991" s="35">
        <v>7.6062715787030759E-4</v>
      </c>
      <c r="K5991" s="35">
        <v>1.7822049320247</v>
      </c>
      <c r="L5991" s="35">
        <v>-15.970286574801571</v>
      </c>
      <c r="M5991" s="58" t="s">
        <v>22</v>
      </c>
      <c r="N5991" s="7">
        <v>9.5</v>
      </c>
      <c r="O5991" s="7" t="s">
        <v>179</v>
      </c>
      <c r="P5991" s="7" t="s">
        <v>179</v>
      </c>
    </row>
    <row r="5992" spans="1:16" x14ac:dyDescent="0.25">
      <c r="A5992" t="s">
        <v>181</v>
      </c>
      <c r="B5992" t="s">
        <v>229</v>
      </c>
      <c r="C5992" s="7" t="s">
        <v>128</v>
      </c>
      <c r="D5992" t="s">
        <v>120</v>
      </c>
      <c r="F5992" s="35">
        <v>4.4982502942822453</v>
      </c>
      <c r="G5992" s="35">
        <v>45.991054945670847</v>
      </c>
      <c r="H5992" s="35">
        <v>-12.8660613843441</v>
      </c>
      <c r="I5992" s="35">
        <v>0.23821642430558623</v>
      </c>
      <c r="J5992" s="35">
        <v>7.6062715787030759E-4</v>
      </c>
      <c r="K5992" s="35">
        <v>1.1870806799004039</v>
      </c>
      <c r="L5992" s="35">
        <v>3.0657205458387278</v>
      </c>
      <c r="M5992" s="58" t="s">
        <v>24</v>
      </c>
      <c r="N5992" s="7">
        <v>9.5</v>
      </c>
      <c r="O5992" s="7" t="s">
        <v>179</v>
      </c>
      <c r="P5992" s="7" t="s">
        <v>179</v>
      </c>
    </row>
    <row r="5993" spans="1:16" x14ac:dyDescent="0.25">
      <c r="A5993" t="s">
        <v>181</v>
      </c>
      <c r="B5993" t="s">
        <v>229</v>
      </c>
      <c r="C5993" s="7" t="s">
        <v>128</v>
      </c>
      <c r="D5993" t="s">
        <v>120</v>
      </c>
      <c r="F5993" s="35">
        <v>8.9965005885644906</v>
      </c>
      <c r="G5993" s="35">
        <v>47.821387592513936</v>
      </c>
      <c r="H5993" s="35">
        <v>-31.758712620329529</v>
      </c>
      <c r="I5993" s="35">
        <v>0.23821642430558507</v>
      </c>
      <c r="J5993" s="35">
        <v>7.6062715787030759E-4</v>
      </c>
      <c r="K5993" s="35">
        <v>0.1155235791649392</v>
      </c>
      <c r="L5993" s="35">
        <v>103.43242194523967</v>
      </c>
      <c r="M5993" s="58" t="s">
        <v>23</v>
      </c>
      <c r="N5993" s="7">
        <v>9.5</v>
      </c>
      <c r="O5993" s="7" t="s">
        <v>179</v>
      </c>
      <c r="P5993" s="7" t="s">
        <v>179</v>
      </c>
    </row>
    <row r="5994" spans="1:16" x14ac:dyDescent="0.25">
      <c r="A5994" t="s">
        <v>181</v>
      </c>
      <c r="B5994" t="s">
        <v>229</v>
      </c>
      <c r="C5994" s="7" t="s">
        <v>128</v>
      </c>
      <c r="D5994" t="s">
        <v>121</v>
      </c>
      <c r="F5994" s="35">
        <v>0</v>
      </c>
      <c r="G5994" s="35">
        <v>6.0802611933750441</v>
      </c>
      <c r="H5994" s="35">
        <v>10.469922246482202</v>
      </c>
      <c r="I5994" s="35">
        <v>-3.7737202527165601</v>
      </c>
      <c r="J5994" s="35">
        <v>2.2589694529473228E-4</v>
      </c>
      <c r="K5994" s="35">
        <v>-6.029716162484271</v>
      </c>
      <c r="L5994" s="35">
        <v>19.33246715533361</v>
      </c>
      <c r="M5994" s="58" t="s">
        <v>22</v>
      </c>
      <c r="N5994" s="7">
        <v>9.5</v>
      </c>
      <c r="O5994" s="7" t="s">
        <v>179</v>
      </c>
      <c r="P5994" s="7" t="s">
        <v>179</v>
      </c>
    </row>
    <row r="5995" spans="1:16" x14ac:dyDescent="0.25">
      <c r="A5995" t="s">
        <v>181</v>
      </c>
      <c r="B5995" t="s">
        <v>229</v>
      </c>
      <c r="C5995" s="7" t="s">
        <v>128</v>
      </c>
      <c r="D5995" t="s">
        <v>121</v>
      </c>
      <c r="F5995" s="35">
        <v>2</v>
      </c>
      <c r="G5995" s="35">
        <v>6.8940587933750415</v>
      </c>
      <c r="H5995" s="35">
        <v>6.7739222464822015</v>
      </c>
      <c r="I5995" s="35">
        <v>-3.7737202527165601</v>
      </c>
      <c r="J5995" s="35">
        <v>2.2589694529473228E-4</v>
      </c>
      <c r="K5995" s="35">
        <v>1.5177243429488494</v>
      </c>
      <c r="L5995" s="35">
        <v>2.0886226623692137</v>
      </c>
      <c r="M5995" s="58" t="s">
        <v>22</v>
      </c>
      <c r="N5995" s="7">
        <v>9.5</v>
      </c>
      <c r="O5995" s="7" t="s">
        <v>179</v>
      </c>
      <c r="P5995" s="7" t="s">
        <v>179</v>
      </c>
    </row>
    <row r="5996" spans="1:16" x14ac:dyDescent="0.25">
      <c r="A5996" t="s">
        <v>181</v>
      </c>
      <c r="B5996" t="s">
        <v>229</v>
      </c>
      <c r="C5996" s="7" t="s">
        <v>128</v>
      </c>
      <c r="D5996" t="s">
        <v>121</v>
      </c>
      <c r="F5996" s="35">
        <v>2</v>
      </c>
      <c r="G5996" s="35">
        <v>3.1856166170306963</v>
      </c>
      <c r="H5996" s="35">
        <v>6.7739215070854542</v>
      </c>
      <c r="I5996" s="35">
        <v>0.20295199955581431</v>
      </c>
      <c r="J5996" s="35">
        <v>2.118551903645095E-4</v>
      </c>
      <c r="K5996" s="35">
        <v>1.5177243429488509</v>
      </c>
      <c r="L5996" s="35">
        <v>2.0886376402411457</v>
      </c>
      <c r="M5996" s="58" t="s">
        <v>22</v>
      </c>
      <c r="N5996" s="7">
        <v>9.5</v>
      </c>
      <c r="O5996" s="7" t="s">
        <v>179</v>
      </c>
      <c r="P5996" s="7" t="s">
        <v>179</v>
      </c>
    </row>
    <row r="5997" spans="1:16" x14ac:dyDescent="0.25">
      <c r="A5997" t="s">
        <v>181</v>
      </c>
      <c r="B5997" t="s">
        <v>229</v>
      </c>
      <c r="C5997" s="7" t="s">
        <v>128</v>
      </c>
      <c r="D5997" t="s">
        <v>121</v>
      </c>
      <c r="F5997" s="35">
        <v>4.4982502942822453</v>
      </c>
      <c r="G5997" s="35">
        <v>4.2021516638737877</v>
      </c>
      <c r="H5997" s="35">
        <v>2.157154963251863</v>
      </c>
      <c r="I5997" s="35">
        <v>0.20295199955581406</v>
      </c>
      <c r="J5997" s="35">
        <v>2.118551903645095E-4</v>
      </c>
      <c r="K5997" s="35">
        <v>1.0106994503333684</v>
      </c>
      <c r="L5997" s="35">
        <v>-9.0673945698975675</v>
      </c>
      <c r="M5997" s="58" t="s">
        <v>24</v>
      </c>
      <c r="N5997" s="7">
        <v>9.5</v>
      </c>
      <c r="O5997" s="7" t="s">
        <v>179</v>
      </c>
      <c r="P5997" s="7" t="s">
        <v>179</v>
      </c>
    </row>
    <row r="5998" spans="1:16" x14ac:dyDescent="0.25">
      <c r="A5998" t="s">
        <v>181</v>
      </c>
      <c r="B5998" t="s">
        <v>229</v>
      </c>
      <c r="C5998" s="7" t="s">
        <v>128</v>
      </c>
      <c r="D5998" t="s">
        <v>121</v>
      </c>
      <c r="F5998" s="35">
        <v>8.9965005885644906</v>
      </c>
      <c r="G5998" s="35">
        <v>6.0324843107168773</v>
      </c>
      <c r="H5998" s="35">
        <v>-6.1556115805817271</v>
      </c>
      <c r="I5998" s="35">
        <v>0.20295199955581356</v>
      </c>
      <c r="J5998" s="35">
        <v>2.118551903645095E-4</v>
      </c>
      <c r="K5998" s="35">
        <v>9.7770558606259092E-2</v>
      </c>
      <c r="L5998" s="35">
        <v>-7.4365242108121496E-2</v>
      </c>
      <c r="M5998" s="58" t="s">
        <v>23</v>
      </c>
      <c r="N5998" s="7">
        <v>9.5</v>
      </c>
      <c r="O5998" s="7" t="s">
        <v>179</v>
      </c>
      <c r="P5998" s="7" t="s">
        <v>179</v>
      </c>
    </row>
    <row r="5999" spans="1:16" x14ac:dyDescent="0.25">
      <c r="A5999" t="s">
        <v>181</v>
      </c>
      <c r="B5999" t="s">
        <v>229</v>
      </c>
      <c r="C5999" s="7" t="s">
        <v>128</v>
      </c>
      <c r="D5999" t="s">
        <v>122</v>
      </c>
      <c r="F5999" s="35">
        <v>0</v>
      </c>
      <c r="G5999" s="35">
        <v>78.293580230411237</v>
      </c>
      <c r="H5999" s="35">
        <v>-5.2920148344392137</v>
      </c>
      <c r="I5999" s="35">
        <v>4.7288933509869429</v>
      </c>
      <c r="J5999" s="35">
        <v>-8.4767998475258628E-4</v>
      </c>
      <c r="K5999" s="35">
        <v>7.5302535824251171</v>
      </c>
      <c r="L5999" s="35">
        <v>-58.88876302405076</v>
      </c>
      <c r="M5999" s="58" t="s">
        <v>22</v>
      </c>
      <c r="N5999" s="7">
        <v>9.5</v>
      </c>
      <c r="O5999" s="7" t="s">
        <v>179</v>
      </c>
      <c r="P5999" s="7" t="s">
        <v>179</v>
      </c>
    </row>
    <row r="6000" spans="1:16" x14ac:dyDescent="0.25">
      <c r="A6000" t="s">
        <v>181</v>
      </c>
      <c r="B6000" t="s">
        <v>229</v>
      </c>
      <c r="C6000" s="7" t="s">
        <v>128</v>
      </c>
      <c r="D6000" t="s">
        <v>122</v>
      </c>
      <c r="F6000" s="35">
        <v>2</v>
      </c>
      <c r="G6000" s="35">
        <v>79.107377830411252</v>
      </c>
      <c r="H6000" s="35">
        <v>-17.052014834439213</v>
      </c>
      <c r="I6000" s="35">
        <v>4.728893350986942</v>
      </c>
      <c r="J6000" s="35">
        <v>-8.4767998475258628E-4</v>
      </c>
      <c r="K6000" s="35">
        <v>-1.9275331195487677</v>
      </c>
      <c r="L6000" s="35">
        <v>-36.544733355172326</v>
      </c>
      <c r="M6000" s="58" t="s">
        <v>22</v>
      </c>
      <c r="N6000" s="7">
        <v>9.5</v>
      </c>
      <c r="O6000" s="7" t="s">
        <v>179</v>
      </c>
      <c r="P6000" s="7" t="s">
        <v>179</v>
      </c>
    </row>
    <row r="6001" spans="1:16" x14ac:dyDescent="0.25">
      <c r="A6001" t="s">
        <v>181</v>
      </c>
      <c r="B6001" t="s">
        <v>229</v>
      </c>
      <c r="C6001" s="7" t="s">
        <v>128</v>
      </c>
      <c r="D6001" t="s">
        <v>122</v>
      </c>
      <c r="F6001" s="35">
        <v>2</v>
      </c>
      <c r="G6001" s="35">
        <v>83.800808156509433</v>
      </c>
      <c r="H6001" s="35">
        <v>-17.051994186445143</v>
      </c>
      <c r="I6001" s="35">
        <v>-0.25641767029008378</v>
      </c>
      <c r="J6001" s="35">
        <v>-7.9691542485998165E-4</v>
      </c>
      <c r="K6001" s="35">
        <v>-1.9275331195487697</v>
      </c>
      <c r="L6001" s="35">
        <v>-36.544787504036222</v>
      </c>
      <c r="M6001" s="58" t="s">
        <v>22</v>
      </c>
      <c r="N6001" s="7">
        <v>9.5</v>
      </c>
      <c r="O6001" s="7" t="s">
        <v>179</v>
      </c>
      <c r="P6001" s="7" t="s">
        <v>179</v>
      </c>
    </row>
    <row r="6002" spans="1:16" x14ac:dyDescent="0.25">
      <c r="A6002" t="s">
        <v>181</v>
      </c>
      <c r="B6002" t="s">
        <v>229</v>
      </c>
      <c r="C6002" s="7" t="s">
        <v>128</v>
      </c>
      <c r="D6002" t="s">
        <v>122</v>
      </c>
      <c r="F6002" s="35">
        <v>4.4982502942822453</v>
      </c>
      <c r="G6002" s="35">
        <v>84.817343203352522</v>
      </c>
      <c r="H6002" s="35">
        <v>-31.741705916824746</v>
      </c>
      <c r="I6002" s="35">
        <v>-0.25641767029008472</v>
      </c>
      <c r="J6002" s="35">
        <v>-7.9691542485998165E-4</v>
      </c>
      <c r="K6002" s="35">
        <v>-1.2869375992873988</v>
      </c>
      <c r="L6002" s="35">
        <v>24.404650317020568</v>
      </c>
      <c r="M6002" s="58" t="s">
        <v>24</v>
      </c>
      <c r="N6002" s="7">
        <v>9.5</v>
      </c>
      <c r="O6002" s="7" t="s">
        <v>179</v>
      </c>
      <c r="P6002" s="7" t="s">
        <v>179</v>
      </c>
    </row>
    <row r="6003" spans="1:16" x14ac:dyDescent="0.25">
      <c r="A6003" t="s">
        <v>181</v>
      </c>
      <c r="B6003" t="s">
        <v>229</v>
      </c>
      <c r="C6003" s="7" t="s">
        <v>128</v>
      </c>
      <c r="D6003" t="s">
        <v>122</v>
      </c>
      <c r="F6003" s="35">
        <v>8.9965005885644906</v>
      </c>
      <c r="G6003" s="35">
        <v>86.647675850195597</v>
      </c>
      <c r="H6003" s="35">
        <v>-58.191417647204347</v>
      </c>
      <c r="I6003" s="35">
        <v>-0.25641767029008633</v>
      </c>
      <c r="J6003" s="35">
        <v>-7.9691542485998165E-4</v>
      </c>
      <c r="K6003" s="35">
        <v>-0.13350673844585415</v>
      </c>
      <c r="L6003" s="35">
        <v>226.67550008582822</v>
      </c>
      <c r="M6003" s="58" t="s">
        <v>23</v>
      </c>
      <c r="N6003" s="7">
        <v>9.5</v>
      </c>
      <c r="O6003" s="7" t="s">
        <v>179</v>
      </c>
      <c r="P6003" s="7" t="s">
        <v>179</v>
      </c>
    </row>
    <row r="6004" spans="1:16" x14ac:dyDescent="0.25">
      <c r="A6004" t="s">
        <v>181</v>
      </c>
      <c r="B6004" t="s">
        <v>229</v>
      </c>
      <c r="C6004" s="7" t="s">
        <v>128</v>
      </c>
      <c r="D6004" t="s">
        <v>123</v>
      </c>
      <c r="F6004" s="35">
        <v>0</v>
      </c>
      <c r="G6004" s="35">
        <v>35.392494115922496</v>
      </c>
      <c r="H6004" s="35">
        <v>-0.71491129166011513</v>
      </c>
      <c r="I6004" s="35">
        <v>5.357112943671372</v>
      </c>
      <c r="J6004" s="35">
        <v>-1.3695097644933732E-3</v>
      </c>
      <c r="K6004" s="35">
        <v>8.5203608465714478</v>
      </c>
      <c r="L6004" s="35">
        <v>-26.843050011118912</v>
      </c>
      <c r="M6004" s="58" t="s">
        <v>22</v>
      </c>
      <c r="N6004" s="7">
        <v>9.5</v>
      </c>
      <c r="O6004" s="7" t="s">
        <v>179</v>
      </c>
      <c r="P6004" s="7" t="s">
        <v>179</v>
      </c>
    </row>
    <row r="6005" spans="1:16" x14ac:dyDescent="0.25">
      <c r="A6005" t="s">
        <v>181</v>
      </c>
      <c r="B6005" t="s">
        <v>229</v>
      </c>
      <c r="C6005" s="7" t="s">
        <v>128</v>
      </c>
      <c r="D6005" t="s">
        <v>123</v>
      </c>
      <c r="F6005" s="35">
        <v>2</v>
      </c>
      <c r="G6005" s="35">
        <v>36.206291715922497</v>
      </c>
      <c r="H6005" s="35">
        <v>-7.7709112916601137</v>
      </c>
      <c r="I6005" s="35">
        <v>5.357112943671372</v>
      </c>
      <c r="J6005" s="35">
        <v>-1.3695097644933732E-3</v>
      </c>
      <c r="K6005" s="35">
        <v>-2.1938650407712941</v>
      </c>
      <c r="L6005" s="35">
        <v>-18.357227427798684</v>
      </c>
      <c r="M6005" s="58" t="s">
        <v>22</v>
      </c>
      <c r="N6005" s="7">
        <v>9.5</v>
      </c>
      <c r="O6005" s="7" t="s">
        <v>179</v>
      </c>
      <c r="P6005" s="7" t="s">
        <v>179</v>
      </c>
    </row>
    <row r="6006" spans="1:16" x14ac:dyDescent="0.25">
      <c r="A6006" t="s">
        <v>181</v>
      </c>
      <c r="B6006" t="s">
        <v>229</v>
      </c>
      <c r="C6006" s="7" t="s">
        <v>128</v>
      </c>
      <c r="D6006" t="s">
        <v>123</v>
      </c>
      <c r="F6006" s="35">
        <v>2</v>
      </c>
      <c r="G6006" s="35">
        <v>41.521969540823044</v>
      </c>
      <c r="H6006" s="35">
        <v>-7.7709040056575232</v>
      </c>
      <c r="I6006" s="35">
        <v>-0.29192893553804822</v>
      </c>
      <c r="J6006" s="35">
        <v>-1.3452670210172006E-3</v>
      </c>
      <c r="K6006" s="35">
        <v>-2.1938650407712954</v>
      </c>
      <c r="L6006" s="35">
        <v>-18.35725328672503</v>
      </c>
      <c r="M6006" s="58" t="s">
        <v>22</v>
      </c>
      <c r="N6006" s="7">
        <v>9.5</v>
      </c>
      <c r="O6006" s="7" t="s">
        <v>179</v>
      </c>
      <c r="P6006" s="7" t="s">
        <v>179</v>
      </c>
    </row>
    <row r="6007" spans="1:16" x14ac:dyDescent="0.25">
      <c r="A6007" t="s">
        <v>181</v>
      </c>
      <c r="B6007" t="s">
        <v>229</v>
      </c>
      <c r="C6007" s="7" t="s">
        <v>128</v>
      </c>
      <c r="D6007" t="s">
        <v>123</v>
      </c>
      <c r="F6007" s="35">
        <v>4.4982502942822453</v>
      </c>
      <c r="G6007" s="35">
        <v>42.538504587666139</v>
      </c>
      <c r="H6007" s="35">
        <v>-16.584731043885284</v>
      </c>
      <c r="I6007" s="35">
        <v>-0.29192893553804872</v>
      </c>
      <c r="J6007" s="35">
        <v>-1.3452670210172006E-3</v>
      </c>
      <c r="K6007" s="35">
        <v>-1.4645534916538629</v>
      </c>
      <c r="L6007" s="35">
        <v>12.065982928250607</v>
      </c>
      <c r="M6007" s="58" t="s">
        <v>24</v>
      </c>
      <c r="N6007" s="7">
        <v>9.5</v>
      </c>
      <c r="O6007" s="7" t="s">
        <v>179</v>
      </c>
      <c r="P6007" s="7" t="s">
        <v>179</v>
      </c>
    </row>
    <row r="6008" spans="1:16" x14ac:dyDescent="0.25">
      <c r="A6008" t="s">
        <v>181</v>
      </c>
      <c r="B6008" t="s">
        <v>229</v>
      </c>
      <c r="C6008" s="7" t="s">
        <v>128</v>
      </c>
      <c r="D6008" t="s">
        <v>123</v>
      </c>
      <c r="F6008" s="35">
        <v>8.9965005885644906</v>
      </c>
      <c r="G6008" s="35">
        <v>44.368837234509229</v>
      </c>
      <c r="H6008" s="35">
        <v>-32.454558082113046</v>
      </c>
      <c r="I6008" s="35">
        <v>-0.29192893553804972</v>
      </c>
      <c r="J6008" s="35">
        <v>-1.3452670210172006E-3</v>
      </c>
      <c r="K6008" s="35">
        <v>-0.15138407146033056</v>
      </c>
      <c r="L6008" s="35">
        <v>122.36148129945764</v>
      </c>
      <c r="M6008" s="58" t="s">
        <v>23</v>
      </c>
      <c r="N6008" s="7">
        <v>9.5</v>
      </c>
      <c r="O6008" s="7" t="s">
        <v>179</v>
      </c>
      <c r="P6008" s="7" t="s">
        <v>179</v>
      </c>
    </row>
    <row r="6009" spans="1:16" x14ac:dyDescent="0.25">
      <c r="A6009" t="s">
        <v>181</v>
      </c>
      <c r="B6009" t="s">
        <v>229</v>
      </c>
      <c r="C6009" s="7" t="s">
        <v>128</v>
      </c>
      <c r="D6009" t="s">
        <v>124</v>
      </c>
      <c r="F6009" s="35">
        <v>0</v>
      </c>
      <c r="G6009" s="35">
        <v>34.772490083958154</v>
      </c>
      <c r="H6009" s="35">
        <v>7.3006439300018684</v>
      </c>
      <c r="I6009" s="35">
        <v>-1.8140010820027597</v>
      </c>
      <c r="J6009" s="35">
        <v>1.3525402634201207E-3</v>
      </c>
      <c r="K6009" s="35">
        <v>-2.8639476071711845</v>
      </c>
      <c r="L6009" s="35">
        <v>16.802776942313653</v>
      </c>
      <c r="M6009" s="58" t="s">
        <v>22</v>
      </c>
      <c r="N6009" s="7">
        <v>9.5</v>
      </c>
      <c r="O6009" s="7" t="s">
        <v>179</v>
      </c>
      <c r="P6009" s="7" t="s">
        <v>179</v>
      </c>
    </row>
    <row r="6010" spans="1:16" x14ac:dyDescent="0.25">
      <c r="A6010" t="s">
        <v>181</v>
      </c>
      <c r="B6010" t="s">
        <v>229</v>
      </c>
      <c r="C6010" s="7" t="s">
        <v>128</v>
      </c>
      <c r="D6010" t="s">
        <v>124</v>
      </c>
      <c r="F6010" s="35">
        <v>2</v>
      </c>
      <c r="G6010" s="35">
        <v>35.586287683958155</v>
      </c>
      <c r="H6010" s="35">
        <v>0.91664393000186806</v>
      </c>
      <c r="I6010" s="35">
        <v>-1.8140010820027601</v>
      </c>
      <c r="J6010" s="35">
        <v>1.3525402634201207E-3</v>
      </c>
      <c r="K6010" s="35">
        <v>0.76405455683433454</v>
      </c>
      <c r="L6010" s="35">
        <v>8.5854890823099179</v>
      </c>
      <c r="M6010" s="58" t="s">
        <v>22</v>
      </c>
      <c r="N6010" s="7">
        <v>9.5</v>
      </c>
      <c r="O6010" s="7" t="s">
        <v>179</v>
      </c>
      <c r="P6010" s="7" t="s">
        <v>179</v>
      </c>
    </row>
    <row r="6011" spans="1:16" x14ac:dyDescent="0.25">
      <c r="A6011" t="s">
        <v>181</v>
      </c>
      <c r="B6011" t="s">
        <v>229</v>
      </c>
      <c r="C6011" s="7" t="s">
        <v>128</v>
      </c>
      <c r="D6011" t="s">
        <v>124</v>
      </c>
      <c r="F6011" s="35">
        <v>2</v>
      </c>
      <c r="G6011" s="35">
        <v>33.809320974169637</v>
      </c>
      <c r="H6011" s="35">
        <v>0.91665568395262731</v>
      </c>
      <c r="I6011" s="35">
        <v>0.10244033484631195</v>
      </c>
      <c r="J6011" s="35">
        <v>1.3857394757764048E-3</v>
      </c>
      <c r="K6011" s="35">
        <v>0.76405455683433676</v>
      </c>
      <c r="L6011" s="35">
        <v>8.5854536698167259</v>
      </c>
      <c r="M6011" s="58" t="s">
        <v>22</v>
      </c>
      <c r="N6011" s="7">
        <v>9.5</v>
      </c>
      <c r="O6011" s="7" t="s">
        <v>179</v>
      </c>
      <c r="P6011" s="7" t="s">
        <v>179</v>
      </c>
    </row>
    <row r="6012" spans="1:16" x14ac:dyDescent="0.25">
      <c r="A6012" t="s">
        <v>181</v>
      </c>
      <c r="B6012" t="s">
        <v>229</v>
      </c>
      <c r="C6012" s="7" t="s">
        <v>128</v>
      </c>
      <c r="D6012" t="s">
        <v>124</v>
      </c>
      <c r="F6012" s="35">
        <v>4.4982502942822453</v>
      </c>
      <c r="G6012" s="35">
        <v>34.825856021012726</v>
      </c>
      <c r="H6012" s="35">
        <v>-7.0577592553962987</v>
      </c>
      <c r="I6012" s="35">
        <v>0.10244033484631147</v>
      </c>
      <c r="J6012" s="35">
        <v>1.3857394757764048E-3</v>
      </c>
      <c r="K6012" s="35">
        <v>0.50813296015816689</v>
      </c>
      <c r="L6012" s="35">
        <v>16.25646057210518</v>
      </c>
      <c r="M6012" s="58" t="s">
        <v>24</v>
      </c>
      <c r="N6012" s="7">
        <v>9.5</v>
      </c>
      <c r="O6012" s="7" t="s">
        <v>179</v>
      </c>
      <c r="P6012" s="7" t="s">
        <v>179</v>
      </c>
    </row>
    <row r="6013" spans="1:16" x14ac:dyDescent="0.25">
      <c r="A6013" t="s">
        <v>181</v>
      </c>
      <c r="B6013" t="s">
        <v>229</v>
      </c>
      <c r="C6013" s="7" t="s">
        <v>128</v>
      </c>
      <c r="D6013" t="s">
        <v>124</v>
      </c>
      <c r="F6013" s="35">
        <v>8.9965005885644906</v>
      </c>
      <c r="G6013" s="35">
        <v>36.656188667855815</v>
      </c>
      <c r="H6013" s="35">
        <v>-21.416174194745228</v>
      </c>
      <c r="I6013" s="35">
        <v>0.10244033484631059</v>
      </c>
      <c r="J6013" s="35">
        <v>1.3857394757764048E-3</v>
      </c>
      <c r="K6013" s="35">
        <v>4.7330693789376627E-2</v>
      </c>
      <c r="L6013" s="35">
        <v>80.29790033284128</v>
      </c>
      <c r="M6013" s="58" t="s">
        <v>23</v>
      </c>
      <c r="N6013" s="7">
        <v>9.5</v>
      </c>
      <c r="O6013" s="7" t="s">
        <v>179</v>
      </c>
      <c r="P6013" s="7" t="s">
        <v>179</v>
      </c>
    </row>
    <row r="6014" spans="1:16" x14ac:dyDescent="0.25">
      <c r="A6014" t="s">
        <v>181</v>
      </c>
      <c r="B6014" t="s">
        <v>229</v>
      </c>
      <c r="C6014" s="7" t="s">
        <v>128</v>
      </c>
      <c r="D6014" t="s">
        <v>125</v>
      </c>
      <c r="F6014" s="35">
        <v>0</v>
      </c>
      <c r="G6014" s="35">
        <v>-17.850536249871872</v>
      </c>
      <c r="H6014" s="35">
        <v>23.135585524409308</v>
      </c>
      <c r="I6014" s="35">
        <v>-1.6230292380041302</v>
      </c>
      <c r="J6014" s="35">
        <v>8.0897462978087378E-4</v>
      </c>
      <c r="K6014" s="35">
        <v>-2.5675314930027122</v>
      </c>
      <c r="L6014" s="35">
        <v>110.1313956732406</v>
      </c>
      <c r="M6014" s="58" t="s">
        <v>22</v>
      </c>
      <c r="N6014" s="7">
        <v>9.5</v>
      </c>
      <c r="O6014" s="7" t="s">
        <v>179</v>
      </c>
      <c r="P6014" s="7" t="s">
        <v>179</v>
      </c>
    </row>
    <row r="6015" spans="1:16" x14ac:dyDescent="0.25">
      <c r="A6015" t="s">
        <v>181</v>
      </c>
      <c r="B6015" t="s">
        <v>229</v>
      </c>
      <c r="C6015" s="7" t="s">
        <v>128</v>
      </c>
      <c r="D6015" t="s">
        <v>125</v>
      </c>
      <c r="F6015" s="35">
        <v>2</v>
      </c>
      <c r="G6015" s="35">
        <v>-17.036738649871875</v>
      </c>
      <c r="H6015" s="35">
        <v>21.455585524409308</v>
      </c>
      <c r="I6015" s="35">
        <v>-1.6230292380041302</v>
      </c>
      <c r="J6015" s="35">
        <v>8.0897462978087378E-4</v>
      </c>
      <c r="K6015" s="35">
        <v>0.67852698300554837</v>
      </c>
      <c r="L6015" s="35">
        <v>65.540224624422009</v>
      </c>
      <c r="M6015" s="58" t="s">
        <v>22</v>
      </c>
      <c r="N6015" s="7">
        <v>9.5</v>
      </c>
      <c r="O6015" s="7" t="s">
        <v>179</v>
      </c>
      <c r="P6015" s="7" t="s">
        <v>179</v>
      </c>
    </row>
    <row r="6016" spans="1:16" x14ac:dyDescent="0.25">
      <c r="A6016" t="s">
        <v>181</v>
      </c>
      <c r="B6016" t="s">
        <v>229</v>
      </c>
      <c r="C6016" s="7" t="s">
        <v>128</v>
      </c>
      <c r="D6016" t="s">
        <v>125</v>
      </c>
      <c r="F6016" s="35">
        <v>2</v>
      </c>
      <c r="G6016" s="35">
        <v>-18.623976162794072</v>
      </c>
      <c r="H6016" s="35">
        <v>21.455574320686296</v>
      </c>
      <c r="I6016" s="35">
        <v>9.1033256345389058E-2</v>
      </c>
      <c r="J6016" s="35">
        <v>8.3065262580190918E-4</v>
      </c>
      <c r="K6016" s="35">
        <v>0.67852698300554826</v>
      </c>
      <c r="L6016" s="35">
        <v>65.54020150122625</v>
      </c>
      <c r="M6016" s="58" t="s">
        <v>22</v>
      </c>
      <c r="N6016" s="7">
        <v>9.5</v>
      </c>
      <c r="O6016" s="7" t="s">
        <v>179</v>
      </c>
      <c r="P6016" s="7" t="s">
        <v>179</v>
      </c>
    </row>
    <row r="6017" spans="1:16" x14ac:dyDescent="0.25">
      <c r="A6017" t="s">
        <v>181</v>
      </c>
      <c r="B6017" t="s">
        <v>229</v>
      </c>
      <c r="C6017" s="7" t="s">
        <v>128</v>
      </c>
      <c r="D6017" t="s">
        <v>125</v>
      </c>
      <c r="F6017" s="35">
        <v>4.4982502942822453</v>
      </c>
      <c r="G6017" s="35">
        <v>-17.60744111595098</v>
      </c>
      <c r="H6017" s="35">
        <v>19.35704407348921</v>
      </c>
      <c r="I6017" s="35">
        <v>9.1033256345388919E-2</v>
      </c>
      <c r="J6017" s="35">
        <v>8.3065262580190918E-4</v>
      </c>
      <c r="K6017" s="35">
        <v>0.45110312355120935</v>
      </c>
      <c r="L6017" s="35">
        <v>14.560133544387291</v>
      </c>
      <c r="M6017" s="58" t="s">
        <v>24</v>
      </c>
      <c r="N6017" s="7">
        <v>9.5</v>
      </c>
      <c r="O6017" s="7" t="s">
        <v>179</v>
      </c>
      <c r="P6017" s="7" t="s">
        <v>179</v>
      </c>
    </row>
    <row r="6018" spans="1:16" x14ac:dyDescent="0.25">
      <c r="A6018" t="s">
        <v>181</v>
      </c>
      <c r="B6018" t="s">
        <v>229</v>
      </c>
      <c r="C6018" s="7" t="s">
        <v>128</v>
      </c>
      <c r="D6018" t="s">
        <v>125</v>
      </c>
      <c r="F6018" s="35">
        <v>8.9965005885644906</v>
      </c>
      <c r="G6018" s="35">
        <v>-15.77710846910789</v>
      </c>
      <c r="H6018" s="35">
        <v>15.578513826292124</v>
      </c>
      <c r="I6018" s="35">
        <v>9.1033256345388683E-2</v>
      </c>
      <c r="J6018" s="35">
        <v>8.3065262580190918E-4</v>
      </c>
      <c r="K6018" s="35">
        <v>4.1612751406093142E-2</v>
      </c>
      <c r="L6018" s="35">
        <v>-64.014308257415578</v>
      </c>
      <c r="M6018" s="58" t="s">
        <v>23</v>
      </c>
      <c r="N6018" s="7">
        <v>9.5</v>
      </c>
      <c r="O6018" s="7" t="s">
        <v>179</v>
      </c>
      <c r="P6018" s="7" t="s">
        <v>179</v>
      </c>
    </row>
    <row r="6019" spans="1:16" x14ac:dyDescent="0.25">
      <c r="A6019" t="s">
        <v>181</v>
      </c>
      <c r="B6019" t="s">
        <v>229</v>
      </c>
      <c r="C6019" s="7" t="s">
        <v>128</v>
      </c>
      <c r="D6019" t="s">
        <v>126</v>
      </c>
      <c r="F6019" s="35">
        <v>0</v>
      </c>
      <c r="G6019" s="35">
        <v>57.750940915930286</v>
      </c>
      <c r="H6019" s="35">
        <v>-41.780241362270836</v>
      </c>
      <c r="I6019" s="35">
        <v>-2.1454306130188403</v>
      </c>
      <c r="J6019" s="35">
        <v>1.3192606172002048E-3</v>
      </c>
      <c r="K6019" s="35">
        <v>-3.3802440808574556</v>
      </c>
      <c r="L6019" s="35">
        <v>-125.84367873013305</v>
      </c>
      <c r="M6019" s="58" t="s">
        <v>22</v>
      </c>
      <c r="N6019" s="7">
        <v>9.5</v>
      </c>
      <c r="O6019" s="7" t="s">
        <v>179</v>
      </c>
      <c r="P6019" s="7" t="s">
        <v>179</v>
      </c>
    </row>
    <row r="6020" spans="1:16" x14ac:dyDescent="0.25">
      <c r="A6020" t="s">
        <v>181</v>
      </c>
      <c r="B6020" t="s">
        <v>229</v>
      </c>
      <c r="C6020" s="7" t="s">
        <v>128</v>
      </c>
      <c r="D6020" t="s">
        <v>126</v>
      </c>
      <c r="F6020" s="35">
        <v>2</v>
      </c>
      <c r="G6020" s="35">
        <v>58.56473851593028</v>
      </c>
      <c r="H6020" s="35">
        <v>-35.732241362270834</v>
      </c>
      <c r="I6020" s="35">
        <v>-2.1454306130188399</v>
      </c>
      <c r="J6020" s="35">
        <v>1.3192606172002048E-3</v>
      </c>
      <c r="K6020" s="35">
        <v>0.91061714518022396</v>
      </c>
      <c r="L6020" s="35">
        <v>-48.331196005591387</v>
      </c>
      <c r="M6020" s="58" t="s">
        <v>22</v>
      </c>
      <c r="N6020" s="7">
        <v>9.5</v>
      </c>
      <c r="O6020" s="7" t="s">
        <v>179</v>
      </c>
      <c r="P6020" s="7" t="s">
        <v>179</v>
      </c>
    </row>
    <row r="6021" spans="1:16" x14ac:dyDescent="0.25">
      <c r="A6021" t="s">
        <v>181</v>
      </c>
      <c r="B6021" t="s">
        <v>229</v>
      </c>
      <c r="C6021" s="7" t="s">
        <v>128</v>
      </c>
      <c r="D6021" t="s">
        <v>126</v>
      </c>
      <c r="F6021" s="35">
        <v>2</v>
      </c>
      <c r="G6021" s="35">
        <v>56.458732333300091</v>
      </c>
      <c r="H6021" s="35">
        <v>-35.732218410368283</v>
      </c>
      <c r="I6021" s="35">
        <v>0.12198768092085553</v>
      </c>
      <c r="J6021" s="35">
        <v>1.382546321671058E-3</v>
      </c>
      <c r="K6021" s="35">
        <v>0.9106171451802243</v>
      </c>
      <c r="L6021" s="35">
        <v>-48.331263510342794</v>
      </c>
      <c r="M6021" s="58" t="s">
        <v>22</v>
      </c>
      <c r="N6021" s="7">
        <v>9.5</v>
      </c>
      <c r="O6021" s="7" t="s">
        <v>179</v>
      </c>
      <c r="P6021" s="7" t="s">
        <v>179</v>
      </c>
    </row>
    <row r="6022" spans="1:16" x14ac:dyDescent="0.25">
      <c r="A6022" t="s">
        <v>181</v>
      </c>
      <c r="B6022" t="s">
        <v>229</v>
      </c>
      <c r="C6022" s="7" t="s">
        <v>128</v>
      </c>
      <c r="D6022" t="s">
        <v>126</v>
      </c>
      <c r="F6022" s="35">
        <v>4.4982502942822453</v>
      </c>
      <c r="G6022" s="35">
        <v>57.475267380143187</v>
      </c>
      <c r="H6022" s="35">
        <v>-28.177509520458781</v>
      </c>
      <c r="I6022" s="35">
        <v>0.12198768092085602</v>
      </c>
      <c r="J6022" s="35">
        <v>1.382546321671058E-3</v>
      </c>
      <c r="K6022" s="35">
        <v>0.60586138542088808</v>
      </c>
      <c r="L6022" s="35">
        <v>31.499984795000657</v>
      </c>
      <c r="M6022" s="58" t="s">
        <v>24</v>
      </c>
      <c r="N6022" s="7">
        <v>9.5</v>
      </c>
      <c r="O6022" s="7" t="s">
        <v>179</v>
      </c>
      <c r="P6022" s="7" t="s">
        <v>179</v>
      </c>
    </row>
    <row r="6023" spans="1:16" x14ac:dyDescent="0.25">
      <c r="A6023" t="s">
        <v>181</v>
      </c>
      <c r="B6023" t="s">
        <v>229</v>
      </c>
      <c r="C6023" s="7" t="s">
        <v>128</v>
      </c>
      <c r="D6023" t="s">
        <v>126</v>
      </c>
      <c r="F6023" s="35">
        <v>8.9965005885644906</v>
      </c>
      <c r="G6023" s="35">
        <v>59.305600026986276</v>
      </c>
      <c r="H6023" s="35">
        <v>-14.574800630549268</v>
      </c>
      <c r="I6023" s="35">
        <v>0.12198768092085684</v>
      </c>
      <c r="J6023" s="35">
        <v>1.382546321671058E-3</v>
      </c>
      <c r="K6023" s="35">
        <v>5.7130263819837039E-2</v>
      </c>
      <c r="L6023" s="35">
        <v>127.65528065400954</v>
      </c>
      <c r="M6023" s="58" t="s">
        <v>23</v>
      </c>
      <c r="N6023" s="7">
        <v>9.5</v>
      </c>
      <c r="O6023" s="7" t="s">
        <v>179</v>
      </c>
      <c r="P6023" s="7" t="s">
        <v>179</v>
      </c>
    </row>
    <row r="6024" spans="1:16" x14ac:dyDescent="0.25">
      <c r="A6024" t="s">
        <v>181</v>
      </c>
      <c r="B6024" t="s">
        <v>229</v>
      </c>
      <c r="C6024" s="7" t="s">
        <v>128</v>
      </c>
      <c r="D6024" t="s">
        <v>127</v>
      </c>
      <c r="F6024" s="35">
        <v>0</v>
      </c>
      <c r="G6024" s="35">
        <v>-65.776314404478839</v>
      </c>
      <c r="H6024" s="35">
        <v>-15.301354839279757</v>
      </c>
      <c r="I6024" s="35">
        <v>-1.9007508415259493</v>
      </c>
      <c r="J6024" s="35">
        <v>8.8129735163374725E-4</v>
      </c>
      <c r="K6024" s="35">
        <v>-2.9979907442851252</v>
      </c>
      <c r="L6024" s="35">
        <v>-47.677123208686815</v>
      </c>
      <c r="M6024" s="58" t="s">
        <v>22</v>
      </c>
      <c r="N6024" s="7">
        <v>9.5</v>
      </c>
      <c r="O6024" s="7" t="s">
        <v>179</v>
      </c>
      <c r="P6024" s="7" t="s">
        <v>179</v>
      </c>
    </row>
    <row r="6025" spans="1:16" x14ac:dyDescent="0.25">
      <c r="A6025" t="s">
        <v>181</v>
      </c>
      <c r="B6025" t="s">
        <v>229</v>
      </c>
      <c r="C6025" s="7" t="s">
        <v>128</v>
      </c>
      <c r="D6025" t="s">
        <v>127</v>
      </c>
      <c r="F6025" s="35">
        <v>2</v>
      </c>
      <c r="G6025" s="35">
        <v>-64.962516804478852</v>
      </c>
      <c r="H6025" s="35">
        <v>-4.549354839279756</v>
      </c>
      <c r="I6025" s="35">
        <v>-1.9007508415259486</v>
      </c>
      <c r="J6025" s="35">
        <v>8.8129735163374725E-4</v>
      </c>
      <c r="K6025" s="35">
        <v>0.80351093876677238</v>
      </c>
      <c r="L6025" s="35">
        <v>-27.826413530127294</v>
      </c>
      <c r="M6025" s="58" t="s">
        <v>22</v>
      </c>
      <c r="N6025" s="7">
        <v>9.5</v>
      </c>
      <c r="O6025" s="7" t="s">
        <v>179</v>
      </c>
      <c r="P6025" s="7" t="s">
        <v>179</v>
      </c>
    </row>
    <row r="6026" spans="1:16" x14ac:dyDescent="0.25">
      <c r="A6026" t="s">
        <v>181</v>
      </c>
      <c r="B6026" t="s">
        <v>229</v>
      </c>
      <c r="C6026" s="7" t="s">
        <v>128</v>
      </c>
      <c r="D6026" t="s">
        <v>127</v>
      </c>
      <c r="F6026" s="35">
        <v>2</v>
      </c>
      <c r="G6026" s="35">
        <v>-66.825745773511258</v>
      </c>
      <c r="H6026" s="35">
        <v>-4.54936346325574</v>
      </c>
      <c r="I6026" s="35">
        <v>0.10770574870813242</v>
      </c>
      <c r="J6026" s="35">
        <v>8.2187836232794408E-4</v>
      </c>
      <c r="K6026" s="35">
        <v>0.80351093876677526</v>
      </c>
      <c r="L6026" s="35">
        <v>-27.826350149871949</v>
      </c>
      <c r="M6026" s="58" t="s">
        <v>22</v>
      </c>
      <c r="N6026" s="7">
        <v>9.5</v>
      </c>
      <c r="O6026" s="7" t="s">
        <v>179</v>
      </c>
      <c r="P6026" s="7" t="s">
        <v>179</v>
      </c>
    </row>
    <row r="6027" spans="1:16" x14ac:dyDescent="0.25">
      <c r="A6027" t="s">
        <v>181</v>
      </c>
      <c r="B6027" t="s">
        <v>229</v>
      </c>
      <c r="C6027" s="7" t="s">
        <v>128</v>
      </c>
      <c r="D6027" t="s">
        <v>127</v>
      </c>
      <c r="F6027" s="35">
        <v>4.4982502942822453</v>
      </c>
      <c r="G6027" s="35">
        <v>-65.809210726668169</v>
      </c>
      <c r="H6027" s="35">
        <v>8.8812301188056075</v>
      </c>
      <c r="I6027" s="35">
        <v>0.10770574870813324</v>
      </c>
      <c r="J6027" s="35">
        <v>8.2187836232794408E-4</v>
      </c>
      <c r="K6027" s="35">
        <v>0.53443502036079293</v>
      </c>
      <c r="L6027" s="35">
        <v>-33.237393723381395</v>
      </c>
      <c r="M6027" s="58" t="s">
        <v>24</v>
      </c>
      <c r="N6027" s="7">
        <v>9.5</v>
      </c>
      <c r="O6027" s="7" t="s">
        <v>179</v>
      </c>
      <c r="P6027" s="7" t="s">
        <v>179</v>
      </c>
    </row>
    <row r="6028" spans="1:16" x14ac:dyDescent="0.25">
      <c r="A6028" t="s">
        <v>181</v>
      </c>
      <c r="B6028" t="s">
        <v>229</v>
      </c>
      <c r="C6028" s="7" t="s">
        <v>128</v>
      </c>
      <c r="D6028" t="s">
        <v>127</v>
      </c>
      <c r="F6028" s="35">
        <v>8.9965005885644906</v>
      </c>
      <c r="G6028" s="35">
        <v>-63.97887807982508</v>
      </c>
      <c r="H6028" s="35">
        <v>33.063823700866962</v>
      </c>
      <c r="I6028" s="35">
        <v>0.10770574870813471</v>
      </c>
      <c r="J6028" s="35">
        <v>8.2187836232794408E-4</v>
      </c>
      <c r="K6028" s="35">
        <v>4.9947604538539789E-2</v>
      </c>
      <c r="L6028" s="35">
        <v>-127.57706906739473</v>
      </c>
      <c r="M6028" s="58" t="s">
        <v>23</v>
      </c>
      <c r="N6028" s="7">
        <v>9.5</v>
      </c>
      <c r="O6028" s="7" t="s">
        <v>179</v>
      </c>
      <c r="P6028" s="7" t="s">
        <v>179</v>
      </c>
    </row>
    <row r="6029" spans="1:16" x14ac:dyDescent="0.25">
      <c r="A6029" t="s">
        <v>181</v>
      </c>
      <c r="B6029" t="s">
        <v>230</v>
      </c>
      <c r="C6029" s="7" t="s">
        <v>171</v>
      </c>
      <c r="D6029" t="s">
        <v>105</v>
      </c>
      <c r="F6029" s="35">
        <v>0</v>
      </c>
      <c r="G6029" s="35">
        <v>-18.062824027873798</v>
      </c>
      <c r="H6029" s="35">
        <v>1.051138983769409</v>
      </c>
      <c r="I6029" s="35">
        <v>-1.2557207623574012</v>
      </c>
      <c r="J6029" s="35">
        <v>5.7689402358540552E-3</v>
      </c>
      <c r="K6029" s="35">
        <v>-4.0608161735484796</v>
      </c>
      <c r="L6029" s="35">
        <v>2.7569548808433129</v>
      </c>
      <c r="M6029" s="58" t="s">
        <v>22</v>
      </c>
      <c r="N6029" s="7">
        <v>9.5</v>
      </c>
      <c r="O6029" s="7" t="s">
        <v>178</v>
      </c>
      <c r="P6029" s="7" t="s">
        <v>178</v>
      </c>
    </row>
    <row r="6030" spans="1:16" x14ac:dyDescent="0.25">
      <c r="A6030" t="s">
        <v>181</v>
      </c>
      <c r="B6030" t="s">
        <v>230</v>
      </c>
      <c r="C6030" s="7" t="s">
        <v>171</v>
      </c>
      <c r="D6030" t="s">
        <v>105</v>
      </c>
      <c r="F6030" s="35">
        <v>2</v>
      </c>
      <c r="G6030" s="35">
        <v>-16.970194027873799</v>
      </c>
      <c r="H6030" s="35">
        <v>1.051138983769409</v>
      </c>
      <c r="I6030" s="35">
        <v>-1.2557207623574012</v>
      </c>
      <c r="J6030" s="35">
        <v>5.7689402358540552E-3</v>
      </c>
      <c r="K6030" s="35">
        <v>-1.5493746488336779</v>
      </c>
      <c r="L6030" s="35">
        <v>0.65467691330449507</v>
      </c>
      <c r="M6030" s="58" t="s">
        <v>22</v>
      </c>
      <c r="N6030" s="7">
        <v>9.5</v>
      </c>
      <c r="O6030" s="7" t="s">
        <v>178</v>
      </c>
      <c r="P6030" s="7" t="s">
        <v>178</v>
      </c>
    </row>
    <row r="6031" spans="1:16" x14ac:dyDescent="0.25">
      <c r="A6031" t="s">
        <v>181</v>
      </c>
      <c r="B6031" t="s">
        <v>230</v>
      </c>
      <c r="C6031" s="7" t="s">
        <v>171</v>
      </c>
      <c r="D6031" t="s">
        <v>105</v>
      </c>
      <c r="F6031" s="35">
        <v>2</v>
      </c>
      <c r="G6031" s="35">
        <v>-15.935309465746785</v>
      </c>
      <c r="H6031" s="35">
        <v>-3.1729761018671428E-2</v>
      </c>
      <c r="I6031" s="35">
        <v>-1.2557189457180864</v>
      </c>
      <c r="J6031" s="35">
        <v>5.7448049371861109E-3</v>
      </c>
      <c r="K6031" s="35">
        <v>-1.549400393152256</v>
      </c>
      <c r="L6031" s="35">
        <v>0.65467691330449418</v>
      </c>
      <c r="M6031" s="58" t="s">
        <v>22</v>
      </c>
      <c r="N6031" s="7">
        <v>9.5</v>
      </c>
      <c r="O6031" s="7" t="s">
        <v>178</v>
      </c>
      <c r="P6031" s="7" t="s">
        <v>178</v>
      </c>
    </row>
    <row r="6032" spans="1:16" x14ac:dyDescent="0.25">
      <c r="A6032" t="s">
        <v>181</v>
      </c>
      <c r="B6032" t="s">
        <v>230</v>
      </c>
      <c r="C6032" s="7" t="s">
        <v>171</v>
      </c>
      <c r="D6032" t="s">
        <v>105</v>
      </c>
      <c r="F6032" s="35">
        <v>4.5</v>
      </c>
      <c r="G6032" s="35">
        <v>-14.569521965746784</v>
      </c>
      <c r="H6032" s="35">
        <v>-3.1729761018671428E-2</v>
      </c>
      <c r="I6032" s="35">
        <v>-1.2557189457180864</v>
      </c>
      <c r="J6032" s="35">
        <v>5.7448049371861109E-3</v>
      </c>
      <c r="K6032" s="35">
        <v>1.5898969711429598</v>
      </c>
      <c r="L6032" s="35">
        <v>0.73400131585117268</v>
      </c>
      <c r="M6032" s="58" t="s">
        <v>24</v>
      </c>
      <c r="N6032" s="7">
        <v>9.5</v>
      </c>
      <c r="O6032" s="7" t="s">
        <v>178</v>
      </c>
      <c r="P6032" s="7" t="s">
        <v>178</v>
      </c>
    </row>
    <row r="6033" spans="1:16" x14ac:dyDescent="0.25">
      <c r="A6033" t="s">
        <v>181</v>
      </c>
      <c r="B6033" t="s">
        <v>230</v>
      </c>
      <c r="C6033" s="7" t="s">
        <v>171</v>
      </c>
      <c r="D6033" t="s">
        <v>105</v>
      </c>
      <c r="F6033" s="35">
        <v>4.5</v>
      </c>
      <c r="G6033" s="35">
        <v>-13.783385545318671</v>
      </c>
      <c r="H6033" s="35">
        <v>-3.1660481754305546E-2</v>
      </c>
      <c r="I6033" s="35">
        <v>-1.2645287736693869</v>
      </c>
      <c r="J6033" s="35">
        <v>-5.0726046691389626E-3</v>
      </c>
      <c r="K6033" s="35">
        <v>1.5898927297015772</v>
      </c>
      <c r="L6033" s="35">
        <v>-0.24866834132373028</v>
      </c>
      <c r="M6033" s="58" t="s">
        <v>24</v>
      </c>
      <c r="N6033" s="7">
        <v>9.5</v>
      </c>
      <c r="O6033" s="7" t="s">
        <v>178</v>
      </c>
      <c r="P6033" s="7" t="s">
        <v>178</v>
      </c>
    </row>
    <row r="6034" spans="1:16" x14ac:dyDescent="0.25">
      <c r="A6034" t="s">
        <v>181</v>
      </c>
      <c r="B6034" t="s">
        <v>230</v>
      </c>
      <c r="C6034" s="7" t="s">
        <v>171</v>
      </c>
      <c r="D6034" t="s">
        <v>105</v>
      </c>
      <c r="F6034" s="35">
        <v>4.6226557908820691</v>
      </c>
      <c r="G6034" s="35">
        <v>-13.716376846922934</v>
      </c>
      <c r="H6034" s="35">
        <v>-3.1660481754305546E-2</v>
      </c>
      <c r="I6034" s="35">
        <v>-1.2645287736693869</v>
      </c>
      <c r="J6034" s="35">
        <v>-5.0726046691389626E-3</v>
      </c>
      <c r="K6034" s="35">
        <v>1.744994506529129</v>
      </c>
      <c r="L6034" s="35">
        <v>-0.2447849998944486</v>
      </c>
      <c r="M6034" s="58" t="s">
        <v>24</v>
      </c>
      <c r="N6034" s="7">
        <v>9.5</v>
      </c>
      <c r="O6034" s="7" t="s">
        <v>178</v>
      </c>
      <c r="P6034" s="7" t="s">
        <v>178</v>
      </c>
    </row>
    <row r="6035" spans="1:16" x14ac:dyDescent="0.25">
      <c r="A6035" t="s">
        <v>181</v>
      </c>
      <c r="B6035" t="s">
        <v>230</v>
      </c>
      <c r="C6035" s="7" t="s">
        <v>171</v>
      </c>
      <c r="D6035" t="s">
        <v>105</v>
      </c>
      <c r="F6035" s="35">
        <v>9.2453115817641383</v>
      </c>
      <c r="G6035" s="35">
        <v>-11.190950648527197</v>
      </c>
      <c r="H6035" s="35">
        <v>-3.1660481754305546E-2</v>
      </c>
      <c r="I6035" s="35">
        <v>-1.2645287736693869</v>
      </c>
      <c r="J6035" s="35">
        <v>-5.0726046691389626E-3</v>
      </c>
      <c r="K6035" s="35">
        <v>7.5904757648689207</v>
      </c>
      <c r="L6035" s="35">
        <v>-9.8429490570792005E-2</v>
      </c>
      <c r="M6035" s="58" t="s">
        <v>23</v>
      </c>
      <c r="N6035" s="7">
        <v>9.5</v>
      </c>
      <c r="O6035" s="7" t="s">
        <v>178</v>
      </c>
      <c r="P6035" s="7" t="s">
        <v>178</v>
      </c>
    </row>
    <row r="6036" spans="1:16" x14ac:dyDescent="0.25">
      <c r="A6036" t="s">
        <v>181</v>
      </c>
      <c r="B6036" t="s">
        <v>230</v>
      </c>
      <c r="C6036" s="7" t="s">
        <v>171</v>
      </c>
      <c r="D6036" t="s">
        <v>15</v>
      </c>
      <c r="F6036" s="35">
        <v>0</v>
      </c>
      <c r="G6036" s="35">
        <v>-1.8979317447596254E-2</v>
      </c>
      <c r="H6036" s="35">
        <v>16.349197138878157</v>
      </c>
      <c r="I6036" s="35">
        <v>-9.3481380473830598</v>
      </c>
      <c r="J6036" s="35">
        <v>5.4055283600245915E-3</v>
      </c>
      <c r="K6036" s="35">
        <v>-13.915839763089057</v>
      </c>
      <c r="L6036" s="35">
        <v>33.319210045701951</v>
      </c>
      <c r="M6036" s="58" t="s">
        <v>22</v>
      </c>
      <c r="N6036" s="7">
        <v>9.5</v>
      </c>
      <c r="O6036" s="7" t="s">
        <v>178</v>
      </c>
      <c r="P6036" s="7" t="s">
        <v>178</v>
      </c>
    </row>
    <row r="6037" spans="1:16" x14ac:dyDescent="0.25">
      <c r="A6037" t="s">
        <v>181</v>
      </c>
      <c r="B6037" t="s">
        <v>230</v>
      </c>
      <c r="C6037" s="7" t="s">
        <v>171</v>
      </c>
      <c r="D6037" t="s">
        <v>15</v>
      </c>
      <c r="F6037" s="35">
        <v>2</v>
      </c>
      <c r="G6037" s="35">
        <v>1.0736506825524046</v>
      </c>
      <c r="H6037" s="35">
        <v>12.947197138878156</v>
      </c>
      <c r="I6037" s="35">
        <v>-5.1481380473830605</v>
      </c>
      <c r="J6037" s="35">
        <v>5.4055283600245915E-3</v>
      </c>
      <c r="K6037" s="35">
        <v>0.58043633167706343</v>
      </c>
      <c r="L6037" s="35">
        <v>4.0228157679456427</v>
      </c>
      <c r="M6037" s="58" t="s">
        <v>22</v>
      </c>
      <c r="N6037" s="7">
        <v>9.5</v>
      </c>
      <c r="O6037" s="7" t="s">
        <v>178</v>
      </c>
      <c r="P6037" s="7" t="s">
        <v>178</v>
      </c>
    </row>
    <row r="6038" spans="1:16" x14ac:dyDescent="0.25">
      <c r="A6038" t="s">
        <v>181</v>
      </c>
      <c r="B6038" t="s">
        <v>230</v>
      </c>
      <c r="C6038" s="7" t="s">
        <v>171</v>
      </c>
      <c r="D6038" t="s">
        <v>15</v>
      </c>
      <c r="F6038" s="35">
        <v>2</v>
      </c>
      <c r="G6038" s="35">
        <v>6.8598776445698642</v>
      </c>
      <c r="H6038" s="35">
        <v>6.7962245031928612</v>
      </c>
      <c r="I6038" s="35">
        <v>-5.1481407482759165</v>
      </c>
      <c r="J6038" s="35">
        <v>5.4131628211711233E-3</v>
      </c>
      <c r="K6038" s="35">
        <v>0.58044447510228059</v>
      </c>
      <c r="L6038" s="35">
        <v>4.0228157679456524</v>
      </c>
      <c r="M6038" s="58" t="s">
        <v>22</v>
      </c>
      <c r="N6038" s="7">
        <v>9.5</v>
      </c>
      <c r="O6038" s="7" t="s">
        <v>178</v>
      </c>
      <c r="P6038" s="7" t="s">
        <v>178</v>
      </c>
    </row>
    <row r="6039" spans="1:16" x14ac:dyDescent="0.25">
      <c r="A6039" t="s">
        <v>181</v>
      </c>
      <c r="B6039" t="s">
        <v>230</v>
      </c>
      <c r="C6039" s="7" t="s">
        <v>171</v>
      </c>
      <c r="D6039" t="s">
        <v>15</v>
      </c>
      <c r="F6039" s="35">
        <v>4.5</v>
      </c>
      <c r="G6039" s="35">
        <v>8.2256651445698648</v>
      </c>
      <c r="H6039" s="35">
        <v>2.5437245031928599</v>
      </c>
      <c r="I6039" s="35">
        <v>0.10185925172408336</v>
      </c>
      <c r="J6039" s="35">
        <v>5.4131628211711233E-3</v>
      </c>
      <c r="K6039" s="35">
        <v>6.8882963457920718</v>
      </c>
      <c r="L6039" s="35">
        <v>-7.6521204900364967</v>
      </c>
      <c r="M6039" s="58" t="s">
        <v>24</v>
      </c>
      <c r="N6039" s="7">
        <v>9.5</v>
      </c>
      <c r="O6039" s="7" t="s">
        <v>178</v>
      </c>
      <c r="P6039" s="7" t="s">
        <v>178</v>
      </c>
    </row>
    <row r="6040" spans="1:16" x14ac:dyDescent="0.25">
      <c r="A6040" t="s">
        <v>181</v>
      </c>
      <c r="B6040" t="s">
        <v>230</v>
      </c>
      <c r="C6040" s="7" t="s">
        <v>171</v>
      </c>
      <c r="D6040" t="s">
        <v>15</v>
      </c>
      <c r="F6040" s="35">
        <v>4.5</v>
      </c>
      <c r="G6040" s="35">
        <v>9.0118014264344772</v>
      </c>
      <c r="H6040" s="35">
        <v>2.543549958859082</v>
      </c>
      <c r="I6040" s="35">
        <v>8.9911620990760735E-2</v>
      </c>
      <c r="J6040" s="35">
        <v>-8.0856519599931519E-3</v>
      </c>
      <c r="K6040" s="35">
        <v>6.888296131230554</v>
      </c>
      <c r="L6040" s="35">
        <v>-8.6348587686232285</v>
      </c>
      <c r="M6040" s="58" t="s">
        <v>24</v>
      </c>
      <c r="N6040" s="7">
        <v>9.5</v>
      </c>
      <c r="O6040" s="7" t="s">
        <v>178</v>
      </c>
      <c r="P6040" s="7" t="s">
        <v>178</v>
      </c>
    </row>
    <row r="6041" spans="1:16" x14ac:dyDescent="0.25">
      <c r="A6041" t="s">
        <v>181</v>
      </c>
      <c r="B6041" t="s">
        <v>230</v>
      </c>
      <c r="C6041" s="7" t="s">
        <v>171</v>
      </c>
      <c r="D6041" t="s">
        <v>15</v>
      </c>
      <c r="F6041" s="35">
        <v>4.6226557908820691</v>
      </c>
      <c r="G6041" s="35">
        <v>9.0788101248302144</v>
      </c>
      <c r="H6041" s="35">
        <v>2.3349124585686822</v>
      </c>
      <c r="I6041" s="35">
        <v>0.34748878184310583</v>
      </c>
      <c r="J6041" s="35">
        <v>-8.0856519599931519E-3</v>
      </c>
      <c r="K6041" s="35">
        <v>6.8614712850596922</v>
      </c>
      <c r="L6041" s="35">
        <v>-8.934044601672257</v>
      </c>
      <c r="M6041" s="58" t="s">
        <v>24</v>
      </c>
      <c r="N6041" s="7">
        <v>9.5</v>
      </c>
      <c r="O6041" s="7" t="s">
        <v>178</v>
      </c>
      <c r="P6041" s="7" t="s">
        <v>178</v>
      </c>
    </row>
    <row r="6042" spans="1:16" x14ac:dyDescent="0.25">
      <c r="A6042" t="s">
        <v>181</v>
      </c>
      <c r="B6042" t="s">
        <v>230</v>
      </c>
      <c r="C6042" s="7" t="s">
        <v>171</v>
      </c>
      <c r="D6042" t="s">
        <v>15</v>
      </c>
      <c r="F6042" s="35">
        <v>9.2453115817641383</v>
      </c>
      <c r="G6042" s="35">
        <v>11.604236323225949</v>
      </c>
      <c r="H6042" s="35">
        <v>-5.5282250417217185</v>
      </c>
      <c r="I6042" s="35">
        <v>10.05506594269545</v>
      </c>
      <c r="J6042" s="35">
        <v>-8.0856519599931519E-3</v>
      </c>
      <c r="K6042" s="35">
        <v>-17.182243633618199</v>
      </c>
      <c r="L6042" s="35">
        <v>-1.5532521493677778</v>
      </c>
      <c r="M6042" s="58" t="s">
        <v>23</v>
      </c>
      <c r="N6042" s="7">
        <v>9.5</v>
      </c>
      <c r="O6042" s="7" t="s">
        <v>178</v>
      </c>
      <c r="P6042" s="7" t="s">
        <v>178</v>
      </c>
    </row>
    <row r="6043" spans="1:16" x14ac:dyDescent="0.25">
      <c r="A6043" t="s">
        <v>181</v>
      </c>
      <c r="B6043" t="s">
        <v>230</v>
      </c>
      <c r="C6043" s="7" t="s">
        <v>171</v>
      </c>
      <c r="D6043" t="s">
        <v>16</v>
      </c>
      <c r="F6043" s="35">
        <v>0</v>
      </c>
      <c r="G6043" s="35">
        <v>-9.9309971441227773</v>
      </c>
      <c r="H6043" s="35">
        <v>8.7766354249504097</v>
      </c>
      <c r="I6043" s="35">
        <v>-4.2528358859263102</v>
      </c>
      <c r="J6043" s="35">
        <v>3.6533181599246334E-3</v>
      </c>
      <c r="K6043" s="35">
        <v>-6.5969649744010601</v>
      </c>
      <c r="L6043" s="35">
        <v>18.881952927946205</v>
      </c>
      <c r="M6043" s="58" t="s">
        <v>22</v>
      </c>
      <c r="N6043" s="7">
        <v>9.5</v>
      </c>
      <c r="O6043" s="7" t="s">
        <v>178</v>
      </c>
      <c r="P6043" s="7" t="s">
        <v>178</v>
      </c>
    </row>
    <row r="6044" spans="1:16" x14ac:dyDescent="0.25">
      <c r="A6044" t="s">
        <v>181</v>
      </c>
      <c r="B6044" t="s">
        <v>230</v>
      </c>
      <c r="C6044" s="7" t="s">
        <v>171</v>
      </c>
      <c r="D6044" t="s">
        <v>16</v>
      </c>
      <c r="F6044" s="35">
        <v>2</v>
      </c>
      <c r="G6044" s="35">
        <v>-8.8383671441227758</v>
      </c>
      <c r="H6044" s="35">
        <v>8.0206354249504095</v>
      </c>
      <c r="I6044" s="35">
        <v>-2.4048358859263099</v>
      </c>
      <c r="J6044" s="35">
        <v>3.6533181599246334E-3</v>
      </c>
      <c r="K6044" s="35">
        <v>6.0706797451559789E-2</v>
      </c>
      <c r="L6044" s="35">
        <v>2.0846820780453892</v>
      </c>
      <c r="M6044" s="58" t="s">
        <v>22</v>
      </c>
      <c r="N6044" s="7">
        <v>9.5</v>
      </c>
      <c r="O6044" s="7" t="s">
        <v>178</v>
      </c>
      <c r="P6044" s="7" t="s">
        <v>178</v>
      </c>
    </row>
    <row r="6045" spans="1:16" x14ac:dyDescent="0.25">
      <c r="A6045" t="s">
        <v>181</v>
      </c>
      <c r="B6045" t="s">
        <v>230</v>
      </c>
      <c r="C6045" s="7" t="s">
        <v>171</v>
      </c>
      <c r="D6045" t="s">
        <v>16</v>
      </c>
      <c r="F6045" s="35">
        <v>2</v>
      </c>
      <c r="G6045" s="35">
        <v>-2.7772509067421494</v>
      </c>
      <c r="H6045" s="35">
        <v>1.576446478432312</v>
      </c>
      <c r="I6045" s="35">
        <v>-2.404837313543418</v>
      </c>
      <c r="J6045" s="35">
        <v>3.6554063919928249E-3</v>
      </c>
      <c r="K6045" s="35">
        <v>6.0709024899092252E-2</v>
      </c>
      <c r="L6045" s="35">
        <v>2.0846820780453887</v>
      </c>
      <c r="M6045" s="58" t="s">
        <v>22</v>
      </c>
      <c r="N6045" s="7">
        <v>9.5</v>
      </c>
      <c r="O6045" s="7" t="s">
        <v>178</v>
      </c>
      <c r="P6045" s="7" t="s">
        <v>178</v>
      </c>
    </row>
    <row r="6046" spans="1:16" x14ac:dyDescent="0.25">
      <c r="A6046" t="s">
        <v>181</v>
      </c>
      <c r="B6046" t="s">
        <v>230</v>
      </c>
      <c r="C6046" s="7" t="s">
        <v>171</v>
      </c>
      <c r="D6046" t="s">
        <v>16</v>
      </c>
      <c r="F6046" s="35">
        <v>4.5</v>
      </c>
      <c r="G6046" s="35">
        <v>-1.411463406742149</v>
      </c>
      <c r="H6046" s="35">
        <v>0.63144647843231194</v>
      </c>
      <c r="I6046" s="35">
        <v>-9.4837313543417942E-2</v>
      </c>
      <c r="J6046" s="35">
        <v>3.6554063919928249E-3</v>
      </c>
      <c r="K6046" s="35">
        <v>3.1853023087576369</v>
      </c>
      <c r="L6046" s="35">
        <v>-0.67518411803539069</v>
      </c>
      <c r="M6046" s="58" t="s">
        <v>24</v>
      </c>
      <c r="N6046" s="7">
        <v>9.5</v>
      </c>
      <c r="O6046" s="7" t="s">
        <v>178</v>
      </c>
      <c r="P6046" s="7" t="s">
        <v>178</v>
      </c>
    </row>
    <row r="6047" spans="1:16" x14ac:dyDescent="0.25">
      <c r="A6047" t="s">
        <v>181</v>
      </c>
      <c r="B6047" t="s">
        <v>230</v>
      </c>
      <c r="C6047" s="7" t="s">
        <v>171</v>
      </c>
      <c r="D6047" t="s">
        <v>16</v>
      </c>
      <c r="F6047" s="35">
        <v>4.5</v>
      </c>
      <c r="G6047" s="35">
        <v>-0.62532731270064579</v>
      </c>
      <c r="H6047" s="35">
        <v>0.63150932393971637</v>
      </c>
      <c r="I6047" s="35">
        <v>-0.10097115670023428</v>
      </c>
      <c r="J6047" s="35">
        <v>-3.9586513839815979E-3</v>
      </c>
      <c r="K6047" s="35">
        <v>3.1853023301154479</v>
      </c>
      <c r="L6047" s="35">
        <v>-1.6578670408985214</v>
      </c>
      <c r="M6047" s="58" t="s">
        <v>24</v>
      </c>
      <c r="N6047" s="7">
        <v>9.5</v>
      </c>
      <c r="O6047" s="7" t="s">
        <v>178</v>
      </c>
      <c r="P6047" s="7" t="s">
        <v>178</v>
      </c>
    </row>
    <row r="6048" spans="1:16" x14ac:dyDescent="0.25">
      <c r="A6048" t="s">
        <v>181</v>
      </c>
      <c r="B6048" t="s">
        <v>230</v>
      </c>
      <c r="C6048" s="7" t="s">
        <v>171</v>
      </c>
      <c r="D6048" t="s">
        <v>16</v>
      </c>
      <c r="F6048" s="35">
        <v>4.6226557908820691</v>
      </c>
      <c r="G6048" s="35">
        <v>-0.5583186143049087</v>
      </c>
      <c r="H6048" s="35">
        <v>0.58514543498629423</v>
      </c>
      <c r="I6048" s="35">
        <v>1.2362794074797645E-2</v>
      </c>
      <c r="J6048" s="35">
        <v>-3.9586513839815979E-3</v>
      </c>
      <c r="K6048" s="35">
        <v>3.1907364945137422</v>
      </c>
      <c r="L6048" s="35">
        <v>-1.7324819167417731</v>
      </c>
      <c r="M6048" s="58" t="s">
        <v>24</v>
      </c>
      <c r="N6048" s="7">
        <v>9.5</v>
      </c>
      <c r="O6048" s="7" t="s">
        <v>178</v>
      </c>
      <c r="P6048" s="7" t="s">
        <v>178</v>
      </c>
    </row>
    <row r="6049" spans="1:16" x14ac:dyDescent="0.25">
      <c r="A6049" t="s">
        <v>181</v>
      </c>
      <c r="B6049" t="s">
        <v>230</v>
      </c>
      <c r="C6049" s="7" t="s">
        <v>171</v>
      </c>
      <c r="D6049" t="s">
        <v>16</v>
      </c>
      <c r="F6049" s="35">
        <v>9.2453115817641383</v>
      </c>
      <c r="G6049" s="35">
        <v>1.9671075840908285</v>
      </c>
      <c r="H6049" s="35">
        <v>-1.1622184539671276</v>
      </c>
      <c r="I6049" s="35">
        <v>4.2836967448498298</v>
      </c>
      <c r="J6049" s="35">
        <v>-3.9586513839815979E-3</v>
      </c>
      <c r="K6049" s="35">
        <v>-6.7388657582782967</v>
      </c>
      <c r="L6049" s="35">
        <v>-0.39867695026499905</v>
      </c>
      <c r="M6049" s="58" t="s">
        <v>23</v>
      </c>
      <c r="N6049" s="7">
        <v>9.5</v>
      </c>
      <c r="O6049" s="7" t="s">
        <v>178</v>
      </c>
      <c r="P6049" s="7" t="s">
        <v>178</v>
      </c>
    </row>
    <row r="6050" spans="1:16" x14ac:dyDescent="0.25">
      <c r="A6050" t="s">
        <v>181</v>
      </c>
      <c r="B6050" t="s">
        <v>230</v>
      </c>
      <c r="C6050" s="7" t="s">
        <v>171</v>
      </c>
      <c r="D6050" t="s">
        <v>106</v>
      </c>
      <c r="F6050" s="35">
        <v>0</v>
      </c>
      <c r="G6050" s="35">
        <v>47.586624910509201</v>
      </c>
      <c r="H6050" s="35">
        <v>-18.498168371934966</v>
      </c>
      <c r="I6050" s="35">
        <v>-17.167180444753235</v>
      </c>
      <c r="J6050" s="35">
        <v>9.9129265656890831E-3</v>
      </c>
      <c r="K6050" s="35">
        <v>-23.41396453812628</v>
      </c>
      <c r="L6050" s="35">
        <v>-35.383714371602899</v>
      </c>
      <c r="M6050" s="58" t="s">
        <v>22</v>
      </c>
      <c r="N6050" s="7">
        <v>9.5</v>
      </c>
      <c r="O6050" s="7" t="s">
        <v>178</v>
      </c>
      <c r="P6050" s="7" t="s">
        <v>178</v>
      </c>
    </row>
    <row r="6051" spans="1:16" x14ac:dyDescent="0.25">
      <c r="A6051" t="s">
        <v>181</v>
      </c>
      <c r="B6051" t="s">
        <v>230</v>
      </c>
      <c r="C6051" s="7" t="s">
        <v>171</v>
      </c>
      <c r="D6051" t="s">
        <v>106</v>
      </c>
      <c r="F6051" s="35">
        <v>2</v>
      </c>
      <c r="G6051" s="35">
        <v>48.679254910509208</v>
      </c>
      <c r="H6051" s="35">
        <v>-15.096168371934965</v>
      </c>
      <c r="I6051" s="35">
        <v>-8.9351804447532306</v>
      </c>
      <c r="J6051" s="35">
        <v>9.9129265656890831E-3</v>
      </c>
      <c r="K6051" s="35">
        <v>2.688396351380181</v>
      </c>
      <c r="L6051" s="35">
        <v>-1.7893776277329703</v>
      </c>
      <c r="M6051" s="58" t="s">
        <v>22</v>
      </c>
      <c r="N6051" s="7">
        <v>9.5</v>
      </c>
      <c r="O6051" s="7" t="s">
        <v>178</v>
      </c>
      <c r="P6051" s="7" t="s">
        <v>178</v>
      </c>
    </row>
    <row r="6052" spans="1:16" x14ac:dyDescent="0.25">
      <c r="A6052" t="s">
        <v>181</v>
      </c>
      <c r="B6052" t="s">
        <v>230</v>
      </c>
      <c r="C6052" s="7" t="s">
        <v>171</v>
      </c>
      <c r="D6052" t="s">
        <v>106</v>
      </c>
      <c r="F6052" s="35">
        <v>2</v>
      </c>
      <c r="G6052" s="35">
        <v>40.861791927781496</v>
      </c>
      <c r="H6052" s="35">
        <v>-6.736524761014679</v>
      </c>
      <c r="I6052" s="35">
        <v>-8.9351979500184786</v>
      </c>
      <c r="J6052" s="35">
        <v>9.9312507710086657E-3</v>
      </c>
      <c r="K6052" s="35">
        <v>2.6884158971991776</v>
      </c>
      <c r="L6052" s="35">
        <v>-1.7893776277329987</v>
      </c>
      <c r="M6052" s="58" t="s">
        <v>22</v>
      </c>
      <c r="N6052" s="7">
        <v>9.5</v>
      </c>
      <c r="O6052" s="7" t="s">
        <v>178</v>
      </c>
      <c r="P6052" s="7" t="s">
        <v>178</v>
      </c>
    </row>
    <row r="6053" spans="1:16" x14ac:dyDescent="0.25">
      <c r="A6053" t="s">
        <v>181</v>
      </c>
      <c r="B6053" t="s">
        <v>230</v>
      </c>
      <c r="C6053" s="7" t="s">
        <v>171</v>
      </c>
      <c r="D6053" t="s">
        <v>106</v>
      </c>
      <c r="F6053" s="35">
        <v>4.5</v>
      </c>
      <c r="G6053" s="35">
        <v>42.227579427781492</v>
      </c>
      <c r="H6053" s="35">
        <v>-2.4840247610146777</v>
      </c>
      <c r="I6053" s="35">
        <v>1.3548020499815208</v>
      </c>
      <c r="J6053" s="35">
        <v>9.9312507710086657E-3</v>
      </c>
      <c r="K6053" s="35">
        <v>12.163910772245377</v>
      </c>
      <c r="L6053" s="35">
        <v>9.7363092748036966</v>
      </c>
      <c r="M6053" s="58" t="s">
        <v>24</v>
      </c>
      <c r="N6053" s="7">
        <v>9.5</v>
      </c>
      <c r="O6053" s="7" t="s">
        <v>178</v>
      </c>
      <c r="P6053" s="7" t="s">
        <v>178</v>
      </c>
    </row>
    <row r="6054" spans="1:16" x14ac:dyDescent="0.25">
      <c r="A6054" t="s">
        <v>181</v>
      </c>
      <c r="B6054" t="s">
        <v>230</v>
      </c>
      <c r="C6054" s="7" t="s">
        <v>171</v>
      </c>
      <c r="D6054" t="s">
        <v>106</v>
      </c>
      <c r="F6054" s="35">
        <v>4.5</v>
      </c>
      <c r="G6054" s="35">
        <v>43.013714912129281</v>
      </c>
      <c r="H6054" s="35">
        <v>-2.4837376853549755</v>
      </c>
      <c r="I6054" s="35">
        <v>1.3429914590914978</v>
      </c>
      <c r="J6054" s="35">
        <v>-5.4074674509828578E-3</v>
      </c>
      <c r="K6054" s="35">
        <v>12.16391789778084</v>
      </c>
      <c r="L6054" s="35">
        <v>8.7537095738354758</v>
      </c>
      <c r="M6054" s="58" t="s">
        <v>24</v>
      </c>
      <c r="N6054" s="7">
        <v>9.5</v>
      </c>
      <c r="O6054" s="7" t="s">
        <v>178</v>
      </c>
      <c r="P6054" s="7" t="s">
        <v>178</v>
      </c>
    </row>
    <row r="6055" spans="1:16" x14ac:dyDescent="0.25">
      <c r="A6055" t="s">
        <v>181</v>
      </c>
      <c r="B6055" t="s">
        <v>230</v>
      </c>
      <c r="C6055" s="7" t="s">
        <v>171</v>
      </c>
      <c r="D6055" t="s">
        <v>106</v>
      </c>
      <c r="F6055" s="35">
        <v>4.6226557908820691</v>
      </c>
      <c r="G6055" s="35">
        <v>43.08072361052502</v>
      </c>
      <c r="H6055" s="35">
        <v>-2.2751001850645758</v>
      </c>
      <c r="I6055" s="35">
        <v>1.8478426943620945</v>
      </c>
      <c r="J6055" s="35">
        <v>-5.4074674509828578E-3</v>
      </c>
      <c r="K6055" s="35">
        <v>11.968230754448157</v>
      </c>
      <c r="L6055" s="35">
        <v>9.0455590851733998</v>
      </c>
      <c r="M6055" s="58" t="s">
        <v>24</v>
      </c>
      <c r="N6055" s="7">
        <v>9.5</v>
      </c>
      <c r="O6055" s="7" t="s">
        <v>178</v>
      </c>
      <c r="P6055" s="7" t="s">
        <v>178</v>
      </c>
    </row>
    <row r="6056" spans="1:16" x14ac:dyDescent="0.25">
      <c r="A6056" t="s">
        <v>181</v>
      </c>
      <c r="B6056" t="s">
        <v>230</v>
      </c>
      <c r="C6056" s="7" t="s">
        <v>171</v>
      </c>
      <c r="D6056" t="s">
        <v>106</v>
      </c>
      <c r="F6056" s="35">
        <v>9.2453115817641383</v>
      </c>
      <c r="G6056" s="35">
        <v>45.606149808920748</v>
      </c>
      <c r="H6056" s="35">
        <v>5.5880373152258249</v>
      </c>
      <c r="I6056" s="35">
        <v>20.874693929632691</v>
      </c>
      <c r="J6056" s="35">
        <v>-5.4074674509828578E-3</v>
      </c>
      <c r="K6056" s="35">
        <v>-40.551001999771529</v>
      </c>
      <c r="L6056" s="35">
        <v>1.3882750803893402</v>
      </c>
      <c r="M6056" s="58" t="s">
        <v>23</v>
      </c>
      <c r="N6056" s="7">
        <v>9.5</v>
      </c>
      <c r="O6056" s="7" t="s">
        <v>178</v>
      </c>
      <c r="P6056" s="7" t="s">
        <v>178</v>
      </c>
    </row>
    <row r="6057" spans="1:16" x14ac:dyDescent="0.25">
      <c r="A6057" t="s">
        <v>181</v>
      </c>
      <c r="B6057" t="s">
        <v>230</v>
      </c>
      <c r="C6057" s="7" t="s">
        <v>171</v>
      </c>
      <c r="D6057" t="s">
        <v>107</v>
      </c>
      <c r="F6057" s="35">
        <v>0</v>
      </c>
      <c r="G6057" s="35">
        <v>37.337769501392735</v>
      </c>
      <c r="H6057" s="35">
        <v>-26.074374951634905</v>
      </c>
      <c r="I6057" s="35">
        <v>-12.1123892454412</v>
      </c>
      <c r="J6057" s="35">
        <v>8.4180151421173553E-3</v>
      </c>
      <c r="K6057" s="35">
        <v>-16.222444627822576</v>
      </c>
      <c r="L6057" s="35">
        <v>-49.831398375747611</v>
      </c>
      <c r="M6057" s="58" t="s">
        <v>22</v>
      </c>
      <c r="N6057" s="7">
        <v>9.5</v>
      </c>
      <c r="O6057" s="7" t="s">
        <v>178</v>
      </c>
      <c r="P6057" s="7" t="s">
        <v>178</v>
      </c>
    </row>
    <row r="6058" spans="1:16" x14ac:dyDescent="0.25">
      <c r="A6058" t="s">
        <v>181</v>
      </c>
      <c r="B6058" t="s">
        <v>230</v>
      </c>
      <c r="C6058" s="7" t="s">
        <v>171</v>
      </c>
      <c r="D6058" t="s">
        <v>107</v>
      </c>
      <c r="F6058" s="35">
        <v>2</v>
      </c>
      <c r="G6058" s="35">
        <v>38.430399501392742</v>
      </c>
      <c r="H6058" s="35">
        <v>-20.026374951634907</v>
      </c>
      <c r="I6058" s="35">
        <v>-6.2323892454411984</v>
      </c>
      <c r="J6058" s="35">
        <v>8.4180151421173553E-3</v>
      </c>
      <c r="K6058" s="35">
        <v>2.1223338630598221</v>
      </c>
      <c r="L6058" s="35">
        <v>-3.730648472477804</v>
      </c>
      <c r="M6058" s="58" t="s">
        <v>22</v>
      </c>
      <c r="N6058" s="7">
        <v>9.5</v>
      </c>
      <c r="O6058" s="7" t="s">
        <v>178</v>
      </c>
      <c r="P6058" s="7" t="s">
        <v>178</v>
      </c>
    </row>
    <row r="6059" spans="1:16" x14ac:dyDescent="0.25">
      <c r="A6059" t="s">
        <v>181</v>
      </c>
      <c r="B6059" t="s">
        <v>230</v>
      </c>
      <c r="C6059" s="7" t="s">
        <v>171</v>
      </c>
      <c r="D6059" t="s">
        <v>107</v>
      </c>
      <c r="F6059" s="35">
        <v>2</v>
      </c>
      <c r="G6059" s="35">
        <v>30.884806143590236</v>
      </c>
      <c r="H6059" s="35">
        <v>-11.956726676549984</v>
      </c>
      <c r="I6059" s="35">
        <v>-6.2324053413359302</v>
      </c>
      <c r="J6059" s="35">
        <v>8.4306210018048975E-3</v>
      </c>
      <c r="K6059" s="35">
        <v>2.1223473093101459</v>
      </c>
      <c r="L6059" s="35">
        <v>-3.7306484724777693</v>
      </c>
      <c r="M6059" s="58" t="s">
        <v>22</v>
      </c>
      <c r="N6059" s="7">
        <v>9.5</v>
      </c>
      <c r="O6059" s="7" t="s">
        <v>178</v>
      </c>
      <c r="P6059" s="7" t="s">
        <v>178</v>
      </c>
    </row>
    <row r="6060" spans="1:16" x14ac:dyDescent="0.25">
      <c r="A6060" t="s">
        <v>181</v>
      </c>
      <c r="B6060" t="s">
        <v>230</v>
      </c>
      <c r="C6060" s="7" t="s">
        <v>171</v>
      </c>
      <c r="D6060" t="s">
        <v>107</v>
      </c>
      <c r="F6060" s="35">
        <v>4.5</v>
      </c>
      <c r="G6060" s="35">
        <v>32.250593643590236</v>
      </c>
      <c r="H6060" s="35">
        <v>-4.3967266765499842</v>
      </c>
      <c r="I6060" s="35">
        <v>1.1175946586640686</v>
      </c>
      <c r="J6060" s="35">
        <v>8.4306210018048975E-3</v>
      </c>
      <c r="K6060" s="35">
        <v>8.515860662649974</v>
      </c>
      <c r="L6060" s="35">
        <v>16.711168218897189</v>
      </c>
      <c r="M6060" s="58" t="s">
        <v>24</v>
      </c>
      <c r="N6060" s="7">
        <v>9.5</v>
      </c>
      <c r="O6060" s="7" t="s">
        <v>178</v>
      </c>
      <c r="P6060" s="7" t="s">
        <v>178</v>
      </c>
    </row>
    <row r="6061" spans="1:16" x14ac:dyDescent="0.25">
      <c r="A6061" t="s">
        <v>181</v>
      </c>
      <c r="B6061" t="s">
        <v>230</v>
      </c>
      <c r="C6061" s="7" t="s">
        <v>171</v>
      </c>
      <c r="D6061" t="s">
        <v>107</v>
      </c>
      <c r="F6061" s="35">
        <v>4.5</v>
      </c>
      <c r="G6061" s="35">
        <v>33.036728945277098</v>
      </c>
      <c r="H6061" s="35">
        <v>-4.3961983145687915</v>
      </c>
      <c r="I6061" s="35">
        <v>1.111202927260321</v>
      </c>
      <c r="J6061" s="35">
        <v>-1.5118761663528134E-3</v>
      </c>
      <c r="K6061" s="35">
        <v>8.5158678727104693</v>
      </c>
      <c r="L6061" s="35">
        <v>15.728623831839892</v>
      </c>
      <c r="M6061" s="58" t="s">
        <v>24</v>
      </c>
      <c r="N6061" s="7">
        <v>9.5</v>
      </c>
      <c r="O6061" s="7" t="s">
        <v>178</v>
      </c>
      <c r="P6061" s="7" t="s">
        <v>178</v>
      </c>
    </row>
    <row r="6062" spans="1:16" x14ac:dyDescent="0.25">
      <c r="A6062" t="s">
        <v>181</v>
      </c>
      <c r="B6062" t="s">
        <v>230</v>
      </c>
      <c r="C6062" s="7" t="s">
        <v>171</v>
      </c>
      <c r="D6062" t="s">
        <v>107</v>
      </c>
      <c r="F6062" s="35">
        <v>4.6226557908820691</v>
      </c>
      <c r="G6062" s="35">
        <v>33.103737643672837</v>
      </c>
      <c r="H6062" s="35">
        <v>-4.0252872029414144</v>
      </c>
      <c r="I6062" s="35">
        <v>1.4718109524536043</v>
      </c>
      <c r="J6062" s="35">
        <v>-1.5118761663528134E-3</v>
      </c>
      <c r="K6062" s="35">
        <v>8.3574570675726338</v>
      </c>
      <c r="L6062" s="35">
        <v>16.245095815115945</v>
      </c>
      <c r="M6062" s="58" t="s">
        <v>24</v>
      </c>
      <c r="N6062" s="7">
        <v>9.5</v>
      </c>
      <c r="O6062" s="7" t="s">
        <v>178</v>
      </c>
      <c r="P6062" s="7" t="s">
        <v>178</v>
      </c>
    </row>
    <row r="6063" spans="1:16" x14ac:dyDescent="0.25">
      <c r="A6063" t="s">
        <v>181</v>
      </c>
      <c r="B6063" t="s">
        <v>230</v>
      </c>
      <c r="C6063" s="7" t="s">
        <v>171</v>
      </c>
      <c r="D6063" t="s">
        <v>107</v>
      </c>
      <c r="F6063" s="35">
        <v>9.2453115817641383</v>
      </c>
      <c r="G6063" s="35">
        <v>35.629163842068571</v>
      </c>
      <c r="H6063" s="35">
        <v>9.9536239086859624</v>
      </c>
      <c r="I6063" s="35">
        <v>15.062418977646885</v>
      </c>
      <c r="J6063" s="35">
        <v>-1.5118761663528134E-3</v>
      </c>
      <c r="K6063" s="35">
        <v>-29.858569799504686</v>
      </c>
      <c r="L6063" s="35">
        <v>2.5427658135615721</v>
      </c>
      <c r="M6063" s="58" t="s">
        <v>23</v>
      </c>
      <c r="N6063" s="7">
        <v>9.5</v>
      </c>
      <c r="O6063" s="7" t="s">
        <v>178</v>
      </c>
      <c r="P6063" s="7" t="s">
        <v>178</v>
      </c>
    </row>
    <row r="6064" spans="1:16" x14ac:dyDescent="0.25">
      <c r="A6064" t="s">
        <v>181</v>
      </c>
      <c r="B6064" t="s">
        <v>230</v>
      </c>
      <c r="C6064" s="7" t="s">
        <v>171</v>
      </c>
      <c r="D6064" t="s">
        <v>108</v>
      </c>
      <c r="F6064" s="35">
        <v>0</v>
      </c>
      <c r="G6064" s="35">
        <v>18.602490526435698</v>
      </c>
      <c r="H6064" s="35">
        <v>26.776737121898755</v>
      </c>
      <c r="I6064" s="35">
        <v>12.127477426001743</v>
      </c>
      <c r="J6064" s="35">
        <v>-2.8134291570533293E-2</v>
      </c>
      <c r="K6064" s="35">
        <v>30.573071066937977</v>
      </c>
      <c r="L6064" s="35">
        <v>51.481650547959362</v>
      </c>
      <c r="M6064" s="58" t="s">
        <v>22</v>
      </c>
      <c r="N6064" s="7">
        <v>9.5</v>
      </c>
      <c r="O6064" s="7" t="s">
        <v>178</v>
      </c>
      <c r="P6064" s="7" t="s">
        <v>178</v>
      </c>
    </row>
    <row r="6065" spans="1:16" x14ac:dyDescent="0.25">
      <c r="A6065" t="s">
        <v>181</v>
      </c>
      <c r="B6065" t="s">
        <v>230</v>
      </c>
      <c r="C6065" s="7" t="s">
        <v>171</v>
      </c>
      <c r="D6065" t="s">
        <v>108</v>
      </c>
      <c r="F6065" s="35">
        <v>2</v>
      </c>
      <c r="G6065" s="35">
        <v>19.695120526435698</v>
      </c>
      <c r="H6065" s="35">
        <v>17.515737121898759</v>
      </c>
      <c r="I6065" s="35">
        <v>9.1034774260017439</v>
      </c>
      <c r="J6065" s="35">
        <v>-2.8134291570533293E-2</v>
      </c>
      <c r="K6065" s="35">
        <v>9.3421162149344905</v>
      </c>
      <c r="L6065" s="35">
        <v>7.189176304161851</v>
      </c>
      <c r="M6065" s="58" t="s">
        <v>22</v>
      </c>
      <c r="N6065" s="7">
        <v>9.5</v>
      </c>
      <c r="O6065" s="7" t="s">
        <v>178</v>
      </c>
      <c r="P6065" s="7" t="s">
        <v>178</v>
      </c>
    </row>
    <row r="6066" spans="1:16" x14ac:dyDescent="0.25">
      <c r="A6066" t="s">
        <v>181</v>
      </c>
      <c r="B6066" t="s">
        <v>230</v>
      </c>
      <c r="C6066" s="7" t="s">
        <v>171</v>
      </c>
      <c r="D6066" t="s">
        <v>108</v>
      </c>
      <c r="F6066" s="35">
        <v>2</v>
      </c>
      <c r="G6066" s="35">
        <v>19.068871645442854</v>
      </c>
      <c r="H6066" s="35">
        <v>18.204749002192955</v>
      </c>
      <c r="I6066" s="35">
        <v>9.1034729617050587</v>
      </c>
      <c r="J6066" s="35">
        <v>-2.8091662346134406E-2</v>
      </c>
      <c r="K6066" s="35">
        <v>9.3421616861071879</v>
      </c>
      <c r="L6066" s="35">
        <v>7.1891763041618821</v>
      </c>
      <c r="M6066" s="58" t="s">
        <v>22</v>
      </c>
      <c r="N6066" s="7">
        <v>9.5</v>
      </c>
      <c r="O6066" s="7" t="s">
        <v>178</v>
      </c>
      <c r="P6066" s="7" t="s">
        <v>178</v>
      </c>
    </row>
    <row r="6067" spans="1:16" x14ac:dyDescent="0.25">
      <c r="A6067" t="s">
        <v>181</v>
      </c>
      <c r="B6067" t="s">
        <v>230</v>
      </c>
      <c r="C6067" s="7" t="s">
        <v>171</v>
      </c>
      <c r="D6067" t="s">
        <v>108</v>
      </c>
      <c r="F6067" s="35">
        <v>4.5</v>
      </c>
      <c r="G6067" s="35">
        <v>20.434659145442854</v>
      </c>
      <c r="H6067" s="35">
        <v>6.6284990021929531</v>
      </c>
      <c r="I6067" s="35">
        <v>5.3234729617050576</v>
      </c>
      <c r="J6067" s="35">
        <v>-2.8091662346134406E-2</v>
      </c>
      <c r="K6067" s="35">
        <v>-8.6915207181554539</v>
      </c>
      <c r="L6067" s="35">
        <v>-23.852383701320502</v>
      </c>
      <c r="M6067" s="58" t="s">
        <v>24</v>
      </c>
      <c r="N6067" s="7">
        <v>9.5</v>
      </c>
      <c r="O6067" s="7" t="s">
        <v>178</v>
      </c>
      <c r="P6067" s="7" t="s">
        <v>178</v>
      </c>
    </row>
    <row r="6068" spans="1:16" x14ac:dyDescent="0.25">
      <c r="A6068" t="s">
        <v>181</v>
      </c>
      <c r="B6068" t="s">
        <v>230</v>
      </c>
      <c r="C6068" s="7" t="s">
        <v>171</v>
      </c>
      <c r="D6068" t="s">
        <v>108</v>
      </c>
      <c r="F6068" s="35">
        <v>4.5</v>
      </c>
      <c r="G6068" s="35">
        <v>21.220789759173392</v>
      </c>
      <c r="H6068" s="35">
        <v>6.6277521039224014</v>
      </c>
      <c r="I6068" s="35">
        <v>5.3596562434296313</v>
      </c>
      <c r="J6068" s="35">
        <v>1.8361872044463483E-2</v>
      </c>
      <c r="K6068" s="35">
        <v>-8.6914870912886748</v>
      </c>
      <c r="L6068" s="35">
        <v>-24.835172573860042</v>
      </c>
      <c r="M6068" s="58" t="s">
        <v>24</v>
      </c>
      <c r="N6068" s="7">
        <v>9.5</v>
      </c>
      <c r="O6068" s="7" t="s">
        <v>178</v>
      </c>
      <c r="P6068" s="7" t="s">
        <v>178</v>
      </c>
    </row>
    <row r="6069" spans="1:16" x14ac:dyDescent="0.25">
      <c r="A6069" t="s">
        <v>181</v>
      </c>
      <c r="B6069" t="s">
        <v>230</v>
      </c>
      <c r="C6069" s="7" t="s">
        <v>171</v>
      </c>
      <c r="D6069" t="s">
        <v>108</v>
      </c>
      <c r="F6069" s="35">
        <v>4.6226557908820691</v>
      </c>
      <c r="G6069" s="35">
        <v>21.287798457569128</v>
      </c>
      <c r="H6069" s="35">
        <v>6.0597944642429802</v>
      </c>
      <c r="I6069" s="35">
        <v>5.1742006876159437</v>
      </c>
      <c r="J6069" s="35">
        <v>1.8361872044463483E-2</v>
      </c>
      <c r="K6069" s="35">
        <v>-9.3375063677466539</v>
      </c>
      <c r="L6069" s="35">
        <v>-25.613273103195745</v>
      </c>
      <c r="M6069" s="58" t="s">
        <v>24</v>
      </c>
      <c r="N6069" s="7">
        <v>9.5</v>
      </c>
      <c r="O6069" s="7" t="s">
        <v>178</v>
      </c>
      <c r="P6069" s="7" t="s">
        <v>178</v>
      </c>
    </row>
    <row r="6070" spans="1:16" x14ac:dyDescent="0.25">
      <c r="A6070" t="s">
        <v>181</v>
      </c>
      <c r="B6070" t="s">
        <v>230</v>
      </c>
      <c r="C6070" s="7" t="s">
        <v>171</v>
      </c>
      <c r="D6070" t="s">
        <v>108</v>
      </c>
      <c r="F6070" s="35">
        <v>9.2453115817641383</v>
      </c>
      <c r="G6070" s="35">
        <v>23.813224655964866</v>
      </c>
      <c r="H6070" s="35">
        <v>-15.345413175436439</v>
      </c>
      <c r="I6070" s="35">
        <v>-1.8152548681977445</v>
      </c>
      <c r="J6070" s="35">
        <v>1.8361872044463483E-2</v>
      </c>
      <c r="K6070" s="35">
        <v>-17.101131539442978</v>
      </c>
      <c r="L6070" s="35">
        <v>-4.1511635495850827</v>
      </c>
      <c r="M6070" s="58" t="s">
        <v>23</v>
      </c>
      <c r="N6070" s="7">
        <v>9.5</v>
      </c>
      <c r="O6070" s="7" t="s">
        <v>178</v>
      </c>
      <c r="P6070" s="7" t="s">
        <v>178</v>
      </c>
    </row>
    <row r="6071" spans="1:16" x14ac:dyDescent="0.25">
      <c r="A6071" t="s">
        <v>181</v>
      </c>
      <c r="B6071" t="s">
        <v>230</v>
      </c>
      <c r="C6071" s="7" t="s">
        <v>171</v>
      </c>
      <c r="D6071" t="s">
        <v>109</v>
      </c>
      <c r="F6071" s="35">
        <v>0</v>
      </c>
      <c r="G6071" s="35">
        <v>-18.534782385260254</v>
      </c>
      <c r="H6071" s="35">
        <v>20.556390584718077</v>
      </c>
      <c r="I6071" s="35">
        <v>16.732077802271615</v>
      </c>
      <c r="J6071" s="35">
        <v>-1.735185709621076E-2</v>
      </c>
      <c r="K6071" s="35">
        <v>41.059159767651629</v>
      </c>
      <c r="L6071" s="35">
        <v>39.488577772999861</v>
      </c>
      <c r="M6071" s="58" t="s">
        <v>22</v>
      </c>
      <c r="N6071" s="7">
        <v>9.5</v>
      </c>
      <c r="O6071" s="7" t="s">
        <v>178</v>
      </c>
      <c r="P6071" s="7" t="s">
        <v>178</v>
      </c>
    </row>
    <row r="6072" spans="1:16" x14ac:dyDescent="0.25">
      <c r="A6072" t="s">
        <v>181</v>
      </c>
      <c r="B6072" t="s">
        <v>230</v>
      </c>
      <c r="C6072" s="7" t="s">
        <v>171</v>
      </c>
      <c r="D6072" t="s">
        <v>109</v>
      </c>
      <c r="F6072" s="35">
        <v>2</v>
      </c>
      <c r="G6072" s="35">
        <v>-17.44215238526025</v>
      </c>
      <c r="H6072" s="35">
        <v>13.941390584718075</v>
      </c>
      <c r="I6072" s="35">
        <v>11.356077802271619</v>
      </c>
      <c r="J6072" s="35">
        <v>-1.735185709621076E-2</v>
      </c>
      <c r="K6072" s="35">
        <v>12.971004163108395</v>
      </c>
      <c r="L6072" s="35">
        <v>4.9907966035637052</v>
      </c>
      <c r="M6072" s="58" t="s">
        <v>22</v>
      </c>
      <c r="N6072" s="7">
        <v>9.5</v>
      </c>
      <c r="O6072" s="7" t="s">
        <v>178</v>
      </c>
      <c r="P6072" s="7" t="s">
        <v>178</v>
      </c>
    </row>
    <row r="6073" spans="1:16" x14ac:dyDescent="0.25">
      <c r="A6073" t="s">
        <v>181</v>
      </c>
      <c r="B6073" t="s">
        <v>230</v>
      </c>
      <c r="C6073" s="7" t="s">
        <v>171</v>
      </c>
      <c r="D6073" t="s">
        <v>109</v>
      </c>
      <c r="F6073" s="35">
        <v>2</v>
      </c>
      <c r="G6073" s="35">
        <v>-16.493028768112069</v>
      </c>
      <c r="H6073" s="35">
        <v>12.950003097260083</v>
      </c>
      <c r="I6073" s="35">
        <v>11.356073200775294</v>
      </c>
      <c r="J6073" s="35">
        <v>-1.737088276614257E-2</v>
      </c>
      <c r="K6073" s="35">
        <v>12.970983869060545</v>
      </c>
      <c r="L6073" s="35">
        <v>4.9907966035636768</v>
      </c>
      <c r="M6073" s="58" t="s">
        <v>22</v>
      </c>
      <c r="N6073" s="7">
        <v>9.5</v>
      </c>
      <c r="O6073" s="7" t="s">
        <v>178</v>
      </c>
      <c r="P6073" s="7" t="s">
        <v>178</v>
      </c>
    </row>
    <row r="6074" spans="1:16" x14ac:dyDescent="0.25">
      <c r="A6074" t="s">
        <v>181</v>
      </c>
      <c r="B6074" t="s">
        <v>230</v>
      </c>
      <c r="C6074" s="7" t="s">
        <v>171</v>
      </c>
      <c r="D6074" t="s">
        <v>109</v>
      </c>
      <c r="F6074" s="35">
        <v>4.5</v>
      </c>
      <c r="G6074" s="35">
        <v>-15.127241268112067</v>
      </c>
      <c r="H6074" s="35">
        <v>4.6812530972600808</v>
      </c>
      <c r="I6074" s="35">
        <v>4.6360732007752947</v>
      </c>
      <c r="J6074" s="35">
        <v>-1.737088276614257E-2</v>
      </c>
      <c r="K6074" s="35">
        <v>-7.0191991328776924</v>
      </c>
      <c r="L6074" s="35">
        <v>-17.048273639586526</v>
      </c>
      <c r="M6074" s="58" t="s">
        <v>24</v>
      </c>
      <c r="N6074" s="7">
        <v>9.5</v>
      </c>
      <c r="O6074" s="7" t="s">
        <v>178</v>
      </c>
      <c r="P6074" s="7" t="s">
        <v>178</v>
      </c>
    </row>
    <row r="6075" spans="1:16" x14ac:dyDescent="0.25">
      <c r="A6075" t="s">
        <v>181</v>
      </c>
      <c r="B6075" t="s">
        <v>230</v>
      </c>
      <c r="C6075" s="7" t="s">
        <v>171</v>
      </c>
      <c r="D6075" t="s">
        <v>109</v>
      </c>
      <c r="F6075" s="35">
        <v>4.5</v>
      </c>
      <c r="G6075" s="35">
        <v>-14.341115984002604</v>
      </c>
      <c r="H6075" s="35">
        <v>4.6809481876206895</v>
      </c>
      <c r="I6075" s="35">
        <v>4.6591119285310114</v>
      </c>
      <c r="J6075" s="35">
        <v>1.143853915800167E-2</v>
      </c>
      <c r="K6075" s="35">
        <v>-7.0191479759530271</v>
      </c>
      <c r="L6075" s="35">
        <v>-18.031000073049192</v>
      </c>
      <c r="M6075" s="58" t="s">
        <v>24</v>
      </c>
      <c r="N6075" s="7">
        <v>9.5</v>
      </c>
      <c r="O6075" s="7" t="s">
        <v>178</v>
      </c>
      <c r="P6075" s="7" t="s">
        <v>178</v>
      </c>
    </row>
    <row r="6076" spans="1:16" x14ac:dyDescent="0.25">
      <c r="A6076" t="s">
        <v>181</v>
      </c>
      <c r="B6076" t="s">
        <v>230</v>
      </c>
      <c r="C6076" s="7" t="s">
        <v>171</v>
      </c>
      <c r="D6076" t="s">
        <v>109</v>
      </c>
      <c r="F6076" s="35">
        <v>4.6226557908820691</v>
      </c>
      <c r="G6076" s="35">
        <v>-14.274107285606867</v>
      </c>
      <c r="H6076" s="35">
        <v>4.2752641592782457</v>
      </c>
      <c r="I6076" s="35">
        <v>4.3294131626400096</v>
      </c>
      <c r="J6076" s="35">
        <v>1.143853915800167E-2</v>
      </c>
      <c r="K6076" s="35">
        <v>-7.5703953029134778</v>
      </c>
      <c r="L6076" s="35">
        <v>-18.580265727407507</v>
      </c>
      <c r="M6076" s="58" t="s">
        <v>24</v>
      </c>
      <c r="N6076" s="7">
        <v>9.5</v>
      </c>
      <c r="O6076" s="7" t="s">
        <v>178</v>
      </c>
      <c r="P6076" s="7" t="s">
        <v>178</v>
      </c>
    </row>
    <row r="6077" spans="1:16" x14ac:dyDescent="0.25">
      <c r="A6077" t="s">
        <v>181</v>
      </c>
      <c r="B6077" t="s">
        <v>230</v>
      </c>
      <c r="C6077" s="7" t="s">
        <v>171</v>
      </c>
      <c r="D6077" t="s">
        <v>109</v>
      </c>
      <c r="F6077" s="35">
        <v>9.2453115817641383</v>
      </c>
      <c r="G6077" s="35">
        <v>-11.748681087211128</v>
      </c>
      <c r="H6077" s="35">
        <v>-11.014169869064197</v>
      </c>
      <c r="I6077" s="35">
        <v>-8.0962856032509922</v>
      </c>
      <c r="J6077" s="35">
        <v>1.143853915800167E-2</v>
      </c>
      <c r="K6077" s="35">
        <v>1.1360820476387359</v>
      </c>
      <c r="L6077" s="35">
        <v>-3.0044449756323717</v>
      </c>
      <c r="M6077" s="58" t="s">
        <v>23</v>
      </c>
      <c r="N6077" s="7">
        <v>9.5</v>
      </c>
      <c r="O6077" s="7" t="s">
        <v>178</v>
      </c>
      <c r="P6077" s="7" t="s">
        <v>178</v>
      </c>
    </row>
    <row r="6078" spans="1:16" x14ac:dyDescent="0.25">
      <c r="A6078" t="s">
        <v>181</v>
      </c>
      <c r="B6078" t="s">
        <v>230</v>
      </c>
      <c r="C6078" s="7" t="s">
        <v>171</v>
      </c>
      <c r="D6078" t="s">
        <v>110</v>
      </c>
      <c r="F6078" s="35">
        <v>0</v>
      </c>
      <c r="G6078" s="35">
        <v>5.5533023626833993</v>
      </c>
      <c r="H6078" s="35">
        <v>19.72136905883977</v>
      </c>
      <c r="I6078" s="35">
        <v>-8.4366717660325747</v>
      </c>
      <c r="J6078" s="35">
        <v>-2.5836409663065153E-4</v>
      </c>
      <c r="K6078" s="35">
        <v>-18.573176484432494</v>
      </c>
      <c r="L6078" s="35">
        <v>38.287612999217274</v>
      </c>
      <c r="M6078" s="58" t="s">
        <v>22</v>
      </c>
      <c r="N6078" s="7">
        <v>9.5</v>
      </c>
      <c r="O6078" s="7" t="s">
        <v>178</v>
      </c>
      <c r="P6078" s="7" t="s">
        <v>178</v>
      </c>
    </row>
    <row r="6079" spans="1:16" x14ac:dyDescent="0.25">
      <c r="A6079" t="s">
        <v>181</v>
      </c>
      <c r="B6079" t="s">
        <v>230</v>
      </c>
      <c r="C6079" s="7" t="s">
        <v>171</v>
      </c>
      <c r="D6079" t="s">
        <v>110</v>
      </c>
      <c r="F6079" s="35">
        <v>2</v>
      </c>
      <c r="G6079" s="35">
        <v>6.6459323626833999</v>
      </c>
      <c r="H6079" s="35">
        <v>13.106369058839769</v>
      </c>
      <c r="I6079" s="35">
        <v>-5.2446717660325737</v>
      </c>
      <c r="J6079" s="35">
        <v>-2.5836409663065153E-4</v>
      </c>
      <c r="K6079" s="35">
        <v>-4.8918329523673494</v>
      </c>
      <c r="L6079" s="35">
        <v>5.4598748815377425</v>
      </c>
      <c r="M6079" s="58" t="s">
        <v>22</v>
      </c>
      <c r="N6079" s="7">
        <v>9.5</v>
      </c>
      <c r="O6079" s="7" t="s">
        <v>178</v>
      </c>
      <c r="P6079" s="7" t="s">
        <v>178</v>
      </c>
    </row>
    <row r="6080" spans="1:16" x14ac:dyDescent="0.25">
      <c r="A6080" t="s">
        <v>181</v>
      </c>
      <c r="B6080" t="s">
        <v>230</v>
      </c>
      <c r="C6080" s="7" t="s">
        <v>171</v>
      </c>
      <c r="D6080" t="s">
        <v>110</v>
      </c>
      <c r="F6080" s="35">
        <v>2</v>
      </c>
      <c r="G6080" s="35">
        <v>6.7535580693042121</v>
      </c>
      <c r="H6080" s="35">
        <v>13.012579549361824</v>
      </c>
      <c r="I6080" s="35">
        <v>-5.2446661793402862</v>
      </c>
      <c r="J6080" s="35">
        <v>-2.3573075495254619E-4</v>
      </c>
      <c r="K6080" s="35">
        <v>-4.8918088101362454</v>
      </c>
      <c r="L6080" s="35">
        <v>5.4598748815377443</v>
      </c>
      <c r="M6080" s="58" t="s">
        <v>22</v>
      </c>
      <c r="N6080" s="7">
        <v>9.5</v>
      </c>
      <c r="O6080" s="7" t="s">
        <v>178</v>
      </c>
      <c r="P6080" s="7" t="s">
        <v>178</v>
      </c>
    </row>
    <row r="6081" spans="1:16" x14ac:dyDescent="0.25">
      <c r="A6081" t="s">
        <v>181</v>
      </c>
      <c r="B6081" t="s">
        <v>230</v>
      </c>
      <c r="C6081" s="7" t="s">
        <v>171</v>
      </c>
      <c r="D6081" t="s">
        <v>110</v>
      </c>
      <c r="F6081" s="35">
        <v>4.5</v>
      </c>
      <c r="G6081" s="35">
        <v>8.1193455693042118</v>
      </c>
      <c r="H6081" s="35">
        <v>4.7438295493618217</v>
      </c>
      <c r="I6081" s="35">
        <v>-1.254666179340286</v>
      </c>
      <c r="J6081" s="35">
        <v>-2.3573075495254619E-4</v>
      </c>
      <c r="K6081" s="35">
        <v>3.2323566382144691</v>
      </c>
      <c r="L6081" s="35">
        <v>-16.73563649186681</v>
      </c>
      <c r="M6081" s="58" t="s">
        <v>24</v>
      </c>
      <c r="N6081" s="7">
        <v>9.5</v>
      </c>
      <c r="O6081" s="7" t="s">
        <v>178</v>
      </c>
      <c r="P6081" s="7" t="s">
        <v>178</v>
      </c>
    </row>
    <row r="6082" spans="1:16" x14ac:dyDescent="0.25">
      <c r="A6082" t="s">
        <v>181</v>
      </c>
      <c r="B6082" t="s">
        <v>230</v>
      </c>
      <c r="C6082" s="7" t="s">
        <v>171</v>
      </c>
      <c r="D6082" t="s">
        <v>110</v>
      </c>
      <c r="F6082" s="35">
        <v>4.5</v>
      </c>
      <c r="G6082" s="35">
        <v>8.9054866978179064</v>
      </c>
      <c r="H6082" s="35">
        <v>4.7431538425951638</v>
      </c>
      <c r="I6082" s="35">
        <v>-1.2622099131039193</v>
      </c>
      <c r="J6082" s="35">
        <v>-6.2412184036230332E-3</v>
      </c>
      <c r="K6082" s="35">
        <v>3.2323349062127975</v>
      </c>
      <c r="L6082" s="35">
        <v>-17.718450685043667</v>
      </c>
      <c r="M6082" s="58" t="s">
        <v>24</v>
      </c>
      <c r="N6082" s="7">
        <v>9.5</v>
      </c>
      <c r="O6082" s="7" t="s">
        <v>178</v>
      </c>
      <c r="P6082" s="7" t="s">
        <v>178</v>
      </c>
    </row>
    <row r="6083" spans="1:16" x14ac:dyDescent="0.25">
      <c r="A6083" t="s">
        <v>181</v>
      </c>
      <c r="B6083" t="s">
        <v>230</v>
      </c>
      <c r="C6083" s="7" t="s">
        <v>171</v>
      </c>
      <c r="D6083" t="s">
        <v>110</v>
      </c>
      <c r="F6083" s="35">
        <v>4.6226557908820691</v>
      </c>
      <c r="G6083" s="35">
        <v>8.9724953962136436</v>
      </c>
      <c r="H6083" s="35">
        <v>4.3374698142527208</v>
      </c>
      <c r="I6083" s="35">
        <v>-1.0664512708561369</v>
      </c>
      <c r="J6083" s="35">
        <v>-6.2412184036230332E-3</v>
      </c>
      <c r="K6083" s="35">
        <v>3.3751467958202954</v>
      </c>
      <c r="L6083" s="35">
        <v>-18.275346223210214</v>
      </c>
      <c r="M6083" s="58" t="s">
        <v>24</v>
      </c>
      <c r="N6083" s="7">
        <v>9.5</v>
      </c>
      <c r="O6083" s="7" t="s">
        <v>178</v>
      </c>
      <c r="P6083" s="7" t="s">
        <v>178</v>
      </c>
    </row>
    <row r="6084" spans="1:16" x14ac:dyDescent="0.25">
      <c r="A6084" t="s">
        <v>181</v>
      </c>
      <c r="B6084" t="s">
        <v>230</v>
      </c>
      <c r="C6084" s="7" t="s">
        <v>171</v>
      </c>
      <c r="D6084" t="s">
        <v>110</v>
      </c>
      <c r="F6084" s="35">
        <v>9.2453115817641383</v>
      </c>
      <c r="G6084" s="35">
        <v>11.49792159460938</v>
      </c>
      <c r="H6084" s="35">
        <v>-10.951964214089722</v>
      </c>
      <c r="I6084" s="35">
        <v>6.3113073713916465</v>
      </c>
      <c r="J6084" s="35">
        <v>-6.2412184036230332E-3</v>
      </c>
      <c r="K6084" s="35">
        <v>-8.7474354169215136</v>
      </c>
      <c r="L6084" s="35">
        <v>-2.9870808026284492</v>
      </c>
      <c r="M6084" s="58" t="s">
        <v>23</v>
      </c>
      <c r="N6084" s="7">
        <v>9.5</v>
      </c>
      <c r="O6084" s="7" t="s">
        <v>178</v>
      </c>
      <c r="P6084" s="7" t="s">
        <v>178</v>
      </c>
    </row>
    <row r="6085" spans="1:16" x14ac:dyDescent="0.25">
      <c r="A6085" t="s">
        <v>181</v>
      </c>
      <c r="B6085" t="s">
        <v>230</v>
      </c>
      <c r="C6085" s="7" t="s">
        <v>171</v>
      </c>
      <c r="D6085" t="s">
        <v>111</v>
      </c>
      <c r="F6085" s="35">
        <v>0</v>
      </c>
      <c r="G6085" s="35">
        <v>-9.5450861137920473</v>
      </c>
      <c r="H6085" s="35">
        <v>13.003049748321505</v>
      </c>
      <c r="I6085" s="35">
        <v>-5.7541268727209038</v>
      </c>
      <c r="J6085" s="35">
        <v>-9.1097705181939073E-5</v>
      </c>
      <c r="K6085" s="35">
        <v>-23.694070572684982</v>
      </c>
      <c r="L6085" s="35">
        <v>25.660315762376346</v>
      </c>
      <c r="M6085" s="58" t="s">
        <v>22</v>
      </c>
      <c r="N6085" s="7">
        <v>9.5</v>
      </c>
      <c r="O6085" s="7" t="s">
        <v>178</v>
      </c>
      <c r="P6085" s="7" t="s">
        <v>178</v>
      </c>
    </row>
    <row r="6086" spans="1:16" x14ac:dyDescent="0.25">
      <c r="A6086" t="s">
        <v>181</v>
      </c>
      <c r="B6086" t="s">
        <v>230</v>
      </c>
      <c r="C6086" s="7" t="s">
        <v>171</v>
      </c>
      <c r="D6086" t="s">
        <v>111</v>
      </c>
      <c r="F6086" s="35">
        <v>2</v>
      </c>
      <c r="G6086" s="35">
        <v>-8.4524561137920458</v>
      </c>
      <c r="H6086" s="35">
        <v>9.0340497483215039</v>
      </c>
      <c r="I6086" s="35">
        <v>-4.914126872720904</v>
      </c>
      <c r="J6086" s="35">
        <v>-9.1097705181939073E-5</v>
      </c>
      <c r="K6086" s="35">
        <v>-13.025816827243174</v>
      </c>
      <c r="L6086" s="35">
        <v>3.6232162657333382</v>
      </c>
      <c r="M6086" s="58" t="s">
        <v>22</v>
      </c>
      <c r="N6086" s="7">
        <v>9.5</v>
      </c>
      <c r="O6086" s="7" t="s">
        <v>178</v>
      </c>
      <c r="P6086" s="7" t="s">
        <v>178</v>
      </c>
    </row>
    <row r="6087" spans="1:16" x14ac:dyDescent="0.25">
      <c r="A6087" t="s">
        <v>181</v>
      </c>
      <c r="B6087" t="s">
        <v>230</v>
      </c>
      <c r="C6087" s="7" t="s">
        <v>171</v>
      </c>
      <c r="D6087" t="s">
        <v>111</v>
      </c>
      <c r="F6087" s="35">
        <v>2</v>
      </c>
      <c r="G6087" s="35">
        <v>-7.2817286881132519</v>
      </c>
      <c r="H6087" s="35">
        <v>7.8062828729136777</v>
      </c>
      <c r="I6087" s="35">
        <v>-4.9141158629224826</v>
      </c>
      <c r="J6087" s="35">
        <v>-6.0129508397871619E-5</v>
      </c>
      <c r="K6087" s="35">
        <v>-13.025783794499992</v>
      </c>
      <c r="L6087" s="35">
        <v>3.6232162657333369</v>
      </c>
      <c r="M6087" s="58" t="s">
        <v>22</v>
      </c>
      <c r="N6087" s="7">
        <v>9.5</v>
      </c>
      <c r="O6087" s="7" t="s">
        <v>178</v>
      </c>
      <c r="P6087" s="7" t="s">
        <v>178</v>
      </c>
    </row>
    <row r="6088" spans="1:16" x14ac:dyDescent="0.25">
      <c r="A6088" t="s">
        <v>181</v>
      </c>
      <c r="B6088" t="s">
        <v>230</v>
      </c>
      <c r="C6088" s="7" t="s">
        <v>171</v>
      </c>
      <c r="D6088" t="s">
        <v>111</v>
      </c>
      <c r="F6088" s="35">
        <v>4.5</v>
      </c>
      <c r="G6088" s="35">
        <v>-5.9159411881132513</v>
      </c>
      <c r="H6088" s="35">
        <v>2.8450328729136776</v>
      </c>
      <c r="I6088" s="35">
        <v>-3.8641158629224823</v>
      </c>
      <c r="J6088" s="35">
        <v>-6.0129508397871619E-5</v>
      </c>
      <c r="K6088" s="35">
        <v>-2.0529941371937861</v>
      </c>
      <c r="L6088" s="35">
        <v>-9.6909284165508556</v>
      </c>
      <c r="M6088" s="58" t="s">
        <v>24</v>
      </c>
      <c r="N6088" s="7">
        <v>9.5</v>
      </c>
      <c r="O6088" s="7" t="s">
        <v>178</v>
      </c>
      <c r="P6088" s="7" t="s">
        <v>178</v>
      </c>
    </row>
    <row r="6089" spans="1:16" x14ac:dyDescent="0.25">
      <c r="A6089" t="s">
        <v>181</v>
      </c>
      <c r="B6089" t="s">
        <v>230</v>
      </c>
      <c r="C6089" s="7" t="s">
        <v>171</v>
      </c>
      <c r="D6089" t="s">
        <v>111</v>
      </c>
      <c r="F6089" s="35">
        <v>4.5</v>
      </c>
      <c r="G6089" s="35">
        <v>-5.1297941260222553</v>
      </c>
      <c r="H6089" s="35">
        <v>2.8446309521870052</v>
      </c>
      <c r="I6089" s="35">
        <v>-3.8686387143070511</v>
      </c>
      <c r="J6089" s="35">
        <v>-3.6739406485194457E-3</v>
      </c>
      <c r="K6089" s="35">
        <v>-2.0530442908908531</v>
      </c>
      <c r="L6089" s="35">
        <v>-10.673692942881136</v>
      </c>
      <c r="M6089" s="58" t="s">
        <v>24</v>
      </c>
      <c r="N6089" s="7">
        <v>9.5</v>
      </c>
      <c r="O6089" s="7" t="s">
        <v>178</v>
      </c>
      <c r="P6089" s="7" t="s">
        <v>178</v>
      </c>
    </row>
    <row r="6090" spans="1:16" x14ac:dyDescent="0.25">
      <c r="A6090" t="s">
        <v>181</v>
      </c>
      <c r="B6090" t="s">
        <v>230</v>
      </c>
      <c r="C6090" s="7" t="s">
        <v>171</v>
      </c>
      <c r="D6090" t="s">
        <v>111</v>
      </c>
      <c r="F6090" s="35">
        <v>4.6226557908820691</v>
      </c>
      <c r="G6090" s="35">
        <v>-5.0627854276265181</v>
      </c>
      <c r="H6090" s="35">
        <v>2.6012205351815392</v>
      </c>
      <c r="I6090" s="35">
        <v>-3.8171232821365821</v>
      </c>
      <c r="J6090" s="35">
        <v>-3.6739406485194457E-3</v>
      </c>
      <c r="K6090" s="35">
        <v>-1.5816926827882809</v>
      </c>
      <c r="L6090" s="35">
        <v>-11.007675553485877</v>
      </c>
      <c r="M6090" s="58" t="s">
        <v>24</v>
      </c>
      <c r="N6090" s="7">
        <v>9.5</v>
      </c>
      <c r="O6090" s="7" t="s">
        <v>178</v>
      </c>
      <c r="P6090" s="7" t="s">
        <v>178</v>
      </c>
    </row>
    <row r="6091" spans="1:16" x14ac:dyDescent="0.25">
      <c r="A6091" t="s">
        <v>181</v>
      </c>
      <c r="B6091" t="s">
        <v>230</v>
      </c>
      <c r="C6091" s="7" t="s">
        <v>171</v>
      </c>
      <c r="D6091" t="s">
        <v>111</v>
      </c>
      <c r="F6091" s="35">
        <v>9.2453115817641383</v>
      </c>
      <c r="G6091" s="35">
        <v>-2.5373592292307805</v>
      </c>
      <c r="H6091" s="35">
        <v>-6.5724398818239269</v>
      </c>
      <c r="I6091" s="35">
        <v>-1.8756078499661129</v>
      </c>
      <c r="J6091" s="35">
        <v>-3.6739406485194457E-3</v>
      </c>
      <c r="K6091" s="35">
        <v>11.576075584086295</v>
      </c>
      <c r="L6091" s="35">
        <v>-1.8288854986762058</v>
      </c>
      <c r="M6091" s="58" t="s">
        <v>23</v>
      </c>
      <c r="N6091" s="7">
        <v>9.5</v>
      </c>
      <c r="O6091" s="7" t="s">
        <v>178</v>
      </c>
      <c r="P6091" s="7" t="s">
        <v>178</v>
      </c>
    </row>
    <row r="6092" spans="1:16" x14ac:dyDescent="0.25">
      <c r="A6092" t="s">
        <v>181</v>
      </c>
      <c r="B6092" t="s">
        <v>230</v>
      </c>
      <c r="C6092" s="7" t="s">
        <v>171</v>
      </c>
      <c r="D6092" t="s">
        <v>112</v>
      </c>
      <c r="F6092" s="35">
        <v>0</v>
      </c>
      <c r="G6092" s="35">
        <v>-8.000021246380209</v>
      </c>
      <c r="H6092" s="35">
        <v>15.26491663755119</v>
      </c>
      <c r="I6092" s="35">
        <v>-9.2267088242373116</v>
      </c>
      <c r="J6092" s="35">
        <v>8.7187919379728262E-3</v>
      </c>
      <c r="K6092" s="35">
        <v>-15.124385402173351</v>
      </c>
      <c r="L6092" s="35">
        <v>31.080094752725607</v>
      </c>
      <c r="M6092" s="58" t="s">
        <v>22</v>
      </c>
      <c r="N6092" s="7">
        <v>9.5</v>
      </c>
      <c r="O6092" s="7" t="s">
        <v>178</v>
      </c>
      <c r="P6092" s="7" t="s">
        <v>178</v>
      </c>
    </row>
    <row r="6093" spans="1:16" x14ac:dyDescent="0.25">
      <c r="A6093" t="s">
        <v>181</v>
      </c>
      <c r="B6093" t="s">
        <v>230</v>
      </c>
      <c r="C6093" s="7" t="s">
        <v>171</v>
      </c>
      <c r="D6093" t="s">
        <v>112</v>
      </c>
      <c r="F6093" s="35">
        <v>2</v>
      </c>
      <c r="G6093" s="35">
        <v>-6.9073912463802083</v>
      </c>
      <c r="H6093" s="35">
        <v>12.203116637551188</v>
      </c>
      <c r="I6093" s="35">
        <v>-5.4467088242373105</v>
      </c>
      <c r="J6093" s="35">
        <v>8.7187919379728262E-3</v>
      </c>
      <c r="K6093" s="35">
        <v>-0.45096775369872888</v>
      </c>
      <c r="L6093" s="35">
        <v>3.6120614776232323</v>
      </c>
      <c r="M6093" s="58" t="s">
        <v>22</v>
      </c>
      <c r="N6093" s="7">
        <v>9.5</v>
      </c>
      <c r="O6093" s="7" t="s">
        <v>178</v>
      </c>
      <c r="P6093" s="7" t="s">
        <v>178</v>
      </c>
    </row>
    <row r="6094" spans="1:16" x14ac:dyDescent="0.25">
      <c r="A6094" t="s">
        <v>181</v>
      </c>
      <c r="B6094" t="s">
        <v>230</v>
      </c>
      <c r="C6094" s="7" t="s">
        <v>171</v>
      </c>
      <c r="D6094" t="s">
        <v>112</v>
      </c>
      <c r="F6094" s="35">
        <v>2</v>
      </c>
      <c r="G6094" s="35">
        <v>-1.1693080741885222</v>
      </c>
      <c r="H6094" s="35">
        <v>6.1034975173778507</v>
      </c>
      <c r="I6094" s="35">
        <v>-5.4467100001458775</v>
      </c>
      <c r="J6094" s="35">
        <v>8.709509922979598E-3</v>
      </c>
      <c r="K6094" s="35">
        <v>-0.45097765451472588</v>
      </c>
      <c r="L6094" s="35">
        <v>3.6120614776232411</v>
      </c>
      <c r="M6094" s="58" t="s">
        <v>22</v>
      </c>
      <c r="N6094" s="7">
        <v>9.5</v>
      </c>
      <c r="O6094" s="7" t="s">
        <v>178</v>
      </c>
      <c r="P6094" s="7" t="s">
        <v>178</v>
      </c>
    </row>
    <row r="6095" spans="1:16" x14ac:dyDescent="0.25">
      <c r="A6095" t="s">
        <v>181</v>
      </c>
      <c r="B6095" t="s">
        <v>230</v>
      </c>
      <c r="C6095" s="7" t="s">
        <v>171</v>
      </c>
      <c r="D6095" t="s">
        <v>112</v>
      </c>
      <c r="F6095" s="35">
        <v>4.5</v>
      </c>
      <c r="G6095" s="35">
        <v>0.19647942581147979</v>
      </c>
      <c r="H6095" s="35">
        <v>2.2762475173778505</v>
      </c>
      <c r="I6095" s="35">
        <v>-0.72171000014587705</v>
      </c>
      <c r="J6095" s="35">
        <v>8.709509922979598E-3</v>
      </c>
      <c r="K6095" s="35">
        <v>7.2595473458499669</v>
      </c>
      <c r="L6095" s="35">
        <v>-6.8626198158213851</v>
      </c>
      <c r="M6095" s="58" t="s">
        <v>24</v>
      </c>
      <c r="N6095" s="7">
        <v>9.5</v>
      </c>
      <c r="O6095" s="7" t="s">
        <v>178</v>
      </c>
      <c r="P6095" s="7" t="s">
        <v>178</v>
      </c>
    </row>
    <row r="6096" spans="1:16" x14ac:dyDescent="0.25">
      <c r="A6096" t="s">
        <v>181</v>
      </c>
      <c r="B6096" t="s">
        <v>230</v>
      </c>
      <c r="C6096" s="7" t="s">
        <v>171</v>
      </c>
      <c r="D6096" t="s">
        <v>112</v>
      </c>
      <c r="F6096" s="35">
        <v>4.5</v>
      </c>
      <c r="G6096" s="35">
        <v>0.98261597079440599</v>
      </c>
      <c r="H6096" s="35">
        <v>2.2761526161161902</v>
      </c>
      <c r="I6096" s="35">
        <v>-0.7382954635339315</v>
      </c>
      <c r="J6096" s="35">
        <v>-1.0674726469759517E-2</v>
      </c>
      <c r="K6096" s="35">
        <v>7.2595440314925703</v>
      </c>
      <c r="L6096" s="35">
        <v>-7.8453513319219068</v>
      </c>
      <c r="M6096" s="58" t="s">
        <v>24</v>
      </c>
      <c r="N6096" s="7">
        <v>9.5</v>
      </c>
      <c r="O6096" s="7" t="s">
        <v>178</v>
      </c>
      <c r="P6096" s="7" t="s">
        <v>178</v>
      </c>
    </row>
    <row r="6097" spans="1:16" x14ac:dyDescent="0.25">
      <c r="A6097" t="s">
        <v>181</v>
      </c>
      <c r="B6097" t="s">
        <v>230</v>
      </c>
      <c r="C6097" s="7" t="s">
        <v>171</v>
      </c>
      <c r="D6097" t="s">
        <v>112</v>
      </c>
      <c r="F6097" s="35">
        <v>4.6226557908820691</v>
      </c>
      <c r="G6097" s="35">
        <v>1.0496246691901432</v>
      </c>
      <c r="H6097" s="35">
        <v>2.0883788658548306</v>
      </c>
      <c r="I6097" s="35">
        <v>-0.5064760187668208</v>
      </c>
      <c r="J6097" s="35">
        <v>-1.0674726469759517E-2</v>
      </c>
      <c r="K6097" s="35">
        <v>7.3358832468070929</v>
      </c>
      <c r="L6097" s="35">
        <v>-8.1130188622973307</v>
      </c>
      <c r="M6097" s="58" t="s">
        <v>24</v>
      </c>
      <c r="N6097" s="7">
        <v>9.5</v>
      </c>
      <c r="O6097" s="7" t="s">
        <v>178</v>
      </c>
      <c r="P6097" s="7" t="s">
        <v>178</v>
      </c>
    </row>
    <row r="6098" spans="1:16" x14ac:dyDescent="0.25">
      <c r="A6098" t="s">
        <v>181</v>
      </c>
      <c r="B6098" t="s">
        <v>230</v>
      </c>
      <c r="C6098" s="7" t="s">
        <v>171</v>
      </c>
      <c r="D6098" t="s">
        <v>112</v>
      </c>
      <c r="F6098" s="35">
        <v>9.2453115817641383</v>
      </c>
      <c r="G6098" s="35">
        <v>3.5750508675858792</v>
      </c>
      <c r="H6098" s="35">
        <v>-4.9884448844065297</v>
      </c>
      <c r="I6098" s="35">
        <v>8.2303434260002888</v>
      </c>
      <c r="J6098" s="35">
        <v>-1.0674726469759517E-2</v>
      </c>
      <c r="K6098" s="35">
        <v>-10.516506952219439</v>
      </c>
      <c r="L6098" s="35">
        <v>-1.4100153749981714</v>
      </c>
      <c r="M6098" s="58" t="s">
        <v>23</v>
      </c>
      <c r="N6098" s="7">
        <v>9.5</v>
      </c>
      <c r="O6098" s="7" t="s">
        <v>178</v>
      </c>
      <c r="P6098" s="7" t="s">
        <v>178</v>
      </c>
    </row>
    <row r="6099" spans="1:16" x14ac:dyDescent="0.25">
      <c r="A6099" t="s">
        <v>181</v>
      </c>
      <c r="B6099" t="s">
        <v>230</v>
      </c>
      <c r="C6099" s="7" t="s">
        <v>171</v>
      </c>
      <c r="D6099" t="s">
        <v>113</v>
      </c>
      <c r="F6099" s="35">
        <v>0</v>
      </c>
      <c r="G6099" s="35">
        <v>-16.920837290387873</v>
      </c>
      <c r="H6099" s="35">
        <v>8.4496110950162162</v>
      </c>
      <c r="I6099" s="35">
        <v>-4.6409368789262366</v>
      </c>
      <c r="J6099" s="35">
        <v>7.1418027578828642E-3</v>
      </c>
      <c r="K6099" s="35">
        <v>-8.5373980923541541</v>
      </c>
      <c r="L6099" s="35">
        <v>18.086563346745436</v>
      </c>
      <c r="M6099" s="58" t="s">
        <v>22</v>
      </c>
      <c r="N6099" s="7">
        <v>9.5</v>
      </c>
      <c r="O6099" s="7" t="s">
        <v>178</v>
      </c>
      <c r="P6099" s="7" t="s">
        <v>178</v>
      </c>
    </row>
    <row r="6100" spans="1:16" x14ac:dyDescent="0.25">
      <c r="A6100" t="s">
        <v>181</v>
      </c>
      <c r="B6100" t="s">
        <v>230</v>
      </c>
      <c r="C6100" s="7" t="s">
        <v>171</v>
      </c>
      <c r="D6100" t="s">
        <v>113</v>
      </c>
      <c r="F6100" s="35">
        <v>2</v>
      </c>
      <c r="G6100" s="35">
        <v>-15.828207290387871</v>
      </c>
      <c r="H6100" s="35">
        <v>7.7692110950162157</v>
      </c>
      <c r="I6100" s="35">
        <v>-2.977736878926236</v>
      </c>
      <c r="J6100" s="35">
        <v>7.1418027578828642E-3</v>
      </c>
      <c r="K6100" s="35">
        <v>-0.91872433450168223</v>
      </c>
      <c r="L6100" s="35">
        <v>1.8677411567130042</v>
      </c>
      <c r="M6100" s="58" t="s">
        <v>22</v>
      </c>
      <c r="N6100" s="7">
        <v>9.5</v>
      </c>
      <c r="O6100" s="7" t="s">
        <v>178</v>
      </c>
      <c r="P6100" s="7" t="s">
        <v>178</v>
      </c>
    </row>
    <row r="6101" spans="1:16" x14ac:dyDescent="0.25">
      <c r="A6101" t="s">
        <v>181</v>
      </c>
      <c r="B6101" t="s">
        <v>230</v>
      </c>
      <c r="C6101" s="7" t="s">
        <v>171</v>
      </c>
      <c r="D6101" t="s">
        <v>113</v>
      </c>
      <c r="F6101" s="35">
        <v>2</v>
      </c>
      <c r="G6101" s="35">
        <v>-9.8427237703693358</v>
      </c>
      <c r="H6101" s="35">
        <v>1.4056972950933571</v>
      </c>
      <c r="I6101" s="35">
        <v>-2.9777369088866283</v>
      </c>
      <c r="J6101" s="35">
        <v>7.1275291367191278E-3</v>
      </c>
      <c r="K6101" s="35">
        <v>-0.91873955969759546</v>
      </c>
      <c r="L6101" s="35">
        <v>1.8677411567130038</v>
      </c>
      <c r="M6101" s="58" t="s">
        <v>22</v>
      </c>
      <c r="N6101" s="7">
        <v>9.5</v>
      </c>
      <c r="O6101" s="7" t="s">
        <v>178</v>
      </c>
      <c r="P6101" s="7" t="s">
        <v>178</v>
      </c>
    </row>
    <row r="6102" spans="1:16" x14ac:dyDescent="0.25">
      <c r="A6102" t="s">
        <v>181</v>
      </c>
      <c r="B6102" t="s">
        <v>230</v>
      </c>
      <c r="C6102" s="7" t="s">
        <v>171</v>
      </c>
      <c r="D6102" t="s">
        <v>113</v>
      </c>
      <c r="F6102" s="35">
        <v>4.5</v>
      </c>
      <c r="G6102" s="35">
        <v>-8.4769362703693325</v>
      </c>
      <c r="H6102" s="35">
        <v>0.55519729509335713</v>
      </c>
      <c r="I6102" s="35">
        <v>-0.89873690888662816</v>
      </c>
      <c r="J6102" s="35">
        <v>7.1275291367191278E-3</v>
      </c>
      <c r="K6102" s="35">
        <v>3.9268527125189752</v>
      </c>
      <c r="L6102" s="35">
        <v>-0.58337708102038865</v>
      </c>
      <c r="M6102" s="58" t="s">
        <v>24</v>
      </c>
      <c r="N6102" s="7">
        <v>9.5</v>
      </c>
      <c r="O6102" s="7" t="s">
        <v>178</v>
      </c>
      <c r="P6102" s="7" t="s">
        <v>178</v>
      </c>
    </row>
    <row r="6103" spans="1:16" x14ac:dyDescent="0.25">
      <c r="A6103" t="s">
        <v>181</v>
      </c>
      <c r="B6103" t="s">
        <v>230</v>
      </c>
      <c r="C6103" s="7" t="s">
        <v>171</v>
      </c>
      <c r="D6103" t="s">
        <v>113</v>
      </c>
      <c r="F6103" s="35">
        <v>4.5</v>
      </c>
      <c r="G6103" s="35">
        <v>-7.6907998944272018</v>
      </c>
      <c r="H6103" s="35">
        <v>0.55531604468876117</v>
      </c>
      <c r="I6103" s="35">
        <v>-0.91008996345582682</v>
      </c>
      <c r="J6103" s="35">
        <v>-6.9604259513491185E-3</v>
      </c>
      <c r="K6103" s="35">
        <v>3.9268496104889756</v>
      </c>
      <c r="L6103" s="35">
        <v>-1.5660587769696697</v>
      </c>
      <c r="M6103" s="58" t="s">
        <v>24</v>
      </c>
      <c r="N6103" s="7">
        <v>9.5</v>
      </c>
      <c r="O6103" s="7" t="s">
        <v>178</v>
      </c>
      <c r="P6103" s="7" t="s">
        <v>178</v>
      </c>
    </row>
    <row r="6104" spans="1:16" x14ac:dyDescent="0.25">
      <c r="A6104" t="s">
        <v>181</v>
      </c>
      <c r="B6104" t="s">
        <v>230</v>
      </c>
      <c r="C6104" s="7" t="s">
        <v>171</v>
      </c>
      <c r="D6104" t="s">
        <v>113</v>
      </c>
      <c r="F6104" s="35">
        <v>4.6226557908820691</v>
      </c>
      <c r="G6104" s="35">
        <v>-7.6237911960314646</v>
      </c>
      <c r="H6104" s="35">
        <v>0.51358854463068127</v>
      </c>
      <c r="I6104" s="35">
        <v>-0.80808940775829829</v>
      </c>
      <c r="J6104" s="35">
        <v>-6.9604259513491185E-3</v>
      </c>
      <c r="K6104" s="35">
        <v>4.0322219353157385</v>
      </c>
      <c r="L6104" s="35">
        <v>-1.6316124458598946</v>
      </c>
      <c r="M6104" s="58" t="s">
        <v>24</v>
      </c>
      <c r="N6104" s="7">
        <v>9.5</v>
      </c>
      <c r="O6104" s="7" t="s">
        <v>178</v>
      </c>
      <c r="P6104" s="7" t="s">
        <v>178</v>
      </c>
    </row>
    <row r="6105" spans="1:16" x14ac:dyDescent="0.25">
      <c r="A6105" t="s">
        <v>181</v>
      </c>
      <c r="B6105" t="s">
        <v>230</v>
      </c>
      <c r="C6105" s="7" t="s">
        <v>171</v>
      </c>
      <c r="D6105" t="s">
        <v>113</v>
      </c>
      <c r="F6105" s="35">
        <v>9.2453115817641383</v>
      </c>
      <c r="G6105" s="35">
        <v>-5.0983649976357279</v>
      </c>
      <c r="H6105" s="35">
        <v>-1.0590389554273985</v>
      </c>
      <c r="I6105" s="35">
        <v>3.0361111479392306</v>
      </c>
      <c r="J6105" s="35">
        <v>-6.9604259513491185E-3</v>
      </c>
      <c r="K6105" s="35">
        <v>-1.1174668644135275</v>
      </c>
      <c r="L6105" s="35">
        <v>-0.37089769580567072</v>
      </c>
      <c r="M6105" s="58" t="s">
        <v>23</v>
      </c>
      <c r="N6105" s="7">
        <v>9.5</v>
      </c>
      <c r="O6105" s="7" t="s">
        <v>178</v>
      </c>
      <c r="P6105" s="7" t="s">
        <v>178</v>
      </c>
    </row>
    <row r="6106" spans="1:16" x14ac:dyDescent="0.25">
      <c r="A6106" t="s">
        <v>181</v>
      </c>
      <c r="B6106" t="s">
        <v>230</v>
      </c>
      <c r="C6106" s="7" t="s">
        <v>171</v>
      </c>
      <c r="D6106" t="s">
        <v>114</v>
      </c>
      <c r="F6106" s="35">
        <v>0</v>
      </c>
      <c r="G6106" s="35">
        <v>34.845022558780911</v>
      </c>
      <c r="H6106" s="35">
        <v>-16.097712322180623</v>
      </c>
      <c r="I6106" s="35">
        <v>-16.263846981870465</v>
      </c>
      <c r="J6106" s="35">
        <v>1.2775450323070869E-2</v>
      </c>
      <c r="K6106" s="35">
        <v>-23.672697699706855</v>
      </c>
      <c r="L6106" s="35">
        <v>-30.752537222848765</v>
      </c>
      <c r="M6106" s="58" t="s">
        <v>22</v>
      </c>
      <c r="N6106" s="7">
        <v>9.5</v>
      </c>
      <c r="O6106" s="7" t="s">
        <v>178</v>
      </c>
      <c r="P6106" s="7" t="s">
        <v>178</v>
      </c>
    </row>
    <row r="6107" spans="1:16" x14ac:dyDescent="0.25">
      <c r="A6107" t="s">
        <v>181</v>
      </c>
      <c r="B6107" t="s">
        <v>230</v>
      </c>
      <c r="C6107" s="7" t="s">
        <v>171</v>
      </c>
      <c r="D6107" t="s">
        <v>114</v>
      </c>
      <c r="F6107" s="35">
        <v>2</v>
      </c>
      <c r="G6107" s="35">
        <v>35.937652558780911</v>
      </c>
      <c r="H6107" s="35">
        <v>-13.035912322180621</v>
      </c>
      <c r="I6107" s="35">
        <v>-8.8550469818704638</v>
      </c>
      <c r="J6107" s="35">
        <v>1.2775450323070869E-2</v>
      </c>
      <c r="K6107" s="35">
        <v>1.4461962640340764</v>
      </c>
      <c r="L6107" s="35">
        <v>-1.6189125784875191</v>
      </c>
      <c r="M6107" s="58" t="s">
        <v>22</v>
      </c>
      <c r="N6107" s="7">
        <v>9.5</v>
      </c>
      <c r="O6107" s="7" t="s">
        <v>178</v>
      </c>
      <c r="P6107" s="7" t="s">
        <v>178</v>
      </c>
    </row>
    <row r="6108" spans="1:16" x14ac:dyDescent="0.25">
      <c r="A6108" t="s">
        <v>181</v>
      </c>
      <c r="B6108" t="s">
        <v>230</v>
      </c>
      <c r="C6108" s="7" t="s">
        <v>171</v>
      </c>
      <c r="D6108" t="s">
        <v>114</v>
      </c>
      <c r="F6108" s="35">
        <v>2</v>
      </c>
      <c r="G6108" s="35">
        <v>29.432414780701947</v>
      </c>
      <c r="H6108" s="35">
        <v>-6.0759768204089344</v>
      </c>
      <c r="I6108" s="35">
        <v>-8.8550614817141859</v>
      </c>
      <c r="J6108" s="35">
        <v>1.2775789077833385E-2</v>
      </c>
      <c r="K6108" s="35">
        <v>1.4461966253724814</v>
      </c>
      <c r="L6108" s="35">
        <v>-1.6189125784875453</v>
      </c>
      <c r="M6108" s="58" t="s">
        <v>22</v>
      </c>
      <c r="N6108" s="7">
        <v>9.5</v>
      </c>
      <c r="O6108" s="7" t="s">
        <v>178</v>
      </c>
      <c r="P6108" s="7" t="s">
        <v>178</v>
      </c>
    </row>
    <row r="6109" spans="1:16" x14ac:dyDescent="0.25">
      <c r="A6109" t="s">
        <v>181</v>
      </c>
      <c r="B6109" t="s">
        <v>230</v>
      </c>
      <c r="C6109" s="7" t="s">
        <v>171</v>
      </c>
      <c r="D6109" t="s">
        <v>114</v>
      </c>
      <c r="F6109" s="35">
        <v>4.5</v>
      </c>
      <c r="G6109" s="35">
        <v>30.79820228070195</v>
      </c>
      <c r="H6109" s="35">
        <v>-2.2487268204089337</v>
      </c>
      <c r="I6109" s="35">
        <v>0.40593851828581673</v>
      </c>
      <c r="J6109" s="35">
        <v>1.2775789077833385E-2</v>
      </c>
      <c r="K6109" s="35">
        <v>12.00760032965794</v>
      </c>
      <c r="L6109" s="35">
        <v>8.7869669725347901</v>
      </c>
      <c r="M6109" s="58" t="s">
        <v>24</v>
      </c>
      <c r="N6109" s="7">
        <v>9.5</v>
      </c>
      <c r="O6109" s="7" t="s">
        <v>178</v>
      </c>
      <c r="P6109" s="7" t="s">
        <v>178</v>
      </c>
    </row>
    <row r="6110" spans="1:16" x14ac:dyDescent="0.25">
      <c r="A6110" t="s">
        <v>181</v>
      </c>
      <c r="B6110" t="s">
        <v>230</v>
      </c>
      <c r="C6110" s="7" t="s">
        <v>171</v>
      </c>
      <c r="D6110" t="s">
        <v>114</v>
      </c>
      <c r="F6110" s="35">
        <v>4.5</v>
      </c>
      <c r="G6110" s="35">
        <v>31.584338107919734</v>
      </c>
      <c r="H6110" s="35">
        <v>-2.2484062636764612</v>
      </c>
      <c r="I6110" s="35">
        <v>0.38947639075673185</v>
      </c>
      <c r="J6110" s="35">
        <v>-8.2643604116502522E-3</v>
      </c>
      <c r="K6110" s="35">
        <v>12.00760362138783</v>
      </c>
      <c r="L6110" s="35">
        <v>7.8043601762909276</v>
      </c>
      <c r="M6110" s="58" t="s">
        <v>24</v>
      </c>
      <c r="N6110" s="7">
        <v>9.5</v>
      </c>
      <c r="O6110" s="7" t="s">
        <v>178</v>
      </c>
      <c r="P6110" s="7" t="s">
        <v>178</v>
      </c>
    </row>
    <row r="6111" spans="1:16" x14ac:dyDescent="0.25">
      <c r="A6111" t="s">
        <v>181</v>
      </c>
      <c r="B6111" t="s">
        <v>230</v>
      </c>
      <c r="C6111" s="7" t="s">
        <v>171</v>
      </c>
      <c r="D6111" t="s">
        <v>114</v>
      </c>
      <c r="F6111" s="35">
        <v>4.6226557908820691</v>
      </c>
      <c r="G6111" s="35">
        <v>31.65134680631547</v>
      </c>
      <c r="H6111" s="35">
        <v>-2.0606325134151011</v>
      </c>
      <c r="I6111" s="35">
        <v>0.84384250250026871</v>
      </c>
      <c r="J6111" s="35">
        <v>-8.2643604116502522E-3</v>
      </c>
      <c r="K6111" s="35">
        <v>11.931966769256714</v>
      </c>
      <c r="L6111" s="35">
        <v>8.0686244558637608</v>
      </c>
      <c r="M6111" s="58" t="s">
        <v>24</v>
      </c>
      <c r="N6111" s="7">
        <v>9.5</v>
      </c>
      <c r="O6111" s="7" t="s">
        <v>178</v>
      </c>
      <c r="P6111" s="7" t="s">
        <v>178</v>
      </c>
    </row>
    <row r="6112" spans="1:16" x14ac:dyDescent="0.25">
      <c r="A6112" t="s">
        <v>181</v>
      </c>
      <c r="B6112" t="s">
        <v>230</v>
      </c>
      <c r="C6112" s="7" t="s">
        <v>171</v>
      </c>
      <c r="D6112" t="s">
        <v>114</v>
      </c>
      <c r="F6112" s="35">
        <v>9.2453115817641383</v>
      </c>
      <c r="G6112" s="35">
        <v>34.176773004711208</v>
      </c>
      <c r="H6112" s="35">
        <v>5.0161912368462591</v>
      </c>
      <c r="I6112" s="35">
        <v>17.968008614243807</v>
      </c>
      <c r="J6112" s="35">
        <v>-8.2643604116502522E-3</v>
      </c>
      <c r="K6112" s="35">
        <v>-31.54838948175744</v>
      </c>
      <c r="L6112" s="35">
        <v>1.2373591317832349</v>
      </c>
      <c r="M6112" s="58" t="s">
        <v>23</v>
      </c>
      <c r="N6112" s="7">
        <v>9.5</v>
      </c>
      <c r="O6112" s="7" t="s">
        <v>178</v>
      </c>
      <c r="P6112" s="7" t="s">
        <v>178</v>
      </c>
    </row>
    <row r="6113" spans="1:16" x14ac:dyDescent="0.25">
      <c r="A6113" t="s">
        <v>181</v>
      </c>
      <c r="B6113" t="s">
        <v>230</v>
      </c>
      <c r="C6113" s="7" t="s">
        <v>171</v>
      </c>
      <c r="D6113" t="s">
        <v>115</v>
      </c>
      <c r="F6113" s="35">
        <v>0</v>
      </c>
      <c r="G6113" s="35">
        <v>25.621052690576096</v>
      </c>
      <c r="H6113" s="35">
        <v>-22.916298243910568</v>
      </c>
      <c r="I6113" s="35">
        <v>-11.714534902489635</v>
      </c>
      <c r="J6113" s="35">
        <v>1.1430030041856314E-2</v>
      </c>
      <c r="K6113" s="35">
        <v>-17.200329780433517</v>
      </c>
      <c r="L6113" s="35">
        <v>-43.755452826579003</v>
      </c>
      <c r="M6113" s="58" t="s">
        <v>22</v>
      </c>
      <c r="N6113" s="7">
        <v>9.5</v>
      </c>
      <c r="O6113" s="7" t="s">
        <v>178</v>
      </c>
      <c r="P6113" s="7" t="s">
        <v>178</v>
      </c>
    </row>
    <row r="6114" spans="1:16" x14ac:dyDescent="0.25">
      <c r="A6114" t="s">
        <v>181</v>
      </c>
      <c r="B6114" t="s">
        <v>230</v>
      </c>
      <c r="C6114" s="7" t="s">
        <v>171</v>
      </c>
      <c r="D6114" t="s">
        <v>115</v>
      </c>
      <c r="F6114" s="35">
        <v>2</v>
      </c>
      <c r="G6114" s="35">
        <v>26.713682690576096</v>
      </c>
      <c r="H6114" s="35">
        <v>-17.47309824391057</v>
      </c>
      <c r="I6114" s="35">
        <v>-6.4225349024896365</v>
      </c>
      <c r="J6114" s="35">
        <v>1.1430030041856314E-2</v>
      </c>
      <c r="K6114" s="35">
        <v>0.93674002454575334</v>
      </c>
      <c r="L6114" s="35">
        <v>-3.3660563387578692</v>
      </c>
      <c r="M6114" s="58" t="s">
        <v>22</v>
      </c>
      <c r="N6114" s="7">
        <v>9.5</v>
      </c>
      <c r="O6114" s="7" t="s">
        <v>178</v>
      </c>
      <c r="P6114" s="7" t="s">
        <v>178</v>
      </c>
    </row>
    <row r="6115" spans="1:16" x14ac:dyDescent="0.25">
      <c r="A6115" t="s">
        <v>181</v>
      </c>
      <c r="B6115" t="s">
        <v>230</v>
      </c>
      <c r="C6115" s="7" t="s">
        <v>171</v>
      </c>
      <c r="D6115" t="s">
        <v>115</v>
      </c>
      <c r="F6115" s="35">
        <v>2</v>
      </c>
      <c r="G6115" s="35">
        <v>20.453127574929812</v>
      </c>
      <c r="H6115" s="35">
        <v>-10.77415854439071</v>
      </c>
      <c r="I6115" s="35">
        <v>-6.4225481338998902</v>
      </c>
      <c r="J6115" s="35">
        <v>1.1425222285549994E-2</v>
      </c>
      <c r="K6115" s="35">
        <v>0.9367348962723534</v>
      </c>
      <c r="L6115" s="35">
        <v>-3.3660563387578386</v>
      </c>
      <c r="M6115" s="58" t="s">
        <v>22</v>
      </c>
      <c r="N6115" s="7">
        <v>9.5</v>
      </c>
      <c r="O6115" s="7" t="s">
        <v>178</v>
      </c>
      <c r="P6115" s="7" t="s">
        <v>178</v>
      </c>
    </row>
    <row r="6116" spans="1:16" x14ac:dyDescent="0.25">
      <c r="A6116" t="s">
        <v>181</v>
      </c>
      <c r="B6116" t="s">
        <v>230</v>
      </c>
      <c r="C6116" s="7" t="s">
        <v>171</v>
      </c>
      <c r="D6116" t="s">
        <v>115</v>
      </c>
      <c r="F6116" s="35">
        <v>4.5</v>
      </c>
      <c r="G6116" s="35">
        <v>21.818915074929812</v>
      </c>
      <c r="H6116" s="35">
        <v>-3.9701585443907095</v>
      </c>
      <c r="I6116" s="35">
        <v>0.19245186610010975</v>
      </c>
      <c r="J6116" s="35">
        <v>1.1425222285549994E-2</v>
      </c>
      <c r="K6116" s="35">
        <v>8.7243552310220789</v>
      </c>
      <c r="L6116" s="35">
        <v>15.064340022218932</v>
      </c>
      <c r="M6116" s="58" t="s">
        <v>24</v>
      </c>
      <c r="N6116" s="7">
        <v>9.5</v>
      </c>
      <c r="O6116" s="7" t="s">
        <v>178</v>
      </c>
      <c r="P6116" s="7" t="s">
        <v>178</v>
      </c>
    </row>
    <row r="6117" spans="1:16" x14ac:dyDescent="0.25">
      <c r="A6117" t="s">
        <v>181</v>
      </c>
      <c r="B6117" t="s">
        <v>230</v>
      </c>
      <c r="C6117" s="7" t="s">
        <v>171</v>
      </c>
      <c r="D6117" t="s">
        <v>115</v>
      </c>
      <c r="F6117" s="35">
        <v>4.5</v>
      </c>
      <c r="G6117" s="35">
        <v>22.605050737752766</v>
      </c>
      <c r="H6117" s="35">
        <v>-3.9696208299688962</v>
      </c>
      <c r="I6117" s="35">
        <v>0.18086671210867278</v>
      </c>
      <c r="J6117" s="35">
        <v>-4.7583282554832127E-3</v>
      </c>
      <c r="K6117" s="35">
        <v>8.7243585988244945</v>
      </c>
      <c r="L6117" s="35">
        <v>14.081783008494904</v>
      </c>
      <c r="M6117" s="58" t="s">
        <v>24</v>
      </c>
      <c r="N6117" s="7">
        <v>9.5</v>
      </c>
      <c r="O6117" s="7" t="s">
        <v>178</v>
      </c>
      <c r="P6117" s="7" t="s">
        <v>178</v>
      </c>
    </row>
    <row r="6118" spans="1:16" x14ac:dyDescent="0.25">
      <c r="A6118" t="s">
        <v>181</v>
      </c>
      <c r="B6118" t="s">
        <v>230</v>
      </c>
      <c r="C6118" s="7" t="s">
        <v>171</v>
      </c>
      <c r="D6118" t="s">
        <v>115</v>
      </c>
      <c r="F6118" s="35">
        <v>4.6226557908820691</v>
      </c>
      <c r="G6118" s="35">
        <v>22.672059436148505</v>
      </c>
      <c r="H6118" s="35">
        <v>-3.6358008295042565</v>
      </c>
      <c r="I6118" s="35">
        <v>0.50541393478262775</v>
      </c>
      <c r="J6118" s="35">
        <v>-4.7583282554832127E-3</v>
      </c>
      <c r="K6118" s="35">
        <v>8.6822704510687405</v>
      </c>
      <c r="L6118" s="35">
        <v>14.548207512812052</v>
      </c>
      <c r="M6118" s="58" t="s">
        <v>24</v>
      </c>
      <c r="N6118" s="7">
        <v>9.5</v>
      </c>
      <c r="O6118" s="7" t="s">
        <v>178</v>
      </c>
      <c r="P6118" s="7" t="s">
        <v>178</v>
      </c>
    </row>
    <row r="6119" spans="1:16" x14ac:dyDescent="0.25">
      <c r="A6119" t="s">
        <v>181</v>
      </c>
      <c r="B6119" t="s">
        <v>230</v>
      </c>
      <c r="C6119" s="7" t="s">
        <v>171</v>
      </c>
      <c r="D6119" t="s">
        <v>115</v>
      </c>
      <c r="F6119" s="35">
        <v>9.2453115817641383</v>
      </c>
      <c r="G6119" s="35">
        <v>25.19748563454424</v>
      </c>
      <c r="H6119" s="35">
        <v>8.9452191709603817</v>
      </c>
      <c r="I6119" s="35">
        <v>12.73696115745658</v>
      </c>
      <c r="J6119" s="35">
        <v>-4.7583282554832127E-3</v>
      </c>
      <c r="K6119" s="35">
        <v>-21.925200501517281</v>
      </c>
      <c r="L6119" s="35">
        <v>2.2764007916382432</v>
      </c>
      <c r="M6119" s="58" t="s">
        <v>23</v>
      </c>
      <c r="N6119" s="7">
        <v>9.5</v>
      </c>
      <c r="O6119" s="7" t="s">
        <v>178</v>
      </c>
      <c r="P6119" s="7" t="s">
        <v>178</v>
      </c>
    </row>
    <row r="6120" spans="1:16" x14ac:dyDescent="0.25">
      <c r="A6120" t="s">
        <v>181</v>
      </c>
      <c r="B6120" t="s">
        <v>230</v>
      </c>
      <c r="C6120" s="7" t="s">
        <v>171</v>
      </c>
      <c r="D6120" t="s">
        <v>116</v>
      </c>
      <c r="F6120" s="35">
        <v>0</v>
      </c>
      <c r="G6120" s="35">
        <v>8.7593016131147543</v>
      </c>
      <c r="H6120" s="35">
        <v>24.649702622269725</v>
      </c>
      <c r="I6120" s="35">
        <v>10.101345101809013</v>
      </c>
      <c r="J6120" s="35">
        <v>-2.1467045999529272E-2</v>
      </c>
      <c r="K6120" s="35">
        <v>24.915634344850982</v>
      </c>
      <c r="L6120" s="35">
        <v>47.426291204757277</v>
      </c>
      <c r="M6120" s="58" t="s">
        <v>22</v>
      </c>
      <c r="N6120" s="7">
        <v>9.5</v>
      </c>
      <c r="O6120" s="7" t="s">
        <v>178</v>
      </c>
      <c r="P6120" s="7" t="s">
        <v>178</v>
      </c>
    </row>
    <row r="6121" spans="1:16" x14ac:dyDescent="0.25">
      <c r="A6121" t="s">
        <v>181</v>
      </c>
      <c r="B6121" t="s">
        <v>230</v>
      </c>
      <c r="C6121" s="7" t="s">
        <v>171</v>
      </c>
      <c r="D6121" t="s">
        <v>116</v>
      </c>
      <c r="F6121" s="35">
        <v>2</v>
      </c>
      <c r="G6121" s="35">
        <v>9.8519316131147558</v>
      </c>
      <c r="H6121" s="35">
        <v>16.314802622269728</v>
      </c>
      <c r="I6121" s="35">
        <v>7.3797451018090126</v>
      </c>
      <c r="J6121" s="35">
        <v>-2.1467045999529272E-2</v>
      </c>
      <c r="K6121" s="35">
        <v>7.4345441412329549</v>
      </c>
      <c r="L6121" s="35">
        <v>6.4617859602178207</v>
      </c>
      <c r="M6121" s="58" t="s">
        <v>22</v>
      </c>
      <c r="N6121" s="7">
        <v>9.5</v>
      </c>
      <c r="O6121" s="7" t="s">
        <v>178</v>
      </c>
      <c r="P6121" s="7" t="s">
        <v>178</v>
      </c>
    </row>
    <row r="6122" spans="1:16" x14ac:dyDescent="0.25">
      <c r="A6122" t="s">
        <v>181</v>
      </c>
      <c r="B6122" t="s">
        <v>230</v>
      </c>
      <c r="C6122" s="7" t="s">
        <v>171</v>
      </c>
      <c r="D6122" t="s">
        <v>116</v>
      </c>
      <c r="F6122" s="35">
        <v>2</v>
      </c>
      <c r="G6122" s="35">
        <v>9.8187865265971688</v>
      </c>
      <c r="H6122" s="35">
        <v>16.371169566477935</v>
      </c>
      <c r="I6122" s="35">
        <v>7.3797423388369996</v>
      </c>
      <c r="J6122" s="35">
        <v>-2.1444832727595384E-2</v>
      </c>
      <c r="K6122" s="35">
        <v>7.4345678353896893</v>
      </c>
      <c r="L6122" s="35">
        <v>6.4617859602178473</v>
      </c>
      <c r="M6122" s="58" t="s">
        <v>22</v>
      </c>
      <c r="N6122" s="7">
        <v>9.5</v>
      </c>
      <c r="O6122" s="7" t="s">
        <v>178</v>
      </c>
      <c r="P6122" s="7" t="s">
        <v>178</v>
      </c>
    </row>
    <row r="6123" spans="1:16" x14ac:dyDescent="0.25">
      <c r="A6123" t="s">
        <v>181</v>
      </c>
      <c r="B6123" t="s">
        <v>230</v>
      </c>
      <c r="C6123" s="7" t="s">
        <v>171</v>
      </c>
      <c r="D6123" t="s">
        <v>116</v>
      </c>
      <c r="F6123" s="35">
        <v>4.5</v>
      </c>
      <c r="G6123" s="35">
        <v>11.18457402659717</v>
      </c>
      <c r="H6123" s="35">
        <v>5.9525445664779344</v>
      </c>
      <c r="I6123" s="35">
        <v>3.9777423388369999</v>
      </c>
      <c r="J6123" s="35">
        <v>-2.1444832727595384E-2</v>
      </c>
      <c r="K6123" s="35">
        <v>-6.7622880117028092</v>
      </c>
      <c r="L6123" s="35">
        <v>-21.442856705976983</v>
      </c>
      <c r="M6123" s="58" t="s">
        <v>24</v>
      </c>
      <c r="N6123" s="7">
        <v>9.5</v>
      </c>
      <c r="O6123" s="7" t="s">
        <v>178</v>
      </c>
      <c r="P6123" s="7" t="s">
        <v>178</v>
      </c>
    </row>
    <row r="6124" spans="1:16" x14ac:dyDescent="0.25">
      <c r="A6124" t="s">
        <v>181</v>
      </c>
      <c r="B6124" t="s">
        <v>230</v>
      </c>
      <c r="C6124" s="7" t="s">
        <v>171</v>
      </c>
      <c r="D6124" t="s">
        <v>116</v>
      </c>
      <c r="F6124" s="35">
        <v>4.5</v>
      </c>
      <c r="G6124" s="35">
        <v>11.970705470259434</v>
      </c>
      <c r="H6124" s="35">
        <v>5.9519345466731783</v>
      </c>
      <c r="I6124" s="35">
        <v>4.0044746966610516</v>
      </c>
      <c r="J6124" s="35">
        <v>1.3128045134251457E-2</v>
      </c>
      <c r="K6124" s="35">
        <v>-6.7622608687747343</v>
      </c>
      <c r="L6124" s="35">
        <v>-22.42563375663504</v>
      </c>
      <c r="M6124" s="58" t="s">
        <v>24</v>
      </c>
      <c r="N6124" s="7">
        <v>9.5</v>
      </c>
      <c r="O6124" s="7" t="s">
        <v>178</v>
      </c>
      <c r="P6124" s="7" t="s">
        <v>178</v>
      </c>
    </row>
    <row r="6125" spans="1:16" x14ac:dyDescent="0.25">
      <c r="A6125" t="s">
        <v>181</v>
      </c>
      <c r="B6125" t="s">
        <v>230</v>
      </c>
      <c r="C6125" s="7" t="s">
        <v>171</v>
      </c>
      <c r="D6125" t="s">
        <v>116</v>
      </c>
      <c r="F6125" s="35">
        <v>4.6226557908820691</v>
      </c>
      <c r="G6125" s="35">
        <v>12.037714168655171</v>
      </c>
      <c r="H6125" s="35">
        <v>5.4407726709616986</v>
      </c>
      <c r="I6125" s="35">
        <v>3.8375646964287329</v>
      </c>
      <c r="J6125" s="35">
        <v>1.3128045134251457E-2</v>
      </c>
      <c r="K6125" s="35">
        <v>-7.2431966407186188</v>
      </c>
      <c r="L6125" s="35">
        <v>-23.124324513668473</v>
      </c>
      <c r="M6125" s="58" t="s">
        <v>24</v>
      </c>
      <c r="N6125" s="7">
        <v>9.5</v>
      </c>
      <c r="O6125" s="7" t="s">
        <v>178</v>
      </c>
      <c r="P6125" s="7" t="s">
        <v>178</v>
      </c>
    </row>
    <row r="6126" spans="1:16" x14ac:dyDescent="0.25">
      <c r="A6126" t="s">
        <v>181</v>
      </c>
      <c r="B6126" t="s">
        <v>230</v>
      </c>
      <c r="C6126" s="7" t="s">
        <v>171</v>
      </c>
      <c r="D6126" t="s">
        <v>116</v>
      </c>
      <c r="F6126" s="35">
        <v>9.2453115817641383</v>
      </c>
      <c r="G6126" s="35">
        <v>14.563140367050908</v>
      </c>
      <c r="H6126" s="35">
        <v>-13.82391420474978</v>
      </c>
      <c r="I6126" s="35">
        <v>-2.4529453038035864</v>
      </c>
      <c r="J6126" s="35">
        <v>1.3128045134251457E-2</v>
      </c>
      <c r="K6126" s="35">
        <v>-10.443506067461742</v>
      </c>
      <c r="L6126" s="35">
        <v>-3.7481356351937456</v>
      </c>
      <c r="M6126" s="58" t="s">
        <v>23</v>
      </c>
      <c r="N6126" s="7">
        <v>9.5</v>
      </c>
      <c r="O6126" s="7" t="s">
        <v>178</v>
      </c>
      <c r="P6126" s="7" t="s">
        <v>178</v>
      </c>
    </row>
    <row r="6127" spans="1:16" x14ac:dyDescent="0.25">
      <c r="A6127" t="s">
        <v>181</v>
      </c>
      <c r="B6127" t="s">
        <v>230</v>
      </c>
      <c r="C6127" s="7" t="s">
        <v>171</v>
      </c>
      <c r="D6127" t="s">
        <v>117</v>
      </c>
      <c r="F6127" s="35">
        <v>0</v>
      </c>
      <c r="G6127" s="35">
        <v>-24.6642440074116</v>
      </c>
      <c r="H6127" s="35">
        <v>19.051390738807118</v>
      </c>
      <c r="I6127" s="35">
        <v>14.245485440451899</v>
      </c>
      <c r="J6127" s="35">
        <v>-1.1762854972638992E-2</v>
      </c>
      <c r="K6127" s="35">
        <v>34.353114175493268</v>
      </c>
      <c r="L6127" s="35">
        <v>36.632525707293716</v>
      </c>
      <c r="M6127" s="58" t="s">
        <v>22</v>
      </c>
      <c r="N6127" s="7">
        <v>9.5</v>
      </c>
      <c r="O6127" s="7" t="s">
        <v>178</v>
      </c>
      <c r="P6127" s="7" t="s">
        <v>178</v>
      </c>
    </row>
    <row r="6128" spans="1:16" x14ac:dyDescent="0.25">
      <c r="A6128" t="s">
        <v>181</v>
      </c>
      <c r="B6128" t="s">
        <v>230</v>
      </c>
      <c r="C6128" s="7" t="s">
        <v>171</v>
      </c>
      <c r="D6128" t="s">
        <v>117</v>
      </c>
      <c r="F6128" s="35">
        <v>2</v>
      </c>
      <c r="G6128" s="35">
        <v>-23.571614007411601</v>
      </c>
      <c r="H6128" s="35">
        <v>13.097890738807116</v>
      </c>
      <c r="I6128" s="35">
        <v>9.4070854404518993</v>
      </c>
      <c r="J6128" s="35">
        <v>-1.1762854972638992E-2</v>
      </c>
      <c r="K6128" s="35">
        <v>10.700543294589469</v>
      </c>
      <c r="L6128" s="35">
        <v>4.4832442296794888</v>
      </c>
      <c r="M6128" s="58" t="s">
        <v>22</v>
      </c>
      <c r="N6128" s="7">
        <v>9.5</v>
      </c>
      <c r="O6128" s="7" t="s">
        <v>178</v>
      </c>
      <c r="P6128" s="7" t="s">
        <v>178</v>
      </c>
    </row>
    <row r="6129" spans="1:16" x14ac:dyDescent="0.25">
      <c r="A6129" t="s">
        <v>181</v>
      </c>
      <c r="B6129" t="s">
        <v>230</v>
      </c>
      <c r="C6129" s="7" t="s">
        <v>171</v>
      </c>
      <c r="D6129" t="s">
        <v>117</v>
      </c>
      <c r="F6129" s="35">
        <v>2</v>
      </c>
      <c r="G6129" s="35">
        <v>-22.186923845602262</v>
      </c>
      <c r="H6129" s="35">
        <v>11.64189825203835</v>
      </c>
      <c r="I6129" s="35">
        <v>9.4070825540002136</v>
      </c>
      <c r="J6129" s="35">
        <v>-1.1796131105602731E-2</v>
      </c>
      <c r="K6129" s="35">
        <v>10.700507800047712</v>
      </c>
      <c r="L6129" s="35">
        <v>4.4832442296794639</v>
      </c>
      <c r="M6129" s="58" t="s">
        <v>22</v>
      </c>
      <c r="N6129" s="7">
        <v>9.5</v>
      </c>
      <c r="O6129" s="7" t="s">
        <v>178</v>
      </c>
      <c r="P6129" s="7" t="s">
        <v>178</v>
      </c>
    </row>
    <row r="6130" spans="1:16" x14ac:dyDescent="0.25">
      <c r="A6130" t="s">
        <v>181</v>
      </c>
      <c r="B6130" t="s">
        <v>230</v>
      </c>
      <c r="C6130" s="7" t="s">
        <v>171</v>
      </c>
      <c r="D6130" t="s">
        <v>117</v>
      </c>
      <c r="F6130" s="35">
        <v>4.5</v>
      </c>
      <c r="G6130" s="35">
        <v>-20.821136345602262</v>
      </c>
      <c r="H6130" s="35">
        <v>4.2000232520383491</v>
      </c>
      <c r="I6130" s="35">
        <v>3.3590825540002127</v>
      </c>
      <c r="J6130" s="35">
        <v>-1.1796131105602731E-2</v>
      </c>
      <c r="K6130" s="35">
        <v>-5.2571985849528202</v>
      </c>
      <c r="L6130" s="35">
        <v>-15.319157650416409</v>
      </c>
      <c r="M6130" s="58" t="s">
        <v>24</v>
      </c>
      <c r="N6130" s="7">
        <v>9.5</v>
      </c>
      <c r="O6130" s="7" t="s">
        <v>178</v>
      </c>
      <c r="P6130" s="7" t="s">
        <v>178</v>
      </c>
    </row>
    <row r="6131" spans="1:16" x14ac:dyDescent="0.25">
      <c r="A6131" t="s">
        <v>181</v>
      </c>
      <c r="B6131" t="s">
        <v>230</v>
      </c>
      <c r="C6131" s="7" t="s">
        <v>171</v>
      </c>
      <c r="D6131" t="s">
        <v>117</v>
      </c>
      <c r="F6131" s="35">
        <v>4.5</v>
      </c>
      <c r="G6131" s="35">
        <v>-20.035009698598966</v>
      </c>
      <c r="H6131" s="35">
        <v>4.1998110220016374</v>
      </c>
      <c r="I6131" s="35">
        <v>3.373984813252294</v>
      </c>
      <c r="J6131" s="35">
        <v>6.8970455364358221E-3</v>
      </c>
      <c r="K6131" s="35">
        <v>-5.2571556649726512</v>
      </c>
      <c r="L6131" s="35">
        <v>-16.301878505905272</v>
      </c>
      <c r="M6131" s="58" t="s">
        <v>24</v>
      </c>
      <c r="N6131" s="7">
        <v>9.5</v>
      </c>
      <c r="O6131" s="7" t="s">
        <v>178</v>
      </c>
      <c r="P6131" s="7" t="s">
        <v>178</v>
      </c>
    </row>
    <row r="6132" spans="1:16" x14ac:dyDescent="0.25">
      <c r="A6132" t="s">
        <v>181</v>
      </c>
      <c r="B6132" t="s">
        <v>230</v>
      </c>
      <c r="C6132" s="7" t="s">
        <v>171</v>
      </c>
      <c r="D6132" t="s">
        <v>117</v>
      </c>
      <c r="F6132" s="35">
        <v>4.6226557908820691</v>
      </c>
      <c r="G6132" s="35">
        <v>-19.968001000203227</v>
      </c>
      <c r="H6132" s="35">
        <v>3.8346953964934376</v>
      </c>
      <c r="I6132" s="35">
        <v>3.0772559239503927</v>
      </c>
      <c r="J6132" s="35">
        <v>6.8970455364358221E-3</v>
      </c>
      <c r="K6132" s="35">
        <v>-5.6527966823687592</v>
      </c>
      <c r="L6132" s="35">
        <v>-16.794617875459057</v>
      </c>
      <c r="M6132" s="58" t="s">
        <v>24</v>
      </c>
      <c r="N6132" s="7">
        <v>9.5</v>
      </c>
      <c r="O6132" s="7" t="s">
        <v>178</v>
      </c>
      <c r="P6132" s="7" t="s">
        <v>178</v>
      </c>
    </row>
    <row r="6133" spans="1:16" x14ac:dyDescent="0.25">
      <c r="A6133" t="s">
        <v>181</v>
      </c>
      <c r="B6133" t="s">
        <v>230</v>
      </c>
      <c r="C6133" s="7" t="s">
        <v>171</v>
      </c>
      <c r="D6133" t="s">
        <v>117</v>
      </c>
      <c r="F6133" s="35">
        <v>9.2453115817641383</v>
      </c>
      <c r="G6133" s="35">
        <v>-17.442574801807492</v>
      </c>
      <c r="H6133" s="35">
        <v>-9.92579522901476</v>
      </c>
      <c r="I6133" s="35">
        <v>-8.1058729653515087</v>
      </c>
      <c r="J6133" s="35">
        <v>6.8970455364358221E-3</v>
      </c>
      <c r="K6133" s="35">
        <v>5.9699861609118017</v>
      </c>
      <c r="L6133" s="35">
        <v>-2.7160889186363057</v>
      </c>
      <c r="M6133" s="58" t="s">
        <v>23</v>
      </c>
      <c r="N6133" s="7">
        <v>9.5</v>
      </c>
      <c r="O6133" s="7" t="s">
        <v>178</v>
      </c>
      <c r="P6133" s="7" t="s">
        <v>178</v>
      </c>
    </row>
    <row r="6134" spans="1:16" x14ac:dyDescent="0.25">
      <c r="A6134" t="s">
        <v>181</v>
      </c>
      <c r="B6134" t="s">
        <v>230</v>
      </c>
      <c r="C6134" s="7" t="s">
        <v>171</v>
      </c>
      <c r="D6134" t="s">
        <v>118</v>
      </c>
      <c r="F6134" s="35">
        <v>0</v>
      </c>
      <c r="G6134" s="35">
        <v>-2.984967734262312</v>
      </c>
      <c r="H6134" s="35">
        <v>18.299871365516641</v>
      </c>
      <c r="I6134" s="35">
        <v>-8.4063891710218748</v>
      </c>
      <c r="J6134" s="35">
        <v>3.6212887269831072E-3</v>
      </c>
      <c r="K6134" s="35">
        <v>-19.315988451382445</v>
      </c>
      <c r="L6134" s="35">
        <v>35.551657410889398</v>
      </c>
      <c r="M6134" s="58" t="s">
        <v>22</v>
      </c>
      <c r="N6134" s="7">
        <v>9.5</v>
      </c>
      <c r="O6134" s="7" t="s">
        <v>178</v>
      </c>
      <c r="P6134" s="7" t="s">
        <v>178</v>
      </c>
    </row>
    <row r="6135" spans="1:16" x14ac:dyDescent="0.25">
      <c r="A6135" t="s">
        <v>181</v>
      </c>
      <c r="B6135" t="s">
        <v>230</v>
      </c>
      <c r="C6135" s="7" t="s">
        <v>171</v>
      </c>
      <c r="D6135" t="s">
        <v>118</v>
      </c>
      <c r="F6135" s="35">
        <v>2</v>
      </c>
      <c r="G6135" s="35">
        <v>-1.8923377342623113</v>
      </c>
      <c r="H6135" s="35">
        <v>12.34637136551664</v>
      </c>
      <c r="I6135" s="35">
        <v>-5.5335891710218741</v>
      </c>
      <c r="J6135" s="35">
        <v>3.6212887269831072E-3</v>
      </c>
      <c r="K6135" s="35">
        <v>-5.3760101093387007</v>
      </c>
      <c r="L6135" s="35">
        <v>4.905414679856122</v>
      </c>
      <c r="M6135" s="58" t="s">
        <v>22</v>
      </c>
      <c r="N6135" s="7">
        <v>9.5</v>
      </c>
      <c r="O6135" s="7" t="s">
        <v>178</v>
      </c>
      <c r="P6135" s="7" t="s">
        <v>178</v>
      </c>
    </row>
    <row r="6136" spans="1:16" x14ac:dyDescent="0.25">
      <c r="A6136" t="s">
        <v>181</v>
      </c>
      <c r="B6136" t="s">
        <v>230</v>
      </c>
      <c r="C6136" s="7" t="s">
        <v>171</v>
      </c>
      <c r="D6136" t="s">
        <v>118</v>
      </c>
      <c r="F6136" s="35">
        <v>2</v>
      </c>
      <c r="G6136" s="35">
        <v>-1.264995691927608</v>
      </c>
      <c r="H6136" s="35">
        <v>11.698217058929918</v>
      </c>
      <c r="I6136" s="35">
        <v>-5.53358288810381</v>
      </c>
      <c r="J6136" s="35">
        <v>3.6255057044682929E-3</v>
      </c>
      <c r="K6136" s="35">
        <v>-5.3760056112293997</v>
      </c>
      <c r="L6136" s="35">
        <v>4.9054146798561238</v>
      </c>
      <c r="M6136" s="58" t="s">
        <v>22</v>
      </c>
      <c r="N6136" s="7">
        <v>9.5</v>
      </c>
      <c r="O6136" s="7" t="s">
        <v>178</v>
      </c>
      <c r="P6136" s="7" t="s">
        <v>178</v>
      </c>
    </row>
    <row r="6137" spans="1:16" x14ac:dyDescent="0.25">
      <c r="A6137" t="s">
        <v>181</v>
      </c>
      <c r="B6137" t="s">
        <v>230</v>
      </c>
      <c r="C6137" s="7" t="s">
        <v>171</v>
      </c>
      <c r="D6137" t="s">
        <v>118</v>
      </c>
      <c r="F6137" s="35">
        <v>4.5</v>
      </c>
      <c r="G6137" s="35">
        <v>0.10079180807239388</v>
      </c>
      <c r="H6137" s="35">
        <v>4.2563420589299161</v>
      </c>
      <c r="I6137" s="35">
        <v>-1.9425828881038094</v>
      </c>
      <c r="J6137" s="35">
        <v>3.6255057044682929E-3</v>
      </c>
      <c r="K6137" s="35">
        <v>3.9692016090301236</v>
      </c>
      <c r="L6137" s="35">
        <v>-15.037784217468666</v>
      </c>
      <c r="M6137" s="58" t="s">
        <v>24</v>
      </c>
      <c r="N6137" s="7">
        <v>9.5</v>
      </c>
      <c r="O6137" s="7" t="s">
        <v>178</v>
      </c>
      <c r="P6137" s="7" t="s">
        <v>178</v>
      </c>
    </row>
    <row r="6138" spans="1:16" x14ac:dyDescent="0.25">
      <c r="A6138" t="s">
        <v>181</v>
      </c>
      <c r="B6138" t="s">
        <v>230</v>
      </c>
      <c r="C6138" s="7" t="s">
        <v>171</v>
      </c>
      <c r="D6138" t="s">
        <v>118</v>
      </c>
      <c r="F6138" s="35">
        <v>4.5</v>
      </c>
      <c r="G6138" s="35">
        <v>0.88693271503949456</v>
      </c>
      <c r="H6138" s="35">
        <v>4.2557961114786638</v>
      </c>
      <c r="I6138" s="35">
        <v>-1.9552048442191436</v>
      </c>
      <c r="J6138" s="35">
        <v>-9.0147362690264111E-3</v>
      </c>
      <c r="K6138" s="35">
        <v>3.9691789289765902</v>
      </c>
      <c r="L6138" s="35">
        <v>-16.020584056700301</v>
      </c>
      <c r="M6138" s="58" t="s">
        <v>24</v>
      </c>
      <c r="N6138" s="7">
        <v>9.5</v>
      </c>
      <c r="O6138" s="7" t="s">
        <v>178</v>
      </c>
      <c r="P6138" s="7" t="s">
        <v>178</v>
      </c>
    </row>
    <row r="6139" spans="1:16" x14ac:dyDescent="0.25">
      <c r="A6139" t="s">
        <v>181</v>
      </c>
      <c r="B6139" t="s">
        <v>230</v>
      </c>
      <c r="C6139" s="7" t="s">
        <v>171</v>
      </c>
      <c r="D6139" t="s">
        <v>118</v>
      </c>
      <c r="F6139" s="35">
        <v>4.6226557908820691</v>
      </c>
      <c r="G6139" s="35">
        <v>0.95394141343523164</v>
      </c>
      <c r="H6139" s="35">
        <v>3.8906804859704645</v>
      </c>
      <c r="I6139" s="35">
        <v>-1.7790220661961396</v>
      </c>
      <c r="J6139" s="35">
        <v>-9.0147362690264111E-3</v>
      </c>
      <c r="K6139" s="35">
        <v>4.1981912064916367</v>
      </c>
      <c r="L6139" s="35">
        <v>-16.520190321681497</v>
      </c>
      <c r="M6139" s="58" t="s">
        <v>24</v>
      </c>
      <c r="N6139" s="7">
        <v>9.5</v>
      </c>
      <c r="O6139" s="7" t="s">
        <v>178</v>
      </c>
      <c r="P6139" s="7" t="s">
        <v>178</v>
      </c>
    </row>
    <row r="6140" spans="1:16" x14ac:dyDescent="0.25">
      <c r="A6140" t="s">
        <v>181</v>
      </c>
      <c r="B6140" t="s">
        <v>230</v>
      </c>
      <c r="C6140" s="7" t="s">
        <v>171</v>
      </c>
      <c r="D6140" t="s">
        <v>118</v>
      </c>
      <c r="F6140" s="35">
        <v>9.2453115817641383</v>
      </c>
      <c r="G6140" s="35">
        <v>3.479367611830968</v>
      </c>
      <c r="H6140" s="35">
        <v>-9.8698101395377336</v>
      </c>
      <c r="I6140" s="35">
        <v>4.8609607118268654</v>
      </c>
      <c r="J6140" s="35">
        <v>-9.0147362690264111E-3</v>
      </c>
      <c r="K6140" s="35">
        <v>-2.9251795571924215</v>
      </c>
      <c r="L6140" s="35">
        <v>-2.7004611629327759</v>
      </c>
      <c r="M6140" s="58" t="s">
        <v>23</v>
      </c>
      <c r="N6140" s="7">
        <v>9.5</v>
      </c>
      <c r="O6140" s="7" t="s">
        <v>178</v>
      </c>
      <c r="P6140" s="7" t="s">
        <v>178</v>
      </c>
    </row>
    <row r="6141" spans="1:16" x14ac:dyDescent="0.25">
      <c r="A6141" t="s">
        <v>181</v>
      </c>
      <c r="B6141" t="s">
        <v>230</v>
      </c>
      <c r="C6141" s="7" t="s">
        <v>171</v>
      </c>
      <c r="D6141" t="s">
        <v>119</v>
      </c>
      <c r="F6141" s="35">
        <v>0</v>
      </c>
      <c r="G6141" s="35">
        <v>-16.573517363090218</v>
      </c>
      <c r="H6141" s="35">
        <v>12.253383986050203</v>
      </c>
      <c r="I6141" s="35">
        <v>-5.9920987670413712</v>
      </c>
      <c r="J6141" s="35">
        <v>3.7718284792869483E-3</v>
      </c>
      <c r="K6141" s="35">
        <v>-23.924793130809682</v>
      </c>
      <c r="L6141" s="35">
        <v>24.187089897732566</v>
      </c>
      <c r="M6141" s="58" t="s">
        <v>22</v>
      </c>
      <c r="N6141" s="7">
        <v>9.5</v>
      </c>
      <c r="O6141" s="7" t="s">
        <v>178</v>
      </c>
      <c r="P6141" s="7" t="s">
        <v>178</v>
      </c>
    </row>
    <row r="6142" spans="1:16" x14ac:dyDescent="0.25">
      <c r="A6142" t="s">
        <v>181</v>
      </c>
      <c r="B6142" t="s">
        <v>230</v>
      </c>
      <c r="C6142" s="7" t="s">
        <v>171</v>
      </c>
      <c r="D6142" t="s">
        <v>119</v>
      </c>
      <c r="F6142" s="35">
        <v>2</v>
      </c>
      <c r="G6142" s="35">
        <v>-15.480887363090215</v>
      </c>
      <c r="H6142" s="35">
        <v>8.6812839860502002</v>
      </c>
      <c r="I6142" s="35">
        <v>-5.236098767041371</v>
      </c>
      <c r="J6142" s="35">
        <v>3.7718284792869483E-3</v>
      </c>
      <c r="K6142" s="35">
        <v>-12.696595596726944</v>
      </c>
      <c r="L6142" s="35">
        <v>3.2524219256321585</v>
      </c>
      <c r="M6142" s="58" t="s">
        <v>22</v>
      </c>
      <c r="N6142" s="7">
        <v>9.5</v>
      </c>
      <c r="O6142" s="7" t="s">
        <v>178</v>
      </c>
      <c r="P6142" s="7" t="s">
        <v>178</v>
      </c>
    </row>
    <row r="6143" spans="1:16" x14ac:dyDescent="0.25">
      <c r="A6143" t="s">
        <v>181</v>
      </c>
      <c r="B6143" t="s">
        <v>230</v>
      </c>
      <c r="C6143" s="7" t="s">
        <v>171</v>
      </c>
      <c r="D6143" t="s">
        <v>119</v>
      </c>
      <c r="F6143" s="35">
        <v>2</v>
      </c>
      <c r="G6143" s="35">
        <v>-13.896753773603328</v>
      </c>
      <c r="H6143" s="35">
        <v>7.0125500501265865</v>
      </c>
      <c r="I6143" s="35">
        <v>-5.2360876033277863</v>
      </c>
      <c r="J6143" s="35">
        <v>3.7835468263675001E-3</v>
      </c>
      <c r="K6143" s="35">
        <v>-12.69658309715677</v>
      </c>
      <c r="L6143" s="35">
        <v>3.2524219256321572</v>
      </c>
      <c r="M6143" s="58" t="s">
        <v>22</v>
      </c>
      <c r="N6143" s="7">
        <v>9.5</v>
      </c>
      <c r="O6143" s="7" t="s">
        <v>178</v>
      </c>
      <c r="P6143" s="7" t="s">
        <v>178</v>
      </c>
    </row>
    <row r="6144" spans="1:16" x14ac:dyDescent="0.25">
      <c r="A6144" t="s">
        <v>181</v>
      </c>
      <c r="B6144" t="s">
        <v>230</v>
      </c>
      <c r="C6144" s="7" t="s">
        <v>171</v>
      </c>
      <c r="D6144" t="s">
        <v>119</v>
      </c>
      <c r="F6144" s="35">
        <v>4.5</v>
      </c>
      <c r="G6144" s="35">
        <v>-12.530966273603326</v>
      </c>
      <c r="H6144" s="35">
        <v>2.547425050126586</v>
      </c>
      <c r="I6144" s="35">
        <v>-4.291087603327786</v>
      </c>
      <c r="J6144" s="35">
        <v>3.7835468263675001E-3</v>
      </c>
      <c r="K6144" s="35">
        <v>-0.78761408883730577</v>
      </c>
      <c r="L6144" s="35">
        <v>-8.697546949684309</v>
      </c>
      <c r="M6144" s="58" t="s">
        <v>24</v>
      </c>
      <c r="N6144" s="7">
        <v>9.5</v>
      </c>
      <c r="O6144" s="7" t="s">
        <v>178</v>
      </c>
      <c r="P6144" s="7" t="s">
        <v>178</v>
      </c>
    </row>
    <row r="6145" spans="1:16" x14ac:dyDescent="0.25">
      <c r="A6145" t="s">
        <v>181</v>
      </c>
      <c r="B6145" t="s">
        <v>230</v>
      </c>
      <c r="C6145" s="7" t="s">
        <v>171</v>
      </c>
      <c r="D6145" t="s">
        <v>119</v>
      </c>
      <c r="F6145" s="35">
        <v>4.5</v>
      </c>
      <c r="G6145" s="35">
        <v>-11.744820026416649</v>
      </c>
      <c r="H6145" s="35">
        <v>2.5471255101113215</v>
      </c>
      <c r="I6145" s="35">
        <v>-4.3009907653019619</v>
      </c>
      <c r="J6145" s="35">
        <v>-6.7041862894331823E-3</v>
      </c>
      <c r="K6145" s="35">
        <v>-0.78766234841669558</v>
      </c>
      <c r="L6145" s="35">
        <v>-9.6803020887540221</v>
      </c>
      <c r="M6145" s="58" t="s">
        <v>24</v>
      </c>
      <c r="N6145" s="7">
        <v>9.5</v>
      </c>
      <c r="O6145" s="7" t="s">
        <v>178</v>
      </c>
      <c r="P6145" s="7" t="s">
        <v>178</v>
      </c>
    </row>
    <row r="6146" spans="1:16" x14ac:dyDescent="0.25">
      <c r="A6146" t="s">
        <v>181</v>
      </c>
      <c r="B6146" t="s">
        <v>230</v>
      </c>
      <c r="C6146" s="7" t="s">
        <v>171</v>
      </c>
      <c r="D6146" t="s">
        <v>119</v>
      </c>
      <c r="F6146" s="35">
        <v>4.6226557908820691</v>
      </c>
      <c r="G6146" s="35">
        <v>-11.677811328020912</v>
      </c>
      <c r="H6146" s="35">
        <v>2.3280561348064017</v>
      </c>
      <c r="I6146" s="35">
        <v>-4.2546268763485395</v>
      </c>
      <c r="J6146" s="35">
        <v>-6.7041862894331823E-3</v>
      </c>
      <c r="K6146" s="35">
        <v>-0.26296432425608268</v>
      </c>
      <c r="L6146" s="35">
        <v>-9.979286718929588</v>
      </c>
      <c r="M6146" s="58" t="s">
        <v>24</v>
      </c>
      <c r="N6146" s="7">
        <v>9.5</v>
      </c>
      <c r="O6146" s="7" t="s">
        <v>178</v>
      </c>
      <c r="P6146" s="7" t="s">
        <v>178</v>
      </c>
    </row>
    <row r="6147" spans="1:16" x14ac:dyDescent="0.25">
      <c r="A6147" t="s">
        <v>181</v>
      </c>
      <c r="B6147" t="s">
        <v>230</v>
      </c>
      <c r="C6147" s="7" t="s">
        <v>171</v>
      </c>
      <c r="D6147" t="s">
        <v>119</v>
      </c>
      <c r="F6147" s="35">
        <v>9.2453115817641383</v>
      </c>
      <c r="G6147" s="35">
        <v>-9.1523851296251753</v>
      </c>
      <c r="H6147" s="35">
        <v>-5.9282382404985183</v>
      </c>
      <c r="I6147" s="35">
        <v>-2.5072629873951175</v>
      </c>
      <c r="J6147" s="35">
        <v>-6.7041862894331823E-3</v>
      </c>
      <c r="K6147" s="35">
        <v>15.365980343714606</v>
      </c>
      <c r="L6147" s="35">
        <v>-1.6580853893757568</v>
      </c>
      <c r="M6147" s="58" t="s">
        <v>23</v>
      </c>
      <c r="N6147" s="7">
        <v>9.5</v>
      </c>
      <c r="O6147" s="7" t="s">
        <v>178</v>
      </c>
      <c r="P6147" s="7" t="s">
        <v>178</v>
      </c>
    </row>
    <row r="6148" spans="1:16" x14ac:dyDescent="0.25">
      <c r="A6148" t="s">
        <v>181</v>
      </c>
      <c r="B6148" t="s">
        <v>230</v>
      </c>
      <c r="C6148" s="7" t="s">
        <v>171</v>
      </c>
      <c r="D6148" t="s">
        <v>120</v>
      </c>
      <c r="F6148" s="35">
        <v>0</v>
      </c>
      <c r="G6148" s="35">
        <v>-6.1956367753375909</v>
      </c>
      <c r="H6148" s="35">
        <v>16.794722453062064</v>
      </c>
      <c r="I6148" s="35">
        <v>-10.035950552739878</v>
      </c>
      <c r="J6148" s="35">
        <v>8.68245075038988E-3</v>
      </c>
      <c r="K6148" s="35">
        <v>-16.109887761127407</v>
      </c>
      <c r="L6148" s="35">
        <v>34.136320269211467</v>
      </c>
      <c r="M6148" s="58" t="s">
        <v>22</v>
      </c>
      <c r="N6148" s="7">
        <v>9.5</v>
      </c>
      <c r="O6148" s="7" t="s">
        <v>178</v>
      </c>
      <c r="P6148" s="7" t="s">
        <v>178</v>
      </c>
    </row>
    <row r="6149" spans="1:16" x14ac:dyDescent="0.25">
      <c r="A6149" t="s">
        <v>181</v>
      </c>
      <c r="B6149" t="s">
        <v>230</v>
      </c>
      <c r="C6149" s="7" t="s">
        <v>171</v>
      </c>
      <c r="D6149" t="s">
        <v>120</v>
      </c>
      <c r="F6149" s="35">
        <v>2</v>
      </c>
      <c r="G6149" s="35">
        <v>-5.1030067753375903</v>
      </c>
      <c r="H6149" s="35">
        <v>13.392722453062063</v>
      </c>
      <c r="I6149" s="35">
        <v>-5.8359505527398774</v>
      </c>
      <c r="J6149" s="35">
        <v>8.68245075038988E-3</v>
      </c>
      <c r="K6149" s="35">
        <v>-0.23798665564765495</v>
      </c>
      <c r="L6149" s="35">
        <v>3.9488753630873465</v>
      </c>
      <c r="M6149" s="58" t="s">
        <v>22</v>
      </c>
      <c r="N6149" s="7">
        <v>9.5</v>
      </c>
      <c r="O6149" s="7" t="s">
        <v>178</v>
      </c>
      <c r="P6149" s="7" t="s">
        <v>178</v>
      </c>
    </row>
    <row r="6150" spans="1:16" x14ac:dyDescent="0.25">
      <c r="A6150" t="s">
        <v>181</v>
      </c>
      <c r="B6150" t="s">
        <v>230</v>
      </c>
      <c r="C6150" s="7" t="s">
        <v>171</v>
      </c>
      <c r="D6150" t="s">
        <v>120</v>
      </c>
      <c r="F6150" s="35">
        <v>2</v>
      </c>
      <c r="G6150" s="35">
        <v>1.1102106368431413</v>
      </c>
      <c r="H6150" s="35">
        <v>6.7862929437990047</v>
      </c>
      <c r="I6150" s="35">
        <v>-5.8359521804016605</v>
      </c>
      <c r="J6150" s="35">
        <v>8.676345711378099E-3</v>
      </c>
      <c r="K6150" s="35">
        <v>-0.23799316768927237</v>
      </c>
      <c r="L6150" s="35">
        <v>3.9488753630873568</v>
      </c>
      <c r="M6150" s="58" t="s">
        <v>22</v>
      </c>
      <c r="N6150" s="7">
        <v>9.5</v>
      </c>
      <c r="O6150" s="7" t="s">
        <v>178</v>
      </c>
      <c r="P6150" s="7" t="s">
        <v>178</v>
      </c>
    </row>
    <row r="6151" spans="1:16" x14ac:dyDescent="0.25">
      <c r="A6151" t="s">
        <v>181</v>
      </c>
      <c r="B6151" t="s">
        <v>230</v>
      </c>
      <c r="C6151" s="7" t="s">
        <v>171</v>
      </c>
      <c r="D6151" t="s">
        <v>120</v>
      </c>
      <c r="F6151" s="35">
        <v>4.5</v>
      </c>
      <c r="G6151" s="35">
        <v>2.4759981368431432</v>
      </c>
      <c r="H6151" s="35">
        <v>2.5337929437990034</v>
      </c>
      <c r="I6151" s="35">
        <v>-0.58595218040166019</v>
      </c>
      <c r="J6151" s="35">
        <v>8.676345711378099E-3</v>
      </c>
      <c r="K6151" s="35">
        <v>7.7893872833148778</v>
      </c>
      <c r="L6151" s="35">
        <v>-7.7012319964101517</v>
      </c>
      <c r="M6151" s="58" t="s">
        <v>24</v>
      </c>
      <c r="N6151" s="7">
        <v>9.5</v>
      </c>
      <c r="O6151" s="7" t="s">
        <v>178</v>
      </c>
      <c r="P6151" s="7" t="s">
        <v>178</v>
      </c>
    </row>
    <row r="6152" spans="1:16" x14ac:dyDescent="0.25">
      <c r="A6152" t="s">
        <v>181</v>
      </c>
      <c r="B6152" t="s">
        <v>230</v>
      </c>
      <c r="C6152" s="7" t="s">
        <v>171</v>
      </c>
      <c r="D6152" t="s">
        <v>120</v>
      </c>
      <c r="F6152" s="35">
        <v>4.5</v>
      </c>
      <c r="G6152" s="35">
        <v>3.262134667969721</v>
      </c>
      <c r="H6152" s="35">
        <v>2.5336736601775294</v>
      </c>
      <c r="I6152" s="35">
        <v>-0.6028514240679167</v>
      </c>
      <c r="J6152" s="35">
        <v>-1.0976031198844936E-2</v>
      </c>
      <c r="K6152" s="35">
        <v>7.7893843716454692</v>
      </c>
      <c r="L6152" s="35">
        <v>-8.6839703746518566</v>
      </c>
      <c r="M6152" s="58" t="s">
        <v>24</v>
      </c>
      <c r="N6152" s="7">
        <v>9.5</v>
      </c>
      <c r="O6152" s="7" t="s">
        <v>178</v>
      </c>
      <c r="P6152" s="7" t="s">
        <v>178</v>
      </c>
    </row>
    <row r="6153" spans="1:16" x14ac:dyDescent="0.25">
      <c r="A6153" t="s">
        <v>181</v>
      </c>
      <c r="B6153" t="s">
        <v>230</v>
      </c>
      <c r="C6153" s="7" t="s">
        <v>171</v>
      </c>
      <c r="D6153" t="s">
        <v>120</v>
      </c>
      <c r="F6153" s="35">
        <v>4.6226557908820691</v>
      </c>
      <c r="G6153" s="35">
        <v>3.3291433663654582</v>
      </c>
      <c r="H6153" s="35">
        <v>2.3250361598871296</v>
      </c>
      <c r="I6153" s="35">
        <v>-0.34527426321557159</v>
      </c>
      <c r="J6153" s="35">
        <v>-1.0976031198844936E-2</v>
      </c>
      <c r="K6153" s="35">
        <v>7.8475309246601501</v>
      </c>
      <c r="L6153" s="35">
        <v>-8.9819448224751106</v>
      </c>
      <c r="M6153" s="58" t="s">
        <v>24</v>
      </c>
      <c r="N6153" s="7">
        <v>9.5</v>
      </c>
      <c r="O6153" s="7" t="s">
        <v>178</v>
      </c>
      <c r="P6153" s="7" t="s">
        <v>178</v>
      </c>
    </row>
    <row r="6154" spans="1:16" x14ac:dyDescent="0.25">
      <c r="A6154" t="s">
        <v>181</v>
      </c>
      <c r="B6154" t="s">
        <v>230</v>
      </c>
      <c r="C6154" s="7" t="s">
        <v>171</v>
      </c>
      <c r="D6154" t="s">
        <v>120</v>
      </c>
      <c r="F6154" s="35">
        <v>9.2453115817641383</v>
      </c>
      <c r="G6154" s="35">
        <v>5.8545695647611966</v>
      </c>
      <c r="H6154" s="35">
        <v>-5.5381013404032711</v>
      </c>
      <c r="I6154" s="35">
        <v>9.3623028976367735</v>
      </c>
      <c r="J6154" s="35">
        <v>-1.0976031198844936E-2</v>
      </c>
      <c r="K6154" s="35">
        <v>-12.993778892068152</v>
      </c>
      <c r="L6154" s="35">
        <v>-1.55549764087787</v>
      </c>
      <c r="M6154" s="58" t="s">
        <v>23</v>
      </c>
      <c r="N6154" s="7">
        <v>9.5</v>
      </c>
      <c r="O6154" s="7" t="s">
        <v>178</v>
      </c>
      <c r="P6154" s="7" t="s">
        <v>178</v>
      </c>
    </row>
    <row r="6155" spans="1:16" x14ac:dyDescent="0.25">
      <c r="A6155" t="s">
        <v>181</v>
      </c>
      <c r="B6155" t="s">
        <v>230</v>
      </c>
      <c r="C6155" s="7" t="s">
        <v>171</v>
      </c>
      <c r="D6155" t="s">
        <v>121</v>
      </c>
      <c r="F6155" s="35">
        <v>0</v>
      </c>
      <c r="G6155" s="35">
        <v>-16.107654602012772</v>
      </c>
      <c r="H6155" s="35">
        <v>9.2221607391343152</v>
      </c>
      <c r="I6155" s="35">
        <v>-4.9406483912831272</v>
      </c>
      <c r="J6155" s="35">
        <v>6.930240550289922E-3</v>
      </c>
      <c r="K6155" s="35">
        <v>-8.791012972439411</v>
      </c>
      <c r="L6155" s="35">
        <v>19.699063151455725</v>
      </c>
      <c r="M6155" s="58" t="s">
        <v>22</v>
      </c>
      <c r="N6155" s="7">
        <v>9.5</v>
      </c>
      <c r="O6155" s="7" t="s">
        <v>178</v>
      </c>
      <c r="P6155" s="7" t="s">
        <v>178</v>
      </c>
    </row>
    <row r="6156" spans="1:16" x14ac:dyDescent="0.25">
      <c r="A6156" t="s">
        <v>181</v>
      </c>
      <c r="B6156" t="s">
        <v>230</v>
      </c>
      <c r="C6156" s="7" t="s">
        <v>171</v>
      </c>
      <c r="D6156" t="s">
        <v>121</v>
      </c>
      <c r="F6156" s="35">
        <v>2</v>
      </c>
      <c r="G6156" s="35">
        <v>-15.015024602012771</v>
      </c>
      <c r="H6156" s="35">
        <v>8.466160739134315</v>
      </c>
      <c r="I6156" s="35">
        <v>-3.0926483912831269</v>
      </c>
      <c r="J6156" s="35">
        <v>6.930240550289922E-3</v>
      </c>
      <c r="K6156" s="35">
        <v>-0.75771618987315859</v>
      </c>
      <c r="L6156" s="35">
        <v>2.0107416731870935</v>
      </c>
      <c r="M6156" s="58" t="s">
        <v>22</v>
      </c>
      <c r="N6156" s="7">
        <v>9.5</v>
      </c>
      <c r="O6156" s="7" t="s">
        <v>178</v>
      </c>
      <c r="P6156" s="7" t="s">
        <v>178</v>
      </c>
    </row>
    <row r="6157" spans="1:16" x14ac:dyDescent="0.25">
      <c r="A6157" t="s">
        <v>181</v>
      </c>
      <c r="B6157" t="s">
        <v>230</v>
      </c>
      <c r="C6157" s="7" t="s">
        <v>171</v>
      </c>
      <c r="D6157" t="s">
        <v>121</v>
      </c>
      <c r="F6157" s="35">
        <v>2</v>
      </c>
      <c r="G6157" s="35">
        <v>-8.5269179144688731</v>
      </c>
      <c r="H6157" s="35">
        <v>1.5665149190384553</v>
      </c>
      <c r="I6157" s="35">
        <v>-3.0926487456691616</v>
      </c>
      <c r="J6157" s="35">
        <v>6.9185892821997984E-3</v>
      </c>
      <c r="K6157" s="35">
        <v>-0.75772861789246071</v>
      </c>
      <c r="L6157" s="35">
        <v>2.0107416731870935</v>
      </c>
      <c r="M6157" s="58" t="s">
        <v>22</v>
      </c>
      <c r="N6157" s="7">
        <v>9.5</v>
      </c>
      <c r="O6157" s="7" t="s">
        <v>178</v>
      </c>
      <c r="P6157" s="7" t="s">
        <v>178</v>
      </c>
    </row>
    <row r="6158" spans="1:16" x14ac:dyDescent="0.25">
      <c r="A6158" t="s">
        <v>181</v>
      </c>
      <c r="B6158" t="s">
        <v>230</v>
      </c>
      <c r="C6158" s="7" t="s">
        <v>171</v>
      </c>
      <c r="D6158" t="s">
        <v>121</v>
      </c>
      <c r="F6158" s="35">
        <v>4.5</v>
      </c>
      <c r="G6158" s="35">
        <v>-7.1611304144688708</v>
      </c>
      <c r="H6158" s="35">
        <v>0.62151491903845557</v>
      </c>
      <c r="I6158" s="35">
        <v>-0.78264874566916143</v>
      </c>
      <c r="J6158" s="35">
        <v>6.9185892821997984E-3</v>
      </c>
      <c r="K6158" s="35">
        <v>4.0863932462804424</v>
      </c>
      <c r="L6158" s="35">
        <v>-0.72429562440904505</v>
      </c>
      <c r="M6158" s="58" t="s">
        <v>24</v>
      </c>
      <c r="N6158" s="7">
        <v>9.5</v>
      </c>
      <c r="O6158" s="7" t="s">
        <v>178</v>
      </c>
      <c r="P6158" s="7" t="s">
        <v>178</v>
      </c>
    </row>
    <row r="6159" spans="1:16" x14ac:dyDescent="0.25">
      <c r="A6159" t="s">
        <v>181</v>
      </c>
      <c r="B6159" t="s">
        <v>230</v>
      </c>
      <c r="C6159" s="7" t="s">
        <v>171</v>
      </c>
      <c r="D6159" t="s">
        <v>121</v>
      </c>
      <c r="F6159" s="35">
        <v>4.5</v>
      </c>
      <c r="G6159" s="35">
        <v>-6.3749940711654007</v>
      </c>
      <c r="H6159" s="35">
        <v>0.62163302525816344</v>
      </c>
      <c r="I6159" s="35">
        <v>-0.79373420175891174</v>
      </c>
      <c r="J6159" s="35">
        <v>-6.849030622833382E-3</v>
      </c>
      <c r="K6159" s="35">
        <v>4.0863905705303631</v>
      </c>
      <c r="L6159" s="35">
        <v>-1.7069786469271488</v>
      </c>
      <c r="M6159" s="58" t="s">
        <v>24</v>
      </c>
      <c r="N6159" s="7">
        <v>9.5</v>
      </c>
      <c r="O6159" s="7" t="s">
        <v>178</v>
      </c>
      <c r="P6159" s="7" t="s">
        <v>178</v>
      </c>
    </row>
    <row r="6160" spans="1:16" x14ac:dyDescent="0.25">
      <c r="A6160" t="s">
        <v>181</v>
      </c>
      <c r="B6160" t="s">
        <v>230</v>
      </c>
      <c r="C6160" s="7" t="s">
        <v>171</v>
      </c>
      <c r="D6160" t="s">
        <v>121</v>
      </c>
      <c r="F6160" s="35">
        <v>4.6226557908820691</v>
      </c>
      <c r="G6160" s="35">
        <v>-6.3079853727696635</v>
      </c>
      <c r="H6160" s="35">
        <v>0.5752691363047413</v>
      </c>
      <c r="I6160" s="35">
        <v>-0.6804002509838798</v>
      </c>
      <c r="J6160" s="35">
        <v>-6.849030622833382E-3</v>
      </c>
      <c r="K6160" s="35">
        <v>4.1767961341141993</v>
      </c>
      <c r="L6160" s="35">
        <v>-1.7803821375446269</v>
      </c>
      <c r="M6160" s="58" t="s">
        <v>24</v>
      </c>
      <c r="N6160" s="7">
        <v>9.5</v>
      </c>
      <c r="O6160" s="7" t="s">
        <v>178</v>
      </c>
      <c r="P6160" s="7" t="s">
        <v>178</v>
      </c>
    </row>
    <row r="6161" spans="1:16" x14ac:dyDescent="0.25">
      <c r="A6161" t="s">
        <v>181</v>
      </c>
      <c r="B6161" t="s">
        <v>230</v>
      </c>
      <c r="C6161" s="7" t="s">
        <v>171</v>
      </c>
      <c r="D6161" t="s">
        <v>121</v>
      </c>
      <c r="F6161" s="35">
        <v>9.2453115817641383</v>
      </c>
      <c r="G6161" s="35">
        <v>-3.7825591743739251</v>
      </c>
      <c r="H6161" s="35">
        <v>-1.1720947526486807</v>
      </c>
      <c r="I6161" s="35">
        <v>3.5909336997911523</v>
      </c>
      <c r="J6161" s="35">
        <v>-6.849030622833382E-3</v>
      </c>
      <c r="K6161" s="35">
        <v>-2.5504010167282489</v>
      </c>
      <c r="L6161" s="35">
        <v>-0.40092244177509145</v>
      </c>
      <c r="M6161" s="58" t="s">
        <v>23</v>
      </c>
      <c r="N6161" s="7">
        <v>9.5</v>
      </c>
      <c r="O6161" s="7" t="s">
        <v>178</v>
      </c>
      <c r="P6161" s="7" t="s">
        <v>178</v>
      </c>
    </row>
    <row r="6162" spans="1:16" x14ac:dyDescent="0.25">
      <c r="A6162" t="s">
        <v>181</v>
      </c>
      <c r="B6162" t="s">
        <v>230</v>
      </c>
      <c r="C6162" s="7" t="s">
        <v>171</v>
      </c>
      <c r="D6162" t="s">
        <v>122</v>
      </c>
      <c r="F6162" s="35">
        <v>0</v>
      </c>
      <c r="G6162" s="35">
        <v>41.409967452619213</v>
      </c>
      <c r="H6162" s="35">
        <v>-18.052643057751062</v>
      </c>
      <c r="I6162" s="35">
        <v>-17.854992950110049</v>
      </c>
      <c r="J6162" s="35">
        <v>1.3189848956054372E-2</v>
      </c>
      <c r="K6162" s="35">
        <v>-25.60801253616463</v>
      </c>
      <c r="L6162" s="35">
        <v>-34.566604148093376</v>
      </c>
      <c r="M6162" s="58" t="s">
        <v>22</v>
      </c>
      <c r="N6162" s="7">
        <v>9.5</v>
      </c>
      <c r="O6162" s="7" t="s">
        <v>178</v>
      </c>
      <c r="P6162" s="7" t="s">
        <v>178</v>
      </c>
    </row>
    <row r="6163" spans="1:16" x14ac:dyDescent="0.25">
      <c r="A6163" t="s">
        <v>181</v>
      </c>
      <c r="B6163" t="s">
        <v>230</v>
      </c>
      <c r="C6163" s="7" t="s">
        <v>171</v>
      </c>
      <c r="D6163" t="s">
        <v>122</v>
      </c>
      <c r="F6163" s="35">
        <v>2</v>
      </c>
      <c r="G6163" s="35">
        <v>42.502597452619213</v>
      </c>
      <c r="H6163" s="35">
        <v>-14.65064305775106</v>
      </c>
      <c r="I6163" s="35">
        <v>-9.6229929501100475</v>
      </c>
      <c r="J6163" s="35">
        <v>1.3189848956054372E-2</v>
      </c>
      <c r="K6163" s="35">
        <v>1.8699733640554621</v>
      </c>
      <c r="L6163" s="35">
        <v>-1.8633180325912659</v>
      </c>
      <c r="M6163" s="58" t="s">
        <v>22</v>
      </c>
      <c r="N6163" s="7">
        <v>9.5</v>
      </c>
      <c r="O6163" s="7" t="s">
        <v>178</v>
      </c>
      <c r="P6163" s="7" t="s">
        <v>178</v>
      </c>
    </row>
    <row r="6164" spans="1:16" x14ac:dyDescent="0.25">
      <c r="A6164" t="s">
        <v>181</v>
      </c>
      <c r="B6164" t="s">
        <v>230</v>
      </c>
      <c r="C6164" s="7" t="s">
        <v>171</v>
      </c>
      <c r="D6164" t="s">
        <v>122</v>
      </c>
      <c r="F6164" s="35">
        <v>2</v>
      </c>
      <c r="G6164" s="35">
        <v>35.112124920054768</v>
      </c>
      <c r="H6164" s="35">
        <v>-6.7464563204085355</v>
      </c>
      <c r="I6164" s="35">
        <v>-9.6230093821442217</v>
      </c>
      <c r="J6164" s="35">
        <v>1.319443366121564E-2</v>
      </c>
      <c r="K6164" s="35">
        <v>1.8699782544076247</v>
      </c>
      <c r="L6164" s="35">
        <v>-1.8633180325912944</v>
      </c>
      <c r="M6164" s="58" t="s">
        <v>22</v>
      </c>
      <c r="N6164" s="7">
        <v>9.5</v>
      </c>
      <c r="O6164" s="7" t="s">
        <v>178</v>
      </c>
      <c r="P6164" s="7" t="s">
        <v>178</v>
      </c>
    </row>
    <row r="6165" spans="1:16" x14ac:dyDescent="0.25">
      <c r="A6165" t="s">
        <v>181</v>
      </c>
      <c r="B6165" t="s">
        <v>230</v>
      </c>
      <c r="C6165" s="7" t="s">
        <v>171</v>
      </c>
      <c r="D6165" t="s">
        <v>122</v>
      </c>
      <c r="F6165" s="35">
        <v>4.5</v>
      </c>
      <c r="G6165" s="35">
        <v>36.477912420054771</v>
      </c>
      <c r="H6165" s="35">
        <v>-2.4939563204085342</v>
      </c>
      <c r="I6165" s="35">
        <v>0.66699061785577751</v>
      </c>
      <c r="J6165" s="35">
        <v>1.319443366121564E-2</v>
      </c>
      <c r="K6165" s="35">
        <v>13.065001709768181</v>
      </c>
      <c r="L6165" s="35">
        <v>9.6871977684300425</v>
      </c>
      <c r="M6165" s="58" t="s">
        <v>24</v>
      </c>
      <c r="N6165" s="7">
        <v>9.5</v>
      </c>
      <c r="O6165" s="7" t="s">
        <v>178</v>
      </c>
      <c r="P6165" s="7" t="s">
        <v>178</v>
      </c>
    </row>
    <row r="6166" spans="1:16" x14ac:dyDescent="0.25">
      <c r="A6166" t="s">
        <v>181</v>
      </c>
      <c r="B6166" t="s">
        <v>230</v>
      </c>
      <c r="C6166" s="7" t="s">
        <v>171</v>
      </c>
      <c r="D6166" t="s">
        <v>122</v>
      </c>
      <c r="F6166" s="35">
        <v>4.5</v>
      </c>
      <c r="G6166" s="35">
        <v>37.264048153664525</v>
      </c>
      <c r="H6166" s="35">
        <v>-2.4936139840365281</v>
      </c>
      <c r="I6166" s="35">
        <v>0.65022841403282028</v>
      </c>
      <c r="J6166" s="35">
        <v>-8.2978466898346436E-3</v>
      </c>
      <c r="K6166" s="35">
        <v>13.065006138195756</v>
      </c>
      <c r="L6166" s="35">
        <v>8.7045979678068477</v>
      </c>
      <c r="M6166" s="58" t="s">
        <v>24</v>
      </c>
      <c r="N6166" s="7">
        <v>9.5</v>
      </c>
      <c r="O6166" s="7" t="s">
        <v>178</v>
      </c>
      <c r="P6166" s="7" t="s">
        <v>178</v>
      </c>
    </row>
    <row r="6167" spans="1:16" x14ac:dyDescent="0.25">
      <c r="A6167" t="s">
        <v>181</v>
      </c>
      <c r="B6167" t="s">
        <v>230</v>
      </c>
      <c r="C6167" s="7" t="s">
        <v>171</v>
      </c>
      <c r="D6167" t="s">
        <v>122</v>
      </c>
      <c r="F6167" s="35">
        <v>4.6226557908820691</v>
      </c>
      <c r="G6167" s="35">
        <v>37.331056852060264</v>
      </c>
      <c r="H6167" s="35">
        <v>-2.2849764837461284</v>
      </c>
      <c r="I6167" s="35">
        <v>1.155079649303417</v>
      </c>
      <c r="J6167" s="35">
        <v>-8.2978466898346436E-3</v>
      </c>
      <c r="K6167" s="35">
        <v>12.954290394048614</v>
      </c>
      <c r="L6167" s="35">
        <v>8.9976588643705462</v>
      </c>
      <c r="M6167" s="58" t="s">
        <v>24</v>
      </c>
      <c r="N6167" s="7">
        <v>9.5</v>
      </c>
      <c r="O6167" s="7" t="s">
        <v>178</v>
      </c>
      <c r="P6167" s="7" t="s">
        <v>178</v>
      </c>
    </row>
    <row r="6168" spans="1:16" x14ac:dyDescent="0.25">
      <c r="A6168" t="s">
        <v>181</v>
      </c>
      <c r="B6168" t="s">
        <v>230</v>
      </c>
      <c r="C6168" s="7" t="s">
        <v>171</v>
      </c>
      <c r="D6168" t="s">
        <v>122</v>
      </c>
      <c r="F6168" s="35">
        <v>9.2453115817641383</v>
      </c>
      <c r="G6168" s="35">
        <v>39.856483050455999</v>
      </c>
      <c r="H6168" s="35">
        <v>5.5781610165442723</v>
      </c>
      <c r="I6168" s="35">
        <v>20.181930884574015</v>
      </c>
      <c r="J6168" s="35">
        <v>-8.2978466898346436E-3</v>
      </c>
      <c r="K6168" s="35">
        <v>-36.362537258221479</v>
      </c>
      <c r="L6168" s="35">
        <v>1.386029588879248</v>
      </c>
      <c r="M6168" s="58" t="s">
        <v>23</v>
      </c>
      <c r="N6168" s="7">
        <v>9.5</v>
      </c>
      <c r="O6168" s="7" t="s">
        <v>178</v>
      </c>
      <c r="P6168" s="7" t="s">
        <v>178</v>
      </c>
    </row>
    <row r="6169" spans="1:16" x14ac:dyDescent="0.25">
      <c r="A6169" t="s">
        <v>181</v>
      </c>
      <c r="B6169" t="s">
        <v>230</v>
      </c>
      <c r="C6169" s="7" t="s">
        <v>171</v>
      </c>
      <c r="D6169" t="s">
        <v>123</v>
      </c>
      <c r="F6169" s="35">
        <v>0</v>
      </c>
      <c r="G6169" s="35">
        <v>31.161112043502744</v>
      </c>
      <c r="H6169" s="35">
        <v>-25.628849637450998</v>
      </c>
      <c r="I6169" s="35">
        <v>-12.800201750798017</v>
      </c>
      <c r="J6169" s="35">
        <v>1.1694937532482644E-2</v>
      </c>
      <c r="K6169" s="35">
        <v>-18.416492625860929</v>
      </c>
      <c r="L6169" s="35">
        <v>-49.014288152238088</v>
      </c>
      <c r="M6169" s="58" t="s">
        <v>22</v>
      </c>
      <c r="N6169" s="7">
        <v>9.5</v>
      </c>
      <c r="O6169" s="7" t="s">
        <v>178</v>
      </c>
      <c r="P6169" s="7" t="s">
        <v>178</v>
      </c>
    </row>
    <row r="6170" spans="1:16" x14ac:dyDescent="0.25">
      <c r="A6170" t="s">
        <v>181</v>
      </c>
      <c r="B6170" t="s">
        <v>230</v>
      </c>
      <c r="C6170" s="7" t="s">
        <v>171</v>
      </c>
      <c r="D6170" t="s">
        <v>123</v>
      </c>
      <c r="F6170" s="35">
        <v>2</v>
      </c>
      <c r="G6170" s="35">
        <v>32.253742043502747</v>
      </c>
      <c r="H6170" s="35">
        <v>-19.580849637450999</v>
      </c>
      <c r="I6170" s="35">
        <v>-6.9202017507980162</v>
      </c>
      <c r="J6170" s="35">
        <v>1.1694937532482644E-2</v>
      </c>
      <c r="K6170" s="35">
        <v>1.3039108757351032</v>
      </c>
      <c r="L6170" s="35">
        <v>-3.8045888773360996</v>
      </c>
      <c r="M6170" s="58" t="s">
        <v>22</v>
      </c>
      <c r="N6170" s="7">
        <v>9.5</v>
      </c>
      <c r="O6170" s="7" t="s">
        <v>178</v>
      </c>
      <c r="P6170" s="7" t="s">
        <v>178</v>
      </c>
    </row>
    <row r="6171" spans="1:16" x14ac:dyDescent="0.25">
      <c r="A6171" t="s">
        <v>181</v>
      </c>
      <c r="B6171" t="s">
        <v>230</v>
      </c>
      <c r="C6171" s="7" t="s">
        <v>171</v>
      </c>
      <c r="D6171" t="s">
        <v>123</v>
      </c>
      <c r="F6171" s="35">
        <v>2</v>
      </c>
      <c r="G6171" s="35">
        <v>25.135139135863511</v>
      </c>
      <c r="H6171" s="35">
        <v>-11.966658235943841</v>
      </c>
      <c r="I6171" s="35">
        <v>-6.9202167734616733</v>
      </c>
      <c r="J6171" s="35">
        <v>1.1693803892011871E-2</v>
      </c>
      <c r="K6171" s="35">
        <v>1.3039096665185934</v>
      </c>
      <c r="L6171" s="35">
        <v>-3.8045888773360654</v>
      </c>
      <c r="M6171" s="58" t="s">
        <v>22</v>
      </c>
      <c r="N6171" s="7">
        <v>9.5</v>
      </c>
      <c r="O6171" s="7" t="s">
        <v>178</v>
      </c>
      <c r="P6171" s="7" t="s">
        <v>178</v>
      </c>
    </row>
    <row r="6172" spans="1:16" x14ac:dyDescent="0.25">
      <c r="A6172" t="s">
        <v>181</v>
      </c>
      <c r="B6172" t="s">
        <v>230</v>
      </c>
      <c r="C6172" s="7" t="s">
        <v>171</v>
      </c>
      <c r="D6172" t="s">
        <v>123</v>
      </c>
      <c r="F6172" s="35">
        <v>4.5</v>
      </c>
      <c r="G6172" s="35">
        <v>26.500926635863511</v>
      </c>
      <c r="H6172" s="35">
        <v>-4.4066582359438407</v>
      </c>
      <c r="I6172" s="35">
        <v>0.42978322653832529</v>
      </c>
      <c r="J6172" s="35">
        <v>1.1693803892011871E-2</v>
      </c>
      <c r="K6172" s="35">
        <v>9.41695160017278</v>
      </c>
      <c r="L6172" s="35">
        <v>16.662056712523533</v>
      </c>
      <c r="M6172" s="58" t="s">
        <v>24</v>
      </c>
      <c r="N6172" s="7">
        <v>9.5</v>
      </c>
      <c r="O6172" s="7" t="s">
        <v>178</v>
      </c>
      <c r="P6172" s="7" t="s">
        <v>178</v>
      </c>
    </row>
    <row r="6173" spans="1:16" x14ac:dyDescent="0.25">
      <c r="A6173" t="s">
        <v>181</v>
      </c>
      <c r="B6173" t="s">
        <v>230</v>
      </c>
      <c r="C6173" s="7" t="s">
        <v>171</v>
      </c>
      <c r="D6173" t="s">
        <v>123</v>
      </c>
      <c r="F6173" s="35">
        <v>4.5</v>
      </c>
      <c r="G6173" s="35">
        <v>27.287062186812342</v>
      </c>
      <c r="H6173" s="35">
        <v>-4.406074613250345</v>
      </c>
      <c r="I6173" s="35">
        <v>0.41843988220164363</v>
      </c>
      <c r="J6173" s="35">
        <v>-4.4022554052045981E-3</v>
      </c>
      <c r="K6173" s="35">
        <v>9.4169561131253854</v>
      </c>
      <c r="L6173" s="35">
        <v>15.679512225811266</v>
      </c>
      <c r="M6173" s="58" t="s">
        <v>24</v>
      </c>
      <c r="N6173" s="7">
        <v>9.5</v>
      </c>
      <c r="O6173" s="7" t="s">
        <v>178</v>
      </c>
      <c r="P6173" s="7" t="s">
        <v>178</v>
      </c>
    </row>
    <row r="6174" spans="1:16" x14ac:dyDescent="0.25">
      <c r="A6174" t="s">
        <v>181</v>
      </c>
      <c r="B6174" t="s">
        <v>230</v>
      </c>
      <c r="C6174" s="7" t="s">
        <v>171</v>
      </c>
      <c r="D6174" t="s">
        <v>123</v>
      </c>
      <c r="F6174" s="35">
        <v>4.6226557908820691</v>
      </c>
      <c r="G6174" s="35">
        <v>27.354070885208081</v>
      </c>
      <c r="H6174" s="35">
        <v>-4.035163501622967</v>
      </c>
      <c r="I6174" s="35">
        <v>0.77904790739492691</v>
      </c>
      <c r="J6174" s="35">
        <v>-4.4022554052045981E-3</v>
      </c>
      <c r="K6174" s="35">
        <v>9.3435167071730909</v>
      </c>
      <c r="L6174" s="35">
        <v>16.197195594313094</v>
      </c>
      <c r="M6174" s="58" t="s">
        <v>24</v>
      </c>
      <c r="N6174" s="7">
        <v>9.5</v>
      </c>
      <c r="O6174" s="7" t="s">
        <v>178</v>
      </c>
      <c r="P6174" s="7" t="s">
        <v>178</v>
      </c>
    </row>
    <row r="6175" spans="1:16" x14ac:dyDescent="0.25">
      <c r="A6175" t="s">
        <v>181</v>
      </c>
      <c r="B6175" t="s">
        <v>230</v>
      </c>
      <c r="C6175" s="7" t="s">
        <v>171</v>
      </c>
      <c r="D6175" t="s">
        <v>123</v>
      </c>
      <c r="F6175" s="35">
        <v>9.2453115817641383</v>
      </c>
      <c r="G6175" s="35">
        <v>29.87949708360382</v>
      </c>
      <c r="H6175" s="35">
        <v>9.943747610004408</v>
      </c>
      <c r="I6175" s="35">
        <v>14.369655932588209</v>
      </c>
      <c r="J6175" s="35">
        <v>-4.4022554052045981E-3</v>
      </c>
      <c r="K6175" s="35">
        <v>-25.67010505795464</v>
      </c>
      <c r="L6175" s="35">
        <v>2.5405203220514796</v>
      </c>
      <c r="M6175" s="58" t="s">
        <v>23</v>
      </c>
      <c r="N6175" s="7">
        <v>9.5</v>
      </c>
      <c r="O6175" s="7" t="s">
        <v>178</v>
      </c>
      <c r="P6175" s="7" t="s">
        <v>178</v>
      </c>
    </row>
    <row r="6176" spans="1:16" x14ac:dyDescent="0.25">
      <c r="A6176" t="s">
        <v>181</v>
      </c>
      <c r="B6176" t="s">
        <v>230</v>
      </c>
      <c r="C6176" s="7" t="s">
        <v>171</v>
      </c>
      <c r="D6176" t="s">
        <v>124</v>
      </c>
      <c r="F6176" s="35">
        <v>0</v>
      </c>
      <c r="G6176" s="35">
        <v>12.425833068545701</v>
      </c>
      <c r="H6176" s="35">
        <v>27.222262436082662</v>
      </c>
      <c r="I6176" s="35">
        <v>11.439664920644926</v>
      </c>
      <c r="J6176" s="35">
        <v>-2.4857369180168003E-2</v>
      </c>
      <c r="K6176" s="35">
        <v>28.379023068899627</v>
      </c>
      <c r="L6176" s="35">
        <v>52.298760771468878</v>
      </c>
      <c r="M6176" s="58" t="s">
        <v>22</v>
      </c>
      <c r="N6176" s="7">
        <v>9.5</v>
      </c>
      <c r="O6176" s="7" t="s">
        <v>178</v>
      </c>
      <c r="P6176" s="7" t="s">
        <v>178</v>
      </c>
    </row>
    <row r="6177" spans="1:16" x14ac:dyDescent="0.25">
      <c r="A6177" t="s">
        <v>181</v>
      </c>
      <c r="B6177" t="s">
        <v>230</v>
      </c>
      <c r="C6177" s="7" t="s">
        <v>171</v>
      </c>
      <c r="D6177" t="s">
        <v>124</v>
      </c>
      <c r="F6177" s="35">
        <v>2</v>
      </c>
      <c r="G6177" s="35">
        <v>13.518463068545703</v>
      </c>
      <c r="H6177" s="35">
        <v>17.961262436082663</v>
      </c>
      <c r="I6177" s="35">
        <v>8.415664920644927</v>
      </c>
      <c r="J6177" s="35">
        <v>-2.4857369180168003E-2</v>
      </c>
      <c r="K6177" s="35">
        <v>8.5236932276097725</v>
      </c>
      <c r="L6177" s="35">
        <v>7.1152358993035554</v>
      </c>
      <c r="M6177" s="58" t="s">
        <v>22</v>
      </c>
      <c r="N6177" s="7">
        <v>9.5</v>
      </c>
      <c r="O6177" s="7" t="s">
        <v>178</v>
      </c>
      <c r="P6177" s="7" t="s">
        <v>178</v>
      </c>
    </row>
    <row r="6178" spans="1:16" x14ac:dyDescent="0.25">
      <c r="A6178" t="s">
        <v>181</v>
      </c>
      <c r="B6178" t="s">
        <v>230</v>
      </c>
      <c r="C6178" s="7" t="s">
        <v>171</v>
      </c>
      <c r="D6178" t="s">
        <v>124</v>
      </c>
      <c r="F6178" s="35">
        <v>2</v>
      </c>
      <c r="G6178" s="35">
        <v>13.319204637716133</v>
      </c>
      <c r="H6178" s="35">
        <v>18.194817442799099</v>
      </c>
      <c r="I6178" s="35">
        <v>8.4156615295793138</v>
      </c>
      <c r="J6178" s="35">
        <v>-2.4828479455927432E-2</v>
      </c>
      <c r="K6178" s="35">
        <v>8.5237240433156352</v>
      </c>
      <c r="L6178" s="35">
        <v>7.1152358993035865</v>
      </c>
      <c r="M6178" s="58" t="s">
        <v>22</v>
      </c>
      <c r="N6178" s="7">
        <v>9.5</v>
      </c>
      <c r="O6178" s="7" t="s">
        <v>178</v>
      </c>
      <c r="P6178" s="7" t="s">
        <v>178</v>
      </c>
    </row>
    <row r="6179" spans="1:16" x14ac:dyDescent="0.25">
      <c r="A6179" t="s">
        <v>181</v>
      </c>
      <c r="B6179" t="s">
        <v>230</v>
      </c>
      <c r="C6179" s="7" t="s">
        <v>171</v>
      </c>
      <c r="D6179" t="s">
        <v>124</v>
      </c>
      <c r="F6179" s="35">
        <v>4.5</v>
      </c>
      <c r="G6179" s="35">
        <v>14.684992137716135</v>
      </c>
      <c r="H6179" s="35">
        <v>6.6185674427990966</v>
      </c>
      <c r="I6179" s="35">
        <v>4.6356615295793144</v>
      </c>
      <c r="J6179" s="35">
        <v>-2.4828479455927432E-2</v>
      </c>
      <c r="K6179" s="35">
        <v>-7.7904297806326497</v>
      </c>
      <c r="L6179" s="35">
        <v>-23.90149520769415</v>
      </c>
      <c r="M6179" s="58" t="s">
        <v>24</v>
      </c>
      <c r="N6179" s="7">
        <v>9.5</v>
      </c>
      <c r="O6179" s="7" t="s">
        <v>178</v>
      </c>
      <c r="P6179" s="7" t="s">
        <v>178</v>
      </c>
    </row>
    <row r="6180" spans="1:16" x14ac:dyDescent="0.25">
      <c r="A6180" t="s">
        <v>181</v>
      </c>
      <c r="B6180" t="s">
        <v>230</v>
      </c>
      <c r="C6180" s="7" t="s">
        <v>171</v>
      </c>
      <c r="D6180" t="s">
        <v>124</v>
      </c>
      <c r="F6180" s="35">
        <v>4.5</v>
      </c>
      <c r="G6180" s="35">
        <v>15.471123000708637</v>
      </c>
      <c r="H6180" s="35">
        <v>6.6178758052408488</v>
      </c>
      <c r="I6180" s="35">
        <v>4.6668931983709543</v>
      </c>
      <c r="J6180" s="35">
        <v>1.54714928056117E-2</v>
      </c>
      <c r="K6180" s="35">
        <v>-7.7903988508737587</v>
      </c>
      <c r="L6180" s="35">
        <v>-24.88428417988867</v>
      </c>
      <c r="M6180" s="58" t="s">
        <v>24</v>
      </c>
      <c r="N6180" s="7">
        <v>9.5</v>
      </c>
      <c r="O6180" s="7" t="s">
        <v>178</v>
      </c>
      <c r="P6180" s="7" t="s">
        <v>178</v>
      </c>
    </row>
    <row r="6181" spans="1:16" x14ac:dyDescent="0.25">
      <c r="A6181" t="s">
        <v>181</v>
      </c>
      <c r="B6181" t="s">
        <v>230</v>
      </c>
      <c r="C6181" s="7" t="s">
        <v>171</v>
      </c>
      <c r="D6181" t="s">
        <v>124</v>
      </c>
      <c r="F6181" s="35">
        <v>4.6226557908820691</v>
      </c>
      <c r="G6181" s="35">
        <v>15.538131699104374</v>
      </c>
      <c r="H6181" s="35">
        <v>6.0499181655614276</v>
      </c>
      <c r="I6181" s="35">
        <v>4.4814376425572657</v>
      </c>
      <c r="J6181" s="35">
        <v>1.54714928056117E-2</v>
      </c>
      <c r="K6181" s="35">
        <v>-8.3514467281461968</v>
      </c>
      <c r="L6181" s="35">
        <v>-25.6611733239986</v>
      </c>
      <c r="M6181" s="58" t="s">
        <v>24</v>
      </c>
      <c r="N6181" s="7">
        <v>9.5</v>
      </c>
      <c r="O6181" s="7" t="s">
        <v>178</v>
      </c>
      <c r="P6181" s="7" t="s">
        <v>178</v>
      </c>
    </row>
    <row r="6182" spans="1:16" x14ac:dyDescent="0.25">
      <c r="A6182" t="s">
        <v>181</v>
      </c>
      <c r="B6182" t="s">
        <v>230</v>
      </c>
      <c r="C6182" s="7" t="s">
        <v>171</v>
      </c>
      <c r="D6182" t="s">
        <v>124</v>
      </c>
      <c r="F6182" s="35">
        <v>9.2453115817641383</v>
      </c>
      <c r="G6182" s="35">
        <v>18.063557897500111</v>
      </c>
      <c r="H6182" s="35">
        <v>-15.355289474117994</v>
      </c>
      <c r="I6182" s="35">
        <v>-2.5080179132564222</v>
      </c>
      <c r="J6182" s="35">
        <v>1.54714928056117E-2</v>
      </c>
      <c r="K6182" s="35">
        <v>-12.912666797892932</v>
      </c>
      <c r="L6182" s="35">
        <v>-4.1534090410951743</v>
      </c>
      <c r="M6182" s="58" t="s">
        <v>23</v>
      </c>
      <c r="N6182" s="7">
        <v>9.5</v>
      </c>
      <c r="O6182" s="7" t="s">
        <v>178</v>
      </c>
      <c r="P6182" s="7" t="s">
        <v>178</v>
      </c>
    </row>
    <row r="6183" spans="1:16" x14ac:dyDescent="0.25">
      <c r="A6183" t="s">
        <v>181</v>
      </c>
      <c r="B6183" t="s">
        <v>230</v>
      </c>
      <c r="C6183" s="7" t="s">
        <v>171</v>
      </c>
      <c r="D6183" t="s">
        <v>125</v>
      </c>
      <c r="F6183" s="35">
        <v>0</v>
      </c>
      <c r="G6183" s="35">
        <v>-24.711439843150249</v>
      </c>
      <c r="H6183" s="35">
        <v>21.001915898901981</v>
      </c>
      <c r="I6183" s="35">
        <v>16.044265296914801</v>
      </c>
      <c r="J6183" s="35">
        <v>-1.4074934705845473E-2</v>
      </c>
      <c r="K6183" s="35">
        <v>38.865111769613279</v>
      </c>
      <c r="L6183" s="35">
        <v>40.305687996509377</v>
      </c>
      <c r="M6183" s="58" t="s">
        <v>22</v>
      </c>
      <c r="N6183" s="7">
        <v>9.5</v>
      </c>
      <c r="O6183" s="7" t="s">
        <v>178</v>
      </c>
      <c r="P6183" s="7" t="s">
        <v>178</v>
      </c>
    </row>
    <row r="6184" spans="1:16" x14ac:dyDescent="0.25">
      <c r="A6184" t="s">
        <v>181</v>
      </c>
      <c r="B6184" t="s">
        <v>230</v>
      </c>
      <c r="C6184" s="7" t="s">
        <v>171</v>
      </c>
      <c r="D6184" t="s">
        <v>125</v>
      </c>
      <c r="F6184" s="35">
        <v>2</v>
      </c>
      <c r="G6184" s="35">
        <v>-23.618809843150245</v>
      </c>
      <c r="H6184" s="35">
        <v>14.386915898901982</v>
      </c>
      <c r="I6184" s="35">
        <v>10.668265296914802</v>
      </c>
      <c r="J6184" s="35">
        <v>-1.4074934705845473E-2</v>
      </c>
      <c r="K6184" s="35">
        <v>12.152581175783677</v>
      </c>
      <c r="L6184" s="35">
        <v>4.9168561987054096</v>
      </c>
      <c r="M6184" s="58" t="s">
        <v>22</v>
      </c>
      <c r="N6184" s="7">
        <v>9.5</v>
      </c>
      <c r="O6184" s="7" t="s">
        <v>178</v>
      </c>
      <c r="P6184" s="7" t="s">
        <v>178</v>
      </c>
    </row>
    <row r="6185" spans="1:16" x14ac:dyDescent="0.25">
      <c r="A6185" t="s">
        <v>181</v>
      </c>
      <c r="B6185" t="s">
        <v>230</v>
      </c>
      <c r="C6185" s="7" t="s">
        <v>171</v>
      </c>
      <c r="D6185" t="s">
        <v>125</v>
      </c>
      <c r="F6185" s="35">
        <v>2</v>
      </c>
      <c r="G6185" s="35">
        <v>-22.24269577583879</v>
      </c>
      <c r="H6185" s="35">
        <v>12.940071537866226</v>
      </c>
      <c r="I6185" s="35">
        <v>10.66826176864955</v>
      </c>
      <c r="J6185" s="35">
        <v>-1.4107699875935598E-2</v>
      </c>
      <c r="K6185" s="35">
        <v>12.152546226268992</v>
      </c>
      <c r="L6185" s="35">
        <v>4.9168561987053812</v>
      </c>
      <c r="M6185" s="58" t="s">
        <v>22</v>
      </c>
      <c r="N6185" s="7">
        <v>9.5</v>
      </c>
      <c r="O6185" s="7" t="s">
        <v>178</v>
      </c>
      <c r="P6185" s="7" t="s">
        <v>178</v>
      </c>
    </row>
    <row r="6186" spans="1:16" x14ac:dyDescent="0.25">
      <c r="A6186" t="s">
        <v>181</v>
      </c>
      <c r="B6186" t="s">
        <v>230</v>
      </c>
      <c r="C6186" s="7" t="s">
        <v>171</v>
      </c>
      <c r="D6186" t="s">
        <v>125</v>
      </c>
      <c r="F6186" s="35">
        <v>4.5</v>
      </c>
      <c r="G6186" s="35">
        <v>-20.876908275838787</v>
      </c>
      <c r="H6186" s="35">
        <v>4.6713215378662243</v>
      </c>
      <c r="I6186" s="35">
        <v>3.9482617686495516</v>
      </c>
      <c r="J6186" s="35">
        <v>-1.4107699875935598E-2</v>
      </c>
      <c r="K6186" s="35">
        <v>-6.1181081953548864</v>
      </c>
      <c r="L6186" s="35">
        <v>-17.097385145960178</v>
      </c>
      <c r="M6186" s="58" t="s">
        <v>24</v>
      </c>
      <c r="N6186" s="7">
        <v>9.5</v>
      </c>
      <c r="O6186" s="7" t="s">
        <v>178</v>
      </c>
      <c r="P6186" s="7" t="s">
        <v>178</v>
      </c>
    </row>
    <row r="6187" spans="1:16" x14ac:dyDescent="0.25">
      <c r="A6187" t="s">
        <v>181</v>
      </c>
      <c r="B6187" t="s">
        <v>230</v>
      </c>
      <c r="C6187" s="7" t="s">
        <v>171</v>
      </c>
      <c r="D6187" t="s">
        <v>125</v>
      </c>
      <c r="F6187" s="35">
        <v>4.5</v>
      </c>
      <c r="G6187" s="35">
        <v>-20.090782742467358</v>
      </c>
      <c r="H6187" s="35">
        <v>4.6710718889391361</v>
      </c>
      <c r="I6187" s="35">
        <v>3.9663488834723335</v>
      </c>
      <c r="J6187" s="35">
        <v>8.548159919149886E-3</v>
      </c>
      <c r="K6187" s="35">
        <v>-6.118059735538111</v>
      </c>
      <c r="L6187" s="35">
        <v>-18.080111679077817</v>
      </c>
      <c r="M6187" s="58" t="s">
        <v>24</v>
      </c>
      <c r="N6187" s="7">
        <v>9.5</v>
      </c>
      <c r="O6187" s="7" t="s">
        <v>178</v>
      </c>
      <c r="P6187" s="7" t="s">
        <v>178</v>
      </c>
    </row>
    <row r="6188" spans="1:16" x14ac:dyDescent="0.25">
      <c r="A6188" t="s">
        <v>181</v>
      </c>
      <c r="B6188" t="s">
        <v>230</v>
      </c>
      <c r="C6188" s="7" t="s">
        <v>171</v>
      </c>
      <c r="D6188" t="s">
        <v>125</v>
      </c>
      <c r="F6188" s="35">
        <v>4.6226557908820691</v>
      </c>
      <c r="G6188" s="35">
        <v>-20.023774044071622</v>
      </c>
      <c r="H6188" s="35">
        <v>4.2653878605966931</v>
      </c>
      <c r="I6188" s="35">
        <v>3.6366501175813317</v>
      </c>
      <c r="J6188" s="35">
        <v>8.548159919149886E-3</v>
      </c>
      <c r="K6188" s="35">
        <v>-6.5843356633130199</v>
      </c>
      <c r="L6188" s="35">
        <v>-18.628165948210363</v>
      </c>
      <c r="M6188" s="58" t="s">
        <v>24</v>
      </c>
      <c r="N6188" s="7">
        <v>9.5</v>
      </c>
      <c r="O6188" s="7" t="s">
        <v>178</v>
      </c>
      <c r="P6188" s="7" t="s">
        <v>178</v>
      </c>
    </row>
    <row r="6189" spans="1:16" x14ac:dyDescent="0.25">
      <c r="A6189" t="s">
        <v>181</v>
      </c>
      <c r="B6189" t="s">
        <v>230</v>
      </c>
      <c r="C6189" s="7" t="s">
        <v>171</v>
      </c>
      <c r="D6189" t="s">
        <v>125</v>
      </c>
      <c r="F6189" s="35">
        <v>9.2453115817641383</v>
      </c>
      <c r="G6189" s="35">
        <v>-17.498347845675884</v>
      </c>
      <c r="H6189" s="35">
        <v>-11.024046167745752</v>
      </c>
      <c r="I6189" s="35">
        <v>-8.7890486483096684</v>
      </c>
      <c r="J6189" s="35">
        <v>8.548159919149886E-3</v>
      </c>
      <c r="K6189" s="35">
        <v>5.3245467891887843</v>
      </c>
      <c r="L6189" s="35">
        <v>-3.0066904671424637</v>
      </c>
      <c r="M6189" s="58" t="s">
        <v>23</v>
      </c>
      <c r="N6189" s="7">
        <v>9.5</v>
      </c>
      <c r="O6189" s="7" t="s">
        <v>178</v>
      </c>
      <c r="P6189" s="7" t="s">
        <v>178</v>
      </c>
    </row>
    <row r="6190" spans="1:16" x14ac:dyDescent="0.25">
      <c r="A6190" t="s">
        <v>181</v>
      </c>
      <c r="B6190" t="s">
        <v>230</v>
      </c>
      <c r="C6190" s="7" t="s">
        <v>171</v>
      </c>
      <c r="D6190" t="s">
        <v>126</v>
      </c>
      <c r="F6190" s="35">
        <v>0</v>
      </c>
      <c r="G6190" s="35">
        <v>-0.62335509520659604</v>
      </c>
      <c r="H6190" s="35">
        <v>20.166894373023673</v>
      </c>
      <c r="I6190" s="35">
        <v>-9.1244842713893899</v>
      </c>
      <c r="J6190" s="35">
        <v>3.0185582937346366E-3</v>
      </c>
      <c r="K6190" s="35">
        <v>-20.767224482470844</v>
      </c>
      <c r="L6190" s="35">
        <v>39.104723222726797</v>
      </c>
      <c r="M6190" s="58" t="s">
        <v>22</v>
      </c>
      <c r="N6190" s="7">
        <v>9.5</v>
      </c>
      <c r="O6190" s="7" t="s">
        <v>178</v>
      </c>
      <c r="P6190" s="7" t="s">
        <v>178</v>
      </c>
    </row>
    <row r="6191" spans="1:16" x14ac:dyDescent="0.25">
      <c r="A6191" t="s">
        <v>181</v>
      </c>
      <c r="B6191" t="s">
        <v>230</v>
      </c>
      <c r="C6191" s="7" t="s">
        <v>171</v>
      </c>
      <c r="D6191" t="s">
        <v>126</v>
      </c>
      <c r="F6191" s="35">
        <v>2</v>
      </c>
      <c r="G6191" s="35">
        <v>0.46927490479340478</v>
      </c>
      <c r="H6191" s="35">
        <v>13.551894373023677</v>
      </c>
      <c r="I6191" s="35">
        <v>-5.9324842713893915</v>
      </c>
      <c r="J6191" s="35">
        <v>3.0185582937346366E-3</v>
      </c>
      <c r="K6191" s="35">
        <v>-5.7102559396920674</v>
      </c>
      <c r="L6191" s="35">
        <v>5.3859344766794468</v>
      </c>
      <c r="M6191" s="58" t="s">
        <v>22</v>
      </c>
      <c r="N6191" s="7">
        <v>9.5</v>
      </c>
      <c r="O6191" s="7" t="s">
        <v>178</v>
      </c>
      <c r="P6191" s="7" t="s">
        <v>178</v>
      </c>
    </row>
    <row r="6192" spans="1:16" x14ac:dyDescent="0.25">
      <c r="A6192" t="s">
        <v>181</v>
      </c>
      <c r="B6192" t="s">
        <v>230</v>
      </c>
      <c r="C6192" s="7" t="s">
        <v>171</v>
      </c>
      <c r="D6192" t="s">
        <v>126</v>
      </c>
      <c r="F6192" s="35">
        <v>2</v>
      </c>
      <c r="G6192" s="35">
        <v>1.0038910615774892</v>
      </c>
      <c r="H6192" s="35">
        <v>13.002647989967967</v>
      </c>
      <c r="I6192" s="35">
        <v>-5.9324776114660294</v>
      </c>
      <c r="J6192" s="35">
        <v>3.0274521352544282E-3</v>
      </c>
      <c r="K6192" s="35">
        <v>-5.7102464529277981</v>
      </c>
      <c r="L6192" s="35">
        <v>5.3859344766794486</v>
      </c>
      <c r="M6192" s="58" t="s">
        <v>22</v>
      </c>
      <c r="N6192" s="7">
        <v>9.5</v>
      </c>
      <c r="O6192" s="7" t="s">
        <v>178</v>
      </c>
      <c r="P6192" s="7" t="s">
        <v>178</v>
      </c>
    </row>
    <row r="6193" spans="1:16" x14ac:dyDescent="0.25">
      <c r="A6193" t="s">
        <v>181</v>
      </c>
      <c r="B6193" t="s">
        <v>230</v>
      </c>
      <c r="C6193" s="7" t="s">
        <v>171</v>
      </c>
      <c r="D6193" t="s">
        <v>126</v>
      </c>
      <c r="F6193" s="35">
        <v>4.5</v>
      </c>
      <c r="G6193" s="35">
        <v>2.3696785615774911</v>
      </c>
      <c r="H6193" s="35">
        <v>4.7338979899679652</v>
      </c>
      <c r="I6193" s="35">
        <v>-1.9424776114660296</v>
      </c>
      <c r="J6193" s="35">
        <v>3.0274521352544282E-3</v>
      </c>
      <c r="K6193" s="35">
        <v>4.1334475757372742</v>
      </c>
      <c r="L6193" s="35">
        <v>-16.784747998240462</v>
      </c>
      <c r="M6193" s="58" t="s">
        <v>24</v>
      </c>
      <c r="N6193" s="7">
        <v>9.5</v>
      </c>
      <c r="O6193" s="7" t="s">
        <v>178</v>
      </c>
      <c r="P6193" s="7" t="s">
        <v>178</v>
      </c>
    </row>
    <row r="6194" spans="1:16" x14ac:dyDescent="0.25">
      <c r="A6194" t="s">
        <v>181</v>
      </c>
      <c r="B6194" t="s">
        <v>230</v>
      </c>
      <c r="C6194" s="7" t="s">
        <v>171</v>
      </c>
      <c r="D6194" t="s">
        <v>126</v>
      </c>
      <c r="F6194" s="35">
        <v>4.5</v>
      </c>
      <c r="G6194" s="35">
        <v>3.1558199393531514</v>
      </c>
      <c r="H6194" s="35">
        <v>4.7332775439136112</v>
      </c>
      <c r="I6194" s="35">
        <v>-1.9549729581625965</v>
      </c>
      <c r="J6194" s="35">
        <v>-9.1315976424748164E-3</v>
      </c>
      <c r="K6194" s="35">
        <v>4.1334231466277123</v>
      </c>
      <c r="L6194" s="35">
        <v>-17.767562291072295</v>
      </c>
      <c r="M6194" s="58" t="s">
        <v>24</v>
      </c>
      <c r="N6194" s="7">
        <v>9.5</v>
      </c>
      <c r="O6194" s="7" t="s">
        <v>178</v>
      </c>
      <c r="P6194" s="7" t="s">
        <v>178</v>
      </c>
    </row>
    <row r="6195" spans="1:16" x14ac:dyDescent="0.25">
      <c r="A6195" t="s">
        <v>181</v>
      </c>
      <c r="B6195" t="s">
        <v>230</v>
      </c>
      <c r="C6195" s="7" t="s">
        <v>171</v>
      </c>
      <c r="D6195" t="s">
        <v>126</v>
      </c>
      <c r="F6195" s="35">
        <v>4.6226557908820691</v>
      </c>
      <c r="G6195" s="35">
        <v>3.2228286377488886</v>
      </c>
      <c r="H6195" s="35">
        <v>4.3275935155711673</v>
      </c>
      <c r="I6195" s="35">
        <v>-1.7592143159148144</v>
      </c>
      <c r="J6195" s="35">
        <v>-9.1315976424748164E-3</v>
      </c>
      <c r="K6195" s="35">
        <v>4.361206435420752</v>
      </c>
      <c r="L6195" s="35">
        <v>-18.323246444013069</v>
      </c>
      <c r="M6195" s="58" t="s">
        <v>24</v>
      </c>
      <c r="N6195" s="7">
        <v>9.5</v>
      </c>
      <c r="O6195" s="7" t="s">
        <v>178</v>
      </c>
      <c r="P6195" s="7" t="s">
        <v>178</v>
      </c>
    </row>
    <row r="6196" spans="1:16" x14ac:dyDescent="0.25">
      <c r="A6196" t="s">
        <v>181</v>
      </c>
      <c r="B6196" t="s">
        <v>230</v>
      </c>
      <c r="C6196" s="7" t="s">
        <v>171</v>
      </c>
      <c r="D6196" t="s">
        <v>126</v>
      </c>
      <c r="F6196" s="35">
        <v>9.2453115817641383</v>
      </c>
      <c r="G6196" s="35">
        <v>5.7482548361446266</v>
      </c>
      <c r="H6196" s="35">
        <v>-10.961840512771277</v>
      </c>
      <c r="I6196" s="35">
        <v>5.6185443263329677</v>
      </c>
      <c r="J6196" s="35">
        <v>-9.1315976424748164E-3</v>
      </c>
      <c r="K6196" s="35">
        <v>-4.5589706753714641</v>
      </c>
      <c r="L6196" s="35">
        <v>-2.9893262941385417</v>
      </c>
      <c r="M6196" s="58" t="s">
        <v>23</v>
      </c>
      <c r="N6196" s="7">
        <v>9.5</v>
      </c>
      <c r="O6196" s="7" t="s">
        <v>178</v>
      </c>
      <c r="P6196" s="7" t="s">
        <v>178</v>
      </c>
    </row>
    <row r="6197" spans="1:16" x14ac:dyDescent="0.25">
      <c r="A6197" t="s">
        <v>181</v>
      </c>
      <c r="B6197" t="s">
        <v>230</v>
      </c>
      <c r="C6197" s="7" t="s">
        <v>171</v>
      </c>
      <c r="D6197" t="s">
        <v>127</v>
      </c>
      <c r="F6197" s="35">
        <v>0</v>
      </c>
      <c r="G6197" s="35">
        <v>-15.721743571682042</v>
      </c>
      <c r="H6197" s="35">
        <v>13.448575062505411</v>
      </c>
      <c r="I6197" s="35">
        <v>-6.4419393780777217</v>
      </c>
      <c r="J6197" s="35">
        <v>3.1858246851833492E-3</v>
      </c>
      <c r="K6197" s="35">
        <v>-25.888118570723332</v>
      </c>
      <c r="L6197" s="35">
        <v>26.477425985885866</v>
      </c>
      <c r="M6197" s="58" t="s">
        <v>22</v>
      </c>
      <c r="N6197" s="7">
        <v>9.5</v>
      </c>
      <c r="O6197" s="7" t="s">
        <v>178</v>
      </c>
      <c r="P6197" s="7" t="s">
        <v>178</v>
      </c>
    </row>
    <row r="6198" spans="1:16" x14ac:dyDescent="0.25">
      <c r="A6198" t="s">
        <v>181</v>
      </c>
      <c r="B6198" t="s">
        <v>230</v>
      </c>
      <c r="C6198" s="7" t="s">
        <v>171</v>
      </c>
      <c r="D6198" t="s">
        <v>127</v>
      </c>
      <c r="F6198" s="35">
        <v>2</v>
      </c>
      <c r="G6198" s="35">
        <v>-14.629113571682042</v>
      </c>
      <c r="H6198" s="35">
        <v>9.4795750625054112</v>
      </c>
      <c r="I6198" s="35">
        <v>-5.6019393780777218</v>
      </c>
      <c r="J6198" s="35">
        <v>3.1858246851833492E-3</v>
      </c>
      <c r="K6198" s="35">
        <v>-13.844239814567892</v>
      </c>
      <c r="L6198" s="35">
        <v>3.549275860875043</v>
      </c>
      <c r="M6198" s="58" t="s">
        <v>22</v>
      </c>
      <c r="N6198" s="7">
        <v>9.5</v>
      </c>
      <c r="O6198" s="7" t="s">
        <v>178</v>
      </c>
      <c r="P6198" s="7" t="s">
        <v>178</v>
      </c>
    </row>
    <row r="6199" spans="1:16" x14ac:dyDescent="0.25">
      <c r="A6199" t="s">
        <v>181</v>
      </c>
      <c r="B6199" t="s">
        <v>230</v>
      </c>
      <c r="C6199" s="7" t="s">
        <v>171</v>
      </c>
      <c r="D6199" t="s">
        <v>127</v>
      </c>
      <c r="F6199" s="35">
        <v>2</v>
      </c>
      <c r="G6199" s="35">
        <v>-13.031395695839976</v>
      </c>
      <c r="H6199" s="35">
        <v>7.7963513135198212</v>
      </c>
      <c r="I6199" s="35">
        <v>-5.6019272950482266</v>
      </c>
      <c r="J6199" s="35">
        <v>3.2030533818091025E-3</v>
      </c>
      <c r="K6199" s="35">
        <v>-13.844221437291544</v>
      </c>
      <c r="L6199" s="35">
        <v>3.5492758608750412</v>
      </c>
      <c r="M6199" s="58" t="s">
        <v>22</v>
      </c>
      <c r="N6199" s="7">
        <v>9.5</v>
      </c>
      <c r="O6199" s="7" t="s">
        <v>178</v>
      </c>
      <c r="P6199" s="7" t="s">
        <v>178</v>
      </c>
    </row>
    <row r="6200" spans="1:16" x14ac:dyDescent="0.25">
      <c r="A6200" t="s">
        <v>181</v>
      </c>
      <c r="B6200" t="s">
        <v>230</v>
      </c>
      <c r="C6200" s="7" t="s">
        <v>171</v>
      </c>
      <c r="D6200" t="s">
        <v>127</v>
      </c>
      <c r="F6200" s="35">
        <v>4.5</v>
      </c>
      <c r="G6200" s="35">
        <v>-11.665608195839972</v>
      </c>
      <c r="H6200" s="35">
        <v>2.8351013135198206</v>
      </c>
      <c r="I6200" s="35">
        <v>-4.5519272950482268</v>
      </c>
      <c r="J6200" s="35">
        <v>3.2030533818091025E-3</v>
      </c>
      <c r="K6200" s="35">
        <v>-1.1519031996709803</v>
      </c>
      <c r="L6200" s="35">
        <v>-9.7400399229245114</v>
      </c>
      <c r="M6200" s="58" t="s">
        <v>24</v>
      </c>
      <c r="N6200" s="7">
        <v>9.5</v>
      </c>
      <c r="O6200" s="7" t="s">
        <v>178</v>
      </c>
      <c r="P6200" s="7" t="s">
        <v>178</v>
      </c>
    </row>
    <row r="6201" spans="1:16" x14ac:dyDescent="0.25">
      <c r="A6201" t="s">
        <v>181</v>
      </c>
      <c r="B6201" t="s">
        <v>230</v>
      </c>
      <c r="C6201" s="7" t="s">
        <v>171</v>
      </c>
      <c r="D6201" t="s">
        <v>127</v>
      </c>
      <c r="F6201" s="35">
        <v>4.5</v>
      </c>
      <c r="G6201" s="35">
        <v>-10.879460884487008</v>
      </c>
      <c r="H6201" s="35">
        <v>2.8347546535054526</v>
      </c>
      <c r="I6201" s="35">
        <v>-4.5614017593657294</v>
      </c>
      <c r="J6201" s="35">
        <v>-6.5643198873712302E-3</v>
      </c>
      <c r="K6201" s="35">
        <v>-1.1519560504759381</v>
      </c>
      <c r="L6201" s="35">
        <v>-10.722804548909764</v>
      </c>
      <c r="M6201" s="58" t="s">
        <v>24</v>
      </c>
      <c r="N6201" s="7">
        <v>9.5</v>
      </c>
      <c r="O6201" s="7" t="s">
        <v>178</v>
      </c>
      <c r="P6201" s="7" t="s">
        <v>178</v>
      </c>
    </row>
    <row r="6202" spans="1:16" x14ac:dyDescent="0.25">
      <c r="A6202" t="s">
        <v>181</v>
      </c>
      <c r="B6202" t="s">
        <v>230</v>
      </c>
      <c r="C6202" s="7" t="s">
        <v>171</v>
      </c>
      <c r="D6202" t="s">
        <v>127</v>
      </c>
      <c r="F6202" s="35">
        <v>4.6226557908820691</v>
      </c>
      <c r="G6202" s="35">
        <v>-10.812452186091271</v>
      </c>
      <c r="H6202" s="35">
        <v>2.5913442364999866</v>
      </c>
      <c r="I6202" s="35">
        <v>-4.5098863271952592</v>
      </c>
      <c r="J6202" s="35">
        <v>-6.5643198873712302E-3</v>
      </c>
      <c r="K6202" s="35">
        <v>-0.59563304318782351</v>
      </c>
      <c r="L6202" s="35">
        <v>-11.05557577428873</v>
      </c>
      <c r="M6202" s="58" t="s">
        <v>24</v>
      </c>
      <c r="N6202" s="7">
        <v>9.5</v>
      </c>
      <c r="O6202" s="7" t="s">
        <v>178</v>
      </c>
      <c r="P6202" s="7" t="s">
        <v>178</v>
      </c>
    </row>
    <row r="6203" spans="1:16" x14ac:dyDescent="0.25">
      <c r="A6203" t="s">
        <v>181</v>
      </c>
      <c r="B6203" t="s">
        <v>230</v>
      </c>
      <c r="C6203" s="7" t="s">
        <v>171</v>
      </c>
      <c r="D6203" t="s">
        <v>127</v>
      </c>
      <c r="F6203" s="35">
        <v>9.2453115817641383</v>
      </c>
      <c r="G6203" s="35">
        <v>-8.2870259876955341</v>
      </c>
      <c r="H6203" s="35">
        <v>-6.5823161805054795</v>
      </c>
      <c r="I6203" s="35">
        <v>-2.5683708950247905</v>
      </c>
      <c r="J6203" s="35">
        <v>-6.5643198873712302E-3</v>
      </c>
      <c r="K6203" s="35">
        <v>15.764540325636345</v>
      </c>
      <c r="L6203" s="35">
        <v>-1.831130990186298</v>
      </c>
      <c r="M6203" s="58" t="s">
        <v>23</v>
      </c>
      <c r="N6203" s="7">
        <v>9.5</v>
      </c>
      <c r="O6203" s="7" t="s">
        <v>178</v>
      </c>
      <c r="P6203" s="7" t="s">
        <v>178</v>
      </c>
    </row>
    <row r="6204" spans="1:16" x14ac:dyDescent="0.25">
      <c r="A6204" t="s">
        <v>183</v>
      </c>
      <c r="B6204" t="s">
        <v>231</v>
      </c>
      <c r="C6204" s="7" t="s">
        <v>172</v>
      </c>
      <c r="D6204" t="s">
        <v>105</v>
      </c>
      <c r="F6204" s="35">
        <v>0</v>
      </c>
      <c r="G6204" s="35">
        <v>-31.768042225501596</v>
      </c>
      <c r="H6204" s="35">
        <v>-4.9001970918194242E-2</v>
      </c>
      <c r="I6204" s="35">
        <v>0.17528067996641009</v>
      </c>
      <c r="J6204" s="35">
        <v>-5.788955465132182E-3</v>
      </c>
      <c r="K6204" s="35">
        <v>0.57065579313854953</v>
      </c>
      <c r="L6204" s="35">
        <v>0.37219596711895175</v>
      </c>
      <c r="M6204" s="58" t="s">
        <v>22</v>
      </c>
      <c r="N6204" s="7">
        <v>10.416666666666666</v>
      </c>
      <c r="O6204" s="7" t="s">
        <v>178</v>
      </c>
      <c r="P6204" s="7" t="s">
        <v>178</v>
      </c>
    </row>
    <row r="6205" spans="1:16" x14ac:dyDescent="0.25">
      <c r="A6205" t="s">
        <v>183</v>
      </c>
      <c r="B6205" t="s">
        <v>231</v>
      </c>
      <c r="C6205" s="7" t="s">
        <v>172</v>
      </c>
      <c r="D6205" t="s">
        <v>105</v>
      </c>
      <c r="F6205" s="35">
        <v>4.5</v>
      </c>
      <c r="G6205" s="35">
        <v>-29.309624725501592</v>
      </c>
      <c r="H6205" s="35">
        <v>-4.9001970918194242E-2</v>
      </c>
      <c r="I6205" s="35">
        <v>0.17528067996641009</v>
      </c>
      <c r="J6205" s="35">
        <v>-5.788955465132182E-3</v>
      </c>
      <c r="K6205" s="35">
        <v>-0.21810726671029582</v>
      </c>
      <c r="L6205" s="35">
        <v>0.59270483625082582</v>
      </c>
      <c r="M6205" s="58" t="s">
        <v>24</v>
      </c>
      <c r="N6205" s="7">
        <v>10.416666666666666</v>
      </c>
      <c r="O6205" s="7" t="s">
        <v>178</v>
      </c>
      <c r="P6205" s="7" t="s">
        <v>178</v>
      </c>
    </row>
    <row r="6206" spans="1:16" x14ac:dyDescent="0.25">
      <c r="A6206" t="s">
        <v>183</v>
      </c>
      <c r="B6206" t="s">
        <v>231</v>
      </c>
      <c r="C6206" s="7" t="s">
        <v>172</v>
      </c>
      <c r="D6206" t="s">
        <v>105</v>
      </c>
      <c r="F6206" s="35">
        <v>4.5</v>
      </c>
      <c r="G6206" s="35">
        <v>-28.523489225643608</v>
      </c>
      <c r="H6206" s="35">
        <v>-4.9071250182570657E-2</v>
      </c>
      <c r="I6206" s="35">
        <v>0.18409050791771858</v>
      </c>
      <c r="J6206" s="35">
        <v>4.4049407618597675E-3</v>
      </c>
      <c r="K6206" s="35">
        <v>-0.21810716783448353</v>
      </c>
      <c r="L6206" s="35">
        <v>-0.3899654069318863</v>
      </c>
      <c r="M6206" s="58" t="s">
        <v>24</v>
      </c>
      <c r="N6206" s="7">
        <v>10.416666666666666</v>
      </c>
      <c r="O6206" s="7" t="s">
        <v>178</v>
      </c>
      <c r="P6206" s="7" t="s">
        <v>178</v>
      </c>
    </row>
    <row r="6207" spans="1:16" x14ac:dyDescent="0.25">
      <c r="A6207" t="s">
        <v>183</v>
      </c>
      <c r="B6207" t="s">
        <v>231</v>
      </c>
      <c r="C6207" s="7" t="s">
        <v>172</v>
      </c>
      <c r="D6207" t="s">
        <v>105</v>
      </c>
      <c r="F6207" s="35">
        <v>5.0809891242154022</v>
      </c>
      <c r="G6207" s="35">
        <v>-28.206086152247867</v>
      </c>
      <c r="H6207" s="35">
        <v>-4.9071250182570657E-2</v>
      </c>
      <c r="I6207" s="35">
        <v>0.18409050791771858</v>
      </c>
      <c r="J6207" s="35">
        <v>4.4049407618597675E-3</v>
      </c>
      <c r="K6207" s="35">
        <v>-0.32506175080596733</v>
      </c>
      <c r="L6207" s="35">
        <v>-0.36145554426415966</v>
      </c>
      <c r="M6207" s="58" t="s">
        <v>24</v>
      </c>
      <c r="N6207" s="7">
        <v>10.416666666666666</v>
      </c>
      <c r="O6207" s="7" t="s">
        <v>178</v>
      </c>
      <c r="P6207" s="7" t="s">
        <v>178</v>
      </c>
    </row>
    <row r="6208" spans="1:16" x14ac:dyDescent="0.25">
      <c r="A6208" t="s">
        <v>183</v>
      </c>
      <c r="B6208" t="s">
        <v>231</v>
      </c>
      <c r="C6208" s="7" t="s">
        <v>172</v>
      </c>
      <c r="D6208" t="s">
        <v>105</v>
      </c>
      <c r="F6208" s="35">
        <v>10.161978248430804</v>
      </c>
      <c r="G6208" s="35">
        <v>-25.430265578852133</v>
      </c>
      <c r="H6208" s="35">
        <v>-4.9071250182570657E-2</v>
      </c>
      <c r="I6208" s="35">
        <v>0.18409050791771858</v>
      </c>
      <c r="J6208" s="35">
        <v>4.4049407618597675E-3</v>
      </c>
      <c r="K6208" s="35">
        <v>-1.2604236194071847</v>
      </c>
      <c r="L6208" s="35">
        <v>-0.11212505577486515</v>
      </c>
      <c r="M6208" s="58" t="s">
        <v>23</v>
      </c>
      <c r="N6208" s="7">
        <v>10.416666666666666</v>
      </c>
      <c r="O6208" s="7" t="s">
        <v>178</v>
      </c>
      <c r="P6208" s="7" t="s">
        <v>178</v>
      </c>
    </row>
    <row r="6209" spans="1:16" x14ac:dyDescent="0.25">
      <c r="A6209" t="s">
        <v>183</v>
      </c>
      <c r="B6209" t="s">
        <v>231</v>
      </c>
      <c r="C6209" s="7" t="s">
        <v>172</v>
      </c>
      <c r="D6209" t="s">
        <v>15</v>
      </c>
      <c r="F6209" s="35">
        <v>0</v>
      </c>
      <c r="G6209" s="35">
        <v>26.359586172156643</v>
      </c>
      <c r="H6209" s="35">
        <v>23.087922679467404</v>
      </c>
      <c r="I6209" s="35">
        <v>-0.14489237909446162</v>
      </c>
      <c r="J6209" s="35">
        <v>-9.4100242066372294E-3</v>
      </c>
      <c r="K6209" s="35">
        <v>-0.55161226272480457</v>
      </c>
      <c r="L6209" s="35">
        <v>56.813448424974069</v>
      </c>
      <c r="M6209" s="58" t="s">
        <v>22</v>
      </c>
      <c r="N6209" s="7">
        <v>10.416666666666666</v>
      </c>
      <c r="O6209" s="7" t="s">
        <v>178</v>
      </c>
      <c r="P6209" s="7" t="s">
        <v>178</v>
      </c>
    </row>
    <row r="6210" spans="1:16" x14ac:dyDescent="0.25">
      <c r="A6210" t="s">
        <v>183</v>
      </c>
      <c r="B6210" t="s">
        <v>231</v>
      </c>
      <c r="C6210" s="7" t="s">
        <v>172</v>
      </c>
      <c r="D6210" t="s">
        <v>15</v>
      </c>
      <c r="F6210" s="35">
        <v>4.5</v>
      </c>
      <c r="G6210" s="35">
        <v>28.818003672156646</v>
      </c>
      <c r="H6210" s="35">
        <v>7.7789226794674038</v>
      </c>
      <c r="I6210" s="35">
        <v>-0.14489237909446162</v>
      </c>
      <c r="J6210" s="35">
        <v>-9.4100242066372294E-3</v>
      </c>
      <c r="K6210" s="35">
        <v>0.10040344320027289</v>
      </c>
      <c r="L6210" s="35">
        <v>-12.636953632629234</v>
      </c>
      <c r="M6210" s="58" t="s">
        <v>24</v>
      </c>
      <c r="N6210" s="7">
        <v>10.416666666666666</v>
      </c>
      <c r="O6210" s="7" t="s">
        <v>178</v>
      </c>
      <c r="P6210" s="7" t="s">
        <v>178</v>
      </c>
    </row>
    <row r="6211" spans="1:16" x14ac:dyDescent="0.25">
      <c r="A6211" t="s">
        <v>183</v>
      </c>
      <c r="B6211" t="s">
        <v>231</v>
      </c>
      <c r="C6211" s="7" t="s">
        <v>172</v>
      </c>
      <c r="D6211" t="s">
        <v>15</v>
      </c>
      <c r="F6211" s="35">
        <v>4.5</v>
      </c>
      <c r="G6211" s="35">
        <v>29.604139310578134</v>
      </c>
      <c r="H6211" s="35">
        <v>7.7790972238004565</v>
      </c>
      <c r="I6211" s="35">
        <v>-0.13294474836111531</v>
      </c>
      <c r="J6211" s="35">
        <v>5.6596895759195801E-3</v>
      </c>
      <c r="K6211" s="35">
        <v>0.1004007622677531</v>
      </c>
      <c r="L6211" s="35">
        <v>-13.619555254400124</v>
      </c>
      <c r="M6211" s="58" t="s">
        <v>24</v>
      </c>
      <c r="N6211" s="7">
        <v>10.416666666666666</v>
      </c>
      <c r="O6211" s="7" t="s">
        <v>178</v>
      </c>
      <c r="P6211" s="7" t="s">
        <v>178</v>
      </c>
    </row>
    <row r="6212" spans="1:16" x14ac:dyDescent="0.25">
      <c r="A6212" t="s">
        <v>183</v>
      </c>
      <c r="B6212" t="s">
        <v>231</v>
      </c>
      <c r="C6212" s="7" t="s">
        <v>172</v>
      </c>
      <c r="D6212" t="s">
        <v>15</v>
      </c>
      <c r="F6212" s="35">
        <v>5.0809891242154022</v>
      </c>
      <c r="G6212" s="35">
        <v>29.921542383973875</v>
      </c>
      <c r="H6212" s="35">
        <v>5.8025722232196584</v>
      </c>
      <c r="I6212" s="35">
        <v>-0.13294474836111531</v>
      </c>
      <c r="J6212" s="35">
        <v>5.6596895759195801E-3</v>
      </c>
      <c r="K6212" s="35">
        <v>0.17764021518711448</v>
      </c>
      <c r="L6212" s="35">
        <v>-17.564956373103776</v>
      </c>
      <c r="M6212" s="58" t="s">
        <v>24</v>
      </c>
      <c r="N6212" s="7">
        <v>10.416666666666666</v>
      </c>
      <c r="O6212" s="7" t="s">
        <v>178</v>
      </c>
      <c r="P6212" s="7" t="s">
        <v>178</v>
      </c>
    </row>
    <row r="6213" spans="1:16" x14ac:dyDescent="0.25">
      <c r="A6213" t="s">
        <v>183</v>
      </c>
      <c r="B6213" t="s">
        <v>231</v>
      </c>
      <c r="C6213" s="7" t="s">
        <v>172</v>
      </c>
      <c r="D6213" t="s">
        <v>15</v>
      </c>
      <c r="F6213" s="35">
        <v>10.161978248430804</v>
      </c>
      <c r="G6213" s="35">
        <v>32.697362957369613</v>
      </c>
      <c r="H6213" s="35">
        <v>-11.482952777361142</v>
      </c>
      <c r="I6213" s="35">
        <v>-0.13294474836111531</v>
      </c>
      <c r="J6213" s="35">
        <v>5.6596895759195801E-3</v>
      </c>
      <c r="K6213" s="35">
        <v>0.85313103573149462</v>
      </c>
      <c r="L6213" s="35">
        <v>-3.1339804646050058</v>
      </c>
      <c r="M6213" s="58" t="s">
        <v>23</v>
      </c>
      <c r="N6213" s="7">
        <v>10.416666666666666</v>
      </c>
      <c r="O6213" s="7" t="s">
        <v>178</v>
      </c>
      <c r="P6213" s="7" t="s">
        <v>178</v>
      </c>
    </row>
    <row r="6214" spans="1:16" x14ac:dyDescent="0.25">
      <c r="A6214" t="s">
        <v>183</v>
      </c>
      <c r="B6214" t="s">
        <v>231</v>
      </c>
      <c r="C6214" s="7" t="s">
        <v>172</v>
      </c>
      <c r="D6214" t="s">
        <v>16</v>
      </c>
      <c r="F6214" s="35">
        <v>0</v>
      </c>
      <c r="G6214" s="35">
        <v>4.9817654913002141</v>
      </c>
      <c r="H6214" s="35">
        <v>5.4377045230866363</v>
      </c>
      <c r="I6214" s="35">
        <v>-4.6941663549371487E-2</v>
      </c>
      <c r="J6214" s="35">
        <v>-4.0029959710477783E-3</v>
      </c>
      <c r="K6214" s="35">
        <v>-0.19337502327948047</v>
      </c>
      <c r="L6214" s="35">
        <v>16.51008954799283</v>
      </c>
      <c r="M6214" s="58" t="s">
        <v>22</v>
      </c>
      <c r="N6214" s="7">
        <v>10.416666666666666</v>
      </c>
      <c r="O6214" s="7" t="s">
        <v>178</v>
      </c>
      <c r="P6214" s="7" t="s">
        <v>178</v>
      </c>
    </row>
    <row r="6215" spans="1:16" x14ac:dyDescent="0.25">
      <c r="A6215" t="s">
        <v>183</v>
      </c>
      <c r="B6215" t="s">
        <v>231</v>
      </c>
      <c r="C6215" s="7" t="s">
        <v>172</v>
      </c>
      <c r="D6215" t="s">
        <v>16</v>
      </c>
      <c r="F6215" s="35">
        <v>4.5</v>
      </c>
      <c r="G6215" s="35">
        <v>7.4401829913002171</v>
      </c>
      <c r="H6215" s="35">
        <v>2.0357045230866357</v>
      </c>
      <c r="I6215" s="35">
        <v>-4.6941663549371487E-2</v>
      </c>
      <c r="J6215" s="35">
        <v>-4.0029959710477783E-3</v>
      </c>
      <c r="K6215" s="35">
        <v>1.7862462692691213E-2</v>
      </c>
      <c r="L6215" s="35">
        <v>-0.30508080589702863</v>
      </c>
      <c r="M6215" s="58" t="s">
        <v>24</v>
      </c>
      <c r="N6215" s="7">
        <v>10.416666666666666</v>
      </c>
      <c r="O6215" s="7" t="s">
        <v>178</v>
      </c>
      <c r="P6215" s="7" t="s">
        <v>178</v>
      </c>
    </row>
    <row r="6216" spans="1:16" x14ac:dyDescent="0.25">
      <c r="A6216" t="s">
        <v>183</v>
      </c>
      <c r="B6216" t="s">
        <v>231</v>
      </c>
      <c r="C6216" s="7" t="s">
        <v>172</v>
      </c>
      <c r="D6216" t="s">
        <v>16</v>
      </c>
      <c r="F6216" s="35">
        <v>4.5</v>
      </c>
      <c r="G6216" s="35">
        <v>8.2263188175448043</v>
      </c>
      <c r="H6216" s="35">
        <v>2.0356416775789494</v>
      </c>
      <c r="I6216" s="35">
        <v>-4.0807820392543367E-2</v>
      </c>
      <c r="J6216" s="35">
        <v>3.0454522369902206E-3</v>
      </c>
      <c r="K6216" s="35">
        <v>1.786123624881272E-2</v>
      </c>
      <c r="L6216" s="35">
        <v>-1.2877377833915522</v>
      </c>
      <c r="M6216" s="58" t="s">
        <v>24</v>
      </c>
      <c r="N6216" s="7">
        <v>10.416666666666666</v>
      </c>
      <c r="O6216" s="7" t="s">
        <v>178</v>
      </c>
      <c r="P6216" s="7" t="s">
        <v>178</v>
      </c>
    </row>
    <row r="6217" spans="1:16" x14ac:dyDescent="0.25">
      <c r="A6217" t="s">
        <v>183</v>
      </c>
      <c r="B6217" t="s">
        <v>231</v>
      </c>
      <c r="C6217" s="7" t="s">
        <v>172</v>
      </c>
      <c r="D6217" t="s">
        <v>16</v>
      </c>
      <c r="F6217" s="35">
        <v>5.0809891242154022</v>
      </c>
      <c r="G6217" s="35">
        <v>8.5437218909405441</v>
      </c>
      <c r="H6217" s="35">
        <v>1.5964138996721058</v>
      </c>
      <c r="I6217" s="35">
        <v>-4.0807820392543367E-2</v>
      </c>
      <c r="J6217" s="35">
        <v>3.0454522369902206E-3</v>
      </c>
      <c r="K6217" s="35">
        <v>4.1570136079815877E-2</v>
      </c>
      <c r="L6217" s="35">
        <v>-2.3428301778559302</v>
      </c>
      <c r="M6217" s="58" t="s">
        <v>24</v>
      </c>
      <c r="N6217" s="7">
        <v>10.416666666666666</v>
      </c>
      <c r="O6217" s="7" t="s">
        <v>178</v>
      </c>
      <c r="P6217" s="7" t="s">
        <v>178</v>
      </c>
    </row>
    <row r="6218" spans="1:16" x14ac:dyDescent="0.25">
      <c r="A6218" t="s">
        <v>183</v>
      </c>
      <c r="B6218" t="s">
        <v>231</v>
      </c>
      <c r="C6218" s="7" t="s">
        <v>172</v>
      </c>
      <c r="D6218" t="s">
        <v>16</v>
      </c>
      <c r="F6218" s="35">
        <v>10.161978248430804</v>
      </c>
      <c r="G6218" s="35">
        <v>11.31954246433628</v>
      </c>
      <c r="H6218" s="35">
        <v>-2.244813878234738</v>
      </c>
      <c r="I6218" s="35">
        <v>-4.0807820392543367E-2</v>
      </c>
      <c r="J6218" s="35">
        <v>3.0454522369902206E-3</v>
      </c>
      <c r="K6218" s="35">
        <v>0.24891422767726412</v>
      </c>
      <c r="L6218" s="35">
        <v>-0.69557355824681344</v>
      </c>
      <c r="M6218" s="58" t="s">
        <v>23</v>
      </c>
      <c r="N6218" s="7">
        <v>10.416666666666666</v>
      </c>
      <c r="O6218" s="7" t="s">
        <v>178</v>
      </c>
      <c r="P6218" s="7" t="s">
        <v>178</v>
      </c>
    </row>
    <row r="6219" spans="1:16" x14ac:dyDescent="0.25">
      <c r="A6219" t="s">
        <v>183</v>
      </c>
      <c r="B6219" t="s">
        <v>231</v>
      </c>
      <c r="C6219" s="7" t="s">
        <v>172</v>
      </c>
      <c r="D6219" t="s">
        <v>106</v>
      </c>
      <c r="F6219" s="35">
        <v>0</v>
      </c>
      <c r="G6219" s="35">
        <v>70.023946208485043</v>
      </c>
      <c r="H6219" s="35">
        <v>-23.36568190958986</v>
      </c>
      <c r="I6219" s="35">
        <v>-0.64511118716139471</v>
      </c>
      <c r="J6219" s="35">
        <v>-6.4321473978408063E-3</v>
      </c>
      <c r="K6219" s="35">
        <v>-2.2177320786896111</v>
      </c>
      <c r="L6219" s="35">
        <v>-57.939556943664655</v>
      </c>
      <c r="M6219" s="58" t="s">
        <v>22</v>
      </c>
      <c r="N6219" s="7">
        <v>10.416666666666666</v>
      </c>
      <c r="O6219" s="7" t="s">
        <v>178</v>
      </c>
      <c r="P6219" s="7" t="s">
        <v>178</v>
      </c>
    </row>
    <row r="6220" spans="1:16" x14ac:dyDescent="0.25">
      <c r="A6220" t="s">
        <v>183</v>
      </c>
      <c r="B6220" t="s">
        <v>231</v>
      </c>
      <c r="C6220" s="7" t="s">
        <v>172</v>
      </c>
      <c r="D6220" t="s">
        <v>106</v>
      </c>
      <c r="F6220" s="35">
        <v>4.5</v>
      </c>
      <c r="G6220" s="35">
        <v>72.482363708485053</v>
      </c>
      <c r="H6220" s="35">
        <v>-8.056681909589857</v>
      </c>
      <c r="I6220" s="35">
        <v>-0.64511118716139471</v>
      </c>
      <c r="J6220" s="35">
        <v>-6.4321473978408063E-3</v>
      </c>
      <c r="K6220" s="35">
        <v>0.68526826353666492</v>
      </c>
      <c r="L6220" s="35">
        <v>12.760761649489707</v>
      </c>
      <c r="M6220" s="58" t="s">
        <v>24</v>
      </c>
      <c r="N6220" s="7">
        <v>10.416666666666666</v>
      </c>
      <c r="O6220" s="7" t="s">
        <v>178</v>
      </c>
      <c r="P6220" s="7" t="s">
        <v>178</v>
      </c>
    </row>
    <row r="6221" spans="1:16" x14ac:dyDescent="0.25">
      <c r="A6221" t="s">
        <v>183</v>
      </c>
      <c r="B6221" t="s">
        <v>231</v>
      </c>
      <c r="C6221" s="7" t="s">
        <v>172</v>
      </c>
      <c r="D6221" t="s">
        <v>106</v>
      </c>
      <c r="F6221" s="35">
        <v>4.5</v>
      </c>
      <c r="G6221" s="35">
        <v>73.268500144423399</v>
      </c>
      <c r="H6221" s="35">
        <v>-8.0569689852487851</v>
      </c>
      <c r="I6221" s="35">
        <v>-0.63330059627135815</v>
      </c>
      <c r="J6221" s="35">
        <v>6.3228898897850138E-3</v>
      </c>
      <c r="K6221" s="35">
        <v>0.68526542015862246</v>
      </c>
      <c r="L6221" s="35">
        <v>11.778021450100393</v>
      </c>
      <c r="M6221" s="58" t="s">
        <v>24</v>
      </c>
      <c r="N6221" s="7">
        <v>10.416666666666666</v>
      </c>
      <c r="O6221" s="7" t="s">
        <v>178</v>
      </c>
      <c r="P6221" s="7" t="s">
        <v>178</v>
      </c>
    </row>
    <row r="6222" spans="1:16" x14ac:dyDescent="0.25">
      <c r="A6222" t="s">
        <v>183</v>
      </c>
      <c r="B6222" t="s">
        <v>231</v>
      </c>
      <c r="C6222" s="7" t="s">
        <v>172</v>
      </c>
      <c r="D6222" t="s">
        <v>106</v>
      </c>
      <c r="F6222" s="35">
        <v>5.0809891242154022</v>
      </c>
      <c r="G6222" s="35">
        <v>73.585903217819123</v>
      </c>
      <c r="H6222" s="35">
        <v>-6.0804439846679879</v>
      </c>
      <c r="I6222" s="35">
        <v>-0.63330059627135815</v>
      </c>
      <c r="J6222" s="35">
        <v>6.3228898897850138E-3</v>
      </c>
      <c r="K6222" s="35">
        <v>1.0532061789514104</v>
      </c>
      <c r="L6222" s="35">
        <v>15.884863040132098</v>
      </c>
      <c r="M6222" s="58" t="s">
        <v>24</v>
      </c>
      <c r="N6222" s="7">
        <v>10.416666666666666</v>
      </c>
      <c r="O6222" s="7" t="s">
        <v>178</v>
      </c>
      <c r="P6222" s="7" t="s">
        <v>178</v>
      </c>
    </row>
    <row r="6223" spans="1:16" x14ac:dyDescent="0.25">
      <c r="A6223" t="s">
        <v>183</v>
      </c>
      <c r="B6223" t="s">
        <v>231</v>
      </c>
      <c r="C6223" s="7" t="s">
        <v>172</v>
      </c>
      <c r="D6223" t="s">
        <v>106</v>
      </c>
      <c r="F6223" s="35">
        <v>10.161978248430804</v>
      </c>
      <c r="G6223" s="35">
        <v>76.361723791214871</v>
      </c>
      <c r="H6223" s="35">
        <v>11.205081015912812</v>
      </c>
      <c r="I6223" s="35">
        <v>-0.63330059627135815</v>
      </c>
      <c r="J6223" s="35">
        <v>6.3228898897850138E-3</v>
      </c>
      <c r="K6223" s="35">
        <v>4.2709996209653101</v>
      </c>
      <c r="L6223" s="35">
        <v>2.8657505294788743</v>
      </c>
      <c r="M6223" s="58" t="s">
        <v>23</v>
      </c>
      <c r="N6223" s="7">
        <v>10.416666666666666</v>
      </c>
      <c r="O6223" s="7" t="s">
        <v>178</v>
      </c>
      <c r="P6223" s="7" t="s">
        <v>178</v>
      </c>
    </row>
    <row r="6224" spans="1:16" x14ac:dyDescent="0.25">
      <c r="A6224" t="s">
        <v>183</v>
      </c>
      <c r="B6224" t="s">
        <v>231</v>
      </c>
      <c r="C6224" s="7" t="s">
        <v>172</v>
      </c>
      <c r="D6224" t="s">
        <v>107</v>
      </c>
      <c r="F6224" s="35">
        <v>0</v>
      </c>
      <c r="G6224" s="35">
        <v>48.417322147953541</v>
      </c>
      <c r="H6224" s="35">
        <v>-41.015896608325725</v>
      </c>
      <c r="I6224" s="35">
        <v>-0.5269367835606068</v>
      </c>
      <c r="J6224" s="35">
        <v>-1.2844403954560264E-3</v>
      </c>
      <c r="K6224" s="35">
        <v>-1.7891000529303704</v>
      </c>
      <c r="L6224" s="35">
        <v>-98.2429246912737</v>
      </c>
      <c r="M6224" s="58" t="s">
        <v>22</v>
      </c>
      <c r="N6224" s="7">
        <v>10.416666666666666</v>
      </c>
      <c r="O6224" s="7" t="s">
        <v>178</v>
      </c>
      <c r="P6224" s="7" t="s">
        <v>178</v>
      </c>
    </row>
    <row r="6225" spans="1:16" x14ac:dyDescent="0.25">
      <c r="A6225" t="s">
        <v>183</v>
      </c>
      <c r="B6225" t="s">
        <v>231</v>
      </c>
      <c r="C6225" s="7" t="s">
        <v>172</v>
      </c>
      <c r="D6225" t="s">
        <v>107</v>
      </c>
      <c r="F6225" s="35">
        <v>4.5</v>
      </c>
      <c r="G6225" s="35">
        <v>50.875739647953544</v>
      </c>
      <c r="H6225" s="35">
        <v>-13.799896608325723</v>
      </c>
      <c r="I6225" s="35">
        <v>-0.5269367835606068</v>
      </c>
      <c r="J6225" s="35">
        <v>-1.2844403954560264E-3</v>
      </c>
      <c r="K6225" s="35">
        <v>0.58211547309236022</v>
      </c>
      <c r="L6225" s="35">
        <v>25.09261004619205</v>
      </c>
      <c r="M6225" s="58" t="s">
        <v>24</v>
      </c>
      <c r="N6225" s="7">
        <v>10.416666666666666</v>
      </c>
      <c r="O6225" s="7" t="s">
        <v>178</v>
      </c>
      <c r="P6225" s="7" t="s">
        <v>178</v>
      </c>
    </row>
    <row r="6226" spans="1:16" x14ac:dyDescent="0.25">
      <c r="A6226" t="s">
        <v>183</v>
      </c>
      <c r="B6226" t="s">
        <v>231</v>
      </c>
      <c r="C6226" s="7" t="s">
        <v>172</v>
      </c>
      <c r="D6226" t="s">
        <v>107</v>
      </c>
      <c r="F6226" s="35">
        <v>4.5</v>
      </c>
      <c r="G6226" s="35">
        <v>51.661876266552817</v>
      </c>
      <c r="H6226" s="35">
        <v>-13.800424970305764</v>
      </c>
      <c r="I6226" s="35">
        <v>-0.52054505215685254</v>
      </c>
      <c r="J6226" s="35">
        <v>3.9027989458985421E-3</v>
      </c>
      <c r="K6226" s="35">
        <v>0.58211418913764368</v>
      </c>
      <c r="L6226" s="35">
        <v>24.109814532891811</v>
      </c>
      <c r="M6226" s="58" t="s">
        <v>24</v>
      </c>
      <c r="N6226" s="7">
        <v>10.416666666666666</v>
      </c>
      <c r="O6226" s="7" t="s">
        <v>178</v>
      </c>
      <c r="P6226" s="7" t="s">
        <v>178</v>
      </c>
    </row>
    <row r="6227" spans="1:16" x14ac:dyDescent="0.25">
      <c r="A6227" t="s">
        <v>183</v>
      </c>
      <c r="B6227" t="s">
        <v>231</v>
      </c>
      <c r="C6227" s="7" t="s">
        <v>172</v>
      </c>
      <c r="D6227" t="s">
        <v>107</v>
      </c>
      <c r="F6227" s="35">
        <v>5.0809891242154022</v>
      </c>
      <c r="G6227" s="35">
        <v>51.979279339948555</v>
      </c>
      <c r="H6227" s="35">
        <v>-10.286602747051013</v>
      </c>
      <c r="I6227" s="35">
        <v>-0.52054505215685254</v>
      </c>
      <c r="J6227" s="35">
        <v>3.9027989458985421E-3</v>
      </c>
      <c r="K6227" s="35">
        <v>0.88454520310491414</v>
      </c>
      <c r="L6227" s="35">
        <v>31.106965102121425</v>
      </c>
      <c r="M6227" s="58" t="s">
        <v>24</v>
      </c>
      <c r="N6227" s="7">
        <v>10.416666666666666</v>
      </c>
      <c r="O6227" s="7" t="s">
        <v>178</v>
      </c>
      <c r="P6227" s="7" t="s">
        <v>178</v>
      </c>
    </row>
    <row r="6228" spans="1:16" x14ac:dyDescent="0.25">
      <c r="A6228" t="s">
        <v>183</v>
      </c>
      <c r="B6228" t="s">
        <v>231</v>
      </c>
      <c r="C6228" s="7" t="s">
        <v>172</v>
      </c>
      <c r="D6228" t="s">
        <v>107</v>
      </c>
      <c r="F6228" s="35">
        <v>10.161978248430804</v>
      </c>
      <c r="G6228" s="35">
        <v>54.755099913344296</v>
      </c>
      <c r="H6228" s="35">
        <v>20.443219476203733</v>
      </c>
      <c r="I6228" s="35">
        <v>-0.52054505215685254</v>
      </c>
      <c r="J6228" s="35">
        <v>3.9027989458985421E-3</v>
      </c>
      <c r="K6228" s="35">
        <v>3.5294289517780202</v>
      </c>
      <c r="L6228" s="35">
        <v>5.3041355322968347</v>
      </c>
      <c r="M6228" s="58" t="s">
        <v>23</v>
      </c>
      <c r="N6228" s="7">
        <v>10.416666666666666</v>
      </c>
      <c r="O6228" s="7" t="s">
        <v>178</v>
      </c>
      <c r="P6228" s="7" t="s">
        <v>178</v>
      </c>
    </row>
    <row r="6229" spans="1:16" x14ac:dyDescent="0.25">
      <c r="A6229" t="s">
        <v>183</v>
      </c>
      <c r="B6229" t="s">
        <v>231</v>
      </c>
      <c r="C6229" s="7" t="s">
        <v>172</v>
      </c>
      <c r="D6229" t="s">
        <v>108</v>
      </c>
      <c r="F6229" s="35">
        <v>0</v>
      </c>
      <c r="G6229" s="35">
        <v>29.283415327306489</v>
      </c>
      <c r="H6229" s="35">
        <v>44.096047290674811</v>
      </c>
      <c r="I6229" s="35">
        <v>0.97196671661813661</v>
      </c>
      <c r="J6229" s="35">
        <v>2.0599297206154988E-2</v>
      </c>
      <c r="K6229" s="35">
        <v>6.3763826731834303</v>
      </c>
      <c r="L6229" s="35">
        <v>101.33795076846823</v>
      </c>
      <c r="M6229" s="58" t="s">
        <v>22</v>
      </c>
      <c r="N6229" s="7">
        <v>10.416666666666666</v>
      </c>
      <c r="O6229" s="7" t="s">
        <v>178</v>
      </c>
      <c r="P6229" s="7" t="s">
        <v>178</v>
      </c>
    </row>
    <row r="6230" spans="1:16" x14ac:dyDescent="0.25">
      <c r="A6230" t="s">
        <v>183</v>
      </c>
      <c r="B6230" t="s">
        <v>231</v>
      </c>
      <c r="C6230" s="7" t="s">
        <v>172</v>
      </c>
      <c r="D6230" t="s">
        <v>108</v>
      </c>
      <c r="F6230" s="35">
        <v>4.5</v>
      </c>
      <c r="G6230" s="35">
        <v>31.741832827306492</v>
      </c>
      <c r="H6230" s="35">
        <v>14.328547290674811</v>
      </c>
      <c r="I6230" s="35">
        <v>0.97196671661813661</v>
      </c>
      <c r="J6230" s="35">
        <v>2.0599297206154988E-2</v>
      </c>
      <c r="K6230" s="35">
        <v>2.0025324484018161</v>
      </c>
      <c r="L6230" s="35">
        <v>-30.11738703956841</v>
      </c>
      <c r="M6230" s="58" t="s">
        <v>24</v>
      </c>
      <c r="N6230" s="7">
        <v>10.416666666666666</v>
      </c>
      <c r="O6230" s="7" t="s">
        <v>178</v>
      </c>
      <c r="P6230" s="7" t="s">
        <v>178</v>
      </c>
    </row>
    <row r="6231" spans="1:16" x14ac:dyDescent="0.25">
      <c r="A6231" t="s">
        <v>183</v>
      </c>
      <c r="B6231" t="s">
        <v>231</v>
      </c>
      <c r="C6231" s="7" t="s">
        <v>172</v>
      </c>
      <c r="D6231" t="s">
        <v>108</v>
      </c>
      <c r="F6231" s="35">
        <v>4.5</v>
      </c>
      <c r="G6231" s="35">
        <v>32.527974133862372</v>
      </c>
      <c r="H6231" s="35">
        <v>14.329294188944223</v>
      </c>
      <c r="I6231" s="35">
        <v>0.93578343489349058</v>
      </c>
      <c r="J6231" s="35">
        <v>-1.9132152753250354E-2</v>
      </c>
      <c r="K6231" s="35">
        <v>2.0025469392476007</v>
      </c>
      <c r="L6231" s="35">
        <v>-31.099938067386521</v>
      </c>
      <c r="M6231" s="58" t="s">
        <v>24</v>
      </c>
      <c r="N6231" s="7">
        <v>10.416666666666666</v>
      </c>
      <c r="O6231" s="7" t="s">
        <v>178</v>
      </c>
      <c r="P6231" s="7" t="s">
        <v>178</v>
      </c>
    </row>
    <row r="6232" spans="1:16" x14ac:dyDescent="0.25">
      <c r="A6232" t="s">
        <v>183</v>
      </c>
      <c r="B6232" t="s">
        <v>231</v>
      </c>
      <c r="C6232" s="7" t="s">
        <v>172</v>
      </c>
      <c r="D6232" t="s">
        <v>108</v>
      </c>
      <c r="F6232" s="35">
        <v>5.0809891242154022</v>
      </c>
      <c r="G6232" s="35">
        <v>32.84537720725811</v>
      </c>
      <c r="H6232" s="35">
        <v>10.486051132259341</v>
      </c>
      <c r="I6232" s="35">
        <v>0.93578343489349058</v>
      </c>
      <c r="J6232" s="35">
        <v>-1.9132152753250354E-2</v>
      </c>
      <c r="K6232" s="35">
        <v>1.4588669409535513</v>
      </c>
      <c r="L6232" s="35">
        <v>-38.308660940020935</v>
      </c>
      <c r="M6232" s="58" t="s">
        <v>24</v>
      </c>
      <c r="N6232" s="7">
        <v>10.416666666666666</v>
      </c>
      <c r="O6232" s="7" t="s">
        <v>178</v>
      </c>
      <c r="P6232" s="7" t="s">
        <v>178</v>
      </c>
    </row>
    <row r="6233" spans="1:16" x14ac:dyDescent="0.25">
      <c r="A6233" t="s">
        <v>183</v>
      </c>
      <c r="B6233" t="s">
        <v>231</v>
      </c>
      <c r="C6233" s="7" t="s">
        <v>172</v>
      </c>
      <c r="D6233" t="s">
        <v>108</v>
      </c>
      <c r="F6233" s="35">
        <v>10.161978248430804</v>
      </c>
      <c r="G6233" s="35">
        <v>35.621197780653851</v>
      </c>
      <c r="H6233" s="35">
        <v>-23.124691924425548</v>
      </c>
      <c r="I6233" s="35">
        <v>0.93578343489349058</v>
      </c>
      <c r="J6233" s="35">
        <v>-1.9132152753250354E-2</v>
      </c>
      <c r="K6233" s="35">
        <v>-3.2958385143612059</v>
      </c>
      <c r="L6233" s="35">
        <v>-6.2002627350901429</v>
      </c>
      <c r="M6233" s="58" t="s">
        <v>23</v>
      </c>
      <c r="N6233" s="7">
        <v>10.416666666666666</v>
      </c>
      <c r="O6233" s="7" t="s">
        <v>178</v>
      </c>
      <c r="P6233" s="7" t="s">
        <v>178</v>
      </c>
    </row>
    <row r="6234" spans="1:16" x14ac:dyDescent="0.25">
      <c r="A6234" t="s">
        <v>183</v>
      </c>
      <c r="B6234" t="s">
        <v>231</v>
      </c>
      <c r="C6234" s="7" t="s">
        <v>172</v>
      </c>
      <c r="D6234" t="s">
        <v>109</v>
      </c>
      <c r="F6234" s="35">
        <v>0</v>
      </c>
      <c r="G6234" s="35">
        <v>-29.407115900451799</v>
      </c>
      <c r="H6234" s="35">
        <v>26.494243786947873</v>
      </c>
      <c r="I6234" s="35">
        <v>3.6438534301380545</v>
      </c>
      <c r="J6234" s="35">
        <v>1.3671567998569121E-2</v>
      </c>
      <c r="K6234" s="35">
        <v>19.539093042571348</v>
      </c>
      <c r="L6234" s="35">
        <v>61.536205630324041</v>
      </c>
      <c r="M6234" s="58" t="s">
        <v>22</v>
      </c>
      <c r="N6234" s="7">
        <v>10.416666666666666</v>
      </c>
      <c r="O6234" s="7" t="s">
        <v>178</v>
      </c>
      <c r="P6234" s="7" t="s">
        <v>178</v>
      </c>
    </row>
    <row r="6235" spans="1:16" x14ac:dyDescent="0.25">
      <c r="A6235" t="s">
        <v>183</v>
      </c>
      <c r="B6235" t="s">
        <v>231</v>
      </c>
      <c r="C6235" s="7" t="s">
        <v>172</v>
      </c>
      <c r="D6235" t="s">
        <v>109</v>
      </c>
      <c r="F6235" s="35">
        <v>4.5</v>
      </c>
      <c r="G6235" s="35">
        <v>-26.948698400451796</v>
      </c>
      <c r="H6235" s="35">
        <v>8.633743786947873</v>
      </c>
      <c r="I6235" s="35">
        <v>3.6438534301380545</v>
      </c>
      <c r="J6235" s="35">
        <v>1.3671567998569121E-2</v>
      </c>
      <c r="K6235" s="35">
        <v>3.1417526069501052</v>
      </c>
      <c r="L6235" s="35">
        <v>-17.501766410941375</v>
      </c>
      <c r="M6235" s="58" t="s">
        <v>24</v>
      </c>
      <c r="N6235" s="7">
        <v>10.416666666666666</v>
      </c>
      <c r="O6235" s="7" t="s">
        <v>178</v>
      </c>
      <c r="P6235" s="7" t="s">
        <v>178</v>
      </c>
    </row>
    <row r="6236" spans="1:16" x14ac:dyDescent="0.25">
      <c r="A6236" t="s">
        <v>183</v>
      </c>
      <c r="B6236" t="s">
        <v>231</v>
      </c>
      <c r="C6236" s="7" t="s">
        <v>172</v>
      </c>
      <c r="D6236" t="s">
        <v>109</v>
      </c>
      <c r="F6236" s="35">
        <v>4.5</v>
      </c>
      <c r="G6236" s="35">
        <v>-26.162551764275669</v>
      </c>
      <c r="H6236" s="35">
        <v>8.6340486965865271</v>
      </c>
      <c r="I6236" s="35">
        <v>3.6208147023822153</v>
      </c>
      <c r="J6236" s="35">
        <v>-1.2393667173895305E-2</v>
      </c>
      <c r="K6236" s="35">
        <v>3.1417975343277322</v>
      </c>
      <c r="L6236" s="35">
        <v>-18.484379877836375</v>
      </c>
      <c r="M6236" s="58" t="s">
        <v>24</v>
      </c>
      <c r="N6236" s="7">
        <v>10.416666666666666</v>
      </c>
      <c r="O6236" s="7" t="s">
        <v>178</v>
      </c>
      <c r="P6236" s="7" t="s">
        <v>178</v>
      </c>
    </row>
    <row r="6237" spans="1:16" x14ac:dyDescent="0.25">
      <c r="A6237" t="s">
        <v>183</v>
      </c>
      <c r="B6237" t="s">
        <v>231</v>
      </c>
      <c r="C6237" s="7" t="s">
        <v>172</v>
      </c>
      <c r="D6237" t="s">
        <v>109</v>
      </c>
      <c r="F6237" s="35">
        <v>5.0809891242154022</v>
      </c>
      <c r="G6237" s="35">
        <v>-25.845148690879927</v>
      </c>
      <c r="H6237" s="35">
        <v>6.3281028625755971</v>
      </c>
      <c r="I6237" s="35">
        <v>3.6208147023822153</v>
      </c>
      <c r="J6237" s="35">
        <v>-1.2393667173895305E-2</v>
      </c>
      <c r="K6237" s="35">
        <v>1.0381435714444383</v>
      </c>
      <c r="L6237" s="35">
        <v>-22.83080354320423</v>
      </c>
      <c r="M6237" s="58" t="s">
        <v>24</v>
      </c>
      <c r="N6237" s="7">
        <v>10.416666666666666</v>
      </c>
      <c r="O6237" s="7" t="s">
        <v>178</v>
      </c>
      <c r="P6237" s="7" t="s">
        <v>178</v>
      </c>
    </row>
    <row r="6238" spans="1:16" x14ac:dyDescent="0.25">
      <c r="A6238" t="s">
        <v>183</v>
      </c>
      <c r="B6238" t="s">
        <v>231</v>
      </c>
      <c r="C6238" s="7" t="s">
        <v>172</v>
      </c>
      <c r="D6238" t="s">
        <v>109</v>
      </c>
      <c r="F6238" s="35">
        <v>10.161978248430804</v>
      </c>
      <c r="G6238" s="35">
        <v>-23.069328117484194</v>
      </c>
      <c r="H6238" s="35">
        <v>-13.838342971435333</v>
      </c>
      <c r="I6238" s="35">
        <v>3.6208147023822153</v>
      </c>
      <c r="J6238" s="35">
        <v>-1.2393667173895305E-2</v>
      </c>
      <c r="K6238" s="35">
        <v>-17.359176552158825</v>
      </c>
      <c r="L6238" s="35">
        <v>-3.7510793865229286</v>
      </c>
      <c r="M6238" s="58" t="s">
        <v>23</v>
      </c>
      <c r="N6238" s="7">
        <v>10.416666666666666</v>
      </c>
      <c r="O6238" s="7" t="s">
        <v>178</v>
      </c>
      <c r="P6238" s="7" t="s">
        <v>178</v>
      </c>
    </row>
    <row r="6239" spans="1:16" x14ac:dyDescent="0.25">
      <c r="A6239" t="s">
        <v>183</v>
      </c>
      <c r="B6239" t="s">
        <v>231</v>
      </c>
      <c r="C6239" s="7" t="s">
        <v>172</v>
      </c>
      <c r="D6239" t="s">
        <v>110</v>
      </c>
      <c r="F6239" s="35">
        <v>0</v>
      </c>
      <c r="G6239" s="35">
        <v>26.33205607535443</v>
      </c>
      <c r="H6239" s="35">
        <v>44.069974076301264</v>
      </c>
      <c r="I6239" s="35">
        <v>-1.7995492459491227</v>
      </c>
      <c r="J6239" s="35">
        <v>-8.979864078290125E-3</v>
      </c>
      <c r="K6239" s="35">
        <v>-9.3726698080238506</v>
      </c>
      <c r="L6239" s="35">
        <v>101.06391010263179</v>
      </c>
      <c r="M6239" s="58" t="s">
        <v>22</v>
      </c>
      <c r="N6239" s="7">
        <v>10.416666666666666</v>
      </c>
      <c r="O6239" s="7" t="s">
        <v>178</v>
      </c>
      <c r="P6239" s="7" t="s">
        <v>178</v>
      </c>
    </row>
    <row r="6240" spans="1:16" x14ac:dyDescent="0.25">
      <c r="A6240" t="s">
        <v>183</v>
      </c>
      <c r="B6240" t="s">
        <v>231</v>
      </c>
      <c r="C6240" s="7" t="s">
        <v>172</v>
      </c>
      <c r="D6240" t="s">
        <v>110</v>
      </c>
      <c r="F6240" s="35">
        <v>4.5</v>
      </c>
      <c r="G6240" s="35">
        <v>28.790473575354433</v>
      </c>
      <c r="H6240" s="35">
        <v>14.302474076301261</v>
      </c>
      <c r="I6240" s="35">
        <v>-1.7995492459491227</v>
      </c>
      <c r="J6240" s="35">
        <v>-8.979864078290125E-3</v>
      </c>
      <c r="K6240" s="35">
        <v>-1.2746982012527992</v>
      </c>
      <c r="L6240" s="35">
        <v>-30.27409824072388</v>
      </c>
      <c r="M6240" s="58" t="s">
        <v>24</v>
      </c>
      <c r="N6240" s="7">
        <v>10.416666666666666</v>
      </c>
      <c r="O6240" s="7" t="s">
        <v>178</v>
      </c>
      <c r="P6240" s="7" t="s">
        <v>178</v>
      </c>
    </row>
    <row r="6241" spans="1:16" x14ac:dyDescent="0.25">
      <c r="A6241" t="s">
        <v>183</v>
      </c>
      <c r="B6241" t="s">
        <v>231</v>
      </c>
      <c r="C6241" s="7" t="s">
        <v>172</v>
      </c>
      <c r="D6241" t="s">
        <v>110</v>
      </c>
      <c r="F6241" s="35">
        <v>4.5</v>
      </c>
      <c r="G6241" s="35">
        <v>29.576604367126958</v>
      </c>
      <c r="H6241" s="35">
        <v>14.30314978306693</v>
      </c>
      <c r="I6241" s="35">
        <v>-1.7920055121854279</v>
      </c>
      <c r="J6241" s="35">
        <v>3.1069844677324367E-3</v>
      </c>
      <c r="K6241" s="35">
        <v>-1.2747229845868522</v>
      </c>
      <c r="L6241" s="35">
        <v>-31.256623947904732</v>
      </c>
      <c r="M6241" s="58" t="s">
        <v>24</v>
      </c>
      <c r="N6241" s="7">
        <v>10.416666666666666</v>
      </c>
      <c r="O6241" s="7" t="s">
        <v>178</v>
      </c>
      <c r="P6241" s="7" t="s">
        <v>178</v>
      </c>
    </row>
    <row r="6242" spans="1:16" x14ac:dyDescent="0.25">
      <c r="A6242" t="s">
        <v>183</v>
      </c>
      <c r="B6242" t="s">
        <v>231</v>
      </c>
      <c r="C6242" s="7" t="s">
        <v>172</v>
      </c>
      <c r="D6242" t="s">
        <v>110</v>
      </c>
      <c r="F6242" s="35">
        <v>5.0809891242154022</v>
      </c>
      <c r="G6242" s="35">
        <v>29.894007440522699</v>
      </c>
      <c r="H6242" s="35">
        <v>10.459906726382046</v>
      </c>
      <c r="I6242" s="35">
        <v>-1.7920055121854279</v>
      </c>
      <c r="J6242" s="35">
        <v>3.1069844677324367E-3</v>
      </c>
      <c r="K6242" s="35">
        <v>-0.23358727147306799</v>
      </c>
      <c r="L6242" s="35">
        <v>-38.450157205065359</v>
      </c>
      <c r="M6242" s="58" t="s">
        <v>24</v>
      </c>
      <c r="N6242" s="7">
        <v>10.416666666666666</v>
      </c>
      <c r="O6242" s="7" t="s">
        <v>178</v>
      </c>
      <c r="P6242" s="7" t="s">
        <v>178</v>
      </c>
    </row>
    <row r="6243" spans="1:16" x14ac:dyDescent="0.25">
      <c r="A6243" t="s">
        <v>183</v>
      </c>
      <c r="B6243" t="s">
        <v>231</v>
      </c>
      <c r="C6243" s="7" t="s">
        <v>172</v>
      </c>
      <c r="D6243" t="s">
        <v>110</v>
      </c>
      <c r="F6243" s="35">
        <v>10.161978248430804</v>
      </c>
      <c r="G6243" s="35">
        <v>32.669828013918433</v>
      </c>
      <c r="H6243" s="35">
        <v>-23.150836330302841</v>
      </c>
      <c r="I6243" s="35">
        <v>-1.7920055121854279</v>
      </c>
      <c r="J6243" s="35">
        <v>3.1069844677324367E-3</v>
      </c>
      <c r="K6243" s="35">
        <v>8.8715732464751405</v>
      </c>
      <c r="L6243" s="35">
        <v>-6.2089195582129504</v>
      </c>
      <c r="M6243" s="58" t="s">
        <v>23</v>
      </c>
      <c r="N6243" s="7">
        <v>10.416666666666666</v>
      </c>
      <c r="O6243" s="7" t="s">
        <v>178</v>
      </c>
      <c r="P6243" s="7" t="s">
        <v>178</v>
      </c>
    </row>
    <row r="6244" spans="1:16" x14ac:dyDescent="0.25">
      <c r="A6244" t="s">
        <v>183</v>
      </c>
      <c r="B6244" t="s">
        <v>231</v>
      </c>
      <c r="C6244" s="7" t="s">
        <v>172</v>
      </c>
      <c r="D6244" t="s">
        <v>111</v>
      </c>
      <c r="F6244" s="35">
        <v>0</v>
      </c>
      <c r="G6244" s="35">
        <v>0.64165688905930784</v>
      </c>
      <c r="H6244" s="35">
        <v>26.45731119922764</v>
      </c>
      <c r="I6244" s="35">
        <v>-3.7360056548450933</v>
      </c>
      <c r="J6244" s="35">
        <v>-5.330548054488478E-3</v>
      </c>
      <c r="K6244" s="35">
        <v>-20.023301107675472</v>
      </c>
      <c r="L6244" s="35">
        <v>61.151370510796035</v>
      </c>
      <c r="M6244" s="58" t="s">
        <v>22</v>
      </c>
      <c r="N6244" s="7">
        <v>10.416666666666666</v>
      </c>
      <c r="O6244" s="7" t="s">
        <v>178</v>
      </c>
      <c r="P6244" s="7" t="s">
        <v>178</v>
      </c>
    </row>
    <row r="6245" spans="1:16" x14ac:dyDescent="0.25">
      <c r="A6245" t="s">
        <v>183</v>
      </c>
      <c r="B6245" t="s">
        <v>231</v>
      </c>
      <c r="C6245" s="7" t="s">
        <v>172</v>
      </c>
      <c r="D6245" t="s">
        <v>111</v>
      </c>
      <c r="F6245" s="35">
        <v>4.5</v>
      </c>
      <c r="G6245" s="35">
        <v>3.1000743890593108</v>
      </c>
      <c r="H6245" s="35">
        <v>8.5968111992276413</v>
      </c>
      <c r="I6245" s="35">
        <v>-3.7360056548450933</v>
      </c>
      <c r="J6245" s="35">
        <v>-5.330548054488478E-3</v>
      </c>
      <c r="K6245" s="35">
        <v>-3.2112756608725554</v>
      </c>
      <c r="L6245" s="35">
        <v>-17.720404885728346</v>
      </c>
      <c r="M6245" s="58" t="s">
        <v>24</v>
      </c>
      <c r="N6245" s="7">
        <v>10.416666666666666</v>
      </c>
      <c r="O6245" s="7" t="s">
        <v>178</v>
      </c>
      <c r="P6245" s="7" t="s">
        <v>178</v>
      </c>
    </row>
    <row r="6246" spans="1:16" x14ac:dyDescent="0.25">
      <c r="A6246" t="s">
        <v>183</v>
      </c>
      <c r="B6246" t="s">
        <v>231</v>
      </c>
      <c r="C6246" s="7" t="s">
        <v>172</v>
      </c>
      <c r="D6246" t="s">
        <v>111</v>
      </c>
      <c r="F6246" s="35">
        <v>4.5</v>
      </c>
      <c r="G6246" s="35">
        <v>3.8861992472544529</v>
      </c>
      <c r="H6246" s="35">
        <v>8.5972131199536577</v>
      </c>
      <c r="I6246" s="35">
        <v>-3.7314828034604042</v>
      </c>
      <c r="J6246" s="35">
        <v>1.9005496238890694E-3</v>
      </c>
      <c r="K6246" s="35">
        <v>-3.2113254247070251</v>
      </c>
      <c r="L6246" s="35">
        <v>-18.702980259755659</v>
      </c>
      <c r="M6246" s="58" t="s">
        <v>24</v>
      </c>
      <c r="N6246" s="7">
        <v>10.416666666666666</v>
      </c>
      <c r="O6246" s="7" t="s">
        <v>178</v>
      </c>
      <c r="P6246" s="7" t="s">
        <v>178</v>
      </c>
    </row>
    <row r="6247" spans="1:16" x14ac:dyDescent="0.25">
      <c r="A6247" t="s">
        <v>183</v>
      </c>
      <c r="B6247" t="s">
        <v>231</v>
      </c>
      <c r="C6247" s="7" t="s">
        <v>172</v>
      </c>
      <c r="D6247" t="s">
        <v>111</v>
      </c>
      <c r="F6247" s="35">
        <v>5.0809891242154022</v>
      </c>
      <c r="G6247" s="35">
        <v>4.2036023206501918</v>
      </c>
      <c r="H6247" s="35">
        <v>6.2912672859427285</v>
      </c>
      <c r="I6247" s="35">
        <v>-3.7314828034604042</v>
      </c>
      <c r="J6247" s="35">
        <v>1.9005496238890694E-3</v>
      </c>
      <c r="K6247" s="35">
        <v>-1.0433744986997324</v>
      </c>
      <c r="L6247" s="35">
        <v>-23.028002855715616</v>
      </c>
      <c r="M6247" s="58" t="s">
        <v>24</v>
      </c>
      <c r="N6247" s="7">
        <v>10.416666666666666</v>
      </c>
      <c r="O6247" s="7" t="s">
        <v>178</v>
      </c>
      <c r="P6247" s="7" t="s">
        <v>178</v>
      </c>
    </row>
    <row r="6248" spans="1:16" x14ac:dyDescent="0.25">
      <c r="A6248" t="s">
        <v>183</v>
      </c>
      <c r="B6248" t="s">
        <v>231</v>
      </c>
      <c r="C6248" s="7" t="s">
        <v>172</v>
      </c>
      <c r="D6248" t="s">
        <v>111</v>
      </c>
      <c r="F6248" s="35">
        <v>10.161978248430804</v>
      </c>
      <c r="G6248" s="35">
        <v>6.9794228940459275</v>
      </c>
      <c r="H6248" s="35">
        <v>-13.875178548068202</v>
      </c>
      <c r="I6248" s="35">
        <v>-3.7314828034604042</v>
      </c>
      <c r="J6248" s="35">
        <v>1.9005496238890694E-3</v>
      </c>
      <c r="K6248" s="35">
        <v>17.916249042879375</v>
      </c>
      <c r="L6248" s="35">
        <v>-3.7611175347784989</v>
      </c>
      <c r="M6248" s="58" t="s">
        <v>23</v>
      </c>
      <c r="N6248" s="7">
        <v>10.416666666666666</v>
      </c>
      <c r="O6248" s="7" t="s">
        <v>178</v>
      </c>
      <c r="P6248" s="7" t="s">
        <v>178</v>
      </c>
    </row>
    <row r="6249" spans="1:16" x14ac:dyDescent="0.25">
      <c r="A6249" t="s">
        <v>183</v>
      </c>
      <c r="B6249" t="s">
        <v>231</v>
      </c>
      <c r="C6249" s="7" t="s">
        <v>172</v>
      </c>
      <c r="D6249" t="s">
        <v>112</v>
      </c>
      <c r="F6249" s="35">
        <v>0</v>
      </c>
      <c r="G6249" s="35">
        <v>6.866153277337979</v>
      </c>
      <c r="H6249" s="35">
        <v>20.792216864563223</v>
      </c>
      <c r="I6249" s="35">
        <v>-1.3563959189506246E-2</v>
      </c>
      <c r="J6249" s="35">
        <v>-1.226410262280673E-2</v>
      </c>
      <c r="K6249" s="35">
        <v>-0.10998183698967097</v>
      </c>
      <c r="L6249" s="35">
        <v>51.355907488852345</v>
      </c>
      <c r="M6249" s="58" t="s">
        <v>22</v>
      </c>
      <c r="N6249" s="7">
        <v>10.416666666666666</v>
      </c>
      <c r="O6249" s="7" t="s">
        <v>178</v>
      </c>
      <c r="P6249" s="7" t="s">
        <v>178</v>
      </c>
    </row>
    <row r="6250" spans="1:16" x14ac:dyDescent="0.25">
      <c r="A6250" t="s">
        <v>183</v>
      </c>
      <c r="B6250" t="s">
        <v>231</v>
      </c>
      <c r="C6250" s="7" t="s">
        <v>172</v>
      </c>
      <c r="D6250" t="s">
        <v>112</v>
      </c>
      <c r="F6250" s="35">
        <v>4.5</v>
      </c>
      <c r="G6250" s="35">
        <v>9.324570777337982</v>
      </c>
      <c r="H6250" s="35">
        <v>7.0141168645632197</v>
      </c>
      <c r="I6250" s="35">
        <v>-1.3563959189506246E-2</v>
      </c>
      <c r="J6250" s="35">
        <v>-1.226410262280673E-2</v>
      </c>
      <c r="K6250" s="35">
        <v>-4.8944020636892717E-2</v>
      </c>
      <c r="L6250" s="35">
        <v>-11.208343401682139</v>
      </c>
      <c r="M6250" s="58" t="s">
        <v>24</v>
      </c>
      <c r="N6250" s="7">
        <v>10.416666666666666</v>
      </c>
      <c r="O6250" s="7" t="s">
        <v>178</v>
      </c>
      <c r="P6250" s="7" t="s">
        <v>178</v>
      </c>
    </row>
    <row r="6251" spans="1:16" x14ac:dyDescent="0.25">
      <c r="A6251" t="s">
        <v>183</v>
      </c>
      <c r="B6251" t="s">
        <v>231</v>
      </c>
      <c r="C6251" s="7" t="s">
        <v>172</v>
      </c>
      <c r="D6251" t="s">
        <v>112</v>
      </c>
      <c r="F6251" s="35">
        <v>4.5</v>
      </c>
      <c r="G6251" s="35">
        <v>10.110706152641146</v>
      </c>
      <c r="H6251" s="35">
        <v>7.0142117658242178</v>
      </c>
      <c r="I6251" s="35">
        <v>3.0215041985744897E-3</v>
      </c>
      <c r="J6251" s="35">
        <v>7.9742451224708508E-3</v>
      </c>
      <c r="K6251" s="35">
        <v>-4.8945969838412991E-2</v>
      </c>
      <c r="L6251" s="35">
        <v>-12.190951785939237</v>
      </c>
      <c r="M6251" s="58" t="s">
        <v>24</v>
      </c>
      <c r="N6251" s="7">
        <v>10.416666666666666</v>
      </c>
      <c r="O6251" s="7" t="s">
        <v>178</v>
      </c>
      <c r="P6251" s="7" t="s">
        <v>178</v>
      </c>
    </row>
    <row r="6252" spans="1:16" x14ac:dyDescent="0.25">
      <c r="A6252" t="s">
        <v>183</v>
      </c>
      <c r="B6252" t="s">
        <v>231</v>
      </c>
      <c r="C6252" s="7" t="s">
        <v>172</v>
      </c>
      <c r="D6252" t="s">
        <v>112</v>
      </c>
      <c r="F6252" s="35">
        <v>5.0809891242154022</v>
      </c>
      <c r="G6252" s="35">
        <v>10.428109226036888</v>
      </c>
      <c r="H6252" s="35">
        <v>5.2353392653015005</v>
      </c>
      <c r="I6252" s="35">
        <v>3.0215041985744897E-3</v>
      </c>
      <c r="J6252" s="35">
        <v>7.9742451224708508E-3</v>
      </c>
      <c r="K6252" s="35">
        <v>-5.0701430916555969E-2</v>
      </c>
      <c r="L6252" s="35">
        <v>-15.749379748742042</v>
      </c>
      <c r="M6252" s="58" t="s">
        <v>24</v>
      </c>
      <c r="N6252" s="7">
        <v>10.416666666666666</v>
      </c>
      <c r="O6252" s="7" t="s">
        <v>178</v>
      </c>
      <c r="P6252" s="7" t="s">
        <v>178</v>
      </c>
    </row>
    <row r="6253" spans="1:16" x14ac:dyDescent="0.25">
      <c r="A6253" t="s">
        <v>183</v>
      </c>
      <c r="B6253" t="s">
        <v>231</v>
      </c>
      <c r="C6253" s="7" t="s">
        <v>172</v>
      </c>
      <c r="D6253" t="s">
        <v>112</v>
      </c>
      <c r="F6253" s="35">
        <v>10.161978248430804</v>
      </c>
      <c r="G6253" s="35">
        <v>13.203929799432624</v>
      </c>
      <c r="H6253" s="35">
        <v>-10.321633235221221</v>
      </c>
      <c r="I6253" s="35">
        <v>3.0215041985744897E-3</v>
      </c>
      <c r="J6253" s="35">
        <v>7.9742451224708508E-3</v>
      </c>
      <c r="K6253" s="35">
        <v>-6.6053660888284196E-2</v>
      </c>
      <c r="L6253" s="35">
        <v>-2.8276775768798039</v>
      </c>
      <c r="M6253" s="58" t="s">
        <v>23</v>
      </c>
      <c r="N6253" s="7">
        <v>10.416666666666666</v>
      </c>
      <c r="O6253" s="7" t="s">
        <v>178</v>
      </c>
      <c r="P6253" s="7" t="s">
        <v>178</v>
      </c>
    </row>
    <row r="6254" spans="1:16" x14ac:dyDescent="0.25">
      <c r="A6254" t="s">
        <v>183</v>
      </c>
      <c r="B6254" t="s">
        <v>231</v>
      </c>
      <c r="C6254" s="7" t="s">
        <v>172</v>
      </c>
      <c r="D6254" t="s">
        <v>113</v>
      </c>
      <c r="F6254" s="35">
        <v>0</v>
      </c>
      <c r="G6254" s="35">
        <v>-12.37388533543281</v>
      </c>
      <c r="H6254" s="35">
        <v>4.9070205238205293</v>
      </c>
      <c r="I6254" s="35">
        <v>7.4591684801074906E-2</v>
      </c>
      <c r="J6254" s="35">
        <v>-7.3977772107762241E-3</v>
      </c>
      <c r="K6254" s="35">
        <v>0.21243167851112074</v>
      </c>
      <c r="L6254" s="35">
        <v>15.082884499569229</v>
      </c>
      <c r="M6254" s="58" t="s">
        <v>22</v>
      </c>
      <c r="N6254" s="7">
        <v>10.416666666666666</v>
      </c>
      <c r="O6254" s="7" t="s">
        <v>178</v>
      </c>
      <c r="P6254" s="7" t="s">
        <v>178</v>
      </c>
    </row>
    <row r="6255" spans="1:16" x14ac:dyDescent="0.25">
      <c r="A6255" t="s">
        <v>183</v>
      </c>
      <c r="B6255" t="s">
        <v>231</v>
      </c>
      <c r="C6255" s="7" t="s">
        <v>172</v>
      </c>
      <c r="D6255" t="s">
        <v>113</v>
      </c>
      <c r="F6255" s="35">
        <v>4.5</v>
      </c>
      <c r="G6255" s="35">
        <v>-9.9154678354328087</v>
      </c>
      <c r="H6255" s="35">
        <v>1.845220523820529</v>
      </c>
      <c r="I6255" s="35">
        <v>7.4591684801074906E-2</v>
      </c>
      <c r="J6255" s="35">
        <v>-7.3977772107762241E-3</v>
      </c>
      <c r="K6255" s="35">
        <v>-0.12323090309371623</v>
      </c>
      <c r="L6255" s="35">
        <v>-0.10965785762315369</v>
      </c>
      <c r="M6255" s="58" t="s">
        <v>24</v>
      </c>
      <c r="N6255" s="7">
        <v>10.416666666666666</v>
      </c>
      <c r="O6255" s="7" t="s">
        <v>178</v>
      </c>
      <c r="P6255" s="7" t="s">
        <v>178</v>
      </c>
    </row>
    <row r="6256" spans="1:16" x14ac:dyDescent="0.25">
      <c r="A6256" t="s">
        <v>183</v>
      </c>
      <c r="B6256" t="s">
        <v>231</v>
      </c>
      <c r="C6256" s="7" t="s">
        <v>172</v>
      </c>
      <c r="D6256" t="s">
        <v>113</v>
      </c>
      <c r="F6256" s="35">
        <v>4.5</v>
      </c>
      <c r="G6256" s="35">
        <v>-9.129332291088847</v>
      </c>
      <c r="H6256" s="35">
        <v>1.8451017742248625</v>
      </c>
      <c r="I6256" s="35">
        <v>8.594473937028925E-2</v>
      </c>
      <c r="J6256" s="35">
        <v>5.6214315174344266E-3</v>
      </c>
      <c r="K6256" s="35">
        <v>-0.12323154325545933</v>
      </c>
      <c r="L6256" s="35">
        <v>-1.0923160620315231</v>
      </c>
      <c r="M6256" s="58" t="s">
        <v>24</v>
      </c>
      <c r="N6256" s="7">
        <v>10.416666666666666</v>
      </c>
      <c r="O6256" s="7" t="s">
        <v>178</v>
      </c>
      <c r="P6256" s="7" t="s">
        <v>178</v>
      </c>
    </row>
    <row r="6257" spans="1:16" x14ac:dyDescent="0.25">
      <c r="A6257" t="s">
        <v>183</v>
      </c>
      <c r="B6257" t="s">
        <v>231</v>
      </c>
      <c r="C6257" s="7" t="s">
        <v>172</v>
      </c>
      <c r="D6257" t="s">
        <v>113</v>
      </c>
      <c r="F6257" s="35">
        <v>5.0809891242154022</v>
      </c>
      <c r="G6257" s="35">
        <v>-8.8119292176931072</v>
      </c>
      <c r="H6257" s="35">
        <v>1.4497967741087032</v>
      </c>
      <c r="I6257" s="35">
        <v>8.594473937028925E-2</v>
      </c>
      <c r="J6257" s="35">
        <v>5.6214315174344266E-3</v>
      </c>
      <c r="K6257" s="35">
        <v>-0.1731645021131247</v>
      </c>
      <c r="L6257" s="35">
        <v>-2.0494661730189816</v>
      </c>
      <c r="M6257" s="58" t="s">
        <v>24</v>
      </c>
      <c r="N6257" s="7">
        <v>10.416666666666666</v>
      </c>
      <c r="O6257" s="7" t="s">
        <v>178</v>
      </c>
      <c r="P6257" s="7" t="s">
        <v>178</v>
      </c>
    </row>
    <row r="6258" spans="1:16" x14ac:dyDescent="0.25">
      <c r="A6258" t="s">
        <v>183</v>
      </c>
      <c r="B6258" t="s">
        <v>231</v>
      </c>
      <c r="C6258" s="7" t="s">
        <v>172</v>
      </c>
      <c r="D6258" t="s">
        <v>113</v>
      </c>
      <c r="F6258" s="35">
        <v>10.161978248430804</v>
      </c>
      <c r="G6258" s="35">
        <v>-6.0361086442973706</v>
      </c>
      <c r="H6258" s="35">
        <v>-2.0073082260074564</v>
      </c>
      <c r="I6258" s="35">
        <v>8.594473937028925E-2</v>
      </c>
      <c r="J6258" s="35">
        <v>5.6214315174344266E-3</v>
      </c>
      <c r="K6258" s="35">
        <v>-0.60984878813709176</v>
      </c>
      <c r="L6258" s="35">
        <v>-0.63311136115743027</v>
      </c>
      <c r="M6258" s="58" t="s">
        <v>23</v>
      </c>
      <c r="N6258" s="7">
        <v>10.416666666666666</v>
      </c>
      <c r="O6258" s="7" t="s">
        <v>178</v>
      </c>
      <c r="P6258" s="7" t="s">
        <v>178</v>
      </c>
    </row>
    <row r="6259" spans="1:16" x14ac:dyDescent="0.25">
      <c r="A6259" t="s">
        <v>183</v>
      </c>
      <c r="B6259" t="s">
        <v>231</v>
      </c>
      <c r="C6259" s="7" t="s">
        <v>172</v>
      </c>
      <c r="D6259" t="s">
        <v>114</v>
      </c>
      <c r="F6259" s="35">
        <v>0</v>
      </c>
      <c r="G6259" s="35">
        <v>46.164077310033541</v>
      </c>
      <c r="H6259" s="35">
        <v>-21.016027265588317</v>
      </c>
      <c r="I6259" s="35">
        <v>-0.463760886449746</v>
      </c>
      <c r="J6259" s="35">
        <v>-9.5840134948899473E-3</v>
      </c>
      <c r="K6259" s="35">
        <v>-1.6094896713579974</v>
      </c>
      <c r="L6259" s="35">
        <v>-51.92179734292251</v>
      </c>
      <c r="M6259" s="58" t="s">
        <v>22</v>
      </c>
      <c r="N6259" s="7">
        <v>10.416666666666666</v>
      </c>
      <c r="O6259" s="7" t="s">
        <v>178</v>
      </c>
      <c r="P6259" s="7" t="s">
        <v>178</v>
      </c>
    </row>
    <row r="6260" spans="1:16" x14ac:dyDescent="0.25">
      <c r="A6260" t="s">
        <v>183</v>
      </c>
      <c r="B6260" t="s">
        <v>231</v>
      </c>
      <c r="C6260" s="7" t="s">
        <v>172</v>
      </c>
      <c r="D6260" t="s">
        <v>114</v>
      </c>
      <c r="F6260" s="35">
        <v>4.5</v>
      </c>
      <c r="G6260" s="35">
        <v>48.622494810033544</v>
      </c>
      <c r="H6260" s="35">
        <v>-7.2379272655883158</v>
      </c>
      <c r="I6260" s="35">
        <v>-0.463760886449746</v>
      </c>
      <c r="J6260" s="35">
        <v>-9.5840134948899473E-3</v>
      </c>
      <c r="K6260" s="35">
        <v>0.47743431766586009</v>
      </c>
      <c r="L6260" s="35">
        <v>11.64960035222491</v>
      </c>
      <c r="M6260" s="58" t="s">
        <v>24</v>
      </c>
      <c r="N6260" s="7">
        <v>10.416666666666666</v>
      </c>
      <c r="O6260" s="7" t="s">
        <v>178</v>
      </c>
      <c r="P6260" s="7" t="s">
        <v>178</v>
      </c>
    </row>
    <row r="6261" spans="1:16" x14ac:dyDescent="0.25">
      <c r="A6261" t="s">
        <v>183</v>
      </c>
      <c r="B6261" t="s">
        <v>231</v>
      </c>
      <c r="C6261" s="7" t="s">
        <v>172</v>
      </c>
      <c r="D6261" t="s">
        <v>114</v>
      </c>
      <c r="F6261" s="35">
        <v>4.5</v>
      </c>
      <c r="G6261" s="35">
        <v>49.40863090310188</v>
      </c>
      <c r="H6261" s="35">
        <v>-7.2382478223200994</v>
      </c>
      <c r="I6261" s="35">
        <v>-0.44729875892064414</v>
      </c>
      <c r="J6261" s="35">
        <v>8.571125404949741E-3</v>
      </c>
      <c r="K6261" s="35">
        <v>0.47743222226336945</v>
      </c>
      <c r="L6261" s="35">
        <v>10.666867248111229</v>
      </c>
      <c r="M6261" s="58" t="s">
        <v>24</v>
      </c>
      <c r="N6261" s="7">
        <v>10.416666666666666</v>
      </c>
      <c r="O6261" s="7" t="s">
        <v>178</v>
      </c>
      <c r="P6261" s="7" t="s">
        <v>178</v>
      </c>
    </row>
    <row r="6262" spans="1:16" x14ac:dyDescent="0.25">
      <c r="A6262" t="s">
        <v>183</v>
      </c>
      <c r="B6262" t="s">
        <v>231</v>
      </c>
      <c r="C6262" s="7" t="s">
        <v>172</v>
      </c>
      <c r="D6262" t="s">
        <v>114</v>
      </c>
      <c r="F6262" s="35">
        <v>5.0809891242154022</v>
      </c>
      <c r="G6262" s="35">
        <v>49.726033976497618</v>
      </c>
      <c r="H6262" s="35">
        <v>-5.4593753217973813</v>
      </c>
      <c r="I6262" s="35">
        <v>-0.44729875892064414</v>
      </c>
      <c r="J6262" s="35">
        <v>8.571125404949741E-3</v>
      </c>
      <c r="K6262" s="35">
        <v>0.73730793647131043</v>
      </c>
      <c r="L6262" s="35">
        <v>14.355457723170245</v>
      </c>
      <c r="M6262" s="58" t="s">
        <v>24</v>
      </c>
      <c r="N6262" s="7">
        <v>10.416666666666666</v>
      </c>
      <c r="O6262" s="7" t="s">
        <v>178</v>
      </c>
      <c r="P6262" s="7" t="s">
        <v>178</v>
      </c>
    </row>
    <row r="6263" spans="1:16" x14ac:dyDescent="0.25">
      <c r="A6263" t="s">
        <v>183</v>
      </c>
      <c r="B6263" t="s">
        <v>231</v>
      </c>
      <c r="C6263" s="7" t="s">
        <v>172</v>
      </c>
      <c r="D6263" t="s">
        <v>114</v>
      </c>
      <c r="F6263" s="35">
        <v>10.161978248430804</v>
      </c>
      <c r="G6263" s="35">
        <v>52.501854549893359</v>
      </c>
      <c r="H6263" s="35">
        <v>10.097597178725341</v>
      </c>
      <c r="I6263" s="35">
        <v>-0.44729875892064414</v>
      </c>
      <c r="J6263" s="35">
        <v>8.571125404949741E-3</v>
      </c>
      <c r="K6263" s="35">
        <v>3.0100280658221488</v>
      </c>
      <c r="L6263" s="35">
        <v>2.5720803177956886</v>
      </c>
      <c r="M6263" s="58" t="s">
        <v>23</v>
      </c>
      <c r="N6263" s="7">
        <v>10.416666666666666</v>
      </c>
      <c r="O6263" s="7" t="s">
        <v>178</v>
      </c>
      <c r="P6263" s="7" t="s">
        <v>178</v>
      </c>
    </row>
    <row r="6264" spans="1:16" x14ac:dyDescent="0.25">
      <c r="A6264" t="s">
        <v>183</v>
      </c>
      <c r="B6264" t="s">
        <v>231</v>
      </c>
      <c r="C6264" s="7" t="s">
        <v>172</v>
      </c>
      <c r="D6264" t="s">
        <v>115</v>
      </c>
      <c r="F6264" s="35">
        <v>0</v>
      </c>
      <c r="G6264" s="35">
        <v>26.718115655555188</v>
      </c>
      <c r="H6264" s="35">
        <v>-36.901220494450591</v>
      </c>
      <c r="I6264" s="35">
        <v>-0.35740392320903691</v>
      </c>
      <c r="J6264" s="35">
        <v>-4.9510771927436465E-3</v>
      </c>
      <c r="K6264" s="35">
        <v>-1.2237208481746802</v>
      </c>
      <c r="L6264" s="35">
        <v>-88.19482831577065</v>
      </c>
      <c r="M6264" s="58" t="s">
        <v>22</v>
      </c>
      <c r="N6264" s="7">
        <v>10.416666666666666</v>
      </c>
      <c r="O6264" s="7" t="s">
        <v>178</v>
      </c>
      <c r="P6264" s="7" t="s">
        <v>178</v>
      </c>
    </row>
    <row r="6265" spans="1:16" x14ac:dyDescent="0.25">
      <c r="A6265" t="s">
        <v>183</v>
      </c>
      <c r="B6265" t="s">
        <v>231</v>
      </c>
      <c r="C6265" s="7" t="s">
        <v>172</v>
      </c>
      <c r="D6265" t="s">
        <v>115</v>
      </c>
      <c r="F6265" s="35">
        <v>4.5</v>
      </c>
      <c r="G6265" s="35">
        <v>29.176533155555191</v>
      </c>
      <c r="H6265" s="35">
        <v>-12.406820494450594</v>
      </c>
      <c r="I6265" s="35">
        <v>-0.35740392320903691</v>
      </c>
      <c r="J6265" s="35">
        <v>-4.9510771927436465E-3</v>
      </c>
      <c r="K6265" s="35">
        <v>0.38459680626598602</v>
      </c>
      <c r="L6265" s="35">
        <v>22.74826390925702</v>
      </c>
      <c r="M6265" s="58" t="s">
        <v>24</v>
      </c>
      <c r="N6265" s="7">
        <v>10.416666666666666</v>
      </c>
      <c r="O6265" s="7" t="s">
        <v>178</v>
      </c>
      <c r="P6265" s="7" t="s">
        <v>178</v>
      </c>
    </row>
    <row r="6266" spans="1:16" x14ac:dyDescent="0.25">
      <c r="A6266" t="s">
        <v>183</v>
      </c>
      <c r="B6266" t="s">
        <v>231</v>
      </c>
      <c r="C6266" s="7" t="s">
        <v>172</v>
      </c>
      <c r="D6266" t="s">
        <v>115</v>
      </c>
      <c r="F6266" s="35">
        <v>4.5</v>
      </c>
      <c r="G6266" s="35">
        <v>29.962669413018368</v>
      </c>
      <c r="H6266" s="35">
        <v>-12.407358208871381</v>
      </c>
      <c r="I6266" s="35">
        <v>-0.34581876921758903</v>
      </c>
      <c r="J6266" s="35">
        <v>6.3930435554519155E-3</v>
      </c>
      <c r="K6266" s="35">
        <v>0.38459611434448859</v>
      </c>
      <c r="L6266" s="35">
        <v>21.765481022623508</v>
      </c>
      <c r="M6266" s="58" t="s">
        <v>24</v>
      </c>
      <c r="N6266" s="7">
        <v>10.416666666666666</v>
      </c>
      <c r="O6266" s="7" t="s">
        <v>178</v>
      </c>
      <c r="P6266" s="7" t="s">
        <v>178</v>
      </c>
    </row>
    <row r="6267" spans="1:16" x14ac:dyDescent="0.25">
      <c r="A6267" t="s">
        <v>183</v>
      </c>
      <c r="B6267" t="s">
        <v>231</v>
      </c>
      <c r="C6267" s="7" t="s">
        <v>172</v>
      </c>
      <c r="D6267" t="s">
        <v>115</v>
      </c>
      <c r="F6267" s="35">
        <v>5.0809891242154022</v>
      </c>
      <c r="G6267" s="35">
        <v>30.28007248641411</v>
      </c>
      <c r="H6267" s="35">
        <v>-9.2449182079421064</v>
      </c>
      <c r="I6267" s="35">
        <v>-0.34581876921758903</v>
      </c>
      <c r="J6267" s="35">
        <v>6.3930435554519155E-3</v>
      </c>
      <c r="K6267" s="35">
        <v>0.58551305820946375</v>
      </c>
      <c r="L6267" s="35">
        <v>28.055349578960637</v>
      </c>
      <c r="M6267" s="58" t="s">
        <v>24</v>
      </c>
      <c r="N6267" s="7">
        <v>10.416666666666666</v>
      </c>
      <c r="O6267" s="7" t="s">
        <v>178</v>
      </c>
      <c r="P6267" s="7" t="s">
        <v>178</v>
      </c>
    </row>
    <row r="6268" spans="1:16" x14ac:dyDescent="0.25">
      <c r="A6268" t="s">
        <v>183</v>
      </c>
      <c r="B6268" t="s">
        <v>231</v>
      </c>
      <c r="C6268" s="7" t="s">
        <v>172</v>
      </c>
      <c r="D6268" t="s">
        <v>115</v>
      </c>
      <c r="F6268" s="35">
        <v>10.161978248430804</v>
      </c>
      <c r="G6268" s="35">
        <v>33.055893059809847</v>
      </c>
      <c r="H6268" s="35">
        <v>18.411921792987169</v>
      </c>
      <c r="I6268" s="35">
        <v>-0.34581876921758903</v>
      </c>
      <c r="J6268" s="35">
        <v>6.3930435554519155E-3</v>
      </c>
      <c r="K6268" s="35">
        <v>2.342614463553589</v>
      </c>
      <c r="L6268" s="35">
        <v>4.7666268203318545</v>
      </c>
      <c r="M6268" s="58" t="s">
        <v>23</v>
      </c>
      <c r="N6268" s="7">
        <v>10.416666666666666</v>
      </c>
      <c r="O6268" s="7" t="s">
        <v>178</v>
      </c>
      <c r="P6268" s="7" t="s">
        <v>178</v>
      </c>
    </row>
    <row r="6269" spans="1:16" x14ac:dyDescent="0.25">
      <c r="A6269" t="s">
        <v>183</v>
      </c>
      <c r="B6269" t="s">
        <v>231</v>
      </c>
      <c r="C6269" s="7" t="s">
        <v>172</v>
      </c>
      <c r="D6269" t="s">
        <v>116</v>
      </c>
      <c r="F6269" s="35">
        <v>0</v>
      </c>
      <c r="G6269" s="35">
        <v>9.4975995169728389</v>
      </c>
      <c r="H6269" s="35">
        <v>39.69952901464989</v>
      </c>
      <c r="I6269" s="35">
        <v>0.99160922695183218</v>
      </c>
      <c r="J6269" s="35">
        <v>1.4744286648706266E-2</v>
      </c>
      <c r="K6269" s="35">
        <v>6.1252136053277404</v>
      </c>
      <c r="L6269" s="35">
        <v>91.427959597997088</v>
      </c>
      <c r="M6269" s="58" t="s">
        <v>22</v>
      </c>
      <c r="N6269" s="7">
        <v>10.416666666666666</v>
      </c>
      <c r="O6269" s="7" t="s">
        <v>178</v>
      </c>
      <c r="P6269" s="7" t="s">
        <v>178</v>
      </c>
    </row>
    <row r="6270" spans="1:16" x14ac:dyDescent="0.25">
      <c r="A6270" t="s">
        <v>183</v>
      </c>
      <c r="B6270" t="s">
        <v>231</v>
      </c>
      <c r="C6270" s="7" t="s">
        <v>172</v>
      </c>
      <c r="D6270" t="s">
        <v>116</v>
      </c>
      <c r="F6270" s="35">
        <v>4.5</v>
      </c>
      <c r="G6270" s="35">
        <v>11.956017016972842</v>
      </c>
      <c r="H6270" s="35">
        <v>12.908779014649886</v>
      </c>
      <c r="I6270" s="35">
        <v>0.99160922695183218</v>
      </c>
      <c r="J6270" s="35">
        <v>1.4744286648706266E-2</v>
      </c>
      <c r="K6270" s="35">
        <v>1.6629720840444961</v>
      </c>
      <c r="L6270" s="35">
        <v>-26.940733467927398</v>
      </c>
      <c r="M6270" s="58" t="s">
        <v>24</v>
      </c>
      <c r="N6270" s="7">
        <v>10.416666666666666</v>
      </c>
      <c r="O6270" s="7" t="s">
        <v>178</v>
      </c>
      <c r="P6270" s="7" t="s">
        <v>178</v>
      </c>
    </row>
    <row r="6271" spans="1:16" x14ac:dyDescent="0.25">
      <c r="A6271" t="s">
        <v>183</v>
      </c>
      <c r="B6271" t="s">
        <v>231</v>
      </c>
      <c r="C6271" s="7" t="s">
        <v>172</v>
      </c>
      <c r="D6271" t="s">
        <v>116</v>
      </c>
      <c r="F6271" s="35">
        <v>4.5</v>
      </c>
      <c r="G6271" s="35">
        <v>12.742157493596967</v>
      </c>
      <c r="H6271" s="35">
        <v>12.909389034453609</v>
      </c>
      <c r="I6271" s="35">
        <v>0.96487686912771975</v>
      </c>
      <c r="J6271" s="35">
        <v>-1.4338412973782095E-2</v>
      </c>
      <c r="K6271" s="35">
        <v>1.6629855894434498</v>
      </c>
      <c r="L6271" s="35">
        <v>-27.923296317626995</v>
      </c>
      <c r="M6271" s="58" t="s">
        <v>24</v>
      </c>
      <c r="N6271" s="7">
        <v>10.416666666666666</v>
      </c>
      <c r="O6271" s="7" t="s">
        <v>178</v>
      </c>
      <c r="P6271" s="7" t="s">
        <v>178</v>
      </c>
    </row>
    <row r="6272" spans="1:16" x14ac:dyDescent="0.25">
      <c r="A6272" t="s">
        <v>183</v>
      </c>
      <c r="B6272" t="s">
        <v>231</v>
      </c>
      <c r="C6272" s="7" t="s">
        <v>172</v>
      </c>
      <c r="D6272" t="s">
        <v>116</v>
      </c>
      <c r="F6272" s="35">
        <v>5.0809891242154022</v>
      </c>
      <c r="G6272" s="35">
        <v>13.059560566992708</v>
      </c>
      <c r="H6272" s="35">
        <v>9.4504702834372143</v>
      </c>
      <c r="I6272" s="35">
        <v>0.96487686912771975</v>
      </c>
      <c r="J6272" s="35">
        <v>-1.4338412973782095E-2</v>
      </c>
      <c r="K6272" s="35">
        <v>1.1024026222732368</v>
      </c>
      <c r="L6272" s="35">
        <v>-34.418713858967486</v>
      </c>
      <c r="M6272" s="58" t="s">
        <v>24</v>
      </c>
      <c r="N6272" s="7">
        <v>10.416666666666666</v>
      </c>
      <c r="O6272" s="7" t="s">
        <v>178</v>
      </c>
      <c r="P6272" s="7" t="s">
        <v>178</v>
      </c>
    </row>
    <row r="6273" spans="1:16" x14ac:dyDescent="0.25">
      <c r="A6273" t="s">
        <v>183</v>
      </c>
      <c r="B6273" t="s">
        <v>231</v>
      </c>
      <c r="C6273" s="7" t="s">
        <v>172</v>
      </c>
      <c r="D6273" t="s">
        <v>116</v>
      </c>
      <c r="F6273" s="35">
        <v>10.161978248430804</v>
      </c>
      <c r="G6273" s="35">
        <v>15.835381140388444</v>
      </c>
      <c r="H6273" s="35">
        <v>-20.799198467579181</v>
      </c>
      <c r="I6273" s="35">
        <v>0.96487686912771975</v>
      </c>
      <c r="J6273" s="35">
        <v>-1.4338412973782095E-2</v>
      </c>
      <c r="K6273" s="35">
        <v>-3.8001262559717146</v>
      </c>
      <c r="L6273" s="35">
        <v>-5.5873316203164265</v>
      </c>
      <c r="M6273" s="58" t="s">
        <v>23</v>
      </c>
      <c r="N6273" s="7">
        <v>10.416666666666666</v>
      </c>
      <c r="O6273" s="7" t="s">
        <v>178</v>
      </c>
      <c r="P6273" s="7" t="s">
        <v>178</v>
      </c>
    </row>
    <row r="6274" spans="1:16" x14ac:dyDescent="0.25">
      <c r="A6274" t="s">
        <v>183</v>
      </c>
      <c r="B6274" t="s">
        <v>231</v>
      </c>
      <c r="C6274" s="7" t="s">
        <v>172</v>
      </c>
      <c r="D6274" t="s">
        <v>117</v>
      </c>
      <c r="F6274" s="35">
        <v>0</v>
      </c>
      <c r="G6274" s="35">
        <v>-43.323878588009627</v>
      </c>
      <c r="H6274" s="35">
        <v>23.857905861295642</v>
      </c>
      <c r="I6274" s="35">
        <v>3.3963072691197582</v>
      </c>
      <c r="J6274" s="35">
        <v>8.5093303618789858E-3</v>
      </c>
      <c r="K6274" s="35">
        <v>17.971652937776867</v>
      </c>
      <c r="L6274" s="35">
        <v>55.606388973667322</v>
      </c>
      <c r="M6274" s="58" t="s">
        <v>22</v>
      </c>
      <c r="N6274" s="7">
        <v>10.416666666666666</v>
      </c>
      <c r="O6274" s="7" t="s">
        <v>178</v>
      </c>
      <c r="P6274" s="7" t="s">
        <v>178</v>
      </c>
    </row>
    <row r="6275" spans="1:16" x14ac:dyDescent="0.25">
      <c r="A6275" t="s">
        <v>183</v>
      </c>
      <c r="B6275" t="s">
        <v>231</v>
      </c>
      <c r="C6275" s="7" t="s">
        <v>172</v>
      </c>
      <c r="D6275" t="s">
        <v>117</v>
      </c>
      <c r="F6275" s="35">
        <v>4.5</v>
      </c>
      <c r="G6275" s="35">
        <v>-40.865461088009624</v>
      </c>
      <c r="H6275" s="35">
        <v>7.7834558612956419</v>
      </c>
      <c r="I6275" s="35">
        <v>3.3963072691197582</v>
      </c>
      <c r="J6275" s="35">
        <v>8.5093303618789858E-3</v>
      </c>
      <c r="K6275" s="35">
        <v>2.6882702267379561</v>
      </c>
      <c r="L6275" s="35">
        <v>-15.586674902163068</v>
      </c>
      <c r="M6275" s="58" t="s">
        <v>24</v>
      </c>
      <c r="N6275" s="7">
        <v>10.416666666666666</v>
      </c>
      <c r="O6275" s="7" t="s">
        <v>178</v>
      </c>
      <c r="P6275" s="7" t="s">
        <v>178</v>
      </c>
    </row>
    <row r="6276" spans="1:16" x14ac:dyDescent="0.25">
      <c r="A6276" t="s">
        <v>183</v>
      </c>
      <c r="B6276" t="s">
        <v>231</v>
      </c>
      <c r="C6276" s="7" t="s">
        <v>172</v>
      </c>
      <c r="D6276" t="s">
        <v>117</v>
      </c>
      <c r="F6276" s="35">
        <v>4.5</v>
      </c>
      <c r="G6276" s="35">
        <v>-40.079315814727273</v>
      </c>
      <c r="H6276" s="35">
        <v>7.7836680913316814</v>
      </c>
      <c r="I6276" s="35">
        <v>3.3814050098675721</v>
      </c>
      <c r="J6276" s="35">
        <v>-8.273775952362547E-3</v>
      </c>
      <c r="K6276" s="35">
        <v>2.6883111250155682</v>
      </c>
      <c r="L6276" s="35">
        <v>-16.569293947031863</v>
      </c>
      <c r="M6276" s="58" t="s">
        <v>24</v>
      </c>
      <c r="N6276" s="7">
        <v>10.416666666666666</v>
      </c>
      <c r="O6276" s="7" t="s">
        <v>178</v>
      </c>
      <c r="P6276" s="7" t="s">
        <v>178</v>
      </c>
    </row>
    <row r="6277" spans="1:16" x14ac:dyDescent="0.25">
      <c r="A6277" t="s">
        <v>183</v>
      </c>
      <c r="B6277" t="s">
        <v>231</v>
      </c>
      <c r="C6277" s="7" t="s">
        <v>172</v>
      </c>
      <c r="D6277" t="s">
        <v>117</v>
      </c>
      <c r="F6277" s="35">
        <v>5.0809891242154022</v>
      </c>
      <c r="G6277" s="35">
        <v>-39.761912741331535</v>
      </c>
      <c r="H6277" s="35">
        <v>5.7083168407218441</v>
      </c>
      <c r="I6277" s="35">
        <v>3.3814050098675721</v>
      </c>
      <c r="J6277" s="35">
        <v>-8.273775952362547E-3</v>
      </c>
      <c r="K6277" s="35">
        <v>0.72375158971503539</v>
      </c>
      <c r="L6277" s="35">
        <v>-20.488642201832452</v>
      </c>
      <c r="M6277" s="58" t="s">
        <v>24</v>
      </c>
      <c r="N6277" s="7">
        <v>10.416666666666666</v>
      </c>
      <c r="O6277" s="7" t="s">
        <v>178</v>
      </c>
      <c r="P6277" s="7" t="s">
        <v>178</v>
      </c>
    </row>
    <row r="6278" spans="1:16" x14ac:dyDescent="0.25">
      <c r="A6278" t="s">
        <v>183</v>
      </c>
      <c r="B6278" t="s">
        <v>231</v>
      </c>
      <c r="C6278" s="7" t="s">
        <v>172</v>
      </c>
      <c r="D6278" t="s">
        <v>117</v>
      </c>
      <c r="F6278" s="35">
        <v>10.161978248430804</v>
      </c>
      <c r="G6278" s="35">
        <v>-36.986092167935801</v>
      </c>
      <c r="H6278" s="35">
        <v>-12.441484409887993</v>
      </c>
      <c r="I6278" s="35">
        <v>3.3814050098675721</v>
      </c>
      <c r="J6278" s="35">
        <v>-8.273775952362547E-3</v>
      </c>
      <c r="K6278" s="35">
        <v>-16.45713048998957</v>
      </c>
      <c r="L6278" s="35">
        <v>-3.3830666066059338</v>
      </c>
      <c r="M6278" s="58" t="s">
        <v>23</v>
      </c>
      <c r="N6278" s="7">
        <v>10.416666666666666</v>
      </c>
      <c r="O6278" s="7" t="s">
        <v>178</v>
      </c>
      <c r="P6278" s="7" t="s">
        <v>178</v>
      </c>
    </row>
    <row r="6279" spans="1:16" x14ac:dyDescent="0.25">
      <c r="A6279" t="s">
        <v>183</v>
      </c>
      <c r="B6279" t="s">
        <v>231</v>
      </c>
      <c r="C6279" s="7" t="s">
        <v>172</v>
      </c>
      <c r="D6279" t="s">
        <v>118</v>
      </c>
      <c r="F6279" s="35">
        <v>0</v>
      </c>
      <c r="G6279" s="35">
        <v>6.8413761902159811</v>
      </c>
      <c r="H6279" s="35">
        <v>39.676063121713696</v>
      </c>
      <c r="I6279" s="35">
        <v>-1.5027551393587011</v>
      </c>
      <c r="J6279" s="35">
        <v>-1.1876958507294335E-2</v>
      </c>
      <c r="K6279" s="35">
        <v>-8.0489336277588137</v>
      </c>
      <c r="L6279" s="35">
        <v>91.181322998744307</v>
      </c>
      <c r="M6279" s="58" t="s">
        <v>22</v>
      </c>
      <c r="N6279" s="7">
        <v>10.416666666666666</v>
      </c>
      <c r="O6279" s="7" t="s">
        <v>178</v>
      </c>
      <c r="P6279" s="7" t="s">
        <v>178</v>
      </c>
    </row>
    <row r="6280" spans="1:16" x14ac:dyDescent="0.25">
      <c r="A6280" t="s">
        <v>183</v>
      </c>
      <c r="B6280" t="s">
        <v>231</v>
      </c>
      <c r="C6280" s="7" t="s">
        <v>172</v>
      </c>
      <c r="D6280" t="s">
        <v>118</v>
      </c>
      <c r="F6280" s="35">
        <v>4.5</v>
      </c>
      <c r="G6280" s="35">
        <v>9.2997936902159832</v>
      </c>
      <c r="H6280" s="35">
        <v>12.885313121713692</v>
      </c>
      <c r="I6280" s="35">
        <v>-1.5027551393587011</v>
      </c>
      <c r="J6280" s="35">
        <v>-1.1876958507294335E-2</v>
      </c>
      <c r="K6280" s="35">
        <v>-1.2865355006446577</v>
      </c>
      <c r="L6280" s="35">
        <v>-27.08177354896732</v>
      </c>
      <c r="M6280" s="58" t="s">
        <v>24</v>
      </c>
      <c r="N6280" s="7">
        <v>10.416666666666666</v>
      </c>
      <c r="O6280" s="7" t="s">
        <v>178</v>
      </c>
      <c r="P6280" s="7" t="s">
        <v>178</v>
      </c>
    </row>
    <row r="6281" spans="1:16" x14ac:dyDescent="0.25">
      <c r="A6281" t="s">
        <v>183</v>
      </c>
      <c r="B6281" t="s">
        <v>231</v>
      </c>
      <c r="C6281" s="7" t="s">
        <v>172</v>
      </c>
      <c r="D6281" t="s">
        <v>118</v>
      </c>
      <c r="F6281" s="35">
        <v>4.5</v>
      </c>
      <c r="G6281" s="35">
        <v>10.08592470353509</v>
      </c>
      <c r="H6281" s="35">
        <v>12.885859069164045</v>
      </c>
      <c r="I6281" s="35">
        <v>-1.4901331832433067</v>
      </c>
      <c r="J6281" s="35">
        <v>5.6768105251024208E-3</v>
      </c>
      <c r="K6281" s="35">
        <v>-1.2865573420075578</v>
      </c>
      <c r="L6281" s="35">
        <v>-28.064313610093382</v>
      </c>
      <c r="M6281" s="58" t="s">
        <v>24</v>
      </c>
      <c r="N6281" s="7">
        <v>10.416666666666666</v>
      </c>
      <c r="O6281" s="7" t="s">
        <v>178</v>
      </c>
      <c r="P6281" s="7" t="s">
        <v>178</v>
      </c>
    </row>
    <row r="6282" spans="1:16" x14ac:dyDescent="0.25">
      <c r="A6282" t="s">
        <v>183</v>
      </c>
      <c r="B6282" t="s">
        <v>231</v>
      </c>
      <c r="C6282" s="7" t="s">
        <v>172</v>
      </c>
      <c r="D6282" t="s">
        <v>118</v>
      </c>
      <c r="F6282" s="35">
        <v>5.0809891242154022</v>
      </c>
      <c r="G6282" s="35">
        <v>10.403327776930832</v>
      </c>
      <c r="H6282" s="35">
        <v>9.4269403181476505</v>
      </c>
      <c r="I6282" s="35">
        <v>-1.4901331832433067</v>
      </c>
      <c r="J6282" s="35">
        <v>5.6768105251024208E-3</v>
      </c>
      <c r="K6282" s="35">
        <v>-0.42080616891072015</v>
      </c>
      <c r="L6282" s="35">
        <v>-34.546060497507476</v>
      </c>
      <c r="M6282" s="58" t="s">
        <v>24</v>
      </c>
      <c r="N6282" s="7">
        <v>10.416666666666666</v>
      </c>
      <c r="O6282" s="7" t="s">
        <v>178</v>
      </c>
      <c r="P6282" s="7" t="s">
        <v>178</v>
      </c>
    </row>
    <row r="6283" spans="1:16" x14ac:dyDescent="0.25">
      <c r="A6283" t="s">
        <v>183</v>
      </c>
      <c r="B6283" t="s">
        <v>231</v>
      </c>
      <c r="C6283" s="7" t="s">
        <v>172</v>
      </c>
      <c r="D6283" t="s">
        <v>118</v>
      </c>
      <c r="F6283" s="35">
        <v>10.161978248430804</v>
      </c>
      <c r="G6283" s="35">
        <v>13.179148350326567</v>
      </c>
      <c r="H6283" s="35">
        <v>-20.822728432868747</v>
      </c>
      <c r="I6283" s="35">
        <v>-1.4901331832433067</v>
      </c>
      <c r="J6283" s="35">
        <v>5.6768105251024208E-3</v>
      </c>
      <c r="K6283" s="35">
        <v>7.1505443287809962</v>
      </c>
      <c r="L6283" s="35">
        <v>-5.5951227611269534</v>
      </c>
      <c r="M6283" s="58" t="s">
        <v>23</v>
      </c>
      <c r="N6283" s="7">
        <v>10.416666666666666</v>
      </c>
      <c r="O6283" s="7" t="s">
        <v>178</v>
      </c>
      <c r="P6283" s="7" t="s">
        <v>178</v>
      </c>
    </row>
    <row r="6284" spans="1:16" x14ac:dyDescent="0.25">
      <c r="A6284" t="s">
        <v>183</v>
      </c>
      <c r="B6284" t="s">
        <v>231</v>
      </c>
      <c r="C6284" s="7" t="s">
        <v>172</v>
      </c>
      <c r="D6284" t="s">
        <v>119</v>
      </c>
      <c r="F6284" s="35">
        <v>0</v>
      </c>
      <c r="G6284" s="35">
        <v>-16.279983077449625</v>
      </c>
      <c r="H6284" s="35">
        <v>23.824666532347436</v>
      </c>
      <c r="I6284" s="35">
        <v>-3.2455659073650747</v>
      </c>
      <c r="J6284" s="35">
        <v>-8.5925740858728544E-3</v>
      </c>
      <c r="K6284" s="35">
        <v>-17.634501797445274</v>
      </c>
      <c r="L6284" s="35">
        <v>55.260037366092106</v>
      </c>
      <c r="M6284" s="58" t="s">
        <v>22</v>
      </c>
      <c r="N6284" s="7">
        <v>10.416666666666666</v>
      </c>
      <c r="O6284" s="7" t="s">
        <v>178</v>
      </c>
      <c r="P6284" s="7" t="s">
        <v>178</v>
      </c>
    </row>
    <row r="6285" spans="1:16" x14ac:dyDescent="0.25">
      <c r="A6285" t="s">
        <v>183</v>
      </c>
      <c r="B6285" t="s">
        <v>231</v>
      </c>
      <c r="C6285" s="7" t="s">
        <v>172</v>
      </c>
      <c r="D6285" t="s">
        <v>119</v>
      </c>
      <c r="F6285" s="35">
        <v>4.5</v>
      </c>
      <c r="G6285" s="35">
        <v>-13.821565577449624</v>
      </c>
      <c r="H6285" s="35">
        <v>7.7502165323474337</v>
      </c>
      <c r="I6285" s="35">
        <v>-3.2455659073650747</v>
      </c>
      <c r="J6285" s="35">
        <v>-8.5925740858728544E-3</v>
      </c>
      <c r="K6285" s="35">
        <v>-3.0294552143024385</v>
      </c>
      <c r="L6285" s="35">
        <v>-15.783449529471339</v>
      </c>
      <c r="M6285" s="58" t="s">
        <v>24</v>
      </c>
      <c r="N6285" s="7">
        <v>10.416666666666666</v>
      </c>
      <c r="O6285" s="7" t="s">
        <v>178</v>
      </c>
      <c r="P6285" s="7" t="s">
        <v>178</v>
      </c>
    </row>
    <row r="6286" spans="1:16" x14ac:dyDescent="0.25">
      <c r="A6286" t="s">
        <v>183</v>
      </c>
      <c r="B6286" t="s">
        <v>231</v>
      </c>
      <c r="C6286" s="7" t="s">
        <v>172</v>
      </c>
      <c r="D6286" t="s">
        <v>119</v>
      </c>
      <c r="F6286" s="35">
        <v>4.5</v>
      </c>
      <c r="G6286" s="35">
        <v>-13.035439904350168</v>
      </c>
      <c r="H6286" s="35">
        <v>7.7505160723621005</v>
      </c>
      <c r="I6286" s="35">
        <v>-3.2356627453907851</v>
      </c>
      <c r="J6286" s="35">
        <v>4.5910191656433905E-3</v>
      </c>
      <c r="K6286" s="35">
        <v>-3.0294995381157133</v>
      </c>
      <c r="L6286" s="35">
        <v>-16.766034290759219</v>
      </c>
      <c r="M6286" s="58" t="s">
        <v>24</v>
      </c>
      <c r="N6286" s="7">
        <v>10.416666666666666</v>
      </c>
      <c r="O6286" s="7" t="s">
        <v>178</v>
      </c>
      <c r="P6286" s="7" t="s">
        <v>178</v>
      </c>
    </row>
    <row r="6287" spans="1:16" x14ac:dyDescent="0.25">
      <c r="A6287" t="s">
        <v>183</v>
      </c>
      <c r="B6287" t="s">
        <v>231</v>
      </c>
      <c r="C6287" s="7" t="s">
        <v>172</v>
      </c>
      <c r="D6287" t="s">
        <v>119</v>
      </c>
      <c r="F6287" s="35">
        <v>5.0809891242154022</v>
      </c>
      <c r="G6287" s="35">
        <v>-12.718036830954428</v>
      </c>
      <c r="H6287" s="35">
        <v>5.6751648217522632</v>
      </c>
      <c r="I6287" s="35">
        <v>-3.2356627453907851</v>
      </c>
      <c r="J6287" s="35">
        <v>4.5910191656433905E-3</v>
      </c>
      <c r="K6287" s="35">
        <v>-1.1496146734147183</v>
      </c>
      <c r="L6287" s="35">
        <v>-20.666121583092696</v>
      </c>
      <c r="M6287" s="58" t="s">
        <v>24</v>
      </c>
      <c r="N6287" s="7">
        <v>10.416666666666666</v>
      </c>
      <c r="O6287" s="7" t="s">
        <v>178</v>
      </c>
      <c r="P6287" s="7" t="s">
        <v>178</v>
      </c>
    </row>
    <row r="6288" spans="1:16" x14ac:dyDescent="0.25">
      <c r="A6288" t="s">
        <v>183</v>
      </c>
      <c r="B6288" t="s">
        <v>231</v>
      </c>
      <c r="C6288" s="7" t="s">
        <v>172</v>
      </c>
      <c r="D6288" t="s">
        <v>119</v>
      </c>
      <c r="F6288" s="35">
        <v>10.161978248430804</v>
      </c>
      <c r="G6288" s="35">
        <v>-9.942216257558691</v>
      </c>
      <c r="H6288" s="35">
        <v>-12.474636428857574</v>
      </c>
      <c r="I6288" s="35">
        <v>-3.2356627453907851</v>
      </c>
      <c r="J6288" s="35">
        <v>4.5910191656433905E-3</v>
      </c>
      <c r="K6288" s="35">
        <v>15.290752545544811</v>
      </c>
      <c r="L6288" s="35">
        <v>-3.3921009400359479</v>
      </c>
      <c r="M6288" s="58" t="s">
        <v>23</v>
      </c>
      <c r="N6288" s="7">
        <v>10.416666666666666</v>
      </c>
      <c r="O6288" s="7" t="s">
        <v>178</v>
      </c>
      <c r="P6288" s="7" t="s">
        <v>178</v>
      </c>
    </row>
    <row r="6289" spans="1:16" x14ac:dyDescent="0.25">
      <c r="A6289" t="s">
        <v>183</v>
      </c>
      <c r="B6289" t="s">
        <v>231</v>
      </c>
      <c r="C6289" s="7" t="s">
        <v>172</v>
      </c>
      <c r="D6289" t="s">
        <v>120</v>
      </c>
      <c r="F6289" s="35">
        <v>0</v>
      </c>
      <c r="G6289" s="35">
        <v>12.678916117103798</v>
      </c>
      <c r="H6289" s="35">
        <v>23.105909329601779</v>
      </c>
      <c r="I6289" s="35">
        <v>-4.5581265095593397E-2</v>
      </c>
      <c r="J6289" s="35">
        <v>-1.2626209496957235E-2</v>
      </c>
      <c r="K6289" s="35">
        <v>-0.22220864257600617</v>
      </c>
      <c r="L6289" s="35">
        <v>57.000032734637855</v>
      </c>
      <c r="M6289" s="58" t="s">
        <v>22</v>
      </c>
      <c r="N6289" s="7">
        <v>10.416666666666666</v>
      </c>
      <c r="O6289" s="7" t="s">
        <v>178</v>
      </c>
      <c r="P6289" s="7" t="s">
        <v>178</v>
      </c>
    </row>
    <row r="6290" spans="1:16" x14ac:dyDescent="0.25">
      <c r="A6290" t="s">
        <v>183</v>
      </c>
      <c r="B6290" t="s">
        <v>231</v>
      </c>
      <c r="C6290" s="7" t="s">
        <v>172</v>
      </c>
      <c r="D6290" t="s">
        <v>120</v>
      </c>
      <c r="F6290" s="35">
        <v>4.5</v>
      </c>
      <c r="G6290" s="35">
        <v>15.137333617103799</v>
      </c>
      <c r="H6290" s="35">
        <v>7.7969093296017791</v>
      </c>
      <c r="I6290" s="35">
        <v>-4.5581265095593397E-2</v>
      </c>
      <c r="J6290" s="35">
        <v>-1.2626209496957235E-2</v>
      </c>
      <c r="K6290" s="35">
        <v>-1.7092949645835874E-2</v>
      </c>
      <c r="L6290" s="35">
        <v>-12.531309248570146</v>
      </c>
      <c r="M6290" s="58" t="s">
        <v>24</v>
      </c>
      <c r="N6290" s="7">
        <v>10.416666666666666</v>
      </c>
      <c r="O6290" s="7" t="s">
        <v>178</v>
      </c>
      <c r="P6290" s="7" t="s">
        <v>178</v>
      </c>
    </row>
    <row r="6291" spans="1:16" x14ac:dyDescent="0.25">
      <c r="A6291" t="s">
        <v>183</v>
      </c>
      <c r="B6291" t="s">
        <v>231</v>
      </c>
      <c r="C6291" s="7" t="s">
        <v>172</v>
      </c>
      <c r="D6291" t="s">
        <v>120</v>
      </c>
      <c r="F6291" s="35">
        <v>4.5</v>
      </c>
      <c r="G6291" s="35">
        <v>15.923469006263321</v>
      </c>
      <c r="H6291" s="35">
        <v>7.7970286132225217</v>
      </c>
      <c r="I6291" s="35">
        <v>-2.8682021429308886E-2</v>
      </c>
      <c r="J6291" s="35">
        <v>8.0997200038768324E-3</v>
      </c>
      <c r="K6291" s="35">
        <v>-1.709517682818934E-2</v>
      </c>
      <c r="L6291" s="35">
        <v>-13.513910770686062</v>
      </c>
      <c r="M6291" s="58" t="s">
        <v>24</v>
      </c>
      <c r="N6291" s="7">
        <v>10.416666666666666</v>
      </c>
      <c r="O6291" s="7" t="s">
        <v>178</v>
      </c>
      <c r="P6291" s="7" t="s">
        <v>178</v>
      </c>
    </row>
    <row r="6292" spans="1:16" x14ac:dyDescent="0.25">
      <c r="A6292" t="s">
        <v>183</v>
      </c>
      <c r="B6292" t="s">
        <v>231</v>
      </c>
      <c r="C6292" s="7" t="s">
        <v>172</v>
      </c>
      <c r="D6292" t="s">
        <v>120</v>
      </c>
      <c r="F6292" s="35">
        <v>5.0809891242154022</v>
      </c>
      <c r="G6292" s="35">
        <v>16.240872079659059</v>
      </c>
      <c r="H6292" s="35">
        <v>5.8205036126417236</v>
      </c>
      <c r="I6292" s="35">
        <v>-2.8682021429308886E-2</v>
      </c>
      <c r="J6292" s="35">
        <v>8.0997200038768324E-3</v>
      </c>
      <c r="K6292" s="35">
        <v>-4.3123431724781391E-4</v>
      </c>
      <c r="L6292" s="35">
        <v>-17.469729831626001</v>
      </c>
      <c r="M6292" s="58" t="s">
        <v>24</v>
      </c>
      <c r="N6292" s="7">
        <v>10.416666666666666</v>
      </c>
      <c r="O6292" s="7" t="s">
        <v>178</v>
      </c>
      <c r="P6292" s="7" t="s">
        <v>178</v>
      </c>
    </row>
    <row r="6293" spans="1:16" x14ac:dyDescent="0.25">
      <c r="A6293" t="s">
        <v>183</v>
      </c>
      <c r="B6293" t="s">
        <v>231</v>
      </c>
      <c r="C6293" s="7" t="s">
        <v>172</v>
      </c>
      <c r="D6293" t="s">
        <v>120</v>
      </c>
      <c r="F6293" s="35">
        <v>10.161978248430804</v>
      </c>
      <c r="G6293" s="35">
        <v>19.016692653054797</v>
      </c>
      <c r="H6293" s="35">
        <v>-11.465021387939077</v>
      </c>
      <c r="I6293" s="35">
        <v>-2.8682021429308886E-2</v>
      </c>
      <c r="J6293" s="35">
        <v>8.0997200038768324E-3</v>
      </c>
      <c r="K6293" s="35">
        <v>0.14530180462558354</v>
      </c>
      <c r="L6293" s="35">
        <v>-3.1298631177628176</v>
      </c>
      <c r="M6293" s="58" t="s">
        <v>23</v>
      </c>
      <c r="N6293" s="7">
        <v>10.416666666666666</v>
      </c>
      <c r="O6293" s="7" t="s">
        <v>178</v>
      </c>
      <c r="P6293" s="7" t="s">
        <v>178</v>
      </c>
    </row>
    <row r="6294" spans="1:16" x14ac:dyDescent="0.25">
      <c r="A6294" t="s">
        <v>183</v>
      </c>
      <c r="B6294" t="s">
        <v>231</v>
      </c>
      <c r="C6294" s="7" t="s">
        <v>172</v>
      </c>
      <c r="D6294" t="s">
        <v>121</v>
      </c>
      <c r="F6294" s="35">
        <v>0</v>
      </c>
      <c r="G6294" s="35">
        <v>-8.698904563752631</v>
      </c>
      <c r="H6294" s="35">
        <v>5.4556911732210116</v>
      </c>
      <c r="I6294" s="35">
        <v>5.2369450449496757E-2</v>
      </c>
      <c r="J6294" s="35">
        <v>-7.219181261367784E-3</v>
      </c>
      <c r="K6294" s="35">
        <v>0.13602859686931784</v>
      </c>
      <c r="L6294" s="35">
        <v>16.696673857656613</v>
      </c>
      <c r="M6294" s="58" t="s">
        <v>22</v>
      </c>
      <c r="N6294" s="7">
        <v>10.416666666666666</v>
      </c>
      <c r="O6294" s="7" t="s">
        <v>178</v>
      </c>
      <c r="P6294" s="7" t="s">
        <v>178</v>
      </c>
    </row>
    <row r="6295" spans="1:16" x14ac:dyDescent="0.25">
      <c r="A6295" t="s">
        <v>183</v>
      </c>
      <c r="B6295" t="s">
        <v>231</v>
      </c>
      <c r="C6295" s="7" t="s">
        <v>172</v>
      </c>
      <c r="D6295" t="s">
        <v>121</v>
      </c>
      <c r="F6295" s="35">
        <v>4.5</v>
      </c>
      <c r="G6295" s="35">
        <v>-6.240487063752628</v>
      </c>
      <c r="H6295" s="35">
        <v>2.0536911732210124</v>
      </c>
      <c r="I6295" s="35">
        <v>5.2369450449496757E-2</v>
      </c>
      <c r="J6295" s="35">
        <v>-7.219181261367784E-3</v>
      </c>
      <c r="K6295" s="35">
        <v>-9.9633930153417552E-2</v>
      </c>
      <c r="L6295" s="35">
        <v>-0.19943642183793914</v>
      </c>
      <c r="M6295" s="58" t="s">
        <v>24</v>
      </c>
      <c r="N6295" s="7">
        <v>10.416666666666666</v>
      </c>
      <c r="O6295" s="7" t="s">
        <v>178</v>
      </c>
      <c r="P6295" s="7" t="s">
        <v>178</v>
      </c>
    </row>
    <row r="6296" spans="1:16" x14ac:dyDescent="0.25">
      <c r="A6296" t="s">
        <v>183</v>
      </c>
      <c r="B6296" t="s">
        <v>231</v>
      </c>
      <c r="C6296" s="7" t="s">
        <v>172</v>
      </c>
      <c r="D6296" t="s">
        <v>121</v>
      </c>
      <c r="F6296" s="35">
        <v>4.5</v>
      </c>
      <c r="G6296" s="35">
        <v>-5.4543514867700091</v>
      </c>
      <c r="H6296" s="35">
        <v>2.0535730670010146</v>
      </c>
      <c r="I6296" s="35">
        <v>6.3454906539263056E-2</v>
      </c>
      <c r="J6296" s="35">
        <v>5.4854826649474728E-3</v>
      </c>
      <c r="K6296" s="35">
        <v>-9.9634702847129733E-2</v>
      </c>
      <c r="L6296" s="35">
        <v>-1.1820932996774896</v>
      </c>
      <c r="M6296" s="58" t="s">
        <v>24</v>
      </c>
      <c r="N6296" s="7">
        <v>10.416666666666666</v>
      </c>
      <c r="O6296" s="7" t="s">
        <v>178</v>
      </c>
      <c r="P6296" s="7" t="s">
        <v>178</v>
      </c>
    </row>
    <row r="6297" spans="1:16" x14ac:dyDescent="0.25">
      <c r="A6297" t="s">
        <v>183</v>
      </c>
      <c r="B6297" t="s">
        <v>231</v>
      </c>
      <c r="C6297" s="7" t="s">
        <v>172</v>
      </c>
      <c r="D6297" t="s">
        <v>121</v>
      </c>
      <c r="F6297" s="35">
        <v>5.0809891242154022</v>
      </c>
      <c r="G6297" s="35">
        <v>-5.1369484133742684</v>
      </c>
      <c r="H6297" s="35">
        <v>1.6143452890941707</v>
      </c>
      <c r="I6297" s="35">
        <v>6.3454906539263056E-2</v>
      </c>
      <c r="J6297" s="35">
        <v>5.4854826649474728E-3</v>
      </c>
      <c r="K6297" s="35">
        <v>-0.13650131342454641</v>
      </c>
      <c r="L6297" s="35">
        <v>-2.2476036363781584</v>
      </c>
      <c r="M6297" s="58" t="s">
        <v>24</v>
      </c>
      <c r="N6297" s="7">
        <v>10.416666666666666</v>
      </c>
      <c r="O6297" s="7" t="s">
        <v>178</v>
      </c>
      <c r="P6297" s="7" t="s">
        <v>178</v>
      </c>
    </row>
    <row r="6298" spans="1:16" x14ac:dyDescent="0.25">
      <c r="A6298" t="s">
        <v>183</v>
      </c>
      <c r="B6298" t="s">
        <v>231</v>
      </c>
      <c r="C6298" s="7" t="s">
        <v>172</v>
      </c>
      <c r="D6298" t="s">
        <v>121</v>
      </c>
      <c r="F6298" s="35">
        <v>10.161978248430804</v>
      </c>
      <c r="G6298" s="35">
        <v>-2.3611278399785327</v>
      </c>
      <c r="H6298" s="35">
        <v>-2.2268824888126728</v>
      </c>
      <c r="I6298" s="35">
        <v>6.3454906539263056E-2</v>
      </c>
      <c r="J6298" s="35">
        <v>5.4854826649474728E-3</v>
      </c>
      <c r="K6298" s="35">
        <v>-0.45891500342864694</v>
      </c>
      <c r="L6298" s="35">
        <v>-0.6914562114046251</v>
      </c>
      <c r="M6298" s="58" t="s">
        <v>23</v>
      </c>
      <c r="N6298" s="7">
        <v>10.416666666666666</v>
      </c>
      <c r="O6298" s="7" t="s">
        <v>178</v>
      </c>
      <c r="P6298" s="7" t="s">
        <v>178</v>
      </c>
    </row>
    <row r="6299" spans="1:16" x14ac:dyDescent="0.25">
      <c r="A6299" t="s">
        <v>183</v>
      </c>
      <c r="B6299" t="s">
        <v>231</v>
      </c>
      <c r="C6299" s="7" t="s">
        <v>172</v>
      </c>
      <c r="D6299" t="s">
        <v>122</v>
      </c>
      <c r="F6299" s="35">
        <v>0</v>
      </c>
      <c r="G6299" s="35">
        <v>56.343276153432193</v>
      </c>
      <c r="H6299" s="35">
        <v>-23.347695259455481</v>
      </c>
      <c r="I6299" s="35">
        <v>-0.54580007316252643</v>
      </c>
      <c r="J6299" s="35">
        <v>-9.6483326881608104E-3</v>
      </c>
      <c r="K6299" s="35">
        <v>-1.8883284585408129</v>
      </c>
      <c r="L6299" s="35">
        <v>-57.752972634000869</v>
      </c>
      <c r="M6299" s="58" t="s">
        <v>22</v>
      </c>
      <c r="N6299" s="7">
        <v>10.416666666666666</v>
      </c>
      <c r="O6299" s="7" t="s">
        <v>178</v>
      </c>
      <c r="P6299" s="7" t="s">
        <v>178</v>
      </c>
    </row>
    <row r="6300" spans="1:16" x14ac:dyDescent="0.25">
      <c r="A6300" t="s">
        <v>183</v>
      </c>
      <c r="B6300" t="s">
        <v>231</v>
      </c>
      <c r="C6300" s="7" t="s">
        <v>172</v>
      </c>
      <c r="D6300" t="s">
        <v>122</v>
      </c>
      <c r="F6300" s="35">
        <v>4.5</v>
      </c>
      <c r="G6300" s="35">
        <v>58.801693653432196</v>
      </c>
      <c r="H6300" s="35">
        <v>-8.0386952594554817</v>
      </c>
      <c r="I6300" s="35">
        <v>-0.54580007316252643</v>
      </c>
      <c r="J6300" s="35">
        <v>-9.6483326881608104E-3</v>
      </c>
      <c r="K6300" s="35">
        <v>0.56777187069055612</v>
      </c>
      <c r="L6300" s="35">
        <v>12.866406033548795</v>
      </c>
      <c r="M6300" s="58" t="s">
        <v>24</v>
      </c>
      <c r="N6300" s="7">
        <v>10.416666666666666</v>
      </c>
      <c r="O6300" s="7" t="s">
        <v>178</v>
      </c>
      <c r="P6300" s="7" t="s">
        <v>178</v>
      </c>
    </row>
    <row r="6301" spans="1:16" x14ac:dyDescent="0.25">
      <c r="A6301" t="s">
        <v>183</v>
      </c>
      <c r="B6301" t="s">
        <v>231</v>
      </c>
      <c r="C6301" s="7" t="s">
        <v>172</v>
      </c>
      <c r="D6301" t="s">
        <v>122</v>
      </c>
      <c r="F6301" s="35">
        <v>4.5</v>
      </c>
      <c r="G6301" s="35">
        <v>59.587829840108583</v>
      </c>
      <c r="H6301" s="35">
        <v>-8.03903759582672</v>
      </c>
      <c r="I6301" s="35">
        <v>-0.52903786933955166</v>
      </c>
      <c r="J6301" s="35">
        <v>8.7629203177422652E-3</v>
      </c>
      <c r="K6301" s="35">
        <v>0.5677694810626801</v>
      </c>
      <c r="L6301" s="35">
        <v>11.883665933814456</v>
      </c>
      <c r="M6301" s="58" t="s">
        <v>24</v>
      </c>
      <c r="N6301" s="7">
        <v>10.416666666666666</v>
      </c>
      <c r="O6301" s="7" t="s">
        <v>178</v>
      </c>
      <c r="P6301" s="7" t="s">
        <v>178</v>
      </c>
    </row>
    <row r="6302" spans="1:16" x14ac:dyDescent="0.25">
      <c r="A6302" t="s">
        <v>183</v>
      </c>
      <c r="B6302" t="s">
        <v>231</v>
      </c>
      <c r="C6302" s="7" t="s">
        <v>172</v>
      </c>
      <c r="D6302" t="s">
        <v>122</v>
      </c>
      <c r="F6302" s="35">
        <v>5.0809891242154022</v>
      </c>
      <c r="G6302" s="35">
        <v>59.905232913504321</v>
      </c>
      <c r="H6302" s="35">
        <v>-6.0625125952459227</v>
      </c>
      <c r="I6302" s="35">
        <v>-0.52903786933955166</v>
      </c>
      <c r="J6302" s="35">
        <v>8.7629203177422652E-3</v>
      </c>
      <c r="K6302" s="35">
        <v>0.87513472944704818</v>
      </c>
      <c r="L6302" s="35">
        <v>15.980089581609871</v>
      </c>
      <c r="M6302" s="58" t="s">
        <v>24</v>
      </c>
      <c r="N6302" s="7">
        <v>10.416666666666666</v>
      </c>
      <c r="O6302" s="7" t="s">
        <v>178</v>
      </c>
      <c r="P6302" s="7" t="s">
        <v>178</v>
      </c>
    </row>
    <row r="6303" spans="1:16" x14ac:dyDescent="0.25">
      <c r="A6303" t="s">
        <v>183</v>
      </c>
      <c r="B6303" t="s">
        <v>231</v>
      </c>
      <c r="C6303" s="7" t="s">
        <v>172</v>
      </c>
      <c r="D6303" t="s">
        <v>122</v>
      </c>
      <c r="F6303" s="35">
        <v>10.161978248430804</v>
      </c>
      <c r="G6303" s="35">
        <v>62.681053486900055</v>
      </c>
      <c r="H6303" s="35">
        <v>11.223012405334877</v>
      </c>
      <c r="I6303" s="35">
        <v>-0.52903786933955166</v>
      </c>
      <c r="J6303" s="35">
        <v>8.7629203177422652E-3</v>
      </c>
      <c r="K6303" s="35">
        <v>3.5631703898593989</v>
      </c>
      <c r="L6303" s="35">
        <v>2.8698678763210621</v>
      </c>
      <c r="M6303" s="58" t="s">
        <v>23</v>
      </c>
      <c r="N6303" s="7">
        <v>10.416666666666666</v>
      </c>
      <c r="O6303" s="7" t="s">
        <v>178</v>
      </c>
      <c r="P6303" s="7" t="s">
        <v>178</v>
      </c>
    </row>
    <row r="6304" spans="1:16" x14ac:dyDescent="0.25">
      <c r="A6304" t="s">
        <v>183</v>
      </c>
      <c r="B6304" t="s">
        <v>231</v>
      </c>
      <c r="C6304" s="7" t="s">
        <v>172</v>
      </c>
      <c r="D6304" t="s">
        <v>123</v>
      </c>
      <c r="F6304" s="35">
        <v>0</v>
      </c>
      <c r="G6304" s="35">
        <v>34.736652092900698</v>
      </c>
      <c r="H6304" s="35">
        <v>-40.997909958191343</v>
      </c>
      <c r="I6304" s="35">
        <v>-0.42762566956173864</v>
      </c>
      <c r="J6304" s="35">
        <v>-4.5006256857760317E-3</v>
      </c>
      <c r="K6304" s="35">
        <v>-1.459696432781572</v>
      </c>
      <c r="L6304" s="35">
        <v>-98.056340381609928</v>
      </c>
      <c r="M6304" s="58" t="s">
        <v>22</v>
      </c>
      <c r="N6304" s="7">
        <v>10.416666666666666</v>
      </c>
      <c r="O6304" s="7" t="s">
        <v>178</v>
      </c>
      <c r="P6304" s="7" t="s">
        <v>178</v>
      </c>
    </row>
    <row r="6305" spans="1:16" x14ac:dyDescent="0.25">
      <c r="A6305" t="s">
        <v>183</v>
      </c>
      <c r="B6305" t="s">
        <v>231</v>
      </c>
      <c r="C6305" s="7" t="s">
        <v>172</v>
      </c>
      <c r="D6305" t="s">
        <v>123</v>
      </c>
      <c r="F6305" s="35">
        <v>4.5</v>
      </c>
      <c r="G6305" s="35">
        <v>37.195069592900701</v>
      </c>
      <c r="H6305" s="35">
        <v>-13.781909958191346</v>
      </c>
      <c r="I6305" s="35">
        <v>-0.42762566956173864</v>
      </c>
      <c r="J6305" s="35">
        <v>-4.5006256857760317E-3</v>
      </c>
      <c r="K6305" s="35">
        <v>0.46461908024625154</v>
      </c>
      <c r="L6305" s="35">
        <v>25.19825443025114</v>
      </c>
      <c r="M6305" s="58" t="s">
        <v>24</v>
      </c>
      <c r="N6305" s="7">
        <v>10.416666666666666</v>
      </c>
      <c r="O6305" s="7" t="s">
        <v>178</v>
      </c>
      <c r="P6305" s="7" t="s">
        <v>178</v>
      </c>
    </row>
    <row r="6306" spans="1:16" x14ac:dyDescent="0.25">
      <c r="A6306" t="s">
        <v>183</v>
      </c>
      <c r="B6306" t="s">
        <v>231</v>
      </c>
      <c r="C6306" s="7" t="s">
        <v>172</v>
      </c>
      <c r="D6306" t="s">
        <v>123</v>
      </c>
      <c r="F6306" s="35">
        <v>4.5</v>
      </c>
      <c r="G6306" s="35">
        <v>37.981205962238</v>
      </c>
      <c r="H6306" s="35">
        <v>-13.782493580883699</v>
      </c>
      <c r="I6306" s="35">
        <v>-0.4162823252250461</v>
      </c>
      <c r="J6306" s="35">
        <v>6.3428293738557939E-3</v>
      </c>
      <c r="K6306" s="35">
        <v>0.46461825004170126</v>
      </c>
      <c r="L6306" s="35">
        <v>24.215459016605873</v>
      </c>
      <c r="M6306" s="58" t="s">
        <v>24</v>
      </c>
      <c r="N6306" s="7">
        <v>10.416666666666666</v>
      </c>
      <c r="O6306" s="7" t="s">
        <v>178</v>
      </c>
      <c r="P6306" s="7" t="s">
        <v>178</v>
      </c>
    </row>
    <row r="6307" spans="1:16" x14ac:dyDescent="0.25">
      <c r="A6307" t="s">
        <v>183</v>
      </c>
      <c r="B6307" t="s">
        <v>231</v>
      </c>
      <c r="C6307" s="7" t="s">
        <v>172</v>
      </c>
      <c r="D6307" t="s">
        <v>123</v>
      </c>
      <c r="F6307" s="35">
        <v>5.0809891242154022</v>
      </c>
      <c r="G6307" s="35">
        <v>38.298609035633746</v>
      </c>
      <c r="H6307" s="35">
        <v>-10.26867135762895</v>
      </c>
      <c r="I6307" s="35">
        <v>-0.4162823252250461</v>
      </c>
      <c r="J6307" s="35">
        <v>6.3428293738557939E-3</v>
      </c>
      <c r="K6307" s="35">
        <v>0.70647375360055187</v>
      </c>
      <c r="L6307" s="35">
        <v>31.202191643599196</v>
      </c>
      <c r="M6307" s="58" t="s">
        <v>24</v>
      </c>
      <c r="N6307" s="7">
        <v>10.416666666666666</v>
      </c>
      <c r="O6307" s="7" t="s">
        <v>178</v>
      </c>
      <c r="P6307" s="7" t="s">
        <v>178</v>
      </c>
    </row>
    <row r="6308" spans="1:16" x14ac:dyDescent="0.25">
      <c r="A6308" t="s">
        <v>183</v>
      </c>
      <c r="B6308" t="s">
        <v>231</v>
      </c>
      <c r="C6308" s="7" t="s">
        <v>172</v>
      </c>
      <c r="D6308" t="s">
        <v>123</v>
      </c>
      <c r="F6308" s="35">
        <v>10.161978248430804</v>
      </c>
      <c r="G6308" s="35">
        <v>41.07442960902948</v>
      </c>
      <c r="H6308" s="35">
        <v>20.461150865625797</v>
      </c>
      <c r="I6308" s="35">
        <v>-0.4162823252250461</v>
      </c>
      <c r="J6308" s="35">
        <v>6.3428293738557939E-3</v>
      </c>
      <c r="K6308" s="35">
        <v>2.8215997206721095</v>
      </c>
      <c r="L6308" s="35">
        <v>5.3082528791390233</v>
      </c>
      <c r="M6308" s="58" t="s">
        <v>23</v>
      </c>
      <c r="N6308" s="7">
        <v>10.416666666666666</v>
      </c>
      <c r="O6308" s="7" t="s">
        <v>178</v>
      </c>
      <c r="P6308" s="7" t="s">
        <v>178</v>
      </c>
    </row>
    <row r="6309" spans="1:16" x14ac:dyDescent="0.25">
      <c r="A6309" t="s">
        <v>183</v>
      </c>
      <c r="B6309" t="s">
        <v>231</v>
      </c>
      <c r="C6309" s="7" t="s">
        <v>172</v>
      </c>
      <c r="D6309" t="s">
        <v>124</v>
      </c>
      <c r="F6309" s="35">
        <v>0</v>
      </c>
      <c r="G6309" s="35">
        <v>15.602745272253644</v>
      </c>
      <c r="H6309" s="35">
        <v>44.114033940809186</v>
      </c>
      <c r="I6309" s="35">
        <v>1.0712778306170048</v>
      </c>
      <c r="J6309" s="35">
        <v>1.7383111915834977E-2</v>
      </c>
      <c r="K6309" s="35">
        <v>6.7057862933322285</v>
      </c>
      <c r="L6309" s="35">
        <v>101.524535078132</v>
      </c>
      <c r="M6309" s="58" t="s">
        <v>22</v>
      </c>
      <c r="N6309" s="7">
        <v>10.416666666666666</v>
      </c>
      <c r="O6309" s="7" t="s">
        <v>178</v>
      </c>
      <c r="P6309" s="7" t="s">
        <v>178</v>
      </c>
    </row>
    <row r="6310" spans="1:16" x14ac:dyDescent="0.25">
      <c r="A6310" t="s">
        <v>183</v>
      </c>
      <c r="B6310" t="s">
        <v>231</v>
      </c>
      <c r="C6310" s="7" t="s">
        <v>172</v>
      </c>
      <c r="D6310" t="s">
        <v>124</v>
      </c>
      <c r="F6310" s="35">
        <v>4.5</v>
      </c>
      <c r="G6310" s="35">
        <v>18.061162772253645</v>
      </c>
      <c r="H6310" s="35">
        <v>14.346533940809186</v>
      </c>
      <c r="I6310" s="35">
        <v>1.0712778306170048</v>
      </c>
      <c r="J6310" s="35">
        <v>1.7383111915834977E-2</v>
      </c>
      <c r="K6310" s="35">
        <v>1.8850360555557073</v>
      </c>
      <c r="L6310" s="35">
        <v>-30.01174265550932</v>
      </c>
      <c r="M6310" s="58" t="s">
        <v>24</v>
      </c>
      <c r="N6310" s="7">
        <v>10.416666666666666</v>
      </c>
      <c r="O6310" s="7" t="s">
        <v>178</v>
      </c>
      <c r="P6310" s="7" t="s">
        <v>178</v>
      </c>
    </row>
    <row r="6311" spans="1:16" x14ac:dyDescent="0.25">
      <c r="A6311" t="s">
        <v>183</v>
      </c>
      <c r="B6311" t="s">
        <v>231</v>
      </c>
      <c r="C6311" s="7" t="s">
        <v>172</v>
      </c>
      <c r="D6311" t="s">
        <v>124</v>
      </c>
      <c r="F6311" s="35">
        <v>4.5</v>
      </c>
      <c r="G6311" s="35">
        <v>18.84730382954756</v>
      </c>
      <c r="H6311" s="35">
        <v>14.347225578366288</v>
      </c>
      <c r="I6311" s="35">
        <v>1.040046161825297</v>
      </c>
      <c r="J6311" s="35">
        <v>-1.6692122325293105E-2</v>
      </c>
      <c r="K6311" s="35">
        <v>1.8850510001516583</v>
      </c>
      <c r="L6311" s="35">
        <v>-30.994293583672459</v>
      </c>
      <c r="M6311" s="58" t="s">
        <v>24</v>
      </c>
      <c r="N6311" s="7">
        <v>10.416666666666666</v>
      </c>
      <c r="O6311" s="7" t="s">
        <v>178</v>
      </c>
      <c r="P6311" s="7" t="s">
        <v>178</v>
      </c>
    </row>
    <row r="6312" spans="1:16" x14ac:dyDescent="0.25">
      <c r="A6312" t="s">
        <v>183</v>
      </c>
      <c r="B6312" t="s">
        <v>231</v>
      </c>
      <c r="C6312" s="7" t="s">
        <v>172</v>
      </c>
      <c r="D6312" t="s">
        <v>124</v>
      </c>
      <c r="F6312" s="35">
        <v>5.0809891242154022</v>
      </c>
      <c r="G6312" s="35">
        <v>19.164706902943301</v>
      </c>
      <c r="H6312" s="35">
        <v>10.503982521681406</v>
      </c>
      <c r="I6312" s="35">
        <v>1.040046161825297</v>
      </c>
      <c r="J6312" s="35">
        <v>-1.6692122325293105E-2</v>
      </c>
      <c r="K6312" s="35">
        <v>1.2807954914491888</v>
      </c>
      <c r="L6312" s="35">
        <v>-38.213434398543171</v>
      </c>
      <c r="M6312" s="58" t="s">
        <v>24</v>
      </c>
      <c r="N6312" s="7">
        <v>10.416666666666666</v>
      </c>
      <c r="O6312" s="7" t="s">
        <v>178</v>
      </c>
      <c r="P6312" s="7" t="s">
        <v>178</v>
      </c>
    </row>
    <row r="6313" spans="1:16" x14ac:dyDescent="0.25">
      <c r="A6313" t="s">
        <v>183</v>
      </c>
      <c r="B6313" t="s">
        <v>231</v>
      </c>
      <c r="C6313" s="7" t="s">
        <v>172</v>
      </c>
      <c r="D6313" t="s">
        <v>124</v>
      </c>
      <c r="F6313" s="35">
        <v>10.161978248430804</v>
      </c>
      <c r="G6313" s="35">
        <v>21.940527476339035</v>
      </c>
      <c r="H6313" s="35">
        <v>-23.106760535003481</v>
      </c>
      <c r="I6313" s="35">
        <v>1.040046161825297</v>
      </c>
      <c r="J6313" s="35">
        <v>-1.6692122325293105E-2</v>
      </c>
      <c r="K6313" s="35">
        <v>-4.0036677454671166</v>
      </c>
      <c r="L6313" s="35">
        <v>-6.1961453882479551</v>
      </c>
      <c r="M6313" s="58" t="s">
        <v>23</v>
      </c>
      <c r="N6313" s="7">
        <v>10.416666666666666</v>
      </c>
      <c r="O6313" s="7" t="s">
        <v>178</v>
      </c>
      <c r="P6313" s="7" t="s">
        <v>178</v>
      </c>
    </row>
    <row r="6314" spans="1:16" x14ac:dyDescent="0.25">
      <c r="A6314" t="s">
        <v>183</v>
      </c>
      <c r="B6314" t="s">
        <v>231</v>
      </c>
      <c r="C6314" s="7" t="s">
        <v>172</v>
      </c>
      <c r="D6314" t="s">
        <v>125</v>
      </c>
      <c r="F6314" s="35">
        <v>0</v>
      </c>
      <c r="G6314" s="35">
        <v>-43.087785955504643</v>
      </c>
      <c r="H6314" s="35">
        <v>26.512230437082252</v>
      </c>
      <c r="I6314" s="35">
        <v>3.7431645441369223</v>
      </c>
      <c r="J6314" s="35">
        <v>1.0455382708249117E-2</v>
      </c>
      <c r="K6314" s="35">
        <v>19.868496662720151</v>
      </c>
      <c r="L6314" s="35">
        <v>61.722789939987827</v>
      </c>
      <c r="M6314" s="58" t="s">
        <v>22</v>
      </c>
      <c r="N6314" s="7">
        <v>10.416666666666666</v>
      </c>
      <c r="O6314" s="7" t="s">
        <v>178</v>
      </c>
      <c r="P6314" s="7" t="s">
        <v>178</v>
      </c>
    </row>
    <row r="6315" spans="1:16" x14ac:dyDescent="0.25">
      <c r="A6315" t="s">
        <v>183</v>
      </c>
      <c r="B6315" t="s">
        <v>231</v>
      </c>
      <c r="C6315" s="7" t="s">
        <v>172</v>
      </c>
      <c r="D6315" t="s">
        <v>125</v>
      </c>
      <c r="F6315" s="35">
        <v>4.5</v>
      </c>
      <c r="G6315" s="35">
        <v>-40.62936845550464</v>
      </c>
      <c r="H6315" s="35">
        <v>8.6517304370822501</v>
      </c>
      <c r="I6315" s="35">
        <v>3.7431645441369223</v>
      </c>
      <c r="J6315" s="35">
        <v>1.0455382708249117E-2</v>
      </c>
      <c r="K6315" s="35">
        <v>3.0242562141039966</v>
      </c>
      <c r="L6315" s="35">
        <v>-17.396122026882285</v>
      </c>
      <c r="M6315" s="58" t="s">
        <v>24</v>
      </c>
      <c r="N6315" s="7">
        <v>10.416666666666666</v>
      </c>
      <c r="O6315" s="7" t="s">
        <v>178</v>
      </c>
      <c r="P6315" s="7" t="s">
        <v>178</v>
      </c>
    </row>
    <row r="6316" spans="1:16" x14ac:dyDescent="0.25">
      <c r="A6316" t="s">
        <v>183</v>
      </c>
      <c r="B6316" t="s">
        <v>231</v>
      </c>
      <c r="C6316" s="7" t="s">
        <v>172</v>
      </c>
      <c r="D6316" t="s">
        <v>125</v>
      </c>
      <c r="F6316" s="35">
        <v>4.5</v>
      </c>
      <c r="G6316" s="35">
        <v>-39.843222068590485</v>
      </c>
      <c r="H6316" s="35">
        <v>8.6519800860085923</v>
      </c>
      <c r="I6316" s="35">
        <v>3.7250774293140219</v>
      </c>
      <c r="J6316" s="35">
        <v>-9.9536367459380545E-3</v>
      </c>
      <c r="K6316" s="35">
        <v>3.02430159523179</v>
      </c>
      <c r="L6316" s="35">
        <v>-18.378735394122312</v>
      </c>
      <c r="M6316" s="58" t="s">
        <v>24</v>
      </c>
      <c r="N6316" s="7">
        <v>10.416666666666666</v>
      </c>
      <c r="O6316" s="7" t="s">
        <v>178</v>
      </c>
      <c r="P6316" s="7" t="s">
        <v>178</v>
      </c>
    </row>
    <row r="6317" spans="1:16" x14ac:dyDescent="0.25">
      <c r="A6317" t="s">
        <v>183</v>
      </c>
      <c r="B6317" t="s">
        <v>231</v>
      </c>
      <c r="C6317" s="7" t="s">
        <v>172</v>
      </c>
      <c r="D6317" t="s">
        <v>125</v>
      </c>
      <c r="F6317" s="35">
        <v>5.0809891242154022</v>
      </c>
      <c r="G6317" s="35">
        <v>-39.52581899519474</v>
      </c>
      <c r="H6317" s="35">
        <v>6.3460342519976614</v>
      </c>
      <c r="I6317" s="35">
        <v>3.7250774293140219</v>
      </c>
      <c r="J6317" s="35">
        <v>-9.9536367459380545E-3</v>
      </c>
      <c r="K6317" s="35">
        <v>0.86007212194007587</v>
      </c>
      <c r="L6317" s="35">
        <v>-22.735577001726458</v>
      </c>
      <c r="M6317" s="58" t="s">
        <v>24</v>
      </c>
      <c r="N6317" s="7">
        <v>10.416666666666666</v>
      </c>
      <c r="O6317" s="7" t="s">
        <v>178</v>
      </c>
      <c r="P6317" s="7" t="s">
        <v>178</v>
      </c>
    </row>
    <row r="6318" spans="1:16" x14ac:dyDescent="0.25">
      <c r="A6318" t="s">
        <v>183</v>
      </c>
      <c r="B6318" t="s">
        <v>231</v>
      </c>
      <c r="C6318" s="7" t="s">
        <v>172</v>
      </c>
      <c r="D6318" t="s">
        <v>125</v>
      </c>
      <c r="F6318" s="35">
        <v>10.161978248430804</v>
      </c>
      <c r="G6318" s="35">
        <v>-36.749998421799006</v>
      </c>
      <c r="H6318" s="35">
        <v>-13.820411582013268</v>
      </c>
      <c r="I6318" s="35">
        <v>3.7250774293140219</v>
      </c>
      <c r="J6318" s="35">
        <v>-9.9536367459380545E-3</v>
      </c>
      <c r="K6318" s="35">
        <v>-18.067005783264733</v>
      </c>
      <c r="L6318" s="35">
        <v>-3.7469620396807408</v>
      </c>
      <c r="M6318" s="58" t="s">
        <v>23</v>
      </c>
      <c r="N6318" s="7">
        <v>10.416666666666666</v>
      </c>
      <c r="O6318" s="7" t="s">
        <v>178</v>
      </c>
      <c r="P6318" s="7" t="s">
        <v>178</v>
      </c>
    </row>
    <row r="6319" spans="1:16" x14ac:dyDescent="0.25">
      <c r="A6319" t="s">
        <v>183</v>
      </c>
      <c r="B6319" t="s">
        <v>231</v>
      </c>
      <c r="C6319" s="7" t="s">
        <v>172</v>
      </c>
      <c r="D6319" t="s">
        <v>126</v>
      </c>
      <c r="F6319" s="35">
        <v>0</v>
      </c>
      <c r="G6319" s="35">
        <v>12.651386020301585</v>
      </c>
      <c r="H6319" s="35">
        <v>44.087960726435647</v>
      </c>
      <c r="I6319" s="35">
        <v>-1.7002381319502544</v>
      </c>
      <c r="J6319" s="35">
        <v>-1.2196049368610129E-2</v>
      </c>
      <c r="K6319" s="35">
        <v>-9.0432661878750533</v>
      </c>
      <c r="L6319" s="35">
        <v>101.25049441229557</v>
      </c>
      <c r="M6319" s="58" t="s">
        <v>22</v>
      </c>
      <c r="N6319" s="7">
        <v>10.416666666666666</v>
      </c>
      <c r="O6319" s="7" t="s">
        <v>178</v>
      </c>
      <c r="P6319" s="7" t="s">
        <v>178</v>
      </c>
    </row>
    <row r="6320" spans="1:16" x14ac:dyDescent="0.25">
      <c r="A6320" t="s">
        <v>183</v>
      </c>
      <c r="B6320" t="s">
        <v>231</v>
      </c>
      <c r="C6320" s="7" t="s">
        <v>172</v>
      </c>
      <c r="D6320" t="s">
        <v>126</v>
      </c>
      <c r="F6320" s="35">
        <v>4.5</v>
      </c>
      <c r="G6320" s="35">
        <v>15.109803520301586</v>
      </c>
      <c r="H6320" s="35">
        <v>14.320460726435638</v>
      </c>
      <c r="I6320" s="35">
        <v>-1.7002381319502544</v>
      </c>
      <c r="J6320" s="35">
        <v>-1.2196049368610129E-2</v>
      </c>
      <c r="K6320" s="35">
        <v>-1.3921945940989078</v>
      </c>
      <c r="L6320" s="35">
        <v>-30.16845385666479</v>
      </c>
      <c r="M6320" s="58" t="s">
        <v>24</v>
      </c>
      <c r="N6320" s="7">
        <v>10.416666666666666</v>
      </c>
      <c r="O6320" s="7" t="s">
        <v>178</v>
      </c>
      <c r="P6320" s="7" t="s">
        <v>178</v>
      </c>
    </row>
    <row r="6321" spans="1:16" x14ac:dyDescent="0.25">
      <c r="A6321" t="s">
        <v>183</v>
      </c>
      <c r="B6321" t="s">
        <v>231</v>
      </c>
      <c r="C6321" s="7" t="s">
        <v>172</v>
      </c>
      <c r="D6321" t="s">
        <v>126</v>
      </c>
      <c r="F6321" s="35">
        <v>4.5</v>
      </c>
      <c r="G6321" s="35">
        <v>15.895934062812147</v>
      </c>
      <c r="H6321" s="35">
        <v>14.321081172488995</v>
      </c>
      <c r="I6321" s="35">
        <v>-1.6877427852536215</v>
      </c>
      <c r="J6321" s="35">
        <v>5.5470148956896885E-3</v>
      </c>
      <c r="K6321" s="35">
        <v>-1.3922189236827949</v>
      </c>
      <c r="L6321" s="35">
        <v>-31.150979464190669</v>
      </c>
      <c r="M6321" s="58" t="s">
        <v>24</v>
      </c>
      <c r="N6321" s="7">
        <v>10.416666666666666</v>
      </c>
      <c r="O6321" s="7" t="s">
        <v>178</v>
      </c>
      <c r="P6321" s="7" t="s">
        <v>178</v>
      </c>
    </row>
    <row r="6322" spans="1:16" x14ac:dyDescent="0.25">
      <c r="A6322" t="s">
        <v>183</v>
      </c>
      <c r="B6322" t="s">
        <v>231</v>
      </c>
      <c r="C6322" s="7" t="s">
        <v>172</v>
      </c>
      <c r="D6322" t="s">
        <v>126</v>
      </c>
      <c r="F6322" s="35">
        <v>5.0809891242154022</v>
      </c>
      <c r="G6322" s="35">
        <v>16.213337136207887</v>
      </c>
      <c r="H6322" s="35">
        <v>10.477838115804111</v>
      </c>
      <c r="I6322" s="35">
        <v>-1.6877427852536215</v>
      </c>
      <c r="J6322" s="35">
        <v>5.5470148956896885E-3</v>
      </c>
      <c r="K6322" s="35">
        <v>-0.41165872097743023</v>
      </c>
      <c r="L6322" s="35">
        <v>-38.354930663587588</v>
      </c>
      <c r="M6322" s="58" t="s">
        <v>24</v>
      </c>
      <c r="N6322" s="7">
        <v>10.416666666666666</v>
      </c>
      <c r="O6322" s="7" t="s">
        <v>178</v>
      </c>
      <c r="P6322" s="7" t="s">
        <v>178</v>
      </c>
    </row>
    <row r="6323" spans="1:16" x14ac:dyDescent="0.25">
      <c r="A6323" t="s">
        <v>183</v>
      </c>
      <c r="B6323" t="s">
        <v>231</v>
      </c>
      <c r="C6323" s="7" t="s">
        <v>172</v>
      </c>
      <c r="D6323" t="s">
        <v>126</v>
      </c>
      <c r="F6323" s="35">
        <v>10.161978248430804</v>
      </c>
      <c r="G6323" s="35">
        <v>18.989157709603624</v>
      </c>
      <c r="H6323" s="35">
        <v>-23.132904940880778</v>
      </c>
      <c r="I6323" s="35">
        <v>-1.6877427852536215</v>
      </c>
      <c r="J6323" s="35">
        <v>5.5470148956896885E-3</v>
      </c>
      <c r="K6323" s="35">
        <v>8.1637440153692289</v>
      </c>
      <c r="L6323" s="35">
        <v>-6.2048022113707617</v>
      </c>
      <c r="M6323" s="58" t="s">
        <v>23</v>
      </c>
      <c r="N6323" s="7">
        <v>10.416666666666666</v>
      </c>
      <c r="O6323" s="7" t="s">
        <v>178</v>
      </c>
      <c r="P6323" s="7" t="s">
        <v>178</v>
      </c>
    </row>
    <row r="6324" spans="1:16" x14ac:dyDescent="0.25">
      <c r="A6324" t="s">
        <v>183</v>
      </c>
      <c r="B6324" t="s">
        <v>231</v>
      </c>
      <c r="C6324" s="7" t="s">
        <v>172</v>
      </c>
      <c r="D6324" t="s">
        <v>127</v>
      </c>
      <c r="F6324" s="35">
        <v>0</v>
      </c>
      <c r="G6324" s="35">
        <v>-13.039013165993538</v>
      </c>
      <c r="H6324" s="35">
        <v>26.475297849362018</v>
      </c>
      <c r="I6324" s="35">
        <v>-3.636694540846225</v>
      </c>
      <c r="J6324" s="35">
        <v>-8.5467333448084847E-3</v>
      </c>
      <c r="K6324" s="35">
        <v>-19.693897487526673</v>
      </c>
      <c r="L6324" s="35">
        <v>61.337954820459821</v>
      </c>
      <c r="M6324" s="58" t="s">
        <v>22</v>
      </c>
      <c r="N6324" s="7">
        <v>10.416666666666666</v>
      </c>
      <c r="O6324" s="7" t="s">
        <v>178</v>
      </c>
      <c r="P6324" s="7" t="s">
        <v>178</v>
      </c>
    </row>
    <row r="6325" spans="1:16" x14ac:dyDescent="0.25">
      <c r="A6325" t="s">
        <v>183</v>
      </c>
      <c r="B6325" t="s">
        <v>231</v>
      </c>
      <c r="C6325" s="7" t="s">
        <v>172</v>
      </c>
      <c r="D6325" t="s">
        <v>127</v>
      </c>
      <c r="F6325" s="35">
        <v>4.5</v>
      </c>
      <c r="G6325" s="35">
        <v>-10.580595665993535</v>
      </c>
      <c r="H6325" s="35">
        <v>8.6147978493620183</v>
      </c>
      <c r="I6325" s="35">
        <v>-3.636694540846225</v>
      </c>
      <c r="J6325" s="35">
        <v>-8.5467333448084847E-3</v>
      </c>
      <c r="K6325" s="35">
        <v>-3.3287720537186645</v>
      </c>
      <c r="L6325" s="35">
        <v>-17.614760501669256</v>
      </c>
      <c r="M6325" s="58" t="s">
        <v>24</v>
      </c>
      <c r="N6325" s="7">
        <v>10.416666666666666</v>
      </c>
      <c r="O6325" s="7" t="s">
        <v>178</v>
      </c>
      <c r="P6325" s="7" t="s">
        <v>178</v>
      </c>
    </row>
    <row r="6326" spans="1:16" x14ac:dyDescent="0.25">
      <c r="A6326" t="s">
        <v>183</v>
      </c>
      <c r="B6326" t="s">
        <v>231</v>
      </c>
      <c r="C6326" s="7" t="s">
        <v>172</v>
      </c>
      <c r="D6326" t="s">
        <v>127</v>
      </c>
      <c r="F6326" s="35">
        <v>4.5</v>
      </c>
      <c r="G6326" s="35">
        <v>-9.7944710570603615</v>
      </c>
      <c r="H6326" s="35">
        <v>8.6151445093757228</v>
      </c>
      <c r="I6326" s="35">
        <v>-3.6272200765285976</v>
      </c>
      <c r="J6326" s="35">
        <v>4.3405800518463216E-3</v>
      </c>
      <c r="K6326" s="35">
        <v>-3.3288213638029673</v>
      </c>
      <c r="L6326" s="35">
        <v>-18.597335776041596</v>
      </c>
      <c r="M6326" s="58" t="s">
        <v>24</v>
      </c>
      <c r="N6326" s="7">
        <v>10.416666666666666</v>
      </c>
      <c r="O6326" s="7" t="s">
        <v>178</v>
      </c>
      <c r="P6326" s="7" t="s">
        <v>178</v>
      </c>
    </row>
    <row r="6327" spans="1:16" x14ac:dyDescent="0.25">
      <c r="A6327" t="s">
        <v>183</v>
      </c>
      <c r="B6327" t="s">
        <v>231</v>
      </c>
      <c r="C6327" s="7" t="s">
        <v>172</v>
      </c>
      <c r="D6327" t="s">
        <v>127</v>
      </c>
      <c r="F6327" s="35">
        <v>5.0809891242154022</v>
      </c>
      <c r="G6327" s="35">
        <v>-9.4770679836646217</v>
      </c>
      <c r="H6327" s="35">
        <v>6.3091986753647928</v>
      </c>
      <c r="I6327" s="35">
        <v>-3.6272200765285976</v>
      </c>
      <c r="J6327" s="35">
        <v>4.3405800518463216E-3</v>
      </c>
      <c r="K6327" s="35">
        <v>-1.2214459482040947</v>
      </c>
      <c r="L6327" s="35">
        <v>-22.932776314237842</v>
      </c>
      <c r="M6327" s="58" t="s">
        <v>24</v>
      </c>
      <c r="N6327" s="7">
        <v>10.416666666666666</v>
      </c>
      <c r="O6327" s="7" t="s">
        <v>178</v>
      </c>
      <c r="P6327" s="7" t="s">
        <v>178</v>
      </c>
    </row>
    <row r="6328" spans="1:16" x14ac:dyDescent="0.25">
      <c r="A6328" t="s">
        <v>183</v>
      </c>
      <c r="B6328" t="s">
        <v>231</v>
      </c>
      <c r="C6328" s="7" t="s">
        <v>172</v>
      </c>
      <c r="D6328" t="s">
        <v>127</v>
      </c>
      <c r="F6328" s="35">
        <v>10.161978248430804</v>
      </c>
      <c r="G6328" s="35">
        <v>-6.701247410268885</v>
      </c>
      <c r="H6328" s="35">
        <v>-13.857247158646137</v>
      </c>
      <c r="I6328" s="35">
        <v>-3.6272200765285976</v>
      </c>
      <c r="J6328" s="35">
        <v>4.3405800518463216E-3</v>
      </c>
      <c r="K6328" s="35">
        <v>17.208419811773467</v>
      </c>
      <c r="L6328" s="35">
        <v>-3.7570001879363111</v>
      </c>
      <c r="M6328" s="58" t="s">
        <v>23</v>
      </c>
      <c r="N6328" s="7">
        <v>10.416666666666666</v>
      </c>
      <c r="O6328" s="7" t="s">
        <v>178</v>
      </c>
      <c r="P6328" s="7" t="s">
        <v>178</v>
      </c>
    </row>
    <row r="6329" spans="1:16" x14ac:dyDescent="0.25">
      <c r="A6329" t="s">
        <v>183</v>
      </c>
      <c r="B6329" t="s">
        <v>232</v>
      </c>
      <c r="C6329" s="7" t="s">
        <v>173</v>
      </c>
      <c r="D6329" t="s">
        <v>105</v>
      </c>
      <c r="F6329" s="35">
        <v>0</v>
      </c>
      <c r="G6329" s="35">
        <v>-32.37921251024467</v>
      </c>
      <c r="H6329" s="35">
        <v>1.1809446169552602</v>
      </c>
      <c r="I6329" s="35">
        <v>-3.5634129413926699E-2</v>
      </c>
      <c r="J6329" s="35">
        <v>-1.4168402035373979E-4</v>
      </c>
      <c r="K6329" s="35">
        <v>-0.15505540110692501</v>
      </c>
      <c r="L6329" s="35">
        <v>2.8583892199520879</v>
      </c>
      <c r="M6329" s="58" t="s">
        <v>22</v>
      </c>
      <c r="N6329" s="7">
        <v>11.333333333333334</v>
      </c>
      <c r="O6329" s="7" t="s">
        <v>178</v>
      </c>
      <c r="P6329" s="7" t="s">
        <v>178</v>
      </c>
    </row>
    <row r="6330" spans="1:16" x14ac:dyDescent="0.25">
      <c r="A6330" t="s">
        <v>183</v>
      </c>
      <c r="B6330" t="s">
        <v>232</v>
      </c>
      <c r="C6330" s="7" t="s">
        <v>173</v>
      </c>
      <c r="D6330" t="s">
        <v>105</v>
      </c>
      <c r="F6330" s="35">
        <v>0.29999999999999988</v>
      </c>
      <c r="G6330" s="35">
        <v>-32.215318010244665</v>
      </c>
      <c r="H6330" s="35">
        <v>1.1809446169552602</v>
      </c>
      <c r="I6330" s="35">
        <v>-3.5634129413926699E-2</v>
      </c>
      <c r="J6330" s="35">
        <v>-1.4168402035373979E-4</v>
      </c>
      <c r="K6330" s="35">
        <v>-0.14436516228274701</v>
      </c>
      <c r="L6330" s="35">
        <v>2.504105834865511</v>
      </c>
      <c r="M6330" s="58" t="s">
        <v>22</v>
      </c>
      <c r="N6330" s="7">
        <v>11.333333333333334</v>
      </c>
      <c r="O6330" s="7" t="s">
        <v>178</v>
      </c>
      <c r="P6330" s="7" t="s">
        <v>178</v>
      </c>
    </row>
    <row r="6331" spans="1:16" x14ac:dyDescent="0.25">
      <c r="A6331" t="s">
        <v>183</v>
      </c>
      <c r="B6331" t="s">
        <v>232</v>
      </c>
      <c r="C6331" s="7" t="s">
        <v>173</v>
      </c>
      <c r="D6331" t="s">
        <v>105</v>
      </c>
      <c r="F6331" s="35">
        <v>0.29999999999999988</v>
      </c>
      <c r="G6331" s="35">
        <v>-24.401087423788447</v>
      </c>
      <c r="H6331" s="35">
        <v>0.75906502779863949</v>
      </c>
      <c r="I6331" s="35">
        <v>-3.5634129413926754E-2</v>
      </c>
      <c r="J6331" s="35">
        <v>1.3374980284140101E-4</v>
      </c>
      <c r="K6331" s="35">
        <v>-0.14434863625335539</v>
      </c>
      <c r="L6331" s="35">
        <v>2.5041058348655101</v>
      </c>
      <c r="M6331" s="58" t="s">
        <v>22</v>
      </c>
      <c r="N6331" s="7">
        <v>11.333333333333334</v>
      </c>
      <c r="O6331" s="7" t="s">
        <v>178</v>
      </c>
      <c r="P6331" s="7" t="s">
        <v>178</v>
      </c>
    </row>
    <row r="6332" spans="1:16" x14ac:dyDescent="0.25">
      <c r="A6332" t="s">
        <v>183</v>
      </c>
      <c r="B6332" t="s">
        <v>232</v>
      </c>
      <c r="C6332" s="7" t="s">
        <v>173</v>
      </c>
      <c r="D6332" t="s">
        <v>105</v>
      </c>
      <c r="F6332" s="35">
        <v>5.3</v>
      </c>
      <c r="G6332" s="35">
        <v>-21.669512423788447</v>
      </c>
      <c r="H6332" s="35">
        <v>0.75906502779863949</v>
      </c>
      <c r="I6332" s="35">
        <v>-3.5634129413926754E-2</v>
      </c>
      <c r="J6332" s="35">
        <v>1.3374980284140101E-4</v>
      </c>
      <c r="K6332" s="35">
        <v>3.3822010816278406E-2</v>
      </c>
      <c r="L6332" s="35">
        <v>-1.2912193041276867</v>
      </c>
      <c r="M6332" s="58" t="s">
        <v>24</v>
      </c>
      <c r="N6332" s="7">
        <v>11.333333333333334</v>
      </c>
      <c r="O6332" s="7" t="s">
        <v>178</v>
      </c>
      <c r="P6332" s="7" t="s">
        <v>178</v>
      </c>
    </row>
    <row r="6333" spans="1:16" x14ac:dyDescent="0.25">
      <c r="A6333" t="s">
        <v>183</v>
      </c>
      <c r="B6333" t="s">
        <v>232</v>
      </c>
      <c r="C6333" s="7" t="s">
        <v>173</v>
      </c>
      <c r="D6333" t="s">
        <v>105</v>
      </c>
      <c r="F6333" s="35">
        <v>5.3</v>
      </c>
      <c r="G6333" s="35">
        <v>-26.036820633195362</v>
      </c>
      <c r="H6333" s="35">
        <v>-0.19814411644828739</v>
      </c>
      <c r="I6333" s="35">
        <v>-3.5743000140870833E-2</v>
      </c>
      <c r="J6333" s="35">
        <v>1.929753668869476E-4</v>
      </c>
      <c r="K6333" s="35">
        <v>3.3693174622075057E-2</v>
      </c>
      <c r="L6333" s="35">
        <v>-1.2912193041276867</v>
      </c>
      <c r="M6333" s="58" t="s">
        <v>24</v>
      </c>
      <c r="N6333" s="7">
        <v>11.333333333333334</v>
      </c>
      <c r="O6333" s="7" t="s">
        <v>178</v>
      </c>
      <c r="P6333" s="7" t="s">
        <v>178</v>
      </c>
    </row>
    <row r="6334" spans="1:16" x14ac:dyDescent="0.25">
      <c r="A6334" t="s">
        <v>183</v>
      </c>
      <c r="B6334" t="s">
        <v>232</v>
      </c>
      <c r="C6334" s="7" t="s">
        <v>173</v>
      </c>
      <c r="D6334" t="s">
        <v>105</v>
      </c>
      <c r="F6334" s="35">
        <v>5.5393224575487361</v>
      </c>
      <c r="G6334" s="35">
        <v>-25.906075184799622</v>
      </c>
      <c r="H6334" s="35">
        <v>-0.19814411644828739</v>
      </c>
      <c r="I6334" s="35">
        <v>-3.5743000140870833E-2</v>
      </c>
      <c r="J6334" s="35">
        <v>1.929753668869476E-4</v>
      </c>
      <c r="K6334" s="35">
        <v>4.2247277255953085E-2</v>
      </c>
      <c r="L6334" s="35">
        <v>-1.2437989672304599</v>
      </c>
      <c r="M6334" s="58" t="s">
        <v>24</v>
      </c>
      <c r="N6334" s="7">
        <v>11.333333333333334</v>
      </c>
      <c r="O6334" s="7" t="s">
        <v>178</v>
      </c>
      <c r="P6334" s="7" t="s">
        <v>178</v>
      </c>
    </row>
    <row r="6335" spans="1:16" x14ac:dyDescent="0.25">
      <c r="A6335" t="s">
        <v>183</v>
      </c>
      <c r="B6335" t="s">
        <v>232</v>
      </c>
      <c r="C6335" s="7" t="s">
        <v>173</v>
      </c>
      <c r="D6335" t="s">
        <v>105</v>
      </c>
      <c r="F6335" s="35">
        <v>11.078644915097472</v>
      </c>
      <c r="G6335" s="35">
        <v>-22.879860236403889</v>
      </c>
      <c r="H6335" s="35">
        <v>-0.19814411644828739</v>
      </c>
      <c r="I6335" s="35">
        <v>-3.5743000140870833E-2</v>
      </c>
      <c r="J6335" s="35">
        <v>1.929753668869476E-4</v>
      </c>
      <c r="K6335" s="35">
        <v>0.24023928063644653</v>
      </c>
      <c r="L6335" s="35">
        <v>-0.14621481315730955</v>
      </c>
      <c r="M6335" s="58" t="s">
        <v>23</v>
      </c>
      <c r="N6335" s="7">
        <v>11.333333333333334</v>
      </c>
      <c r="O6335" s="7" t="s">
        <v>178</v>
      </c>
      <c r="P6335" s="7" t="s">
        <v>178</v>
      </c>
    </row>
    <row r="6336" spans="1:16" x14ac:dyDescent="0.25">
      <c r="A6336" t="s">
        <v>183</v>
      </c>
      <c r="B6336" t="s">
        <v>232</v>
      </c>
      <c r="C6336" s="7" t="s">
        <v>173</v>
      </c>
      <c r="D6336" t="s">
        <v>15</v>
      </c>
      <c r="F6336" s="35">
        <v>0</v>
      </c>
      <c r="G6336" s="35">
        <v>7.5268425179005591</v>
      </c>
      <c r="H6336" s="35">
        <v>28.737683575293218</v>
      </c>
      <c r="I6336" s="35">
        <v>-1.0133495474697257E-2</v>
      </c>
      <c r="J6336" s="35">
        <v>3.6390590768315377E-4</v>
      </c>
      <c r="K6336" s="35">
        <v>-6.4857926983817774E-2</v>
      </c>
      <c r="L6336" s="35">
        <v>62.648523643179573</v>
      </c>
      <c r="M6336" s="58" t="s">
        <v>22</v>
      </c>
      <c r="N6336" s="7">
        <v>11.333333333333334</v>
      </c>
      <c r="O6336" s="7" t="s">
        <v>178</v>
      </c>
      <c r="P6336" s="7" t="s">
        <v>178</v>
      </c>
    </row>
    <row r="6337" spans="1:16" x14ac:dyDescent="0.25">
      <c r="A6337" t="s">
        <v>183</v>
      </c>
      <c r="B6337" t="s">
        <v>232</v>
      </c>
      <c r="C6337" s="7" t="s">
        <v>173</v>
      </c>
      <c r="D6337" t="s">
        <v>15</v>
      </c>
      <c r="F6337" s="35">
        <v>0.29999999999999988</v>
      </c>
      <c r="G6337" s="35">
        <v>7.6907370179005614</v>
      </c>
      <c r="H6337" s="35">
        <v>27.71708357529322</v>
      </c>
      <c r="I6337" s="35">
        <v>-1.0133495474697257E-2</v>
      </c>
      <c r="J6337" s="35">
        <v>3.6390590768315377E-4</v>
      </c>
      <c r="K6337" s="35">
        <v>-6.1817878341408596E-2</v>
      </c>
      <c r="L6337" s="35">
        <v>54.180308570591613</v>
      </c>
      <c r="M6337" s="58" t="s">
        <v>22</v>
      </c>
      <c r="N6337" s="7">
        <v>11.333333333333334</v>
      </c>
      <c r="O6337" s="7" t="s">
        <v>178</v>
      </c>
      <c r="P6337" s="7" t="s">
        <v>178</v>
      </c>
    </row>
    <row r="6338" spans="1:16" x14ac:dyDescent="0.25">
      <c r="A6338" t="s">
        <v>183</v>
      </c>
      <c r="B6338" t="s">
        <v>232</v>
      </c>
      <c r="C6338" s="7" t="s">
        <v>173</v>
      </c>
      <c r="D6338" t="s">
        <v>15</v>
      </c>
      <c r="F6338" s="35">
        <v>0.29999999999999988</v>
      </c>
      <c r="G6338" s="35">
        <v>80.308306632240402</v>
      </c>
      <c r="H6338" s="35">
        <v>23.407003644463479</v>
      </c>
      <c r="I6338" s="35">
        <v>-1.0133495474697274E-2</v>
      </c>
      <c r="J6338" s="35">
        <v>-2.9963540381608802E-4</v>
      </c>
      <c r="K6338" s="35">
        <v>-6.1857690820098517E-2</v>
      </c>
      <c r="L6338" s="35">
        <v>54.180308570591613</v>
      </c>
      <c r="M6338" s="58" t="s">
        <v>22</v>
      </c>
      <c r="N6338" s="7">
        <v>11.333333333333334</v>
      </c>
      <c r="O6338" s="7" t="s">
        <v>178</v>
      </c>
      <c r="P6338" s="7" t="s">
        <v>178</v>
      </c>
    </row>
    <row r="6339" spans="1:16" x14ac:dyDescent="0.25">
      <c r="A6339" t="s">
        <v>183</v>
      </c>
      <c r="B6339" t="s">
        <v>232</v>
      </c>
      <c r="C6339" s="7" t="s">
        <v>173</v>
      </c>
      <c r="D6339" t="s">
        <v>15</v>
      </c>
      <c r="F6339" s="35">
        <v>5.3</v>
      </c>
      <c r="G6339" s="35">
        <v>83.039881632240409</v>
      </c>
      <c r="H6339" s="35">
        <v>6.3970036444634735</v>
      </c>
      <c r="I6339" s="35">
        <v>-1.0133495474697274E-2</v>
      </c>
      <c r="J6339" s="35">
        <v>-2.9963540381608802E-4</v>
      </c>
      <c r="K6339" s="35">
        <v>-1.1190213446612148E-2</v>
      </c>
      <c r="L6339" s="35">
        <v>-20.329709651725754</v>
      </c>
      <c r="M6339" s="58" t="s">
        <v>24</v>
      </c>
      <c r="N6339" s="7">
        <v>11.333333333333334</v>
      </c>
      <c r="O6339" s="7" t="s">
        <v>178</v>
      </c>
      <c r="P6339" s="7" t="s">
        <v>178</v>
      </c>
    </row>
    <row r="6340" spans="1:16" x14ac:dyDescent="0.25">
      <c r="A6340" t="s">
        <v>183</v>
      </c>
      <c r="B6340" t="s">
        <v>232</v>
      </c>
      <c r="C6340" s="7" t="s">
        <v>173</v>
      </c>
      <c r="D6340" t="s">
        <v>15</v>
      </c>
      <c r="F6340" s="35">
        <v>5.3</v>
      </c>
      <c r="G6340" s="35">
        <v>22.864460805778364</v>
      </c>
      <c r="H6340" s="35">
        <v>6.9089977064579662</v>
      </c>
      <c r="I6340" s="35">
        <v>-9.8993046133478545E-3</v>
      </c>
      <c r="J6340" s="35">
        <v>-4.3219680960734062E-4</v>
      </c>
      <c r="K6340" s="35">
        <v>-1.0726102873825921E-2</v>
      </c>
      <c r="L6340" s="35">
        <v>-20.329709651725761</v>
      </c>
      <c r="M6340" s="58" t="s">
        <v>24</v>
      </c>
      <c r="N6340" s="7">
        <v>11.333333333333334</v>
      </c>
      <c r="O6340" s="7" t="s">
        <v>178</v>
      </c>
      <c r="P6340" s="7" t="s">
        <v>178</v>
      </c>
    </row>
    <row r="6341" spans="1:16" x14ac:dyDescent="0.25">
      <c r="A6341" t="s">
        <v>183</v>
      </c>
      <c r="B6341" t="s">
        <v>232</v>
      </c>
      <c r="C6341" s="7" t="s">
        <v>173</v>
      </c>
      <c r="D6341" t="s">
        <v>15</v>
      </c>
      <c r="F6341" s="35">
        <v>5.5393224575487361</v>
      </c>
      <c r="G6341" s="35">
        <v>22.995206254174104</v>
      </c>
      <c r="H6341" s="35">
        <v>6.0948227058771662</v>
      </c>
      <c r="I6341" s="35">
        <v>-9.8993046133478545E-3</v>
      </c>
      <c r="J6341" s="35">
        <v>-4.3219680960734062E-4</v>
      </c>
      <c r="K6341" s="35">
        <v>-8.3569769657359742E-3</v>
      </c>
      <c r="L6341" s="35">
        <v>-21.88576278102699</v>
      </c>
      <c r="M6341" s="58" t="s">
        <v>24</v>
      </c>
      <c r="N6341" s="7">
        <v>11.333333333333334</v>
      </c>
      <c r="O6341" s="7" t="s">
        <v>178</v>
      </c>
      <c r="P6341" s="7" t="s">
        <v>178</v>
      </c>
    </row>
    <row r="6342" spans="1:16" x14ac:dyDescent="0.25">
      <c r="A6342" t="s">
        <v>183</v>
      </c>
      <c r="B6342" t="s">
        <v>232</v>
      </c>
      <c r="C6342" s="7" t="s">
        <v>173</v>
      </c>
      <c r="D6342" t="s">
        <v>15</v>
      </c>
      <c r="F6342" s="35">
        <v>11.078644915097472</v>
      </c>
      <c r="G6342" s="35">
        <v>26.021421202569837</v>
      </c>
      <c r="H6342" s="35">
        <v>-12.749952294703638</v>
      </c>
      <c r="I6342" s="35">
        <v>-9.8993046133478545E-3</v>
      </c>
      <c r="J6342" s="35">
        <v>-4.3219680960734062E-4</v>
      </c>
      <c r="K6342" s="35">
        <v>4.6478463393097615E-2</v>
      </c>
      <c r="L6342" s="35">
        <v>-3.4533083863852032</v>
      </c>
      <c r="M6342" s="58" t="s">
        <v>23</v>
      </c>
      <c r="N6342" s="7">
        <v>11.333333333333334</v>
      </c>
      <c r="O6342" s="7" t="s">
        <v>178</v>
      </c>
      <c r="P6342" s="7" t="s">
        <v>178</v>
      </c>
    </row>
    <row r="6343" spans="1:16" x14ac:dyDescent="0.25">
      <c r="A6343" t="s">
        <v>183</v>
      </c>
      <c r="B6343" t="s">
        <v>232</v>
      </c>
      <c r="C6343" s="7" t="s">
        <v>173</v>
      </c>
      <c r="D6343" t="s">
        <v>16</v>
      </c>
      <c r="F6343" s="35">
        <v>0</v>
      </c>
      <c r="G6343" s="35">
        <v>-9.985304308242501</v>
      </c>
      <c r="H6343" s="35">
        <v>12.254991800649236</v>
      </c>
      <c r="I6343" s="35">
        <v>-1.1241682688910393E-2</v>
      </c>
      <c r="J6343" s="35">
        <v>-2.7946003642262347E-4</v>
      </c>
      <c r="K6343" s="35">
        <v>-6.2284901296143329E-2</v>
      </c>
      <c r="L6343" s="35">
        <v>29.941499303561471</v>
      </c>
      <c r="M6343" s="58" t="s">
        <v>22</v>
      </c>
      <c r="N6343" s="7">
        <v>11.333333333333334</v>
      </c>
      <c r="O6343" s="7" t="s">
        <v>178</v>
      </c>
      <c r="P6343" s="7" t="s">
        <v>178</v>
      </c>
    </row>
    <row r="6344" spans="1:16" x14ac:dyDescent="0.25">
      <c r="A6344" t="s">
        <v>183</v>
      </c>
      <c r="B6344" t="s">
        <v>232</v>
      </c>
      <c r="C6344" s="7" t="s">
        <v>173</v>
      </c>
      <c r="D6344" t="s">
        <v>16</v>
      </c>
      <c r="F6344" s="35">
        <v>0.29999999999999988</v>
      </c>
      <c r="G6344" s="35">
        <v>-9.8214098082424997</v>
      </c>
      <c r="H6344" s="35">
        <v>12.028191800649235</v>
      </c>
      <c r="I6344" s="35">
        <v>-1.1241682688910393E-2</v>
      </c>
      <c r="J6344" s="35">
        <v>-2.7946003642262347E-4</v>
      </c>
      <c r="K6344" s="35">
        <v>-5.891239648947022E-2</v>
      </c>
      <c r="L6344" s="35">
        <v>26.299021763366703</v>
      </c>
      <c r="M6344" s="58" t="s">
        <v>22</v>
      </c>
      <c r="N6344" s="7">
        <v>11.333333333333334</v>
      </c>
      <c r="O6344" s="7" t="s">
        <v>178</v>
      </c>
      <c r="P6344" s="7" t="s">
        <v>178</v>
      </c>
    </row>
    <row r="6345" spans="1:16" x14ac:dyDescent="0.25">
      <c r="A6345" t="s">
        <v>183</v>
      </c>
      <c r="B6345" t="s">
        <v>232</v>
      </c>
      <c r="C6345" s="7" t="s">
        <v>173</v>
      </c>
      <c r="D6345" t="s">
        <v>16</v>
      </c>
      <c r="F6345" s="35">
        <v>0.29999999999999988</v>
      </c>
      <c r="G6345" s="35">
        <v>30.268227999413799</v>
      </c>
      <c r="H6345" s="35">
        <v>9.6697877782205808</v>
      </c>
      <c r="I6345" s="35">
        <v>-1.1241682688910669E-2</v>
      </c>
      <c r="J6345" s="35">
        <v>-5.6456907373969947E-4</v>
      </c>
      <c r="K6345" s="35">
        <v>-5.892950303170922E-2</v>
      </c>
      <c r="L6345" s="35">
        <v>26.299021763366703</v>
      </c>
      <c r="M6345" s="58" t="s">
        <v>22</v>
      </c>
      <c r="N6345" s="7">
        <v>11.333333333333334</v>
      </c>
      <c r="O6345" s="7" t="s">
        <v>178</v>
      </c>
      <c r="P6345" s="7" t="s">
        <v>178</v>
      </c>
    </row>
    <row r="6346" spans="1:16" x14ac:dyDescent="0.25">
      <c r="A6346" t="s">
        <v>183</v>
      </c>
      <c r="B6346" t="s">
        <v>232</v>
      </c>
      <c r="C6346" s="7" t="s">
        <v>173</v>
      </c>
      <c r="D6346" t="s">
        <v>16</v>
      </c>
      <c r="F6346" s="35">
        <v>5.3</v>
      </c>
      <c r="G6346" s="35">
        <v>32.999802999413795</v>
      </c>
      <c r="H6346" s="35">
        <v>5.8897877782205814</v>
      </c>
      <c r="I6346" s="35">
        <v>-1.1241682688910669E-2</v>
      </c>
      <c r="J6346" s="35">
        <v>-5.6456907373969947E-4</v>
      </c>
      <c r="K6346" s="35">
        <v>-2.721089587155869E-3</v>
      </c>
      <c r="L6346" s="35">
        <v>-12.599917127736198</v>
      </c>
      <c r="M6346" s="58" t="s">
        <v>24</v>
      </c>
      <c r="N6346" s="7">
        <v>11.333333333333334</v>
      </c>
      <c r="O6346" s="7" t="s">
        <v>178</v>
      </c>
      <c r="P6346" s="7" t="s">
        <v>178</v>
      </c>
    </row>
    <row r="6347" spans="1:16" x14ac:dyDescent="0.25">
      <c r="A6347" t="s">
        <v>183</v>
      </c>
      <c r="B6347" t="s">
        <v>232</v>
      </c>
      <c r="C6347" s="7" t="s">
        <v>173</v>
      </c>
      <c r="D6347" t="s">
        <v>16</v>
      </c>
      <c r="F6347" s="35">
        <v>5.3</v>
      </c>
      <c r="G6347" s="35">
        <v>3.0788223624088036</v>
      </c>
      <c r="H6347" s="35">
        <v>0.20796494568993837</v>
      </c>
      <c r="I6347" s="35">
        <v>-1.1138631181636731E-2</v>
      </c>
      <c r="J6347" s="35">
        <v>-6.310997418472815E-4</v>
      </c>
      <c r="K6347" s="35">
        <v>-2.5361825069486507E-3</v>
      </c>
      <c r="L6347" s="35">
        <v>-12.599917127736196</v>
      </c>
      <c r="M6347" s="58" t="s">
        <v>24</v>
      </c>
      <c r="N6347" s="7">
        <v>11.333333333333334</v>
      </c>
      <c r="O6347" s="7" t="s">
        <v>178</v>
      </c>
      <c r="P6347" s="7" t="s">
        <v>178</v>
      </c>
    </row>
    <row r="6348" spans="1:16" x14ac:dyDescent="0.25">
      <c r="A6348" t="s">
        <v>183</v>
      </c>
      <c r="B6348" t="s">
        <v>232</v>
      </c>
      <c r="C6348" s="7" t="s">
        <v>173</v>
      </c>
      <c r="D6348" t="s">
        <v>16</v>
      </c>
      <c r="F6348" s="35">
        <v>5.5393224575487361</v>
      </c>
      <c r="G6348" s="35">
        <v>3.2095678108045407</v>
      </c>
      <c r="H6348" s="35">
        <v>2.7037167783093917E-2</v>
      </c>
      <c r="I6348" s="35">
        <v>-1.1138631181636731E-2</v>
      </c>
      <c r="J6348" s="35">
        <v>-6.310997418472815E-4</v>
      </c>
      <c r="K6348" s="35">
        <v>1.2954208116963488E-4</v>
      </c>
      <c r="L6348" s="35">
        <v>-12.628037769398954</v>
      </c>
      <c r="M6348" s="58" t="s">
        <v>24</v>
      </c>
      <c r="N6348" s="7">
        <v>11.333333333333334</v>
      </c>
      <c r="O6348" s="7" t="s">
        <v>178</v>
      </c>
      <c r="P6348" s="7" t="s">
        <v>178</v>
      </c>
    </row>
    <row r="6349" spans="1:16" x14ac:dyDescent="0.25">
      <c r="A6349" t="s">
        <v>183</v>
      </c>
      <c r="B6349" t="s">
        <v>232</v>
      </c>
      <c r="C6349" s="7" t="s">
        <v>173</v>
      </c>
      <c r="D6349" t="s">
        <v>16</v>
      </c>
      <c r="F6349" s="35">
        <v>11.078644915097472</v>
      </c>
      <c r="G6349" s="35">
        <v>6.2357827592002764</v>
      </c>
      <c r="H6349" s="35">
        <v>-4.1606906101237513</v>
      </c>
      <c r="I6349" s="35">
        <v>-1.1138631181636731E-2</v>
      </c>
      <c r="J6349" s="35">
        <v>-6.310997418472815E-4</v>
      </c>
      <c r="K6349" s="35">
        <v>6.1830011931962602E-2</v>
      </c>
      <c r="L6349" s="35">
        <v>-1.179218096958333</v>
      </c>
      <c r="M6349" s="58" t="s">
        <v>23</v>
      </c>
      <c r="N6349" s="7">
        <v>11.333333333333334</v>
      </c>
      <c r="O6349" s="7" t="s">
        <v>178</v>
      </c>
      <c r="P6349" s="7" t="s">
        <v>178</v>
      </c>
    </row>
    <row r="6350" spans="1:16" x14ac:dyDescent="0.25">
      <c r="A6350" t="s">
        <v>183</v>
      </c>
      <c r="B6350" t="s">
        <v>232</v>
      </c>
      <c r="C6350" s="7" t="s">
        <v>173</v>
      </c>
      <c r="D6350" t="s">
        <v>106</v>
      </c>
      <c r="F6350" s="35">
        <v>0</v>
      </c>
      <c r="G6350" s="35">
        <v>72.050269890643662</v>
      </c>
      <c r="H6350" s="35">
        <v>-30.340271025657664</v>
      </c>
      <c r="I6350" s="35">
        <v>7.719063268170509E-2</v>
      </c>
      <c r="J6350" s="35">
        <v>1.4856324253552091E-3</v>
      </c>
      <c r="K6350" s="35">
        <v>0.29280004544304783</v>
      </c>
      <c r="L6350" s="35">
        <v>-66.436431369740276</v>
      </c>
      <c r="M6350" s="58" t="s">
        <v>22</v>
      </c>
      <c r="N6350" s="7">
        <v>11.333333333333334</v>
      </c>
      <c r="O6350" s="7" t="s">
        <v>178</v>
      </c>
      <c r="P6350" s="7" t="s">
        <v>178</v>
      </c>
    </row>
    <row r="6351" spans="1:16" x14ac:dyDescent="0.25">
      <c r="A6351" t="s">
        <v>183</v>
      </c>
      <c r="B6351" t="s">
        <v>232</v>
      </c>
      <c r="C6351" s="7" t="s">
        <v>173</v>
      </c>
      <c r="D6351" t="s">
        <v>106</v>
      </c>
      <c r="F6351" s="35">
        <v>0.29999999999999988</v>
      </c>
      <c r="G6351" s="35">
        <v>72.214164390643646</v>
      </c>
      <c r="H6351" s="35">
        <v>-29.319671025657666</v>
      </c>
      <c r="I6351" s="35">
        <v>7.719063268170509E-2</v>
      </c>
      <c r="J6351" s="35">
        <v>1.4856324253552091E-3</v>
      </c>
      <c r="K6351" s="35">
        <v>0.26964285563853635</v>
      </c>
      <c r="L6351" s="35">
        <v>-57.487440062043</v>
      </c>
      <c r="M6351" s="58" t="s">
        <v>22</v>
      </c>
      <c r="N6351" s="7">
        <v>11.333333333333334</v>
      </c>
      <c r="O6351" s="7" t="s">
        <v>178</v>
      </c>
      <c r="P6351" s="7" t="s">
        <v>178</v>
      </c>
    </row>
    <row r="6352" spans="1:16" x14ac:dyDescent="0.25">
      <c r="A6352" t="s">
        <v>183</v>
      </c>
      <c r="B6352" t="s">
        <v>232</v>
      </c>
      <c r="C6352" s="7" t="s">
        <v>173</v>
      </c>
      <c r="D6352" t="s">
        <v>106</v>
      </c>
      <c r="F6352" s="35">
        <v>0.29999999999999988</v>
      </c>
      <c r="G6352" s="35">
        <v>1.266051608884694</v>
      </c>
      <c r="H6352" s="35">
        <v>-25.01581001272136</v>
      </c>
      <c r="I6352" s="35">
        <v>7.7190632681705146E-2</v>
      </c>
      <c r="J6352" s="35">
        <v>3.9264094635085821E-5</v>
      </c>
      <c r="K6352" s="35">
        <v>0.26955607353869321</v>
      </c>
      <c r="L6352" s="35">
        <v>-57.487440062043007</v>
      </c>
      <c r="M6352" s="58" t="s">
        <v>22</v>
      </c>
      <c r="N6352" s="7">
        <v>11.333333333333334</v>
      </c>
      <c r="O6352" s="7" t="s">
        <v>178</v>
      </c>
      <c r="P6352" s="7" t="s">
        <v>178</v>
      </c>
    </row>
    <row r="6353" spans="1:16" x14ac:dyDescent="0.25">
      <c r="A6353" t="s">
        <v>183</v>
      </c>
      <c r="B6353" t="s">
        <v>232</v>
      </c>
      <c r="C6353" s="7" t="s">
        <v>173</v>
      </c>
      <c r="D6353" t="s">
        <v>106</v>
      </c>
      <c r="F6353" s="35">
        <v>5.3</v>
      </c>
      <c r="G6353" s="35">
        <v>3.9976266088846941</v>
      </c>
      <c r="H6353" s="35">
        <v>-8.0058100127213603</v>
      </c>
      <c r="I6353" s="35">
        <v>7.7190632681705146E-2</v>
      </c>
      <c r="J6353" s="35">
        <v>3.9264094635085821E-5</v>
      </c>
      <c r="K6353" s="35">
        <v>-0.11639708986983252</v>
      </c>
      <c r="L6353" s="35">
        <v>25.066610001563792</v>
      </c>
      <c r="M6353" s="58" t="s">
        <v>24</v>
      </c>
      <c r="N6353" s="7">
        <v>11.333333333333334</v>
      </c>
      <c r="O6353" s="7" t="s">
        <v>178</v>
      </c>
      <c r="P6353" s="7" t="s">
        <v>178</v>
      </c>
    </row>
    <row r="6354" spans="1:16" x14ac:dyDescent="0.25">
      <c r="A6354" t="s">
        <v>183</v>
      </c>
      <c r="B6354" t="s">
        <v>232</v>
      </c>
      <c r="C6354" s="7" t="s">
        <v>173</v>
      </c>
      <c r="D6354" t="s">
        <v>106</v>
      </c>
      <c r="F6354" s="35">
        <v>5.3</v>
      </c>
      <c r="G6354" s="35">
        <v>68.600372401928951</v>
      </c>
      <c r="H6354" s="35">
        <v>-6.0921178300362824</v>
      </c>
      <c r="I6354" s="35">
        <v>7.7665878586998971E-2</v>
      </c>
      <c r="J6354" s="35">
        <v>-1.8331722861409164E-4</v>
      </c>
      <c r="K6354" s="35">
        <v>-0.11516958626029998</v>
      </c>
      <c r="L6354" s="35">
        <v>25.066610001563824</v>
      </c>
      <c r="M6354" s="58" t="s">
        <v>24</v>
      </c>
      <c r="N6354" s="7">
        <v>11.333333333333334</v>
      </c>
      <c r="O6354" s="7" t="s">
        <v>178</v>
      </c>
      <c r="P6354" s="7" t="s">
        <v>178</v>
      </c>
    </row>
    <row r="6355" spans="1:16" x14ac:dyDescent="0.25">
      <c r="A6355" t="s">
        <v>183</v>
      </c>
      <c r="B6355" t="s">
        <v>232</v>
      </c>
      <c r="C6355" s="7" t="s">
        <v>173</v>
      </c>
      <c r="D6355" t="s">
        <v>106</v>
      </c>
      <c r="F6355" s="35">
        <v>5.5393224575487361</v>
      </c>
      <c r="G6355" s="35">
        <v>68.731117850324679</v>
      </c>
      <c r="H6355" s="35">
        <v>-5.2779428294554815</v>
      </c>
      <c r="I6355" s="35">
        <v>7.7665878586998971E-2</v>
      </c>
      <c r="J6355" s="35">
        <v>-1.8331722861409164E-4</v>
      </c>
      <c r="K6355" s="35">
        <v>-0.13375677519142234</v>
      </c>
      <c r="L6355" s="35">
        <v>26.427165431317714</v>
      </c>
      <c r="M6355" s="58" t="s">
        <v>24</v>
      </c>
      <c r="N6355" s="7">
        <v>11.333333333333334</v>
      </c>
      <c r="O6355" s="7" t="s">
        <v>178</v>
      </c>
      <c r="P6355" s="7" t="s">
        <v>178</v>
      </c>
    </row>
    <row r="6356" spans="1:16" x14ac:dyDescent="0.25">
      <c r="A6356" t="s">
        <v>183</v>
      </c>
      <c r="B6356" t="s">
        <v>232</v>
      </c>
      <c r="C6356" s="7" t="s">
        <v>173</v>
      </c>
      <c r="D6356" t="s">
        <v>106</v>
      </c>
      <c r="F6356" s="35">
        <v>11.078644915097472</v>
      </c>
      <c r="G6356" s="35">
        <v>71.757332798720412</v>
      </c>
      <c r="H6356" s="35">
        <v>13.566832171125323</v>
      </c>
      <c r="I6356" s="35">
        <v>7.7665878586998971E-2</v>
      </c>
      <c r="J6356" s="35">
        <v>-1.8331722861409164E-4</v>
      </c>
      <c r="K6356" s="35">
        <v>-0.56397312063363936</v>
      </c>
      <c r="L6356" s="35">
        <v>3.4697499920936479</v>
      </c>
      <c r="M6356" s="58" t="s">
        <v>23</v>
      </c>
      <c r="N6356" s="7">
        <v>11.333333333333334</v>
      </c>
      <c r="O6356" s="7" t="s">
        <v>178</v>
      </c>
      <c r="P6356" s="7" t="s">
        <v>178</v>
      </c>
    </row>
    <row r="6357" spans="1:16" x14ac:dyDescent="0.25">
      <c r="A6357" t="s">
        <v>183</v>
      </c>
      <c r="B6357" t="s">
        <v>232</v>
      </c>
      <c r="C6357" s="7" t="s">
        <v>173</v>
      </c>
      <c r="D6357" t="s">
        <v>107</v>
      </c>
      <c r="F6357" s="35">
        <v>0</v>
      </c>
      <c r="G6357" s="35">
        <v>54.565371812627788</v>
      </c>
      <c r="H6357" s="35">
        <v>-46.815901056459928</v>
      </c>
      <c r="I6357" s="35">
        <v>7.3007430575314766E-2</v>
      </c>
      <c r="J6357" s="35">
        <v>8.3194111876783953E-4</v>
      </c>
      <c r="K6357" s="35">
        <v>0.28394345359095252</v>
      </c>
      <c r="L6357" s="35">
        <v>-99.122831154193108</v>
      </c>
      <c r="M6357" s="58" t="s">
        <v>22</v>
      </c>
      <c r="N6357" s="7">
        <v>11.333333333333334</v>
      </c>
      <c r="O6357" s="7" t="s">
        <v>178</v>
      </c>
      <c r="P6357" s="7" t="s">
        <v>178</v>
      </c>
    </row>
    <row r="6358" spans="1:16" x14ac:dyDescent="0.25">
      <c r="A6358" t="s">
        <v>183</v>
      </c>
      <c r="B6358" t="s">
        <v>232</v>
      </c>
      <c r="C6358" s="7" t="s">
        <v>173</v>
      </c>
      <c r="D6358" t="s">
        <v>107</v>
      </c>
      <c r="F6358" s="35">
        <v>0.29999999999999988</v>
      </c>
      <c r="G6358" s="35">
        <v>54.729266312627779</v>
      </c>
      <c r="H6358" s="35">
        <v>-45.001501056459929</v>
      </c>
      <c r="I6358" s="35">
        <v>7.3007430575314766E-2</v>
      </c>
      <c r="J6358" s="35">
        <v>8.3194111876783953E-4</v>
      </c>
      <c r="K6358" s="35">
        <v>0.26204122441835809</v>
      </c>
      <c r="L6358" s="35">
        <v>-85.350220837255122</v>
      </c>
      <c r="M6358" s="58" t="s">
        <v>22</v>
      </c>
      <c r="N6358" s="7">
        <v>11.333333333333334</v>
      </c>
      <c r="O6358" s="7" t="s">
        <v>178</v>
      </c>
      <c r="P6358" s="7" t="s">
        <v>178</v>
      </c>
    </row>
    <row r="6359" spans="1:16" x14ac:dyDescent="0.25">
      <c r="A6359" t="s">
        <v>183</v>
      </c>
      <c r="B6359" t="s">
        <v>232</v>
      </c>
      <c r="C6359" s="7" t="s">
        <v>173</v>
      </c>
      <c r="D6359" t="s">
        <v>107</v>
      </c>
      <c r="F6359" s="35">
        <v>0.29999999999999988</v>
      </c>
      <c r="G6359" s="35">
        <v>-48.729869860205788</v>
      </c>
      <c r="H6359" s="35">
        <v>-38.746978640059098</v>
      </c>
      <c r="I6359" s="35">
        <v>7.30074305753146E-2</v>
      </c>
      <c r="J6359" s="35">
        <v>-2.2725402035130493E-4</v>
      </c>
      <c r="K6359" s="35">
        <v>0.2619776727100111</v>
      </c>
      <c r="L6359" s="35">
        <v>-85.350220837255122</v>
      </c>
      <c r="M6359" s="58" t="s">
        <v>22</v>
      </c>
      <c r="N6359" s="7">
        <v>11.333333333333334</v>
      </c>
      <c r="O6359" s="7" t="s">
        <v>178</v>
      </c>
      <c r="P6359" s="7" t="s">
        <v>178</v>
      </c>
    </row>
    <row r="6360" spans="1:16" x14ac:dyDescent="0.25">
      <c r="A6360" t="s">
        <v>183</v>
      </c>
      <c r="B6360" t="s">
        <v>232</v>
      </c>
      <c r="C6360" s="7" t="s">
        <v>173</v>
      </c>
      <c r="D6360" t="s">
        <v>107</v>
      </c>
      <c r="F6360" s="35">
        <v>5.3</v>
      </c>
      <c r="G6360" s="35">
        <v>-45.998294860205789</v>
      </c>
      <c r="H6360" s="35">
        <v>-8.5069786400591028</v>
      </c>
      <c r="I6360" s="35">
        <v>7.30074305753146E-2</v>
      </c>
      <c r="J6360" s="35">
        <v>-2.2725402035130493E-4</v>
      </c>
      <c r="K6360" s="35">
        <v>-0.10305948016656181</v>
      </c>
      <c r="L6360" s="35">
        <v>32.784672363040379</v>
      </c>
      <c r="M6360" s="58" t="s">
        <v>24</v>
      </c>
      <c r="N6360" s="7">
        <v>11.333333333333334</v>
      </c>
      <c r="O6360" s="7" t="s">
        <v>178</v>
      </c>
      <c r="P6360" s="7" t="s">
        <v>178</v>
      </c>
    </row>
    <row r="6361" spans="1:16" x14ac:dyDescent="0.25">
      <c r="A6361" t="s">
        <v>183</v>
      </c>
      <c r="B6361" t="s">
        <v>232</v>
      </c>
      <c r="C6361" s="7" t="s">
        <v>173</v>
      </c>
      <c r="D6361" t="s">
        <v>107</v>
      </c>
      <c r="F6361" s="35">
        <v>5.3</v>
      </c>
      <c r="G6361" s="35">
        <v>48.847203256690086</v>
      </c>
      <c r="H6361" s="35">
        <v>-12.795095006859373</v>
      </c>
      <c r="I6361" s="35">
        <v>7.3349075533554312E-2</v>
      </c>
      <c r="J6361" s="35">
        <v>-3.8344191142066278E-4</v>
      </c>
      <c r="K6361" s="35">
        <v>-0.10212115894054624</v>
      </c>
      <c r="L6361" s="35">
        <v>32.784672363040386</v>
      </c>
      <c r="M6361" s="58" t="s">
        <v>24</v>
      </c>
      <c r="N6361" s="7">
        <v>11.333333333333334</v>
      </c>
      <c r="O6361" s="7" t="s">
        <v>178</v>
      </c>
      <c r="P6361" s="7" t="s">
        <v>178</v>
      </c>
    </row>
    <row r="6362" spans="1:16" x14ac:dyDescent="0.25">
      <c r="A6362" t="s">
        <v>183</v>
      </c>
      <c r="B6362" t="s">
        <v>232</v>
      </c>
      <c r="C6362" s="7" t="s">
        <v>173</v>
      </c>
      <c r="D6362" t="s">
        <v>107</v>
      </c>
      <c r="F6362" s="35">
        <v>5.5393224575487361</v>
      </c>
      <c r="G6362" s="35">
        <v>48.977948705085822</v>
      </c>
      <c r="H6362" s="35">
        <v>-11.347672783604617</v>
      </c>
      <c r="I6362" s="35">
        <v>7.3349075533554312E-2</v>
      </c>
      <c r="J6362" s="35">
        <v>-3.8344191142066278E-4</v>
      </c>
      <c r="K6362" s="35">
        <v>-0.11967523995616434</v>
      </c>
      <c r="L6362" s="35">
        <v>35.673625622861543</v>
      </c>
      <c r="M6362" s="58" t="s">
        <v>24</v>
      </c>
      <c r="N6362" s="7">
        <v>11.333333333333334</v>
      </c>
      <c r="O6362" s="7" t="s">
        <v>178</v>
      </c>
      <c r="P6362" s="7" t="s">
        <v>178</v>
      </c>
    </row>
    <row r="6363" spans="1:16" x14ac:dyDescent="0.25">
      <c r="A6363" t="s">
        <v>183</v>
      </c>
      <c r="B6363" t="s">
        <v>232</v>
      </c>
      <c r="C6363" s="7" t="s">
        <v>173</v>
      </c>
      <c r="D6363" t="s">
        <v>107</v>
      </c>
      <c r="F6363" s="35">
        <v>11.078644915097472</v>
      </c>
      <c r="G6363" s="35">
        <v>52.004163653481562</v>
      </c>
      <c r="H6363" s="35">
        <v>22.154149439650141</v>
      </c>
      <c r="I6363" s="35">
        <v>7.3349075533554312E-2</v>
      </c>
      <c r="J6363" s="35">
        <v>-3.8344191142066278E-4</v>
      </c>
      <c r="K6363" s="35">
        <v>-0.52597942129962039</v>
      </c>
      <c r="L6363" s="35">
        <v>5.7433462089569822</v>
      </c>
      <c r="M6363" s="58" t="s">
        <v>23</v>
      </c>
      <c r="N6363" s="7">
        <v>11.333333333333334</v>
      </c>
      <c r="O6363" s="7" t="s">
        <v>178</v>
      </c>
      <c r="P6363" s="7" t="s">
        <v>178</v>
      </c>
    </row>
    <row r="6364" spans="1:16" x14ac:dyDescent="0.25">
      <c r="A6364" t="s">
        <v>183</v>
      </c>
      <c r="B6364" t="s">
        <v>232</v>
      </c>
      <c r="C6364" s="7" t="s">
        <v>173</v>
      </c>
      <c r="D6364" t="s">
        <v>108</v>
      </c>
      <c r="F6364" s="35">
        <v>0</v>
      </c>
      <c r="G6364" s="35">
        <v>12.01544785468255</v>
      </c>
      <c r="H6364" s="35">
        <v>42.546868332115231</v>
      </c>
      <c r="I6364" s="35">
        <v>1.2811269678842074</v>
      </c>
      <c r="J6364" s="35">
        <v>1.7472088647656995E-3</v>
      </c>
      <c r="K6364" s="35">
        <v>7.4507643046357135</v>
      </c>
      <c r="L6364" s="35">
        <v>85.02696626980736</v>
      </c>
      <c r="M6364" s="58" t="s">
        <v>22</v>
      </c>
      <c r="N6364" s="7">
        <v>11.333333333333334</v>
      </c>
      <c r="O6364" s="7" t="s">
        <v>178</v>
      </c>
      <c r="P6364" s="7" t="s">
        <v>178</v>
      </c>
    </row>
    <row r="6365" spans="1:16" x14ac:dyDescent="0.25">
      <c r="A6365" t="s">
        <v>183</v>
      </c>
      <c r="B6365" t="s">
        <v>232</v>
      </c>
      <c r="C6365" s="7" t="s">
        <v>173</v>
      </c>
      <c r="D6365" t="s">
        <v>108</v>
      </c>
      <c r="F6365" s="35">
        <v>0.29999999999999988</v>
      </c>
      <c r="G6365" s="35">
        <v>12.179342354682552</v>
      </c>
      <c r="H6365" s="35">
        <v>40.562368332115234</v>
      </c>
      <c r="I6365" s="35">
        <v>1.2811269678842074</v>
      </c>
      <c r="J6365" s="35">
        <v>1.7472088647656995E-3</v>
      </c>
      <c r="K6365" s="35">
        <v>7.066426214270451</v>
      </c>
      <c r="L6365" s="35">
        <v>72.56058077017282</v>
      </c>
      <c r="M6365" s="58" t="s">
        <v>22</v>
      </c>
      <c r="N6365" s="7">
        <v>11.333333333333334</v>
      </c>
      <c r="O6365" s="7" t="s">
        <v>178</v>
      </c>
      <c r="P6365" s="7" t="s">
        <v>178</v>
      </c>
    </row>
    <row r="6366" spans="1:16" x14ac:dyDescent="0.25">
      <c r="A6366" t="s">
        <v>183</v>
      </c>
      <c r="B6366" t="s">
        <v>232</v>
      </c>
      <c r="C6366" s="7" t="s">
        <v>173</v>
      </c>
      <c r="D6366" t="s">
        <v>108</v>
      </c>
      <c r="F6366" s="35">
        <v>0.29999999999999988</v>
      </c>
      <c r="G6366" s="35">
        <v>102.37589740231559</v>
      </c>
      <c r="H6366" s="35">
        <v>35.197549275288011</v>
      </c>
      <c r="I6366" s="35">
        <v>1.281126967884203</v>
      </c>
      <c r="J6366" s="35">
        <v>6.5979340956364688E-4</v>
      </c>
      <c r="K6366" s="35">
        <v>7.066360969343136</v>
      </c>
      <c r="L6366" s="35">
        <v>72.560580770172805</v>
      </c>
      <c r="M6366" s="58" t="s">
        <v>22</v>
      </c>
      <c r="N6366" s="7">
        <v>11.333333333333334</v>
      </c>
      <c r="O6366" s="7" t="s">
        <v>178</v>
      </c>
      <c r="P6366" s="7" t="s">
        <v>178</v>
      </c>
    </row>
    <row r="6367" spans="1:16" x14ac:dyDescent="0.25">
      <c r="A6367" t="s">
        <v>183</v>
      </c>
      <c r="B6367" t="s">
        <v>232</v>
      </c>
      <c r="C6367" s="7" t="s">
        <v>173</v>
      </c>
      <c r="D6367" t="s">
        <v>108</v>
      </c>
      <c r="F6367" s="35">
        <v>5.3</v>
      </c>
      <c r="G6367" s="35">
        <v>105.10747240231559</v>
      </c>
      <c r="H6367" s="35">
        <v>2.1225492752880011</v>
      </c>
      <c r="I6367" s="35">
        <v>1.281126967884203</v>
      </c>
      <c r="J6367" s="35">
        <v>6.5979340956364688E-4</v>
      </c>
      <c r="K6367" s="35">
        <v>0.66072612992212265</v>
      </c>
      <c r="L6367" s="35">
        <v>-20.739665606267213</v>
      </c>
      <c r="M6367" s="58" t="s">
        <v>24</v>
      </c>
      <c r="N6367" s="7">
        <v>11.333333333333334</v>
      </c>
      <c r="O6367" s="7" t="s">
        <v>178</v>
      </c>
      <c r="P6367" s="7" t="s">
        <v>178</v>
      </c>
    </row>
    <row r="6368" spans="1:16" x14ac:dyDescent="0.25">
      <c r="A6368" t="s">
        <v>183</v>
      </c>
      <c r="B6368" t="s">
        <v>232</v>
      </c>
      <c r="C6368" s="7" t="s">
        <v>173</v>
      </c>
      <c r="D6368" t="s">
        <v>108</v>
      </c>
      <c r="F6368" s="35">
        <v>5.3</v>
      </c>
      <c r="G6368" s="35">
        <v>24.268806252506497</v>
      </c>
      <c r="H6368" s="35">
        <v>16.533890865317808</v>
      </c>
      <c r="I6368" s="35">
        <v>1.2813865108471336</v>
      </c>
      <c r="J6368" s="35">
        <v>6.6869908765139572E-4</v>
      </c>
      <c r="K6368" s="35">
        <v>0.66172331455754196</v>
      </c>
      <c r="L6368" s="35">
        <v>-20.739665606267202</v>
      </c>
      <c r="M6368" s="58" t="s">
        <v>24</v>
      </c>
      <c r="N6368" s="7">
        <v>11.333333333333334</v>
      </c>
      <c r="O6368" s="7" t="s">
        <v>178</v>
      </c>
      <c r="P6368" s="7" t="s">
        <v>178</v>
      </c>
    </row>
    <row r="6369" spans="1:16" x14ac:dyDescent="0.25">
      <c r="A6369" t="s">
        <v>183</v>
      </c>
      <c r="B6369" t="s">
        <v>232</v>
      </c>
      <c r="C6369" s="7" t="s">
        <v>173</v>
      </c>
      <c r="D6369" t="s">
        <v>108</v>
      </c>
      <c r="F6369" s="35">
        <v>5.5393224575487361</v>
      </c>
      <c r="G6369" s="35">
        <v>24.399551700902236</v>
      </c>
      <c r="H6369" s="35">
        <v>14.950772808632919</v>
      </c>
      <c r="I6369" s="35">
        <v>1.2813865108471336</v>
      </c>
      <c r="J6369" s="35">
        <v>6.6869908765139572E-4</v>
      </c>
      <c r="K6369" s="35">
        <v>0.35505874571180579</v>
      </c>
      <c r="L6369" s="35">
        <v>-24.50715914903985</v>
      </c>
      <c r="M6369" s="58" t="s">
        <v>24</v>
      </c>
      <c r="N6369" s="7">
        <v>11.333333333333334</v>
      </c>
      <c r="O6369" s="7" t="s">
        <v>178</v>
      </c>
      <c r="P6369" s="7" t="s">
        <v>178</v>
      </c>
    </row>
    <row r="6370" spans="1:16" x14ac:dyDescent="0.25">
      <c r="A6370" t="s">
        <v>183</v>
      </c>
      <c r="B6370" t="s">
        <v>232</v>
      </c>
      <c r="C6370" s="7" t="s">
        <v>173</v>
      </c>
      <c r="D6370" t="s">
        <v>108</v>
      </c>
      <c r="F6370" s="35">
        <v>11.078644915097472</v>
      </c>
      <c r="G6370" s="35">
        <v>27.425766649297973</v>
      </c>
      <c r="H6370" s="35">
        <v>-21.691845248051976</v>
      </c>
      <c r="I6370" s="35">
        <v>1.2813865108471336</v>
      </c>
      <c r="J6370" s="35">
        <v>6.6869908765139572E-4</v>
      </c>
      <c r="K6370" s="35">
        <v>-6.7429543306237374</v>
      </c>
      <c r="L6370" s="35">
        <v>-5.8366721732214346</v>
      </c>
      <c r="M6370" s="58" t="s">
        <v>23</v>
      </c>
      <c r="N6370" s="7">
        <v>11.333333333333334</v>
      </c>
      <c r="O6370" s="7" t="s">
        <v>178</v>
      </c>
      <c r="P6370" s="7" t="s">
        <v>178</v>
      </c>
    </row>
    <row r="6371" spans="1:16" x14ac:dyDescent="0.25">
      <c r="A6371" t="s">
        <v>183</v>
      </c>
      <c r="B6371" t="s">
        <v>232</v>
      </c>
      <c r="C6371" s="7" t="s">
        <v>173</v>
      </c>
      <c r="D6371" t="s">
        <v>109</v>
      </c>
      <c r="F6371" s="35">
        <v>0</v>
      </c>
      <c r="G6371" s="35">
        <v>-36.374994022003328</v>
      </c>
      <c r="H6371" s="35">
        <v>26.915327088061836</v>
      </c>
      <c r="I6371" s="35">
        <v>2.6613434085929919</v>
      </c>
      <c r="J6371" s="35">
        <v>1.1198972390233485E-3</v>
      </c>
      <c r="K6371" s="35">
        <v>15.98900002622926</v>
      </c>
      <c r="L6371" s="35">
        <v>54.438801744785664</v>
      </c>
      <c r="M6371" s="58" t="s">
        <v>22</v>
      </c>
      <c r="N6371" s="7">
        <v>11.333333333333334</v>
      </c>
      <c r="O6371" s="7" t="s">
        <v>178</v>
      </c>
      <c r="P6371" s="7" t="s">
        <v>178</v>
      </c>
    </row>
    <row r="6372" spans="1:16" x14ac:dyDescent="0.25">
      <c r="A6372" t="s">
        <v>183</v>
      </c>
      <c r="B6372" t="s">
        <v>232</v>
      </c>
      <c r="C6372" s="7" t="s">
        <v>173</v>
      </c>
      <c r="D6372" t="s">
        <v>109</v>
      </c>
      <c r="F6372" s="35">
        <v>0.29999999999999988</v>
      </c>
      <c r="G6372" s="35">
        <v>-36.21109952200333</v>
      </c>
      <c r="H6372" s="35">
        <v>25.724627088061833</v>
      </c>
      <c r="I6372" s="35">
        <v>2.6613434085929919</v>
      </c>
      <c r="J6372" s="35">
        <v>1.1198972390233485E-3</v>
      </c>
      <c r="K6372" s="35">
        <v>15.190597003651364</v>
      </c>
      <c r="L6372" s="35">
        <v>46.542808618367118</v>
      </c>
      <c r="M6372" s="58" t="s">
        <v>22</v>
      </c>
      <c r="N6372" s="7">
        <v>11.333333333333334</v>
      </c>
      <c r="O6372" s="7" t="s">
        <v>178</v>
      </c>
      <c r="P6372" s="7" t="s">
        <v>178</v>
      </c>
    </row>
    <row r="6373" spans="1:16" x14ac:dyDescent="0.25">
      <c r="A6373" t="s">
        <v>183</v>
      </c>
      <c r="B6373" t="s">
        <v>232</v>
      </c>
      <c r="C6373" s="7" t="s">
        <v>173</v>
      </c>
      <c r="D6373" t="s">
        <v>109</v>
      </c>
      <c r="F6373" s="35">
        <v>0.29999999999999988</v>
      </c>
      <c r="G6373" s="35">
        <v>23.651811415984366</v>
      </c>
      <c r="H6373" s="35">
        <v>22.179826677813313</v>
      </c>
      <c r="I6373" s="35">
        <v>2.6613434085929937</v>
      </c>
      <c r="J6373" s="35">
        <v>5.2138548391292337E-4</v>
      </c>
      <c r="K6373" s="35">
        <v>15.190561092946057</v>
      </c>
      <c r="L6373" s="35">
        <v>46.542808618367111</v>
      </c>
      <c r="M6373" s="58" t="s">
        <v>22</v>
      </c>
      <c r="N6373" s="7">
        <v>11.333333333333334</v>
      </c>
      <c r="O6373" s="7" t="s">
        <v>178</v>
      </c>
      <c r="P6373" s="7" t="s">
        <v>178</v>
      </c>
    </row>
    <row r="6374" spans="1:16" x14ac:dyDescent="0.25">
      <c r="A6374" t="s">
        <v>183</v>
      </c>
      <c r="B6374" t="s">
        <v>232</v>
      </c>
      <c r="C6374" s="7" t="s">
        <v>173</v>
      </c>
      <c r="D6374" t="s">
        <v>109</v>
      </c>
      <c r="F6374" s="35">
        <v>5.3</v>
      </c>
      <c r="G6374" s="35">
        <v>26.383386415984369</v>
      </c>
      <c r="H6374" s="35">
        <v>2.33482667781331</v>
      </c>
      <c r="I6374" s="35">
        <v>2.6613434085929937</v>
      </c>
      <c r="J6374" s="35">
        <v>5.2138548391292337E-4</v>
      </c>
      <c r="K6374" s="35">
        <v>1.883844049981086</v>
      </c>
      <c r="L6374" s="35">
        <v>-14.743824770699435</v>
      </c>
      <c r="M6374" s="58" t="s">
        <v>24</v>
      </c>
      <c r="N6374" s="7">
        <v>11.333333333333334</v>
      </c>
      <c r="O6374" s="7" t="s">
        <v>178</v>
      </c>
      <c r="P6374" s="7" t="s">
        <v>178</v>
      </c>
    </row>
    <row r="6375" spans="1:16" x14ac:dyDescent="0.25">
      <c r="A6375" t="s">
        <v>183</v>
      </c>
      <c r="B6375" t="s">
        <v>232</v>
      </c>
      <c r="C6375" s="7" t="s">
        <v>173</v>
      </c>
      <c r="D6375" t="s">
        <v>109</v>
      </c>
      <c r="F6375" s="35">
        <v>5.3</v>
      </c>
      <c r="G6375" s="35">
        <v>-26.360708488547871</v>
      </c>
      <c r="H6375" s="35">
        <v>9.5454668014312283</v>
      </c>
      <c r="I6375" s="35">
        <v>2.6612890185464875</v>
      </c>
      <c r="J6375" s="35">
        <v>8.1741363014668344E-4</v>
      </c>
      <c r="K6375" s="35">
        <v>1.8846902734158604</v>
      </c>
      <c r="L6375" s="35">
        <v>-14.743824770699423</v>
      </c>
      <c r="M6375" s="58" t="s">
        <v>24</v>
      </c>
      <c r="N6375" s="7">
        <v>11.333333333333334</v>
      </c>
      <c r="O6375" s="7" t="s">
        <v>178</v>
      </c>
      <c r="P6375" s="7" t="s">
        <v>178</v>
      </c>
    </row>
    <row r="6376" spans="1:16" x14ac:dyDescent="0.25">
      <c r="A6376" t="s">
        <v>183</v>
      </c>
      <c r="B6376" t="s">
        <v>232</v>
      </c>
      <c r="C6376" s="7" t="s">
        <v>173</v>
      </c>
      <c r="D6376" t="s">
        <v>109</v>
      </c>
      <c r="F6376" s="35">
        <v>5.5393224575487361</v>
      </c>
      <c r="G6376" s="35">
        <v>-26.229963040152132</v>
      </c>
      <c r="H6376" s="35">
        <v>8.5955959674202944</v>
      </c>
      <c r="I6376" s="35">
        <v>2.6612890185464875</v>
      </c>
      <c r="J6376" s="35">
        <v>8.1741363014668344E-4</v>
      </c>
      <c r="K6376" s="35">
        <v>1.2477840452498514</v>
      </c>
      <c r="L6376" s="35">
        <v>-16.914606632893133</v>
      </c>
      <c r="M6376" s="58" t="s">
        <v>24</v>
      </c>
      <c r="N6376" s="7">
        <v>11.333333333333334</v>
      </c>
      <c r="O6376" s="7" t="s">
        <v>178</v>
      </c>
      <c r="P6376" s="7" t="s">
        <v>178</v>
      </c>
    </row>
    <row r="6377" spans="1:16" x14ac:dyDescent="0.25">
      <c r="A6377" t="s">
        <v>183</v>
      </c>
      <c r="B6377" t="s">
        <v>232</v>
      </c>
      <c r="C6377" s="7" t="s">
        <v>173</v>
      </c>
      <c r="D6377" t="s">
        <v>109</v>
      </c>
      <c r="F6377" s="35">
        <v>11.078644915097472</v>
      </c>
      <c r="G6377" s="35">
        <v>-23.203748091756399</v>
      </c>
      <c r="H6377" s="35">
        <v>-13.38997486659064</v>
      </c>
      <c r="I6377" s="35">
        <v>2.6612890185464875</v>
      </c>
      <c r="J6377" s="35">
        <v>8.1741363014668344E-4</v>
      </c>
      <c r="K6377" s="35">
        <v>-13.493953981212542</v>
      </c>
      <c r="L6377" s="35">
        <v>-3.6358012798070862</v>
      </c>
      <c r="M6377" s="58" t="s">
        <v>23</v>
      </c>
      <c r="N6377" s="7">
        <v>11.333333333333334</v>
      </c>
      <c r="O6377" s="7" t="s">
        <v>178</v>
      </c>
      <c r="P6377" s="7" t="s">
        <v>178</v>
      </c>
    </row>
    <row r="6378" spans="1:16" x14ac:dyDescent="0.25">
      <c r="A6378" t="s">
        <v>183</v>
      </c>
      <c r="B6378" t="s">
        <v>232</v>
      </c>
      <c r="C6378" s="7" t="s">
        <v>173</v>
      </c>
      <c r="D6378" t="s">
        <v>110</v>
      </c>
      <c r="F6378" s="35">
        <v>0</v>
      </c>
      <c r="G6378" s="35">
        <v>14.04918803195539</v>
      </c>
      <c r="H6378" s="35">
        <v>42.390921550066814</v>
      </c>
      <c r="I6378" s="35">
        <v>-1.186978756687552</v>
      </c>
      <c r="J6378" s="35">
        <v>9.8712477361045784E-4</v>
      </c>
      <c r="K6378" s="35">
        <v>-7.1291092791845907</v>
      </c>
      <c r="L6378" s="35">
        <v>84.635898031290012</v>
      </c>
      <c r="M6378" s="58" t="s">
        <v>22</v>
      </c>
      <c r="N6378" s="7">
        <v>11.333333333333334</v>
      </c>
      <c r="O6378" s="7" t="s">
        <v>178</v>
      </c>
      <c r="P6378" s="7" t="s">
        <v>178</v>
      </c>
    </row>
    <row r="6379" spans="1:16" x14ac:dyDescent="0.25">
      <c r="A6379" t="s">
        <v>183</v>
      </c>
      <c r="B6379" t="s">
        <v>232</v>
      </c>
      <c r="C6379" s="7" t="s">
        <v>173</v>
      </c>
      <c r="D6379" t="s">
        <v>110</v>
      </c>
      <c r="F6379" s="35">
        <v>0.29999999999999988</v>
      </c>
      <c r="G6379" s="35">
        <v>14.213082531955392</v>
      </c>
      <c r="H6379" s="35">
        <v>40.406421550066817</v>
      </c>
      <c r="I6379" s="35">
        <v>-1.186978756687552</v>
      </c>
      <c r="J6379" s="35">
        <v>9.8712477361045784E-4</v>
      </c>
      <c r="K6379" s="35">
        <v>-6.7730156521783256</v>
      </c>
      <c r="L6379" s="35">
        <v>72.216296566269975</v>
      </c>
      <c r="M6379" s="58" t="s">
        <v>22</v>
      </c>
      <c r="N6379" s="7">
        <v>11.333333333333334</v>
      </c>
      <c r="O6379" s="7" t="s">
        <v>178</v>
      </c>
      <c r="P6379" s="7" t="s">
        <v>178</v>
      </c>
    </row>
    <row r="6380" spans="1:16" x14ac:dyDescent="0.25">
      <c r="A6380" t="s">
        <v>183</v>
      </c>
      <c r="B6380" t="s">
        <v>232</v>
      </c>
      <c r="C6380" s="7" t="s">
        <v>173</v>
      </c>
      <c r="D6380" t="s">
        <v>110</v>
      </c>
      <c r="F6380" s="35">
        <v>0.29999999999999988</v>
      </c>
      <c r="G6380" s="35">
        <v>103.65277514466642</v>
      </c>
      <c r="H6380" s="35">
        <v>35.087014239334948</v>
      </c>
      <c r="I6380" s="35">
        <v>-1.1869787566875443</v>
      </c>
      <c r="J6380" s="35">
        <v>7.9277321103714336E-4</v>
      </c>
      <c r="K6380" s="35">
        <v>-6.773027313272082</v>
      </c>
      <c r="L6380" s="35">
        <v>72.216296566269961</v>
      </c>
      <c r="M6380" s="58" t="s">
        <v>22</v>
      </c>
      <c r="N6380" s="7">
        <v>11.333333333333334</v>
      </c>
      <c r="O6380" s="7" t="s">
        <v>178</v>
      </c>
      <c r="P6380" s="7" t="s">
        <v>178</v>
      </c>
    </row>
    <row r="6381" spans="1:16" x14ac:dyDescent="0.25">
      <c r="A6381" t="s">
        <v>183</v>
      </c>
      <c r="B6381" t="s">
        <v>232</v>
      </c>
      <c r="C6381" s="7" t="s">
        <v>173</v>
      </c>
      <c r="D6381" t="s">
        <v>110</v>
      </c>
      <c r="F6381" s="35">
        <v>5.3</v>
      </c>
      <c r="G6381" s="35">
        <v>106.38435014466643</v>
      </c>
      <c r="H6381" s="35">
        <v>2.0120142393349414</v>
      </c>
      <c r="I6381" s="35">
        <v>-1.1869787566875443</v>
      </c>
      <c r="J6381" s="35">
        <v>7.9277321103714336E-4</v>
      </c>
      <c r="K6381" s="35">
        <v>-0.83813352983436185</v>
      </c>
      <c r="L6381" s="35">
        <v>-20.531274630404749</v>
      </c>
      <c r="M6381" s="58" t="s">
        <v>24</v>
      </c>
      <c r="N6381" s="7">
        <v>11.333333333333334</v>
      </c>
      <c r="O6381" s="7" t="s">
        <v>178</v>
      </c>
      <c r="P6381" s="7" t="s">
        <v>178</v>
      </c>
    </row>
    <row r="6382" spans="1:16" x14ac:dyDescent="0.25">
      <c r="A6382" t="s">
        <v>183</v>
      </c>
      <c r="B6382" t="s">
        <v>232</v>
      </c>
      <c r="C6382" s="7" t="s">
        <v>173</v>
      </c>
      <c r="D6382" t="s">
        <v>110</v>
      </c>
      <c r="F6382" s="35">
        <v>5.3</v>
      </c>
      <c r="G6382" s="35">
        <v>26.166143034059395</v>
      </c>
      <c r="H6382" s="35">
        <v>16.568424421787721</v>
      </c>
      <c r="I6382" s="35">
        <v>-1.1868044989653377</v>
      </c>
      <c r="J6382" s="35">
        <v>5.9698335801611647E-4</v>
      </c>
      <c r="K6382" s="35">
        <v>-0.83812552040016841</v>
      </c>
      <c r="L6382" s="35">
        <v>-20.531274630404738</v>
      </c>
      <c r="M6382" s="58" t="s">
        <v>24</v>
      </c>
      <c r="N6382" s="7">
        <v>11.333333333333334</v>
      </c>
      <c r="O6382" s="7" t="s">
        <v>178</v>
      </c>
      <c r="P6382" s="7" t="s">
        <v>178</v>
      </c>
    </row>
    <row r="6383" spans="1:16" x14ac:dyDescent="0.25">
      <c r="A6383" t="s">
        <v>183</v>
      </c>
      <c r="B6383" t="s">
        <v>232</v>
      </c>
      <c r="C6383" s="7" t="s">
        <v>173</v>
      </c>
      <c r="D6383" t="s">
        <v>110</v>
      </c>
      <c r="F6383" s="35">
        <v>5.5393224575487361</v>
      </c>
      <c r="G6383" s="35">
        <v>26.296888482455135</v>
      </c>
      <c r="H6383" s="35">
        <v>14.985306365102833</v>
      </c>
      <c r="I6383" s="35">
        <v>-1.1868044989653377</v>
      </c>
      <c r="J6383" s="35">
        <v>5.9698335801611647E-4</v>
      </c>
      <c r="K6383" s="35">
        <v>-0.55409655107788724</v>
      </c>
      <c r="L6383" s="35">
        <v>-24.307032828779668</v>
      </c>
      <c r="M6383" s="58" t="s">
        <v>24</v>
      </c>
      <c r="N6383" s="7">
        <v>11.333333333333334</v>
      </c>
      <c r="O6383" s="7" t="s">
        <v>178</v>
      </c>
      <c r="P6383" s="7" t="s">
        <v>178</v>
      </c>
    </row>
    <row r="6384" spans="1:16" x14ac:dyDescent="0.25">
      <c r="A6384" t="s">
        <v>183</v>
      </c>
      <c r="B6384" t="s">
        <v>232</v>
      </c>
      <c r="C6384" s="7" t="s">
        <v>173</v>
      </c>
      <c r="D6384" t="s">
        <v>110</v>
      </c>
      <c r="F6384" s="35">
        <v>11.078644915097472</v>
      </c>
      <c r="G6384" s="35">
        <v>29.323103430850871</v>
      </c>
      <c r="H6384" s="35">
        <v>-21.657311691582063</v>
      </c>
      <c r="I6384" s="35">
        <v>-1.1868044989653377</v>
      </c>
      <c r="J6384" s="35">
        <v>5.9698335801611647E-4</v>
      </c>
      <c r="K6384" s="35">
        <v>6.0199962627606842</v>
      </c>
      <c r="L6384" s="35">
        <v>-5.8278383578540716</v>
      </c>
      <c r="M6384" s="58" t="s">
        <v>23</v>
      </c>
      <c r="N6384" s="7">
        <v>11.333333333333334</v>
      </c>
      <c r="O6384" s="7" t="s">
        <v>178</v>
      </c>
      <c r="P6384" s="7" t="s">
        <v>178</v>
      </c>
    </row>
    <row r="6385" spans="1:16" x14ac:dyDescent="0.25">
      <c r="A6385" t="s">
        <v>183</v>
      </c>
      <c r="B6385" t="s">
        <v>232</v>
      </c>
      <c r="C6385" s="7" t="s">
        <v>173</v>
      </c>
      <c r="D6385" t="s">
        <v>111</v>
      </c>
      <c r="F6385" s="35">
        <v>0</v>
      </c>
      <c r="G6385" s="35">
        <v>-7.6728108903572743</v>
      </c>
      <c r="H6385" s="35">
        <v>25.975659501597956</v>
      </c>
      <c r="I6385" s="35">
        <v>-2.7548235185529668</v>
      </c>
      <c r="J6385" s="35">
        <v>1.1541867183074363E-3</v>
      </c>
      <c r="K6385" s="35">
        <v>-16.405920815327178</v>
      </c>
      <c r="L6385" s="35">
        <v>52.150663485503799</v>
      </c>
      <c r="M6385" s="58" t="s">
        <v>22</v>
      </c>
      <c r="N6385" s="7">
        <v>11.333333333333334</v>
      </c>
      <c r="O6385" s="7" t="s">
        <v>178</v>
      </c>
      <c r="P6385" s="7" t="s">
        <v>178</v>
      </c>
    </row>
    <row r="6386" spans="1:16" x14ac:dyDescent="0.25">
      <c r="A6386" t="s">
        <v>183</v>
      </c>
      <c r="B6386" t="s">
        <v>232</v>
      </c>
      <c r="C6386" s="7" t="s">
        <v>173</v>
      </c>
      <c r="D6386" t="s">
        <v>111</v>
      </c>
      <c r="F6386" s="35">
        <v>0.29999999999999988</v>
      </c>
      <c r="G6386" s="35">
        <v>-7.508916390357272</v>
      </c>
      <c r="H6386" s="35">
        <v>24.784959501597957</v>
      </c>
      <c r="I6386" s="35">
        <v>-2.7548235185529668</v>
      </c>
      <c r="J6386" s="35">
        <v>1.1541867183074363E-3</v>
      </c>
      <c r="K6386" s="35">
        <v>-15.579473759761287</v>
      </c>
      <c r="L6386" s="35">
        <v>44.536570635024418</v>
      </c>
      <c r="M6386" s="58" t="s">
        <v>22</v>
      </c>
      <c r="N6386" s="7">
        <v>11.333333333333334</v>
      </c>
      <c r="O6386" s="7" t="s">
        <v>178</v>
      </c>
      <c r="P6386" s="7" t="s">
        <v>178</v>
      </c>
    </row>
    <row r="6387" spans="1:16" x14ac:dyDescent="0.25">
      <c r="A6387" t="s">
        <v>183</v>
      </c>
      <c r="B6387" t="s">
        <v>232</v>
      </c>
      <c r="C6387" s="7" t="s">
        <v>173</v>
      </c>
      <c r="D6387" t="s">
        <v>111</v>
      </c>
      <c r="F6387" s="35">
        <v>0.29999999999999988</v>
      </c>
      <c r="G6387" s="35">
        <v>48.855499215827273</v>
      </c>
      <c r="H6387" s="35">
        <v>21.450068811257548</v>
      </c>
      <c r="I6387" s="35">
        <v>-2.7548235185529513</v>
      </c>
      <c r="J6387" s="35">
        <v>8.7628932193764672E-4</v>
      </c>
      <c r="K6387" s="35">
        <v>-15.579490433605081</v>
      </c>
      <c r="L6387" s="35">
        <v>44.536570635024425</v>
      </c>
      <c r="M6387" s="58" t="s">
        <v>22</v>
      </c>
      <c r="N6387" s="7">
        <v>11.333333333333334</v>
      </c>
      <c r="O6387" s="7" t="s">
        <v>178</v>
      </c>
      <c r="P6387" s="7" t="s">
        <v>178</v>
      </c>
    </row>
    <row r="6388" spans="1:16" x14ac:dyDescent="0.25">
      <c r="A6388" t="s">
        <v>183</v>
      </c>
      <c r="B6388" t="s">
        <v>232</v>
      </c>
      <c r="C6388" s="7" t="s">
        <v>173</v>
      </c>
      <c r="D6388" t="s">
        <v>111</v>
      </c>
      <c r="F6388" s="35">
        <v>5.3</v>
      </c>
      <c r="G6388" s="35">
        <v>51.587074215827272</v>
      </c>
      <c r="H6388" s="35">
        <v>1.605068811257544</v>
      </c>
      <c r="I6388" s="35">
        <v>-2.7548235185529513</v>
      </c>
      <c r="J6388" s="35">
        <v>8.7628932193764672E-4</v>
      </c>
      <c r="K6388" s="35">
        <v>-1.8053728408403227</v>
      </c>
      <c r="L6388" s="35">
        <v>-13.101273421263286</v>
      </c>
      <c r="M6388" s="58" t="s">
        <v>24</v>
      </c>
      <c r="N6388" s="7">
        <v>11.333333333333334</v>
      </c>
      <c r="O6388" s="7" t="s">
        <v>178</v>
      </c>
      <c r="P6388" s="7" t="s">
        <v>178</v>
      </c>
    </row>
    <row r="6389" spans="1:16" x14ac:dyDescent="0.25">
      <c r="A6389" t="s">
        <v>183</v>
      </c>
      <c r="B6389" t="s">
        <v>232</v>
      </c>
      <c r="C6389" s="7" t="s">
        <v>173</v>
      </c>
      <c r="D6389" t="s">
        <v>111</v>
      </c>
      <c r="F6389" s="35">
        <v>5.3</v>
      </c>
      <c r="G6389" s="35">
        <v>2.0010994578778623</v>
      </c>
      <c r="H6389" s="35">
        <v>9.8177043157176431</v>
      </c>
      <c r="I6389" s="35">
        <v>-2.7545554199684466</v>
      </c>
      <c r="J6389" s="35">
        <v>5.0667232331462508E-4</v>
      </c>
      <c r="K6389" s="35">
        <v>-1.8050810241221809</v>
      </c>
      <c r="L6389" s="35">
        <v>-13.101273421263281</v>
      </c>
      <c r="M6389" s="58" t="s">
        <v>24</v>
      </c>
      <c r="N6389" s="7">
        <v>11.333333333333334</v>
      </c>
      <c r="O6389" s="7" t="s">
        <v>178</v>
      </c>
      <c r="P6389" s="7" t="s">
        <v>178</v>
      </c>
    </row>
    <row r="6390" spans="1:16" x14ac:dyDescent="0.25">
      <c r="A6390" t="s">
        <v>183</v>
      </c>
      <c r="B6390" t="s">
        <v>232</v>
      </c>
      <c r="C6390" s="7" t="s">
        <v>173</v>
      </c>
      <c r="D6390" t="s">
        <v>111</v>
      </c>
      <c r="F6390" s="35">
        <v>5.5393224575487361</v>
      </c>
      <c r="G6390" s="35">
        <v>2.1318449062735993</v>
      </c>
      <c r="H6390" s="35">
        <v>8.8678334817067093</v>
      </c>
      <c r="I6390" s="35">
        <v>-2.7545554199684466</v>
      </c>
      <c r="J6390" s="35">
        <v>5.0667232331462508E-4</v>
      </c>
      <c r="K6390" s="35">
        <v>-1.1458540515611413</v>
      </c>
      <c r="L6390" s="35">
        <v>-15.337207834412979</v>
      </c>
      <c r="M6390" s="58" t="s">
        <v>24</v>
      </c>
      <c r="N6390" s="7">
        <v>11.333333333333334</v>
      </c>
      <c r="O6390" s="7" t="s">
        <v>178</v>
      </c>
      <c r="P6390" s="7" t="s">
        <v>178</v>
      </c>
    </row>
    <row r="6391" spans="1:16" x14ac:dyDescent="0.25">
      <c r="A6391" t="s">
        <v>183</v>
      </c>
      <c r="B6391" t="s">
        <v>232</v>
      </c>
      <c r="C6391" s="7" t="s">
        <v>173</v>
      </c>
      <c r="D6391" t="s">
        <v>111</v>
      </c>
      <c r="F6391" s="35">
        <v>11.078644915097472</v>
      </c>
      <c r="G6391" s="35">
        <v>5.158059854669335</v>
      </c>
      <c r="H6391" s="35">
        <v>-13.117737352304225</v>
      </c>
      <c r="I6391" s="35">
        <v>-2.7545554199684466</v>
      </c>
      <c r="J6391" s="35">
        <v>5.0667232331462508E-4</v>
      </c>
      <c r="K6391" s="35">
        <v>14.112516646832667</v>
      </c>
      <c r="L6391" s="35">
        <v>-3.5664138580009181</v>
      </c>
      <c r="M6391" s="58" t="s">
        <v>23</v>
      </c>
      <c r="N6391" s="7">
        <v>11.333333333333334</v>
      </c>
      <c r="O6391" s="7" t="s">
        <v>178</v>
      </c>
      <c r="P6391" s="7" t="s">
        <v>178</v>
      </c>
    </row>
    <row r="6392" spans="1:16" x14ac:dyDescent="0.25">
      <c r="A6392" t="s">
        <v>183</v>
      </c>
      <c r="B6392" t="s">
        <v>232</v>
      </c>
      <c r="C6392" s="7" t="s">
        <v>173</v>
      </c>
      <c r="D6392" t="s">
        <v>112</v>
      </c>
      <c r="F6392" s="35">
        <v>0</v>
      </c>
      <c r="G6392" s="35">
        <v>-8.659480666464022</v>
      </c>
      <c r="H6392" s="35">
        <v>26.331987526586886</v>
      </c>
      <c r="I6392" s="35">
        <v>-3.0882187661625052E-2</v>
      </c>
      <c r="J6392" s="35">
        <v>1.7645482530396353E-4</v>
      </c>
      <c r="K6392" s="35">
        <v>-0.15165615421453291</v>
      </c>
      <c r="L6392" s="35">
        <v>57.541062789032203</v>
      </c>
      <c r="M6392" s="58" t="s">
        <v>22</v>
      </c>
      <c r="N6392" s="7">
        <v>11.333333333333334</v>
      </c>
      <c r="O6392" s="7" t="s">
        <v>178</v>
      </c>
      <c r="P6392" s="7" t="s">
        <v>178</v>
      </c>
    </row>
    <row r="6393" spans="1:16" x14ac:dyDescent="0.25">
      <c r="A6393" t="s">
        <v>183</v>
      </c>
      <c r="B6393" t="s">
        <v>232</v>
      </c>
      <c r="C6393" s="7" t="s">
        <v>173</v>
      </c>
      <c r="D6393" t="s">
        <v>112</v>
      </c>
      <c r="F6393" s="35">
        <v>0.29999999999999988</v>
      </c>
      <c r="G6393" s="35">
        <v>-8.4955861664640206</v>
      </c>
      <c r="H6393" s="35">
        <v>25.413447526586886</v>
      </c>
      <c r="I6393" s="35">
        <v>-3.0882187661625052E-2</v>
      </c>
      <c r="J6393" s="35">
        <v>1.7645482530396353E-4</v>
      </c>
      <c r="K6393" s="35">
        <v>-0.14239149791604541</v>
      </c>
      <c r="L6393" s="35">
        <v>49.779247531056143</v>
      </c>
      <c r="M6393" s="58" t="s">
        <v>22</v>
      </c>
      <c r="N6393" s="7">
        <v>11.333333333333334</v>
      </c>
      <c r="O6393" s="7" t="s">
        <v>178</v>
      </c>
      <c r="P6393" s="7" t="s">
        <v>178</v>
      </c>
    </row>
    <row r="6394" spans="1:16" x14ac:dyDescent="0.25">
      <c r="A6394" t="s">
        <v>183</v>
      </c>
      <c r="B6394" t="s">
        <v>232</v>
      </c>
      <c r="C6394" s="7" t="s">
        <v>173</v>
      </c>
      <c r="D6394" t="s">
        <v>112</v>
      </c>
      <c r="F6394" s="35">
        <v>0.29999999999999988</v>
      </c>
      <c r="G6394" s="35">
        <v>58.590298547094648</v>
      </c>
      <c r="H6394" s="35">
        <v>21.435268689804019</v>
      </c>
      <c r="I6394" s="35">
        <v>-3.0882187661625048E-2</v>
      </c>
      <c r="J6394" s="35">
        <v>-1.8928822597983851E-4</v>
      </c>
      <c r="K6394" s="35">
        <v>-0.14241344249912247</v>
      </c>
      <c r="L6394" s="35">
        <v>49.779247531056143</v>
      </c>
      <c r="M6394" s="58" t="s">
        <v>22</v>
      </c>
      <c r="N6394" s="7">
        <v>11.333333333333334</v>
      </c>
      <c r="O6394" s="7" t="s">
        <v>178</v>
      </c>
      <c r="P6394" s="7" t="s">
        <v>178</v>
      </c>
    </row>
    <row r="6395" spans="1:16" x14ac:dyDescent="0.25">
      <c r="A6395" t="s">
        <v>183</v>
      </c>
      <c r="B6395" t="s">
        <v>232</v>
      </c>
      <c r="C6395" s="7" t="s">
        <v>173</v>
      </c>
      <c r="D6395" t="s">
        <v>112</v>
      </c>
      <c r="F6395" s="35">
        <v>5.3</v>
      </c>
      <c r="G6395" s="35">
        <v>61.321873547094654</v>
      </c>
      <c r="H6395" s="35">
        <v>6.1262686898040162</v>
      </c>
      <c r="I6395" s="35">
        <v>-3.0882187661625048E-2</v>
      </c>
      <c r="J6395" s="35">
        <v>-1.8928822597983851E-4</v>
      </c>
      <c r="K6395" s="35">
        <v>1.1997495809002797E-2</v>
      </c>
      <c r="L6395" s="35">
        <v>-19.124595917963941</v>
      </c>
      <c r="M6395" s="58" t="s">
        <v>24</v>
      </c>
      <c r="N6395" s="7">
        <v>11.333333333333334</v>
      </c>
      <c r="O6395" s="7" t="s">
        <v>178</v>
      </c>
      <c r="P6395" s="7" t="s">
        <v>178</v>
      </c>
    </row>
    <row r="6396" spans="1:16" x14ac:dyDescent="0.25">
      <c r="A6396" t="s">
        <v>183</v>
      </c>
      <c r="B6396" t="s">
        <v>232</v>
      </c>
      <c r="C6396" s="7" t="s">
        <v>173</v>
      </c>
      <c r="D6396" t="s">
        <v>112</v>
      </c>
      <c r="F6396" s="35">
        <v>5.3</v>
      </c>
      <c r="G6396" s="35">
        <v>5.8122214716265796</v>
      </c>
      <c r="H6396" s="35">
        <v>6.0824699466017726</v>
      </c>
      <c r="I6396" s="35">
        <v>-3.075724550936788E-2</v>
      </c>
      <c r="J6396" s="35">
        <v>-2.6330564845990397E-4</v>
      </c>
      <c r="K6396" s="35">
        <v>1.2276120446510967E-2</v>
      </c>
      <c r="L6396" s="35">
        <v>-19.124595917963948</v>
      </c>
      <c r="M6396" s="58" t="s">
        <v>24</v>
      </c>
      <c r="N6396" s="7">
        <v>11.333333333333334</v>
      </c>
      <c r="O6396" s="7" t="s">
        <v>178</v>
      </c>
      <c r="P6396" s="7" t="s">
        <v>178</v>
      </c>
    </row>
    <row r="6397" spans="1:16" x14ac:dyDescent="0.25">
      <c r="A6397" t="s">
        <v>183</v>
      </c>
      <c r="B6397" t="s">
        <v>232</v>
      </c>
      <c r="C6397" s="7" t="s">
        <v>173</v>
      </c>
      <c r="D6397" t="s">
        <v>112</v>
      </c>
      <c r="F6397" s="35">
        <v>5.5393224575487361</v>
      </c>
      <c r="G6397" s="35">
        <v>5.9429669200223172</v>
      </c>
      <c r="H6397" s="35">
        <v>5.3497124460790531</v>
      </c>
      <c r="I6397" s="35">
        <v>-3.075724550936788E-2</v>
      </c>
      <c r="J6397" s="35">
        <v>-2.6330564845990397E-4</v>
      </c>
      <c r="K6397" s="35">
        <v>1.9637020029242711E-2</v>
      </c>
      <c r="L6397" s="35">
        <v>-20.492584910644833</v>
      </c>
      <c r="M6397" s="58" t="s">
        <v>24</v>
      </c>
      <c r="N6397" s="7">
        <v>11.333333333333334</v>
      </c>
      <c r="O6397" s="7" t="s">
        <v>178</v>
      </c>
      <c r="P6397" s="7" t="s">
        <v>178</v>
      </c>
    </row>
    <row r="6398" spans="1:16" x14ac:dyDescent="0.25">
      <c r="A6398" t="s">
        <v>183</v>
      </c>
      <c r="B6398" t="s">
        <v>232</v>
      </c>
      <c r="C6398" s="7" t="s">
        <v>173</v>
      </c>
      <c r="D6398" t="s">
        <v>112</v>
      </c>
      <c r="F6398" s="35">
        <v>11.078644915097472</v>
      </c>
      <c r="G6398" s="35">
        <v>8.9691818684180529</v>
      </c>
      <c r="H6398" s="35">
        <v>-11.610585054443671</v>
      </c>
      <c r="I6398" s="35">
        <v>-3.075724550936788E-2</v>
      </c>
      <c r="J6398" s="35">
        <v>-2.6330564845990397E-4</v>
      </c>
      <c r="K6398" s="35">
        <v>0.19001132081162425</v>
      </c>
      <c r="L6398" s="35">
        <v>-3.1520887889618892</v>
      </c>
      <c r="M6398" s="58" t="s">
        <v>23</v>
      </c>
      <c r="N6398" s="7">
        <v>11.333333333333334</v>
      </c>
      <c r="O6398" s="7" t="s">
        <v>178</v>
      </c>
      <c r="P6398" s="7" t="s">
        <v>178</v>
      </c>
    </row>
    <row r="6399" spans="1:16" x14ac:dyDescent="0.25">
      <c r="A6399" t="s">
        <v>183</v>
      </c>
      <c r="B6399" t="s">
        <v>232</v>
      </c>
      <c r="C6399" s="7" t="s">
        <v>173</v>
      </c>
      <c r="D6399" t="s">
        <v>113</v>
      </c>
      <c r="F6399" s="35">
        <v>0</v>
      </c>
      <c r="G6399" s="35">
        <v>-24.420412809992779</v>
      </c>
      <c r="H6399" s="35">
        <v>11.497564929407297</v>
      </c>
      <c r="I6399" s="35">
        <v>-3.1879556154416878E-2</v>
      </c>
      <c r="J6399" s="35">
        <v>-4.02574524391236E-4</v>
      </c>
      <c r="K6399" s="35">
        <v>-0.14934043109562589</v>
      </c>
      <c r="L6399" s="35">
        <v>28.104740883375911</v>
      </c>
      <c r="M6399" s="58" t="s">
        <v>22</v>
      </c>
      <c r="N6399" s="7">
        <v>11.333333333333334</v>
      </c>
      <c r="O6399" s="7" t="s">
        <v>178</v>
      </c>
      <c r="P6399" s="7" t="s">
        <v>178</v>
      </c>
    </row>
    <row r="6400" spans="1:16" x14ac:dyDescent="0.25">
      <c r="A6400" t="s">
        <v>183</v>
      </c>
      <c r="B6400" t="s">
        <v>232</v>
      </c>
      <c r="C6400" s="7" t="s">
        <v>173</v>
      </c>
      <c r="D6400" t="s">
        <v>113</v>
      </c>
      <c r="F6400" s="35">
        <v>0.29999999999999988</v>
      </c>
      <c r="G6400" s="35">
        <v>-24.256518309992778</v>
      </c>
      <c r="H6400" s="35">
        <v>11.293444929407299</v>
      </c>
      <c r="I6400" s="35">
        <v>-3.1879556154416878E-2</v>
      </c>
      <c r="J6400" s="35">
        <v>-4.02574524391236E-4</v>
      </c>
      <c r="K6400" s="35">
        <v>-0.13977656424930085</v>
      </c>
      <c r="L6400" s="35">
        <v>24.686089404553723</v>
      </c>
      <c r="M6400" s="58" t="s">
        <v>22</v>
      </c>
      <c r="N6400" s="7">
        <v>11.333333333333334</v>
      </c>
      <c r="O6400" s="7" t="s">
        <v>178</v>
      </c>
      <c r="P6400" s="7" t="s">
        <v>178</v>
      </c>
    </row>
    <row r="6401" spans="1:16" x14ac:dyDescent="0.25">
      <c r="A6401" t="s">
        <v>183</v>
      </c>
      <c r="B6401" t="s">
        <v>232</v>
      </c>
      <c r="C6401" s="7" t="s">
        <v>173</v>
      </c>
      <c r="D6401" t="s">
        <v>113</v>
      </c>
      <c r="F6401" s="35">
        <v>0.29999999999999988</v>
      </c>
      <c r="G6401" s="35">
        <v>13.554227777550711</v>
      </c>
      <c r="H6401" s="35">
        <v>9.0717744101854141</v>
      </c>
      <c r="I6401" s="35">
        <v>-3.1879556154417107E-2</v>
      </c>
      <c r="J6401" s="35">
        <v>-4.2772852891108886E-4</v>
      </c>
      <c r="K6401" s="35">
        <v>-0.13977807348957208</v>
      </c>
      <c r="L6401" s="35">
        <v>24.686089404553723</v>
      </c>
      <c r="M6401" s="58" t="s">
        <v>22</v>
      </c>
      <c r="N6401" s="7">
        <v>11.333333333333334</v>
      </c>
      <c r="O6401" s="7" t="s">
        <v>178</v>
      </c>
      <c r="P6401" s="7" t="s">
        <v>178</v>
      </c>
    </row>
    <row r="6402" spans="1:16" x14ac:dyDescent="0.25">
      <c r="A6402" t="s">
        <v>183</v>
      </c>
      <c r="B6402" t="s">
        <v>232</v>
      </c>
      <c r="C6402" s="7" t="s">
        <v>173</v>
      </c>
      <c r="D6402" t="s">
        <v>113</v>
      </c>
      <c r="F6402" s="35">
        <v>5.3</v>
      </c>
      <c r="G6402" s="35">
        <v>16.28580277755071</v>
      </c>
      <c r="H6402" s="35">
        <v>5.6697744101854148</v>
      </c>
      <c r="I6402" s="35">
        <v>-3.1879556154417107E-2</v>
      </c>
      <c r="J6402" s="35">
        <v>-4.2772852891108886E-4</v>
      </c>
      <c r="K6402" s="35">
        <v>1.9619707282513447E-2</v>
      </c>
      <c r="L6402" s="35">
        <v>-12.167782646373343</v>
      </c>
      <c r="M6402" s="58" t="s">
        <v>24</v>
      </c>
      <c r="N6402" s="7">
        <v>11.333333333333334</v>
      </c>
      <c r="O6402" s="7" t="s">
        <v>178</v>
      </c>
      <c r="P6402" s="7" t="s">
        <v>178</v>
      </c>
    </row>
    <row r="6403" spans="1:16" x14ac:dyDescent="0.25">
      <c r="A6403" t="s">
        <v>183</v>
      </c>
      <c r="B6403" t="s">
        <v>232</v>
      </c>
      <c r="C6403" s="7" t="s">
        <v>173</v>
      </c>
      <c r="D6403" t="s">
        <v>113</v>
      </c>
      <c r="F6403" s="35">
        <v>5.3</v>
      </c>
      <c r="G6403" s="35">
        <v>-11.994853127406028</v>
      </c>
      <c r="H6403" s="35">
        <v>5.1540461910547342E-2</v>
      </c>
      <c r="I6403" s="35">
        <v>-3.1872639420827874E-2</v>
      </c>
      <c r="J6403" s="35">
        <v>-4.4231828747585066E-4</v>
      </c>
      <c r="K6403" s="35">
        <v>1.9647048776700506E-2</v>
      </c>
      <c r="L6403" s="35">
        <v>-12.167782646373341</v>
      </c>
      <c r="M6403" s="58" t="s">
        <v>24</v>
      </c>
      <c r="N6403" s="7">
        <v>11.333333333333334</v>
      </c>
      <c r="O6403" s="7" t="s">
        <v>178</v>
      </c>
      <c r="P6403" s="7" t="s">
        <v>178</v>
      </c>
    </row>
    <row r="6404" spans="1:16" x14ac:dyDescent="0.25">
      <c r="A6404" t="s">
        <v>183</v>
      </c>
      <c r="B6404" t="s">
        <v>232</v>
      </c>
      <c r="C6404" s="7" t="s">
        <v>173</v>
      </c>
      <c r="D6404" t="s">
        <v>113</v>
      </c>
      <c r="F6404" s="35">
        <v>5.5393224575487361</v>
      </c>
      <c r="G6404" s="35">
        <v>-11.86410767901029</v>
      </c>
      <c r="H6404" s="35">
        <v>-0.11129453820561268</v>
      </c>
      <c r="I6404" s="35">
        <v>-3.1872639420827874E-2</v>
      </c>
      <c r="J6404" s="35">
        <v>-4.4231828747585066E-4</v>
      </c>
      <c r="K6404" s="35">
        <v>2.7274887171457755E-2</v>
      </c>
      <c r="L6404" s="35">
        <v>-12.160632400179596</v>
      </c>
      <c r="M6404" s="58" t="s">
        <v>24</v>
      </c>
      <c r="N6404" s="7">
        <v>11.333333333333334</v>
      </c>
      <c r="O6404" s="7" t="s">
        <v>178</v>
      </c>
      <c r="P6404" s="7" t="s">
        <v>178</v>
      </c>
    </row>
    <row r="6405" spans="1:16" x14ac:dyDescent="0.25">
      <c r="A6405" t="s">
        <v>183</v>
      </c>
      <c r="B6405" t="s">
        <v>232</v>
      </c>
      <c r="C6405" s="7" t="s">
        <v>173</v>
      </c>
      <c r="D6405" t="s">
        <v>113</v>
      </c>
      <c r="F6405" s="35">
        <v>11.078644915097472</v>
      </c>
      <c r="G6405" s="35">
        <v>-8.8378927306145538</v>
      </c>
      <c r="H6405" s="35">
        <v>-3.8802495383217734</v>
      </c>
      <c r="I6405" s="35">
        <v>-3.1872639420827874E-2</v>
      </c>
      <c r="J6405" s="35">
        <v>-4.4231828747585066E-4</v>
      </c>
      <c r="K6405" s="35">
        <v>0.20382771449660275</v>
      </c>
      <c r="L6405" s="35">
        <v>-1.1054075284777056</v>
      </c>
      <c r="M6405" s="58" t="s">
        <v>23</v>
      </c>
      <c r="N6405" s="7">
        <v>11.333333333333334</v>
      </c>
      <c r="O6405" s="7" t="s">
        <v>178</v>
      </c>
      <c r="P6405" s="7" t="s">
        <v>178</v>
      </c>
    </row>
    <row r="6406" spans="1:16" x14ac:dyDescent="0.25">
      <c r="A6406" t="s">
        <v>183</v>
      </c>
      <c r="B6406" t="s">
        <v>232</v>
      </c>
      <c r="C6406" s="7" t="s">
        <v>173</v>
      </c>
      <c r="D6406" t="s">
        <v>114</v>
      </c>
      <c r="F6406" s="35">
        <v>0</v>
      </c>
      <c r="G6406" s="35">
        <v>49.411603969004766</v>
      </c>
      <c r="H6406" s="35">
        <v>-26.838171614268909</v>
      </c>
      <c r="I6406" s="35">
        <v>4.7709527679137068E-2</v>
      </c>
      <c r="J6406" s="35">
        <v>1.1860086912088134E-3</v>
      </c>
      <c r="K6406" s="35">
        <v>0.17023602096964613</v>
      </c>
      <c r="L6406" s="35">
        <v>-58.635396722595672</v>
      </c>
      <c r="M6406" s="58" t="s">
        <v>22</v>
      </c>
      <c r="N6406" s="7">
        <v>11.333333333333334</v>
      </c>
      <c r="O6406" s="7" t="s">
        <v>178</v>
      </c>
      <c r="P6406" s="7" t="s">
        <v>178</v>
      </c>
    </row>
    <row r="6407" spans="1:16" x14ac:dyDescent="0.25">
      <c r="A6407" t="s">
        <v>183</v>
      </c>
      <c r="B6407" t="s">
        <v>232</v>
      </c>
      <c r="C6407" s="7" t="s">
        <v>173</v>
      </c>
      <c r="D6407" t="s">
        <v>114</v>
      </c>
      <c r="F6407" s="35">
        <v>0.29999999999999988</v>
      </c>
      <c r="G6407" s="35">
        <v>49.575498469004771</v>
      </c>
      <c r="H6407" s="35">
        <v>-25.919631614268912</v>
      </c>
      <c r="I6407" s="35">
        <v>4.7709527679137068E-2</v>
      </c>
      <c r="J6407" s="35">
        <v>1.1860086912088134E-3</v>
      </c>
      <c r="K6407" s="35">
        <v>0.15592316266590497</v>
      </c>
      <c r="L6407" s="35">
        <v>-50.721726238315</v>
      </c>
      <c r="M6407" s="58" t="s">
        <v>22</v>
      </c>
      <c r="N6407" s="7">
        <v>11.333333333333334</v>
      </c>
      <c r="O6407" s="7" t="s">
        <v>178</v>
      </c>
      <c r="P6407" s="7" t="s">
        <v>178</v>
      </c>
    </row>
    <row r="6408" spans="1:16" x14ac:dyDescent="0.25">
      <c r="A6408" t="s">
        <v>183</v>
      </c>
      <c r="B6408" t="s">
        <v>232</v>
      </c>
      <c r="C6408" s="7" t="s">
        <v>173</v>
      </c>
      <c r="D6408" t="s">
        <v>114</v>
      </c>
      <c r="F6408" s="35">
        <v>0.29999999999999988</v>
      </c>
      <c r="G6408" s="35">
        <v>-12.547730973925484</v>
      </c>
      <c r="H6408" s="35">
        <v>-22.145263601662336</v>
      </c>
      <c r="I6408" s="35">
        <v>4.7709527679137137E-2</v>
      </c>
      <c r="J6408" s="35">
        <v>1.1572132262621795E-4</v>
      </c>
      <c r="K6408" s="35">
        <v>0.15585894542379009</v>
      </c>
      <c r="L6408" s="35">
        <v>-50.721726238315007</v>
      </c>
      <c r="M6408" s="58" t="s">
        <v>22</v>
      </c>
      <c r="N6408" s="7">
        <v>11.333333333333334</v>
      </c>
      <c r="O6408" s="7" t="s">
        <v>178</v>
      </c>
      <c r="P6408" s="7" t="s">
        <v>178</v>
      </c>
    </row>
    <row r="6409" spans="1:16" x14ac:dyDescent="0.25">
      <c r="A6409" t="s">
        <v>183</v>
      </c>
      <c r="B6409" t="s">
        <v>232</v>
      </c>
      <c r="C6409" s="7" t="s">
        <v>173</v>
      </c>
      <c r="D6409" t="s">
        <v>114</v>
      </c>
      <c r="F6409" s="35">
        <v>5.3</v>
      </c>
      <c r="G6409" s="35">
        <v>-9.8161559739254844</v>
      </c>
      <c r="H6409" s="35">
        <v>-6.8362636016623322</v>
      </c>
      <c r="I6409" s="35">
        <v>4.7709527679137137E-2</v>
      </c>
      <c r="J6409" s="35">
        <v>1.1572132262621795E-4</v>
      </c>
      <c r="K6409" s="35">
        <v>-8.2688692971895544E-2</v>
      </c>
      <c r="L6409" s="35">
        <v>21.732091769996654</v>
      </c>
      <c r="M6409" s="58" t="s">
        <v>24</v>
      </c>
      <c r="N6409" s="7">
        <v>11.333333333333334</v>
      </c>
      <c r="O6409" s="7" t="s">
        <v>178</v>
      </c>
      <c r="P6409" s="7" t="s">
        <v>178</v>
      </c>
    </row>
    <row r="6410" spans="1:16" x14ac:dyDescent="0.25">
      <c r="A6410" t="s">
        <v>183</v>
      </c>
      <c r="B6410" t="s">
        <v>232</v>
      </c>
      <c r="C6410" s="7" t="s">
        <v>173</v>
      </c>
      <c r="D6410" t="s">
        <v>114</v>
      </c>
      <c r="F6410" s="35">
        <v>5.3</v>
      </c>
      <c r="G6410" s="35">
        <v>46.974541908162095</v>
      </c>
      <c r="H6410" s="35">
        <v>-5.6185340362430516</v>
      </c>
      <c r="I6410" s="35">
        <v>4.8051419370944273E-2</v>
      </c>
      <c r="J6410" s="35">
        <v>-3.9314025565979838E-5</v>
      </c>
      <c r="K6410" s="35">
        <v>-8.1723014601315702E-2</v>
      </c>
      <c r="L6410" s="35">
        <v>21.732091769996678</v>
      </c>
      <c r="M6410" s="58" t="s">
        <v>24</v>
      </c>
      <c r="N6410" s="7">
        <v>11.333333333333334</v>
      </c>
      <c r="O6410" s="7" t="s">
        <v>178</v>
      </c>
      <c r="P6410" s="7" t="s">
        <v>178</v>
      </c>
    </row>
    <row r="6411" spans="1:16" x14ac:dyDescent="0.25">
      <c r="A6411" t="s">
        <v>183</v>
      </c>
      <c r="B6411" t="s">
        <v>232</v>
      </c>
      <c r="C6411" s="7" t="s">
        <v>173</v>
      </c>
      <c r="D6411" t="s">
        <v>114</v>
      </c>
      <c r="F6411" s="35">
        <v>5.5393224575487361</v>
      </c>
      <c r="G6411" s="35">
        <v>47.105287356557838</v>
      </c>
      <c r="H6411" s="35">
        <v>-4.8857765357203302</v>
      </c>
      <c r="I6411" s="35">
        <v>4.8051419370944273E-2</v>
      </c>
      <c r="J6411" s="35">
        <v>-3.9314025565979838E-5</v>
      </c>
      <c r="K6411" s="35">
        <v>-9.3222798373875038E-2</v>
      </c>
      <c r="L6411" s="35">
        <v>22.989050480465401</v>
      </c>
      <c r="M6411" s="58" t="s">
        <v>24</v>
      </c>
      <c r="N6411" s="7">
        <v>11.333333333333334</v>
      </c>
      <c r="O6411" s="7" t="s">
        <v>178</v>
      </c>
      <c r="P6411" s="7" t="s">
        <v>178</v>
      </c>
    </row>
    <row r="6412" spans="1:16" x14ac:dyDescent="0.25">
      <c r="A6412" t="s">
        <v>183</v>
      </c>
      <c r="B6412" t="s">
        <v>232</v>
      </c>
      <c r="C6412" s="7" t="s">
        <v>173</v>
      </c>
      <c r="D6412" t="s">
        <v>114</v>
      </c>
      <c r="F6412" s="35">
        <v>11.078644915097472</v>
      </c>
      <c r="G6412" s="35">
        <v>50.131502304953571</v>
      </c>
      <c r="H6412" s="35">
        <v>12.074520964802394</v>
      </c>
      <c r="I6412" s="35">
        <v>4.8051419370944273E-2</v>
      </c>
      <c r="J6412" s="35">
        <v>-3.9314025565979838E-5</v>
      </c>
      <c r="K6412" s="35">
        <v>-0.35939510481243903</v>
      </c>
      <c r="L6412" s="35">
        <v>3.0786637516690769</v>
      </c>
      <c r="M6412" s="58" t="s">
        <v>23</v>
      </c>
      <c r="N6412" s="7">
        <v>11.333333333333334</v>
      </c>
      <c r="O6412" s="7" t="s">
        <v>178</v>
      </c>
      <c r="P6412" s="7" t="s">
        <v>178</v>
      </c>
    </row>
    <row r="6413" spans="1:16" x14ac:dyDescent="0.25">
      <c r="A6413" t="s">
        <v>183</v>
      </c>
      <c r="B6413" t="s">
        <v>232</v>
      </c>
      <c r="C6413" s="7" t="s">
        <v>173</v>
      </c>
      <c r="D6413" t="s">
        <v>115</v>
      </c>
      <c r="F6413" s="35">
        <v>0</v>
      </c>
      <c r="G6413" s="35">
        <v>33.675195698790482</v>
      </c>
      <c r="H6413" s="35">
        <v>-41.666238641990951</v>
      </c>
      <c r="I6413" s="35">
        <v>4.3944645783385763E-2</v>
      </c>
      <c r="J6413" s="35">
        <v>5.9768651528018077E-4</v>
      </c>
      <c r="K6413" s="35">
        <v>0.16226508830276035</v>
      </c>
      <c r="L6413" s="35">
        <v>-88.053156528603196</v>
      </c>
      <c r="M6413" s="58" t="s">
        <v>22</v>
      </c>
      <c r="N6413" s="7">
        <v>11.333333333333334</v>
      </c>
      <c r="O6413" s="7" t="s">
        <v>178</v>
      </c>
      <c r="P6413" s="7" t="s">
        <v>178</v>
      </c>
    </row>
    <row r="6414" spans="1:16" x14ac:dyDescent="0.25">
      <c r="A6414" t="s">
        <v>183</v>
      </c>
      <c r="B6414" t="s">
        <v>232</v>
      </c>
      <c r="C6414" s="7" t="s">
        <v>173</v>
      </c>
      <c r="D6414" t="s">
        <v>115</v>
      </c>
      <c r="F6414" s="35">
        <v>0.29999999999999988</v>
      </c>
      <c r="G6414" s="35">
        <v>33.83909019879048</v>
      </c>
      <c r="H6414" s="35">
        <v>-40.033278641990954</v>
      </c>
      <c r="I6414" s="35">
        <v>4.3944645783385763E-2</v>
      </c>
      <c r="J6414" s="35">
        <v>5.9768651528018077E-4</v>
      </c>
      <c r="K6414" s="35">
        <v>0.14908169456774464</v>
      </c>
      <c r="L6414" s="35">
        <v>-75.798228936005927</v>
      </c>
      <c r="M6414" s="58" t="s">
        <v>22</v>
      </c>
      <c r="N6414" s="7">
        <v>11.333333333333334</v>
      </c>
      <c r="O6414" s="7" t="s">
        <v>178</v>
      </c>
      <c r="P6414" s="7" t="s">
        <v>178</v>
      </c>
    </row>
    <row r="6415" spans="1:16" x14ac:dyDescent="0.25">
      <c r="A6415" t="s">
        <v>183</v>
      </c>
      <c r="B6415" t="s">
        <v>232</v>
      </c>
      <c r="C6415" s="7" t="s">
        <v>173</v>
      </c>
      <c r="D6415" t="s">
        <v>115</v>
      </c>
      <c r="F6415" s="35">
        <v>0.29999999999999988</v>
      </c>
      <c r="G6415" s="35">
        <v>-57.544060296106913</v>
      </c>
      <c r="H6415" s="35">
        <v>-34.503315366266293</v>
      </c>
      <c r="I6415" s="35">
        <v>4.3944645783385639E-2</v>
      </c>
      <c r="J6415" s="35">
        <v>-1.2414498086153375E-4</v>
      </c>
      <c r="K6415" s="35">
        <v>0.14903838467797623</v>
      </c>
      <c r="L6415" s="35">
        <v>-75.798228936005927</v>
      </c>
      <c r="M6415" s="58" t="s">
        <v>22</v>
      </c>
      <c r="N6415" s="7">
        <v>11.333333333333334</v>
      </c>
      <c r="O6415" s="7" t="s">
        <v>178</v>
      </c>
      <c r="P6415" s="7" t="s">
        <v>178</v>
      </c>
    </row>
    <row r="6416" spans="1:16" x14ac:dyDescent="0.25">
      <c r="A6416" t="s">
        <v>183</v>
      </c>
      <c r="B6416" t="s">
        <v>232</v>
      </c>
      <c r="C6416" s="7" t="s">
        <v>173</v>
      </c>
      <c r="D6416" t="s">
        <v>115</v>
      </c>
      <c r="F6416" s="35">
        <v>5.3</v>
      </c>
      <c r="G6416" s="35">
        <v>-54.812485296106914</v>
      </c>
      <c r="H6416" s="35">
        <v>-7.2873153662663013</v>
      </c>
      <c r="I6416" s="35">
        <v>4.3944645783385639E-2</v>
      </c>
      <c r="J6416" s="35">
        <v>-1.2414498086153375E-4</v>
      </c>
      <c r="K6416" s="35">
        <v>-7.0684844238951897E-2</v>
      </c>
      <c r="L6416" s="35">
        <v>28.678347895325576</v>
      </c>
      <c r="M6416" s="58" t="s">
        <v>24</v>
      </c>
      <c r="N6416" s="7">
        <v>11.333333333333334</v>
      </c>
      <c r="O6416" s="7" t="s">
        <v>178</v>
      </c>
      <c r="P6416" s="7" t="s">
        <v>178</v>
      </c>
    </row>
    <row r="6417" spans="1:16" x14ac:dyDescent="0.25">
      <c r="A6417" t="s">
        <v>183</v>
      </c>
      <c r="B6417" t="s">
        <v>232</v>
      </c>
      <c r="C6417" s="7" t="s">
        <v>173</v>
      </c>
      <c r="D6417" t="s">
        <v>115</v>
      </c>
      <c r="F6417" s="35">
        <v>5.3</v>
      </c>
      <c r="G6417" s="35">
        <v>29.196689677447129</v>
      </c>
      <c r="H6417" s="35">
        <v>-11.651213495383834</v>
      </c>
      <c r="I6417" s="35">
        <v>4.4166296622844069E-2</v>
      </c>
      <c r="J6417" s="35">
        <v>-2.1942624009189393E-4</v>
      </c>
      <c r="K6417" s="35">
        <v>-6.9979430013537333E-2</v>
      </c>
      <c r="L6417" s="35">
        <v>28.678347895325583</v>
      </c>
      <c r="M6417" s="58" t="s">
        <v>24</v>
      </c>
      <c r="N6417" s="7">
        <v>11.333333333333334</v>
      </c>
      <c r="O6417" s="7" t="s">
        <v>178</v>
      </c>
      <c r="P6417" s="7" t="s">
        <v>178</v>
      </c>
    </row>
    <row r="6418" spans="1:16" x14ac:dyDescent="0.25">
      <c r="A6418" t="s">
        <v>183</v>
      </c>
      <c r="B6418" t="s">
        <v>232</v>
      </c>
      <c r="C6418" s="7" t="s">
        <v>173</v>
      </c>
      <c r="D6418" t="s">
        <v>115</v>
      </c>
      <c r="F6418" s="35">
        <v>5.5393224575487361</v>
      </c>
      <c r="G6418" s="35">
        <v>29.327435125842868</v>
      </c>
      <c r="H6418" s="35">
        <v>-10.348533494454554</v>
      </c>
      <c r="I6418" s="35">
        <v>4.4166296622844069E-2</v>
      </c>
      <c r="J6418" s="35">
        <v>-2.1942624009189393E-4</v>
      </c>
      <c r="K6418" s="35">
        <v>-8.0549416662142825E-2</v>
      </c>
      <c r="L6418" s="35">
        <v>31.31086465285485</v>
      </c>
      <c r="M6418" s="58" t="s">
        <v>24</v>
      </c>
      <c r="N6418" s="7">
        <v>11.333333333333334</v>
      </c>
      <c r="O6418" s="7" t="s">
        <v>178</v>
      </c>
      <c r="P6418" s="7" t="s">
        <v>178</v>
      </c>
    </row>
    <row r="6419" spans="1:16" x14ac:dyDescent="0.25">
      <c r="A6419" t="s">
        <v>183</v>
      </c>
      <c r="B6419" t="s">
        <v>232</v>
      </c>
      <c r="C6419" s="7" t="s">
        <v>173</v>
      </c>
      <c r="D6419" t="s">
        <v>115</v>
      </c>
      <c r="F6419" s="35">
        <v>11.078644915097472</v>
      </c>
      <c r="G6419" s="35">
        <v>32.353650074238601</v>
      </c>
      <c r="H6419" s="35">
        <v>19.80310650647473</v>
      </c>
      <c r="I6419" s="35">
        <v>4.4166296622844069E-2</v>
      </c>
      <c r="J6419" s="35">
        <v>-2.1942624009189393E-4</v>
      </c>
      <c r="K6419" s="35">
        <v>-0.32520077541182185</v>
      </c>
      <c r="L6419" s="35">
        <v>5.1249003468460783</v>
      </c>
      <c r="M6419" s="58" t="s">
        <v>23</v>
      </c>
      <c r="N6419" s="7">
        <v>11.333333333333334</v>
      </c>
      <c r="O6419" s="7" t="s">
        <v>178</v>
      </c>
      <c r="P6419" s="7" t="s">
        <v>178</v>
      </c>
    </row>
    <row r="6420" spans="1:16" x14ac:dyDescent="0.25">
      <c r="A6420" t="s">
        <v>183</v>
      </c>
      <c r="B6420" t="s">
        <v>232</v>
      </c>
      <c r="C6420" s="7" t="s">
        <v>173</v>
      </c>
      <c r="D6420" t="s">
        <v>116</v>
      </c>
      <c r="F6420" s="35">
        <v>0</v>
      </c>
      <c r="G6420" s="35">
        <v>-4.6197358633602335</v>
      </c>
      <c r="H6420" s="35">
        <v>38.760253807726691</v>
      </c>
      <c r="I6420" s="35">
        <v>1.1312522293613891</v>
      </c>
      <c r="J6420" s="35">
        <v>1.4214274866782546E-3</v>
      </c>
      <c r="K6420" s="35">
        <v>6.6124038542430457</v>
      </c>
      <c r="L6420" s="35">
        <v>77.681661152997222</v>
      </c>
      <c r="M6420" s="58" t="s">
        <v>22</v>
      </c>
      <c r="N6420" s="7">
        <v>11.333333333333334</v>
      </c>
      <c r="O6420" s="7" t="s">
        <v>178</v>
      </c>
      <c r="P6420" s="7" t="s">
        <v>178</v>
      </c>
    </row>
    <row r="6421" spans="1:16" x14ac:dyDescent="0.25">
      <c r="A6421" t="s">
        <v>183</v>
      </c>
      <c r="B6421" t="s">
        <v>232</v>
      </c>
      <c r="C6421" s="7" t="s">
        <v>173</v>
      </c>
      <c r="D6421" t="s">
        <v>116</v>
      </c>
      <c r="F6421" s="35">
        <v>0.29999999999999988</v>
      </c>
      <c r="G6421" s="35">
        <v>-4.4558413633602312</v>
      </c>
      <c r="H6421" s="35">
        <v>36.974203807726688</v>
      </c>
      <c r="I6421" s="35">
        <v>1.1312522293613891</v>
      </c>
      <c r="J6421" s="35">
        <v>1.4214274866782546E-3</v>
      </c>
      <c r="K6421" s="35">
        <v>6.2730281854346286</v>
      </c>
      <c r="L6421" s="35">
        <v>66.321492510679235</v>
      </c>
      <c r="M6421" s="58" t="s">
        <v>22</v>
      </c>
      <c r="N6421" s="7">
        <v>11.333333333333334</v>
      </c>
      <c r="O6421" s="7" t="s">
        <v>178</v>
      </c>
      <c r="P6421" s="7" t="s">
        <v>178</v>
      </c>
    </row>
    <row r="6422" spans="1:16" x14ac:dyDescent="0.25">
      <c r="A6422" t="s">
        <v>183</v>
      </c>
      <c r="B6422" t="s">
        <v>232</v>
      </c>
      <c r="C6422" s="7" t="s">
        <v>173</v>
      </c>
      <c r="D6422" t="s">
        <v>116</v>
      </c>
      <c r="F6422" s="35">
        <v>0.29999999999999988</v>
      </c>
      <c r="G6422" s="35">
        <v>78.451130240162328</v>
      </c>
      <c r="H6422" s="35">
        <v>32.046759757546091</v>
      </c>
      <c r="I6422" s="35">
        <v>1.1312522293613851</v>
      </c>
      <c r="J6422" s="35">
        <v>6.7419770606192287E-4</v>
      </c>
      <c r="K6422" s="35">
        <v>6.27298335164779</v>
      </c>
      <c r="L6422" s="35">
        <v>66.321492510679207</v>
      </c>
      <c r="M6422" s="58" t="s">
        <v>22</v>
      </c>
      <c r="N6422" s="7">
        <v>11.333333333333334</v>
      </c>
      <c r="O6422" s="7" t="s">
        <v>178</v>
      </c>
      <c r="P6422" s="7" t="s">
        <v>178</v>
      </c>
    </row>
    <row r="6423" spans="1:16" x14ac:dyDescent="0.25">
      <c r="A6423" t="s">
        <v>183</v>
      </c>
      <c r="B6423" t="s">
        <v>232</v>
      </c>
      <c r="C6423" s="7" t="s">
        <v>173</v>
      </c>
      <c r="D6423" t="s">
        <v>116</v>
      </c>
      <c r="F6423" s="35">
        <v>5.3</v>
      </c>
      <c r="G6423" s="35">
        <v>81.182705240162335</v>
      </c>
      <c r="H6423" s="35">
        <v>2.2792597575460918</v>
      </c>
      <c r="I6423" s="35">
        <v>1.1312522293613851</v>
      </c>
      <c r="J6423" s="35">
        <v>6.7419770606192287E-4</v>
      </c>
      <c r="K6423" s="35">
        <v>0.61672220484086415</v>
      </c>
      <c r="L6423" s="35">
        <v>-19.493556277051255</v>
      </c>
      <c r="M6423" s="58" t="s">
        <v>24</v>
      </c>
      <c r="N6423" s="7">
        <v>11.333333333333334</v>
      </c>
      <c r="O6423" s="7" t="s">
        <v>178</v>
      </c>
      <c r="P6423" s="7" t="s">
        <v>178</v>
      </c>
    </row>
    <row r="6424" spans="1:16" x14ac:dyDescent="0.25">
      <c r="A6424" t="s">
        <v>183</v>
      </c>
      <c r="B6424" t="s">
        <v>232</v>
      </c>
      <c r="C6424" s="7" t="s">
        <v>173</v>
      </c>
      <c r="D6424" t="s">
        <v>116</v>
      </c>
      <c r="F6424" s="35">
        <v>5.3</v>
      </c>
      <c r="G6424" s="35">
        <v>7.0761323736818982</v>
      </c>
      <c r="H6424" s="35">
        <v>14.74487378957563</v>
      </c>
      <c r="I6424" s="35">
        <v>1.1313999884050652</v>
      </c>
      <c r="J6424" s="35">
        <v>7.2750065907295882E-4</v>
      </c>
      <c r="K6424" s="35">
        <v>0.61748059613474193</v>
      </c>
      <c r="L6424" s="35">
        <v>-19.493556277051244</v>
      </c>
      <c r="M6424" s="58" t="s">
        <v>24</v>
      </c>
      <c r="N6424" s="7">
        <v>11.333333333333334</v>
      </c>
      <c r="O6424" s="7" t="s">
        <v>178</v>
      </c>
      <c r="P6424" s="7" t="s">
        <v>178</v>
      </c>
    </row>
    <row r="6425" spans="1:16" x14ac:dyDescent="0.25">
      <c r="A6425" t="s">
        <v>183</v>
      </c>
      <c r="B6425" t="s">
        <v>232</v>
      </c>
      <c r="C6425" s="7" t="s">
        <v>173</v>
      </c>
      <c r="D6425" t="s">
        <v>116</v>
      </c>
      <c r="F6425" s="35">
        <v>5.5393224575487361</v>
      </c>
      <c r="G6425" s="35">
        <v>7.2068778220776348</v>
      </c>
      <c r="H6425" s="35">
        <v>13.320067538559231</v>
      </c>
      <c r="I6425" s="35">
        <v>1.1313999884050652</v>
      </c>
      <c r="J6425" s="35">
        <v>7.2750065907295882E-4</v>
      </c>
      <c r="K6425" s="35">
        <v>0.34671117043903033</v>
      </c>
      <c r="L6425" s="35">
        <v>-22.851841641856407</v>
      </c>
      <c r="M6425" s="58" t="s">
        <v>24</v>
      </c>
      <c r="N6425" s="7">
        <v>11.333333333333334</v>
      </c>
      <c r="O6425" s="7" t="s">
        <v>178</v>
      </c>
      <c r="P6425" s="7" t="s">
        <v>178</v>
      </c>
    </row>
    <row r="6426" spans="1:16" x14ac:dyDescent="0.25">
      <c r="A6426" t="s">
        <v>183</v>
      </c>
      <c r="B6426" t="s">
        <v>232</v>
      </c>
      <c r="C6426" s="7" t="s">
        <v>173</v>
      </c>
      <c r="D6426" t="s">
        <v>116</v>
      </c>
      <c r="F6426" s="35">
        <v>11.078644915097472</v>
      </c>
      <c r="G6426" s="35">
        <v>10.233092770473371</v>
      </c>
      <c r="H6426" s="35">
        <v>-19.658288712457175</v>
      </c>
      <c r="I6426" s="35">
        <v>1.1313999884050652</v>
      </c>
      <c r="J6426" s="35">
        <v>7.2750065907295882E-4</v>
      </c>
      <c r="K6426" s="35">
        <v>-5.920478193803528</v>
      </c>
      <c r="L6426" s="35">
        <v>-5.297116197114498</v>
      </c>
      <c r="M6426" s="58" t="s">
        <v>23</v>
      </c>
      <c r="N6426" s="7">
        <v>11.333333333333334</v>
      </c>
      <c r="O6426" s="7" t="s">
        <v>178</v>
      </c>
      <c r="P6426" s="7" t="s">
        <v>178</v>
      </c>
    </row>
    <row r="6427" spans="1:16" x14ac:dyDescent="0.25">
      <c r="A6427" t="s">
        <v>183</v>
      </c>
      <c r="B6427" t="s">
        <v>232</v>
      </c>
      <c r="C6427" s="7" t="s">
        <v>173</v>
      </c>
      <c r="D6427" t="s">
        <v>117</v>
      </c>
      <c r="F6427" s="35">
        <v>0</v>
      </c>
      <c r="G6427" s="35">
        <v>-48.171133552377526</v>
      </c>
      <c r="H6427" s="35">
        <v>24.69186668807864</v>
      </c>
      <c r="I6427" s="35">
        <v>2.3734470259992957</v>
      </c>
      <c r="J6427" s="35">
        <v>8.5684702351013892E-4</v>
      </c>
      <c r="K6427" s="35">
        <v>14.296816003677238</v>
      </c>
      <c r="L6427" s="35">
        <v>50.152313080477697</v>
      </c>
      <c r="M6427" s="58" t="s">
        <v>22</v>
      </c>
      <c r="N6427" s="7">
        <v>11.333333333333334</v>
      </c>
      <c r="O6427" s="7" t="s">
        <v>178</v>
      </c>
      <c r="P6427" s="7" t="s">
        <v>178</v>
      </c>
    </row>
    <row r="6428" spans="1:16" x14ac:dyDescent="0.25">
      <c r="A6428" t="s">
        <v>183</v>
      </c>
      <c r="B6428" t="s">
        <v>232</v>
      </c>
      <c r="C6428" s="7" t="s">
        <v>173</v>
      </c>
      <c r="D6428" t="s">
        <v>117</v>
      </c>
      <c r="F6428" s="35">
        <v>0.29999999999999988</v>
      </c>
      <c r="G6428" s="35">
        <v>-48.007239052377521</v>
      </c>
      <c r="H6428" s="35">
        <v>23.620236688078638</v>
      </c>
      <c r="I6428" s="35">
        <v>2.3734470259992957</v>
      </c>
      <c r="J6428" s="35">
        <v>8.5684702351013892E-4</v>
      </c>
      <c r="K6428" s="35">
        <v>13.584781895877452</v>
      </c>
      <c r="L6428" s="35">
        <v>42.905497574054102</v>
      </c>
      <c r="M6428" s="58" t="s">
        <v>22</v>
      </c>
      <c r="N6428" s="7">
        <v>11.333333333333334</v>
      </c>
      <c r="O6428" s="7" t="s">
        <v>178</v>
      </c>
      <c r="P6428" s="7" t="s">
        <v>178</v>
      </c>
    </row>
    <row r="6429" spans="1:16" x14ac:dyDescent="0.25">
      <c r="A6429" t="s">
        <v>183</v>
      </c>
      <c r="B6429" t="s">
        <v>232</v>
      </c>
      <c r="C6429" s="7" t="s">
        <v>173</v>
      </c>
      <c r="D6429" t="s">
        <v>117</v>
      </c>
      <c r="F6429" s="35">
        <v>0.29999999999999988</v>
      </c>
      <c r="G6429" s="35">
        <v>7.5994528524642213</v>
      </c>
      <c r="H6429" s="35">
        <v>20.33080941981887</v>
      </c>
      <c r="I6429" s="35">
        <v>2.373447025999297</v>
      </c>
      <c r="J6429" s="35">
        <v>5.4963057297627174E-4</v>
      </c>
      <c r="K6429" s="35">
        <v>13.584763462890416</v>
      </c>
      <c r="L6429" s="35">
        <v>42.905497574054095</v>
      </c>
      <c r="M6429" s="58" t="s">
        <v>22</v>
      </c>
      <c r="N6429" s="7">
        <v>11.333333333333334</v>
      </c>
      <c r="O6429" s="7" t="s">
        <v>178</v>
      </c>
      <c r="P6429" s="7" t="s">
        <v>178</v>
      </c>
    </row>
    <row r="6430" spans="1:16" x14ac:dyDescent="0.25">
      <c r="A6430" t="s">
        <v>183</v>
      </c>
      <c r="B6430" t="s">
        <v>232</v>
      </c>
      <c r="C6430" s="7" t="s">
        <v>173</v>
      </c>
      <c r="D6430" t="s">
        <v>117</v>
      </c>
      <c r="F6430" s="35">
        <v>5.3</v>
      </c>
      <c r="G6430" s="35">
        <v>10.331027852464221</v>
      </c>
      <c r="H6430" s="35">
        <v>2.4703094198188702</v>
      </c>
      <c r="I6430" s="35">
        <v>2.373447025999297</v>
      </c>
      <c r="J6430" s="35">
        <v>5.4963057297627174E-4</v>
      </c>
      <c r="K6430" s="35">
        <v>1.7175283328939313</v>
      </c>
      <c r="L6430" s="35">
        <v>-14.097299525040256</v>
      </c>
      <c r="M6430" s="58" t="s">
        <v>24</v>
      </c>
      <c r="N6430" s="7">
        <v>11.333333333333334</v>
      </c>
      <c r="O6430" s="7" t="s">
        <v>178</v>
      </c>
      <c r="P6430" s="7" t="s">
        <v>178</v>
      </c>
    </row>
    <row r="6431" spans="1:16" x14ac:dyDescent="0.25">
      <c r="A6431" t="s">
        <v>183</v>
      </c>
      <c r="B6431" t="s">
        <v>232</v>
      </c>
      <c r="C6431" s="7" t="s">
        <v>173</v>
      </c>
      <c r="D6431" t="s">
        <v>117</v>
      </c>
      <c r="F6431" s="35">
        <v>5.3</v>
      </c>
      <c r="G6431" s="35">
        <v>-38.490430893267032</v>
      </c>
      <c r="H6431" s="35">
        <v>8.455292132077707</v>
      </c>
      <c r="I6431" s="35">
        <v>2.3733122453344841</v>
      </c>
      <c r="J6431" s="35">
        <v>8.6134374731871774E-4</v>
      </c>
      <c r="K6431" s="35">
        <v>1.718150859107229</v>
      </c>
      <c r="L6431" s="35">
        <v>-14.097299525040246</v>
      </c>
      <c r="M6431" s="58" t="s">
        <v>24</v>
      </c>
      <c r="N6431" s="7">
        <v>11.333333333333334</v>
      </c>
      <c r="O6431" s="7" t="s">
        <v>178</v>
      </c>
      <c r="P6431" s="7" t="s">
        <v>178</v>
      </c>
    </row>
    <row r="6432" spans="1:16" x14ac:dyDescent="0.25">
      <c r="A6432" t="s">
        <v>183</v>
      </c>
      <c r="B6432" t="s">
        <v>232</v>
      </c>
      <c r="C6432" s="7" t="s">
        <v>173</v>
      </c>
      <c r="D6432" t="s">
        <v>117</v>
      </c>
      <c r="F6432" s="35">
        <v>5.5393224575487361</v>
      </c>
      <c r="G6432" s="35">
        <v>-38.359685444871296</v>
      </c>
      <c r="H6432" s="35">
        <v>7.6004083814678687</v>
      </c>
      <c r="I6432" s="35">
        <v>2.3733122453344841</v>
      </c>
      <c r="J6432" s="35">
        <v>8.6134374731871774E-4</v>
      </c>
      <c r="K6432" s="35">
        <v>1.1501639400232713</v>
      </c>
      <c r="L6432" s="35">
        <v>-16.018544377324357</v>
      </c>
      <c r="M6432" s="58" t="s">
        <v>24</v>
      </c>
      <c r="N6432" s="7">
        <v>11.333333333333334</v>
      </c>
      <c r="O6432" s="7" t="s">
        <v>178</v>
      </c>
      <c r="P6432" s="7" t="s">
        <v>178</v>
      </c>
    </row>
    <row r="6433" spans="1:16" x14ac:dyDescent="0.25">
      <c r="A6433" t="s">
        <v>183</v>
      </c>
      <c r="B6433" t="s">
        <v>232</v>
      </c>
      <c r="C6433" s="7" t="s">
        <v>173</v>
      </c>
      <c r="D6433" t="s">
        <v>117</v>
      </c>
      <c r="F6433" s="35">
        <v>11.078644915097472</v>
      </c>
      <c r="G6433" s="35">
        <v>-35.333470496475556</v>
      </c>
      <c r="H6433" s="35">
        <v>-12.186605369141974</v>
      </c>
      <c r="I6433" s="35">
        <v>2.3733122453344841</v>
      </c>
      <c r="J6433" s="35">
        <v>8.6134374731871774E-4</v>
      </c>
      <c r="K6433" s="35">
        <v>-11.996377879333449</v>
      </c>
      <c r="L6433" s="35">
        <v>-3.3163323930415838</v>
      </c>
      <c r="M6433" s="58" t="s">
        <v>23</v>
      </c>
      <c r="N6433" s="7">
        <v>11.333333333333334</v>
      </c>
      <c r="O6433" s="7" t="s">
        <v>178</v>
      </c>
      <c r="P6433" s="7" t="s">
        <v>178</v>
      </c>
    </row>
    <row r="6434" spans="1:16" x14ac:dyDescent="0.25">
      <c r="A6434" t="s">
        <v>183</v>
      </c>
      <c r="B6434" t="s">
        <v>232</v>
      </c>
      <c r="C6434" s="7" t="s">
        <v>173</v>
      </c>
      <c r="D6434" t="s">
        <v>118</v>
      </c>
      <c r="F6434" s="35">
        <v>0</v>
      </c>
      <c r="G6434" s="35">
        <v>-2.7893697038146743</v>
      </c>
      <c r="H6434" s="35">
        <v>38.619901703883116</v>
      </c>
      <c r="I6434" s="35">
        <v>-1.0900429227531945</v>
      </c>
      <c r="J6434" s="35">
        <v>7.3735180463853714E-4</v>
      </c>
      <c r="K6434" s="35">
        <v>-6.5094823711952285</v>
      </c>
      <c r="L6434" s="35">
        <v>77.329699738331612</v>
      </c>
      <c r="M6434" s="58" t="s">
        <v>22</v>
      </c>
      <c r="N6434" s="7">
        <v>11.333333333333334</v>
      </c>
      <c r="O6434" s="7" t="s">
        <v>178</v>
      </c>
      <c r="P6434" s="7" t="s">
        <v>178</v>
      </c>
    </row>
    <row r="6435" spans="1:16" x14ac:dyDescent="0.25">
      <c r="A6435" t="s">
        <v>183</v>
      </c>
      <c r="B6435" t="s">
        <v>232</v>
      </c>
      <c r="C6435" s="7" t="s">
        <v>173</v>
      </c>
      <c r="D6435" t="s">
        <v>118</v>
      </c>
      <c r="F6435" s="35">
        <v>0.29999999999999988</v>
      </c>
      <c r="G6435" s="35">
        <v>-2.625475203814672</v>
      </c>
      <c r="H6435" s="35">
        <v>36.83385170388312</v>
      </c>
      <c r="I6435" s="35">
        <v>-1.0900429227531945</v>
      </c>
      <c r="J6435" s="35">
        <v>7.3735180463853714E-4</v>
      </c>
      <c r="K6435" s="35">
        <v>-6.1824694943692711</v>
      </c>
      <c r="L6435" s="35">
        <v>66.01163672716666</v>
      </c>
      <c r="M6435" s="58" t="s">
        <v>22</v>
      </c>
      <c r="N6435" s="7">
        <v>11.333333333333334</v>
      </c>
      <c r="O6435" s="7" t="s">
        <v>178</v>
      </c>
      <c r="P6435" s="7" t="s">
        <v>178</v>
      </c>
    </row>
    <row r="6436" spans="1:16" x14ac:dyDescent="0.25">
      <c r="A6436" t="s">
        <v>183</v>
      </c>
      <c r="B6436" t="s">
        <v>232</v>
      </c>
      <c r="C6436" s="7" t="s">
        <v>173</v>
      </c>
      <c r="D6436" t="s">
        <v>118</v>
      </c>
      <c r="F6436" s="35">
        <v>0.29999999999999988</v>
      </c>
      <c r="G6436" s="35">
        <v>79.600320208278077</v>
      </c>
      <c r="H6436" s="35">
        <v>31.947278225188342</v>
      </c>
      <c r="I6436" s="35">
        <v>-1.0900429227531871</v>
      </c>
      <c r="J6436" s="35">
        <v>7.9387952738806989E-4</v>
      </c>
      <c r="K6436" s="35">
        <v>-6.1824661027059076</v>
      </c>
      <c r="L6436" s="35">
        <v>66.011636727166646</v>
      </c>
      <c r="M6436" s="58" t="s">
        <v>22</v>
      </c>
      <c r="N6436" s="7">
        <v>11.333333333333334</v>
      </c>
      <c r="O6436" s="7" t="s">
        <v>178</v>
      </c>
      <c r="P6436" s="7" t="s">
        <v>178</v>
      </c>
    </row>
    <row r="6437" spans="1:16" x14ac:dyDescent="0.25">
      <c r="A6437" t="s">
        <v>183</v>
      </c>
      <c r="B6437" t="s">
        <v>232</v>
      </c>
      <c r="C6437" s="7" t="s">
        <v>173</v>
      </c>
      <c r="D6437" t="s">
        <v>118</v>
      </c>
      <c r="F6437" s="35">
        <v>5.3</v>
      </c>
      <c r="G6437" s="35">
        <v>82.33189520827807</v>
      </c>
      <c r="H6437" s="35">
        <v>2.1797782251883384</v>
      </c>
      <c r="I6437" s="35">
        <v>-1.0900429227531871</v>
      </c>
      <c r="J6437" s="35">
        <v>7.9387952738806989E-4</v>
      </c>
      <c r="K6437" s="35">
        <v>-0.73225148893997194</v>
      </c>
      <c r="L6437" s="35">
        <v>-19.306004398775041</v>
      </c>
      <c r="M6437" s="58" t="s">
        <v>24</v>
      </c>
      <c r="N6437" s="7">
        <v>11.333333333333334</v>
      </c>
      <c r="O6437" s="7" t="s">
        <v>178</v>
      </c>
      <c r="P6437" s="7" t="s">
        <v>178</v>
      </c>
    </row>
    <row r="6438" spans="1:16" x14ac:dyDescent="0.25">
      <c r="A6438" t="s">
        <v>183</v>
      </c>
      <c r="B6438" t="s">
        <v>232</v>
      </c>
      <c r="C6438" s="7" t="s">
        <v>173</v>
      </c>
      <c r="D6438" t="s">
        <v>118</v>
      </c>
      <c r="F6438" s="35">
        <v>5.3</v>
      </c>
      <c r="G6438" s="35">
        <v>8.7837354770795084</v>
      </c>
      <c r="H6438" s="35">
        <v>14.775953990398552</v>
      </c>
      <c r="I6438" s="35">
        <v>-1.0899719204261589</v>
      </c>
      <c r="J6438" s="35">
        <v>6.6295650240120747E-4</v>
      </c>
      <c r="K6438" s="35">
        <v>-0.73238335532719723</v>
      </c>
      <c r="L6438" s="35">
        <v>-19.306004398775027</v>
      </c>
      <c r="M6438" s="58" t="s">
        <v>24</v>
      </c>
      <c r="N6438" s="7">
        <v>11.333333333333334</v>
      </c>
      <c r="O6438" s="7" t="s">
        <v>178</v>
      </c>
      <c r="P6438" s="7" t="s">
        <v>178</v>
      </c>
    </row>
    <row r="6439" spans="1:16" x14ac:dyDescent="0.25">
      <c r="A6439" t="s">
        <v>183</v>
      </c>
      <c r="B6439" t="s">
        <v>232</v>
      </c>
      <c r="C6439" s="7" t="s">
        <v>173</v>
      </c>
      <c r="D6439" t="s">
        <v>118</v>
      </c>
      <c r="F6439" s="35">
        <v>5.5393224575487361</v>
      </c>
      <c r="G6439" s="35">
        <v>8.914480925475246</v>
      </c>
      <c r="H6439" s="35">
        <v>13.351147739382151</v>
      </c>
      <c r="I6439" s="35">
        <v>-1.0899719204261589</v>
      </c>
      <c r="J6439" s="35">
        <v>6.6295650240120747E-4</v>
      </c>
      <c r="K6439" s="35">
        <v>-0.4715285966716935</v>
      </c>
      <c r="L6439" s="35">
        <v>-22.671727953622241</v>
      </c>
      <c r="M6439" s="58" t="s">
        <v>24</v>
      </c>
      <c r="N6439" s="7">
        <v>11.333333333333334</v>
      </c>
      <c r="O6439" s="7" t="s">
        <v>178</v>
      </c>
      <c r="P6439" s="7" t="s">
        <v>178</v>
      </c>
    </row>
    <row r="6440" spans="1:16" x14ac:dyDescent="0.25">
      <c r="A6440" t="s">
        <v>183</v>
      </c>
      <c r="B6440" t="s">
        <v>232</v>
      </c>
      <c r="C6440" s="7" t="s">
        <v>173</v>
      </c>
      <c r="D6440" t="s">
        <v>118</v>
      </c>
      <c r="F6440" s="35">
        <v>11.078644915097472</v>
      </c>
      <c r="G6440" s="35">
        <v>11.940695873870981</v>
      </c>
      <c r="H6440" s="35">
        <v>-19.627208511634255</v>
      </c>
      <c r="I6440" s="35">
        <v>-1.0899719204261589</v>
      </c>
      <c r="J6440" s="35">
        <v>6.6295650240120747E-4</v>
      </c>
      <c r="K6440" s="35">
        <v>5.5661773402424526</v>
      </c>
      <c r="L6440" s="35">
        <v>-5.2891657632838704</v>
      </c>
      <c r="M6440" s="58" t="s">
        <v>23</v>
      </c>
      <c r="N6440" s="7">
        <v>11.333333333333334</v>
      </c>
      <c r="O6440" s="7" t="s">
        <v>178</v>
      </c>
      <c r="P6440" s="7" t="s">
        <v>178</v>
      </c>
    </row>
    <row r="6441" spans="1:16" x14ac:dyDescent="0.25">
      <c r="A6441" t="s">
        <v>183</v>
      </c>
      <c r="B6441" t="s">
        <v>232</v>
      </c>
      <c r="C6441" s="7" t="s">
        <v>173</v>
      </c>
      <c r="D6441" t="s">
        <v>119</v>
      </c>
      <c r="F6441" s="35">
        <v>0</v>
      </c>
      <c r="G6441" s="35">
        <v>-22.339168733896074</v>
      </c>
      <c r="H6441" s="35">
        <v>23.846165860261149</v>
      </c>
      <c r="I6441" s="35">
        <v>-2.5011032084320677</v>
      </c>
      <c r="J6441" s="35">
        <v>8.8770755486581795E-4</v>
      </c>
      <c r="K6441" s="35">
        <v>-14.858612753723557</v>
      </c>
      <c r="L6441" s="35">
        <v>48.09298864712401</v>
      </c>
      <c r="M6441" s="58" t="s">
        <v>22</v>
      </c>
      <c r="N6441" s="7">
        <v>11.333333333333334</v>
      </c>
      <c r="O6441" s="7" t="s">
        <v>178</v>
      </c>
      <c r="P6441" s="7" t="s">
        <v>178</v>
      </c>
    </row>
    <row r="6442" spans="1:16" x14ac:dyDescent="0.25">
      <c r="A6442" t="s">
        <v>183</v>
      </c>
      <c r="B6442" t="s">
        <v>232</v>
      </c>
      <c r="C6442" s="7" t="s">
        <v>173</v>
      </c>
      <c r="D6442" t="s">
        <v>119</v>
      </c>
      <c r="F6442" s="35">
        <v>0.29999999999999988</v>
      </c>
      <c r="G6442" s="35">
        <v>-22.175274233896069</v>
      </c>
      <c r="H6442" s="35">
        <v>22.774535860261146</v>
      </c>
      <c r="I6442" s="35">
        <v>-2.5011032084320677</v>
      </c>
      <c r="J6442" s="35">
        <v>8.8770755486581795E-4</v>
      </c>
      <c r="K6442" s="35">
        <v>-14.108281791193935</v>
      </c>
      <c r="L6442" s="35">
        <v>41.099883389045665</v>
      </c>
      <c r="M6442" s="58" t="s">
        <v>22</v>
      </c>
      <c r="N6442" s="7">
        <v>11.333333333333334</v>
      </c>
      <c r="O6442" s="7" t="s">
        <v>178</v>
      </c>
      <c r="P6442" s="7" t="s">
        <v>178</v>
      </c>
    </row>
    <row r="6443" spans="1:16" x14ac:dyDescent="0.25">
      <c r="A6443" t="s">
        <v>183</v>
      </c>
      <c r="B6443" t="s">
        <v>232</v>
      </c>
      <c r="C6443" s="7" t="s">
        <v>173</v>
      </c>
      <c r="D6443" t="s">
        <v>119</v>
      </c>
      <c r="F6443" s="35">
        <v>0.29999999999999988</v>
      </c>
      <c r="G6443" s="35">
        <v>30.282771872322837</v>
      </c>
      <c r="H6443" s="35">
        <v>19.67402733991868</v>
      </c>
      <c r="I6443" s="35">
        <v>-2.5011032084320539</v>
      </c>
      <c r="J6443" s="35">
        <v>8.6904402719852286E-4</v>
      </c>
      <c r="K6443" s="35">
        <v>-14.108282911005604</v>
      </c>
      <c r="L6443" s="35">
        <v>41.099883389045672</v>
      </c>
      <c r="M6443" s="58" t="s">
        <v>22</v>
      </c>
      <c r="N6443" s="7">
        <v>11.333333333333334</v>
      </c>
      <c r="O6443" s="7" t="s">
        <v>178</v>
      </c>
      <c r="P6443" s="7" t="s">
        <v>178</v>
      </c>
    </row>
    <row r="6444" spans="1:16" x14ac:dyDescent="0.25">
      <c r="A6444" t="s">
        <v>183</v>
      </c>
      <c r="B6444" t="s">
        <v>232</v>
      </c>
      <c r="C6444" s="7" t="s">
        <v>173</v>
      </c>
      <c r="D6444" t="s">
        <v>119</v>
      </c>
      <c r="F6444" s="35">
        <v>5.3</v>
      </c>
      <c r="G6444" s="35">
        <v>33.014346872322839</v>
      </c>
      <c r="H6444" s="35">
        <v>1.8135273399186802</v>
      </c>
      <c r="I6444" s="35">
        <v>-2.5011032084320539</v>
      </c>
      <c r="J6444" s="35">
        <v>8.6904402719852286E-4</v>
      </c>
      <c r="K6444" s="35">
        <v>-1.6027668688453367</v>
      </c>
      <c r="L6444" s="35">
        <v>-12.619003310547722</v>
      </c>
      <c r="M6444" s="58" t="s">
        <v>24</v>
      </c>
      <c r="N6444" s="7">
        <v>11.333333333333334</v>
      </c>
      <c r="O6444" s="7" t="s">
        <v>178</v>
      </c>
      <c r="P6444" s="7" t="s">
        <v>178</v>
      </c>
    </row>
    <row r="6445" spans="1:16" x14ac:dyDescent="0.25">
      <c r="A6445" t="s">
        <v>183</v>
      </c>
      <c r="B6445" t="s">
        <v>232</v>
      </c>
      <c r="C6445" s="7" t="s">
        <v>173</v>
      </c>
      <c r="D6445" t="s">
        <v>119</v>
      </c>
      <c r="F6445" s="35">
        <v>5.3</v>
      </c>
      <c r="G6445" s="35">
        <v>-12.964803741483875</v>
      </c>
      <c r="H6445" s="35">
        <v>8.7003058949354823</v>
      </c>
      <c r="I6445" s="35">
        <v>-2.5009477493289567</v>
      </c>
      <c r="J6445" s="35">
        <v>5.8167657116986525E-4</v>
      </c>
      <c r="K6445" s="35">
        <v>-1.6026433086770084</v>
      </c>
      <c r="L6445" s="35">
        <v>-12.619003310547717</v>
      </c>
      <c r="M6445" s="58" t="s">
        <v>24</v>
      </c>
      <c r="N6445" s="7">
        <v>11.333333333333334</v>
      </c>
      <c r="O6445" s="7" t="s">
        <v>178</v>
      </c>
      <c r="P6445" s="7" t="s">
        <v>178</v>
      </c>
    </row>
    <row r="6446" spans="1:16" x14ac:dyDescent="0.25">
      <c r="A6446" t="s">
        <v>183</v>
      </c>
      <c r="B6446" t="s">
        <v>232</v>
      </c>
      <c r="C6446" s="7" t="s">
        <v>173</v>
      </c>
      <c r="D6446" t="s">
        <v>119</v>
      </c>
      <c r="F6446" s="35">
        <v>5.5393224575487361</v>
      </c>
      <c r="G6446" s="35">
        <v>-12.834058293088139</v>
      </c>
      <c r="H6446" s="35">
        <v>7.8454221443256413</v>
      </c>
      <c r="I6446" s="35">
        <v>-2.5009477493289567</v>
      </c>
      <c r="J6446" s="35">
        <v>5.8167657116986525E-4</v>
      </c>
      <c r="K6446" s="35">
        <v>-1.0041103471066222</v>
      </c>
      <c r="L6446" s="35">
        <v>-14.598885458692218</v>
      </c>
      <c r="M6446" s="58" t="s">
        <v>24</v>
      </c>
      <c r="N6446" s="7">
        <v>11.333333333333334</v>
      </c>
      <c r="O6446" s="7" t="s">
        <v>178</v>
      </c>
      <c r="P6446" s="7" t="s">
        <v>178</v>
      </c>
    </row>
    <row r="6447" spans="1:16" x14ac:dyDescent="0.25">
      <c r="A6447" t="s">
        <v>183</v>
      </c>
      <c r="B6447" t="s">
        <v>232</v>
      </c>
      <c r="C6447" s="7" t="s">
        <v>173</v>
      </c>
      <c r="D6447" t="s">
        <v>119</v>
      </c>
      <c r="F6447" s="35">
        <v>11.078644915097472</v>
      </c>
      <c r="G6447" s="35">
        <v>-9.8078433446924027</v>
      </c>
      <c r="H6447" s="35">
        <v>-11.941591606284202</v>
      </c>
      <c r="I6447" s="35">
        <v>-2.5009477493289567</v>
      </c>
      <c r="J6447" s="35">
        <v>5.8167657116986525E-4</v>
      </c>
      <c r="K6447" s="35">
        <v>12.849445685907238</v>
      </c>
      <c r="L6447" s="35">
        <v>-3.2538837134160326</v>
      </c>
      <c r="M6447" s="58" t="s">
        <v>23</v>
      </c>
      <c r="N6447" s="7">
        <v>11.333333333333334</v>
      </c>
      <c r="O6447" s="7" t="s">
        <v>178</v>
      </c>
      <c r="P6447" s="7" t="s">
        <v>178</v>
      </c>
    </row>
    <row r="6448" spans="1:16" x14ac:dyDescent="0.25">
      <c r="A6448" t="s">
        <v>183</v>
      </c>
      <c r="B6448" t="s">
        <v>232</v>
      </c>
      <c r="C6448" s="7" t="s">
        <v>173</v>
      </c>
      <c r="D6448" t="s">
        <v>120</v>
      </c>
      <c r="F6448" s="35">
        <v>0</v>
      </c>
      <c r="G6448" s="35">
        <v>-4.6688751636495063</v>
      </c>
      <c r="H6448" s="35">
        <v>29.087661422420677</v>
      </c>
      <c r="I6448" s="35">
        <v>-2.8332124267702107E-2</v>
      </c>
      <c r="J6448" s="35">
        <v>2.2701381810765289E-4</v>
      </c>
      <c r="K6448" s="35">
        <v>-0.14263640680222225</v>
      </c>
      <c r="L6448" s="35">
        <v>63.520076231354949</v>
      </c>
      <c r="M6448" s="58" t="s">
        <v>22</v>
      </c>
      <c r="N6448" s="7">
        <v>11.333333333333334</v>
      </c>
      <c r="O6448" s="7" t="s">
        <v>178</v>
      </c>
      <c r="P6448" s="7" t="s">
        <v>178</v>
      </c>
    </row>
    <row r="6449" spans="1:16" x14ac:dyDescent="0.25">
      <c r="A6449" t="s">
        <v>183</v>
      </c>
      <c r="B6449" t="s">
        <v>232</v>
      </c>
      <c r="C6449" s="7" t="s">
        <v>173</v>
      </c>
      <c r="D6449" t="s">
        <v>120</v>
      </c>
      <c r="F6449" s="35">
        <v>0.29999999999999988</v>
      </c>
      <c r="G6449" s="35">
        <v>-4.504980663649504</v>
      </c>
      <c r="H6449" s="35">
        <v>28.067061422420679</v>
      </c>
      <c r="I6449" s="35">
        <v>-2.8332124267702107E-2</v>
      </c>
      <c r="J6449" s="35">
        <v>2.2701381810765289E-4</v>
      </c>
      <c r="K6449" s="35">
        <v>-0.13413676952191156</v>
      </c>
      <c r="L6449" s="35">
        <v>54.946867804628759</v>
      </c>
      <c r="M6449" s="58" t="s">
        <v>22</v>
      </c>
      <c r="N6449" s="7">
        <v>11.333333333333334</v>
      </c>
      <c r="O6449" s="7" t="s">
        <v>178</v>
      </c>
      <c r="P6449" s="7" t="s">
        <v>178</v>
      </c>
    </row>
    <row r="6450" spans="1:16" x14ac:dyDescent="0.25">
      <c r="A6450" t="s">
        <v>183</v>
      </c>
      <c r="B6450" t="s">
        <v>232</v>
      </c>
      <c r="C6450" s="7" t="s">
        <v>173</v>
      </c>
      <c r="D6450" t="s">
        <v>120</v>
      </c>
      <c r="F6450" s="35">
        <v>0.29999999999999988</v>
      </c>
      <c r="G6450" s="35">
        <v>69.061237952697539</v>
      </c>
      <c r="H6450" s="35">
        <v>23.700062551470506</v>
      </c>
      <c r="I6450" s="35">
        <v>-2.8332124267702107E-2</v>
      </c>
      <c r="J6450" s="35">
        <v>-2.3262674664558742E-4</v>
      </c>
      <c r="K6450" s="35">
        <v>-0.13416434795579676</v>
      </c>
      <c r="L6450" s="35">
        <v>54.946867804628759</v>
      </c>
      <c r="M6450" s="58" t="s">
        <v>22</v>
      </c>
      <c r="N6450" s="7">
        <v>11.333333333333334</v>
      </c>
      <c r="O6450" s="7" t="s">
        <v>178</v>
      </c>
      <c r="P6450" s="7" t="s">
        <v>178</v>
      </c>
    </row>
    <row r="6451" spans="1:16" x14ac:dyDescent="0.25">
      <c r="A6451" t="s">
        <v>183</v>
      </c>
      <c r="B6451" t="s">
        <v>232</v>
      </c>
      <c r="C6451" s="7" t="s">
        <v>173</v>
      </c>
      <c r="D6451" t="s">
        <v>120</v>
      </c>
      <c r="F6451" s="35">
        <v>5.3</v>
      </c>
      <c r="G6451" s="35">
        <v>71.792812952697545</v>
      </c>
      <c r="H6451" s="35">
        <v>6.6900625514705006</v>
      </c>
      <c r="I6451" s="35">
        <v>-2.8332124267702107E-2</v>
      </c>
      <c r="J6451" s="35">
        <v>-2.3262674664558742E-4</v>
      </c>
      <c r="K6451" s="35">
        <v>7.4962733827137439E-3</v>
      </c>
      <c r="L6451" s="35">
        <v>-21.028444952723746</v>
      </c>
      <c r="M6451" s="58" t="s">
        <v>24</v>
      </c>
      <c r="N6451" s="7">
        <v>11.333333333333334</v>
      </c>
      <c r="O6451" s="7" t="s">
        <v>178</v>
      </c>
      <c r="P6451" s="7" t="s">
        <v>178</v>
      </c>
    </row>
    <row r="6452" spans="1:16" x14ac:dyDescent="0.25">
      <c r="A6452" t="s">
        <v>183</v>
      </c>
      <c r="B6452" t="s">
        <v>232</v>
      </c>
      <c r="C6452" s="7" t="s">
        <v>173</v>
      </c>
      <c r="D6452" t="s">
        <v>120</v>
      </c>
      <c r="F6452" s="35">
        <v>5.3</v>
      </c>
      <c r="G6452" s="35">
        <v>10.702349615523946</v>
      </c>
      <c r="H6452" s="35">
        <v>6.7931841288923982</v>
      </c>
      <c r="I6452" s="35">
        <v>-2.8172875956615585E-2</v>
      </c>
      <c r="J6452" s="35">
        <v>-3.2582286610933277E-4</v>
      </c>
      <c r="K6452" s="35">
        <v>7.8341926969208702E-3</v>
      </c>
      <c r="L6452" s="35">
        <v>-21.028444952723756</v>
      </c>
      <c r="M6452" s="58" t="s">
        <v>24</v>
      </c>
      <c r="N6452" s="7">
        <v>11.333333333333334</v>
      </c>
      <c r="O6452" s="7" t="s">
        <v>178</v>
      </c>
      <c r="P6452" s="7" t="s">
        <v>178</v>
      </c>
    </row>
    <row r="6453" spans="1:16" x14ac:dyDescent="0.25">
      <c r="A6453" t="s">
        <v>183</v>
      </c>
      <c r="B6453" t="s">
        <v>232</v>
      </c>
      <c r="C6453" s="7" t="s">
        <v>173</v>
      </c>
      <c r="D6453" t="s">
        <v>120</v>
      </c>
      <c r="F6453" s="35">
        <v>5.5393224575487361</v>
      </c>
      <c r="G6453" s="35">
        <v>10.833095063919687</v>
      </c>
      <c r="H6453" s="35">
        <v>5.9790091283115974</v>
      </c>
      <c r="I6453" s="35">
        <v>-2.8172875956615585E-2</v>
      </c>
      <c r="J6453" s="35">
        <v>-3.2582286610933277E-4</v>
      </c>
      <c r="K6453" s="35">
        <v>1.457659460707381E-2</v>
      </c>
      <c r="L6453" s="35">
        <v>-22.556781292024485</v>
      </c>
      <c r="M6453" s="58" t="s">
        <v>24</v>
      </c>
      <c r="N6453" s="7">
        <v>11.333333333333334</v>
      </c>
      <c r="O6453" s="7" t="s">
        <v>178</v>
      </c>
      <c r="P6453" s="7" t="s">
        <v>178</v>
      </c>
    </row>
    <row r="6454" spans="1:16" x14ac:dyDescent="0.25">
      <c r="A6454" t="s">
        <v>183</v>
      </c>
      <c r="B6454" t="s">
        <v>232</v>
      </c>
      <c r="C6454" s="7" t="s">
        <v>173</v>
      </c>
      <c r="D6454" t="s">
        <v>120</v>
      </c>
      <c r="F6454" s="35">
        <v>11.078644915097472</v>
      </c>
      <c r="G6454" s="35">
        <v>13.859310012315419</v>
      </c>
      <c r="H6454" s="35">
        <v>-12.865765872269208</v>
      </c>
      <c r="I6454" s="35">
        <v>-2.8172875956615585E-2</v>
      </c>
      <c r="J6454" s="35">
        <v>-3.2582286610933277E-4</v>
      </c>
      <c r="K6454" s="35">
        <v>0.17063523908728934</v>
      </c>
      <c r="L6454" s="35">
        <v>-3.4827981462846784</v>
      </c>
      <c r="M6454" s="58" t="s">
        <v>23</v>
      </c>
      <c r="N6454" s="7">
        <v>11.333333333333334</v>
      </c>
      <c r="O6454" s="7" t="s">
        <v>178</v>
      </c>
      <c r="P6454" s="7" t="s">
        <v>178</v>
      </c>
    </row>
    <row r="6455" spans="1:16" x14ac:dyDescent="0.25">
      <c r="A6455" t="s">
        <v>183</v>
      </c>
      <c r="B6455" t="s">
        <v>232</v>
      </c>
      <c r="C6455" s="7" t="s">
        <v>173</v>
      </c>
      <c r="D6455" t="s">
        <v>121</v>
      </c>
      <c r="F6455" s="35">
        <v>0</v>
      </c>
      <c r="G6455" s="35">
        <v>-22.181021989792566</v>
      </c>
      <c r="H6455" s="35">
        <v>12.604969647776695</v>
      </c>
      <c r="I6455" s="35">
        <v>-2.9440311481915248E-2</v>
      </c>
      <c r="J6455" s="35">
        <v>-4.1635212599812441E-4</v>
      </c>
      <c r="K6455" s="35">
        <v>-0.1400633811145478</v>
      </c>
      <c r="L6455" s="35">
        <v>30.813051891736851</v>
      </c>
      <c r="M6455" s="58" t="s">
        <v>22</v>
      </c>
      <c r="N6455" s="7">
        <v>11.333333333333334</v>
      </c>
      <c r="O6455" s="7" t="s">
        <v>178</v>
      </c>
      <c r="P6455" s="7" t="s">
        <v>178</v>
      </c>
    </row>
    <row r="6456" spans="1:16" x14ac:dyDescent="0.25">
      <c r="A6456" t="s">
        <v>183</v>
      </c>
      <c r="B6456" t="s">
        <v>232</v>
      </c>
      <c r="C6456" s="7" t="s">
        <v>173</v>
      </c>
      <c r="D6456" t="s">
        <v>121</v>
      </c>
      <c r="F6456" s="35">
        <v>0.29999999999999988</v>
      </c>
      <c r="G6456" s="35">
        <v>-22.017127489792564</v>
      </c>
      <c r="H6456" s="35">
        <v>12.378169647776694</v>
      </c>
      <c r="I6456" s="35">
        <v>-2.9440311481915248E-2</v>
      </c>
      <c r="J6456" s="35">
        <v>-4.1635212599812441E-4</v>
      </c>
      <c r="K6456" s="35">
        <v>-0.13123128766997319</v>
      </c>
      <c r="L6456" s="35">
        <v>27.065580997403842</v>
      </c>
      <c r="M6456" s="58" t="s">
        <v>22</v>
      </c>
      <c r="N6456" s="7">
        <v>11.333333333333334</v>
      </c>
      <c r="O6456" s="7" t="s">
        <v>178</v>
      </c>
      <c r="P6456" s="7" t="s">
        <v>178</v>
      </c>
    </row>
    <row r="6457" spans="1:16" x14ac:dyDescent="0.25">
      <c r="A6457" t="s">
        <v>183</v>
      </c>
      <c r="B6457" t="s">
        <v>232</v>
      </c>
      <c r="C6457" s="7" t="s">
        <v>173</v>
      </c>
      <c r="D6457" t="s">
        <v>121</v>
      </c>
      <c r="F6457" s="35">
        <v>0.29999999999999988</v>
      </c>
      <c r="G6457" s="35">
        <v>19.021159319870936</v>
      </c>
      <c r="H6457" s="35">
        <v>9.9628466852276087</v>
      </c>
      <c r="I6457" s="35">
        <v>-2.9440311481915501E-2</v>
      </c>
      <c r="J6457" s="35">
        <v>-4.9756041656919903E-4</v>
      </c>
      <c r="K6457" s="35">
        <v>-0.1312361601674075</v>
      </c>
      <c r="L6457" s="35">
        <v>27.065580997403842</v>
      </c>
      <c r="M6457" s="58" t="s">
        <v>22</v>
      </c>
      <c r="N6457" s="7">
        <v>11.333333333333334</v>
      </c>
      <c r="O6457" s="7" t="s">
        <v>178</v>
      </c>
      <c r="P6457" s="7" t="s">
        <v>178</v>
      </c>
    </row>
    <row r="6458" spans="1:16" x14ac:dyDescent="0.25">
      <c r="A6458" t="s">
        <v>183</v>
      </c>
      <c r="B6458" t="s">
        <v>232</v>
      </c>
      <c r="C6458" s="7" t="s">
        <v>173</v>
      </c>
      <c r="D6458" t="s">
        <v>121</v>
      </c>
      <c r="F6458" s="35">
        <v>5.3</v>
      </c>
      <c r="G6458" s="35">
        <v>21.752734319870932</v>
      </c>
      <c r="H6458" s="35">
        <v>6.1828466852276085</v>
      </c>
      <c r="I6458" s="35">
        <v>-2.9440311481915501E-2</v>
      </c>
      <c r="J6458" s="35">
        <v>-4.9756041656919903E-4</v>
      </c>
      <c r="K6458" s="35">
        <v>1.5965397242170023E-2</v>
      </c>
      <c r="L6458" s="35">
        <v>-13.298652428734194</v>
      </c>
      <c r="M6458" s="58" t="s">
        <v>24</v>
      </c>
      <c r="N6458" s="7">
        <v>11.333333333333334</v>
      </c>
      <c r="O6458" s="7" t="s">
        <v>178</v>
      </c>
      <c r="P6458" s="7" t="s">
        <v>178</v>
      </c>
    </row>
    <row r="6459" spans="1:16" x14ac:dyDescent="0.25">
      <c r="A6459" t="s">
        <v>183</v>
      </c>
      <c r="B6459" t="s">
        <v>232</v>
      </c>
      <c r="C6459" s="7" t="s">
        <v>173</v>
      </c>
      <c r="D6459" t="s">
        <v>121</v>
      </c>
      <c r="F6459" s="35">
        <v>5.3</v>
      </c>
      <c r="G6459" s="35">
        <v>-9.0832888278456156</v>
      </c>
      <c r="H6459" s="35">
        <v>9.2151368124369901E-2</v>
      </c>
      <c r="I6459" s="35">
        <v>-2.9412202524904459E-2</v>
      </c>
      <c r="J6459" s="35">
        <v>-5.2472579834927349E-4</v>
      </c>
      <c r="K6459" s="35">
        <v>1.602411306379814E-2</v>
      </c>
      <c r="L6459" s="35">
        <v>-13.298652428734192</v>
      </c>
      <c r="M6459" s="58" t="s">
        <v>24</v>
      </c>
      <c r="N6459" s="7">
        <v>11.333333333333334</v>
      </c>
      <c r="O6459" s="7" t="s">
        <v>178</v>
      </c>
      <c r="P6459" s="7" t="s">
        <v>178</v>
      </c>
    </row>
    <row r="6460" spans="1:16" x14ac:dyDescent="0.25">
      <c r="A6460" t="s">
        <v>183</v>
      </c>
      <c r="B6460" t="s">
        <v>232</v>
      </c>
      <c r="C6460" s="7" t="s">
        <v>173</v>
      </c>
      <c r="D6460" t="s">
        <v>121</v>
      </c>
      <c r="F6460" s="35">
        <v>5.5393224575487361</v>
      </c>
      <c r="G6460" s="35">
        <v>-8.9525433794498745</v>
      </c>
      <c r="H6460" s="35">
        <v>-8.8776409782474558E-2</v>
      </c>
      <c r="I6460" s="35">
        <v>-2.9412202524904459E-2</v>
      </c>
      <c r="J6460" s="35">
        <v>-5.2472579834927349E-4</v>
      </c>
      <c r="K6460" s="35">
        <v>2.3063113653979419E-2</v>
      </c>
      <c r="L6460" s="35">
        <v>-13.299056280396446</v>
      </c>
      <c r="M6460" s="58" t="s">
        <v>24</v>
      </c>
      <c r="N6460" s="7">
        <v>11.333333333333334</v>
      </c>
      <c r="O6460" s="7" t="s">
        <v>178</v>
      </c>
      <c r="P6460" s="7" t="s">
        <v>178</v>
      </c>
    </row>
    <row r="6461" spans="1:16" x14ac:dyDescent="0.25">
      <c r="A6461" t="s">
        <v>183</v>
      </c>
      <c r="B6461" t="s">
        <v>232</v>
      </c>
      <c r="C6461" s="7" t="s">
        <v>173</v>
      </c>
      <c r="D6461" t="s">
        <v>121</v>
      </c>
      <c r="F6461" s="35">
        <v>11.078644915097472</v>
      </c>
      <c r="G6461" s="35">
        <v>-5.9263284310541424</v>
      </c>
      <c r="H6461" s="35">
        <v>-4.2765041876893193</v>
      </c>
      <c r="I6461" s="35">
        <v>-2.9412202524904459E-2</v>
      </c>
      <c r="J6461" s="35">
        <v>-5.2472579834927349E-4</v>
      </c>
      <c r="K6461" s="35">
        <v>0.18598678762615434</v>
      </c>
      <c r="L6461" s="35">
        <v>-1.208707856857808</v>
      </c>
      <c r="M6461" s="58" t="s">
        <v>23</v>
      </c>
      <c r="N6461" s="7">
        <v>11.333333333333334</v>
      </c>
      <c r="O6461" s="7" t="s">
        <v>178</v>
      </c>
      <c r="P6461" s="7" t="s">
        <v>178</v>
      </c>
    </row>
    <row r="6462" spans="1:16" x14ac:dyDescent="0.25">
      <c r="A6462" t="s">
        <v>183</v>
      </c>
      <c r="B6462" t="s">
        <v>232</v>
      </c>
      <c r="C6462" s="7" t="s">
        <v>173</v>
      </c>
      <c r="D6462" t="s">
        <v>122</v>
      </c>
      <c r="F6462" s="35">
        <v>0</v>
      </c>
      <c r="G6462" s="35">
        <v>59.85455220909359</v>
      </c>
      <c r="H6462" s="35">
        <v>-29.990293178530205</v>
      </c>
      <c r="I6462" s="35">
        <v>5.899200388870024E-2</v>
      </c>
      <c r="J6462" s="35">
        <v>1.3487403357797083E-3</v>
      </c>
      <c r="K6462" s="35">
        <v>0.21502156562464336</v>
      </c>
      <c r="L6462" s="35">
        <v>-65.5648787815649</v>
      </c>
      <c r="M6462" s="58" t="s">
        <v>22</v>
      </c>
      <c r="N6462" s="7">
        <v>11.333333333333334</v>
      </c>
      <c r="O6462" s="7" t="s">
        <v>178</v>
      </c>
      <c r="P6462" s="7" t="s">
        <v>178</v>
      </c>
    </row>
    <row r="6463" spans="1:16" x14ac:dyDescent="0.25">
      <c r="A6463" t="s">
        <v>183</v>
      </c>
      <c r="B6463" t="s">
        <v>232</v>
      </c>
      <c r="C6463" s="7" t="s">
        <v>173</v>
      </c>
      <c r="D6463" t="s">
        <v>122</v>
      </c>
      <c r="F6463" s="35">
        <v>0.29999999999999988</v>
      </c>
      <c r="G6463" s="35">
        <v>60.018446709093588</v>
      </c>
      <c r="H6463" s="35">
        <v>-28.969693178530207</v>
      </c>
      <c r="I6463" s="35">
        <v>5.899200388870024E-2</v>
      </c>
      <c r="J6463" s="35">
        <v>1.3487403357797083E-3</v>
      </c>
      <c r="K6463" s="35">
        <v>0.19732396445803332</v>
      </c>
      <c r="L6463" s="35">
        <v>-56.720880828005853</v>
      </c>
      <c r="M6463" s="58" t="s">
        <v>22</v>
      </c>
      <c r="N6463" s="7">
        <v>11.333333333333334</v>
      </c>
      <c r="O6463" s="7" t="s">
        <v>178</v>
      </c>
      <c r="P6463" s="7" t="s">
        <v>178</v>
      </c>
    </row>
    <row r="6464" spans="1:16" x14ac:dyDescent="0.25">
      <c r="A6464" t="s">
        <v>183</v>
      </c>
      <c r="B6464" t="s">
        <v>232</v>
      </c>
      <c r="C6464" s="7" t="s">
        <v>173</v>
      </c>
      <c r="D6464" t="s">
        <v>122</v>
      </c>
      <c r="F6464" s="35">
        <v>0.29999999999999988</v>
      </c>
      <c r="G6464" s="35">
        <v>-9.9810170706581705</v>
      </c>
      <c r="H6464" s="35">
        <v>-24.722751105714337</v>
      </c>
      <c r="I6464" s="35">
        <v>5.8992003888700323E-2</v>
      </c>
      <c r="J6464" s="35">
        <v>1.0627275180558644E-4</v>
      </c>
      <c r="K6464" s="35">
        <v>0.1972494164029949</v>
      </c>
      <c r="L6464" s="35">
        <v>-56.720880828005868</v>
      </c>
      <c r="M6464" s="58" t="s">
        <v>22</v>
      </c>
      <c r="N6464" s="7">
        <v>11.333333333333334</v>
      </c>
      <c r="O6464" s="7" t="s">
        <v>178</v>
      </c>
      <c r="P6464" s="7" t="s">
        <v>178</v>
      </c>
    </row>
    <row r="6465" spans="1:16" x14ac:dyDescent="0.25">
      <c r="A6465" t="s">
        <v>183</v>
      </c>
      <c r="B6465" t="s">
        <v>232</v>
      </c>
      <c r="C6465" s="7" t="s">
        <v>173</v>
      </c>
      <c r="D6465" t="s">
        <v>122</v>
      </c>
      <c r="F6465" s="35">
        <v>5.3</v>
      </c>
      <c r="G6465" s="35">
        <v>-7.2494420706581737</v>
      </c>
      <c r="H6465" s="35">
        <v>-7.7127511057143332</v>
      </c>
      <c r="I6465" s="35">
        <v>5.8992003888700323E-2</v>
      </c>
      <c r="J6465" s="35">
        <v>1.0627275180558644E-4</v>
      </c>
      <c r="K6465" s="35">
        <v>-9.7710603040506633E-2</v>
      </c>
      <c r="L6465" s="35">
        <v>24.367874700565796</v>
      </c>
      <c r="M6465" s="58" t="s">
        <v>24</v>
      </c>
      <c r="N6465" s="7">
        <v>11.333333333333334</v>
      </c>
      <c r="O6465" s="7" t="s">
        <v>178</v>
      </c>
      <c r="P6465" s="7" t="s">
        <v>178</v>
      </c>
    </row>
    <row r="6466" spans="1:16" x14ac:dyDescent="0.25">
      <c r="A6466" t="s">
        <v>183</v>
      </c>
      <c r="B6466" t="s">
        <v>232</v>
      </c>
      <c r="C6466" s="7" t="s">
        <v>173</v>
      </c>
      <c r="D6466" t="s">
        <v>122</v>
      </c>
      <c r="F6466" s="35">
        <v>5.3</v>
      </c>
      <c r="G6466" s="35">
        <v>56.438261211674522</v>
      </c>
      <c r="H6466" s="35">
        <v>-6.2079314076018504</v>
      </c>
      <c r="I6466" s="35">
        <v>5.9392307243731249E-2</v>
      </c>
      <c r="J6466" s="35">
        <v>-7.6943285116083736E-5</v>
      </c>
      <c r="K6466" s="35">
        <v>-9.6609290689553193E-2</v>
      </c>
      <c r="L6466" s="35">
        <v>24.367874700565828</v>
      </c>
      <c r="M6466" s="58" t="s">
        <v>24</v>
      </c>
      <c r="N6466" s="7">
        <v>11.333333333333334</v>
      </c>
      <c r="O6466" s="7" t="s">
        <v>178</v>
      </c>
      <c r="P6466" s="7" t="s">
        <v>178</v>
      </c>
    </row>
    <row r="6467" spans="1:16" x14ac:dyDescent="0.25">
      <c r="A6467" t="s">
        <v>183</v>
      </c>
      <c r="B6467" t="s">
        <v>232</v>
      </c>
      <c r="C6467" s="7" t="s">
        <v>173</v>
      </c>
      <c r="D6467" t="s">
        <v>122</v>
      </c>
      <c r="F6467" s="35">
        <v>5.5393224575487361</v>
      </c>
      <c r="G6467" s="35">
        <v>56.569006660070265</v>
      </c>
      <c r="H6467" s="35">
        <v>-5.3937564070210495</v>
      </c>
      <c r="I6467" s="35">
        <v>5.9392307243731249E-2</v>
      </c>
      <c r="J6467" s="35">
        <v>-7.6943285116083736E-5</v>
      </c>
      <c r="K6467" s="35">
        <v>-0.11082320361861255</v>
      </c>
      <c r="L6467" s="35">
        <v>25.756146920320219</v>
      </c>
      <c r="M6467" s="58" t="s">
        <v>24</v>
      </c>
      <c r="N6467" s="7">
        <v>11.333333333333334</v>
      </c>
      <c r="O6467" s="7" t="s">
        <v>178</v>
      </c>
      <c r="P6467" s="7" t="s">
        <v>178</v>
      </c>
    </row>
    <row r="6468" spans="1:16" x14ac:dyDescent="0.25">
      <c r="A6468" t="s">
        <v>183</v>
      </c>
      <c r="B6468" t="s">
        <v>232</v>
      </c>
      <c r="C6468" s="7" t="s">
        <v>173</v>
      </c>
      <c r="D6468" t="s">
        <v>122</v>
      </c>
      <c r="F6468" s="35">
        <v>11.078644915097472</v>
      </c>
      <c r="G6468" s="35">
        <v>59.595221608465998</v>
      </c>
      <c r="H6468" s="35">
        <v>13.451018593559754</v>
      </c>
      <c r="I6468" s="35">
        <v>5.9392307243731249E-2</v>
      </c>
      <c r="J6468" s="35">
        <v>-7.6943285116083736E-5</v>
      </c>
      <c r="K6468" s="35">
        <v>-0.4398163449394476</v>
      </c>
      <c r="L6468" s="35">
        <v>3.4402602321941727</v>
      </c>
      <c r="M6468" s="58" t="s">
        <v>23</v>
      </c>
      <c r="N6468" s="7">
        <v>11.333333333333334</v>
      </c>
      <c r="O6468" s="7" t="s">
        <v>178</v>
      </c>
      <c r="P6468" s="7" t="s">
        <v>178</v>
      </c>
    </row>
    <row r="6469" spans="1:16" x14ac:dyDescent="0.25">
      <c r="A6469" t="s">
        <v>183</v>
      </c>
      <c r="B6469" t="s">
        <v>232</v>
      </c>
      <c r="C6469" s="7" t="s">
        <v>173</v>
      </c>
      <c r="D6469" t="s">
        <v>123</v>
      </c>
      <c r="F6469" s="35">
        <v>0</v>
      </c>
      <c r="G6469" s="35">
        <v>42.369654131077716</v>
      </c>
      <c r="H6469" s="35">
        <v>-46.465923209332473</v>
      </c>
      <c r="I6469" s="35">
        <v>5.4808801782309916E-2</v>
      </c>
      <c r="J6469" s="35">
        <v>6.9504902919233864E-4</v>
      </c>
      <c r="K6469" s="35">
        <v>0.20616497377254808</v>
      </c>
      <c r="L6469" s="35">
        <v>-98.251278566017717</v>
      </c>
      <c r="M6469" s="58" t="s">
        <v>22</v>
      </c>
      <c r="N6469" s="7">
        <v>11.333333333333334</v>
      </c>
      <c r="O6469" s="7" t="s">
        <v>178</v>
      </c>
      <c r="P6469" s="7" t="s">
        <v>178</v>
      </c>
    </row>
    <row r="6470" spans="1:16" x14ac:dyDescent="0.25">
      <c r="A6470" t="s">
        <v>183</v>
      </c>
      <c r="B6470" t="s">
        <v>232</v>
      </c>
      <c r="C6470" s="7" t="s">
        <v>173</v>
      </c>
      <c r="D6470" t="s">
        <v>123</v>
      </c>
      <c r="F6470" s="35">
        <v>0.29999999999999988</v>
      </c>
      <c r="G6470" s="35">
        <v>42.533548631077721</v>
      </c>
      <c r="H6470" s="35">
        <v>-44.651523209332474</v>
      </c>
      <c r="I6470" s="35">
        <v>5.4808801782309916E-2</v>
      </c>
      <c r="J6470" s="35">
        <v>6.9504902919233864E-4</v>
      </c>
      <c r="K6470" s="35">
        <v>0.18972233323785512</v>
      </c>
      <c r="L6470" s="35">
        <v>-84.583661603217976</v>
      </c>
      <c r="M6470" s="58" t="s">
        <v>22</v>
      </c>
      <c r="N6470" s="7">
        <v>11.333333333333334</v>
      </c>
      <c r="O6470" s="7" t="s">
        <v>178</v>
      </c>
      <c r="P6470" s="7" t="s">
        <v>178</v>
      </c>
    </row>
    <row r="6471" spans="1:16" x14ac:dyDescent="0.25">
      <c r="A6471" t="s">
        <v>183</v>
      </c>
      <c r="B6471" t="s">
        <v>232</v>
      </c>
      <c r="C6471" s="7" t="s">
        <v>173</v>
      </c>
      <c r="D6471" t="s">
        <v>123</v>
      </c>
      <c r="F6471" s="35">
        <v>0.29999999999999988</v>
      </c>
      <c r="G6471" s="35">
        <v>-59.976938539748652</v>
      </c>
      <c r="H6471" s="35">
        <v>-38.453919733052068</v>
      </c>
      <c r="I6471" s="35">
        <v>5.480880178230977E-2</v>
      </c>
      <c r="J6471" s="35">
        <v>-1.602453631808043E-4</v>
      </c>
      <c r="K6471" s="35">
        <v>0.18967101557431285</v>
      </c>
      <c r="L6471" s="35">
        <v>-84.583661603217976</v>
      </c>
      <c r="M6471" s="58" t="s">
        <v>22</v>
      </c>
      <c r="N6471" s="7">
        <v>11.333333333333334</v>
      </c>
      <c r="O6471" s="7" t="s">
        <v>178</v>
      </c>
      <c r="P6471" s="7" t="s">
        <v>178</v>
      </c>
    </row>
    <row r="6472" spans="1:16" x14ac:dyDescent="0.25">
      <c r="A6472" t="s">
        <v>183</v>
      </c>
      <c r="B6472" t="s">
        <v>232</v>
      </c>
      <c r="C6472" s="7" t="s">
        <v>173</v>
      </c>
      <c r="D6472" t="s">
        <v>123</v>
      </c>
      <c r="F6472" s="35">
        <v>5.3</v>
      </c>
      <c r="G6472" s="35">
        <v>-57.245363539748652</v>
      </c>
      <c r="H6472" s="35">
        <v>-8.2139197330520748</v>
      </c>
      <c r="I6472" s="35">
        <v>5.480880178230977E-2</v>
      </c>
      <c r="J6472" s="35">
        <v>-1.602453631808043E-4</v>
      </c>
      <c r="K6472" s="35">
        <v>-8.4372993337235927E-2</v>
      </c>
      <c r="L6472" s="35">
        <v>32.085937062042383</v>
      </c>
      <c r="M6472" s="58" t="s">
        <v>24</v>
      </c>
      <c r="N6472" s="7">
        <v>11.333333333333334</v>
      </c>
      <c r="O6472" s="7" t="s">
        <v>178</v>
      </c>
      <c r="P6472" s="7" t="s">
        <v>178</v>
      </c>
    </row>
    <row r="6473" spans="1:16" x14ac:dyDescent="0.25">
      <c r="A6473" t="s">
        <v>183</v>
      </c>
      <c r="B6473" t="s">
        <v>232</v>
      </c>
      <c r="C6473" s="7" t="s">
        <v>173</v>
      </c>
      <c r="D6473" t="s">
        <v>123</v>
      </c>
      <c r="F6473" s="35">
        <v>5.3</v>
      </c>
      <c r="G6473" s="35">
        <v>36.685092066435665</v>
      </c>
      <c r="H6473" s="35">
        <v>-12.910908584424943</v>
      </c>
      <c r="I6473" s="35">
        <v>5.5075504190286589E-2</v>
      </c>
      <c r="J6473" s="35">
        <v>-2.7706796792265493E-4</v>
      </c>
      <c r="K6473" s="35">
        <v>-8.3560863369799454E-2</v>
      </c>
      <c r="L6473" s="35">
        <v>32.08593706204239</v>
      </c>
      <c r="M6473" s="58" t="s">
        <v>24</v>
      </c>
      <c r="N6473" s="7">
        <v>11.333333333333334</v>
      </c>
      <c r="O6473" s="7" t="s">
        <v>178</v>
      </c>
      <c r="P6473" s="7" t="s">
        <v>178</v>
      </c>
    </row>
    <row r="6474" spans="1:16" x14ac:dyDescent="0.25">
      <c r="A6474" t="s">
        <v>183</v>
      </c>
      <c r="B6474" t="s">
        <v>232</v>
      </c>
      <c r="C6474" s="7" t="s">
        <v>173</v>
      </c>
      <c r="D6474" t="s">
        <v>123</v>
      </c>
      <c r="F6474" s="35">
        <v>5.5393224575487361</v>
      </c>
      <c r="G6474" s="35">
        <v>36.815837514831408</v>
      </c>
      <c r="H6474" s="35">
        <v>-11.463486361170187</v>
      </c>
      <c r="I6474" s="35">
        <v>5.5075504190286589E-2</v>
      </c>
      <c r="J6474" s="35">
        <v>-2.7706796792265493E-4</v>
      </c>
      <c r="K6474" s="35">
        <v>-9.6741668383354559E-2</v>
      </c>
      <c r="L6474" s="35">
        <v>35.002607111864052</v>
      </c>
      <c r="M6474" s="58" t="s">
        <v>24</v>
      </c>
      <c r="N6474" s="7">
        <v>11.333333333333334</v>
      </c>
      <c r="O6474" s="7" t="s">
        <v>178</v>
      </c>
      <c r="P6474" s="7" t="s">
        <v>178</v>
      </c>
    </row>
    <row r="6475" spans="1:16" x14ac:dyDescent="0.25">
      <c r="A6475" t="s">
        <v>183</v>
      </c>
      <c r="B6475" t="s">
        <v>232</v>
      </c>
      <c r="C6475" s="7" t="s">
        <v>173</v>
      </c>
      <c r="D6475" t="s">
        <v>123</v>
      </c>
      <c r="F6475" s="35">
        <v>11.078644915097472</v>
      </c>
      <c r="G6475" s="35">
        <v>39.842052463227141</v>
      </c>
      <c r="H6475" s="35">
        <v>22.038335862084573</v>
      </c>
      <c r="I6475" s="35">
        <v>5.5075504190286589E-2</v>
      </c>
      <c r="J6475" s="35">
        <v>-2.7706796792265493E-4</v>
      </c>
      <c r="K6475" s="35">
        <v>-0.40182264560542863</v>
      </c>
      <c r="L6475" s="35">
        <v>5.7138564490575066</v>
      </c>
      <c r="M6475" s="58" t="s">
        <v>23</v>
      </c>
      <c r="N6475" s="7">
        <v>11.333333333333334</v>
      </c>
      <c r="O6475" s="7" t="s">
        <v>178</v>
      </c>
      <c r="P6475" s="7" t="s">
        <v>178</v>
      </c>
    </row>
    <row r="6476" spans="1:16" x14ac:dyDescent="0.25">
      <c r="A6476" t="s">
        <v>183</v>
      </c>
      <c r="B6476" t="s">
        <v>232</v>
      </c>
      <c r="C6476" s="7" t="s">
        <v>173</v>
      </c>
      <c r="D6476" t="s">
        <v>124</v>
      </c>
      <c r="F6476" s="35">
        <v>0</v>
      </c>
      <c r="G6476" s="35">
        <v>-0.18026982686751578</v>
      </c>
      <c r="H6476" s="35">
        <v>42.896846179242687</v>
      </c>
      <c r="I6476" s="35">
        <v>1.2629283390912025</v>
      </c>
      <c r="J6476" s="35">
        <v>1.6103167751901986E-3</v>
      </c>
      <c r="K6476" s="35">
        <v>7.3729858248173095</v>
      </c>
      <c r="L6476" s="35">
        <v>85.898518857982751</v>
      </c>
      <c r="M6476" s="58" t="s">
        <v>22</v>
      </c>
      <c r="N6476" s="7">
        <v>11.333333333333334</v>
      </c>
      <c r="O6476" s="7" t="s">
        <v>178</v>
      </c>
      <c r="P6476" s="7" t="s">
        <v>178</v>
      </c>
    </row>
    <row r="6477" spans="1:16" x14ac:dyDescent="0.25">
      <c r="A6477" t="s">
        <v>183</v>
      </c>
      <c r="B6477" t="s">
        <v>232</v>
      </c>
      <c r="C6477" s="7" t="s">
        <v>173</v>
      </c>
      <c r="D6477" t="s">
        <v>124</v>
      </c>
      <c r="F6477" s="35">
        <v>0.29999999999999988</v>
      </c>
      <c r="G6477" s="35">
        <v>-1.6375326867513647E-2</v>
      </c>
      <c r="H6477" s="35">
        <v>40.912346179242689</v>
      </c>
      <c r="I6477" s="35">
        <v>1.2629283390912025</v>
      </c>
      <c r="J6477" s="35">
        <v>1.6103167751901986E-3</v>
      </c>
      <c r="K6477" s="35">
        <v>6.9941073230899482</v>
      </c>
      <c r="L6477" s="35">
        <v>73.327140004209966</v>
      </c>
      <c r="M6477" s="58" t="s">
        <v>22</v>
      </c>
      <c r="N6477" s="7">
        <v>11.333333333333334</v>
      </c>
      <c r="O6477" s="7" t="s">
        <v>178</v>
      </c>
      <c r="P6477" s="7" t="s">
        <v>178</v>
      </c>
    </row>
    <row r="6478" spans="1:16" x14ac:dyDescent="0.25">
      <c r="A6478" t="s">
        <v>183</v>
      </c>
      <c r="B6478" t="s">
        <v>232</v>
      </c>
      <c r="C6478" s="7" t="s">
        <v>173</v>
      </c>
      <c r="D6478" t="s">
        <v>124</v>
      </c>
      <c r="F6478" s="35">
        <v>0.29999999999999988</v>
      </c>
      <c r="G6478" s="35">
        <v>91.128828722772724</v>
      </c>
      <c r="H6478" s="35">
        <v>35.490608182295034</v>
      </c>
      <c r="I6478" s="35">
        <v>1.2629283390911981</v>
      </c>
      <c r="J6478" s="35">
        <v>7.2680206673414742E-4</v>
      </c>
      <c r="K6478" s="35">
        <v>6.9940543122074379</v>
      </c>
      <c r="L6478" s="35">
        <v>73.327140004209951</v>
      </c>
      <c r="M6478" s="58" t="s">
        <v>22</v>
      </c>
      <c r="N6478" s="7">
        <v>11.333333333333334</v>
      </c>
      <c r="O6478" s="7" t="s">
        <v>178</v>
      </c>
      <c r="P6478" s="7" t="s">
        <v>178</v>
      </c>
    </row>
    <row r="6479" spans="1:16" x14ac:dyDescent="0.25">
      <c r="A6479" t="s">
        <v>183</v>
      </c>
      <c r="B6479" t="s">
        <v>232</v>
      </c>
      <c r="C6479" s="7" t="s">
        <v>173</v>
      </c>
      <c r="D6479" t="s">
        <v>124</v>
      </c>
      <c r="F6479" s="35">
        <v>5.3</v>
      </c>
      <c r="G6479" s="35">
        <v>93.860403722772716</v>
      </c>
      <c r="H6479" s="35">
        <v>2.4156081822950277</v>
      </c>
      <c r="I6479" s="35">
        <v>1.2629283390911981</v>
      </c>
      <c r="J6479" s="35">
        <v>7.2680206673414742E-4</v>
      </c>
      <c r="K6479" s="35">
        <v>0.67941261675144859</v>
      </c>
      <c r="L6479" s="35">
        <v>-21.438400907265208</v>
      </c>
      <c r="M6479" s="58" t="s">
        <v>24</v>
      </c>
      <c r="N6479" s="7">
        <v>11.333333333333334</v>
      </c>
      <c r="O6479" s="7" t="s">
        <v>178</v>
      </c>
      <c r="P6479" s="7" t="s">
        <v>178</v>
      </c>
    </row>
    <row r="6480" spans="1:16" x14ac:dyDescent="0.25">
      <c r="A6480" t="s">
        <v>183</v>
      </c>
      <c r="B6480" t="s">
        <v>232</v>
      </c>
      <c r="C6480" s="7" t="s">
        <v>173</v>
      </c>
      <c r="D6480" t="s">
        <v>124</v>
      </c>
      <c r="F6480" s="35">
        <v>5.3</v>
      </c>
      <c r="G6480" s="35">
        <v>12.106695062252079</v>
      </c>
      <c r="H6480" s="35">
        <v>16.41807728775224</v>
      </c>
      <c r="I6480" s="35">
        <v>1.2631129395038658</v>
      </c>
      <c r="J6480" s="35">
        <v>7.7507303114940352E-4</v>
      </c>
      <c r="K6480" s="35">
        <v>0.68028361012828864</v>
      </c>
      <c r="L6480" s="35">
        <v>-21.438400907265194</v>
      </c>
      <c r="M6480" s="58" t="s">
        <v>24</v>
      </c>
      <c r="N6480" s="7">
        <v>11.333333333333334</v>
      </c>
      <c r="O6480" s="7" t="s">
        <v>178</v>
      </c>
      <c r="P6480" s="7" t="s">
        <v>178</v>
      </c>
    </row>
    <row r="6481" spans="1:16" x14ac:dyDescent="0.25">
      <c r="A6481" t="s">
        <v>183</v>
      </c>
      <c r="B6481" t="s">
        <v>232</v>
      </c>
      <c r="C6481" s="7" t="s">
        <v>173</v>
      </c>
      <c r="D6481" t="s">
        <v>124</v>
      </c>
      <c r="F6481" s="35">
        <v>5.5393224575487361</v>
      </c>
      <c r="G6481" s="35">
        <v>12.23744051064782</v>
      </c>
      <c r="H6481" s="35">
        <v>14.83495923106735</v>
      </c>
      <c r="I6481" s="35">
        <v>1.2631129395038658</v>
      </c>
      <c r="J6481" s="35">
        <v>7.7507303114940352E-4</v>
      </c>
      <c r="K6481" s="35">
        <v>0.37799231728461558</v>
      </c>
      <c r="L6481" s="35">
        <v>-25.178177660037342</v>
      </c>
      <c r="M6481" s="58" t="s">
        <v>24</v>
      </c>
      <c r="N6481" s="7">
        <v>11.333333333333334</v>
      </c>
      <c r="O6481" s="7" t="s">
        <v>178</v>
      </c>
      <c r="P6481" s="7" t="s">
        <v>178</v>
      </c>
    </row>
    <row r="6482" spans="1:16" x14ac:dyDescent="0.25">
      <c r="A6482" t="s">
        <v>183</v>
      </c>
      <c r="B6482" t="s">
        <v>232</v>
      </c>
      <c r="C6482" s="7" t="s">
        <v>173</v>
      </c>
      <c r="D6482" t="s">
        <v>124</v>
      </c>
      <c r="F6482" s="35">
        <v>11.078644915097472</v>
      </c>
      <c r="G6482" s="35">
        <v>15.263655459043552</v>
      </c>
      <c r="H6482" s="35">
        <v>-21.807658825617544</v>
      </c>
      <c r="I6482" s="35">
        <v>1.2631129395038658</v>
      </c>
      <c r="J6482" s="35">
        <v>7.7507303114940352E-4</v>
      </c>
      <c r="K6482" s="35">
        <v>-6.6187975549295466</v>
      </c>
      <c r="L6482" s="35">
        <v>-5.8661619331209103</v>
      </c>
      <c r="M6482" s="58" t="s">
        <v>23</v>
      </c>
      <c r="N6482" s="7">
        <v>11.333333333333334</v>
      </c>
      <c r="O6482" s="7" t="s">
        <v>178</v>
      </c>
      <c r="P6482" s="7" t="s">
        <v>178</v>
      </c>
    </row>
    <row r="6483" spans="1:16" x14ac:dyDescent="0.25">
      <c r="A6483" t="s">
        <v>183</v>
      </c>
      <c r="B6483" t="s">
        <v>232</v>
      </c>
      <c r="C6483" s="7" t="s">
        <v>173</v>
      </c>
      <c r="D6483" t="s">
        <v>125</v>
      </c>
      <c r="F6483" s="35">
        <v>0</v>
      </c>
      <c r="G6483" s="35">
        <v>-48.570711703553393</v>
      </c>
      <c r="H6483" s="35">
        <v>27.265304935189292</v>
      </c>
      <c r="I6483" s="35">
        <v>2.6431447797999872</v>
      </c>
      <c r="J6483" s="35">
        <v>9.8300514944784766E-4</v>
      </c>
      <c r="K6483" s="35">
        <v>15.911221546410857</v>
      </c>
      <c r="L6483" s="35">
        <v>55.310354332961047</v>
      </c>
      <c r="M6483" s="58" t="s">
        <v>22</v>
      </c>
      <c r="N6483" s="7">
        <v>11.333333333333334</v>
      </c>
      <c r="O6483" s="7" t="s">
        <v>178</v>
      </c>
      <c r="P6483" s="7" t="s">
        <v>178</v>
      </c>
    </row>
    <row r="6484" spans="1:16" x14ac:dyDescent="0.25">
      <c r="A6484" t="s">
        <v>183</v>
      </c>
      <c r="B6484" t="s">
        <v>232</v>
      </c>
      <c r="C6484" s="7" t="s">
        <v>173</v>
      </c>
      <c r="D6484" t="s">
        <v>125</v>
      </c>
      <c r="F6484" s="35">
        <v>0.29999999999999988</v>
      </c>
      <c r="G6484" s="35">
        <v>-48.406817203553402</v>
      </c>
      <c r="H6484" s="35">
        <v>26.074604935189292</v>
      </c>
      <c r="I6484" s="35">
        <v>2.6431447797999872</v>
      </c>
      <c r="J6484" s="35">
        <v>9.8300514944784766E-4</v>
      </c>
      <c r="K6484" s="35">
        <v>15.118278112470861</v>
      </c>
      <c r="L6484" s="35">
        <v>47.309367852404264</v>
      </c>
      <c r="M6484" s="58" t="s">
        <v>22</v>
      </c>
      <c r="N6484" s="7">
        <v>11.333333333333334</v>
      </c>
      <c r="O6484" s="7" t="s">
        <v>178</v>
      </c>
      <c r="P6484" s="7" t="s">
        <v>178</v>
      </c>
    </row>
    <row r="6485" spans="1:16" x14ac:dyDescent="0.25">
      <c r="A6485" t="s">
        <v>183</v>
      </c>
      <c r="B6485" t="s">
        <v>232</v>
      </c>
      <c r="C6485" s="7" t="s">
        <v>173</v>
      </c>
      <c r="D6485" t="s">
        <v>125</v>
      </c>
      <c r="F6485" s="35">
        <v>0.29999999999999988</v>
      </c>
      <c r="G6485" s="35">
        <v>12.404742736441502</v>
      </c>
      <c r="H6485" s="35">
        <v>22.472885584820343</v>
      </c>
      <c r="I6485" s="35">
        <v>2.643144779799989</v>
      </c>
      <c r="J6485" s="35">
        <v>5.8839414108342392E-4</v>
      </c>
      <c r="K6485" s="35">
        <v>15.118254435810357</v>
      </c>
      <c r="L6485" s="35">
        <v>47.309367852404257</v>
      </c>
      <c r="M6485" s="58" t="s">
        <v>22</v>
      </c>
      <c r="N6485" s="7">
        <v>11.333333333333334</v>
      </c>
      <c r="O6485" s="7" t="s">
        <v>178</v>
      </c>
      <c r="P6485" s="7" t="s">
        <v>178</v>
      </c>
    </row>
    <row r="6486" spans="1:16" x14ac:dyDescent="0.25">
      <c r="A6486" t="s">
        <v>183</v>
      </c>
      <c r="B6486" t="s">
        <v>232</v>
      </c>
      <c r="C6486" s="7" t="s">
        <v>173</v>
      </c>
      <c r="D6486" t="s">
        <v>125</v>
      </c>
      <c r="F6486" s="35">
        <v>5.3</v>
      </c>
      <c r="G6486" s="35">
        <v>15.1363177364415</v>
      </c>
      <c r="H6486" s="35">
        <v>2.6278855848203371</v>
      </c>
      <c r="I6486" s="35">
        <v>2.643144779799989</v>
      </c>
      <c r="J6486" s="35">
        <v>5.8839414108342392E-4</v>
      </c>
      <c r="K6486" s="35">
        <v>1.9025305368104117</v>
      </c>
      <c r="L6486" s="35">
        <v>-15.442560071697431</v>
      </c>
      <c r="M6486" s="58" t="s">
        <v>24</v>
      </c>
      <c r="N6486" s="7">
        <v>11.333333333333334</v>
      </c>
      <c r="O6486" s="7" t="s">
        <v>178</v>
      </c>
      <c r="P6486" s="7" t="s">
        <v>178</v>
      </c>
    </row>
    <row r="6487" spans="1:16" x14ac:dyDescent="0.25">
      <c r="A6487" t="s">
        <v>183</v>
      </c>
      <c r="B6487" t="s">
        <v>232</v>
      </c>
      <c r="C6487" s="7" t="s">
        <v>173</v>
      </c>
      <c r="D6487" t="s">
        <v>125</v>
      </c>
      <c r="F6487" s="35">
        <v>5.3</v>
      </c>
      <c r="G6487" s="35">
        <v>-38.522819678802293</v>
      </c>
      <c r="H6487" s="35">
        <v>9.4296532238656585</v>
      </c>
      <c r="I6487" s="35">
        <v>2.6430154472032195</v>
      </c>
      <c r="J6487" s="35">
        <v>9.2378757364469123E-4</v>
      </c>
      <c r="K6487" s="35">
        <v>1.9032505689866073</v>
      </c>
      <c r="L6487" s="35">
        <v>-15.442560071697418</v>
      </c>
      <c r="M6487" s="58" t="s">
        <v>24</v>
      </c>
      <c r="N6487" s="7">
        <v>11.333333333333334</v>
      </c>
      <c r="O6487" s="7" t="s">
        <v>178</v>
      </c>
      <c r="P6487" s="7" t="s">
        <v>178</v>
      </c>
    </row>
    <row r="6488" spans="1:16" x14ac:dyDescent="0.25">
      <c r="A6488" t="s">
        <v>183</v>
      </c>
      <c r="B6488" t="s">
        <v>232</v>
      </c>
      <c r="C6488" s="7" t="s">
        <v>173</v>
      </c>
      <c r="D6488" t="s">
        <v>125</v>
      </c>
      <c r="F6488" s="35">
        <v>5.5393224575487361</v>
      </c>
      <c r="G6488" s="35">
        <v>-38.39207423040655</v>
      </c>
      <c r="H6488" s="35">
        <v>8.4797823898547247</v>
      </c>
      <c r="I6488" s="35">
        <v>2.6430154472032195</v>
      </c>
      <c r="J6488" s="35">
        <v>9.2378757364469123E-4</v>
      </c>
      <c r="K6488" s="35">
        <v>1.270717616822661</v>
      </c>
      <c r="L6488" s="35">
        <v>-17.585625143890628</v>
      </c>
      <c r="M6488" s="58" t="s">
        <v>24</v>
      </c>
      <c r="N6488" s="7">
        <v>11.333333333333334</v>
      </c>
      <c r="O6488" s="7" t="s">
        <v>178</v>
      </c>
      <c r="P6488" s="7" t="s">
        <v>178</v>
      </c>
    </row>
    <row r="6489" spans="1:16" x14ac:dyDescent="0.25">
      <c r="A6489" t="s">
        <v>183</v>
      </c>
      <c r="B6489" t="s">
        <v>232</v>
      </c>
      <c r="C6489" s="7" t="s">
        <v>173</v>
      </c>
      <c r="D6489" t="s">
        <v>125</v>
      </c>
      <c r="F6489" s="35">
        <v>11.078644915097472</v>
      </c>
      <c r="G6489" s="35">
        <v>-35.365859282010817</v>
      </c>
      <c r="H6489" s="35">
        <v>-13.505788444156209</v>
      </c>
      <c r="I6489" s="35">
        <v>2.6430154472032195</v>
      </c>
      <c r="J6489" s="35">
        <v>9.2378757364469123E-4</v>
      </c>
      <c r="K6489" s="35">
        <v>-13.369797205518349</v>
      </c>
      <c r="L6489" s="35">
        <v>-3.6652910397065614</v>
      </c>
      <c r="M6489" s="58" t="s">
        <v>23</v>
      </c>
      <c r="N6489" s="7">
        <v>11.333333333333334</v>
      </c>
      <c r="O6489" s="7" t="s">
        <v>178</v>
      </c>
      <c r="P6489" s="7" t="s">
        <v>178</v>
      </c>
    </row>
    <row r="6490" spans="1:16" x14ac:dyDescent="0.25">
      <c r="A6490" t="s">
        <v>183</v>
      </c>
      <c r="B6490" t="s">
        <v>232</v>
      </c>
      <c r="C6490" s="7" t="s">
        <v>173</v>
      </c>
      <c r="D6490" t="s">
        <v>126</v>
      </c>
      <c r="F6490" s="35">
        <v>0</v>
      </c>
      <c r="G6490" s="35">
        <v>1.8534703504053247</v>
      </c>
      <c r="H6490" s="35">
        <v>42.740899397194269</v>
      </c>
      <c r="I6490" s="35">
        <v>-1.205177385480557</v>
      </c>
      <c r="J6490" s="35">
        <v>8.5023268403495685E-4</v>
      </c>
      <c r="K6490" s="35">
        <v>-7.2068877590029956</v>
      </c>
      <c r="L6490" s="35">
        <v>85.507450619465402</v>
      </c>
      <c r="M6490" s="58" t="s">
        <v>22</v>
      </c>
      <c r="N6490" s="7">
        <v>11.333333333333334</v>
      </c>
      <c r="O6490" s="7" t="s">
        <v>178</v>
      </c>
      <c r="P6490" s="7" t="s">
        <v>178</v>
      </c>
    </row>
    <row r="6491" spans="1:16" x14ac:dyDescent="0.25">
      <c r="A6491" t="s">
        <v>183</v>
      </c>
      <c r="B6491" t="s">
        <v>232</v>
      </c>
      <c r="C6491" s="7" t="s">
        <v>173</v>
      </c>
      <c r="D6491" t="s">
        <v>126</v>
      </c>
      <c r="F6491" s="35">
        <v>0.29999999999999988</v>
      </c>
      <c r="G6491" s="35">
        <v>2.0173648504053268</v>
      </c>
      <c r="H6491" s="35">
        <v>40.756399397194265</v>
      </c>
      <c r="I6491" s="35">
        <v>-1.205177385480557</v>
      </c>
      <c r="J6491" s="35">
        <v>8.5023268403495685E-4</v>
      </c>
      <c r="K6491" s="35">
        <v>-6.8453345433588293</v>
      </c>
      <c r="L6491" s="35">
        <v>72.982855800307121</v>
      </c>
      <c r="M6491" s="58" t="s">
        <v>22</v>
      </c>
      <c r="N6491" s="7">
        <v>11.333333333333334</v>
      </c>
      <c r="O6491" s="7" t="s">
        <v>178</v>
      </c>
      <c r="P6491" s="7" t="s">
        <v>178</v>
      </c>
    </row>
    <row r="6492" spans="1:16" x14ac:dyDescent="0.25">
      <c r="A6492" t="s">
        <v>183</v>
      </c>
      <c r="B6492" t="s">
        <v>232</v>
      </c>
      <c r="C6492" s="7" t="s">
        <v>173</v>
      </c>
      <c r="D6492" t="s">
        <v>126</v>
      </c>
      <c r="F6492" s="35">
        <v>0.29999999999999988</v>
      </c>
      <c r="G6492" s="35">
        <v>92.405706465123572</v>
      </c>
      <c r="H6492" s="35">
        <v>35.380073146341971</v>
      </c>
      <c r="I6492" s="35">
        <v>-1.2051773854805492</v>
      </c>
      <c r="J6492" s="35">
        <v>8.5978186820764391E-4</v>
      </c>
      <c r="K6492" s="35">
        <v>-6.84533397040778</v>
      </c>
      <c r="L6492" s="35">
        <v>72.982855800307107</v>
      </c>
      <c r="M6492" s="58" t="s">
        <v>22</v>
      </c>
      <c r="N6492" s="7">
        <v>11.333333333333334</v>
      </c>
      <c r="O6492" s="7" t="s">
        <v>178</v>
      </c>
      <c r="P6492" s="7" t="s">
        <v>178</v>
      </c>
    </row>
    <row r="6493" spans="1:16" x14ac:dyDescent="0.25">
      <c r="A6493" t="s">
        <v>183</v>
      </c>
      <c r="B6493" t="s">
        <v>232</v>
      </c>
      <c r="C6493" s="7" t="s">
        <v>173</v>
      </c>
      <c r="D6493" t="s">
        <v>126</v>
      </c>
      <c r="F6493" s="35">
        <v>5.3</v>
      </c>
      <c r="G6493" s="35">
        <v>95.137281465123564</v>
      </c>
      <c r="H6493" s="35">
        <v>2.3050731463419685</v>
      </c>
      <c r="I6493" s="35">
        <v>-1.2051773854805492</v>
      </c>
      <c r="J6493" s="35">
        <v>8.5978186820764391E-4</v>
      </c>
      <c r="K6493" s="35">
        <v>-0.81944704300503601</v>
      </c>
      <c r="L6493" s="35">
        <v>-21.230009931402744</v>
      </c>
      <c r="M6493" s="58" t="s">
        <v>24</v>
      </c>
      <c r="N6493" s="7">
        <v>11.333333333333334</v>
      </c>
      <c r="O6493" s="7" t="s">
        <v>178</v>
      </c>
      <c r="P6493" s="7" t="s">
        <v>178</v>
      </c>
    </row>
    <row r="6494" spans="1:16" x14ac:dyDescent="0.25">
      <c r="A6494" t="s">
        <v>183</v>
      </c>
      <c r="B6494" t="s">
        <v>232</v>
      </c>
      <c r="C6494" s="7" t="s">
        <v>173</v>
      </c>
      <c r="D6494" t="s">
        <v>126</v>
      </c>
      <c r="F6494" s="35">
        <v>5.3</v>
      </c>
      <c r="G6494" s="35">
        <v>14.004031843804977</v>
      </c>
      <c r="H6494" s="35">
        <v>16.452610844222153</v>
      </c>
      <c r="I6494" s="35">
        <v>-1.2050780703086055</v>
      </c>
      <c r="J6494" s="35">
        <v>7.0335730151412448E-4</v>
      </c>
      <c r="K6494" s="35">
        <v>-0.81956522482942162</v>
      </c>
      <c r="L6494" s="35">
        <v>-21.230009931402734</v>
      </c>
      <c r="M6494" s="58" t="s">
        <v>24</v>
      </c>
      <c r="N6494" s="7">
        <v>11.333333333333334</v>
      </c>
      <c r="O6494" s="7" t="s">
        <v>178</v>
      </c>
      <c r="P6494" s="7" t="s">
        <v>178</v>
      </c>
    </row>
    <row r="6495" spans="1:16" x14ac:dyDescent="0.25">
      <c r="A6495" t="s">
        <v>183</v>
      </c>
      <c r="B6495" t="s">
        <v>232</v>
      </c>
      <c r="C6495" s="7" t="s">
        <v>173</v>
      </c>
      <c r="D6495" t="s">
        <v>126</v>
      </c>
      <c r="F6495" s="35">
        <v>5.5393224575487361</v>
      </c>
      <c r="G6495" s="35">
        <v>14.134777292200718</v>
      </c>
      <c r="H6495" s="35">
        <v>14.869492787537261</v>
      </c>
      <c r="I6495" s="35">
        <v>-1.2050780703086055</v>
      </c>
      <c r="J6495" s="35">
        <v>7.0335730151412448E-4</v>
      </c>
      <c r="K6495" s="35">
        <v>-0.53116297950507751</v>
      </c>
      <c r="L6495" s="35">
        <v>-24.97805133977716</v>
      </c>
      <c r="M6495" s="58" t="s">
        <v>24</v>
      </c>
      <c r="N6495" s="7">
        <v>11.333333333333334</v>
      </c>
      <c r="O6495" s="7" t="s">
        <v>178</v>
      </c>
      <c r="P6495" s="7" t="s">
        <v>178</v>
      </c>
    </row>
    <row r="6496" spans="1:16" x14ac:dyDescent="0.25">
      <c r="A6496" t="s">
        <v>183</v>
      </c>
      <c r="B6496" t="s">
        <v>232</v>
      </c>
      <c r="C6496" s="7" t="s">
        <v>173</v>
      </c>
      <c r="D6496" t="s">
        <v>126</v>
      </c>
      <c r="F6496" s="35">
        <v>11.078644915097472</v>
      </c>
      <c r="G6496" s="35">
        <v>17.16099224059645</v>
      </c>
      <c r="H6496" s="35">
        <v>-21.773125269147631</v>
      </c>
      <c r="I6496" s="35">
        <v>-1.2050780703086055</v>
      </c>
      <c r="J6496" s="35">
        <v>7.0335730151412448E-4</v>
      </c>
      <c r="K6496" s="35">
        <v>6.1441530384548759</v>
      </c>
      <c r="L6496" s="35">
        <v>-5.8573281177535472</v>
      </c>
      <c r="M6496" s="58" t="s">
        <v>23</v>
      </c>
      <c r="N6496" s="7">
        <v>11.333333333333334</v>
      </c>
      <c r="O6496" s="7" t="s">
        <v>178</v>
      </c>
      <c r="P6496" s="7" t="s">
        <v>178</v>
      </c>
    </row>
    <row r="6497" spans="1:16" x14ac:dyDescent="0.25">
      <c r="A6497" t="s">
        <v>183</v>
      </c>
      <c r="B6497" t="s">
        <v>232</v>
      </c>
      <c r="C6497" s="7" t="s">
        <v>173</v>
      </c>
      <c r="D6497" t="s">
        <v>127</v>
      </c>
      <c r="F6497" s="35">
        <v>0</v>
      </c>
      <c r="G6497" s="35">
        <v>-19.868528571907341</v>
      </c>
      <c r="H6497" s="35">
        <v>26.325637348725415</v>
      </c>
      <c r="I6497" s="35">
        <v>-2.773022147345972</v>
      </c>
      <c r="J6497" s="35">
        <v>1.0172946287319354E-3</v>
      </c>
      <c r="K6497" s="35">
        <v>-16.483699295145581</v>
      </c>
      <c r="L6497" s="35">
        <v>53.022216073679182</v>
      </c>
      <c r="M6497" s="58" t="s">
        <v>22</v>
      </c>
      <c r="N6497" s="7">
        <v>11.333333333333334</v>
      </c>
      <c r="O6497" s="7" t="s">
        <v>178</v>
      </c>
      <c r="P6497" s="7" t="s">
        <v>178</v>
      </c>
    </row>
    <row r="6498" spans="1:16" x14ac:dyDescent="0.25">
      <c r="A6498" t="s">
        <v>183</v>
      </c>
      <c r="B6498" t="s">
        <v>232</v>
      </c>
      <c r="C6498" s="7" t="s">
        <v>173</v>
      </c>
      <c r="D6498" t="s">
        <v>127</v>
      </c>
      <c r="F6498" s="35">
        <v>0.29999999999999988</v>
      </c>
      <c r="G6498" s="35">
        <v>-19.704634071907339</v>
      </c>
      <c r="H6498" s="35">
        <v>25.134937348725416</v>
      </c>
      <c r="I6498" s="35">
        <v>-2.773022147345972</v>
      </c>
      <c r="J6498" s="35">
        <v>1.0172946287319354E-3</v>
      </c>
      <c r="K6498" s="35">
        <v>-15.65179265094179</v>
      </c>
      <c r="L6498" s="35">
        <v>45.303129869061564</v>
      </c>
      <c r="M6498" s="58" t="s">
        <v>22</v>
      </c>
      <c r="N6498" s="7">
        <v>11.333333333333334</v>
      </c>
      <c r="O6498" s="7" t="s">
        <v>178</v>
      </c>
      <c r="P6498" s="7" t="s">
        <v>178</v>
      </c>
    </row>
    <row r="6499" spans="1:16" x14ac:dyDescent="0.25">
      <c r="A6499" t="s">
        <v>183</v>
      </c>
      <c r="B6499" t="s">
        <v>232</v>
      </c>
      <c r="C6499" s="7" t="s">
        <v>173</v>
      </c>
      <c r="D6499" t="s">
        <v>127</v>
      </c>
      <c r="F6499" s="35">
        <v>0.29999999999999988</v>
      </c>
      <c r="G6499" s="35">
        <v>37.608430536284409</v>
      </c>
      <c r="H6499" s="35">
        <v>21.743127718264574</v>
      </c>
      <c r="I6499" s="35">
        <v>-2.7730221473459564</v>
      </c>
      <c r="J6499" s="35">
        <v>9.4329797910814727E-4</v>
      </c>
      <c r="K6499" s="35">
        <v>-15.651797090740779</v>
      </c>
      <c r="L6499" s="35">
        <v>45.303129869061564</v>
      </c>
      <c r="M6499" s="58" t="s">
        <v>22</v>
      </c>
      <c r="N6499" s="7">
        <v>11.333333333333334</v>
      </c>
      <c r="O6499" s="7" t="s">
        <v>178</v>
      </c>
      <c r="P6499" s="7" t="s">
        <v>178</v>
      </c>
    </row>
    <row r="6500" spans="1:16" x14ac:dyDescent="0.25">
      <c r="A6500" t="s">
        <v>183</v>
      </c>
      <c r="B6500" t="s">
        <v>232</v>
      </c>
      <c r="C6500" s="7" t="s">
        <v>173</v>
      </c>
      <c r="D6500" t="s">
        <v>127</v>
      </c>
      <c r="F6500" s="35">
        <v>5.3</v>
      </c>
      <c r="G6500" s="35">
        <v>40.340005536284409</v>
      </c>
      <c r="H6500" s="35">
        <v>1.8981277182645706</v>
      </c>
      <c r="I6500" s="35">
        <v>-2.7730221473459564</v>
      </c>
      <c r="J6500" s="35">
        <v>9.4329797910814727E-4</v>
      </c>
      <c r="K6500" s="35">
        <v>-1.786686354010997</v>
      </c>
      <c r="L6500" s="35">
        <v>-13.800008722261282</v>
      </c>
      <c r="M6500" s="58" t="s">
        <v>24</v>
      </c>
      <c r="N6500" s="7">
        <v>11.333333333333334</v>
      </c>
      <c r="O6500" s="7" t="s">
        <v>178</v>
      </c>
      <c r="P6500" s="7" t="s">
        <v>178</v>
      </c>
    </row>
    <row r="6501" spans="1:16" x14ac:dyDescent="0.25">
      <c r="A6501" t="s">
        <v>183</v>
      </c>
      <c r="B6501" t="s">
        <v>232</v>
      </c>
      <c r="C6501" s="7" t="s">
        <v>173</v>
      </c>
      <c r="D6501" t="s">
        <v>127</v>
      </c>
      <c r="F6501" s="35">
        <v>5.3</v>
      </c>
      <c r="G6501" s="35">
        <v>-10.161011732376556</v>
      </c>
      <c r="H6501" s="35">
        <v>9.7018907381520734</v>
      </c>
      <c r="I6501" s="35">
        <v>-2.7728289913117146</v>
      </c>
      <c r="J6501" s="35">
        <v>6.1304626681263298E-4</v>
      </c>
      <c r="K6501" s="35">
        <v>-1.7865207285514342</v>
      </c>
      <c r="L6501" s="35">
        <v>-13.800008722261277</v>
      </c>
      <c r="M6501" s="58" t="s">
        <v>24</v>
      </c>
      <c r="N6501" s="7">
        <v>11.333333333333334</v>
      </c>
      <c r="O6501" s="7" t="s">
        <v>178</v>
      </c>
      <c r="P6501" s="7" t="s">
        <v>178</v>
      </c>
    </row>
    <row r="6502" spans="1:16" x14ac:dyDescent="0.25">
      <c r="A6502" t="s">
        <v>183</v>
      </c>
      <c r="B6502" t="s">
        <v>232</v>
      </c>
      <c r="C6502" s="7" t="s">
        <v>173</v>
      </c>
      <c r="D6502" t="s">
        <v>127</v>
      </c>
      <c r="F6502" s="35">
        <v>5.5393224575487361</v>
      </c>
      <c r="G6502" s="35">
        <v>-10.030266283980817</v>
      </c>
      <c r="H6502" s="35">
        <v>8.7520199041411395</v>
      </c>
      <c r="I6502" s="35">
        <v>-2.7728289913117146</v>
      </c>
      <c r="J6502" s="35">
        <v>6.1304626681263298E-4</v>
      </c>
      <c r="K6502" s="35">
        <v>-1.1229204799883317</v>
      </c>
      <c r="L6502" s="35">
        <v>-16.008226345410471</v>
      </c>
      <c r="M6502" s="58" t="s">
        <v>24</v>
      </c>
      <c r="N6502" s="7">
        <v>11.333333333333334</v>
      </c>
      <c r="O6502" s="7" t="s">
        <v>178</v>
      </c>
      <c r="P6502" s="7" t="s">
        <v>178</v>
      </c>
    </row>
    <row r="6503" spans="1:16" x14ac:dyDescent="0.25">
      <c r="A6503" t="s">
        <v>183</v>
      </c>
      <c r="B6503" t="s">
        <v>232</v>
      </c>
      <c r="C6503" s="7" t="s">
        <v>173</v>
      </c>
      <c r="D6503" t="s">
        <v>127</v>
      </c>
      <c r="F6503" s="35">
        <v>11.078644915097472</v>
      </c>
      <c r="G6503" s="35">
        <v>-7.0040513355850837</v>
      </c>
      <c r="H6503" s="35">
        <v>-13.233550929869795</v>
      </c>
      <c r="I6503" s="35">
        <v>-2.7728289913117146</v>
      </c>
      <c r="J6503" s="35">
        <v>6.1304626681263298E-4</v>
      </c>
      <c r="K6503" s="35">
        <v>14.236673422526861</v>
      </c>
      <c r="L6503" s="35">
        <v>-3.5959036179003934</v>
      </c>
      <c r="M6503" s="58" t="s">
        <v>23</v>
      </c>
      <c r="N6503" s="7">
        <v>11.333333333333334</v>
      </c>
      <c r="O6503" s="7" t="s">
        <v>178</v>
      </c>
      <c r="P6503" s="7" t="s">
        <v>178</v>
      </c>
    </row>
    <row r="6504" spans="1:16" x14ac:dyDescent="0.25">
      <c r="A6504" t="s">
        <v>183</v>
      </c>
      <c r="B6504" t="s">
        <v>233</v>
      </c>
      <c r="C6504" s="7" t="s">
        <v>174</v>
      </c>
      <c r="D6504" t="s">
        <v>105</v>
      </c>
      <c r="F6504" s="35">
        <v>0</v>
      </c>
      <c r="G6504" s="35">
        <v>-34.086433111064416</v>
      </c>
      <c r="H6504" s="35">
        <v>-4.0334148686266322E-2</v>
      </c>
      <c r="I6504" s="35">
        <v>4.2632884071088391E-5</v>
      </c>
      <c r="J6504" s="35">
        <v>1.5415129179961828E-7</v>
      </c>
      <c r="K6504" s="35">
        <v>2.7086352324271834E-4</v>
      </c>
      <c r="L6504" s="35">
        <v>-0.59992890299511259</v>
      </c>
      <c r="M6504" s="58" t="s">
        <v>22</v>
      </c>
      <c r="N6504" s="7">
        <v>12.25</v>
      </c>
      <c r="O6504" s="7" t="s">
        <v>178</v>
      </c>
      <c r="P6504" s="7" t="s">
        <v>178</v>
      </c>
    </row>
    <row r="6505" spans="1:16" x14ac:dyDescent="0.25">
      <c r="A6505" t="s">
        <v>183</v>
      </c>
      <c r="B6505" t="s">
        <v>233</v>
      </c>
      <c r="C6505" s="7" t="s">
        <v>174</v>
      </c>
      <c r="D6505" t="s">
        <v>105</v>
      </c>
      <c r="F6505" s="35">
        <v>5.99765579088207</v>
      </c>
      <c r="G6505" s="35">
        <v>-30.809823787668673</v>
      </c>
      <c r="H6505" s="35">
        <v>-4.0334148686266322E-2</v>
      </c>
      <c r="I6505" s="35">
        <v>4.2632884071088391E-5</v>
      </c>
      <c r="J6505" s="35">
        <v>1.5415129179961828E-7</v>
      </c>
      <c r="K6505" s="35">
        <v>1.5166159211751129E-5</v>
      </c>
      <c r="L6505" s="35">
        <v>-0.35801856255662889</v>
      </c>
      <c r="M6505" s="58" t="s">
        <v>24</v>
      </c>
      <c r="N6505" s="7">
        <v>12.25</v>
      </c>
      <c r="O6505" s="7" t="s">
        <v>178</v>
      </c>
      <c r="P6505" s="7" t="s">
        <v>178</v>
      </c>
    </row>
    <row r="6506" spans="1:16" x14ac:dyDescent="0.25">
      <c r="A6506" t="s">
        <v>183</v>
      </c>
      <c r="B6506" t="s">
        <v>233</v>
      </c>
      <c r="C6506" s="7" t="s">
        <v>174</v>
      </c>
      <c r="D6506" t="s">
        <v>105</v>
      </c>
      <c r="F6506" s="35">
        <v>11.99531158176414</v>
      </c>
      <c r="G6506" s="35">
        <v>-27.533214464272934</v>
      </c>
      <c r="H6506" s="35">
        <v>-4.0334148686266322E-2</v>
      </c>
      <c r="I6506" s="35">
        <v>4.2632884071088391E-5</v>
      </c>
      <c r="J6506" s="35">
        <v>1.5415129179961828E-7</v>
      </c>
      <c r="K6506" s="35">
        <v>-2.4053120481921613E-4</v>
      </c>
      <c r="L6506" s="35">
        <v>-0.11610822211814528</v>
      </c>
      <c r="M6506" s="58" t="s">
        <v>23</v>
      </c>
      <c r="N6506" s="7">
        <v>12.25</v>
      </c>
      <c r="O6506" s="7" t="s">
        <v>178</v>
      </c>
      <c r="P6506" s="7" t="s">
        <v>178</v>
      </c>
    </row>
    <row r="6507" spans="1:16" x14ac:dyDescent="0.25">
      <c r="A6507" t="s">
        <v>183</v>
      </c>
      <c r="B6507" t="s">
        <v>233</v>
      </c>
      <c r="C6507" s="7" t="s">
        <v>174</v>
      </c>
      <c r="D6507" t="s">
        <v>15</v>
      </c>
      <c r="F6507" s="35">
        <v>0</v>
      </c>
      <c r="G6507" s="35">
        <v>21.382078401716551</v>
      </c>
      <c r="H6507" s="35">
        <v>26.728486543475981</v>
      </c>
      <c r="I6507" s="35">
        <v>-9.0741407416052055E-4</v>
      </c>
      <c r="J6507" s="35">
        <v>-3.2804694238177984E-6</v>
      </c>
      <c r="K6507" s="35">
        <v>-5.7651560351138845E-3</v>
      </c>
      <c r="L6507" s="35">
        <v>72.088291253640364</v>
      </c>
      <c r="M6507" s="58" t="s">
        <v>22</v>
      </c>
      <c r="N6507" s="7">
        <v>12.25</v>
      </c>
      <c r="O6507" s="7" t="s">
        <v>178</v>
      </c>
      <c r="P6507" s="7" t="s">
        <v>178</v>
      </c>
    </row>
    <row r="6508" spans="1:16" x14ac:dyDescent="0.25">
      <c r="A6508" t="s">
        <v>183</v>
      </c>
      <c r="B6508" t="s">
        <v>233</v>
      </c>
      <c r="C6508" s="7" t="s">
        <v>174</v>
      </c>
      <c r="D6508" t="s">
        <v>15</v>
      </c>
      <c r="F6508" s="35">
        <v>5.99765579088207</v>
      </c>
      <c r="G6508" s="35">
        <v>24.658687725112291</v>
      </c>
      <c r="H6508" s="35">
        <v>6.3244615428951736</v>
      </c>
      <c r="I6508" s="35">
        <v>-9.0741407416052055E-4</v>
      </c>
      <c r="J6508" s="35">
        <v>-3.2804694238177984E-6</v>
      </c>
      <c r="K6508" s="35">
        <v>-3.2279875849714699E-4</v>
      </c>
      <c r="L6508" s="35">
        <v>-27.03181149433383</v>
      </c>
      <c r="M6508" s="58" t="s">
        <v>24</v>
      </c>
      <c r="N6508" s="7">
        <v>12.25</v>
      </c>
      <c r="O6508" s="7" t="s">
        <v>178</v>
      </c>
      <c r="P6508" s="7" t="s">
        <v>178</v>
      </c>
    </row>
    <row r="6509" spans="1:16" x14ac:dyDescent="0.25">
      <c r="A6509" t="s">
        <v>183</v>
      </c>
      <c r="B6509" t="s">
        <v>233</v>
      </c>
      <c r="C6509" s="7" t="s">
        <v>174</v>
      </c>
      <c r="D6509" t="s">
        <v>15</v>
      </c>
      <c r="F6509" s="35">
        <v>11.99531158176414</v>
      </c>
      <c r="G6509" s="35">
        <v>27.93529704850803</v>
      </c>
      <c r="H6509" s="35">
        <v>-14.079563457685632</v>
      </c>
      <c r="I6509" s="35">
        <v>-9.0741407416052055E-4</v>
      </c>
      <c r="J6509" s="35">
        <v>-3.2804694238177984E-6</v>
      </c>
      <c r="K6509" s="35">
        <v>5.1195585181195912E-3</v>
      </c>
      <c r="L6509" s="35">
        <v>-3.7755955402720285</v>
      </c>
      <c r="M6509" s="58" t="s">
        <v>23</v>
      </c>
      <c r="N6509" s="7">
        <v>12.25</v>
      </c>
      <c r="O6509" s="7" t="s">
        <v>178</v>
      </c>
      <c r="P6509" s="7" t="s">
        <v>178</v>
      </c>
    </row>
    <row r="6510" spans="1:16" x14ac:dyDescent="0.25">
      <c r="A6510" t="s">
        <v>183</v>
      </c>
      <c r="B6510" t="s">
        <v>233</v>
      </c>
      <c r="C6510" s="7" t="s">
        <v>174</v>
      </c>
      <c r="D6510" t="s">
        <v>16</v>
      </c>
      <c r="F6510" s="35">
        <v>0</v>
      </c>
      <c r="G6510" s="35">
        <v>1.075783231195917</v>
      </c>
      <c r="H6510" s="35">
        <v>6.3892035599047965</v>
      </c>
      <c r="I6510" s="35">
        <v>-1.2786674864953256E-3</v>
      </c>
      <c r="J6510" s="35">
        <v>-4.6225493667973383E-6</v>
      </c>
      <c r="K6510" s="35">
        <v>-8.123873535922279E-3</v>
      </c>
      <c r="L6510" s="35">
        <v>21.475472486910753</v>
      </c>
      <c r="M6510" s="58" t="s">
        <v>22</v>
      </c>
      <c r="N6510" s="7">
        <v>12.25</v>
      </c>
      <c r="O6510" s="7" t="s">
        <v>178</v>
      </c>
      <c r="P6510" s="7" t="s">
        <v>178</v>
      </c>
    </row>
    <row r="6511" spans="1:16" x14ac:dyDescent="0.25">
      <c r="A6511" t="s">
        <v>183</v>
      </c>
      <c r="B6511" t="s">
        <v>233</v>
      </c>
      <c r="C6511" s="7" t="s">
        <v>174</v>
      </c>
      <c r="D6511" t="s">
        <v>16</v>
      </c>
      <c r="F6511" s="35">
        <v>5.99765579088207</v>
      </c>
      <c r="G6511" s="35">
        <v>4.3523925545916562</v>
      </c>
      <c r="H6511" s="35">
        <v>1.8549757819979515</v>
      </c>
      <c r="I6511" s="35">
        <v>-1.2786674864953256E-3</v>
      </c>
      <c r="J6511" s="35">
        <v>-4.6225493667973383E-6</v>
      </c>
      <c r="K6511" s="35">
        <v>-4.5486608093096923E-4</v>
      </c>
      <c r="L6511" s="35">
        <v>-3.247402498605914</v>
      </c>
      <c r="M6511" s="58" t="s">
        <v>24</v>
      </c>
      <c r="N6511" s="7">
        <v>12.25</v>
      </c>
      <c r="O6511" s="7" t="s">
        <v>178</v>
      </c>
      <c r="P6511" s="7" t="s">
        <v>178</v>
      </c>
    </row>
    <row r="6512" spans="1:16" x14ac:dyDescent="0.25">
      <c r="A6512" t="s">
        <v>183</v>
      </c>
      <c r="B6512" t="s">
        <v>233</v>
      </c>
      <c r="C6512" s="7" t="s">
        <v>174</v>
      </c>
      <c r="D6512" t="s">
        <v>16</v>
      </c>
      <c r="F6512" s="35">
        <v>11.99531158176414</v>
      </c>
      <c r="G6512" s="35">
        <v>7.6290018779873936</v>
      </c>
      <c r="H6512" s="35">
        <v>-2.6792519959088934</v>
      </c>
      <c r="I6512" s="35">
        <v>-1.2786674864953256E-3</v>
      </c>
      <c r="J6512" s="35">
        <v>-4.6225493667973383E-6</v>
      </c>
      <c r="K6512" s="35">
        <v>7.2141413740603412E-3</v>
      </c>
      <c r="L6512" s="35">
        <v>-0.7755399947812609</v>
      </c>
      <c r="M6512" s="58" t="s">
        <v>23</v>
      </c>
      <c r="N6512" s="7">
        <v>12.25</v>
      </c>
      <c r="O6512" s="7" t="s">
        <v>178</v>
      </c>
      <c r="P6512" s="7" t="s">
        <v>178</v>
      </c>
    </row>
    <row r="6513" spans="1:16" x14ac:dyDescent="0.25">
      <c r="A6513" t="s">
        <v>183</v>
      </c>
      <c r="B6513" t="s">
        <v>233</v>
      </c>
      <c r="C6513" s="7" t="s">
        <v>174</v>
      </c>
      <c r="D6513" t="s">
        <v>106</v>
      </c>
      <c r="F6513" s="35">
        <v>0</v>
      </c>
      <c r="G6513" s="35">
        <v>62.164878320256349</v>
      </c>
      <c r="H6513" s="35">
        <v>-26.596695298511598</v>
      </c>
      <c r="I6513" s="35">
        <v>7.6806217855308423E-4</v>
      </c>
      <c r="J6513" s="35">
        <v>2.7764749384544937E-6</v>
      </c>
      <c r="K6513" s="35">
        <v>4.8797976966834782E-3</v>
      </c>
      <c r="L6513" s="35">
        <v>-70.648806183507403</v>
      </c>
      <c r="M6513" s="58" t="s">
        <v>22</v>
      </c>
      <c r="N6513" s="7">
        <v>12.25</v>
      </c>
      <c r="O6513" s="7" t="s">
        <v>178</v>
      </c>
      <c r="P6513" s="7" t="s">
        <v>178</v>
      </c>
    </row>
    <row r="6514" spans="1:16" x14ac:dyDescent="0.25">
      <c r="A6514" t="s">
        <v>183</v>
      </c>
      <c r="B6514" t="s">
        <v>233</v>
      </c>
      <c r="C6514" s="7" t="s">
        <v>174</v>
      </c>
      <c r="D6514" t="s">
        <v>106</v>
      </c>
      <c r="F6514" s="35">
        <v>5.99765579088207</v>
      </c>
      <c r="G6514" s="35">
        <v>65.441487643652081</v>
      </c>
      <c r="H6514" s="35">
        <v>-6.1926702979307944</v>
      </c>
      <c r="I6514" s="35">
        <v>7.6806217855308423E-4</v>
      </c>
      <c r="J6514" s="35">
        <v>2.7764749384544937E-6</v>
      </c>
      <c r="K6514" s="35">
        <v>2.7322512372707463E-4</v>
      </c>
      <c r="L6514" s="35">
        <v>27.68085804091859</v>
      </c>
      <c r="M6514" s="58" t="s">
        <v>24</v>
      </c>
      <c r="N6514" s="7">
        <v>12.25</v>
      </c>
      <c r="O6514" s="7" t="s">
        <v>178</v>
      </c>
      <c r="P6514" s="7" t="s">
        <v>178</v>
      </c>
    </row>
    <row r="6515" spans="1:16" x14ac:dyDescent="0.25">
      <c r="A6515" t="s">
        <v>183</v>
      </c>
      <c r="B6515" t="s">
        <v>233</v>
      </c>
      <c r="C6515" s="7" t="s">
        <v>174</v>
      </c>
      <c r="D6515" t="s">
        <v>106</v>
      </c>
      <c r="F6515" s="35">
        <v>11.99531158176414</v>
      </c>
      <c r="G6515" s="35">
        <v>68.718096967047828</v>
      </c>
      <c r="H6515" s="35">
        <v>14.211354702650009</v>
      </c>
      <c r="I6515" s="35">
        <v>7.6806217855308423E-4</v>
      </c>
      <c r="J6515" s="35">
        <v>2.7764749384544937E-6</v>
      </c>
      <c r="K6515" s="35">
        <v>-4.3333474492293286E-3</v>
      </c>
      <c r="L6515" s="35">
        <v>3.634203563308624</v>
      </c>
      <c r="M6515" s="58" t="s">
        <v>23</v>
      </c>
      <c r="N6515" s="7">
        <v>12.25</v>
      </c>
      <c r="O6515" s="7" t="s">
        <v>178</v>
      </c>
      <c r="P6515" s="7" t="s">
        <v>178</v>
      </c>
    </row>
    <row r="6516" spans="1:16" x14ac:dyDescent="0.25">
      <c r="A6516" t="s">
        <v>183</v>
      </c>
      <c r="B6516" t="s">
        <v>233</v>
      </c>
      <c r="C6516" s="7" t="s">
        <v>174</v>
      </c>
      <c r="D6516" t="s">
        <v>107</v>
      </c>
      <c r="F6516" s="35">
        <v>0</v>
      </c>
      <c r="G6516" s="35">
        <v>41.873651181143508</v>
      </c>
      <c r="H6516" s="35">
        <v>-46.935131532841432</v>
      </c>
      <c r="I6516" s="35">
        <v>3.9649432610588009E-4</v>
      </c>
      <c r="J6516" s="35">
        <v>1.4332583291582262E-6</v>
      </c>
      <c r="K6516" s="35">
        <v>2.5190824356031293E-3</v>
      </c>
      <c r="L6516" s="35">
        <v>-121.25117883516445</v>
      </c>
      <c r="M6516" s="58" t="s">
        <v>22</v>
      </c>
      <c r="N6516" s="7">
        <v>12.25</v>
      </c>
      <c r="O6516" s="7" t="s">
        <v>178</v>
      </c>
      <c r="P6516" s="7" t="s">
        <v>178</v>
      </c>
    </row>
    <row r="6517" spans="1:16" x14ac:dyDescent="0.25">
      <c r="A6517" t="s">
        <v>183</v>
      </c>
      <c r="B6517" t="s">
        <v>233</v>
      </c>
      <c r="C6517" s="7" t="s">
        <v>174</v>
      </c>
      <c r="D6517" t="s">
        <v>107</v>
      </c>
      <c r="F6517" s="35">
        <v>5.99765579088207</v>
      </c>
      <c r="G6517" s="35">
        <v>45.150260504539247</v>
      </c>
      <c r="H6517" s="35">
        <v>-10.661309309586681</v>
      </c>
      <c r="I6517" s="35">
        <v>3.9649432610588009E-4</v>
      </c>
      <c r="J6517" s="35">
        <v>1.4332583291582262E-6</v>
      </c>
      <c r="K6517" s="35">
        <v>1.4104594458231391E-4</v>
      </c>
      <c r="L6517" s="35">
        <v>51.470634641228322</v>
      </c>
      <c r="M6517" s="58" t="s">
        <v>24</v>
      </c>
      <c r="N6517" s="7">
        <v>12.25</v>
      </c>
      <c r="O6517" s="7" t="s">
        <v>178</v>
      </c>
      <c r="P6517" s="7" t="s">
        <v>178</v>
      </c>
    </row>
    <row r="6518" spans="1:16" x14ac:dyDescent="0.25">
      <c r="A6518" t="s">
        <v>183</v>
      </c>
      <c r="B6518" t="s">
        <v>233</v>
      </c>
      <c r="C6518" s="7" t="s">
        <v>174</v>
      </c>
      <c r="D6518" t="s">
        <v>107</v>
      </c>
      <c r="F6518" s="35">
        <v>11.99531158176414</v>
      </c>
      <c r="G6518" s="35">
        <v>48.426869827934986</v>
      </c>
      <c r="H6518" s="35">
        <v>25.612512913668077</v>
      </c>
      <c r="I6518" s="35">
        <v>3.9649432610588009E-4</v>
      </c>
      <c r="J6518" s="35">
        <v>1.4332583291582262E-6</v>
      </c>
      <c r="K6518" s="35">
        <v>-2.2369905464385011E-3</v>
      </c>
      <c r="L6518" s="35">
        <v>6.6345482028905032</v>
      </c>
      <c r="M6518" s="58" t="s">
        <v>23</v>
      </c>
      <c r="N6518" s="7">
        <v>12.25</v>
      </c>
      <c r="O6518" s="7" t="s">
        <v>178</v>
      </c>
      <c r="P6518" s="7" t="s">
        <v>178</v>
      </c>
    </row>
    <row r="6519" spans="1:16" x14ac:dyDescent="0.25">
      <c r="A6519" t="s">
        <v>183</v>
      </c>
      <c r="B6519" t="s">
        <v>233</v>
      </c>
      <c r="C6519" s="7" t="s">
        <v>174</v>
      </c>
      <c r="D6519" t="s">
        <v>108</v>
      </c>
      <c r="F6519" s="35">
        <v>0</v>
      </c>
      <c r="G6519" s="35">
        <v>26.067714858045228</v>
      </c>
      <c r="H6519" s="35">
        <v>50.832436491022861</v>
      </c>
      <c r="I6519" s="35">
        <v>1.0394356660960629</v>
      </c>
      <c r="J6519" s="35">
        <v>1.764599274465188E-5</v>
      </c>
      <c r="K6519" s="35">
        <v>6.4746318920226464</v>
      </c>
      <c r="L6519" s="35">
        <v>126.23490903092981</v>
      </c>
      <c r="M6519" s="58" t="s">
        <v>22</v>
      </c>
      <c r="N6519" s="7">
        <v>12.25</v>
      </c>
      <c r="O6519" s="7" t="s">
        <v>178</v>
      </c>
      <c r="P6519" s="7" t="s">
        <v>178</v>
      </c>
    </row>
    <row r="6520" spans="1:16" x14ac:dyDescent="0.25">
      <c r="A6520" t="s">
        <v>183</v>
      </c>
      <c r="B6520" t="s">
        <v>233</v>
      </c>
      <c r="C6520" s="7" t="s">
        <v>174</v>
      </c>
      <c r="D6520" t="s">
        <v>108</v>
      </c>
      <c r="F6520" s="35">
        <v>5.99765579088207</v>
      </c>
      <c r="G6520" s="35">
        <v>29.344324181440967</v>
      </c>
      <c r="H6520" s="35">
        <v>11.157943434337962</v>
      </c>
      <c r="I6520" s="35">
        <v>1.0394356660960629</v>
      </c>
      <c r="J6520" s="35">
        <v>1.764599274465188E-5</v>
      </c>
      <c r="K6520" s="35">
        <v>0.24045455001223462</v>
      </c>
      <c r="L6520" s="35">
        <v>-59.663571538230144</v>
      </c>
      <c r="M6520" s="58" t="s">
        <v>24</v>
      </c>
      <c r="N6520" s="7">
        <v>12.25</v>
      </c>
      <c r="O6520" s="7" t="s">
        <v>178</v>
      </c>
      <c r="P6520" s="7" t="s">
        <v>178</v>
      </c>
    </row>
    <row r="6521" spans="1:16" x14ac:dyDescent="0.25">
      <c r="A6521" t="s">
        <v>183</v>
      </c>
      <c r="B6521" t="s">
        <v>233</v>
      </c>
      <c r="C6521" s="7" t="s">
        <v>174</v>
      </c>
      <c r="D6521" t="s">
        <v>108</v>
      </c>
      <c r="F6521" s="35">
        <v>11.99531158176414</v>
      </c>
      <c r="G6521" s="35">
        <v>32.620933504836707</v>
      </c>
      <c r="H6521" s="35">
        <v>-28.516549622346929</v>
      </c>
      <c r="I6521" s="35">
        <v>1.0394356660960629</v>
      </c>
      <c r="J6521" s="35">
        <v>1.764599274465188E-5</v>
      </c>
      <c r="K6521" s="35">
        <v>-5.9937227919981773</v>
      </c>
      <c r="L6521" s="35">
        <v>-7.6080990756534916</v>
      </c>
      <c r="M6521" s="58" t="s">
        <v>23</v>
      </c>
      <c r="N6521" s="7">
        <v>12.25</v>
      </c>
      <c r="O6521" s="7" t="s">
        <v>178</v>
      </c>
      <c r="P6521" s="7" t="s">
        <v>178</v>
      </c>
    </row>
    <row r="6522" spans="1:16" x14ac:dyDescent="0.25">
      <c r="A6522" t="s">
        <v>183</v>
      </c>
      <c r="B6522" t="s">
        <v>233</v>
      </c>
      <c r="C6522" s="7" t="s">
        <v>174</v>
      </c>
      <c r="D6522" t="s">
        <v>109</v>
      </c>
      <c r="F6522" s="35">
        <v>0</v>
      </c>
      <c r="G6522" s="35">
        <v>-27.879406783275112</v>
      </c>
      <c r="H6522" s="35">
        <v>30.416047176682081</v>
      </c>
      <c r="I6522" s="35">
        <v>2.6001921554140592</v>
      </c>
      <c r="J6522" s="35">
        <v>2.858753675446576E-5</v>
      </c>
      <c r="K6522" s="35">
        <v>15.670152019960913</v>
      </c>
      <c r="L6522" s="35">
        <v>74.666666815836933</v>
      </c>
      <c r="M6522" s="58" t="s">
        <v>22</v>
      </c>
      <c r="N6522" s="7">
        <v>12.25</v>
      </c>
      <c r="O6522" s="7" t="s">
        <v>178</v>
      </c>
      <c r="P6522" s="7" t="s">
        <v>178</v>
      </c>
    </row>
    <row r="6523" spans="1:16" x14ac:dyDescent="0.25">
      <c r="A6523" t="s">
        <v>183</v>
      </c>
      <c r="B6523" t="s">
        <v>233</v>
      </c>
      <c r="C6523" s="7" t="s">
        <v>174</v>
      </c>
      <c r="D6523" t="s">
        <v>109</v>
      </c>
      <c r="F6523" s="35">
        <v>5.99765579088207</v>
      </c>
      <c r="G6523" s="35">
        <v>-24.602797459879373</v>
      </c>
      <c r="H6523" s="35">
        <v>6.6113513426711465</v>
      </c>
      <c r="I6523" s="35">
        <v>2.6001921554140592</v>
      </c>
      <c r="J6523" s="35">
        <v>2.858753675446576E-5</v>
      </c>
      <c r="K6523" s="35">
        <v>7.5094481635652841E-2</v>
      </c>
      <c r="L6523" s="35">
        <v>-36.372128759611584</v>
      </c>
      <c r="M6523" s="58" t="s">
        <v>24</v>
      </c>
      <c r="N6523" s="7">
        <v>12.25</v>
      </c>
      <c r="O6523" s="7" t="s">
        <v>178</v>
      </c>
      <c r="P6523" s="7" t="s">
        <v>178</v>
      </c>
    </row>
    <row r="6524" spans="1:16" x14ac:dyDescent="0.25">
      <c r="A6524" t="s">
        <v>183</v>
      </c>
      <c r="B6524" t="s">
        <v>233</v>
      </c>
      <c r="C6524" s="7" t="s">
        <v>174</v>
      </c>
      <c r="D6524" t="s">
        <v>109</v>
      </c>
      <c r="F6524" s="35">
        <v>11.99531158176414</v>
      </c>
      <c r="G6524" s="35">
        <v>-21.326188136483633</v>
      </c>
      <c r="H6524" s="35">
        <v>-17.193344491339786</v>
      </c>
      <c r="I6524" s="35">
        <v>2.6001921554140592</v>
      </c>
      <c r="J6524" s="35">
        <v>2.858753675446576E-5</v>
      </c>
      <c r="K6524" s="35">
        <v>-15.519963056689608</v>
      </c>
      <c r="L6524" s="35">
        <v>-4.6385525160181604</v>
      </c>
      <c r="M6524" s="58" t="s">
        <v>23</v>
      </c>
      <c r="N6524" s="7">
        <v>12.25</v>
      </c>
      <c r="O6524" s="7" t="s">
        <v>178</v>
      </c>
      <c r="P6524" s="7" t="s">
        <v>178</v>
      </c>
    </row>
    <row r="6525" spans="1:16" x14ac:dyDescent="0.25">
      <c r="A6525" t="s">
        <v>183</v>
      </c>
      <c r="B6525" t="s">
        <v>233</v>
      </c>
      <c r="C6525" s="7" t="s">
        <v>174</v>
      </c>
      <c r="D6525" t="s">
        <v>110</v>
      </c>
      <c r="F6525" s="35">
        <v>0</v>
      </c>
      <c r="G6525" s="35">
        <v>26.069642962058513</v>
      </c>
      <c r="H6525" s="35">
        <v>50.832140440297451</v>
      </c>
      <c r="I6525" s="35">
        <v>-1.0374953173825616</v>
      </c>
      <c r="J6525" s="35">
        <v>-1.0631595186742519E-5</v>
      </c>
      <c r="K6525" s="35">
        <v>-6.4623041007745528</v>
      </c>
      <c r="L6525" s="35">
        <v>126.23126256822042</v>
      </c>
      <c r="M6525" s="58" t="s">
        <v>22</v>
      </c>
      <c r="N6525" s="7">
        <v>12.25</v>
      </c>
      <c r="O6525" s="7" t="s">
        <v>178</v>
      </c>
      <c r="P6525" s="7" t="s">
        <v>178</v>
      </c>
    </row>
    <row r="6526" spans="1:16" x14ac:dyDescent="0.25">
      <c r="A6526" t="s">
        <v>183</v>
      </c>
      <c r="B6526" t="s">
        <v>233</v>
      </c>
      <c r="C6526" s="7" t="s">
        <v>174</v>
      </c>
      <c r="D6526" t="s">
        <v>110</v>
      </c>
      <c r="F6526" s="35">
        <v>5.99765579088207</v>
      </c>
      <c r="G6526" s="35">
        <v>29.346252285454252</v>
      </c>
      <c r="H6526" s="35">
        <v>11.157647383612554</v>
      </c>
      <c r="I6526" s="35">
        <v>-1.0374953173825616</v>
      </c>
      <c r="J6526" s="35">
        <v>-1.0631595186742519E-5</v>
      </c>
      <c r="K6526" s="35">
        <v>-0.23976430246200289</v>
      </c>
      <c r="L6526" s="35">
        <v>-59.665442390591899</v>
      </c>
      <c r="M6526" s="58" t="s">
        <v>24</v>
      </c>
      <c r="N6526" s="7">
        <v>12.25</v>
      </c>
      <c r="O6526" s="7" t="s">
        <v>178</v>
      </c>
      <c r="P6526" s="7" t="s">
        <v>178</v>
      </c>
    </row>
    <row r="6527" spans="1:16" x14ac:dyDescent="0.25">
      <c r="A6527" t="s">
        <v>183</v>
      </c>
      <c r="B6527" t="s">
        <v>233</v>
      </c>
      <c r="C6527" s="7" t="s">
        <v>174</v>
      </c>
      <c r="D6527" t="s">
        <v>110</v>
      </c>
      <c r="F6527" s="35">
        <v>11.99531158176414</v>
      </c>
      <c r="G6527" s="35">
        <v>32.622861608849995</v>
      </c>
      <c r="H6527" s="35">
        <v>-28.516845673072339</v>
      </c>
      <c r="I6527" s="35">
        <v>-1.0374953173825616</v>
      </c>
      <c r="J6527" s="35">
        <v>-1.0631595186742519E-5</v>
      </c>
      <c r="K6527" s="35">
        <v>5.9827754958505466</v>
      </c>
      <c r="L6527" s="35">
        <v>-7.6081943176676008</v>
      </c>
      <c r="M6527" s="58" t="s">
        <v>23</v>
      </c>
      <c r="N6527" s="7">
        <v>12.25</v>
      </c>
      <c r="O6527" s="7" t="s">
        <v>178</v>
      </c>
      <c r="P6527" s="7" t="s">
        <v>178</v>
      </c>
    </row>
    <row r="6528" spans="1:16" x14ac:dyDescent="0.25">
      <c r="A6528" t="s">
        <v>183</v>
      </c>
      <c r="B6528" t="s">
        <v>233</v>
      </c>
      <c r="C6528" s="7" t="s">
        <v>174</v>
      </c>
      <c r="D6528" t="s">
        <v>111</v>
      </c>
      <c r="F6528" s="35">
        <v>0</v>
      </c>
      <c r="G6528" s="35">
        <v>-27.869422000386042</v>
      </c>
      <c r="H6528" s="35">
        <v>30.414202535047622</v>
      </c>
      <c r="I6528" s="35">
        <v>-2.5989260593881203</v>
      </c>
      <c r="J6528" s="35">
        <v>-2.4010445921989776E-5</v>
      </c>
      <c r="K6528" s="35">
        <v>-15.662108017888579</v>
      </c>
      <c r="L6528" s="35">
        <v>74.64395336151442</v>
      </c>
      <c r="M6528" s="58" t="s">
        <v>22</v>
      </c>
      <c r="N6528" s="7">
        <v>12.25</v>
      </c>
      <c r="O6528" s="7" t="s">
        <v>178</v>
      </c>
      <c r="P6528" s="7" t="s">
        <v>178</v>
      </c>
    </row>
    <row r="6529" spans="1:16" x14ac:dyDescent="0.25">
      <c r="A6529" t="s">
        <v>183</v>
      </c>
      <c r="B6529" t="s">
        <v>233</v>
      </c>
      <c r="C6529" s="7" t="s">
        <v>174</v>
      </c>
      <c r="D6529" t="s">
        <v>111</v>
      </c>
      <c r="F6529" s="35">
        <v>5.99765579088207</v>
      </c>
      <c r="G6529" s="35">
        <v>-24.592812676990302</v>
      </c>
      <c r="H6529" s="35">
        <v>6.609506701036687</v>
      </c>
      <c r="I6529" s="35">
        <v>-2.5989260593881203</v>
      </c>
      <c r="J6529" s="35">
        <v>-2.4010445921989776E-5</v>
      </c>
      <c r="K6529" s="35">
        <v>-7.4644087725100922E-2</v>
      </c>
      <c r="L6529" s="35">
        <v>-36.38377868835309</v>
      </c>
      <c r="M6529" s="58" t="s">
        <v>24</v>
      </c>
      <c r="N6529" s="7">
        <v>12.25</v>
      </c>
      <c r="O6529" s="7" t="s">
        <v>178</v>
      </c>
      <c r="P6529" s="7" t="s">
        <v>178</v>
      </c>
    </row>
    <row r="6530" spans="1:16" x14ac:dyDescent="0.25">
      <c r="A6530" t="s">
        <v>183</v>
      </c>
      <c r="B6530" t="s">
        <v>233</v>
      </c>
      <c r="C6530" s="7" t="s">
        <v>174</v>
      </c>
      <c r="D6530" t="s">
        <v>111</v>
      </c>
      <c r="F6530" s="35">
        <v>11.99531158176414</v>
      </c>
      <c r="G6530" s="35">
        <v>-21.316203353594563</v>
      </c>
      <c r="H6530" s="35">
        <v>-17.195189132974246</v>
      </c>
      <c r="I6530" s="35">
        <v>-2.5989260593881203</v>
      </c>
      <c r="J6530" s="35">
        <v>-2.4010445921989776E-5</v>
      </c>
      <c r="K6530" s="35">
        <v>15.512819842438377</v>
      </c>
      <c r="L6530" s="35">
        <v>-4.6391389191786354</v>
      </c>
      <c r="M6530" s="58" t="s">
        <v>23</v>
      </c>
      <c r="N6530" s="7">
        <v>12.25</v>
      </c>
      <c r="O6530" s="7" t="s">
        <v>178</v>
      </c>
      <c r="P6530" s="7" t="s">
        <v>178</v>
      </c>
    </row>
    <row r="6531" spans="1:16" x14ac:dyDescent="0.25">
      <c r="A6531" t="s">
        <v>183</v>
      </c>
      <c r="B6531" t="s">
        <v>233</v>
      </c>
      <c r="C6531" s="7" t="s">
        <v>174</v>
      </c>
      <c r="D6531" t="s">
        <v>112</v>
      </c>
      <c r="F6531" s="35">
        <v>0</v>
      </c>
      <c r="G6531" s="35">
        <v>1.2170412609677221</v>
      </c>
      <c r="H6531" s="35">
        <v>24.026050851435311</v>
      </c>
      <c r="I6531" s="35">
        <v>-7.9021206882800307E-4</v>
      </c>
      <c r="J6531" s="35">
        <v>-2.8567323232472677E-6</v>
      </c>
      <c r="K6531" s="35">
        <v>-5.0205257299431021E-3</v>
      </c>
      <c r="L6531" s="35">
        <v>64.502471823825346</v>
      </c>
      <c r="M6531" s="58" t="s">
        <v>22</v>
      </c>
      <c r="N6531" s="7">
        <v>12.25</v>
      </c>
      <c r="O6531" s="7" t="s">
        <v>178</v>
      </c>
      <c r="P6531" s="7" t="s">
        <v>178</v>
      </c>
    </row>
    <row r="6532" spans="1:16" x14ac:dyDescent="0.25">
      <c r="A6532" t="s">
        <v>183</v>
      </c>
      <c r="B6532" t="s">
        <v>233</v>
      </c>
      <c r="C6532" s="7" t="s">
        <v>174</v>
      </c>
      <c r="D6532" t="s">
        <v>112</v>
      </c>
      <c r="F6532" s="35">
        <v>5.99765579088207</v>
      </c>
      <c r="G6532" s="35">
        <v>4.4936505843634613</v>
      </c>
      <c r="H6532" s="35">
        <v>5.6624283509125855</v>
      </c>
      <c r="I6532" s="35">
        <v>-7.9021206882800307E-4</v>
      </c>
      <c r="J6532" s="35">
        <v>-2.8567323232472677E-6</v>
      </c>
      <c r="K6532" s="35">
        <v>-2.8110573931192887E-4</v>
      </c>
      <c r="L6532" s="35">
        <v>-24.52816778139653</v>
      </c>
      <c r="M6532" s="58" t="s">
        <v>24</v>
      </c>
      <c r="N6532" s="7">
        <v>12.25</v>
      </c>
      <c r="O6532" s="7" t="s">
        <v>178</v>
      </c>
      <c r="P6532" s="7" t="s">
        <v>178</v>
      </c>
    </row>
    <row r="6533" spans="1:16" x14ac:dyDescent="0.25">
      <c r="A6533" t="s">
        <v>183</v>
      </c>
      <c r="B6533" t="s">
        <v>233</v>
      </c>
      <c r="C6533" s="7" t="s">
        <v>174</v>
      </c>
      <c r="D6533" t="s">
        <v>112</v>
      </c>
      <c r="F6533" s="35">
        <v>11.99531158176414</v>
      </c>
      <c r="G6533" s="35">
        <v>7.7702599077592005</v>
      </c>
      <c r="H6533" s="35">
        <v>-12.70119414961014</v>
      </c>
      <c r="I6533" s="35">
        <v>-7.9021206882800307E-4</v>
      </c>
      <c r="J6533" s="35">
        <v>-2.8567323232472677E-6</v>
      </c>
      <c r="K6533" s="35">
        <v>4.4583142513192446E-3</v>
      </c>
      <c r="L6533" s="35">
        <v>-3.420120554786017</v>
      </c>
      <c r="M6533" s="58" t="s">
        <v>23</v>
      </c>
      <c r="N6533" s="7">
        <v>12.25</v>
      </c>
      <c r="O6533" s="7" t="s">
        <v>178</v>
      </c>
      <c r="P6533" s="7" t="s">
        <v>178</v>
      </c>
    </row>
    <row r="6534" spans="1:16" x14ac:dyDescent="0.25">
      <c r="A6534" t="s">
        <v>183</v>
      </c>
      <c r="B6534" t="s">
        <v>233</v>
      </c>
      <c r="C6534" s="7" t="s">
        <v>174</v>
      </c>
      <c r="D6534" t="s">
        <v>113</v>
      </c>
      <c r="F6534" s="35">
        <v>0</v>
      </c>
      <c r="G6534" s="35">
        <v>-17.058624392500846</v>
      </c>
      <c r="H6534" s="35">
        <v>5.7206961662212459</v>
      </c>
      <c r="I6534" s="35">
        <v>-1.1243401399293278E-3</v>
      </c>
      <c r="J6534" s="35">
        <v>-4.0646042719288546E-6</v>
      </c>
      <c r="K6534" s="35">
        <v>-7.1433714806706568E-3</v>
      </c>
      <c r="L6534" s="35">
        <v>18.950934933768707</v>
      </c>
      <c r="M6534" s="58" t="s">
        <v>22</v>
      </c>
      <c r="N6534" s="7">
        <v>12.25</v>
      </c>
      <c r="O6534" s="7" t="s">
        <v>178</v>
      </c>
      <c r="P6534" s="7" t="s">
        <v>178</v>
      </c>
    </row>
    <row r="6535" spans="1:16" x14ac:dyDescent="0.25">
      <c r="A6535" t="s">
        <v>183</v>
      </c>
      <c r="B6535" t="s">
        <v>233</v>
      </c>
      <c r="C6535" s="7" t="s">
        <v>174</v>
      </c>
      <c r="D6535" t="s">
        <v>113</v>
      </c>
      <c r="F6535" s="35">
        <v>5.99765579088207</v>
      </c>
      <c r="G6535" s="35">
        <v>-13.782015069105107</v>
      </c>
      <c r="H6535" s="35">
        <v>1.6398911661050855</v>
      </c>
      <c r="I6535" s="35">
        <v>-1.1243401399293278E-3</v>
      </c>
      <c r="J6535" s="35">
        <v>-4.0646042719288546E-6</v>
      </c>
      <c r="K6535" s="35">
        <v>-3.9996632950236894E-4</v>
      </c>
      <c r="L6535" s="35">
        <v>-3.1221996852414047</v>
      </c>
      <c r="M6535" s="58" t="s">
        <v>24</v>
      </c>
      <c r="N6535" s="7">
        <v>12.25</v>
      </c>
      <c r="O6535" s="7" t="s">
        <v>178</v>
      </c>
      <c r="P6535" s="7" t="s">
        <v>178</v>
      </c>
    </row>
    <row r="6536" spans="1:16" x14ac:dyDescent="0.25">
      <c r="A6536" t="s">
        <v>183</v>
      </c>
      <c r="B6536" t="s">
        <v>233</v>
      </c>
      <c r="C6536" s="7" t="s">
        <v>174</v>
      </c>
      <c r="D6536" t="s">
        <v>113</v>
      </c>
      <c r="F6536" s="35">
        <v>11.99531158176414</v>
      </c>
      <c r="G6536" s="35">
        <v>-10.505405745709368</v>
      </c>
      <c r="H6536" s="35">
        <v>-2.440913834011075</v>
      </c>
      <c r="I6536" s="35">
        <v>-1.1243401399293278E-3</v>
      </c>
      <c r="J6536" s="35">
        <v>-4.0646042719288546E-6</v>
      </c>
      <c r="K6536" s="35">
        <v>6.3434388216659192E-3</v>
      </c>
      <c r="L6536" s="35">
        <v>-0.72007056384432588</v>
      </c>
      <c r="M6536" s="58" t="s">
        <v>23</v>
      </c>
      <c r="N6536" s="7">
        <v>12.25</v>
      </c>
      <c r="O6536" s="7" t="s">
        <v>178</v>
      </c>
      <c r="P6536" s="7" t="s">
        <v>178</v>
      </c>
    </row>
    <row r="6537" spans="1:16" x14ac:dyDescent="0.25">
      <c r="A6537" t="s">
        <v>183</v>
      </c>
      <c r="B6537" t="s">
        <v>233</v>
      </c>
      <c r="C6537" s="7" t="s">
        <v>174</v>
      </c>
      <c r="D6537" t="s">
        <v>114</v>
      </c>
      <c r="F6537" s="35">
        <v>0</v>
      </c>
      <c r="G6537" s="35">
        <v>37.921561187653552</v>
      </c>
      <c r="H6537" s="35">
        <v>-23.96661280635351</v>
      </c>
      <c r="I6537" s="35">
        <v>7.1771655861424131E-4</v>
      </c>
      <c r="J6537" s="35">
        <v>2.5945176027977954E-6</v>
      </c>
      <c r="K6537" s="35">
        <v>4.5599326286745239E-3</v>
      </c>
      <c r="L6537" s="35">
        <v>-63.960915869607646</v>
      </c>
      <c r="M6537" s="58" t="s">
        <v>22</v>
      </c>
      <c r="N6537" s="7">
        <v>12.25</v>
      </c>
      <c r="O6537" s="7" t="s">
        <v>178</v>
      </c>
      <c r="P6537" s="7" t="s">
        <v>178</v>
      </c>
    </row>
    <row r="6538" spans="1:16" x14ac:dyDescent="0.25">
      <c r="A6538" t="s">
        <v>183</v>
      </c>
      <c r="B6538" t="s">
        <v>233</v>
      </c>
      <c r="C6538" s="7" t="s">
        <v>174</v>
      </c>
      <c r="D6538" t="s">
        <v>114</v>
      </c>
      <c r="F6538" s="35">
        <v>5.99765579088207</v>
      </c>
      <c r="G6538" s="35">
        <v>41.198170511049298</v>
      </c>
      <c r="H6538" s="35">
        <v>-5.6029903058307857</v>
      </c>
      <c r="I6538" s="35">
        <v>7.1771655861424131E-4</v>
      </c>
      <c r="J6538" s="35">
        <v>2.5945176027977954E-6</v>
      </c>
      <c r="K6538" s="35">
        <v>2.5531575468987065E-4</v>
      </c>
      <c r="L6538" s="35">
        <v>24.71323480033065</v>
      </c>
      <c r="M6538" s="58" t="s">
        <v>24</v>
      </c>
      <c r="N6538" s="7">
        <v>12.25</v>
      </c>
      <c r="O6538" s="7" t="s">
        <v>178</v>
      </c>
      <c r="P6538" s="7" t="s">
        <v>178</v>
      </c>
    </row>
    <row r="6539" spans="1:16" x14ac:dyDescent="0.25">
      <c r="A6539" t="s">
        <v>183</v>
      </c>
      <c r="B6539" t="s">
        <v>233</v>
      </c>
      <c r="C6539" s="7" t="s">
        <v>174</v>
      </c>
      <c r="D6539" t="s">
        <v>114</v>
      </c>
      <c r="F6539" s="35">
        <v>11.99531158176414</v>
      </c>
      <c r="G6539" s="35">
        <v>44.47477983444503</v>
      </c>
      <c r="H6539" s="35">
        <v>12.760632194691938</v>
      </c>
      <c r="I6539" s="35">
        <v>7.1771655861424131E-4</v>
      </c>
      <c r="J6539" s="35">
        <v>2.5945176027977954E-6</v>
      </c>
      <c r="K6539" s="35">
        <v>-4.0493011192947832E-3</v>
      </c>
      <c r="L6539" s="35">
        <v>3.2486986384365708</v>
      </c>
      <c r="M6539" s="58" t="s">
        <v>23</v>
      </c>
      <c r="N6539" s="7">
        <v>12.25</v>
      </c>
      <c r="O6539" s="7" t="s">
        <v>178</v>
      </c>
      <c r="P6539" s="7" t="s">
        <v>178</v>
      </c>
    </row>
    <row r="6540" spans="1:16" x14ac:dyDescent="0.25">
      <c r="A6540" t="s">
        <v>183</v>
      </c>
      <c r="B6540" t="s">
        <v>233</v>
      </c>
      <c r="C6540" s="7" t="s">
        <v>174</v>
      </c>
      <c r="D6540" t="s">
        <v>115</v>
      </c>
      <c r="F6540" s="35">
        <v>0</v>
      </c>
      <c r="G6540" s="35">
        <v>19.659456762451995</v>
      </c>
      <c r="H6540" s="35">
        <v>-42.271205417250364</v>
      </c>
      <c r="I6540" s="35">
        <v>3.8330549141175744E-4</v>
      </c>
      <c r="J6540" s="35">
        <v>1.3856226544311543E-6</v>
      </c>
      <c r="K6540" s="35">
        <v>2.4352888937022102E-3</v>
      </c>
      <c r="L6540" s="35">
        <v>-109.50305125609898</v>
      </c>
      <c r="M6540" s="58" t="s">
        <v>22</v>
      </c>
      <c r="N6540" s="7">
        <v>12.25</v>
      </c>
      <c r="O6540" s="7" t="s">
        <v>178</v>
      </c>
      <c r="P6540" s="7" t="s">
        <v>178</v>
      </c>
    </row>
    <row r="6541" spans="1:16" x14ac:dyDescent="0.25">
      <c r="A6541" t="s">
        <v>183</v>
      </c>
      <c r="B6541" t="s">
        <v>233</v>
      </c>
      <c r="C6541" s="7" t="s">
        <v>174</v>
      </c>
      <c r="D6541" t="s">
        <v>115</v>
      </c>
      <c r="F6541" s="35">
        <v>5.99765579088207</v>
      </c>
      <c r="G6541" s="35">
        <v>22.936066085847735</v>
      </c>
      <c r="H6541" s="35">
        <v>-9.6247654163210825</v>
      </c>
      <c r="I6541" s="35">
        <v>3.8330549141175744E-4</v>
      </c>
      <c r="J6541" s="35">
        <v>1.3856226544311543E-6</v>
      </c>
      <c r="K6541" s="35">
        <v>1.3635449345958595E-4</v>
      </c>
      <c r="L6541" s="35">
        <v>46.124033740609406</v>
      </c>
      <c r="M6541" s="58" t="s">
        <v>24</v>
      </c>
      <c r="N6541" s="7">
        <v>12.25</v>
      </c>
      <c r="O6541" s="7" t="s">
        <v>178</v>
      </c>
      <c r="P6541" s="7" t="s">
        <v>178</v>
      </c>
    </row>
    <row r="6542" spans="1:16" x14ac:dyDescent="0.25">
      <c r="A6542" t="s">
        <v>183</v>
      </c>
      <c r="B6542" t="s">
        <v>233</v>
      </c>
      <c r="C6542" s="7" t="s">
        <v>174</v>
      </c>
      <c r="D6542" t="s">
        <v>115</v>
      </c>
      <c r="F6542" s="35">
        <v>11.99531158176414</v>
      </c>
      <c r="G6542" s="35">
        <v>26.212675409243474</v>
      </c>
      <c r="H6542" s="35">
        <v>23.021674584608196</v>
      </c>
      <c r="I6542" s="35">
        <v>3.8330549141175744E-4</v>
      </c>
      <c r="J6542" s="35">
        <v>1.3856226544311543E-6</v>
      </c>
      <c r="K6542" s="35">
        <v>-2.1625799067830384E-3</v>
      </c>
      <c r="L6542" s="35">
        <v>5.9490088140602628</v>
      </c>
      <c r="M6542" s="58" t="s">
        <v>23</v>
      </c>
      <c r="N6542" s="7">
        <v>12.25</v>
      </c>
      <c r="O6542" s="7" t="s">
        <v>178</v>
      </c>
      <c r="P6542" s="7" t="s">
        <v>178</v>
      </c>
    </row>
    <row r="6543" spans="1:16" x14ac:dyDescent="0.25">
      <c r="A6543" t="s">
        <v>183</v>
      </c>
      <c r="B6543" t="s">
        <v>233</v>
      </c>
      <c r="C6543" s="7" t="s">
        <v>174</v>
      </c>
      <c r="D6543" t="s">
        <v>116</v>
      </c>
      <c r="F6543" s="35">
        <v>0</v>
      </c>
      <c r="G6543" s="35">
        <v>5.4341140716635339</v>
      </c>
      <c r="H6543" s="35">
        <v>45.719605804227513</v>
      </c>
      <c r="I6543" s="35">
        <v>0.93551856008437295</v>
      </c>
      <c r="J6543" s="35">
        <v>1.5977083628375444E-5</v>
      </c>
      <c r="K6543" s="35">
        <v>5.8273368175220419</v>
      </c>
      <c r="L6543" s="35">
        <v>113.23442782338587</v>
      </c>
      <c r="M6543" s="58" t="s">
        <v>22</v>
      </c>
      <c r="N6543" s="7">
        <v>12.25</v>
      </c>
      <c r="O6543" s="7" t="s">
        <v>178</v>
      </c>
      <c r="P6543" s="7" t="s">
        <v>178</v>
      </c>
    </row>
    <row r="6544" spans="1:16" x14ac:dyDescent="0.25">
      <c r="A6544" t="s">
        <v>183</v>
      </c>
      <c r="B6544" t="s">
        <v>233</v>
      </c>
      <c r="C6544" s="7" t="s">
        <v>174</v>
      </c>
      <c r="D6544" t="s">
        <v>116</v>
      </c>
      <c r="F6544" s="35">
        <v>5.99765579088207</v>
      </c>
      <c r="G6544" s="35">
        <v>8.7107233950592722</v>
      </c>
      <c r="H6544" s="35">
        <v>10.012562053211097</v>
      </c>
      <c r="I6544" s="35">
        <v>0.93551856008437295</v>
      </c>
      <c r="J6544" s="35">
        <v>1.5977083628375444E-5</v>
      </c>
      <c r="K6544" s="35">
        <v>0.21641850815434666</v>
      </c>
      <c r="L6544" s="35">
        <v>-53.896751820903219</v>
      </c>
      <c r="M6544" s="58" t="s">
        <v>24</v>
      </c>
      <c r="N6544" s="7">
        <v>12.25</v>
      </c>
      <c r="O6544" s="7" t="s">
        <v>178</v>
      </c>
      <c r="P6544" s="7" t="s">
        <v>178</v>
      </c>
    </row>
    <row r="6545" spans="1:16" x14ac:dyDescent="0.25">
      <c r="A6545" t="s">
        <v>183</v>
      </c>
      <c r="B6545" t="s">
        <v>233</v>
      </c>
      <c r="C6545" s="7" t="s">
        <v>174</v>
      </c>
      <c r="D6545" t="s">
        <v>116</v>
      </c>
      <c r="F6545" s="35">
        <v>11.99531158176414</v>
      </c>
      <c r="G6545" s="35">
        <v>11.987332718455011</v>
      </c>
      <c r="H6545" s="35">
        <v>-25.694481697805308</v>
      </c>
      <c r="I6545" s="35">
        <v>0.93551856008437295</v>
      </c>
      <c r="J6545" s="35">
        <v>1.5977083628375444E-5</v>
      </c>
      <c r="K6545" s="35">
        <v>-5.3944998012133487</v>
      </c>
      <c r="L6545" s="35">
        <v>-6.8693737366293322</v>
      </c>
      <c r="M6545" s="58" t="s">
        <v>23</v>
      </c>
      <c r="N6545" s="7">
        <v>12.25</v>
      </c>
      <c r="O6545" s="7" t="s">
        <v>178</v>
      </c>
      <c r="P6545" s="7" t="s">
        <v>178</v>
      </c>
    </row>
    <row r="6546" spans="1:16" x14ac:dyDescent="0.25">
      <c r="A6546" t="s">
        <v>183</v>
      </c>
      <c r="B6546" t="s">
        <v>233</v>
      </c>
      <c r="C6546" s="7" t="s">
        <v>174</v>
      </c>
      <c r="D6546" t="s">
        <v>117</v>
      </c>
      <c r="F6546" s="35">
        <v>0</v>
      </c>
      <c r="G6546" s="35">
        <v>-43.118295405524776</v>
      </c>
      <c r="H6546" s="35">
        <v>27.344855421320801</v>
      </c>
      <c r="I6546" s="35">
        <v>2.3401994004705697</v>
      </c>
      <c r="J6546" s="35">
        <v>2.5824473237207934E-5</v>
      </c>
      <c r="K6546" s="35">
        <v>14.103304932666482</v>
      </c>
      <c r="L6546" s="35">
        <v>66.823009829802274</v>
      </c>
      <c r="M6546" s="58" t="s">
        <v>22</v>
      </c>
      <c r="N6546" s="7">
        <v>12.25</v>
      </c>
      <c r="O6546" s="7" t="s">
        <v>178</v>
      </c>
      <c r="P6546" s="7" t="s">
        <v>178</v>
      </c>
    </row>
    <row r="6547" spans="1:16" x14ac:dyDescent="0.25">
      <c r="A6547" t="s">
        <v>183</v>
      </c>
      <c r="B6547" t="s">
        <v>233</v>
      </c>
      <c r="C6547" s="7" t="s">
        <v>174</v>
      </c>
      <c r="D6547" t="s">
        <v>117</v>
      </c>
      <c r="F6547" s="35">
        <v>5.99765579088207</v>
      </c>
      <c r="G6547" s="35">
        <v>-39.84168608212903</v>
      </c>
      <c r="H6547" s="35">
        <v>5.9206291707109608</v>
      </c>
      <c r="I6547" s="35">
        <v>2.3401994004705697</v>
      </c>
      <c r="J6547" s="35">
        <v>2.5824473237207934E-5</v>
      </c>
      <c r="K6547" s="35">
        <v>6.7594446615423062E-2</v>
      </c>
      <c r="L6547" s="35">
        <v>-32.93445332014651</v>
      </c>
      <c r="M6547" s="58" t="s">
        <v>24</v>
      </c>
      <c r="N6547" s="7">
        <v>12.25</v>
      </c>
      <c r="O6547" s="7" t="s">
        <v>178</v>
      </c>
      <c r="P6547" s="7" t="s">
        <v>178</v>
      </c>
    </row>
    <row r="6548" spans="1:16" x14ac:dyDescent="0.25">
      <c r="A6548" t="s">
        <v>183</v>
      </c>
      <c r="B6548" t="s">
        <v>233</v>
      </c>
      <c r="C6548" s="7" t="s">
        <v>174</v>
      </c>
      <c r="D6548" t="s">
        <v>117</v>
      </c>
      <c r="F6548" s="35">
        <v>11.99531158176414</v>
      </c>
      <c r="G6548" s="35">
        <v>-36.565076758733298</v>
      </c>
      <c r="H6548" s="35">
        <v>-15.503597079898881</v>
      </c>
      <c r="I6548" s="35">
        <v>2.3401994004705697</v>
      </c>
      <c r="J6548" s="35">
        <v>2.5824473237207934E-5</v>
      </c>
      <c r="K6548" s="35">
        <v>-13.968116039435637</v>
      </c>
      <c r="L6548" s="35">
        <v>-4.1967818329575346</v>
      </c>
      <c r="M6548" s="58" t="s">
        <v>23</v>
      </c>
      <c r="N6548" s="7">
        <v>12.25</v>
      </c>
      <c r="O6548" s="7" t="s">
        <v>178</v>
      </c>
      <c r="P6548" s="7" t="s">
        <v>178</v>
      </c>
    </row>
    <row r="6549" spans="1:16" x14ac:dyDescent="0.25">
      <c r="A6549" t="s">
        <v>183</v>
      </c>
      <c r="B6549" t="s">
        <v>233</v>
      </c>
      <c r="C6549" s="7" t="s">
        <v>174</v>
      </c>
      <c r="D6549" t="s">
        <v>118</v>
      </c>
      <c r="F6549" s="35">
        <v>0</v>
      </c>
      <c r="G6549" s="35">
        <v>5.43584936527549</v>
      </c>
      <c r="H6549" s="35">
        <v>45.719339358574636</v>
      </c>
      <c r="I6549" s="35">
        <v>-0.93371932504638888</v>
      </c>
      <c r="J6549" s="35">
        <v>-9.472745509879519E-6</v>
      </c>
      <c r="K6549" s="35">
        <v>-5.8159055759954379</v>
      </c>
      <c r="L6549" s="35">
        <v>113.2311460069474</v>
      </c>
      <c r="M6549" s="58" t="s">
        <v>22</v>
      </c>
      <c r="N6549" s="7">
        <v>12.25</v>
      </c>
      <c r="O6549" s="7" t="s">
        <v>178</v>
      </c>
      <c r="P6549" s="7" t="s">
        <v>178</v>
      </c>
    </row>
    <row r="6550" spans="1:16" x14ac:dyDescent="0.25">
      <c r="A6550" t="s">
        <v>183</v>
      </c>
      <c r="B6550" t="s">
        <v>233</v>
      </c>
      <c r="C6550" s="7" t="s">
        <v>174</v>
      </c>
      <c r="D6550" t="s">
        <v>118</v>
      </c>
      <c r="F6550" s="35">
        <v>5.99765579088207</v>
      </c>
      <c r="G6550" s="35">
        <v>8.7124586886712301</v>
      </c>
      <c r="H6550" s="35">
        <v>10.012295607558228</v>
      </c>
      <c r="I6550" s="35">
        <v>-0.93371932504638888</v>
      </c>
      <c r="J6550" s="35">
        <v>-9.472745509879519E-6</v>
      </c>
      <c r="K6550" s="35">
        <v>-0.21577845907246712</v>
      </c>
      <c r="L6550" s="35">
        <v>-53.898435588028796</v>
      </c>
      <c r="M6550" s="58" t="s">
        <v>24</v>
      </c>
      <c r="N6550" s="7">
        <v>12.25</v>
      </c>
      <c r="O6550" s="7" t="s">
        <v>178</v>
      </c>
      <c r="P6550" s="7" t="s">
        <v>178</v>
      </c>
    </row>
    <row r="6551" spans="1:16" x14ac:dyDescent="0.25">
      <c r="A6551" t="s">
        <v>183</v>
      </c>
      <c r="B6551" t="s">
        <v>233</v>
      </c>
      <c r="C6551" s="7" t="s">
        <v>174</v>
      </c>
      <c r="D6551" t="s">
        <v>118</v>
      </c>
      <c r="F6551" s="35">
        <v>11.99531158176414</v>
      </c>
      <c r="G6551" s="35">
        <v>11.989068012066969</v>
      </c>
      <c r="H6551" s="35">
        <v>-25.694748143458177</v>
      </c>
      <c r="I6551" s="35">
        <v>-0.93371932504638888</v>
      </c>
      <c r="J6551" s="35">
        <v>-9.472745509879519E-6</v>
      </c>
      <c r="K6551" s="35">
        <v>5.3843486578505031</v>
      </c>
      <c r="L6551" s="35">
        <v>-6.8694594544420307</v>
      </c>
      <c r="M6551" s="58" t="s">
        <v>23</v>
      </c>
      <c r="N6551" s="7">
        <v>12.25</v>
      </c>
      <c r="O6551" s="7" t="s">
        <v>178</v>
      </c>
      <c r="P6551" s="7" t="s">
        <v>178</v>
      </c>
    </row>
    <row r="6552" spans="1:16" x14ac:dyDescent="0.25">
      <c r="A6552" t="s">
        <v>183</v>
      </c>
      <c r="B6552" t="s">
        <v>233</v>
      </c>
      <c r="C6552" s="7" t="s">
        <v>174</v>
      </c>
      <c r="D6552" t="s">
        <v>119</v>
      </c>
      <c r="F6552" s="35">
        <v>0</v>
      </c>
      <c r="G6552" s="35">
        <v>-43.109309100924612</v>
      </c>
      <c r="H6552" s="35">
        <v>27.343195243849788</v>
      </c>
      <c r="I6552" s="35">
        <v>-2.3390069928513921</v>
      </c>
      <c r="J6552" s="35">
        <v>-2.1513711171602048E-5</v>
      </c>
      <c r="K6552" s="35">
        <v>-14.095729101398062</v>
      </c>
      <c r="L6552" s="35">
        <v>66.802567720912009</v>
      </c>
      <c r="M6552" s="58" t="s">
        <v>22</v>
      </c>
      <c r="N6552" s="7">
        <v>12.25</v>
      </c>
      <c r="O6552" s="7" t="s">
        <v>178</v>
      </c>
      <c r="P6552" s="7" t="s">
        <v>178</v>
      </c>
    </row>
    <row r="6553" spans="1:16" x14ac:dyDescent="0.25">
      <c r="A6553" t="s">
        <v>183</v>
      </c>
      <c r="B6553" t="s">
        <v>233</v>
      </c>
      <c r="C6553" s="7" t="s">
        <v>174</v>
      </c>
      <c r="D6553" t="s">
        <v>119</v>
      </c>
      <c r="F6553" s="35">
        <v>5.99765579088207</v>
      </c>
      <c r="G6553" s="35">
        <v>-39.832699777528866</v>
      </c>
      <c r="H6553" s="35">
        <v>5.9189689932399476</v>
      </c>
      <c r="I6553" s="35">
        <v>-2.3390069928513921</v>
      </c>
      <c r="J6553" s="35">
        <v>-2.1513711171602048E-5</v>
      </c>
      <c r="K6553" s="35">
        <v>-6.7170265809255336E-2</v>
      </c>
      <c r="L6553" s="35">
        <v>-32.944938256013863</v>
      </c>
      <c r="M6553" s="58" t="s">
        <v>24</v>
      </c>
      <c r="N6553" s="7">
        <v>12.25</v>
      </c>
      <c r="O6553" s="7" t="s">
        <v>178</v>
      </c>
      <c r="P6553" s="7" t="s">
        <v>178</v>
      </c>
    </row>
    <row r="6554" spans="1:16" x14ac:dyDescent="0.25">
      <c r="A6554" t="s">
        <v>183</v>
      </c>
      <c r="B6554" t="s">
        <v>233</v>
      </c>
      <c r="C6554" s="7" t="s">
        <v>174</v>
      </c>
      <c r="D6554" t="s">
        <v>119</v>
      </c>
      <c r="F6554" s="35">
        <v>11.99531158176414</v>
      </c>
      <c r="G6554" s="35">
        <v>-36.556090454133134</v>
      </c>
      <c r="H6554" s="35">
        <v>-15.505257257369895</v>
      </c>
      <c r="I6554" s="35">
        <v>-2.3390069928513921</v>
      </c>
      <c r="J6554" s="35">
        <v>-2.1513711171602048E-5</v>
      </c>
      <c r="K6554" s="35">
        <v>13.961388569779551</v>
      </c>
      <c r="L6554" s="35">
        <v>-4.1973095958019631</v>
      </c>
      <c r="M6554" s="58" t="s">
        <v>23</v>
      </c>
      <c r="N6554" s="7">
        <v>12.25</v>
      </c>
      <c r="O6554" s="7" t="s">
        <v>178</v>
      </c>
      <c r="P6554" s="7" t="s">
        <v>178</v>
      </c>
    </row>
    <row r="6555" spans="1:16" x14ac:dyDescent="0.25">
      <c r="A6555" t="s">
        <v>183</v>
      </c>
      <c r="B6555" t="s">
        <v>233</v>
      </c>
      <c r="C6555" s="7" t="s">
        <v>174</v>
      </c>
      <c r="D6555" t="s">
        <v>120</v>
      </c>
      <c r="F6555" s="35">
        <v>0</v>
      </c>
      <c r="G6555" s="35">
        <v>6.7638924122458182</v>
      </c>
      <c r="H6555" s="35">
        <v>26.702932920651534</v>
      </c>
      <c r="I6555" s="35">
        <v>-8.8521676465116409E-4</v>
      </c>
      <c r="J6555" s="35">
        <v>-3.2001943948090093E-6</v>
      </c>
      <c r="K6555" s="35">
        <v>-5.6241276857787632E-3</v>
      </c>
      <c r="L6555" s="35">
        <v>71.771293839488891</v>
      </c>
      <c r="M6555" s="58" t="s">
        <v>22</v>
      </c>
      <c r="N6555" s="7">
        <v>12.25</v>
      </c>
      <c r="O6555" s="7" t="s">
        <v>178</v>
      </c>
      <c r="P6555" s="7" t="s">
        <v>178</v>
      </c>
    </row>
    <row r="6556" spans="1:16" x14ac:dyDescent="0.25">
      <c r="A6556" t="s">
        <v>183</v>
      </c>
      <c r="B6556" t="s">
        <v>233</v>
      </c>
      <c r="C6556" s="7" t="s">
        <v>174</v>
      </c>
      <c r="D6556" t="s">
        <v>120</v>
      </c>
      <c r="F6556" s="35">
        <v>5.99765579088207</v>
      </c>
      <c r="G6556" s="35">
        <v>10.040501735641561</v>
      </c>
      <c r="H6556" s="35">
        <v>6.2989079200707287</v>
      </c>
      <c r="I6556" s="35">
        <v>-8.8521676465116409E-4</v>
      </c>
      <c r="J6556" s="35">
        <v>-3.2001943948090093E-6</v>
      </c>
      <c r="K6556" s="35">
        <v>-3.1490223108281867E-4</v>
      </c>
      <c r="L6556" s="35">
        <v>-27.195547074574247</v>
      </c>
      <c r="M6556" s="58" t="s">
        <v>24</v>
      </c>
      <c r="N6556" s="7">
        <v>12.25</v>
      </c>
      <c r="O6556" s="7" t="s">
        <v>178</v>
      </c>
      <c r="P6556" s="7" t="s">
        <v>178</v>
      </c>
    </row>
    <row r="6557" spans="1:16" x14ac:dyDescent="0.25">
      <c r="A6557" t="s">
        <v>183</v>
      </c>
      <c r="B6557" t="s">
        <v>233</v>
      </c>
      <c r="C6557" s="7" t="s">
        <v>174</v>
      </c>
      <c r="D6557" t="s">
        <v>120</v>
      </c>
      <c r="F6557" s="35">
        <v>11.99531158176414</v>
      </c>
      <c r="G6557" s="35">
        <v>13.317111059037297</v>
      </c>
      <c r="H6557" s="35">
        <v>-14.105117080510077</v>
      </c>
      <c r="I6557" s="35">
        <v>-8.8521676465116409E-4</v>
      </c>
      <c r="J6557" s="35">
        <v>-3.2001943948090093E-6</v>
      </c>
      <c r="K6557" s="35">
        <v>4.9943232236131256E-3</v>
      </c>
      <c r="L6557" s="35">
        <v>-3.7860692866014052</v>
      </c>
      <c r="M6557" s="58" t="s">
        <v>23</v>
      </c>
      <c r="N6557" s="7">
        <v>12.25</v>
      </c>
      <c r="O6557" s="7" t="s">
        <v>178</v>
      </c>
      <c r="P6557" s="7" t="s">
        <v>178</v>
      </c>
    </row>
    <row r="6558" spans="1:16" x14ac:dyDescent="0.25">
      <c r="A6558" t="s">
        <v>183</v>
      </c>
      <c r="B6558" t="s">
        <v>233</v>
      </c>
      <c r="C6558" s="7" t="s">
        <v>174</v>
      </c>
      <c r="D6558" t="s">
        <v>121</v>
      </c>
      <c r="F6558" s="35">
        <v>0</v>
      </c>
      <c r="G6558" s="35">
        <v>-13.542402758274818</v>
      </c>
      <c r="H6558" s="35">
        <v>6.3636499370803516</v>
      </c>
      <c r="I6558" s="35">
        <v>-1.256470176985969E-3</v>
      </c>
      <c r="J6558" s="35">
        <v>-4.5422743377885496E-6</v>
      </c>
      <c r="K6558" s="35">
        <v>-7.9828451865871577E-3</v>
      </c>
      <c r="L6558" s="35">
        <v>21.158475072759295</v>
      </c>
      <c r="M6558" s="58" t="s">
        <v>22</v>
      </c>
      <c r="N6558" s="7">
        <v>12.25</v>
      </c>
      <c r="O6558" s="7" t="s">
        <v>178</v>
      </c>
      <c r="P6558" s="7" t="s">
        <v>178</v>
      </c>
    </row>
    <row r="6559" spans="1:16" x14ac:dyDescent="0.25">
      <c r="A6559" t="s">
        <v>183</v>
      </c>
      <c r="B6559" t="s">
        <v>233</v>
      </c>
      <c r="C6559" s="7" t="s">
        <v>174</v>
      </c>
      <c r="D6559" t="s">
        <v>121</v>
      </c>
      <c r="F6559" s="35">
        <v>5.99765579088207</v>
      </c>
      <c r="G6559" s="35">
        <v>-10.265793434879075</v>
      </c>
      <c r="H6559" s="35">
        <v>1.8294221591735074</v>
      </c>
      <c r="I6559" s="35">
        <v>-1.256470176985969E-3</v>
      </c>
      <c r="J6559" s="35">
        <v>-4.5422743377885496E-6</v>
      </c>
      <c r="K6559" s="35">
        <v>-4.4696955351664091E-4</v>
      </c>
      <c r="L6559" s="35">
        <v>-3.4111380788463328</v>
      </c>
      <c r="M6559" s="58" t="s">
        <v>24</v>
      </c>
      <c r="N6559" s="7">
        <v>12.25</v>
      </c>
      <c r="O6559" s="7" t="s">
        <v>178</v>
      </c>
      <c r="P6559" s="7" t="s">
        <v>178</v>
      </c>
    </row>
    <row r="6560" spans="1:16" x14ac:dyDescent="0.25">
      <c r="A6560" t="s">
        <v>183</v>
      </c>
      <c r="B6560" t="s">
        <v>233</v>
      </c>
      <c r="C6560" s="7" t="s">
        <v>174</v>
      </c>
      <c r="D6560" t="s">
        <v>121</v>
      </c>
      <c r="F6560" s="35">
        <v>11.99531158176414</v>
      </c>
      <c r="G6560" s="35">
        <v>-6.9891841114833388</v>
      </c>
      <c r="H6560" s="35">
        <v>-2.7048056187333374</v>
      </c>
      <c r="I6560" s="35">
        <v>-1.256470176985969E-3</v>
      </c>
      <c r="J6560" s="35">
        <v>-4.5422743377885496E-6</v>
      </c>
      <c r="K6560" s="35">
        <v>7.0889060795538755E-3</v>
      </c>
      <c r="L6560" s="35">
        <v>-0.78601374111063738</v>
      </c>
      <c r="M6560" s="58" t="s">
        <v>23</v>
      </c>
      <c r="N6560" s="7">
        <v>12.25</v>
      </c>
      <c r="O6560" s="7" t="s">
        <v>178</v>
      </c>
      <c r="P6560" s="7" t="s">
        <v>178</v>
      </c>
    </row>
    <row r="6561" spans="1:16" x14ac:dyDescent="0.25">
      <c r="A6561" t="s">
        <v>183</v>
      </c>
      <c r="B6561" t="s">
        <v>233</v>
      </c>
      <c r="C6561" s="7" t="s">
        <v>174</v>
      </c>
      <c r="D6561" t="s">
        <v>122</v>
      </c>
      <c r="F6561" s="35">
        <v>0</v>
      </c>
      <c r="G6561" s="35">
        <v>47.546692330785618</v>
      </c>
      <c r="H6561" s="35">
        <v>-26.622248921336045</v>
      </c>
      <c r="I6561" s="35">
        <v>7.9025948806244069E-4</v>
      </c>
      <c r="J6561" s="35">
        <v>2.8567499674632828E-6</v>
      </c>
      <c r="K6561" s="35">
        <v>5.0208260460185995E-3</v>
      </c>
      <c r="L6561" s="35">
        <v>-70.965803597658891</v>
      </c>
      <c r="M6561" s="58" t="s">
        <v>22</v>
      </c>
      <c r="N6561" s="7">
        <v>12.25</v>
      </c>
      <c r="O6561" s="7" t="s">
        <v>178</v>
      </c>
      <c r="P6561" s="7" t="s">
        <v>178</v>
      </c>
    </row>
    <row r="6562" spans="1:16" x14ac:dyDescent="0.25">
      <c r="A6562" t="s">
        <v>183</v>
      </c>
      <c r="B6562" t="s">
        <v>233</v>
      </c>
      <c r="C6562" s="7" t="s">
        <v>174</v>
      </c>
      <c r="D6562" t="s">
        <v>122</v>
      </c>
      <c r="F6562" s="35">
        <v>5.99765579088207</v>
      </c>
      <c r="G6562" s="35">
        <v>50.823301654181357</v>
      </c>
      <c r="H6562" s="35">
        <v>-6.2182239207552392</v>
      </c>
      <c r="I6562" s="35">
        <v>7.9025948806244069E-4</v>
      </c>
      <c r="J6562" s="35">
        <v>2.8567499674632828E-6</v>
      </c>
      <c r="K6562" s="35">
        <v>2.8112165114140296E-4</v>
      </c>
      <c r="L6562" s="35">
        <v>27.517122460678173</v>
      </c>
      <c r="M6562" s="58" t="s">
        <v>24</v>
      </c>
      <c r="N6562" s="7">
        <v>12.25</v>
      </c>
      <c r="O6562" s="7" t="s">
        <v>178</v>
      </c>
      <c r="P6562" s="7" t="s">
        <v>178</v>
      </c>
    </row>
    <row r="6563" spans="1:16" x14ac:dyDescent="0.25">
      <c r="A6563" t="s">
        <v>183</v>
      </c>
      <c r="B6563" t="s">
        <v>233</v>
      </c>
      <c r="C6563" s="7" t="s">
        <v>174</v>
      </c>
      <c r="D6563" t="s">
        <v>122</v>
      </c>
      <c r="F6563" s="35">
        <v>11.99531158176414</v>
      </c>
      <c r="G6563" s="35">
        <v>54.099910977577096</v>
      </c>
      <c r="H6563" s="35">
        <v>14.185801079825566</v>
      </c>
      <c r="I6563" s="35">
        <v>7.9025948806244069E-4</v>
      </c>
      <c r="J6563" s="35">
        <v>2.8567499674632828E-6</v>
      </c>
      <c r="K6563" s="35">
        <v>-4.4585827437357943E-3</v>
      </c>
      <c r="L6563" s="35">
        <v>3.6237298169792478</v>
      </c>
      <c r="M6563" s="58" t="s">
        <v>23</v>
      </c>
      <c r="N6563" s="7">
        <v>12.25</v>
      </c>
      <c r="O6563" s="7" t="s">
        <v>178</v>
      </c>
      <c r="P6563" s="7" t="s">
        <v>178</v>
      </c>
    </row>
    <row r="6564" spans="1:16" x14ac:dyDescent="0.25">
      <c r="A6564" t="s">
        <v>183</v>
      </c>
      <c r="B6564" t="s">
        <v>233</v>
      </c>
      <c r="C6564" s="7" t="s">
        <v>174</v>
      </c>
      <c r="D6564" t="s">
        <v>123</v>
      </c>
      <c r="F6564" s="35">
        <v>0</v>
      </c>
      <c r="G6564" s="35">
        <v>27.255465191672776</v>
      </c>
      <c r="H6564" s="35">
        <v>-46.960685155665878</v>
      </c>
      <c r="I6564" s="35">
        <v>4.1869163561523667E-4</v>
      </c>
      <c r="J6564" s="35">
        <v>1.5135333581670151E-6</v>
      </c>
      <c r="K6564" s="35">
        <v>2.6601107849382518E-3</v>
      </c>
      <c r="L6564" s="35">
        <v>-121.56817624931593</v>
      </c>
      <c r="M6564" s="58" t="s">
        <v>22</v>
      </c>
      <c r="N6564" s="7">
        <v>12.25</v>
      </c>
      <c r="O6564" s="7" t="s">
        <v>178</v>
      </c>
      <c r="P6564" s="7" t="s">
        <v>178</v>
      </c>
    </row>
    <row r="6565" spans="1:16" x14ac:dyDescent="0.25">
      <c r="A6565" t="s">
        <v>183</v>
      </c>
      <c r="B6565" t="s">
        <v>233</v>
      </c>
      <c r="C6565" s="7" t="s">
        <v>174</v>
      </c>
      <c r="D6565" t="s">
        <v>123</v>
      </c>
      <c r="F6565" s="35">
        <v>5.99765579088207</v>
      </c>
      <c r="G6565" s="35">
        <v>30.532074515068519</v>
      </c>
      <c r="H6565" s="35">
        <v>-10.686862932411124</v>
      </c>
      <c r="I6565" s="35">
        <v>4.1869163561523667E-4</v>
      </c>
      <c r="J6565" s="35">
        <v>1.5135333581670151E-6</v>
      </c>
      <c r="K6565" s="35">
        <v>1.4894247199664224E-4</v>
      </c>
      <c r="L6565" s="35">
        <v>51.306899060987902</v>
      </c>
      <c r="M6565" s="58" t="s">
        <v>24</v>
      </c>
      <c r="N6565" s="7">
        <v>12.25</v>
      </c>
      <c r="O6565" s="7" t="s">
        <v>178</v>
      </c>
      <c r="P6565" s="7" t="s">
        <v>178</v>
      </c>
    </row>
    <row r="6566" spans="1:16" x14ac:dyDescent="0.25">
      <c r="A6566" t="s">
        <v>183</v>
      </c>
      <c r="B6566" t="s">
        <v>233</v>
      </c>
      <c r="C6566" s="7" t="s">
        <v>174</v>
      </c>
      <c r="D6566" t="s">
        <v>123</v>
      </c>
      <c r="F6566" s="35">
        <v>11.99531158176414</v>
      </c>
      <c r="G6566" s="35">
        <v>33.808683838464255</v>
      </c>
      <c r="H6566" s="35">
        <v>25.58695929084363</v>
      </c>
      <c r="I6566" s="35">
        <v>4.1869163561523667E-4</v>
      </c>
      <c r="J6566" s="35">
        <v>1.5135333581670151E-6</v>
      </c>
      <c r="K6566" s="35">
        <v>-2.3622258409449668E-3</v>
      </c>
      <c r="L6566" s="35">
        <v>6.6240744565611269</v>
      </c>
      <c r="M6566" s="58" t="s">
        <v>23</v>
      </c>
      <c r="N6566" s="7">
        <v>12.25</v>
      </c>
      <c r="O6566" s="7" t="s">
        <v>178</v>
      </c>
      <c r="P6566" s="7" t="s">
        <v>178</v>
      </c>
    </row>
    <row r="6567" spans="1:16" x14ac:dyDescent="0.25">
      <c r="A6567" t="s">
        <v>183</v>
      </c>
      <c r="B6567" t="s">
        <v>233</v>
      </c>
      <c r="C6567" s="7" t="s">
        <v>174</v>
      </c>
      <c r="D6567" t="s">
        <v>124</v>
      </c>
      <c r="F6567" s="35">
        <v>0</v>
      </c>
      <c r="G6567" s="35">
        <v>11.449528868574495</v>
      </c>
      <c r="H6567" s="35">
        <v>50.806882868198414</v>
      </c>
      <c r="I6567" s="35">
        <v>1.0394578634055722</v>
      </c>
      <c r="J6567" s="35">
        <v>1.7726267773660669E-5</v>
      </c>
      <c r="K6567" s="35">
        <v>6.4747729203719819</v>
      </c>
      <c r="L6567" s="35">
        <v>125.91791161677834</v>
      </c>
      <c r="M6567" s="58" t="s">
        <v>22</v>
      </c>
      <c r="N6567" s="7">
        <v>12.25</v>
      </c>
      <c r="O6567" s="7" t="s">
        <v>178</v>
      </c>
      <c r="P6567" s="7" t="s">
        <v>178</v>
      </c>
    </row>
    <row r="6568" spans="1:16" x14ac:dyDescent="0.25">
      <c r="A6568" t="s">
        <v>183</v>
      </c>
      <c r="B6568" t="s">
        <v>233</v>
      </c>
      <c r="C6568" s="7" t="s">
        <v>174</v>
      </c>
      <c r="D6568" t="s">
        <v>124</v>
      </c>
      <c r="F6568" s="35">
        <v>5.99765579088207</v>
      </c>
      <c r="G6568" s="35">
        <v>14.726138191970238</v>
      </c>
      <c r="H6568" s="35">
        <v>11.132389811513519</v>
      </c>
      <c r="I6568" s="35">
        <v>1.0394578634055722</v>
      </c>
      <c r="J6568" s="35">
        <v>1.7726267773660669E-5</v>
      </c>
      <c r="K6568" s="35">
        <v>0.24046244653964896</v>
      </c>
      <c r="L6568" s="35">
        <v>-59.827307118470564</v>
      </c>
      <c r="M6568" s="58" t="s">
        <v>24</v>
      </c>
      <c r="N6568" s="7">
        <v>12.25</v>
      </c>
      <c r="O6568" s="7" t="s">
        <v>178</v>
      </c>
      <c r="P6568" s="7" t="s">
        <v>178</v>
      </c>
    </row>
    <row r="6569" spans="1:16" x14ac:dyDescent="0.25">
      <c r="A6569" t="s">
        <v>183</v>
      </c>
      <c r="B6569" t="s">
        <v>233</v>
      </c>
      <c r="C6569" s="7" t="s">
        <v>174</v>
      </c>
      <c r="D6569" t="s">
        <v>124</v>
      </c>
      <c r="F6569" s="35">
        <v>11.99531158176414</v>
      </c>
      <c r="G6569" s="35">
        <v>18.002747515365972</v>
      </c>
      <c r="H6569" s="35">
        <v>-28.542103245171376</v>
      </c>
      <c r="I6569" s="35">
        <v>1.0394578634055722</v>
      </c>
      <c r="J6569" s="35">
        <v>1.7726267773660669E-5</v>
      </c>
      <c r="K6569" s="35">
        <v>-5.9938480272926844</v>
      </c>
      <c r="L6569" s="35">
        <v>-7.6185728219828679</v>
      </c>
      <c r="M6569" s="58" t="s">
        <v>23</v>
      </c>
      <c r="N6569" s="7">
        <v>12.25</v>
      </c>
      <c r="O6569" s="7" t="s">
        <v>178</v>
      </c>
      <c r="P6569" s="7" t="s">
        <v>178</v>
      </c>
    </row>
    <row r="6570" spans="1:16" x14ac:dyDescent="0.25">
      <c r="A6570" t="s">
        <v>183</v>
      </c>
      <c r="B6570" t="s">
        <v>233</v>
      </c>
      <c r="C6570" s="7" t="s">
        <v>174</v>
      </c>
      <c r="D6570" t="s">
        <v>125</v>
      </c>
      <c r="F6570" s="35">
        <v>0</v>
      </c>
      <c r="G6570" s="35">
        <v>-42.497592772745847</v>
      </c>
      <c r="H6570" s="35">
        <v>30.390493553857638</v>
      </c>
      <c r="I6570" s="35">
        <v>2.6002143527235684</v>
      </c>
      <c r="J6570" s="35">
        <v>2.8667811783474546E-5</v>
      </c>
      <c r="K6570" s="35">
        <v>15.670293048310249</v>
      </c>
      <c r="L6570" s="35">
        <v>74.34966940168546</v>
      </c>
      <c r="M6570" s="58" t="s">
        <v>22</v>
      </c>
      <c r="N6570" s="7">
        <v>12.25</v>
      </c>
      <c r="O6570" s="7" t="s">
        <v>178</v>
      </c>
      <c r="P6570" s="7" t="s">
        <v>178</v>
      </c>
    </row>
    <row r="6571" spans="1:16" x14ac:dyDescent="0.25">
      <c r="A6571" t="s">
        <v>183</v>
      </c>
      <c r="B6571" t="s">
        <v>233</v>
      </c>
      <c r="C6571" s="7" t="s">
        <v>174</v>
      </c>
      <c r="D6571" t="s">
        <v>125</v>
      </c>
      <c r="F6571" s="35">
        <v>5.99765579088207</v>
      </c>
      <c r="G6571" s="35">
        <v>-39.220983449350101</v>
      </c>
      <c r="H6571" s="35">
        <v>6.5857977198467017</v>
      </c>
      <c r="I6571" s="35">
        <v>2.6002143527235684</v>
      </c>
      <c r="J6571" s="35">
        <v>2.8667811783474546E-5</v>
      </c>
      <c r="K6571" s="35">
        <v>7.5102378163067168E-2</v>
      </c>
      <c r="L6571" s="35">
        <v>-36.535864339852004</v>
      </c>
      <c r="M6571" s="58" t="s">
        <v>24</v>
      </c>
      <c r="N6571" s="7">
        <v>12.25</v>
      </c>
      <c r="O6571" s="7" t="s">
        <v>178</v>
      </c>
      <c r="P6571" s="7" t="s">
        <v>178</v>
      </c>
    </row>
    <row r="6572" spans="1:16" x14ac:dyDescent="0.25">
      <c r="A6572" t="s">
        <v>183</v>
      </c>
      <c r="B6572" t="s">
        <v>233</v>
      </c>
      <c r="C6572" s="7" t="s">
        <v>174</v>
      </c>
      <c r="D6572" t="s">
        <v>125</v>
      </c>
      <c r="F6572" s="35">
        <v>11.99531158176414</v>
      </c>
      <c r="G6572" s="35">
        <v>-35.944374125954369</v>
      </c>
      <c r="H6572" s="35">
        <v>-17.218898114164233</v>
      </c>
      <c r="I6572" s="35">
        <v>2.6002143527235684</v>
      </c>
      <c r="J6572" s="35">
        <v>2.8667811783474546E-5</v>
      </c>
      <c r="K6572" s="35">
        <v>-15.520088291984115</v>
      </c>
      <c r="L6572" s="35">
        <v>-4.6490262623475367</v>
      </c>
      <c r="M6572" s="58" t="s">
        <v>23</v>
      </c>
      <c r="N6572" s="7">
        <v>12.25</v>
      </c>
      <c r="O6572" s="7" t="s">
        <v>178</v>
      </c>
      <c r="P6572" s="7" t="s">
        <v>178</v>
      </c>
    </row>
    <row r="6573" spans="1:16" x14ac:dyDescent="0.25">
      <c r="A6573" t="s">
        <v>183</v>
      </c>
      <c r="B6573" t="s">
        <v>233</v>
      </c>
      <c r="C6573" s="7" t="s">
        <v>174</v>
      </c>
      <c r="D6573" t="s">
        <v>126</v>
      </c>
      <c r="F6573" s="35">
        <v>0</v>
      </c>
      <c r="G6573" s="35">
        <v>11.45145697258778</v>
      </c>
      <c r="H6573" s="35">
        <v>50.806586817473004</v>
      </c>
      <c r="I6573" s="35">
        <v>-1.037473120073052</v>
      </c>
      <c r="J6573" s="35">
        <v>-1.0551320157733732E-5</v>
      </c>
      <c r="K6573" s="35">
        <v>-6.4621630724252173</v>
      </c>
      <c r="L6573" s="35">
        <v>125.91426515406894</v>
      </c>
      <c r="M6573" s="58" t="s">
        <v>22</v>
      </c>
      <c r="N6573" s="7">
        <v>12.25</v>
      </c>
      <c r="O6573" s="7" t="s">
        <v>178</v>
      </c>
      <c r="P6573" s="7" t="s">
        <v>178</v>
      </c>
    </row>
    <row r="6574" spans="1:16" x14ac:dyDescent="0.25">
      <c r="A6574" t="s">
        <v>183</v>
      </c>
      <c r="B6574" t="s">
        <v>233</v>
      </c>
      <c r="C6574" s="7" t="s">
        <v>174</v>
      </c>
      <c r="D6574" t="s">
        <v>126</v>
      </c>
      <c r="F6574" s="35">
        <v>5.99765579088207</v>
      </c>
      <c r="G6574" s="35">
        <v>14.728066295983522</v>
      </c>
      <c r="H6574" s="35">
        <v>11.132093760788111</v>
      </c>
      <c r="I6574" s="35">
        <v>-1.037473120073052</v>
      </c>
      <c r="J6574" s="35">
        <v>-1.0551320157733732E-5</v>
      </c>
      <c r="K6574" s="35">
        <v>-0.23975640593458858</v>
      </c>
      <c r="L6574" s="35">
        <v>-59.829177970832319</v>
      </c>
      <c r="M6574" s="58" t="s">
        <v>24</v>
      </c>
      <c r="N6574" s="7">
        <v>12.25</v>
      </c>
      <c r="O6574" s="7" t="s">
        <v>178</v>
      </c>
      <c r="P6574" s="7" t="s">
        <v>178</v>
      </c>
    </row>
    <row r="6575" spans="1:16" x14ac:dyDescent="0.25">
      <c r="A6575" t="s">
        <v>183</v>
      </c>
      <c r="B6575" t="s">
        <v>233</v>
      </c>
      <c r="C6575" s="7" t="s">
        <v>174</v>
      </c>
      <c r="D6575" t="s">
        <v>126</v>
      </c>
      <c r="F6575" s="35">
        <v>11.99531158176414</v>
      </c>
      <c r="G6575" s="35">
        <v>18.004675619379256</v>
      </c>
      <c r="H6575" s="35">
        <v>-28.542399295896786</v>
      </c>
      <c r="I6575" s="35">
        <v>-1.037473120073052</v>
      </c>
      <c r="J6575" s="35">
        <v>-1.0551320157733732E-5</v>
      </c>
      <c r="K6575" s="35">
        <v>5.9826502605560394</v>
      </c>
      <c r="L6575" s="35">
        <v>-7.618668063996977</v>
      </c>
      <c r="M6575" s="58" t="s">
        <v>23</v>
      </c>
      <c r="N6575" s="7">
        <v>12.25</v>
      </c>
      <c r="O6575" s="7" t="s">
        <v>178</v>
      </c>
      <c r="P6575" s="7" t="s">
        <v>178</v>
      </c>
    </row>
    <row r="6576" spans="1:16" x14ac:dyDescent="0.25">
      <c r="A6576" t="s">
        <v>183</v>
      </c>
      <c r="B6576" t="s">
        <v>233</v>
      </c>
      <c r="C6576" s="7" t="s">
        <v>174</v>
      </c>
      <c r="D6576" t="s">
        <v>127</v>
      </c>
      <c r="F6576" s="35">
        <v>0</v>
      </c>
      <c r="G6576" s="35">
        <v>-42.487607989856777</v>
      </c>
      <c r="H6576" s="35">
        <v>30.388648912223179</v>
      </c>
      <c r="I6576" s="35">
        <v>-2.5989038620786111</v>
      </c>
      <c r="J6576" s="35">
        <v>-2.3930170892980986E-5</v>
      </c>
      <c r="K6576" s="35">
        <v>-15.661966989539243</v>
      </c>
      <c r="L6576" s="35">
        <v>74.326955947362947</v>
      </c>
      <c r="M6576" s="58" t="s">
        <v>22</v>
      </c>
      <c r="N6576" s="7">
        <v>12.25</v>
      </c>
      <c r="O6576" s="7" t="s">
        <v>178</v>
      </c>
      <c r="P6576" s="7" t="s">
        <v>178</v>
      </c>
    </row>
    <row r="6577" spans="1:16" x14ac:dyDescent="0.25">
      <c r="A6577" t="s">
        <v>183</v>
      </c>
      <c r="B6577" t="s">
        <v>233</v>
      </c>
      <c r="C6577" s="7" t="s">
        <v>174</v>
      </c>
      <c r="D6577" t="s">
        <v>127</v>
      </c>
      <c r="F6577" s="35">
        <v>5.99765579088207</v>
      </c>
      <c r="G6577" s="35">
        <v>-39.21099866646103</v>
      </c>
      <c r="H6577" s="35">
        <v>6.5839530782122422</v>
      </c>
      <c r="I6577" s="35">
        <v>-2.5989038620786111</v>
      </c>
      <c r="J6577" s="35">
        <v>-2.3930170892980986E-5</v>
      </c>
      <c r="K6577" s="35">
        <v>-7.4636191197686594E-2</v>
      </c>
      <c r="L6577" s="35">
        <v>-36.54751426859351</v>
      </c>
      <c r="M6577" s="58" t="s">
        <v>24</v>
      </c>
      <c r="N6577" s="7">
        <v>12.25</v>
      </c>
      <c r="O6577" s="7" t="s">
        <v>178</v>
      </c>
      <c r="P6577" s="7" t="s">
        <v>178</v>
      </c>
    </row>
    <row r="6578" spans="1:16" x14ac:dyDescent="0.25">
      <c r="A6578" t="s">
        <v>183</v>
      </c>
      <c r="B6578" t="s">
        <v>233</v>
      </c>
      <c r="C6578" s="7" t="s">
        <v>174</v>
      </c>
      <c r="D6578" t="s">
        <v>127</v>
      </c>
      <c r="F6578" s="35">
        <v>11.99531158176414</v>
      </c>
      <c r="G6578" s="35">
        <v>-35.934389343065298</v>
      </c>
      <c r="H6578" s="35">
        <v>-17.220742755798693</v>
      </c>
      <c r="I6578" s="35">
        <v>-2.5989038620786111</v>
      </c>
      <c r="J6578" s="35">
        <v>-2.3930170892980986E-5</v>
      </c>
      <c r="K6578" s="35">
        <v>15.512694607143871</v>
      </c>
      <c r="L6578" s="35">
        <v>-4.6496126655080117</v>
      </c>
      <c r="M6578" s="58" t="s">
        <v>23</v>
      </c>
      <c r="N6578" s="7">
        <v>12.25</v>
      </c>
      <c r="O6578" s="7" t="s">
        <v>178</v>
      </c>
      <c r="P6578" s="7" t="s">
        <v>178</v>
      </c>
    </row>
    <row r="6579" spans="1:16" x14ac:dyDescent="0.25">
      <c r="A6579" t="s">
        <v>183</v>
      </c>
      <c r="B6579" t="s">
        <v>234</v>
      </c>
      <c r="C6579" s="7" t="s">
        <v>175</v>
      </c>
      <c r="D6579" t="s">
        <v>105</v>
      </c>
      <c r="F6579" s="35">
        <v>0</v>
      </c>
      <c r="G6579" s="35">
        <v>-32.375098376253746</v>
      </c>
      <c r="H6579" s="35">
        <v>1.1781037099060572</v>
      </c>
      <c r="I6579" s="35">
        <v>3.5740771864873719E-2</v>
      </c>
      <c r="J6579" s="35">
        <v>1.4244470832718329E-4</v>
      </c>
      <c r="K6579" s="35">
        <v>0.15568801475688268</v>
      </c>
      <c r="L6579" s="35">
        <v>2.8505555535892402</v>
      </c>
      <c r="M6579" s="58" t="s">
        <v>22</v>
      </c>
      <c r="N6579" s="7">
        <v>11.333333333333334</v>
      </c>
      <c r="O6579" s="7" t="s">
        <v>178</v>
      </c>
      <c r="P6579" s="7" t="s">
        <v>178</v>
      </c>
    </row>
    <row r="6580" spans="1:16" x14ac:dyDescent="0.25">
      <c r="A6580" t="s">
        <v>183</v>
      </c>
      <c r="B6580" t="s">
        <v>234</v>
      </c>
      <c r="C6580" s="7" t="s">
        <v>175</v>
      </c>
      <c r="D6580" t="s">
        <v>105</v>
      </c>
      <c r="F6580" s="35">
        <v>0.29999999999999988</v>
      </c>
      <c r="G6580" s="35">
        <v>-32.211203876253748</v>
      </c>
      <c r="H6580" s="35">
        <v>1.1781037099060572</v>
      </c>
      <c r="I6580" s="35">
        <v>3.5740771864873719E-2</v>
      </c>
      <c r="J6580" s="35">
        <v>1.4244470832718329E-4</v>
      </c>
      <c r="K6580" s="35">
        <v>0.14496578319742057</v>
      </c>
      <c r="L6580" s="35">
        <v>2.4971244406174229</v>
      </c>
      <c r="M6580" s="58" t="s">
        <v>22</v>
      </c>
      <c r="N6580" s="7">
        <v>11.333333333333334</v>
      </c>
      <c r="O6580" s="7" t="s">
        <v>178</v>
      </c>
      <c r="P6580" s="7" t="s">
        <v>178</v>
      </c>
    </row>
    <row r="6581" spans="1:16" x14ac:dyDescent="0.25">
      <c r="A6581" t="s">
        <v>183</v>
      </c>
      <c r="B6581" t="s">
        <v>234</v>
      </c>
      <c r="C6581" s="7" t="s">
        <v>175</v>
      </c>
      <c r="D6581" t="s">
        <v>105</v>
      </c>
      <c r="F6581" s="35">
        <v>0.29999999999999988</v>
      </c>
      <c r="G6581" s="35">
        <v>-24.406939919916589</v>
      </c>
      <c r="H6581" s="35">
        <v>0.75682211855658355</v>
      </c>
      <c r="I6581" s="35">
        <v>3.5740771864874149E-2</v>
      </c>
      <c r="J6581" s="35">
        <v>-1.3320666593944874E-4</v>
      </c>
      <c r="K6581" s="35">
        <v>0.14494924411496471</v>
      </c>
      <c r="L6581" s="35">
        <v>2.4971244406174211</v>
      </c>
      <c r="M6581" s="58" t="s">
        <v>22</v>
      </c>
      <c r="N6581" s="7">
        <v>11.333333333333334</v>
      </c>
      <c r="O6581" s="7" t="s">
        <v>178</v>
      </c>
      <c r="P6581" s="7" t="s">
        <v>178</v>
      </c>
    </row>
    <row r="6582" spans="1:16" x14ac:dyDescent="0.25">
      <c r="A6582" t="s">
        <v>183</v>
      </c>
      <c r="B6582" t="s">
        <v>234</v>
      </c>
      <c r="C6582" s="7" t="s">
        <v>175</v>
      </c>
      <c r="D6582" t="s">
        <v>105</v>
      </c>
      <c r="F6582" s="35">
        <v>5.3</v>
      </c>
      <c r="G6582" s="35">
        <v>-21.675364919916586</v>
      </c>
      <c r="H6582" s="35">
        <v>0.75682211855658355</v>
      </c>
      <c r="I6582" s="35">
        <v>3.5740771864874149E-2</v>
      </c>
      <c r="J6582" s="35">
        <v>-1.3320666593944874E-4</v>
      </c>
      <c r="K6582" s="35">
        <v>-3.3754615209406036E-2</v>
      </c>
      <c r="L6582" s="35">
        <v>-1.2869861521654968</v>
      </c>
      <c r="M6582" s="58" t="s">
        <v>24</v>
      </c>
      <c r="N6582" s="7">
        <v>11.333333333333334</v>
      </c>
      <c r="O6582" s="7" t="s">
        <v>178</v>
      </c>
      <c r="P6582" s="7" t="s">
        <v>178</v>
      </c>
    </row>
    <row r="6583" spans="1:16" x14ac:dyDescent="0.25">
      <c r="A6583" t="s">
        <v>183</v>
      </c>
      <c r="B6583" t="s">
        <v>234</v>
      </c>
      <c r="C6583" s="7" t="s">
        <v>175</v>
      </c>
      <c r="D6583" t="s">
        <v>105</v>
      </c>
      <c r="F6583" s="35">
        <v>5.3</v>
      </c>
      <c r="G6583" s="35">
        <v>-26.035144465326923</v>
      </c>
      <c r="H6583" s="35">
        <v>-0.1974424379807877</v>
      </c>
      <c r="I6583" s="35">
        <v>3.5849670414672713E-2</v>
      </c>
      <c r="J6583" s="35">
        <v>-1.9241329010052108E-4</v>
      </c>
      <c r="K6583" s="35">
        <v>-3.3625396221372596E-2</v>
      </c>
      <c r="L6583" s="35">
        <v>-1.2869861521654971</v>
      </c>
      <c r="M6583" s="58" t="s">
        <v>24</v>
      </c>
      <c r="N6583" s="7">
        <v>11.333333333333334</v>
      </c>
      <c r="O6583" s="7" t="s">
        <v>178</v>
      </c>
      <c r="P6583" s="7" t="s">
        <v>178</v>
      </c>
    </row>
    <row r="6584" spans="1:16" x14ac:dyDescent="0.25">
      <c r="A6584" t="s">
        <v>183</v>
      </c>
      <c r="B6584" t="s">
        <v>234</v>
      </c>
      <c r="C6584" s="7" t="s">
        <v>175</v>
      </c>
      <c r="D6584" t="s">
        <v>105</v>
      </c>
      <c r="F6584" s="35">
        <v>5.5393224575487361</v>
      </c>
      <c r="G6584" s="35">
        <v>-25.90439901693119</v>
      </c>
      <c r="H6584" s="35">
        <v>-0.1974424379807877</v>
      </c>
      <c r="I6584" s="35">
        <v>3.5849670414672713E-2</v>
      </c>
      <c r="J6584" s="35">
        <v>-1.9241329010052108E-4</v>
      </c>
      <c r="K6584" s="35">
        <v>-4.2205027447324295E-2</v>
      </c>
      <c r="L6584" s="35">
        <v>-1.2397337426835211</v>
      </c>
      <c r="M6584" s="58" t="s">
        <v>24</v>
      </c>
      <c r="N6584" s="7">
        <v>11.333333333333334</v>
      </c>
      <c r="O6584" s="7" t="s">
        <v>178</v>
      </c>
      <c r="P6584" s="7" t="s">
        <v>178</v>
      </c>
    </row>
    <row r="6585" spans="1:16" x14ac:dyDescent="0.25">
      <c r="A6585" t="s">
        <v>183</v>
      </c>
      <c r="B6585" t="s">
        <v>234</v>
      </c>
      <c r="C6585" s="7" t="s">
        <v>175</v>
      </c>
      <c r="D6585" t="s">
        <v>105</v>
      </c>
      <c r="F6585" s="35">
        <v>11.078644915097472</v>
      </c>
      <c r="G6585" s="35">
        <v>-22.87818406853545</v>
      </c>
      <c r="H6585" s="35">
        <v>-0.1974424379807877</v>
      </c>
      <c r="I6585" s="35">
        <v>3.5849670414672713E-2</v>
      </c>
      <c r="J6585" s="35">
        <v>-1.9241329010052108E-4</v>
      </c>
      <c r="K6585" s="35">
        <v>-0.24078791187104137</v>
      </c>
      <c r="L6585" s="35">
        <v>-0.14603641190337038</v>
      </c>
      <c r="M6585" s="58" t="s">
        <v>23</v>
      </c>
      <c r="N6585" s="7">
        <v>11.333333333333334</v>
      </c>
      <c r="O6585" s="7" t="s">
        <v>178</v>
      </c>
      <c r="P6585" s="7" t="s">
        <v>178</v>
      </c>
    </row>
    <row r="6586" spans="1:16" x14ac:dyDescent="0.25">
      <c r="A6586" t="s">
        <v>183</v>
      </c>
      <c r="B6586" t="s">
        <v>234</v>
      </c>
      <c r="C6586" s="7" t="s">
        <v>175</v>
      </c>
      <c r="D6586" t="s">
        <v>15</v>
      </c>
      <c r="F6586" s="35">
        <v>0</v>
      </c>
      <c r="G6586" s="35">
        <v>7.4392608372071978</v>
      </c>
      <c r="H6586" s="35">
        <v>28.798165680719901</v>
      </c>
      <c r="I6586" s="35">
        <v>7.8636775427523582E-3</v>
      </c>
      <c r="J6586" s="35">
        <v>-3.8009651054871259E-4</v>
      </c>
      <c r="K6586" s="35">
        <v>5.1393140720952753E-2</v>
      </c>
      <c r="L6586" s="35">
        <v>62.815330767064822</v>
      </c>
      <c r="M6586" s="58" t="s">
        <v>22</v>
      </c>
      <c r="N6586" s="7">
        <v>11.333333333333334</v>
      </c>
      <c r="O6586" s="7" t="s">
        <v>178</v>
      </c>
      <c r="P6586" s="7" t="s">
        <v>178</v>
      </c>
    </row>
    <row r="6587" spans="1:16" x14ac:dyDescent="0.25">
      <c r="A6587" t="s">
        <v>183</v>
      </c>
      <c r="B6587" t="s">
        <v>234</v>
      </c>
      <c r="C6587" s="7" t="s">
        <v>175</v>
      </c>
      <c r="D6587" t="s">
        <v>15</v>
      </c>
      <c r="F6587" s="35">
        <v>0.29999999999999988</v>
      </c>
      <c r="G6587" s="35">
        <v>7.6031553372071965</v>
      </c>
      <c r="H6587" s="35">
        <v>27.777565680719903</v>
      </c>
      <c r="I6587" s="35">
        <v>7.8636775427523582E-3</v>
      </c>
      <c r="J6587" s="35">
        <v>-3.8009651054871259E-4</v>
      </c>
      <c r="K6587" s="35">
        <v>4.9034037458127046E-2</v>
      </c>
      <c r="L6587" s="35">
        <v>54.328971062848851</v>
      </c>
      <c r="M6587" s="58" t="s">
        <v>22</v>
      </c>
      <c r="N6587" s="7">
        <v>11.333333333333334</v>
      </c>
      <c r="O6587" s="7" t="s">
        <v>178</v>
      </c>
      <c r="P6587" s="7" t="s">
        <v>178</v>
      </c>
    </row>
    <row r="6588" spans="1:16" x14ac:dyDescent="0.25">
      <c r="A6588" t="s">
        <v>183</v>
      </c>
      <c r="B6588" t="s">
        <v>234</v>
      </c>
      <c r="C6588" s="7" t="s">
        <v>175</v>
      </c>
      <c r="D6588" t="s">
        <v>15</v>
      </c>
      <c r="F6588" s="35">
        <v>0.29999999999999988</v>
      </c>
      <c r="G6588" s="35">
        <v>80.432856685474036</v>
      </c>
      <c r="H6588" s="35">
        <v>23.454757845854612</v>
      </c>
      <c r="I6588" s="35">
        <v>7.8636775427528456E-3</v>
      </c>
      <c r="J6588" s="35">
        <v>2.8807524301500785E-4</v>
      </c>
      <c r="K6588" s="35">
        <v>4.9074127763340934E-2</v>
      </c>
      <c r="L6588" s="35">
        <v>54.328971062848844</v>
      </c>
      <c r="M6588" s="58" t="s">
        <v>22</v>
      </c>
      <c r="N6588" s="7">
        <v>11.333333333333334</v>
      </c>
      <c r="O6588" s="7" t="s">
        <v>178</v>
      </c>
      <c r="P6588" s="7" t="s">
        <v>178</v>
      </c>
    </row>
    <row r="6589" spans="1:16" x14ac:dyDescent="0.25">
      <c r="A6589" t="s">
        <v>183</v>
      </c>
      <c r="B6589" t="s">
        <v>234</v>
      </c>
      <c r="C6589" s="7" t="s">
        <v>175</v>
      </c>
      <c r="D6589" t="s">
        <v>15</v>
      </c>
      <c r="F6589" s="35">
        <v>5.3</v>
      </c>
      <c r="G6589" s="35">
        <v>83.164431685474028</v>
      </c>
      <c r="H6589" s="35">
        <v>6.4447578458546095</v>
      </c>
      <c r="I6589" s="35">
        <v>7.8636775427528456E-3</v>
      </c>
      <c r="J6589" s="35">
        <v>2.8807524301500785E-4</v>
      </c>
      <c r="K6589" s="35">
        <v>9.7557400495767166E-3</v>
      </c>
      <c r="L6589" s="35">
        <v>-20.419818166424204</v>
      </c>
      <c r="M6589" s="58" t="s">
        <v>24</v>
      </c>
      <c r="N6589" s="7">
        <v>11.333333333333334</v>
      </c>
      <c r="O6589" s="7" t="s">
        <v>178</v>
      </c>
      <c r="P6589" s="7" t="s">
        <v>178</v>
      </c>
    </row>
    <row r="6590" spans="1:16" x14ac:dyDescent="0.25">
      <c r="A6590" t="s">
        <v>183</v>
      </c>
      <c r="B6590" t="s">
        <v>234</v>
      </c>
      <c r="C6590" s="7" t="s">
        <v>175</v>
      </c>
      <c r="D6590" t="s">
        <v>15</v>
      </c>
      <c r="F6590" s="35">
        <v>5.3</v>
      </c>
      <c r="G6590" s="35">
        <v>22.828777297148893</v>
      </c>
      <c r="H6590" s="35">
        <v>6.8940615065531121</v>
      </c>
      <c r="I6590" s="35">
        <v>7.6288944857646835E-3</v>
      </c>
      <c r="J6590" s="35">
        <v>4.2023352923592142E-4</v>
      </c>
      <c r="K6590" s="35">
        <v>9.2834819521791789E-3</v>
      </c>
      <c r="L6590" s="35">
        <v>-20.419818166424186</v>
      </c>
      <c r="M6590" s="58" t="s">
        <v>24</v>
      </c>
      <c r="N6590" s="7">
        <v>11.333333333333334</v>
      </c>
      <c r="O6590" s="7" t="s">
        <v>178</v>
      </c>
      <c r="P6590" s="7" t="s">
        <v>178</v>
      </c>
    </row>
    <row r="6591" spans="1:16" x14ac:dyDescent="0.25">
      <c r="A6591" t="s">
        <v>183</v>
      </c>
      <c r="B6591" t="s">
        <v>234</v>
      </c>
      <c r="C6591" s="7" t="s">
        <v>175</v>
      </c>
      <c r="D6591" t="s">
        <v>15</v>
      </c>
      <c r="F6591" s="35">
        <v>5.5393224575487361</v>
      </c>
      <c r="G6591" s="35">
        <v>22.959522745544625</v>
      </c>
      <c r="H6591" s="35">
        <v>6.0798865059723122</v>
      </c>
      <c r="I6591" s="35">
        <v>7.6288944857646835E-3</v>
      </c>
      <c r="J6591" s="35">
        <v>4.2023352923592142E-4</v>
      </c>
      <c r="K6591" s="35">
        <v>7.4577161754659739E-3</v>
      </c>
      <c r="L6591" s="35">
        <v>-21.972296727657749</v>
      </c>
      <c r="M6591" s="58" t="s">
        <v>24</v>
      </c>
      <c r="N6591" s="7">
        <v>11.333333333333334</v>
      </c>
      <c r="O6591" s="7" t="s">
        <v>178</v>
      </c>
      <c r="P6591" s="7" t="s">
        <v>178</v>
      </c>
    </row>
    <row r="6592" spans="1:16" x14ac:dyDescent="0.25">
      <c r="A6592" t="s">
        <v>183</v>
      </c>
      <c r="B6592" t="s">
        <v>234</v>
      </c>
      <c r="C6592" s="7" t="s">
        <v>175</v>
      </c>
      <c r="D6592" t="s">
        <v>15</v>
      </c>
      <c r="F6592" s="35">
        <v>11.078644915097472</v>
      </c>
      <c r="G6592" s="35">
        <v>25.985737693940365</v>
      </c>
      <c r="H6592" s="35">
        <v>-12.764888494608494</v>
      </c>
      <c r="I6592" s="35">
        <v>7.6288944857646835E-3</v>
      </c>
      <c r="J6592" s="35">
        <v>4.2023352923592142E-4</v>
      </c>
      <c r="K6592" s="35">
        <v>-3.480119037580006E-2</v>
      </c>
      <c r="L6592" s="35">
        <v>-3.4571059054525581</v>
      </c>
      <c r="M6592" s="58" t="s">
        <v>23</v>
      </c>
      <c r="N6592" s="7">
        <v>11.333333333333334</v>
      </c>
      <c r="O6592" s="7" t="s">
        <v>178</v>
      </c>
      <c r="P6592" s="7" t="s">
        <v>178</v>
      </c>
    </row>
    <row r="6593" spans="1:16" x14ac:dyDescent="0.25">
      <c r="A6593" t="s">
        <v>183</v>
      </c>
      <c r="B6593" t="s">
        <v>234</v>
      </c>
      <c r="C6593" s="7" t="s">
        <v>175</v>
      </c>
      <c r="D6593" t="s">
        <v>16</v>
      </c>
      <c r="F6593" s="35">
        <v>0</v>
      </c>
      <c r="G6593" s="35">
        <v>-10.108720494300227</v>
      </c>
      <c r="H6593" s="35">
        <v>12.340221102916903</v>
      </c>
      <c r="I6593" s="35">
        <v>8.0432063399520498E-3</v>
      </c>
      <c r="J6593" s="35">
        <v>2.566453377112342E-4</v>
      </c>
      <c r="K6593" s="35">
        <v>4.3311220717850665E-2</v>
      </c>
      <c r="L6593" s="35">
        <v>30.176562083937895</v>
      </c>
      <c r="M6593" s="58" t="s">
        <v>22</v>
      </c>
      <c r="N6593" s="7">
        <v>11.333333333333334</v>
      </c>
      <c r="O6593" s="7" t="s">
        <v>178</v>
      </c>
      <c r="P6593" s="7" t="s">
        <v>178</v>
      </c>
    </row>
    <row r="6594" spans="1:16" x14ac:dyDescent="0.25">
      <c r="A6594" t="s">
        <v>183</v>
      </c>
      <c r="B6594" t="s">
        <v>234</v>
      </c>
      <c r="C6594" s="7" t="s">
        <v>175</v>
      </c>
      <c r="D6594" t="s">
        <v>16</v>
      </c>
      <c r="F6594" s="35">
        <v>0.29999999999999988</v>
      </c>
      <c r="G6594" s="35">
        <v>-9.9448259943002277</v>
      </c>
      <c r="H6594" s="35">
        <v>12.113421102916902</v>
      </c>
      <c r="I6594" s="35">
        <v>8.0432063399520498E-3</v>
      </c>
      <c r="J6594" s="35">
        <v>2.566453377112342E-4</v>
      </c>
      <c r="K6594" s="35">
        <v>4.0898258815865049E-2</v>
      </c>
      <c r="L6594" s="35">
        <v>26.508515753062824</v>
      </c>
      <c r="M6594" s="58" t="s">
        <v>22</v>
      </c>
      <c r="N6594" s="7">
        <v>11.333333333333334</v>
      </c>
      <c r="O6594" s="7" t="s">
        <v>178</v>
      </c>
      <c r="P6594" s="7" t="s">
        <v>178</v>
      </c>
    </row>
    <row r="6595" spans="1:16" x14ac:dyDescent="0.25">
      <c r="A6595" t="s">
        <v>183</v>
      </c>
      <c r="B6595" t="s">
        <v>234</v>
      </c>
      <c r="C6595" s="7" t="s">
        <v>175</v>
      </c>
      <c r="D6595" t="s">
        <v>16</v>
      </c>
      <c r="F6595" s="35">
        <v>0.29999999999999988</v>
      </c>
      <c r="G6595" s="35">
        <v>30.443733507558857</v>
      </c>
      <c r="H6595" s="35">
        <v>9.7370817788360959</v>
      </c>
      <c r="I6595" s="35">
        <v>8.0432063399521764E-3</v>
      </c>
      <c r="J6595" s="35">
        <v>5.482792862200798E-4</v>
      </c>
      <c r="K6595" s="35">
        <v>4.0915756852775625E-2</v>
      </c>
      <c r="L6595" s="35">
        <v>26.508515753062827</v>
      </c>
      <c r="M6595" s="58" t="s">
        <v>22</v>
      </c>
      <c r="N6595" s="7">
        <v>11.333333333333334</v>
      </c>
      <c r="O6595" s="7" t="s">
        <v>178</v>
      </c>
      <c r="P6595" s="7" t="s">
        <v>178</v>
      </c>
    </row>
    <row r="6596" spans="1:16" x14ac:dyDescent="0.25">
      <c r="A6596" t="s">
        <v>183</v>
      </c>
      <c r="B6596" t="s">
        <v>234</v>
      </c>
      <c r="C6596" s="7" t="s">
        <v>175</v>
      </c>
      <c r="D6596" t="s">
        <v>16</v>
      </c>
      <c r="F6596" s="35">
        <v>5.3</v>
      </c>
      <c r="G6596" s="35">
        <v>33.17530850755886</v>
      </c>
      <c r="H6596" s="35">
        <v>5.9570817788360966</v>
      </c>
      <c r="I6596" s="35">
        <v>8.0432063399521764E-3</v>
      </c>
      <c r="J6596" s="35">
        <v>5.482792862200798E-4</v>
      </c>
      <c r="K6596" s="35">
        <v>6.9972515301474942E-4</v>
      </c>
      <c r="L6596" s="35">
        <v>-12.72689314111765</v>
      </c>
      <c r="M6596" s="58" t="s">
        <v>24</v>
      </c>
      <c r="N6596" s="7">
        <v>11.333333333333334</v>
      </c>
      <c r="O6596" s="7" t="s">
        <v>178</v>
      </c>
      <c r="P6596" s="7" t="s">
        <v>178</v>
      </c>
    </row>
    <row r="6597" spans="1:16" x14ac:dyDescent="0.25">
      <c r="A6597" t="s">
        <v>183</v>
      </c>
      <c r="B6597" t="s">
        <v>234</v>
      </c>
      <c r="C6597" s="7" t="s">
        <v>175</v>
      </c>
      <c r="D6597" t="s">
        <v>16</v>
      </c>
      <c r="F6597" s="35">
        <v>5.3</v>
      </c>
      <c r="G6597" s="35">
        <v>3.0285385985049138</v>
      </c>
      <c r="H6597" s="35">
        <v>0.18691766593190134</v>
      </c>
      <c r="I6597" s="35">
        <v>7.9393203495881377E-3</v>
      </c>
      <c r="J6597" s="35">
        <v>6.1424190557811723E-4</v>
      </c>
      <c r="K6597" s="35">
        <v>5.0333712379541963E-4</v>
      </c>
      <c r="L6597" s="35">
        <v>-12.726893141117655</v>
      </c>
      <c r="M6597" s="58" t="s">
        <v>24</v>
      </c>
      <c r="N6597" s="7">
        <v>11.333333333333334</v>
      </c>
      <c r="O6597" s="7" t="s">
        <v>178</v>
      </c>
      <c r="P6597" s="7" t="s">
        <v>178</v>
      </c>
    </row>
    <row r="6598" spans="1:16" x14ac:dyDescent="0.25">
      <c r="A6598" t="s">
        <v>183</v>
      </c>
      <c r="B6598" t="s">
        <v>234</v>
      </c>
      <c r="C6598" s="7" t="s">
        <v>175</v>
      </c>
      <c r="D6598" t="s">
        <v>16</v>
      </c>
      <c r="F6598" s="35">
        <v>5.5393224575487361</v>
      </c>
      <c r="G6598" s="35">
        <v>3.1592840469006509</v>
      </c>
      <c r="H6598" s="35">
        <v>5.9898880250568694E-3</v>
      </c>
      <c r="I6598" s="35">
        <v>7.9393203495881377E-3</v>
      </c>
      <c r="J6598" s="35">
        <v>6.1424190557811723E-4</v>
      </c>
      <c r="K6598" s="35">
        <v>-1.396720533534704E-3</v>
      </c>
      <c r="L6598" s="35">
        <v>-12.749976696064003</v>
      </c>
      <c r="M6598" s="58" t="s">
        <v>24</v>
      </c>
      <c r="N6598" s="7">
        <v>11.333333333333334</v>
      </c>
      <c r="O6598" s="7" t="s">
        <v>178</v>
      </c>
      <c r="P6598" s="7" t="s">
        <v>178</v>
      </c>
    </row>
    <row r="6599" spans="1:16" x14ac:dyDescent="0.25">
      <c r="A6599" t="s">
        <v>183</v>
      </c>
      <c r="B6599" t="s">
        <v>234</v>
      </c>
      <c r="C6599" s="7" t="s">
        <v>175</v>
      </c>
      <c r="D6599" t="s">
        <v>16</v>
      </c>
      <c r="F6599" s="35">
        <v>11.078644915097472</v>
      </c>
      <c r="G6599" s="35">
        <v>6.1854989952963884</v>
      </c>
      <c r="H6599" s="35">
        <v>-4.1817378898817879</v>
      </c>
      <c r="I6599" s="35">
        <v>7.9393203495881377E-3</v>
      </c>
      <c r="J6599" s="35">
        <v>6.1424190557811723E-4</v>
      </c>
      <c r="K6599" s="35">
        <v>-4.5375176043681957E-2</v>
      </c>
      <c r="L6599" s="35">
        <v>-1.1845693541893769</v>
      </c>
      <c r="M6599" s="58" t="s">
        <v>23</v>
      </c>
      <c r="N6599" s="7">
        <v>11.333333333333334</v>
      </c>
      <c r="O6599" s="7" t="s">
        <v>178</v>
      </c>
      <c r="P6599" s="7" t="s">
        <v>178</v>
      </c>
    </row>
    <row r="6600" spans="1:16" x14ac:dyDescent="0.25">
      <c r="A6600" t="s">
        <v>183</v>
      </c>
      <c r="B6600" t="s">
        <v>234</v>
      </c>
      <c r="C6600" s="7" t="s">
        <v>175</v>
      </c>
      <c r="D6600" t="s">
        <v>106</v>
      </c>
      <c r="F6600" s="35">
        <v>0</v>
      </c>
      <c r="G6600" s="35">
        <v>72.12440743456095</v>
      </c>
      <c r="H6600" s="35">
        <v>-30.391470785929645</v>
      </c>
      <c r="I6600" s="35">
        <v>-7.5269391263019111E-2</v>
      </c>
      <c r="J6600" s="35">
        <v>-1.471928281814218E-3</v>
      </c>
      <c r="K6600" s="35">
        <v>-0.28140304979986314</v>
      </c>
      <c r="L6600" s="35">
        <v>-66.577650077537314</v>
      </c>
      <c r="M6600" s="58" t="s">
        <v>22</v>
      </c>
      <c r="N6600" s="7">
        <v>11.333333333333334</v>
      </c>
      <c r="O6600" s="7" t="s">
        <v>178</v>
      </c>
      <c r="P6600" s="7" t="s">
        <v>178</v>
      </c>
    </row>
    <row r="6601" spans="1:16" x14ac:dyDescent="0.25">
      <c r="A6601" t="s">
        <v>183</v>
      </c>
      <c r="B6601" t="s">
        <v>234</v>
      </c>
      <c r="C6601" s="7" t="s">
        <v>175</v>
      </c>
      <c r="D6601" t="s">
        <v>106</v>
      </c>
      <c r="F6601" s="35">
        <v>0.29999999999999988</v>
      </c>
      <c r="G6601" s="35">
        <v>72.288301934560948</v>
      </c>
      <c r="H6601" s="35">
        <v>-29.370870785929643</v>
      </c>
      <c r="I6601" s="35">
        <v>-7.5269391263019111E-2</v>
      </c>
      <c r="J6601" s="35">
        <v>-1.471928281814218E-3</v>
      </c>
      <c r="K6601" s="35">
        <v>-0.25882223242095742</v>
      </c>
      <c r="L6601" s="35">
        <v>-57.613298841758422</v>
      </c>
      <c r="M6601" s="58" t="s">
        <v>22</v>
      </c>
      <c r="N6601" s="7">
        <v>11.333333333333334</v>
      </c>
      <c r="O6601" s="7" t="s">
        <v>178</v>
      </c>
      <c r="P6601" s="7" t="s">
        <v>178</v>
      </c>
    </row>
    <row r="6602" spans="1:16" x14ac:dyDescent="0.25">
      <c r="A6602" t="s">
        <v>183</v>
      </c>
      <c r="B6602" t="s">
        <v>234</v>
      </c>
      <c r="C6602" s="7" t="s">
        <v>175</v>
      </c>
      <c r="D6602" t="s">
        <v>106</v>
      </c>
      <c r="F6602" s="35">
        <v>0.29999999999999988</v>
      </c>
      <c r="G6602" s="35">
        <v>1.1606352280147765</v>
      </c>
      <c r="H6602" s="35">
        <v>-25.05623653750607</v>
      </c>
      <c r="I6602" s="35">
        <v>-7.5269391263020027E-2</v>
      </c>
      <c r="J6602" s="35">
        <v>-2.9479296335399772E-5</v>
      </c>
      <c r="K6602" s="35">
        <v>-0.25873568548182863</v>
      </c>
      <c r="L6602" s="35">
        <v>-57.613298841758443</v>
      </c>
      <c r="M6602" s="58" t="s">
        <v>22</v>
      </c>
      <c r="N6602" s="7">
        <v>11.333333333333334</v>
      </c>
      <c r="O6602" s="7" t="s">
        <v>178</v>
      </c>
      <c r="P6602" s="7" t="s">
        <v>178</v>
      </c>
    </row>
    <row r="6603" spans="1:16" x14ac:dyDescent="0.25">
      <c r="A6603" t="s">
        <v>183</v>
      </c>
      <c r="B6603" t="s">
        <v>234</v>
      </c>
      <c r="C6603" s="7" t="s">
        <v>175</v>
      </c>
      <c r="D6603" t="s">
        <v>106</v>
      </c>
      <c r="F6603" s="35">
        <v>5.3</v>
      </c>
      <c r="G6603" s="35">
        <v>3.8922102280147768</v>
      </c>
      <c r="H6603" s="35">
        <v>-8.0462365375060703</v>
      </c>
      <c r="I6603" s="35">
        <v>-7.5269391263020027E-2</v>
      </c>
      <c r="J6603" s="35">
        <v>-2.9479296335399772E-5</v>
      </c>
      <c r="K6603" s="35">
        <v>0.1176112708332715</v>
      </c>
      <c r="L6603" s="35">
        <v>25.142883845771898</v>
      </c>
      <c r="M6603" s="58" t="s">
        <v>24</v>
      </c>
      <c r="N6603" s="7">
        <v>11.333333333333334</v>
      </c>
      <c r="O6603" s="7" t="s">
        <v>178</v>
      </c>
      <c r="P6603" s="7" t="s">
        <v>178</v>
      </c>
    </row>
    <row r="6604" spans="1:16" x14ac:dyDescent="0.25">
      <c r="A6604" t="s">
        <v>183</v>
      </c>
      <c r="B6604" t="s">
        <v>234</v>
      </c>
      <c r="C6604" s="7" t="s">
        <v>175</v>
      </c>
      <c r="D6604" t="s">
        <v>106</v>
      </c>
      <c r="F6604" s="35">
        <v>5.3</v>
      </c>
      <c r="G6604" s="35">
        <v>68.63057883582772</v>
      </c>
      <c r="H6604" s="35">
        <v>-6.0794748363778597</v>
      </c>
      <c r="I6604" s="35">
        <v>-7.5744135915024421E-2</v>
      </c>
      <c r="J6604" s="35">
        <v>1.9344323773968768E-4</v>
      </c>
      <c r="K6604" s="35">
        <v>0.11639066352982819</v>
      </c>
      <c r="L6604" s="35">
        <v>25.142883845771919</v>
      </c>
      <c r="M6604" s="58" t="s">
        <v>24</v>
      </c>
      <c r="N6604" s="7">
        <v>11.333333333333334</v>
      </c>
      <c r="O6604" s="7" t="s">
        <v>178</v>
      </c>
      <c r="P6604" s="7" t="s">
        <v>178</v>
      </c>
    </row>
    <row r="6605" spans="1:16" x14ac:dyDescent="0.25">
      <c r="A6605" t="s">
        <v>183</v>
      </c>
      <c r="B6605" t="s">
        <v>234</v>
      </c>
      <c r="C6605" s="7" t="s">
        <v>175</v>
      </c>
      <c r="D6605" t="s">
        <v>106</v>
      </c>
      <c r="F6605" s="35">
        <v>5.5393224575487361</v>
      </c>
      <c r="G6605" s="35">
        <v>68.761324284223463</v>
      </c>
      <c r="H6605" s="35">
        <v>-5.2652998357970588</v>
      </c>
      <c r="I6605" s="35">
        <v>-7.5744135915024421E-2</v>
      </c>
      <c r="J6605" s="35">
        <v>1.9344323773968768E-4</v>
      </c>
      <c r="K6605" s="35">
        <v>0.13451793628191733</v>
      </c>
      <c r="L6605" s="35">
        <v>26.500413523212703</v>
      </c>
      <c r="M6605" s="58" t="s">
        <v>24</v>
      </c>
      <c r="N6605" s="7">
        <v>11.333333333333334</v>
      </c>
      <c r="O6605" s="7" t="s">
        <v>178</v>
      </c>
      <c r="P6605" s="7" t="s">
        <v>178</v>
      </c>
    </row>
    <row r="6606" spans="1:16" x14ac:dyDescent="0.25">
      <c r="A6606" t="s">
        <v>183</v>
      </c>
      <c r="B6606" t="s">
        <v>234</v>
      </c>
      <c r="C6606" s="7" t="s">
        <v>175</v>
      </c>
      <c r="D6606" t="s">
        <v>106</v>
      </c>
      <c r="F6606" s="35">
        <v>11.078644915097472</v>
      </c>
      <c r="G6606" s="35">
        <v>71.78753923261921</v>
      </c>
      <c r="H6606" s="35">
        <v>13.579475164783746</v>
      </c>
      <c r="I6606" s="35">
        <v>-7.5744135915024421E-2</v>
      </c>
      <c r="J6606" s="35">
        <v>1.9344323773968768E-4</v>
      </c>
      <c r="K6606" s="35">
        <v>0.55408912938363575</v>
      </c>
      <c r="L6606" s="35">
        <v>3.4729644652858909</v>
      </c>
      <c r="M6606" s="58" t="s">
        <v>23</v>
      </c>
      <c r="N6606" s="7">
        <v>11.333333333333334</v>
      </c>
      <c r="O6606" s="7" t="s">
        <v>178</v>
      </c>
      <c r="P6606" s="7" t="s">
        <v>178</v>
      </c>
    </row>
    <row r="6607" spans="1:16" x14ac:dyDescent="0.25">
      <c r="A6607" t="s">
        <v>183</v>
      </c>
      <c r="B6607" t="s">
        <v>234</v>
      </c>
      <c r="C6607" s="7" t="s">
        <v>175</v>
      </c>
      <c r="D6607" t="s">
        <v>107</v>
      </c>
      <c r="F6607" s="35">
        <v>0</v>
      </c>
      <c r="G6607" s="35">
        <v>54.603644499541595</v>
      </c>
      <c r="H6607" s="35">
        <v>-46.842332658841833</v>
      </c>
      <c r="I6607" s="35">
        <v>-7.2015634118521368E-2</v>
      </c>
      <c r="J6607" s="35">
        <v>-8.2486668146613401E-4</v>
      </c>
      <c r="K6607" s="35">
        <v>-0.27806001812582781</v>
      </c>
      <c r="L6607" s="35">
        <v>-99.195736390583335</v>
      </c>
      <c r="M6607" s="58" t="s">
        <v>22</v>
      </c>
      <c r="N6607" s="7">
        <v>11.333333333333334</v>
      </c>
      <c r="O6607" s="7" t="s">
        <v>178</v>
      </c>
      <c r="P6607" s="7" t="s">
        <v>178</v>
      </c>
    </row>
    <row r="6608" spans="1:16" x14ac:dyDescent="0.25">
      <c r="A6608" t="s">
        <v>183</v>
      </c>
      <c r="B6608" t="s">
        <v>234</v>
      </c>
      <c r="C6608" s="7" t="s">
        <v>175</v>
      </c>
      <c r="D6608" t="s">
        <v>107</v>
      </c>
      <c r="F6608" s="35">
        <v>0.29999999999999988</v>
      </c>
      <c r="G6608" s="35">
        <v>54.767538999541593</v>
      </c>
      <c r="H6608" s="35">
        <v>-45.027932658841834</v>
      </c>
      <c r="I6608" s="35">
        <v>-7.2015634118521368E-2</v>
      </c>
      <c r="J6608" s="35">
        <v>-8.2486668146613401E-4</v>
      </c>
      <c r="K6608" s="35">
        <v>-0.25645532789027148</v>
      </c>
      <c r="L6608" s="35">
        <v>-85.415196592930798</v>
      </c>
      <c r="M6608" s="58" t="s">
        <v>22</v>
      </c>
      <c r="N6608" s="7">
        <v>11.333333333333334</v>
      </c>
      <c r="O6608" s="7" t="s">
        <v>178</v>
      </c>
      <c r="P6608" s="7" t="s">
        <v>178</v>
      </c>
    </row>
    <row r="6609" spans="1:16" x14ac:dyDescent="0.25">
      <c r="A6609" t="s">
        <v>183</v>
      </c>
      <c r="B6609" t="s">
        <v>234</v>
      </c>
      <c r="C6609" s="7" t="s">
        <v>175</v>
      </c>
      <c r="D6609" t="s">
        <v>107</v>
      </c>
      <c r="F6609" s="35">
        <v>0.29999999999999988</v>
      </c>
      <c r="G6609" s="35">
        <v>-48.784287629508356</v>
      </c>
      <c r="H6609" s="35">
        <v>-38.767848815068014</v>
      </c>
      <c r="I6609" s="35">
        <v>-7.2015634118521021E-2</v>
      </c>
      <c r="J6609" s="35">
        <v>2.3230518609579606E-4</v>
      </c>
      <c r="K6609" s="35">
        <v>-0.25639189757821784</v>
      </c>
      <c r="L6609" s="35">
        <v>-85.41519659293084</v>
      </c>
      <c r="M6609" s="58" t="s">
        <v>22</v>
      </c>
      <c r="N6609" s="7">
        <v>11.333333333333334</v>
      </c>
      <c r="O6609" s="7" t="s">
        <v>178</v>
      </c>
      <c r="P6609" s="7" t="s">
        <v>178</v>
      </c>
    </row>
    <row r="6610" spans="1:16" x14ac:dyDescent="0.25">
      <c r="A6610" t="s">
        <v>183</v>
      </c>
      <c r="B6610" t="s">
        <v>234</v>
      </c>
      <c r="C6610" s="7" t="s">
        <v>175</v>
      </c>
      <c r="D6610" t="s">
        <v>107</v>
      </c>
      <c r="F6610" s="35">
        <v>5.3</v>
      </c>
      <c r="G6610" s="35">
        <v>-46.052712629508349</v>
      </c>
      <c r="H6610" s="35">
        <v>-8.5278488150680172</v>
      </c>
      <c r="I6610" s="35">
        <v>-7.2015634118521021E-2</v>
      </c>
      <c r="J6610" s="35">
        <v>2.3230518609579606E-4</v>
      </c>
      <c r="K6610" s="35">
        <v>0.10368627301438724</v>
      </c>
      <c r="L6610" s="35">
        <v>32.824047482409249</v>
      </c>
      <c r="M6610" s="58" t="s">
        <v>24</v>
      </c>
      <c r="N6610" s="7">
        <v>11.333333333333334</v>
      </c>
      <c r="O6610" s="7" t="s">
        <v>178</v>
      </c>
      <c r="P6610" s="7" t="s">
        <v>178</v>
      </c>
    </row>
    <row r="6611" spans="1:16" x14ac:dyDescent="0.25">
      <c r="A6611" t="s">
        <v>183</v>
      </c>
      <c r="B6611" t="s">
        <v>234</v>
      </c>
      <c r="C6611" s="7" t="s">
        <v>175</v>
      </c>
      <c r="D6611" t="s">
        <v>107</v>
      </c>
      <c r="F6611" s="35">
        <v>5.3</v>
      </c>
      <c r="G6611" s="35">
        <v>48.862797068897024</v>
      </c>
      <c r="H6611" s="35">
        <v>-12.788568269036782</v>
      </c>
      <c r="I6611" s="35">
        <v>-7.23570203161336E-2</v>
      </c>
      <c r="J6611" s="35">
        <v>3.8866921912220932E-4</v>
      </c>
      <c r="K6611" s="35">
        <v>0.10275151184675306</v>
      </c>
      <c r="L6611" s="35">
        <v>32.824047482409284</v>
      </c>
      <c r="M6611" s="58" t="s">
        <v>24</v>
      </c>
      <c r="N6611" s="7">
        <v>11.333333333333334</v>
      </c>
      <c r="O6611" s="7" t="s">
        <v>178</v>
      </c>
      <c r="P6611" s="7" t="s">
        <v>178</v>
      </c>
    </row>
    <row r="6612" spans="1:16" x14ac:dyDescent="0.25">
      <c r="A6612" t="s">
        <v>183</v>
      </c>
      <c r="B6612" t="s">
        <v>234</v>
      </c>
      <c r="C6612" s="7" t="s">
        <v>175</v>
      </c>
      <c r="D6612" t="s">
        <v>107</v>
      </c>
      <c r="F6612" s="35">
        <v>5.5393224575487361</v>
      </c>
      <c r="G6612" s="35">
        <v>48.993542517292752</v>
      </c>
      <c r="H6612" s="35">
        <v>-11.341146045782025</v>
      </c>
      <c r="I6612" s="35">
        <v>-7.23570203161336E-2</v>
      </c>
      <c r="J6612" s="35">
        <v>3.8866921912220932E-4</v>
      </c>
      <c r="K6612" s="35">
        <v>0.12006817176971397</v>
      </c>
      <c r="L6612" s="35">
        <v>35.711438747294963</v>
      </c>
      <c r="M6612" s="58" t="s">
        <v>24</v>
      </c>
      <c r="N6612" s="7">
        <v>11.333333333333334</v>
      </c>
      <c r="O6612" s="7" t="s">
        <v>178</v>
      </c>
      <c r="P6612" s="7" t="s">
        <v>178</v>
      </c>
    </row>
    <row r="6613" spans="1:16" x14ac:dyDescent="0.25">
      <c r="A6613" t="s">
        <v>183</v>
      </c>
      <c r="B6613" t="s">
        <v>234</v>
      </c>
      <c r="C6613" s="7" t="s">
        <v>175</v>
      </c>
      <c r="D6613" t="s">
        <v>107</v>
      </c>
      <c r="F6613" s="35">
        <v>11.078644915097472</v>
      </c>
      <c r="G6613" s="35">
        <v>52.019757465688492</v>
      </c>
      <c r="H6613" s="35">
        <v>22.160676177472734</v>
      </c>
      <c r="I6613" s="35">
        <v>-7.23570203161336E-2</v>
      </c>
      <c r="J6613" s="35">
        <v>3.8866921912220932E-4</v>
      </c>
      <c r="K6613" s="35">
        <v>0.52087703936818297</v>
      </c>
      <c r="L6613" s="35">
        <v>5.7450056279951784</v>
      </c>
      <c r="M6613" s="58" t="s">
        <v>23</v>
      </c>
      <c r="N6613" s="7">
        <v>11.333333333333334</v>
      </c>
      <c r="O6613" s="7" t="s">
        <v>178</v>
      </c>
      <c r="P6613" s="7" t="s">
        <v>178</v>
      </c>
    </row>
    <row r="6614" spans="1:16" x14ac:dyDescent="0.25">
      <c r="A6614" t="s">
        <v>183</v>
      </c>
      <c r="B6614" t="s">
        <v>234</v>
      </c>
      <c r="C6614" s="7" t="s">
        <v>175</v>
      </c>
      <c r="D6614" t="s">
        <v>108</v>
      </c>
      <c r="F6614" s="35">
        <v>0</v>
      </c>
      <c r="G6614" s="35">
        <v>14.138302675240496</v>
      </c>
      <c r="H6614" s="35">
        <v>42.329357146832749</v>
      </c>
      <c r="I6614" s="35">
        <v>1.1894090063018445</v>
      </c>
      <c r="J6614" s="35">
        <v>-9.6925469483488409E-4</v>
      </c>
      <c r="K6614" s="35">
        <v>7.1435263003386593</v>
      </c>
      <c r="L6614" s="35">
        <v>84.466080599751365</v>
      </c>
      <c r="M6614" s="58" t="s">
        <v>22</v>
      </c>
      <c r="N6614" s="7">
        <v>11.333333333333334</v>
      </c>
      <c r="O6614" s="7" t="s">
        <v>178</v>
      </c>
      <c r="P6614" s="7" t="s">
        <v>178</v>
      </c>
    </row>
    <row r="6615" spans="1:16" x14ac:dyDescent="0.25">
      <c r="A6615" t="s">
        <v>183</v>
      </c>
      <c r="B6615" t="s">
        <v>234</v>
      </c>
      <c r="C6615" s="7" t="s">
        <v>175</v>
      </c>
      <c r="D6615" t="s">
        <v>108</v>
      </c>
      <c r="F6615" s="35">
        <v>0.29999999999999988</v>
      </c>
      <c r="G6615" s="35">
        <v>14.302197175240494</v>
      </c>
      <c r="H6615" s="35">
        <v>40.344857146832751</v>
      </c>
      <c r="I6615" s="35">
        <v>1.1894090063018445</v>
      </c>
      <c r="J6615" s="35">
        <v>-9.6925469483488409E-4</v>
      </c>
      <c r="K6615" s="35">
        <v>6.7867035984481063</v>
      </c>
      <c r="L6615" s="35">
        <v>72.064948455701554</v>
      </c>
      <c r="M6615" s="58" t="s">
        <v>22</v>
      </c>
      <c r="N6615" s="7">
        <v>11.333333333333334</v>
      </c>
      <c r="O6615" s="7" t="s">
        <v>178</v>
      </c>
      <c r="P6615" s="7" t="s">
        <v>178</v>
      </c>
    </row>
    <row r="6616" spans="1:16" x14ac:dyDescent="0.25">
      <c r="A6616" t="s">
        <v>183</v>
      </c>
      <c r="B6616" t="s">
        <v>234</v>
      </c>
      <c r="C6616" s="7" t="s">
        <v>175</v>
      </c>
      <c r="D6616" t="s">
        <v>108</v>
      </c>
      <c r="F6616" s="35">
        <v>0.29999999999999988</v>
      </c>
      <c r="G6616" s="35">
        <v>103.52604556166121</v>
      </c>
      <c r="H6616" s="35">
        <v>35.038400489678232</v>
      </c>
      <c r="I6616" s="35">
        <v>1.1894090063018743</v>
      </c>
      <c r="J6616" s="35">
        <v>-7.799222671426878E-4</v>
      </c>
      <c r="K6616" s="35">
        <v>6.7867149583937696</v>
      </c>
      <c r="L6616" s="35">
        <v>72.064948455701526</v>
      </c>
      <c r="M6616" s="58" t="s">
        <v>22</v>
      </c>
      <c r="N6616" s="7">
        <v>11.333333333333334</v>
      </c>
      <c r="O6616" s="7" t="s">
        <v>178</v>
      </c>
      <c r="P6616" s="7" t="s">
        <v>178</v>
      </c>
    </row>
    <row r="6617" spans="1:16" x14ac:dyDescent="0.25">
      <c r="A6617" t="s">
        <v>183</v>
      </c>
      <c r="B6617" t="s">
        <v>234</v>
      </c>
      <c r="C6617" s="7" t="s">
        <v>175</v>
      </c>
      <c r="D6617" t="s">
        <v>108</v>
      </c>
      <c r="F6617" s="35">
        <v>5.3</v>
      </c>
      <c r="G6617" s="35">
        <v>106.25762056166121</v>
      </c>
      <c r="H6617" s="35">
        <v>1.9634004896782253</v>
      </c>
      <c r="I6617" s="35">
        <v>1.1894090063018743</v>
      </c>
      <c r="J6617" s="35">
        <v>-7.799222671426878E-4</v>
      </c>
      <c r="K6617" s="35">
        <v>0.83966992688439812</v>
      </c>
      <c r="L6617" s="35">
        <v>-20.4395539926896</v>
      </c>
      <c r="M6617" s="58" t="s">
        <v>24</v>
      </c>
      <c r="N6617" s="7">
        <v>11.333333333333334</v>
      </c>
      <c r="O6617" s="7" t="s">
        <v>178</v>
      </c>
      <c r="P6617" s="7" t="s">
        <v>178</v>
      </c>
    </row>
    <row r="6618" spans="1:16" x14ac:dyDescent="0.25">
      <c r="A6618" t="s">
        <v>183</v>
      </c>
      <c r="B6618" t="s">
        <v>234</v>
      </c>
      <c r="C6618" s="7" t="s">
        <v>175</v>
      </c>
      <c r="D6618" t="s">
        <v>108</v>
      </c>
      <c r="F6618" s="35">
        <v>5.3</v>
      </c>
      <c r="G6618" s="35">
        <v>26.202440999158625</v>
      </c>
      <c r="H6618" s="35">
        <v>16.583627828863474</v>
      </c>
      <c r="I6618" s="35">
        <v>1.1892353944155201</v>
      </c>
      <c r="J6618" s="35">
        <v>-5.8369602118407498E-4</v>
      </c>
      <c r="K6618" s="35">
        <v>0.83967074086053928</v>
      </c>
      <c r="L6618" s="35">
        <v>-20.439553992689572</v>
      </c>
      <c r="M6618" s="58" t="s">
        <v>24</v>
      </c>
      <c r="N6618" s="7">
        <v>11.333333333333334</v>
      </c>
      <c r="O6618" s="7" t="s">
        <v>178</v>
      </c>
      <c r="P6618" s="7" t="s">
        <v>178</v>
      </c>
    </row>
    <row r="6619" spans="1:16" x14ac:dyDescent="0.25">
      <c r="A6619" t="s">
        <v>183</v>
      </c>
      <c r="B6619" t="s">
        <v>234</v>
      </c>
      <c r="C6619" s="7" t="s">
        <v>175</v>
      </c>
      <c r="D6619" t="s">
        <v>108</v>
      </c>
      <c r="F6619" s="35">
        <v>5.5393224575487361</v>
      </c>
      <c r="G6619" s="35">
        <v>26.333186447554358</v>
      </c>
      <c r="H6619" s="35">
        <v>15.000509772178587</v>
      </c>
      <c r="I6619" s="35">
        <v>1.1892353944155201</v>
      </c>
      <c r="J6619" s="35">
        <v>-5.8369602118407498E-4</v>
      </c>
      <c r="K6619" s="35">
        <v>0.55506000366507668</v>
      </c>
      <c r="L6619" s="35">
        <v>-24.218950707808986</v>
      </c>
      <c r="M6619" s="58" t="s">
        <v>24</v>
      </c>
      <c r="N6619" s="7">
        <v>11.333333333333334</v>
      </c>
      <c r="O6619" s="7" t="s">
        <v>178</v>
      </c>
      <c r="P6619" s="7" t="s">
        <v>178</v>
      </c>
    </row>
    <row r="6620" spans="1:16" x14ac:dyDescent="0.25">
      <c r="A6620" t="s">
        <v>183</v>
      </c>
      <c r="B6620" t="s">
        <v>234</v>
      </c>
      <c r="C6620" s="7" t="s">
        <v>175</v>
      </c>
      <c r="D6620" t="s">
        <v>108</v>
      </c>
      <c r="F6620" s="35">
        <v>11.078644915097472</v>
      </c>
      <c r="G6620" s="35">
        <v>29.359401395950098</v>
      </c>
      <c r="H6620" s="35">
        <v>-21.64210828450631</v>
      </c>
      <c r="I6620" s="35">
        <v>1.1892353944155201</v>
      </c>
      <c r="J6620" s="35">
        <v>-5.8369602118407498E-4</v>
      </c>
      <c r="K6620" s="35">
        <v>-6.0324983239326402</v>
      </c>
      <c r="L6620" s="35">
        <v>-5.8239728111293614</v>
      </c>
      <c r="M6620" s="58" t="s">
        <v>23</v>
      </c>
      <c r="N6620" s="7">
        <v>11.333333333333334</v>
      </c>
      <c r="O6620" s="7" t="s">
        <v>178</v>
      </c>
      <c r="P6620" s="7" t="s">
        <v>178</v>
      </c>
    </row>
    <row r="6621" spans="1:16" x14ac:dyDescent="0.25">
      <c r="A6621" t="s">
        <v>183</v>
      </c>
      <c r="B6621" t="s">
        <v>234</v>
      </c>
      <c r="C6621" s="7" t="s">
        <v>175</v>
      </c>
      <c r="D6621" t="s">
        <v>109</v>
      </c>
      <c r="F6621" s="35">
        <v>0</v>
      </c>
      <c r="G6621" s="35">
        <v>-7.6420351400623749</v>
      </c>
      <c r="H6621" s="35">
        <v>25.954277943654404</v>
      </c>
      <c r="I6621" s="35">
        <v>2.7564236715163353</v>
      </c>
      <c r="J6621" s="35">
        <v>-1.1398295808789959E-3</v>
      </c>
      <c r="K6621" s="35">
        <v>16.415415853096384</v>
      </c>
      <c r="L6621" s="35">
        <v>52.091589548830797</v>
      </c>
      <c r="M6621" s="58" t="s">
        <v>22</v>
      </c>
      <c r="N6621" s="7">
        <v>11.333333333333334</v>
      </c>
      <c r="O6621" s="7" t="s">
        <v>178</v>
      </c>
      <c r="P6621" s="7" t="s">
        <v>178</v>
      </c>
    </row>
    <row r="6622" spans="1:16" x14ac:dyDescent="0.25">
      <c r="A6622" t="s">
        <v>183</v>
      </c>
      <c r="B6622" t="s">
        <v>234</v>
      </c>
      <c r="C6622" s="7" t="s">
        <v>175</v>
      </c>
      <c r="D6622" t="s">
        <v>109</v>
      </c>
      <c r="F6622" s="35">
        <v>0.29999999999999988</v>
      </c>
      <c r="G6622" s="35">
        <v>-7.4781406400623771</v>
      </c>
      <c r="H6622" s="35">
        <v>24.763577943654408</v>
      </c>
      <c r="I6622" s="35">
        <v>2.7564236715163353</v>
      </c>
      <c r="J6622" s="35">
        <v>-1.1398295808789959E-3</v>
      </c>
      <c r="K6622" s="35">
        <v>15.588488751641485</v>
      </c>
      <c r="L6622" s="35">
        <v>44.483911165734469</v>
      </c>
      <c r="M6622" s="58" t="s">
        <v>22</v>
      </c>
      <c r="N6622" s="7">
        <v>11.333333333333334</v>
      </c>
      <c r="O6622" s="7" t="s">
        <v>178</v>
      </c>
      <c r="P6622" s="7" t="s">
        <v>178</v>
      </c>
    </row>
    <row r="6623" spans="1:16" x14ac:dyDescent="0.25">
      <c r="A6623" t="s">
        <v>183</v>
      </c>
      <c r="B6623" t="s">
        <v>234</v>
      </c>
      <c r="C6623" s="7" t="s">
        <v>175</v>
      </c>
      <c r="D6623" t="s">
        <v>109</v>
      </c>
      <c r="F6623" s="35">
        <v>0.29999999999999988</v>
      </c>
      <c r="G6623" s="35">
        <v>48.811668025265114</v>
      </c>
      <c r="H6623" s="35">
        <v>21.433163669765467</v>
      </c>
      <c r="I6623" s="35">
        <v>2.7564236715163477</v>
      </c>
      <c r="J6623" s="35">
        <v>-8.655094472501489E-4</v>
      </c>
      <c r="K6623" s="35">
        <v>15.588505210849521</v>
      </c>
      <c r="L6623" s="35">
        <v>44.483911165734497</v>
      </c>
      <c r="M6623" s="58" t="s">
        <v>22</v>
      </c>
      <c r="N6623" s="7">
        <v>11.333333333333334</v>
      </c>
      <c r="O6623" s="7" t="s">
        <v>178</v>
      </c>
      <c r="P6623" s="7" t="s">
        <v>178</v>
      </c>
    </row>
    <row r="6624" spans="1:16" x14ac:dyDescent="0.25">
      <c r="A6624" t="s">
        <v>183</v>
      </c>
      <c r="B6624" t="s">
        <v>234</v>
      </c>
      <c r="C6624" s="7" t="s">
        <v>175</v>
      </c>
      <c r="D6624" t="s">
        <v>109</v>
      </c>
      <c r="F6624" s="35">
        <v>5.3</v>
      </c>
      <c r="G6624" s="35">
        <v>51.543243025265113</v>
      </c>
      <c r="H6624" s="35">
        <v>1.5881636697654655</v>
      </c>
      <c r="I6624" s="35">
        <v>2.7564236715163477</v>
      </c>
      <c r="J6624" s="35">
        <v>-8.655094472501489E-4</v>
      </c>
      <c r="K6624" s="35">
        <v>1.8063868532677827</v>
      </c>
      <c r="L6624" s="35">
        <v>-13.069407183092826</v>
      </c>
      <c r="M6624" s="58" t="s">
        <v>24</v>
      </c>
      <c r="N6624" s="7">
        <v>11.333333333333334</v>
      </c>
      <c r="O6624" s="7" t="s">
        <v>178</v>
      </c>
      <c r="P6624" s="7" t="s">
        <v>178</v>
      </c>
    </row>
    <row r="6625" spans="1:16" x14ac:dyDescent="0.25">
      <c r="A6625" t="s">
        <v>183</v>
      </c>
      <c r="B6625" t="s">
        <v>234</v>
      </c>
      <c r="C6625" s="7" t="s">
        <v>175</v>
      </c>
      <c r="D6625" t="s">
        <v>109</v>
      </c>
      <c r="F6625" s="35">
        <v>5.3</v>
      </c>
      <c r="G6625" s="35">
        <v>2.0135748695488997</v>
      </c>
      <c r="H6625" s="35">
        <v>9.8229863050086905</v>
      </c>
      <c r="I6625" s="35">
        <v>2.7561560484559999</v>
      </c>
      <c r="J6625" s="35">
        <v>-4.9557854801036158E-4</v>
      </c>
      <c r="K6625" s="35">
        <v>1.8061013027729729</v>
      </c>
      <c r="L6625" s="35">
        <v>-13.069407183092844</v>
      </c>
      <c r="M6625" s="58" t="s">
        <v>24</v>
      </c>
      <c r="N6625" s="7">
        <v>11.333333333333334</v>
      </c>
      <c r="O6625" s="7" t="s">
        <v>178</v>
      </c>
      <c r="P6625" s="7" t="s">
        <v>178</v>
      </c>
    </row>
    <row r="6626" spans="1:16" x14ac:dyDescent="0.25">
      <c r="A6626" t="s">
        <v>183</v>
      </c>
      <c r="B6626" t="s">
        <v>234</v>
      </c>
      <c r="C6626" s="7" t="s">
        <v>175</v>
      </c>
      <c r="D6626" t="s">
        <v>109</v>
      </c>
      <c r="F6626" s="35">
        <v>5.5393224575487361</v>
      </c>
      <c r="G6626" s="35">
        <v>2.1443203179446368</v>
      </c>
      <c r="H6626" s="35">
        <v>8.8731154709977584</v>
      </c>
      <c r="I6626" s="35">
        <v>2.7561560484559999</v>
      </c>
      <c r="J6626" s="35">
        <v>-4.9557854801036158E-4</v>
      </c>
      <c r="K6626" s="35">
        <v>1.1464912638686697</v>
      </c>
      <c r="L6626" s="35">
        <v>-15.306605694900419</v>
      </c>
      <c r="M6626" s="58" t="s">
        <v>24</v>
      </c>
      <c r="N6626" s="7">
        <v>11.333333333333334</v>
      </c>
      <c r="O6626" s="7" t="s">
        <v>178</v>
      </c>
      <c r="P6626" s="7" t="s">
        <v>178</v>
      </c>
    </row>
    <row r="6627" spans="1:16" x14ac:dyDescent="0.25">
      <c r="A6627" t="s">
        <v>183</v>
      </c>
      <c r="B6627" t="s">
        <v>234</v>
      </c>
      <c r="C6627" s="7" t="s">
        <v>175</v>
      </c>
      <c r="D6627" t="s">
        <v>109</v>
      </c>
      <c r="F6627" s="35">
        <v>11.078644915097472</v>
      </c>
      <c r="G6627" s="35">
        <v>5.1705352663403747</v>
      </c>
      <c r="H6627" s="35">
        <v>-13.112455363013177</v>
      </c>
      <c r="I6627" s="35">
        <v>2.7561560484559999</v>
      </c>
      <c r="J6627" s="35">
        <v>-4.9557854801036158E-4</v>
      </c>
      <c r="K6627" s="35">
        <v>-14.120745831852432</v>
      </c>
      <c r="L6627" s="35">
        <v>-3.5650703603887974</v>
      </c>
      <c r="M6627" s="58" t="s">
        <v>23</v>
      </c>
      <c r="N6627" s="7">
        <v>11.333333333333334</v>
      </c>
      <c r="O6627" s="7" t="s">
        <v>178</v>
      </c>
      <c r="P6627" s="7" t="s">
        <v>178</v>
      </c>
    </row>
    <row r="6628" spans="1:16" x14ac:dyDescent="0.25">
      <c r="A6628" t="s">
        <v>183</v>
      </c>
      <c r="B6628" t="s">
        <v>234</v>
      </c>
      <c r="C6628" s="7" t="s">
        <v>175</v>
      </c>
      <c r="D6628" t="s">
        <v>110</v>
      </c>
      <c r="F6628" s="35">
        <v>0</v>
      </c>
      <c r="G6628" s="35">
        <v>12.113620375268297</v>
      </c>
      <c r="H6628" s="35">
        <v>42.479093193436448</v>
      </c>
      <c r="I6628" s="35">
        <v>-1.2787036024517042</v>
      </c>
      <c r="J6628" s="35">
        <v>-1.7304582231540157E-3</v>
      </c>
      <c r="K6628" s="35">
        <v>-7.4363891974358856</v>
      </c>
      <c r="L6628" s="35">
        <v>84.8400525674341</v>
      </c>
      <c r="M6628" s="58" t="s">
        <v>22</v>
      </c>
      <c r="N6628" s="7">
        <v>11.333333333333334</v>
      </c>
      <c r="O6628" s="7" t="s">
        <v>178</v>
      </c>
      <c r="P6628" s="7" t="s">
        <v>178</v>
      </c>
    </row>
    <row r="6629" spans="1:16" x14ac:dyDescent="0.25">
      <c r="A6629" t="s">
        <v>183</v>
      </c>
      <c r="B6629" t="s">
        <v>234</v>
      </c>
      <c r="C6629" s="7" t="s">
        <v>175</v>
      </c>
      <c r="D6629" t="s">
        <v>110</v>
      </c>
      <c r="F6629" s="35">
        <v>0.29999999999999988</v>
      </c>
      <c r="G6629" s="35">
        <v>12.277514875268295</v>
      </c>
      <c r="H6629" s="35">
        <v>40.494593193436451</v>
      </c>
      <c r="I6629" s="35">
        <v>-1.2787036024517042</v>
      </c>
      <c r="J6629" s="35">
        <v>-1.7304582231540157E-3</v>
      </c>
      <c r="K6629" s="35">
        <v>-7.0527781167003747</v>
      </c>
      <c r="L6629" s="35">
        <v>72.393999609403181</v>
      </c>
      <c r="M6629" s="58" t="s">
        <v>22</v>
      </c>
      <c r="N6629" s="7">
        <v>11.333333333333334</v>
      </c>
      <c r="O6629" s="7" t="s">
        <v>178</v>
      </c>
      <c r="P6629" s="7" t="s">
        <v>178</v>
      </c>
    </row>
    <row r="6630" spans="1:16" x14ac:dyDescent="0.25">
      <c r="A6630" t="s">
        <v>183</v>
      </c>
      <c r="B6630" t="s">
        <v>234</v>
      </c>
      <c r="C6630" s="7" t="s">
        <v>175</v>
      </c>
      <c r="D6630" t="s">
        <v>110</v>
      </c>
      <c r="F6630" s="35">
        <v>0.29999999999999988</v>
      </c>
      <c r="G6630" s="35">
        <v>102.23630798091405</v>
      </c>
      <c r="H6630" s="35">
        <v>35.144039853128405</v>
      </c>
      <c r="I6630" s="35">
        <v>-1.2787036024517147</v>
      </c>
      <c r="J6630" s="35">
        <v>-6.4792503862539101E-4</v>
      </c>
      <c r="K6630" s="35">
        <v>-7.0527131647093082</v>
      </c>
      <c r="L6630" s="35">
        <v>72.393999609403181</v>
      </c>
      <c r="M6630" s="58" t="s">
        <v>22</v>
      </c>
      <c r="N6630" s="7">
        <v>11.333333333333334</v>
      </c>
      <c r="O6630" s="7" t="s">
        <v>178</v>
      </c>
      <c r="P6630" s="7" t="s">
        <v>178</v>
      </c>
    </row>
    <row r="6631" spans="1:16" x14ac:dyDescent="0.25">
      <c r="A6631" t="s">
        <v>183</v>
      </c>
      <c r="B6631" t="s">
        <v>234</v>
      </c>
      <c r="C6631" s="7" t="s">
        <v>175</v>
      </c>
      <c r="D6631" t="s">
        <v>110</v>
      </c>
      <c r="F6631" s="35">
        <v>5.3</v>
      </c>
      <c r="G6631" s="35">
        <v>104.96788298091404</v>
      </c>
      <c r="H6631" s="35">
        <v>2.0690398531283947</v>
      </c>
      <c r="I6631" s="35">
        <v>-1.2787036024517147</v>
      </c>
      <c r="J6631" s="35">
        <v>-6.4792503862539101E-4</v>
      </c>
      <c r="K6631" s="35">
        <v>-0.65919515245073501</v>
      </c>
      <c r="L6631" s="35">
        <v>-20.638699656238799</v>
      </c>
      <c r="M6631" s="58" t="s">
        <v>24</v>
      </c>
      <c r="N6631" s="7">
        <v>11.333333333333334</v>
      </c>
      <c r="O6631" s="7" t="s">
        <v>178</v>
      </c>
      <c r="P6631" s="7" t="s">
        <v>178</v>
      </c>
    </row>
    <row r="6632" spans="1:16" x14ac:dyDescent="0.25">
      <c r="A6632" t="s">
        <v>183</v>
      </c>
      <c r="B6632" t="s">
        <v>234</v>
      </c>
      <c r="C6632" s="7" t="s">
        <v>175</v>
      </c>
      <c r="D6632" t="s">
        <v>110</v>
      </c>
      <c r="F6632" s="35">
        <v>5.3</v>
      </c>
      <c r="G6632" s="35">
        <v>24.308815657697949</v>
      </c>
      <c r="H6632" s="35">
        <v>16.550626786018313</v>
      </c>
      <c r="I6632" s="35">
        <v>-1.2789625249400971</v>
      </c>
      <c r="J6632" s="35">
        <v>-6.5640511020383216E-4</v>
      </c>
      <c r="K6632" s="35">
        <v>-0.66018373841884481</v>
      </c>
      <c r="L6632" s="35">
        <v>-20.638699656238789</v>
      </c>
      <c r="M6632" s="58" t="s">
        <v>24</v>
      </c>
      <c r="N6632" s="7">
        <v>11.333333333333334</v>
      </c>
      <c r="O6632" s="7" t="s">
        <v>178</v>
      </c>
      <c r="P6632" s="7" t="s">
        <v>178</v>
      </c>
    </row>
    <row r="6633" spans="1:16" x14ac:dyDescent="0.25">
      <c r="A6633" t="s">
        <v>183</v>
      </c>
      <c r="B6633" t="s">
        <v>234</v>
      </c>
      <c r="C6633" s="7" t="s">
        <v>175</v>
      </c>
      <c r="D6633" t="s">
        <v>110</v>
      </c>
      <c r="F6633" s="35">
        <v>5.5393224575487361</v>
      </c>
      <c r="G6633" s="35">
        <v>24.439561106093681</v>
      </c>
      <c r="H6633" s="35">
        <v>14.967508729333426</v>
      </c>
      <c r="I6633" s="35">
        <v>-1.2789625249400971</v>
      </c>
      <c r="J6633" s="35">
        <v>-6.5640511020383216E-4</v>
      </c>
      <c r="K6633" s="35">
        <v>-0.35409928383744405</v>
      </c>
      <c r="L6633" s="35">
        <v>-24.410198480682826</v>
      </c>
      <c r="M6633" s="58" t="s">
        <v>24</v>
      </c>
      <c r="N6633" s="7">
        <v>11.333333333333334</v>
      </c>
      <c r="O6633" s="7" t="s">
        <v>178</v>
      </c>
      <c r="P6633" s="7" t="s">
        <v>178</v>
      </c>
    </row>
    <row r="6634" spans="1:16" x14ac:dyDescent="0.25">
      <c r="A6634" t="s">
        <v>183</v>
      </c>
      <c r="B6634" t="s">
        <v>234</v>
      </c>
      <c r="C6634" s="7" t="s">
        <v>175</v>
      </c>
      <c r="D6634" t="s">
        <v>110</v>
      </c>
      <c r="F6634" s="35">
        <v>11.078644915097472</v>
      </c>
      <c r="G6634" s="35">
        <v>27.465776054489421</v>
      </c>
      <c r="H6634" s="35">
        <v>-21.675109327351471</v>
      </c>
      <c r="I6634" s="35">
        <v>-1.2789625249400971</v>
      </c>
      <c r="J6634" s="35">
        <v>-6.5640511020383216E-4</v>
      </c>
      <c r="K6634" s="35">
        <v>6.7304865529264726</v>
      </c>
      <c r="L6634" s="35">
        <v>-5.8324171662484776</v>
      </c>
      <c r="M6634" s="58" t="s">
        <v>23</v>
      </c>
      <c r="N6634" s="7">
        <v>11.333333333333334</v>
      </c>
      <c r="O6634" s="7" t="s">
        <v>178</v>
      </c>
      <c r="P6634" s="7" t="s">
        <v>178</v>
      </c>
    </row>
    <row r="6635" spans="1:16" x14ac:dyDescent="0.25">
      <c r="A6635" t="s">
        <v>183</v>
      </c>
      <c r="B6635" t="s">
        <v>234</v>
      </c>
      <c r="C6635" s="7" t="s">
        <v>175</v>
      </c>
      <c r="D6635" t="s">
        <v>111</v>
      </c>
      <c r="F6635" s="35">
        <v>0</v>
      </c>
      <c r="G6635" s="35">
        <v>-36.283566671722589</v>
      </c>
      <c r="H6635" s="35">
        <v>26.852316982441192</v>
      </c>
      <c r="I6635" s="35">
        <v>-2.65977653161938</v>
      </c>
      <c r="J6635" s="35">
        <v>-1.1116639880302869E-3</v>
      </c>
      <c r="K6635" s="35">
        <v>-15.979707926670649</v>
      </c>
      <c r="L6635" s="35">
        <v>54.26512248963639</v>
      </c>
      <c r="M6635" s="58" t="s">
        <v>22</v>
      </c>
      <c r="N6635" s="7">
        <v>11.333333333333334</v>
      </c>
      <c r="O6635" s="7" t="s">
        <v>178</v>
      </c>
      <c r="P6635" s="7" t="s">
        <v>178</v>
      </c>
    </row>
    <row r="6636" spans="1:16" x14ac:dyDescent="0.25">
      <c r="A6636" t="s">
        <v>183</v>
      </c>
      <c r="B6636" t="s">
        <v>234</v>
      </c>
      <c r="C6636" s="7" t="s">
        <v>175</v>
      </c>
      <c r="D6636" t="s">
        <v>111</v>
      </c>
      <c r="F6636" s="35">
        <v>0.29999999999999988</v>
      </c>
      <c r="G6636" s="35">
        <v>-36.119672171722591</v>
      </c>
      <c r="H6636" s="35">
        <v>25.661616982441192</v>
      </c>
      <c r="I6636" s="35">
        <v>-2.65977653161938</v>
      </c>
      <c r="J6636" s="35">
        <v>-1.1116639880302869E-3</v>
      </c>
      <c r="K6636" s="35">
        <v>-15.181774967184834</v>
      </c>
      <c r="L6636" s="35">
        <v>46.388032394904037</v>
      </c>
      <c r="M6636" s="58" t="s">
        <v>22</v>
      </c>
      <c r="N6636" s="7">
        <v>11.333333333333334</v>
      </c>
      <c r="O6636" s="7" t="s">
        <v>178</v>
      </c>
      <c r="P6636" s="7" t="s">
        <v>178</v>
      </c>
    </row>
    <row r="6637" spans="1:16" x14ac:dyDescent="0.25">
      <c r="A6637" t="s">
        <v>183</v>
      </c>
      <c r="B6637" t="s">
        <v>234</v>
      </c>
      <c r="C6637" s="7" t="s">
        <v>175</v>
      </c>
      <c r="D6637" t="s">
        <v>111</v>
      </c>
      <c r="F6637" s="35">
        <v>0.29999999999999988</v>
      </c>
      <c r="G6637" s="35">
        <v>23.521862952604913</v>
      </c>
      <c r="H6637" s="35">
        <v>22.130099121012247</v>
      </c>
      <c r="I6637" s="35">
        <v>-2.6597765316194324</v>
      </c>
      <c r="J6637" s="35">
        <v>-5.1603573056882004E-4</v>
      </c>
      <c r="K6637" s="35">
        <v>-15.181739229489393</v>
      </c>
      <c r="L6637" s="35">
        <v>46.388032394904045</v>
      </c>
      <c r="M6637" s="58" t="s">
        <v>22</v>
      </c>
      <c r="N6637" s="7">
        <v>11.333333333333334</v>
      </c>
      <c r="O6637" s="7" t="s">
        <v>178</v>
      </c>
      <c r="P6637" s="7" t="s">
        <v>178</v>
      </c>
    </row>
    <row r="6638" spans="1:16" x14ac:dyDescent="0.25">
      <c r="A6638" t="s">
        <v>183</v>
      </c>
      <c r="B6638" t="s">
        <v>234</v>
      </c>
      <c r="C6638" s="7" t="s">
        <v>175</v>
      </c>
      <c r="D6638" t="s">
        <v>111</v>
      </c>
      <c r="F6638" s="35">
        <v>5.3</v>
      </c>
      <c r="G6638" s="35">
        <v>26.253437952604919</v>
      </c>
      <c r="H6638" s="35">
        <v>2.2850991210122458</v>
      </c>
      <c r="I6638" s="35">
        <v>-2.6597765316194324</v>
      </c>
      <c r="J6638" s="35">
        <v>-5.1603573056882004E-4</v>
      </c>
      <c r="K6638" s="35">
        <v>-1.8828565713922338</v>
      </c>
      <c r="L6638" s="35">
        <v>-14.649963210157182</v>
      </c>
      <c r="M6638" s="58" t="s">
        <v>24</v>
      </c>
      <c r="N6638" s="7">
        <v>11.333333333333334</v>
      </c>
      <c r="O6638" s="7" t="s">
        <v>178</v>
      </c>
      <c r="P6638" s="7" t="s">
        <v>178</v>
      </c>
    </row>
    <row r="6639" spans="1:16" x14ac:dyDescent="0.25">
      <c r="A6639" t="s">
        <v>183</v>
      </c>
      <c r="B6639" t="s">
        <v>234</v>
      </c>
      <c r="C6639" s="7" t="s">
        <v>175</v>
      </c>
      <c r="D6639" t="s">
        <v>111</v>
      </c>
      <c r="F6639" s="35">
        <v>5.3</v>
      </c>
      <c r="G6639" s="35">
        <v>-26.32339436133967</v>
      </c>
      <c r="H6639" s="35">
        <v>9.561025190429369</v>
      </c>
      <c r="I6639" s="35">
        <v>-2.6597217908183537</v>
      </c>
      <c r="J6639" s="35">
        <v>-8.1181531362801897E-4</v>
      </c>
      <c r="K6639" s="35">
        <v>-1.8836976929784104</v>
      </c>
      <c r="L6639" s="35">
        <v>-14.649963210157186</v>
      </c>
      <c r="M6639" s="58" t="s">
        <v>24</v>
      </c>
      <c r="N6639" s="7">
        <v>11.333333333333334</v>
      </c>
      <c r="O6639" s="7" t="s">
        <v>178</v>
      </c>
      <c r="P6639" s="7" t="s">
        <v>178</v>
      </c>
    </row>
    <row r="6640" spans="1:16" x14ac:dyDescent="0.25">
      <c r="A6640" t="s">
        <v>183</v>
      </c>
      <c r="B6640" t="s">
        <v>234</v>
      </c>
      <c r="C6640" s="7" t="s">
        <v>175</v>
      </c>
      <c r="D6640" t="s">
        <v>111</v>
      </c>
      <c r="F6640" s="35">
        <v>5.5393224575487361</v>
      </c>
      <c r="G6640" s="35">
        <v>-26.19264891294393</v>
      </c>
      <c r="H6640" s="35">
        <v>8.6111543564184352</v>
      </c>
      <c r="I6640" s="35">
        <v>-2.6597217908183537</v>
      </c>
      <c r="J6640" s="35">
        <v>-8.1181531362801897E-4</v>
      </c>
      <c r="K6640" s="35">
        <v>-1.2471665376038366</v>
      </c>
      <c r="L6640" s="35">
        <v>-16.82446854424143</v>
      </c>
      <c r="M6640" s="58" t="s">
        <v>24</v>
      </c>
      <c r="N6640" s="7">
        <v>11.333333333333334</v>
      </c>
      <c r="O6640" s="7" t="s">
        <v>178</v>
      </c>
      <c r="P6640" s="7" t="s">
        <v>178</v>
      </c>
    </row>
    <row r="6641" spans="1:16" x14ac:dyDescent="0.25">
      <c r="A6641" t="s">
        <v>183</v>
      </c>
      <c r="B6641" t="s">
        <v>234</v>
      </c>
      <c r="C6641" s="7" t="s">
        <v>175</v>
      </c>
      <c r="D6641" t="s">
        <v>111</v>
      </c>
      <c r="F6641" s="35">
        <v>11.078644915097472</v>
      </c>
      <c r="G6641" s="35">
        <v>-23.16643396454819</v>
      </c>
      <c r="H6641" s="35">
        <v>-13.374416477592501</v>
      </c>
      <c r="I6641" s="35">
        <v>-2.6597217908183537</v>
      </c>
      <c r="J6641" s="35">
        <v>-8.1181531362801897E-4</v>
      </c>
      <c r="K6641" s="35">
        <v>13.485890109108015</v>
      </c>
      <c r="L6641" s="35">
        <v>-3.6318461247360627</v>
      </c>
      <c r="M6641" s="58" t="s">
        <v>23</v>
      </c>
      <c r="N6641" s="7">
        <v>11.333333333333334</v>
      </c>
      <c r="O6641" s="7" t="s">
        <v>178</v>
      </c>
      <c r="P6641" s="7" t="s">
        <v>178</v>
      </c>
    </row>
    <row r="6642" spans="1:16" x14ac:dyDescent="0.25">
      <c r="A6642" t="s">
        <v>183</v>
      </c>
      <c r="B6642" t="s">
        <v>234</v>
      </c>
      <c r="C6642" s="7" t="s">
        <v>175</v>
      </c>
      <c r="D6642" t="s">
        <v>112</v>
      </c>
      <c r="F6642" s="35">
        <v>0</v>
      </c>
      <c r="G6642" s="35">
        <v>-8.7357510879914351</v>
      </c>
      <c r="H6642" s="35">
        <v>26.38465858037188</v>
      </c>
      <c r="I6642" s="35">
        <v>2.8905540392060919E-2</v>
      </c>
      <c r="J6642" s="35">
        <v>-1.9055423373917497E-4</v>
      </c>
      <c r="K6642" s="35">
        <v>0.13993048554753859</v>
      </c>
      <c r="L6642" s="35">
        <v>57.686329057566269</v>
      </c>
      <c r="M6642" s="58" t="s">
        <v>22</v>
      </c>
      <c r="N6642" s="7">
        <v>11.333333333333334</v>
      </c>
      <c r="O6642" s="7" t="s">
        <v>178</v>
      </c>
      <c r="P6642" s="7" t="s">
        <v>178</v>
      </c>
    </row>
    <row r="6643" spans="1:16" x14ac:dyDescent="0.25">
      <c r="A6643" t="s">
        <v>183</v>
      </c>
      <c r="B6643" t="s">
        <v>234</v>
      </c>
      <c r="C6643" s="7" t="s">
        <v>175</v>
      </c>
      <c r="D6643" t="s">
        <v>112</v>
      </c>
      <c r="F6643" s="35">
        <v>0.29999999999999988</v>
      </c>
      <c r="G6643" s="35">
        <v>-8.5718565879914372</v>
      </c>
      <c r="H6643" s="35">
        <v>25.46611858037188</v>
      </c>
      <c r="I6643" s="35">
        <v>2.8905540392060919E-2</v>
      </c>
      <c r="J6643" s="35">
        <v>-1.9055423373917497E-4</v>
      </c>
      <c r="K6643" s="35">
        <v>0.13125882342992029</v>
      </c>
      <c r="L6643" s="35">
        <v>49.908712483454721</v>
      </c>
      <c r="M6643" s="58" t="s">
        <v>22</v>
      </c>
      <c r="N6643" s="7">
        <v>11.333333333333334</v>
      </c>
      <c r="O6643" s="7" t="s">
        <v>178</v>
      </c>
      <c r="P6643" s="7" t="s">
        <v>178</v>
      </c>
    </row>
    <row r="6644" spans="1:16" x14ac:dyDescent="0.25">
      <c r="A6644" t="s">
        <v>183</v>
      </c>
      <c r="B6644" t="s">
        <v>234</v>
      </c>
      <c r="C6644" s="7" t="s">
        <v>175</v>
      </c>
      <c r="D6644" t="s">
        <v>112</v>
      </c>
      <c r="F6644" s="35">
        <v>0.29999999999999988</v>
      </c>
      <c r="G6644" s="35">
        <v>58.698760735502439</v>
      </c>
      <c r="H6644" s="35">
        <v>21.476855786992971</v>
      </c>
      <c r="I6644" s="35">
        <v>2.8905540392061634E-2</v>
      </c>
      <c r="J6644" s="35">
        <v>1.7922118990701063E-4</v>
      </c>
      <c r="K6644" s="35">
        <v>0.13128100995533923</v>
      </c>
      <c r="L6644" s="35">
        <v>49.908712483454707</v>
      </c>
      <c r="M6644" s="58" t="s">
        <v>22</v>
      </c>
      <c r="N6644" s="7">
        <v>11.333333333333334</v>
      </c>
      <c r="O6644" s="7" t="s">
        <v>178</v>
      </c>
      <c r="P6644" s="7" t="s">
        <v>178</v>
      </c>
    </row>
    <row r="6645" spans="1:16" x14ac:dyDescent="0.25">
      <c r="A6645" t="s">
        <v>183</v>
      </c>
      <c r="B6645" t="s">
        <v>234</v>
      </c>
      <c r="C6645" s="7" t="s">
        <v>175</v>
      </c>
      <c r="D6645" t="s">
        <v>112</v>
      </c>
      <c r="F6645" s="35">
        <v>5.3</v>
      </c>
      <c r="G6645" s="35">
        <v>61.430335735502446</v>
      </c>
      <c r="H6645" s="35">
        <v>6.1678557869929653</v>
      </c>
      <c r="I6645" s="35">
        <v>2.8905540392061634E-2</v>
      </c>
      <c r="J6645" s="35">
        <v>1.7922118990701063E-4</v>
      </c>
      <c r="K6645" s="35">
        <v>-1.3246692004968958E-2</v>
      </c>
      <c r="L6645" s="35">
        <v>-19.203066451510125</v>
      </c>
      <c r="M6645" s="58" t="s">
        <v>24</v>
      </c>
      <c r="N6645" s="7">
        <v>11.333333333333334</v>
      </c>
      <c r="O6645" s="7" t="s">
        <v>178</v>
      </c>
      <c r="P6645" s="7" t="s">
        <v>178</v>
      </c>
    </row>
    <row r="6646" spans="1:16" x14ac:dyDescent="0.25">
      <c r="A6646" t="s">
        <v>183</v>
      </c>
      <c r="B6646" t="s">
        <v>234</v>
      </c>
      <c r="C6646" s="7" t="s">
        <v>175</v>
      </c>
      <c r="D6646" t="s">
        <v>112</v>
      </c>
      <c r="F6646" s="35">
        <v>5.3</v>
      </c>
      <c r="G6646" s="35">
        <v>5.7811464534463477</v>
      </c>
      <c r="H6646" s="35">
        <v>6.0694628342446588</v>
      </c>
      <c r="I6646" s="35">
        <v>2.8780082532219239E-2</v>
      </c>
      <c r="J6646" s="35">
        <v>2.5288756013834942E-4</v>
      </c>
      <c r="K6646" s="35">
        <v>-1.3532411829139302E-2</v>
      </c>
      <c r="L6646" s="35">
        <v>-19.203066451510111</v>
      </c>
      <c r="M6646" s="58" t="s">
        <v>24</v>
      </c>
      <c r="N6646" s="7">
        <v>11.333333333333334</v>
      </c>
      <c r="O6646" s="7" t="s">
        <v>178</v>
      </c>
      <c r="P6646" s="7" t="s">
        <v>178</v>
      </c>
    </row>
    <row r="6647" spans="1:16" x14ac:dyDescent="0.25">
      <c r="A6647" t="s">
        <v>183</v>
      </c>
      <c r="B6647" t="s">
        <v>234</v>
      </c>
      <c r="C6647" s="7" t="s">
        <v>175</v>
      </c>
      <c r="D6647" t="s">
        <v>112</v>
      </c>
      <c r="F6647" s="35">
        <v>5.5393224575487361</v>
      </c>
      <c r="G6647" s="35">
        <v>5.9118919018420808</v>
      </c>
      <c r="H6647" s="35">
        <v>5.3367053337219383</v>
      </c>
      <c r="I6647" s="35">
        <v>2.8780082532219239E-2</v>
      </c>
      <c r="J6647" s="35">
        <v>2.5288756013834942E-4</v>
      </c>
      <c r="K6647" s="35">
        <v>-2.0420131909205472E-2</v>
      </c>
      <c r="L6647" s="35">
        <v>-20.567942550096078</v>
      </c>
      <c r="M6647" s="58" t="s">
        <v>24</v>
      </c>
      <c r="N6647" s="7">
        <v>11.333333333333334</v>
      </c>
      <c r="O6647" s="7" t="s">
        <v>178</v>
      </c>
      <c r="P6647" s="7" t="s">
        <v>178</v>
      </c>
    </row>
    <row r="6648" spans="1:16" x14ac:dyDescent="0.25">
      <c r="A6648" t="s">
        <v>183</v>
      </c>
      <c r="B6648" t="s">
        <v>234</v>
      </c>
      <c r="C6648" s="7" t="s">
        <v>175</v>
      </c>
      <c r="D6648" t="s">
        <v>112</v>
      </c>
      <c r="F6648" s="35">
        <v>11.078644915097472</v>
      </c>
      <c r="G6648" s="35">
        <v>8.9381068502378209</v>
      </c>
      <c r="H6648" s="35">
        <v>-11.623592166800787</v>
      </c>
      <c r="I6648" s="35">
        <v>2.8780082532219239E-2</v>
      </c>
      <c r="J6648" s="35">
        <v>2.5288756013834942E-4</v>
      </c>
      <c r="K6648" s="35">
        <v>-0.17984228941003361</v>
      </c>
      <c r="L6648" s="35">
        <v>-3.1553958388255143</v>
      </c>
      <c r="M6648" s="58" t="s">
        <v>23</v>
      </c>
      <c r="N6648" s="7">
        <v>11.333333333333334</v>
      </c>
      <c r="O6648" s="7" t="s">
        <v>178</v>
      </c>
      <c r="P6648" s="7" t="s">
        <v>178</v>
      </c>
    </row>
    <row r="6649" spans="1:16" x14ac:dyDescent="0.25">
      <c r="A6649" t="s">
        <v>183</v>
      </c>
      <c r="B6649" t="s">
        <v>234</v>
      </c>
      <c r="C6649" s="7" t="s">
        <v>175</v>
      </c>
      <c r="D6649" t="s">
        <v>113</v>
      </c>
      <c r="F6649" s="35">
        <v>0</v>
      </c>
      <c r="G6649" s="35">
        <v>-24.528934286348118</v>
      </c>
      <c r="H6649" s="35">
        <v>11.572508460349177</v>
      </c>
      <c r="I6649" s="35">
        <v>2.906711630954064E-2</v>
      </c>
      <c r="J6649" s="35">
        <v>3.8251342969477723E-4</v>
      </c>
      <c r="K6649" s="35">
        <v>0.13265675754474671</v>
      </c>
      <c r="L6649" s="35">
        <v>28.311437242752035</v>
      </c>
      <c r="M6649" s="58" t="s">
        <v>22</v>
      </c>
      <c r="N6649" s="7">
        <v>11.333333333333334</v>
      </c>
      <c r="O6649" s="7" t="s">
        <v>178</v>
      </c>
      <c r="P6649" s="7" t="s">
        <v>178</v>
      </c>
    </row>
    <row r="6650" spans="1:16" x14ac:dyDescent="0.25">
      <c r="A6650" t="s">
        <v>183</v>
      </c>
      <c r="B6650" t="s">
        <v>234</v>
      </c>
      <c r="C6650" s="7" t="s">
        <v>175</v>
      </c>
      <c r="D6650" t="s">
        <v>113</v>
      </c>
      <c r="F6650" s="35">
        <v>0.29999999999999988</v>
      </c>
      <c r="G6650" s="35">
        <v>-24.365039786348117</v>
      </c>
      <c r="H6650" s="35">
        <v>11.368388460349179</v>
      </c>
      <c r="I6650" s="35">
        <v>2.906711630954064E-2</v>
      </c>
      <c r="J6650" s="35">
        <v>3.8251342969477723E-4</v>
      </c>
      <c r="K6650" s="35">
        <v>0.1239366226518845</v>
      </c>
      <c r="L6650" s="35">
        <v>24.870302704647283</v>
      </c>
      <c r="M6650" s="58" t="s">
        <v>22</v>
      </c>
      <c r="N6650" s="7">
        <v>11.333333333333334</v>
      </c>
      <c r="O6650" s="7" t="s">
        <v>178</v>
      </c>
      <c r="P6650" s="7" t="s">
        <v>178</v>
      </c>
    </row>
    <row r="6651" spans="1:16" x14ac:dyDescent="0.25">
      <c r="A6651" t="s">
        <v>183</v>
      </c>
      <c r="B6651" t="s">
        <v>234</v>
      </c>
      <c r="C6651" s="7" t="s">
        <v>175</v>
      </c>
      <c r="D6651" t="s">
        <v>113</v>
      </c>
      <c r="F6651" s="35">
        <v>0.29999999999999988</v>
      </c>
      <c r="G6651" s="35">
        <v>13.708549875378788</v>
      </c>
      <c r="H6651" s="35">
        <v>9.1309473266763028</v>
      </c>
      <c r="I6651" s="35">
        <v>2.9067116309541032E-2</v>
      </c>
      <c r="J6651" s="35">
        <v>4.1340482879157544E-4</v>
      </c>
      <c r="K6651" s="35">
        <v>0.12393847613583044</v>
      </c>
      <c r="L6651" s="35">
        <v>24.87030270464729</v>
      </c>
      <c r="M6651" s="58" t="s">
        <v>22</v>
      </c>
      <c r="N6651" s="7">
        <v>11.333333333333334</v>
      </c>
      <c r="O6651" s="7" t="s">
        <v>178</v>
      </c>
      <c r="P6651" s="7" t="s">
        <v>178</v>
      </c>
    </row>
    <row r="6652" spans="1:16" x14ac:dyDescent="0.25">
      <c r="A6652" t="s">
        <v>183</v>
      </c>
      <c r="B6652" t="s">
        <v>234</v>
      </c>
      <c r="C6652" s="7" t="s">
        <v>175</v>
      </c>
      <c r="D6652" t="s">
        <v>113</v>
      </c>
      <c r="F6652" s="35">
        <v>5.3</v>
      </c>
      <c r="G6652" s="35">
        <v>16.440124875378793</v>
      </c>
      <c r="H6652" s="35">
        <v>5.7289473266763036</v>
      </c>
      <c r="I6652" s="35">
        <v>2.9067116309541032E-2</v>
      </c>
      <c r="J6652" s="35">
        <v>4.1340482879157544E-4</v>
      </c>
      <c r="K6652" s="35">
        <v>-2.1397105411874728E-2</v>
      </c>
      <c r="L6652" s="35">
        <v>-12.279433928734226</v>
      </c>
      <c r="M6652" s="58" t="s">
        <v>24</v>
      </c>
      <c r="N6652" s="7">
        <v>11.333333333333334</v>
      </c>
      <c r="O6652" s="7" t="s">
        <v>178</v>
      </c>
      <c r="P6652" s="7" t="s">
        <v>178</v>
      </c>
    </row>
    <row r="6653" spans="1:16" x14ac:dyDescent="0.25">
      <c r="A6653" t="s">
        <v>183</v>
      </c>
      <c r="B6653" t="s">
        <v>234</v>
      </c>
      <c r="C6653" s="7" t="s">
        <v>175</v>
      </c>
      <c r="D6653" t="s">
        <v>113</v>
      </c>
      <c r="F6653" s="35">
        <v>5.3</v>
      </c>
      <c r="G6653" s="35">
        <v>-12.039068375333226</v>
      </c>
      <c r="H6653" s="35">
        <v>3.303337768556977E-2</v>
      </c>
      <c r="I6653" s="35">
        <v>2.9059465809660349E-2</v>
      </c>
      <c r="J6653" s="35">
        <v>4.2749509884632578E-4</v>
      </c>
      <c r="K6653" s="35">
        <v>-2.1434542174684684E-2</v>
      </c>
      <c r="L6653" s="35">
        <v>-12.279433928734232</v>
      </c>
      <c r="M6653" s="58" t="s">
        <v>24</v>
      </c>
      <c r="N6653" s="7">
        <v>11.333333333333334</v>
      </c>
      <c r="O6653" s="7" t="s">
        <v>178</v>
      </c>
      <c r="P6653" s="7" t="s">
        <v>178</v>
      </c>
    </row>
    <row r="6654" spans="1:16" x14ac:dyDescent="0.25">
      <c r="A6654" t="s">
        <v>183</v>
      </c>
      <c r="B6654" t="s">
        <v>234</v>
      </c>
      <c r="C6654" s="7" t="s">
        <v>175</v>
      </c>
      <c r="D6654" t="s">
        <v>113</v>
      </c>
      <c r="F6654" s="35">
        <v>5.5393224575487361</v>
      </c>
      <c r="G6654" s="35">
        <v>-11.908322926937492</v>
      </c>
      <c r="H6654" s="35">
        <v>-0.12980162243059024</v>
      </c>
      <c r="I6654" s="35">
        <v>2.9059465809660349E-2</v>
      </c>
      <c r="J6654" s="35">
        <v>4.2749509884632578E-4</v>
      </c>
      <c r="K6654" s="35">
        <v>-2.8389124947306079E-2</v>
      </c>
      <c r="L6654" s="35">
        <v>-12.267854521661704</v>
      </c>
      <c r="M6654" s="58" t="s">
        <v>24</v>
      </c>
      <c r="N6654" s="7">
        <v>11.333333333333334</v>
      </c>
      <c r="O6654" s="7" t="s">
        <v>178</v>
      </c>
      <c r="P6654" s="7" t="s">
        <v>178</v>
      </c>
    </row>
    <row r="6655" spans="1:16" x14ac:dyDescent="0.25">
      <c r="A6655" t="s">
        <v>183</v>
      </c>
      <c r="B6655" t="s">
        <v>234</v>
      </c>
      <c r="C6655" s="7" t="s">
        <v>175</v>
      </c>
      <c r="D6655" t="s">
        <v>113</v>
      </c>
      <c r="F6655" s="35">
        <v>11.078644915097472</v>
      </c>
      <c r="G6655" s="35">
        <v>-8.8821079785417538</v>
      </c>
      <c r="H6655" s="35">
        <v>-3.8987566225467511</v>
      </c>
      <c r="I6655" s="35">
        <v>2.9059465809660349E-2</v>
      </c>
      <c r="J6655" s="35">
        <v>4.2749509884632578E-4</v>
      </c>
      <c r="K6655" s="35">
        <v>-0.18935887651112732</v>
      </c>
      <c r="L6655" s="35">
        <v>-1.1101129426886507</v>
      </c>
      <c r="M6655" s="58" t="s">
        <v>23</v>
      </c>
      <c r="N6655" s="7">
        <v>11.333333333333334</v>
      </c>
      <c r="O6655" s="7" t="s">
        <v>178</v>
      </c>
      <c r="P6655" s="7" t="s">
        <v>178</v>
      </c>
    </row>
    <row r="6656" spans="1:16" x14ac:dyDescent="0.25">
      <c r="A6656" t="s">
        <v>183</v>
      </c>
      <c r="B6656" t="s">
        <v>234</v>
      </c>
      <c r="C6656" s="7" t="s">
        <v>175</v>
      </c>
      <c r="D6656" t="s">
        <v>114</v>
      </c>
      <c r="F6656" s="35">
        <v>0</v>
      </c>
      <c r="G6656" s="35">
        <v>49.480880849626956</v>
      </c>
      <c r="H6656" s="35">
        <v>-26.886014239612713</v>
      </c>
      <c r="I6656" s="35">
        <v>-4.5914221533133411E-2</v>
      </c>
      <c r="J6656" s="35">
        <v>-1.1732028278781297E-3</v>
      </c>
      <c r="K6656" s="35">
        <v>-0.15958608592119572</v>
      </c>
      <c r="L6656" s="35">
        <v>-58.767353702575647</v>
      </c>
      <c r="M6656" s="58" t="s">
        <v>22</v>
      </c>
      <c r="N6656" s="7">
        <v>11.333333333333334</v>
      </c>
      <c r="O6656" s="7" t="s">
        <v>178</v>
      </c>
      <c r="P6656" s="7" t="s">
        <v>178</v>
      </c>
    </row>
    <row r="6657" spans="1:16" x14ac:dyDescent="0.25">
      <c r="A6657" t="s">
        <v>183</v>
      </c>
      <c r="B6657" t="s">
        <v>234</v>
      </c>
      <c r="C6657" s="7" t="s">
        <v>175</v>
      </c>
      <c r="D6657" t="s">
        <v>114</v>
      </c>
      <c r="F6657" s="35">
        <v>0.29999999999999988</v>
      </c>
      <c r="G6657" s="35">
        <v>49.644775349626947</v>
      </c>
      <c r="H6657" s="35">
        <v>-25.967474239612713</v>
      </c>
      <c r="I6657" s="35">
        <v>-4.5914221533133411E-2</v>
      </c>
      <c r="J6657" s="35">
        <v>-1.1732028278781297E-3</v>
      </c>
      <c r="K6657" s="35">
        <v>-0.14581181946125576</v>
      </c>
      <c r="L6657" s="35">
        <v>-50.839330430691838</v>
      </c>
      <c r="M6657" s="58" t="s">
        <v>22</v>
      </c>
      <c r="N6657" s="7">
        <v>11.333333333333334</v>
      </c>
      <c r="O6657" s="7" t="s">
        <v>178</v>
      </c>
      <c r="P6657" s="7" t="s">
        <v>178</v>
      </c>
    </row>
    <row r="6658" spans="1:16" x14ac:dyDescent="0.25">
      <c r="A6658" t="s">
        <v>183</v>
      </c>
      <c r="B6658" t="s">
        <v>234</v>
      </c>
      <c r="C6658" s="7" t="s">
        <v>175</v>
      </c>
      <c r="D6658" t="s">
        <v>114</v>
      </c>
      <c r="F6658" s="35">
        <v>0.29999999999999988</v>
      </c>
      <c r="G6658" s="35">
        <v>-12.646238576210886</v>
      </c>
      <c r="H6658" s="35">
        <v>-22.183039158031647</v>
      </c>
      <c r="I6658" s="35">
        <v>-4.5914221533133938E-2</v>
      </c>
      <c r="J6658" s="35">
        <v>-1.0657789550835625E-4</v>
      </c>
      <c r="K6658" s="35">
        <v>-0.14574782196531336</v>
      </c>
      <c r="L6658" s="35">
        <v>-50.839330430691859</v>
      </c>
      <c r="M6658" s="58" t="s">
        <v>22</v>
      </c>
      <c r="N6658" s="7">
        <v>11.333333333333334</v>
      </c>
      <c r="O6658" s="7" t="s">
        <v>178</v>
      </c>
      <c r="P6658" s="7" t="s">
        <v>178</v>
      </c>
    </row>
    <row r="6659" spans="1:16" x14ac:dyDescent="0.25">
      <c r="A6659" t="s">
        <v>183</v>
      </c>
      <c r="B6659" t="s">
        <v>234</v>
      </c>
      <c r="C6659" s="7" t="s">
        <v>175</v>
      </c>
      <c r="D6659" t="s">
        <v>114</v>
      </c>
      <c r="F6659" s="35">
        <v>5.3</v>
      </c>
      <c r="G6659" s="35">
        <v>-9.9146635762108808</v>
      </c>
      <c r="H6659" s="35">
        <v>-6.8740391580316462</v>
      </c>
      <c r="I6659" s="35">
        <v>-4.5914221533133938E-2</v>
      </c>
      <c r="J6659" s="35">
        <v>-1.0657789550835625E-4</v>
      </c>
      <c r="K6659" s="35">
        <v>8.382328570035634E-2</v>
      </c>
      <c r="L6659" s="35">
        <v>21.803365359466365</v>
      </c>
      <c r="M6659" s="58" t="s">
        <v>24</v>
      </c>
      <c r="N6659" s="7">
        <v>11.333333333333334</v>
      </c>
      <c r="O6659" s="7" t="s">
        <v>178</v>
      </c>
      <c r="P6659" s="7" t="s">
        <v>178</v>
      </c>
    </row>
    <row r="6660" spans="1:16" x14ac:dyDescent="0.25">
      <c r="A6660" t="s">
        <v>183</v>
      </c>
      <c r="B6660" t="s">
        <v>234</v>
      </c>
      <c r="C6660" s="7" t="s">
        <v>175</v>
      </c>
      <c r="D6660" t="s">
        <v>114</v>
      </c>
      <c r="F6660" s="35">
        <v>5.3</v>
      </c>
      <c r="G6660" s="35">
        <v>47.002767838257313</v>
      </c>
      <c r="H6660" s="35">
        <v>-5.6067198743932156</v>
      </c>
      <c r="I6660" s="35">
        <v>-4.6255644828490955E-2</v>
      </c>
      <c r="J6660" s="35">
        <v>4.8776297791739058E-5</v>
      </c>
      <c r="K6660" s="35">
        <v>8.2864051590744808E-2</v>
      </c>
      <c r="L6660" s="35">
        <v>21.803365359466387</v>
      </c>
      <c r="M6660" s="58" t="s">
        <v>24</v>
      </c>
      <c r="N6660" s="7">
        <v>11.333333333333334</v>
      </c>
      <c r="O6660" s="7" t="s">
        <v>178</v>
      </c>
      <c r="P6660" s="7" t="s">
        <v>178</v>
      </c>
    </row>
    <row r="6661" spans="1:16" x14ac:dyDescent="0.25">
      <c r="A6661" t="s">
        <v>183</v>
      </c>
      <c r="B6661" t="s">
        <v>234</v>
      </c>
      <c r="C6661" s="7" t="s">
        <v>175</v>
      </c>
      <c r="D6661" t="s">
        <v>114</v>
      </c>
      <c r="F6661" s="35">
        <v>5.5393224575487361</v>
      </c>
      <c r="G6661" s="35">
        <v>47.133513286653049</v>
      </c>
      <c r="H6661" s="35">
        <v>-4.8739623738704951</v>
      </c>
      <c r="I6661" s="35">
        <v>-4.6255644828490955E-2</v>
      </c>
      <c r="J6661" s="35">
        <v>4.8776297791739058E-5</v>
      </c>
      <c r="K6661" s="35">
        <v>9.3934066186600718E-2</v>
      </c>
      <c r="L6661" s="35">
        <v>23.057496675687329</v>
      </c>
      <c r="M6661" s="58" t="s">
        <v>24</v>
      </c>
      <c r="N6661" s="7">
        <v>11.333333333333334</v>
      </c>
      <c r="O6661" s="7" t="s">
        <v>178</v>
      </c>
      <c r="P6661" s="7" t="s">
        <v>178</v>
      </c>
    </row>
    <row r="6662" spans="1:16" x14ac:dyDescent="0.25">
      <c r="A6662" t="s">
        <v>183</v>
      </c>
      <c r="B6662" t="s">
        <v>234</v>
      </c>
      <c r="C6662" s="7" t="s">
        <v>175</v>
      </c>
      <c r="D6662" t="s">
        <v>114</v>
      </c>
      <c r="F6662" s="35">
        <v>11.078644915097472</v>
      </c>
      <c r="G6662" s="35">
        <v>50.159728235048782</v>
      </c>
      <c r="H6662" s="35">
        <v>12.08633512665223</v>
      </c>
      <c r="I6662" s="35">
        <v>-4.6255644828490955E-2</v>
      </c>
      <c r="J6662" s="35">
        <v>4.8776297791739058E-5</v>
      </c>
      <c r="K6662" s="35">
        <v>0.35015899837345876</v>
      </c>
      <c r="L6662" s="35">
        <v>3.0816674948390901</v>
      </c>
      <c r="M6662" s="58" t="s">
        <v>23</v>
      </c>
      <c r="N6662" s="7">
        <v>11.333333333333334</v>
      </c>
      <c r="O6662" s="7" t="s">
        <v>178</v>
      </c>
      <c r="P6662" s="7" t="s">
        <v>178</v>
      </c>
    </row>
    <row r="6663" spans="1:16" x14ac:dyDescent="0.25">
      <c r="A6663" t="s">
        <v>183</v>
      </c>
      <c r="B6663" t="s">
        <v>234</v>
      </c>
      <c r="C6663" s="7" t="s">
        <v>175</v>
      </c>
      <c r="D6663" t="s">
        <v>115</v>
      </c>
      <c r="F6663" s="35">
        <v>0</v>
      </c>
      <c r="G6663" s="35">
        <v>33.71219420810953</v>
      </c>
      <c r="H6663" s="35">
        <v>-41.691789925233685</v>
      </c>
      <c r="I6663" s="35">
        <v>-4.2985840103085433E-2</v>
      </c>
      <c r="J6663" s="35">
        <v>-5.9084738756485426E-4</v>
      </c>
      <c r="K6663" s="35">
        <v>-0.15657735741456399</v>
      </c>
      <c r="L6663" s="35">
        <v>-88.123631384317079</v>
      </c>
      <c r="M6663" s="58" t="s">
        <v>22</v>
      </c>
      <c r="N6663" s="7">
        <v>11.333333333333334</v>
      </c>
      <c r="O6663" s="7" t="s">
        <v>178</v>
      </c>
      <c r="P6663" s="7" t="s">
        <v>178</v>
      </c>
    </row>
    <row r="6664" spans="1:16" x14ac:dyDescent="0.25">
      <c r="A6664" t="s">
        <v>183</v>
      </c>
      <c r="B6664" t="s">
        <v>234</v>
      </c>
      <c r="C6664" s="7" t="s">
        <v>175</v>
      </c>
      <c r="D6664" t="s">
        <v>115</v>
      </c>
      <c r="F6664" s="35">
        <v>0.29999999999999988</v>
      </c>
      <c r="G6664" s="35">
        <v>33.876088708109521</v>
      </c>
      <c r="H6664" s="35">
        <v>-40.058829925233688</v>
      </c>
      <c r="I6664" s="35">
        <v>-4.2985840103085433E-2</v>
      </c>
      <c r="J6664" s="35">
        <v>-5.9084738756485426E-4</v>
      </c>
      <c r="K6664" s="35">
        <v>-0.14368160538363836</v>
      </c>
      <c r="L6664" s="35">
        <v>-75.861038406746985</v>
      </c>
      <c r="M6664" s="58" t="s">
        <v>22</v>
      </c>
      <c r="N6664" s="7">
        <v>11.333333333333334</v>
      </c>
      <c r="O6664" s="7" t="s">
        <v>178</v>
      </c>
      <c r="P6664" s="7" t="s">
        <v>178</v>
      </c>
    </row>
    <row r="6665" spans="1:16" x14ac:dyDescent="0.25">
      <c r="A6665" t="s">
        <v>183</v>
      </c>
      <c r="B6665" t="s">
        <v>234</v>
      </c>
      <c r="C6665" s="7" t="s">
        <v>175</v>
      </c>
      <c r="D6665" t="s">
        <v>115</v>
      </c>
      <c r="F6665" s="35">
        <v>0.29999999999999988</v>
      </c>
      <c r="G6665" s="35">
        <v>-57.596669147981707</v>
      </c>
      <c r="H6665" s="35">
        <v>-34.523490207837398</v>
      </c>
      <c r="I6665" s="35">
        <v>-4.2985840103084837E-2</v>
      </c>
      <c r="J6665" s="35">
        <v>1.2902813867972E-4</v>
      </c>
      <c r="K6665" s="35">
        <v>-0.14363841285206369</v>
      </c>
      <c r="L6665" s="35">
        <v>-75.861038406747014</v>
      </c>
      <c r="M6665" s="58" t="s">
        <v>22</v>
      </c>
      <c r="N6665" s="7">
        <v>11.333333333333334</v>
      </c>
      <c r="O6665" s="7" t="s">
        <v>178</v>
      </c>
      <c r="P6665" s="7" t="s">
        <v>178</v>
      </c>
    </row>
    <row r="6666" spans="1:16" x14ac:dyDescent="0.25">
      <c r="A6666" t="s">
        <v>183</v>
      </c>
      <c r="B6666" t="s">
        <v>234</v>
      </c>
      <c r="C6666" s="7" t="s">
        <v>175</v>
      </c>
      <c r="D6666" t="s">
        <v>115</v>
      </c>
      <c r="F6666" s="35">
        <v>5.3</v>
      </c>
      <c r="G6666" s="35">
        <v>-54.865094147981701</v>
      </c>
      <c r="H6666" s="35">
        <v>-7.3074902078373993</v>
      </c>
      <c r="I6666" s="35">
        <v>-4.2985840103084837E-2</v>
      </c>
      <c r="J6666" s="35">
        <v>1.2902813867972E-4</v>
      </c>
      <c r="K6666" s="35">
        <v>7.1290787663360514E-2</v>
      </c>
      <c r="L6666" s="35">
        <v>28.71641263243998</v>
      </c>
      <c r="M6666" s="58" t="s">
        <v>24</v>
      </c>
      <c r="N6666" s="7">
        <v>11.333333333333334</v>
      </c>
      <c r="O6666" s="7" t="s">
        <v>178</v>
      </c>
      <c r="P6666" s="7" t="s">
        <v>178</v>
      </c>
    </row>
    <row r="6667" spans="1:16" x14ac:dyDescent="0.25">
      <c r="A6667" t="s">
        <v>183</v>
      </c>
      <c r="B6667" t="s">
        <v>234</v>
      </c>
      <c r="C6667" s="7" t="s">
        <v>175</v>
      </c>
      <c r="D6667" t="s">
        <v>115</v>
      </c>
      <c r="F6667" s="35">
        <v>5.3</v>
      </c>
      <c r="G6667" s="35">
        <v>29.211764248019669</v>
      </c>
      <c r="H6667" s="35">
        <v>-11.644903963786245</v>
      </c>
      <c r="I6667" s="35">
        <v>-4.3207240789489218E-2</v>
      </c>
      <c r="J6667" s="35">
        <v>2.2447968103600857E-4</v>
      </c>
      <c r="K6667" s="35">
        <v>7.0588815075977196E-2</v>
      </c>
      <c r="L6667" s="35">
        <v>28.716412632440012</v>
      </c>
      <c r="M6667" s="58" t="s">
        <v>24</v>
      </c>
      <c r="N6667" s="7">
        <v>11.333333333333334</v>
      </c>
      <c r="O6667" s="7" t="s">
        <v>178</v>
      </c>
      <c r="P6667" s="7" t="s">
        <v>178</v>
      </c>
    </row>
    <row r="6668" spans="1:16" x14ac:dyDescent="0.25">
      <c r="A6668" t="s">
        <v>183</v>
      </c>
      <c r="B6668" t="s">
        <v>234</v>
      </c>
      <c r="C6668" s="7" t="s">
        <v>175</v>
      </c>
      <c r="D6668" t="s">
        <v>115</v>
      </c>
      <c r="F6668" s="35">
        <v>5.5393224575487361</v>
      </c>
      <c r="G6668" s="35">
        <v>29.342509696415402</v>
      </c>
      <c r="H6668" s="35">
        <v>-10.342223962856966</v>
      </c>
      <c r="I6668" s="35">
        <v>-4.3207240789489218E-2</v>
      </c>
      <c r="J6668" s="35">
        <v>2.2447968103600857E-4</v>
      </c>
      <c r="K6668" s="35">
        <v>8.0929278125617732E-2</v>
      </c>
      <c r="L6668" s="35">
        <v>31.347419377361362</v>
      </c>
      <c r="M6668" s="58" t="s">
        <v>24</v>
      </c>
      <c r="N6668" s="7">
        <v>11.333333333333334</v>
      </c>
      <c r="O6668" s="7" t="s">
        <v>178</v>
      </c>
      <c r="P6668" s="7" t="s">
        <v>178</v>
      </c>
    </row>
    <row r="6669" spans="1:16" x14ac:dyDescent="0.25">
      <c r="A6669" t="s">
        <v>183</v>
      </c>
      <c r="B6669" t="s">
        <v>234</v>
      </c>
      <c r="C6669" s="7" t="s">
        <v>175</v>
      </c>
      <c r="D6669" t="s">
        <v>115</v>
      </c>
      <c r="F6669" s="35">
        <v>11.078644915097472</v>
      </c>
      <c r="G6669" s="35">
        <v>32.368724644811138</v>
      </c>
      <c r="H6669" s="35">
        <v>19.809416038072317</v>
      </c>
      <c r="I6669" s="35">
        <v>-4.3207240789489218E-2</v>
      </c>
      <c r="J6669" s="35">
        <v>2.2447968103600857E-4</v>
      </c>
      <c r="K6669" s="35">
        <v>0.32026811735955119</v>
      </c>
      <c r="L6669" s="35">
        <v>5.1265045412774493</v>
      </c>
      <c r="M6669" s="58" t="s">
        <v>23</v>
      </c>
      <c r="N6669" s="7">
        <v>11.333333333333334</v>
      </c>
      <c r="O6669" s="7" t="s">
        <v>178</v>
      </c>
      <c r="P6669" s="7" t="s">
        <v>178</v>
      </c>
    </row>
    <row r="6670" spans="1:16" x14ac:dyDescent="0.25">
      <c r="A6670" t="s">
        <v>183</v>
      </c>
      <c r="B6670" t="s">
        <v>234</v>
      </c>
      <c r="C6670" s="7" t="s">
        <v>175</v>
      </c>
      <c r="D6670" t="s">
        <v>116</v>
      </c>
      <c r="F6670" s="35">
        <v>0</v>
      </c>
      <c r="G6670" s="35">
        <v>-2.7066134337614671</v>
      </c>
      <c r="H6670" s="35">
        <v>38.562730899873436</v>
      </c>
      <c r="I6670" s="35">
        <v>1.0922963362752438</v>
      </c>
      <c r="J6670" s="35">
        <v>-7.2079659959672947E-4</v>
      </c>
      <c r="K6670" s="35">
        <v>6.5228503292034743</v>
      </c>
      <c r="L6670" s="35">
        <v>77.172003906984159</v>
      </c>
      <c r="M6670" s="58" t="s">
        <v>22</v>
      </c>
      <c r="N6670" s="7">
        <v>11.333333333333334</v>
      </c>
      <c r="O6670" s="7" t="s">
        <v>178</v>
      </c>
      <c r="P6670" s="7" t="s">
        <v>178</v>
      </c>
    </row>
    <row r="6671" spans="1:16" x14ac:dyDescent="0.25">
      <c r="A6671" t="s">
        <v>183</v>
      </c>
      <c r="B6671" t="s">
        <v>234</v>
      </c>
      <c r="C6671" s="7" t="s">
        <v>175</v>
      </c>
      <c r="D6671" t="s">
        <v>116</v>
      </c>
      <c r="F6671" s="35">
        <v>0.29999999999999988</v>
      </c>
      <c r="G6671" s="35">
        <v>-2.5427189337614684</v>
      </c>
      <c r="H6671" s="35">
        <v>36.776680899873433</v>
      </c>
      <c r="I6671" s="35">
        <v>1.0922963362752438</v>
      </c>
      <c r="J6671" s="35">
        <v>-7.2079659959672947E-4</v>
      </c>
      <c r="K6671" s="35">
        <v>6.195161428320902</v>
      </c>
      <c r="L6671" s="35">
        <v>65.871092137022131</v>
      </c>
      <c r="M6671" s="58" t="s">
        <v>22</v>
      </c>
      <c r="N6671" s="7">
        <v>11.333333333333334</v>
      </c>
      <c r="O6671" s="7" t="s">
        <v>178</v>
      </c>
      <c r="P6671" s="7" t="s">
        <v>178</v>
      </c>
    </row>
    <row r="6672" spans="1:16" x14ac:dyDescent="0.25">
      <c r="A6672" t="s">
        <v>183</v>
      </c>
      <c r="B6672" t="s">
        <v>234</v>
      </c>
      <c r="C6672" s="7" t="s">
        <v>175</v>
      </c>
      <c r="D6672" t="s">
        <v>116</v>
      </c>
      <c r="F6672" s="35">
        <v>0.29999999999999988</v>
      </c>
      <c r="G6672" s="35">
        <v>79.482630724070901</v>
      </c>
      <c r="H6672" s="35">
        <v>31.902134166434227</v>
      </c>
      <c r="I6672" s="35">
        <v>1.0922963362752709</v>
      </c>
      <c r="J6672" s="35">
        <v>-7.8197656923491559E-4</v>
      </c>
      <c r="K6672" s="35">
        <v>6.1951577575227246</v>
      </c>
      <c r="L6672" s="35">
        <v>65.871092137022131</v>
      </c>
      <c r="M6672" s="58" t="s">
        <v>22</v>
      </c>
      <c r="N6672" s="7">
        <v>11.333333333333334</v>
      </c>
      <c r="O6672" s="7" t="s">
        <v>178</v>
      </c>
      <c r="P6672" s="7" t="s">
        <v>178</v>
      </c>
    </row>
    <row r="6673" spans="1:16" x14ac:dyDescent="0.25">
      <c r="A6673" t="s">
        <v>183</v>
      </c>
      <c r="B6673" t="s">
        <v>234</v>
      </c>
      <c r="C6673" s="7" t="s">
        <v>175</v>
      </c>
      <c r="D6673" t="s">
        <v>116</v>
      </c>
      <c r="F6673" s="35">
        <v>5.3</v>
      </c>
      <c r="G6673" s="35">
        <v>82.214205724070908</v>
      </c>
      <c r="H6673" s="35">
        <v>2.1346341664342199</v>
      </c>
      <c r="I6673" s="35">
        <v>1.0922963362752709</v>
      </c>
      <c r="J6673" s="35">
        <v>-7.8197656923491559E-4</v>
      </c>
      <c r="K6673" s="35">
        <v>0.73367607614637043</v>
      </c>
      <c r="L6673" s="35">
        <v>-19.220828695148985</v>
      </c>
      <c r="M6673" s="58" t="s">
        <v>24</v>
      </c>
      <c r="N6673" s="7">
        <v>11.333333333333334</v>
      </c>
      <c r="O6673" s="7" t="s">
        <v>178</v>
      </c>
      <c r="P6673" s="7" t="s">
        <v>178</v>
      </c>
    </row>
    <row r="6674" spans="1:16" x14ac:dyDescent="0.25">
      <c r="A6674" t="s">
        <v>183</v>
      </c>
      <c r="B6674" t="s">
        <v>234</v>
      </c>
      <c r="C6674" s="7" t="s">
        <v>175</v>
      </c>
      <c r="D6674" t="s">
        <v>116</v>
      </c>
      <c r="F6674" s="35">
        <v>5.3</v>
      </c>
      <c r="G6674" s="35">
        <v>8.8174437852551115</v>
      </c>
      <c r="H6674" s="35">
        <v>14.790072524323987</v>
      </c>
      <c r="I6674" s="35">
        <v>1.0922259324689989</v>
      </c>
      <c r="J6674" s="35">
        <v>-6.5064903523964724E-4</v>
      </c>
      <c r="K6674" s="35">
        <v>0.7338161211883848</v>
      </c>
      <c r="L6674" s="35">
        <v>-19.22082869514896</v>
      </c>
      <c r="M6674" s="58" t="s">
        <v>24</v>
      </c>
      <c r="N6674" s="7">
        <v>11.333333333333334</v>
      </c>
      <c r="O6674" s="7" t="s">
        <v>178</v>
      </c>
      <c r="P6674" s="7" t="s">
        <v>178</v>
      </c>
    </row>
    <row r="6675" spans="1:16" x14ac:dyDescent="0.25">
      <c r="A6675" t="s">
        <v>183</v>
      </c>
      <c r="B6675" t="s">
        <v>234</v>
      </c>
      <c r="C6675" s="7" t="s">
        <v>175</v>
      </c>
      <c r="D6675" t="s">
        <v>116</v>
      </c>
      <c r="F6675" s="35">
        <v>5.5393224575487361</v>
      </c>
      <c r="G6675" s="35">
        <v>8.9481892336508437</v>
      </c>
      <c r="H6675" s="35">
        <v>13.365266273307586</v>
      </c>
      <c r="I6675" s="35">
        <v>1.0922259324689989</v>
      </c>
      <c r="J6675" s="35">
        <v>-6.5064903523964724E-4</v>
      </c>
      <c r="K6675" s="35">
        <v>0.47242192683144413</v>
      </c>
      <c r="L6675" s="35">
        <v>-22.589931132232191</v>
      </c>
      <c r="M6675" s="58" t="s">
        <v>24</v>
      </c>
      <c r="N6675" s="7">
        <v>11.333333333333334</v>
      </c>
      <c r="O6675" s="7" t="s">
        <v>178</v>
      </c>
      <c r="P6675" s="7" t="s">
        <v>178</v>
      </c>
    </row>
    <row r="6676" spans="1:16" x14ac:dyDescent="0.25">
      <c r="A6676" t="s">
        <v>183</v>
      </c>
      <c r="B6676" t="s">
        <v>234</v>
      </c>
      <c r="C6676" s="7" t="s">
        <v>175</v>
      </c>
      <c r="D6676" t="s">
        <v>116</v>
      </c>
      <c r="F6676" s="35">
        <v>11.078644915097472</v>
      </c>
      <c r="G6676" s="35">
        <v>11.974404182046584</v>
      </c>
      <c r="H6676" s="35">
        <v>-19.613089977708821</v>
      </c>
      <c r="I6676" s="35">
        <v>1.0922259324689989</v>
      </c>
      <c r="J6676" s="35">
        <v>-6.5064903523964724E-4</v>
      </c>
      <c r="K6676" s="35">
        <v>-5.5777697096111902</v>
      </c>
      <c r="L6676" s="35">
        <v>-5.2855760539346379</v>
      </c>
      <c r="M6676" s="58" t="s">
        <v>23</v>
      </c>
      <c r="N6676" s="7">
        <v>11.333333333333334</v>
      </c>
      <c r="O6676" s="7" t="s">
        <v>178</v>
      </c>
      <c r="P6676" s="7" t="s">
        <v>178</v>
      </c>
    </row>
    <row r="6677" spans="1:16" x14ac:dyDescent="0.25">
      <c r="A6677" t="s">
        <v>183</v>
      </c>
      <c r="B6677" t="s">
        <v>234</v>
      </c>
      <c r="C6677" s="7" t="s">
        <v>175</v>
      </c>
      <c r="D6677" t="s">
        <v>117</v>
      </c>
      <c r="F6677" s="35">
        <v>0</v>
      </c>
      <c r="G6677" s="35">
        <v>-22.308917467534052</v>
      </c>
      <c r="H6677" s="35">
        <v>23.825159617012929</v>
      </c>
      <c r="I6677" s="35">
        <v>2.5026095349682853</v>
      </c>
      <c r="J6677" s="35">
        <v>-8.7431399703643002E-4</v>
      </c>
      <c r="K6677" s="35">
        <v>14.867550926685428</v>
      </c>
      <c r="L6677" s="35">
        <v>48.034961961155638</v>
      </c>
      <c r="M6677" s="58" t="s">
        <v>22</v>
      </c>
      <c r="N6677" s="7">
        <v>11.333333333333334</v>
      </c>
      <c r="O6677" s="7" t="s">
        <v>178</v>
      </c>
      <c r="P6677" s="7" t="s">
        <v>178</v>
      </c>
    </row>
    <row r="6678" spans="1:16" x14ac:dyDescent="0.25">
      <c r="A6678" t="s">
        <v>183</v>
      </c>
      <c r="B6678" t="s">
        <v>234</v>
      </c>
      <c r="C6678" s="7" t="s">
        <v>175</v>
      </c>
      <c r="D6678" t="s">
        <v>117</v>
      </c>
      <c r="F6678" s="35">
        <v>0.29999999999999988</v>
      </c>
      <c r="G6678" s="35">
        <v>-22.14502296753405</v>
      </c>
      <c r="H6678" s="35">
        <v>22.75352961701293</v>
      </c>
      <c r="I6678" s="35">
        <v>2.5026095349682853</v>
      </c>
      <c r="J6678" s="35">
        <v>-8.7431399703643002E-4</v>
      </c>
      <c r="K6678" s="35">
        <v>14.116768066194942</v>
      </c>
      <c r="L6678" s="35">
        <v>41.048158576051762</v>
      </c>
      <c r="M6678" s="58" t="s">
        <v>22</v>
      </c>
      <c r="N6678" s="7">
        <v>11.333333333333334</v>
      </c>
      <c r="O6678" s="7" t="s">
        <v>178</v>
      </c>
      <c r="P6678" s="7" t="s">
        <v>178</v>
      </c>
    </row>
    <row r="6679" spans="1:16" x14ac:dyDescent="0.25">
      <c r="A6679" t="s">
        <v>183</v>
      </c>
      <c r="B6679" t="s">
        <v>234</v>
      </c>
      <c r="C6679" s="7" t="s">
        <v>175</v>
      </c>
      <c r="D6679" t="s">
        <v>117</v>
      </c>
      <c r="F6679" s="35">
        <v>0.29999999999999988</v>
      </c>
      <c r="G6679" s="35">
        <v>30.239690941314418</v>
      </c>
      <c r="H6679" s="35">
        <v>19.657421028512736</v>
      </c>
      <c r="I6679" s="35">
        <v>2.5026095349682973</v>
      </c>
      <c r="J6679" s="35">
        <v>-8.5900503133163057E-4</v>
      </c>
      <c r="K6679" s="35">
        <v>14.116768984732902</v>
      </c>
      <c r="L6679" s="35">
        <v>41.04815857605179</v>
      </c>
      <c r="M6679" s="58" t="s">
        <v>22</v>
      </c>
      <c r="N6679" s="7">
        <v>11.333333333333334</v>
      </c>
      <c r="O6679" s="7" t="s">
        <v>178</v>
      </c>
      <c r="P6679" s="7" t="s">
        <v>178</v>
      </c>
    </row>
    <row r="6680" spans="1:16" x14ac:dyDescent="0.25">
      <c r="A6680" t="s">
        <v>183</v>
      </c>
      <c r="B6680" t="s">
        <v>234</v>
      </c>
      <c r="C6680" s="7" t="s">
        <v>175</v>
      </c>
      <c r="D6680" t="s">
        <v>117</v>
      </c>
      <c r="F6680" s="35">
        <v>5.3</v>
      </c>
      <c r="G6680" s="35">
        <v>32.971265941314421</v>
      </c>
      <c r="H6680" s="35">
        <v>1.7969210285127359</v>
      </c>
      <c r="I6680" s="35">
        <v>2.5026095349682973</v>
      </c>
      <c r="J6680" s="35">
        <v>-8.5900503133163057E-4</v>
      </c>
      <c r="K6680" s="35">
        <v>1.6037213098914165</v>
      </c>
      <c r="L6680" s="35">
        <v>-12.587696566511886</v>
      </c>
      <c r="M6680" s="58" t="s">
        <v>24</v>
      </c>
      <c r="N6680" s="7">
        <v>11.333333333333334</v>
      </c>
      <c r="O6680" s="7" t="s">
        <v>178</v>
      </c>
      <c r="P6680" s="7" t="s">
        <v>178</v>
      </c>
    </row>
    <row r="6681" spans="1:16" x14ac:dyDescent="0.25">
      <c r="A6681" t="s">
        <v>183</v>
      </c>
      <c r="B6681" t="s">
        <v>234</v>
      </c>
      <c r="C6681" s="7" t="s">
        <v>175</v>
      </c>
      <c r="D6681" t="s">
        <v>117</v>
      </c>
      <c r="F6681" s="35">
        <v>5.3</v>
      </c>
      <c r="G6681" s="35">
        <v>-12.95253573139364</v>
      </c>
      <c r="H6681" s="35">
        <v>8.7054951528546809</v>
      </c>
      <c r="I6681" s="35">
        <v>2.502454521105431</v>
      </c>
      <c r="J6681" s="35">
        <v>-5.7134330938330531E-4</v>
      </c>
      <c r="K6681" s="35">
        <v>1.6036036269095753</v>
      </c>
      <c r="L6681" s="35">
        <v>-12.587696566511902</v>
      </c>
      <c r="M6681" s="58" t="s">
        <v>24</v>
      </c>
      <c r="N6681" s="7">
        <v>11.333333333333334</v>
      </c>
      <c r="O6681" s="7" t="s">
        <v>178</v>
      </c>
      <c r="P6681" s="7" t="s">
        <v>178</v>
      </c>
    </row>
    <row r="6682" spans="1:16" x14ac:dyDescent="0.25">
      <c r="A6682" t="s">
        <v>183</v>
      </c>
      <c r="B6682" t="s">
        <v>234</v>
      </c>
      <c r="C6682" s="7" t="s">
        <v>175</v>
      </c>
      <c r="D6682" t="s">
        <v>117</v>
      </c>
      <c r="F6682" s="35">
        <v>5.5393224575487361</v>
      </c>
      <c r="G6682" s="35">
        <v>-12.821790282997906</v>
      </c>
      <c r="H6682" s="35">
        <v>7.8506114022448417</v>
      </c>
      <c r="I6682" s="35">
        <v>2.502454521105431</v>
      </c>
      <c r="J6682" s="35">
        <v>-5.7134330938330531E-4</v>
      </c>
      <c r="K6682" s="35">
        <v>1.0047100610146777</v>
      </c>
      <c r="L6682" s="35">
        <v>-14.568820620614479</v>
      </c>
      <c r="M6682" s="58" t="s">
        <v>24</v>
      </c>
      <c r="N6682" s="7">
        <v>11.333333333333334</v>
      </c>
      <c r="O6682" s="7" t="s">
        <v>178</v>
      </c>
      <c r="P6682" s="7" t="s">
        <v>178</v>
      </c>
    </row>
    <row r="6683" spans="1:16" x14ac:dyDescent="0.25">
      <c r="A6683" t="s">
        <v>183</v>
      </c>
      <c r="B6683" t="s">
        <v>234</v>
      </c>
      <c r="C6683" s="7" t="s">
        <v>175</v>
      </c>
      <c r="D6683" t="s">
        <v>117</v>
      </c>
      <c r="F6683" s="35">
        <v>11.078644915097472</v>
      </c>
      <c r="G6683" s="35">
        <v>-9.7955753346021659</v>
      </c>
      <c r="H6683" s="35">
        <v>-11.936402348365002</v>
      </c>
      <c r="I6683" s="35">
        <v>2.502454521105431</v>
      </c>
      <c r="J6683" s="35">
        <v>-5.7134330938330531E-4</v>
      </c>
      <c r="K6683" s="35">
        <v>-12.857192466739003</v>
      </c>
      <c r="L6683" s="35">
        <v>-3.2525638482681294</v>
      </c>
      <c r="M6683" s="58" t="s">
        <v>23</v>
      </c>
      <c r="N6683" s="7">
        <v>11.333333333333334</v>
      </c>
      <c r="O6683" s="7" t="s">
        <v>178</v>
      </c>
      <c r="P6683" s="7" t="s">
        <v>178</v>
      </c>
    </row>
    <row r="6684" spans="1:16" x14ac:dyDescent="0.25">
      <c r="A6684" t="s">
        <v>183</v>
      </c>
      <c r="B6684" t="s">
        <v>234</v>
      </c>
      <c r="C6684" s="7" t="s">
        <v>175</v>
      </c>
      <c r="D6684" t="s">
        <v>118</v>
      </c>
      <c r="F6684" s="35">
        <v>0</v>
      </c>
      <c r="G6684" s="35">
        <v>-4.5288275037364469</v>
      </c>
      <c r="H6684" s="35">
        <v>38.697493341816774</v>
      </c>
      <c r="I6684" s="35">
        <v>-1.1290050116029502</v>
      </c>
      <c r="J6684" s="35">
        <v>-1.4058797750839476E-3</v>
      </c>
      <c r="K6684" s="35">
        <v>-6.599073618793617</v>
      </c>
      <c r="L6684" s="35">
        <v>77.508578677898626</v>
      </c>
      <c r="M6684" s="58" t="s">
        <v>22</v>
      </c>
      <c r="N6684" s="7">
        <v>11.333333333333334</v>
      </c>
      <c r="O6684" s="7" t="s">
        <v>178</v>
      </c>
      <c r="P6684" s="7" t="s">
        <v>178</v>
      </c>
    </row>
    <row r="6685" spans="1:16" x14ac:dyDescent="0.25">
      <c r="A6685" t="s">
        <v>183</v>
      </c>
      <c r="B6685" t="s">
        <v>234</v>
      </c>
      <c r="C6685" s="7" t="s">
        <v>175</v>
      </c>
      <c r="D6685" t="s">
        <v>118</v>
      </c>
      <c r="F6685" s="35">
        <v>0.29999999999999988</v>
      </c>
      <c r="G6685" s="35">
        <v>-4.3649330037364482</v>
      </c>
      <c r="H6685" s="35">
        <v>36.911443341816771</v>
      </c>
      <c r="I6685" s="35">
        <v>-1.1290050116029502</v>
      </c>
      <c r="J6685" s="35">
        <v>-1.4058797750839476E-3</v>
      </c>
      <c r="K6685" s="35">
        <v>-6.2603721153127312</v>
      </c>
      <c r="L6685" s="35">
        <v>66.167238175353603</v>
      </c>
      <c r="M6685" s="58" t="s">
        <v>22</v>
      </c>
      <c r="N6685" s="7">
        <v>11.333333333333334</v>
      </c>
      <c r="O6685" s="7" t="s">
        <v>178</v>
      </c>
      <c r="P6685" s="7" t="s">
        <v>178</v>
      </c>
    </row>
    <row r="6686" spans="1:16" x14ac:dyDescent="0.25">
      <c r="A6686" t="s">
        <v>183</v>
      </c>
      <c r="B6686" t="s">
        <v>234</v>
      </c>
      <c r="C6686" s="7" t="s">
        <v>175</v>
      </c>
      <c r="D6686" t="s">
        <v>118</v>
      </c>
      <c r="F6686" s="35">
        <v>0.29999999999999988</v>
      </c>
      <c r="G6686" s="35">
        <v>78.321866901398451</v>
      </c>
      <c r="H6686" s="35">
        <v>31.997209593539377</v>
      </c>
      <c r="I6686" s="35">
        <v>-1.1290050116029591</v>
      </c>
      <c r="J6686" s="35">
        <v>-6.6317906356934831E-4</v>
      </c>
      <c r="K6686" s="35">
        <v>-6.260327553270046</v>
      </c>
      <c r="L6686" s="35">
        <v>66.167238175353603</v>
      </c>
      <c r="M6686" s="58" t="s">
        <v>22</v>
      </c>
      <c r="N6686" s="7">
        <v>11.333333333333334</v>
      </c>
      <c r="O6686" s="7" t="s">
        <v>178</v>
      </c>
      <c r="P6686" s="7" t="s">
        <v>178</v>
      </c>
    </row>
    <row r="6687" spans="1:16" x14ac:dyDescent="0.25">
      <c r="A6687" t="s">
        <v>183</v>
      </c>
      <c r="B6687" t="s">
        <v>234</v>
      </c>
      <c r="C6687" s="7" t="s">
        <v>175</v>
      </c>
      <c r="D6687" t="s">
        <v>118</v>
      </c>
      <c r="F6687" s="35">
        <v>5.3</v>
      </c>
      <c r="G6687" s="35">
        <v>81.053441901398458</v>
      </c>
      <c r="H6687" s="35">
        <v>2.229709593539372</v>
      </c>
      <c r="I6687" s="35">
        <v>-1.1290050116029591</v>
      </c>
      <c r="J6687" s="35">
        <v>-6.6317906356934831E-4</v>
      </c>
      <c r="K6687" s="35">
        <v>-0.61530249525524949</v>
      </c>
      <c r="L6687" s="35">
        <v>-19.400059792343264</v>
      </c>
      <c r="M6687" s="58" t="s">
        <v>24</v>
      </c>
      <c r="N6687" s="7">
        <v>11.333333333333334</v>
      </c>
      <c r="O6687" s="7" t="s">
        <v>178</v>
      </c>
      <c r="P6687" s="7" t="s">
        <v>178</v>
      </c>
    </row>
    <row r="6688" spans="1:16" x14ac:dyDescent="0.25">
      <c r="A6688" t="s">
        <v>183</v>
      </c>
      <c r="B6688" t="s">
        <v>234</v>
      </c>
      <c r="C6688" s="7" t="s">
        <v>175</v>
      </c>
      <c r="D6688" t="s">
        <v>118</v>
      </c>
      <c r="F6688" s="35">
        <v>5.3</v>
      </c>
      <c r="G6688" s="35">
        <v>7.1131809779405</v>
      </c>
      <c r="H6688" s="35">
        <v>14.760371585763343</v>
      </c>
      <c r="I6688" s="35">
        <v>-1.1291521949510566</v>
      </c>
      <c r="J6688" s="35">
        <v>-7.1608721535742874E-4</v>
      </c>
      <c r="K6688" s="35">
        <v>-0.61605291016306096</v>
      </c>
      <c r="L6688" s="35">
        <v>-19.400059792343253</v>
      </c>
      <c r="M6688" s="58" t="s">
        <v>24</v>
      </c>
      <c r="N6688" s="7">
        <v>11.333333333333334</v>
      </c>
      <c r="O6688" s="7" t="s">
        <v>178</v>
      </c>
      <c r="P6688" s="7" t="s">
        <v>178</v>
      </c>
    </row>
    <row r="6689" spans="1:16" x14ac:dyDescent="0.25">
      <c r="A6689" t="s">
        <v>183</v>
      </c>
      <c r="B6689" t="s">
        <v>234</v>
      </c>
      <c r="C6689" s="7" t="s">
        <v>175</v>
      </c>
      <c r="D6689" t="s">
        <v>118</v>
      </c>
      <c r="F6689" s="35">
        <v>5.5393224575487361</v>
      </c>
      <c r="G6689" s="35">
        <v>7.2439264263362331</v>
      </c>
      <c r="H6689" s="35">
        <v>13.335565334746942</v>
      </c>
      <c r="I6689" s="35">
        <v>-1.1291521949510566</v>
      </c>
      <c r="J6689" s="35">
        <v>-7.1608721535742874E-4</v>
      </c>
      <c r="K6689" s="35">
        <v>-0.34582143192082448</v>
      </c>
      <c r="L6689" s="35">
        <v>-22.762054127818647</v>
      </c>
      <c r="M6689" s="58" t="s">
        <v>24</v>
      </c>
      <c r="N6689" s="7">
        <v>11.333333333333334</v>
      </c>
      <c r="O6689" s="7" t="s">
        <v>178</v>
      </c>
      <c r="P6689" s="7" t="s">
        <v>178</v>
      </c>
    </row>
    <row r="6690" spans="1:16" x14ac:dyDescent="0.25">
      <c r="A6690" t="s">
        <v>183</v>
      </c>
      <c r="B6690" t="s">
        <v>234</v>
      </c>
      <c r="C6690" s="7" t="s">
        <v>175</v>
      </c>
      <c r="D6690" t="s">
        <v>118</v>
      </c>
      <c r="F6690" s="35">
        <v>11.078644915097472</v>
      </c>
      <c r="G6690" s="35">
        <v>10.270141374731972</v>
      </c>
      <c r="H6690" s="35">
        <v>-19.642790916269462</v>
      </c>
      <c r="I6690" s="35">
        <v>-1.1291521949510566</v>
      </c>
      <c r="J6690" s="35">
        <v>-7.1608721535742874E-4</v>
      </c>
      <c r="K6690" s="35">
        <v>5.9089166795620125</v>
      </c>
      <c r="L6690" s="35">
        <v>-5.2931759735418416</v>
      </c>
      <c r="M6690" s="58" t="s">
        <v>23</v>
      </c>
      <c r="N6690" s="7">
        <v>11.333333333333334</v>
      </c>
      <c r="O6690" s="7" t="s">
        <v>178</v>
      </c>
      <c r="P6690" s="7" t="s">
        <v>178</v>
      </c>
    </row>
    <row r="6691" spans="1:16" x14ac:dyDescent="0.25">
      <c r="A6691" t="s">
        <v>183</v>
      </c>
      <c r="B6691" t="s">
        <v>234</v>
      </c>
      <c r="C6691" s="7" t="s">
        <v>175</v>
      </c>
      <c r="D6691" t="s">
        <v>119</v>
      </c>
      <c r="F6691" s="35">
        <v>0</v>
      </c>
      <c r="G6691" s="35">
        <v>-48.086295846028243</v>
      </c>
      <c r="H6691" s="35">
        <v>24.633394751921038</v>
      </c>
      <c r="I6691" s="35">
        <v>-2.3719706478538582</v>
      </c>
      <c r="J6691" s="35">
        <v>-8.4896496347259176E-4</v>
      </c>
      <c r="K6691" s="35">
        <v>-14.288060475104905</v>
      </c>
      <c r="L6691" s="35">
        <v>49.991141607880685</v>
      </c>
      <c r="M6691" s="58" t="s">
        <v>22</v>
      </c>
      <c r="N6691" s="7">
        <v>11.333333333333334</v>
      </c>
      <c r="O6691" s="7" t="s">
        <v>178</v>
      </c>
      <c r="P6691" s="7" t="s">
        <v>178</v>
      </c>
    </row>
    <row r="6692" spans="1:16" x14ac:dyDescent="0.25">
      <c r="A6692" t="s">
        <v>183</v>
      </c>
      <c r="B6692" t="s">
        <v>234</v>
      </c>
      <c r="C6692" s="7" t="s">
        <v>175</v>
      </c>
      <c r="D6692" t="s">
        <v>119</v>
      </c>
      <c r="F6692" s="35">
        <v>0.29999999999999988</v>
      </c>
      <c r="G6692" s="35">
        <v>-47.922401346028245</v>
      </c>
      <c r="H6692" s="35">
        <v>23.561764751921036</v>
      </c>
      <c r="I6692" s="35">
        <v>-2.3719706478538582</v>
      </c>
      <c r="J6692" s="35">
        <v>-8.4896496347259176E-4</v>
      </c>
      <c r="K6692" s="35">
        <v>-13.576469280748748</v>
      </c>
      <c r="L6692" s="35">
        <v>42.76186768230437</v>
      </c>
      <c r="M6692" s="58" t="s">
        <v>22</v>
      </c>
      <c r="N6692" s="7">
        <v>11.333333333333334</v>
      </c>
      <c r="O6692" s="7" t="s">
        <v>178</v>
      </c>
      <c r="P6692" s="7" t="s">
        <v>178</v>
      </c>
    </row>
    <row r="6693" spans="1:16" x14ac:dyDescent="0.25">
      <c r="A6693" t="s">
        <v>183</v>
      </c>
      <c r="B6693" t="s">
        <v>234</v>
      </c>
      <c r="C6693" s="7" t="s">
        <v>175</v>
      </c>
      <c r="D6693" t="s">
        <v>119</v>
      </c>
      <c r="F6693" s="35">
        <v>0.29999999999999988</v>
      </c>
      <c r="G6693" s="35">
        <v>7.4788663759202416</v>
      </c>
      <c r="H6693" s="35">
        <v>20.284662934634841</v>
      </c>
      <c r="I6693" s="35">
        <v>-2.3719706478539044</v>
      </c>
      <c r="J6693" s="35">
        <v>-5.4447868631843453E-4</v>
      </c>
      <c r="K6693" s="35">
        <v>-13.576451011572122</v>
      </c>
      <c r="L6693" s="35">
        <v>42.761867682304377</v>
      </c>
      <c r="M6693" s="58" t="s">
        <v>22</v>
      </c>
      <c r="N6693" s="7">
        <v>11.333333333333334</v>
      </c>
      <c r="O6693" s="7" t="s">
        <v>178</v>
      </c>
      <c r="P6693" s="7" t="s">
        <v>178</v>
      </c>
    </row>
    <row r="6694" spans="1:16" x14ac:dyDescent="0.25">
      <c r="A6694" t="s">
        <v>183</v>
      </c>
      <c r="B6694" t="s">
        <v>234</v>
      </c>
      <c r="C6694" s="7" t="s">
        <v>175</v>
      </c>
      <c r="D6694" t="s">
        <v>119</v>
      </c>
      <c r="F6694" s="35">
        <v>5.3</v>
      </c>
      <c r="G6694" s="35">
        <v>10.210441375920245</v>
      </c>
      <c r="H6694" s="35">
        <v>2.4241629346348383</v>
      </c>
      <c r="I6694" s="35">
        <v>-2.3719706478539044</v>
      </c>
      <c r="J6694" s="35">
        <v>-5.4447868631843453E-4</v>
      </c>
      <c r="K6694" s="35">
        <v>-1.7165977723025987</v>
      </c>
      <c r="L6694" s="35">
        <v>-14.010196990869808</v>
      </c>
      <c r="M6694" s="58" t="s">
        <v>24</v>
      </c>
      <c r="N6694" s="7">
        <v>11.333333333333334</v>
      </c>
      <c r="O6694" s="7" t="s">
        <v>178</v>
      </c>
      <c r="P6694" s="7" t="s">
        <v>178</v>
      </c>
    </row>
    <row r="6695" spans="1:16" x14ac:dyDescent="0.25">
      <c r="A6695" t="s">
        <v>183</v>
      </c>
      <c r="B6695" t="s">
        <v>234</v>
      </c>
      <c r="C6695" s="7" t="s">
        <v>175</v>
      </c>
      <c r="D6695" t="s">
        <v>119</v>
      </c>
      <c r="F6695" s="35">
        <v>5.3</v>
      </c>
      <c r="G6695" s="35">
        <v>-38.455808039193357</v>
      </c>
      <c r="H6695" s="35">
        <v>8.4697301497332909</v>
      </c>
      <c r="I6695" s="35">
        <v>-2.3718355342414874</v>
      </c>
      <c r="J6695" s="35">
        <v>-8.5595639843919706E-4</v>
      </c>
      <c r="K6695" s="35">
        <v>-1.7172154692666701</v>
      </c>
      <c r="L6695" s="35">
        <v>-14.01019699086981</v>
      </c>
      <c r="M6695" s="58" t="s">
        <v>24</v>
      </c>
      <c r="N6695" s="7">
        <v>11.333333333333334</v>
      </c>
      <c r="O6695" s="7" t="s">
        <v>178</v>
      </c>
      <c r="P6695" s="7" t="s">
        <v>178</v>
      </c>
    </row>
    <row r="6696" spans="1:16" x14ac:dyDescent="0.25">
      <c r="A6696" t="s">
        <v>183</v>
      </c>
      <c r="B6696" t="s">
        <v>234</v>
      </c>
      <c r="C6696" s="7" t="s">
        <v>175</v>
      </c>
      <c r="D6696" t="s">
        <v>119</v>
      </c>
      <c r="F6696" s="35">
        <v>5.5393224575487361</v>
      </c>
      <c r="G6696" s="35">
        <v>-38.325062590797614</v>
      </c>
      <c r="H6696" s="35">
        <v>7.6148463991234498</v>
      </c>
      <c r="I6696" s="35">
        <v>-2.3718355342414874</v>
      </c>
      <c r="J6696" s="35">
        <v>-8.5595639843919706E-4</v>
      </c>
      <c r="K6696" s="35">
        <v>-1.1495819603105779</v>
      </c>
      <c r="L6696" s="35">
        <v>-15.93489718502139</v>
      </c>
      <c r="M6696" s="58" t="s">
        <v>24</v>
      </c>
      <c r="N6696" s="7">
        <v>11.333333333333334</v>
      </c>
      <c r="O6696" s="7" t="s">
        <v>178</v>
      </c>
      <c r="P6696" s="7" t="s">
        <v>178</v>
      </c>
    </row>
    <row r="6697" spans="1:16" x14ac:dyDescent="0.25">
      <c r="A6697" t="s">
        <v>183</v>
      </c>
      <c r="B6697" t="s">
        <v>234</v>
      </c>
      <c r="C6697" s="7" t="s">
        <v>175</v>
      </c>
      <c r="D6697" t="s">
        <v>119</v>
      </c>
      <c r="F6697" s="35">
        <v>11.078644915097472</v>
      </c>
      <c r="G6697" s="35">
        <v>-35.298847642401881</v>
      </c>
      <c r="H6697" s="35">
        <v>-12.172167351486394</v>
      </c>
      <c r="I6697" s="35">
        <v>-2.3718355342414874</v>
      </c>
      <c r="J6697" s="35">
        <v>-8.5595639843919706E-4</v>
      </c>
      <c r="K6697" s="35">
        <v>11.988779880125399</v>
      </c>
      <c r="L6697" s="35">
        <v>-3.3126620361806682</v>
      </c>
      <c r="M6697" s="58" t="s">
        <v>23</v>
      </c>
      <c r="N6697" s="7">
        <v>11.333333333333334</v>
      </c>
      <c r="O6697" s="7" t="s">
        <v>178</v>
      </c>
      <c r="P6697" s="7" t="s">
        <v>178</v>
      </c>
    </row>
    <row r="6698" spans="1:16" x14ac:dyDescent="0.25">
      <c r="A6698" t="s">
        <v>183</v>
      </c>
      <c r="B6698" t="s">
        <v>234</v>
      </c>
      <c r="C6698" s="7" t="s">
        <v>175</v>
      </c>
      <c r="D6698" t="s">
        <v>120</v>
      </c>
      <c r="F6698" s="35">
        <v>0</v>
      </c>
      <c r="G6698" s="35">
        <v>-4.7543151666453403</v>
      </c>
      <c r="H6698" s="35">
        <v>29.146664777453264</v>
      </c>
      <c r="I6698" s="35">
        <v>2.6117830959848775E-2</v>
      </c>
      <c r="J6698" s="35">
        <v>-2.4280835562676451E-4</v>
      </c>
      <c r="K6698" s="35">
        <v>0.12950099814394556</v>
      </c>
      <c r="L6698" s="35">
        <v>63.682806578913826</v>
      </c>
      <c r="M6698" s="58" t="s">
        <v>22</v>
      </c>
      <c r="N6698" s="7">
        <v>11.333333333333334</v>
      </c>
      <c r="O6698" s="7" t="s">
        <v>178</v>
      </c>
      <c r="P6698" s="7" t="s">
        <v>178</v>
      </c>
    </row>
    <row r="6699" spans="1:16" x14ac:dyDescent="0.25">
      <c r="A6699" t="s">
        <v>183</v>
      </c>
      <c r="B6699" t="s">
        <v>234</v>
      </c>
      <c r="C6699" s="7" t="s">
        <v>175</v>
      </c>
      <c r="D6699" t="s">
        <v>120</v>
      </c>
      <c r="F6699" s="35">
        <v>0.29999999999999988</v>
      </c>
      <c r="G6699" s="35">
        <v>-4.590420666645346</v>
      </c>
      <c r="H6699" s="35">
        <v>28.126064777453266</v>
      </c>
      <c r="I6699" s="35">
        <v>2.6117830959848775E-2</v>
      </c>
      <c r="J6699" s="35">
        <v>-2.4280835562676451E-4</v>
      </c>
      <c r="K6699" s="35">
        <v>0.12166564885599096</v>
      </c>
      <c r="L6699" s="35">
        <v>55.091897145677848</v>
      </c>
      <c r="M6699" s="58" t="s">
        <v>22</v>
      </c>
      <c r="N6699" s="7">
        <v>11.333333333333334</v>
      </c>
      <c r="O6699" s="7" t="s">
        <v>178</v>
      </c>
      <c r="P6699" s="7" t="s">
        <v>178</v>
      </c>
    </row>
    <row r="6700" spans="1:16" x14ac:dyDescent="0.25">
      <c r="A6700" t="s">
        <v>183</v>
      </c>
      <c r="B6700" t="s">
        <v>234</v>
      </c>
      <c r="C6700" s="7" t="s">
        <v>175</v>
      </c>
      <c r="D6700" t="s">
        <v>120</v>
      </c>
      <c r="F6700" s="35">
        <v>0.29999999999999988</v>
      </c>
      <c r="G6700" s="35">
        <v>69.182740396041496</v>
      </c>
      <c r="H6700" s="35">
        <v>23.74664935972277</v>
      </c>
      <c r="I6700" s="35">
        <v>2.6117830959849504E-2</v>
      </c>
      <c r="J6700" s="35">
        <v>2.2134938080245627E-4</v>
      </c>
      <c r="K6700" s="35">
        <v>0.12169349832017684</v>
      </c>
      <c r="L6700" s="35">
        <v>55.091897145677841</v>
      </c>
      <c r="M6700" s="58" t="s">
        <v>22</v>
      </c>
      <c r="N6700" s="7">
        <v>11.333333333333334</v>
      </c>
      <c r="O6700" s="7" t="s">
        <v>178</v>
      </c>
      <c r="P6700" s="7" t="s">
        <v>178</v>
      </c>
    </row>
    <row r="6701" spans="1:16" x14ac:dyDescent="0.25">
      <c r="A6701" t="s">
        <v>183</v>
      </c>
      <c r="B6701" t="s">
        <v>234</v>
      </c>
      <c r="C6701" s="7" t="s">
        <v>175</v>
      </c>
      <c r="D6701" t="s">
        <v>120</v>
      </c>
      <c r="F6701" s="35">
        <v>5.3</v>
      </c>
      <c r="G6701" s="35">
        <v>71.914315396041502</v>
      </c>
      <c r="H6701" s="35">
        <v>6.7366493597227679</v>
      </c>
      <c r="I6701" s="35">
        <v>2.6117830959849504E-2</v>
      </c>
      <c r="J6701" s="35">
        <v>2.2134938080245627E-4</v>
      </c>
      <c r="K6701" s="35">
        <v>-8.8956564790706842E-3</v>
      </c>
      <c r="L6701" s="35">
        <v>-21.116349652935995</v>
      </c>
      <c r="M6701" s="58" t="s">
        <v>24</v>
      </c>
      <c r="N6701" s="7">
        <v>11.333333333333334</v>
      </c>
      <c r="O6701" s="7" t="s">
        <v>178</v>
      </c>
      <c r="P6701" s="7" t="s">
        <v>178</v>
      </c>
    </row>
    <row r="6702" spans="1:16" x14ac:dyDescent="0.25">
      <c r="A6702" t="s">
        <v>183</v>
      </c>
      <c r="B6702" t="s">
        <v>234</v>
      </c>
      <c r="C6702" s="7" t="s">
        <v>175</v>
      </c>
      <c r="D6702" t="s">
        <v>120</v>
      </c>
      <c r="F6702" s="35">
        <v>5.3</v>
      </c>
      <c r="G6702" s="35">
        <v>10.667538629693929</v>
      </c>
      <c r="H6702" s="35">
        <v>6.7786132286980498</v>
      </c>
      <c r="I6702" s="35">
        <v>2.5958004939328438E-2</v>
      </c>
      <c r="J6702" s="35">
        <v>3.1415224207199369E-4</v>
      </c>
      <c r="K6702" s="35">
        <v>-9.2415240117841285E-3</v>
      </c>
      <c r="L6702" s="35">
        <v>-21.11634965293598</v>
      </c>
      <c r="M6702" s="58" t="s">
        <v>24</v>
      </c>
      <c r="N6702" s="7">
        <v>11.333333333333334</v>
      </c>
      <c r="O6702" s="7" t="s">
        <v>178</v>
      </c>
      <c r="P6702" s="7" t="s">
        <v>178</v>
      </c>
    </row>
    <row r="6703" spans="1:16" x14ac:dyDescent="0.25">
      <c r="A6703" t="s">
        <v>183</v>
      </c>
      <c r="B6703" t="s">
        <v>234</v>
      </c>
      <c r="C6703" s="7" t="s">
        <v>175</v>
      </c>
      <c r="D6703" t="s">
        <v>120</v>
      </c>
      <c r="F6703" s="35">
        <v>5.5393224575487361</v>
      </c>
      <c r="G6703" s="35">
        <v>10.798284078089663</v>
      </c>
      <c r="H6703" s="35">
        <v>5.964438228117249</v>
      </c>
      <c r="I6703" s="35">
        <v>2.5958004939328438E-2</v>
      </c>
      <c r="J6703" s="35">
        <v>3.1415224207199369E-4</v>
      </c>
      <c r="K6703" s="35">
        <v>-1.5453857546926443E-2</v>
      </c>
      <c r="L6703" s="35">
        <v>-22.641198848593497</v>
      </c>
      <c r="M6703" s="58" t="s">
        <v>24</v>
      </c>
      <c r="N6703" s="7">
        <v>11.333333333333334</v>
      </c>
      <c r="O6703" s="7" t="s">
        <v>178</v>
      </c>
      <c r="P6703" s="7" t="s">
        <v>178</v>
      </c>
    </row>
    <row r="6704" spans="1:16" x14ac:dyDescent="0.25">
      <c r="A6704" t="s">
        <v>183</v>
      </c>
      <c r="B6704" t="s">
        <v>234</v>
      </c>
      <c r="C6704" s="7" t="s">
        <v>175</v>
      </c>
      <c r="D6704" t="s">
        <v>120</v>
      </c>
      <c r="F6704" s="35">
        <v>11.078644915097472</v>
      </c>
      <c r="G6704" s="35">
        <v>13.824499026485404</v>
      </c>
      <c r="H6704" s="35">
        <v>-12.880336772463556</v>
      </c>
      <c r="I6704" s="35">
        <v>2.5958004939328438E-2</v>
      </c>
      <c r="J6704" s="35">
        <v>3.1415224207199369E-4</v>
      </c>
      <c r="K6704" s="35">
        <v>-0.15924361726050948</v>
      </c>
      <c r="L6704" s="35">
        <v>-3.4865027881804327</v>
      </c>
      <c r="M6704" s="58" t="s">
        <v>23</v>
      </c>
      <c r="N6704" s="7">
        <v>11.333333333333334</v>
      </c>
      <c r="O6704" s="7" t="s">
        <v>178</v>
      </c>
      <c r="P6704" s="7" t="s">
        <v>178</v>
      </c>
    </row>
    <row r="6705" spans="1:16" x14ac:dyDescent="0.25">
      <c r="A6705" t="s">
        <v>183</v>
      </c>
      <c r="B6705" t="s">
        <v>234</v>
      </c>
      <c r="C6705" s="7" t="s">
        <v>175</v>
      </c>
      <c r="D6705" t="s">
        <v>121</v>
      </c>
      <c r="F6705" s="35">
        <v>0</v>
      </c>
      <c r="G6705" s="35">
        <v>-22.302296498152764</v>
      </c>
      <c r="H6705" s="35">
        <v>12.688720199650263</v>
      </c>
      <c r="I6705" s="35">
        <v>2.6297359757048472E-2</v>
      </c>
      <c r="J6705" s="35">
        <v>3.9393349263318225E-4</v>
      </c>
      <c r="K6705" s="35">
        <v>0.12141907814084349</v>
      </c>
      <c r="L6705" s="35">
        <v>31.044037895786904</v>
      </c>
      <c r="M6705" s="58" t="s">
        <v>22</v>
      </c>
      <c r="N6705" s="7">
        <v>11.333333333333334</v>
      </c>
      <c r="O6705" s="7" t="s">
        <v>178</v>
      </c>
      <c r="P6705" s="7" t="s">
        <v>178</v>
      </c>
    </row>
    <row r="6706" spans="1:16" x14ac:dyDescent="0.25">
      <c r="A6706" t="s">
        <v>183</v>
      </c>
      <c r="B6706" t="s">
        <v>234</v>
      </c>
      <c r="C6706" s="7" t="s">
        <v>175</v>
      </c>
      <c r="D6706" t="s">
        <v>121</v>
      </c>
      <c r="F6706" s="35">
        <v>0.29999999999999988</v>
      </c>
      <c r="G6706" s="35">
        <v>-22.138401998152769</v>
      </c>
      <c r="H6706" s="35">
        <v>12.461920199650264</v>
      </c>
      <c r="I6706" s="35">
        <v>2.6297359757048472E-2</v>
      </c>
      <c r="J6706" s="35">
        <v>3.9393349263318225E-4</v>
      </c>
      <c r="K6706" s="35">
        <v>0.11352987021372896</v>
      </c>
      <c r="L6706" s="35">
        <v>27.271441835891824</v>
      </c>
      <c r="M6706" s="58" t="s">
        <v>22</v>
      </c>
      <c r="N6706" s="7">
        <v>11.333333333333334</v>
      </c>
      <c r="O6706" s="7" t="s">
        <v>178</v>
      </c>
      <c r="P6706" s="7" t="s">
        <v>178</v>
      </c>
    </row>
    <row r="6707" spans="1:16" x14ac:dyDescent="0.25">
      <c r="A6707" t="s">
        <v>183</v>
      </c>
      <c r="B6707" t="s">
        <v>234</v>
      </c>
      <c r="C6707" s="7" t="s">
        <v>175</v>
      </c>
      <c r="D6707" t="s">
        <v>121</v>
      </c>
      <c r="F6707" s="35">
        <v>0.29999999999999988</v>
      </c>
      <c r="G6707" s="35">
        <v>19.193617218126334</v>
      </c>
      <c r="H6707" s="35">
        <v>10.028973292704254</v>
      </c>
      <c r="I6707" s="35">
        <v>2.6297359757048836E-2</v>
      </c>
      <c r="J6707" s="35">
        <v>4.8155342400752816E-4</v>
      </c>
      <c r="K6707" s="35">
        <v>0.11353512740961154</v>
      </c>
      <c r="L6707" s="35">
        <v>27.271441835891828</v>
      </c>
      <c r="M6707" s="58" t="s">
        <v>22</v>
      </c>
      <c r="N6707" s="7">
        <v>11.333333333333334</v>
      </c>
      <c r="O6707" s="7" t="s">
        <v>178</v>
      </c>
      <c r="P6707" s="7" t="s">
        <v>178</v>
      </c>
    </row>
    <row r="6708" spans="1:16" x14ac:dyDescent="0.25">
      <c r="A6708" t="s">
        <v>183</v>
      </c>
      <c r="B6708" t="s">
        <v>234</v>
      </c>
      <c r="C6708" s="7" t="s">
        <v>175</v>
      </c>
      <c r="D6708" t="s">
        <v>121</v>
      </c>
      <c r="F6708" s="35">
        <v>5.3</v>
      </c>
      <c r="G6708" s="35">
        <v>21.925192218126334</v>
      </c>
      <c r="H6708" s="35">
        <v>6.2489732927042549</v>
      </c>
      <c r="I6708" s="35">
        <v>2.6297359757048836E-2</v>
      </c>
      <c r="J6708" s="35">
        <v>4.8155342400752816E-4</v>
      </c>
      <c r="K6708" s="35">
        <v>-1.7951671375632652E-2</v>
      </c>
      <c r="L6708" s="35">
        <v>-13.423424627629442</v>
      </c>
      <c r="M6708" s="58" t="s">
        <v>24</v>
      </c>
      <c r="N6708" s="7">
        <v>11.333333333333334</v>
      </c>
      <c r="O6708" s="7" t="s">
        <v>178</v>
      </c>
      <c r="P6708" s="7" t="s">
        <v>178</v>
      </c>
    </row>
    <row r="6709" spans="1:16" x14ac:dyDescent="0.25">
      <c r="A6709" t="s">
        <v>183</v>
      </c>
      <c r="B6709" t="s">
        <v>234</v>
      </c>
      <c r="C6709" s="7" t="s">
        <v>175</v>
      </c>
      <c r="D6709" t="s">
        <v>121</v>
      </c>
      <c r="F6709" s="35">
        <v>5.3</v>
      </c>
      <c r="G6709" s="35">
        <v>-9.1327000689500455</v>
      </c>
      <c r="H6709" s="35">
        <v>7.1469388076838655E-2</v>
      </c>
      <c r="I6709" s="35">
        <v>2.6268430803151888E-2</v>
      </c>
      <c r="J6709" s="35">
        <v>5.0816061841418955E-4</v>
      </c>
      <c r="K6709" s="35">
        <v>-1.8021668840167888E-2</v>
      </c>
      <c r="L6709" s="35">
        <v>-13.423424627629448</v>
      </c>
      <c r="M6709" s="58" t="s">
        <v>24</v>
      </c>
      <c r="N6709" s="7">
        <v>11.333333333333334</v>
      </c>
      <c r="O6709" s="7" t="s">
        <v>178</v>
      </c>
      <c r="P6709" s="7" t="s">
        <v>178</v>
      </c>
    </row>
    <row r="6710" spans="1:16" x14ac:dyDescent="0.25">
      <c r="A6710" t="s">
        <v>183</v>
      </c>
      <c r="B6710" t="s">
        <v>234</v>
      </c>
      <c r="C6710" s="7" t="s">
        <v>175</v>
      </c>
      <c r="D6710" t="s">
        <v>121</v>
      </c>
      <c r="F6710" s="35">
        <v>5.5393224575487361</v>
      </c>
      <c r="G6710" s="35">
        <v>-9.0019546205543115</v>
      </c>
      <c r="H6710" s="35">
        <v>-0.10945838983000582</v>
      </c>
      <c r="I6710" s="35">
        <v>2.6268430803151888E-2</v>
      </c>
      <c r="J6710" s="35">
        <v>5.0816061841418955E-4</v>
      </c>
      <c r="K6710" s="35">
        <v>-2.4308294255927117E-2</v>
      </c>
      <c r="L6710" s="35">
        <v>-13.418878816999753</v>
      </c>
      <c r="M6710" s="58" t="s">
        <v>24</v>
      </c>
      <c r="N6710" s="7">
        <v>11.333333333333334</v>
      </c>
      <c r="O6710" s="7" t="s">
        <v>178</v>
      </c>
      <c r="P6710" s="7" t="s">
        <v>178</v>
      </c>
    </row>
    <row r="6711" spans="1:16" x14ac:dyDescent="0.25">
      <c r="A6711" t="s">
        <v>183</v>
      </c>
      <c r="B6711" t="s">
        <v>234</v>
      </c>
      <c r="C6711" s="7" t="s">
        <v>175</v>
      </c>
      <c r="D6711" t="s">
        <v>121</v>
      </c>
      <c r="F6711" s="35">
        <v>11.078644915097472</v>
      </c>
      <c r="G6711" s="35">
        <v>-5.9757396721585723</v>
      </c>
      <c r="H6711" s="35">
        <v>-4.297186167736851</v>
      </c>
      <c r="I6711" s="35">
        <v>2.6268430803151888E-2</v>
      </c>
      <c r="J6711" s="35">
        <v>5.0816061841418955E-4</v>
      </c>
      <c r="K6711" s="35">
        <v>-0.16981760292839138</v>
      </c>
      <c r="L6711" s="35">
        <v>-1.2139662369172515</v>
      </c>
      <c r="M6711" s="58" t="s">
        <v>23</v>
      </c>
      <c r="N6711" s="7">
        <v>11.333333333333334</v>
      </c>
      <c r="O6711" s="7" t="s">
        <v>178</v>
      </c>
      <c r="P6711" s="7" t="s">
        <v>178</v>
      </c>
    </row>
    <row r="6712" spans="1:16" x14ac:dyDescent="0.25">
      <c r="A6712" t="s">
        <v>183</v>
      </c>
      <c r="B6712" t="s">
        <v>234</v>
      </c>
      <c r="C6712" s="7" t="s">
        <v>175</v>
      </c>
      <c r="D6712" t="s">
        <v>122</v>
      </c>
      <c r="F6712" s="35">
        <v>0</v>
      </c>
      <c r="G6712" s="35">
        <v>59.930831430708409</v>
      </c>
      <c r="H6712" s="35">
        <v>-30.042971689196282</v>
      </c>
      <c r="I6712" s="35">
        <v>-5.7015237845922703E-2</v>
      </c>
      <c r="J6712" s="35">
        <v>-1.3346401268922697E-3</v>
      </c>
      <c r="K6712" s="35">
        <v>-0.20329519237687033</v>
      </c>
      <c r="L6712" s="35">
        <v>-65.710174265688309</v>
      </c>
      <c r="M6712" s="58" t="s">
        <v>22</v>
      </c>
      <c r="N6712" s="7">
        <v>11.333333333333334</v>
      </c>
      <c r="O6712" s="7" t="s">
        <v>178</v>
      </c>
      <c r="P6712" s="7" t="s">
        <v>178</v>
      </c>
    </row>
    <row r="6713" spans="1:16" x14ac:dyDescent="0.25">
      <c r="A6713" t="s">
        <v>183</v>
      </c>
      <c r="B6713" t="s">
        <v>234</v>
      </c>
      <c r="C6713" s="7" t="s">
        <v>175</v>
      </c>
      <c r="D6713" t="s">
        <v>122</v>
      </c>
      <c r="F6713" s="35">
        <v>0.29999999999999988</v>
      </c>
      <c r="G6713" s="35">
        <v>60.094725930708407</v>
      </c>
      <c r="H6713" s="35">
        <v>-29.02237168919628</v>
      </c>
      <c r="I6713" s="35">
        <v>-5.7015237845922703E-2</v>
      </c>
      <c r="J6713" s="35">
        <v>-1.3346401268922697E-3</v>
      </c>
      <c r="K6713" s="35">
        <v>-0.18619062102309353</v>
      </c>
      <c r="L6713" s="35">
        <v>-56.850372758929417</v>
      </c>
      <c r="M6713" s="58" t="s">
        <v>22</v>
      </c>
      <c r="N6713" s="7">
        <v>11.333333333333334</v>
      </c>
      <c r="O6713" s="7" t="s">
        <v>178</v>
      </c>
      <c r="P6713" s="7" t="s">
        <v>178</v>
      </c>
    </row>
    <row r="6714" spans="1:16" x14ac:dyDescent="0.25">
      <c r="A6714" t="s">
        <v>183</v>
      </c>
      <c r="B6714" t="s">
        <v>234</v>
      </c>
      <c r="C6714" s="7" t="s">
        <v>175</v>
      </c>
      <c r="D6714" t="s">
        <v>122</v>
      </c>
      <c r="F6714" s="35">
        <v>0.29999999999999988</v>
      </c>
      <c r="G6714" s="35">
        <v>-10.089481061417748</v>
      </c>
      <c r="H6714" s="35">
        <v>-24.764345023637912</v>
      </c>
      <c r="I6714" s="35">
        <v>-5.7015237845923362E-2</v>
      </c>
      <c r="J6714" s="35">
        <v>-9.6205158547951357E-5</v>
      </c>
      <c r="K6714" s="35">
        <v>-0.1861163149249927</v>
      </c>
      <c r="L6714" s="35">
        <v>-56.850372758929446</v>
      </c>
      <c r="M6714" s="58" t="s">
        <v>22</v>
      </c>
      <c r="N6714" s="7">
        <v>11.333333333333334</v>
      </c>
      <c r="O6714" s="7" t="s">
        <v>178</v>
      </c>
      <c r="P6714" s="7" t="s">
        <v>178</v>
      </c>
    </row>
    <row r="6715" spans="1:16" x14ac:dyDescent="0.25">
      <c r="A6715" t="s">
        <v>183</v>
      </c>
      <c r="B6715" t="s">
        <v>234</v>
      </c>
      <c r="C6715" s="7" t="s">
        <v>175</v>
      </c>
      <c r="D6715" t="s">
        <v>122</v>
      </c>
      <c r="F6715" s="35">
        <v>5.3</v>
      </c>
      <c r="G6715" s="35">
        <v>-7.3579060614177472</v>
      </c>
      <c r="H6715" s="35">
        <v>-7.7543450236379119</v>
      </c>
      <c r="I6715" s="35">
        <v>-5.7015237845923362E-2</v>
      </c>
      <c r="J6715" s="35">
        <v>-9.6205158547951357E-5</v>
      </c>
      <c r="K6715" s="35">
        <v>9.8959874304624093E-2</v>
      </c>
      <c r="L6715" s="35">
        <v>24.446352359260107</v>
      </c>
      <c r="M6715" s="58" t="s">
        <v>24</v>
      </c>
      <c r="N6715" s="7">
        <v>11.333333333333334</v>
      </c>
      <c r="O6715" s="7" t="s">
        <v>178</v>
      </c>
      <c r="P6715" s="7" t="s">
        <v>178</v>
      </c>
    </row>
    <row r="6716" spans="1:16" x14ac:dyDescent="0.25">
      <c r="A6716" t="s">
        <v>183</v>
      </c>
      <c r="B6716" t="s">
        <v>234</v>
      </c>
      <c r="C6716" s="7" t="s">
        <v>175</v>
      </c>
      <c r="D6716" t="s">
        <v>122</v>
      </c>
      <c r="F6716" s="35">
        <v>5.3</v>
      </c>
      <c r="G6716" s="35">
        <v>56.469340168372767</v>
      </c>
      <c r="H6716" s="35">
        <v>-6.194923114232922</v>
      </c>
      <c r="I6716" s="35">
        <v>-5.7415025461460663E-2</v>
      </c>
      <c r="J6716" s="35">
        <v>8.7361950575759931E-5</v>
      </c>
      <c r="K6716" s="35">
        <v>9.7865657565864878E-2</v>
      </c>
      <c r="L6716" s="35">
        <v>24.446352359260128</v>
      </c>
      <c r="M6716" s="58" t="s">
        <v>24</v>
      </c>
      <c r="N6716" s="7">
        <v>11.333333333333334</v>
      </c>
      <c r="O6716" s="7" t="s">
        <v>178</v>
      </c>
      <c r="P6716" s="7" t="s">
        <v>178</v>
      </c>
    </row>
    <row r="6717" spans="1:16" x14ac:dyDescent="0.25">
      <c r="A6717" t="s">
        <v>183</v>
      </c>
      <c r="B6717" t="s">
        <v>234</v>
      </c>
      <c r="C6717" s="7" t="s">
        <v>175</v>
      </c>
      <c r="D6717" t="s">
        <v>122</v>
      </c>
      <c r="F6717" s="35">
        <v>5.5393224575487361</v>
      </c>
      <c r="G6717" s="35">
        <v>56.600085616768503</v>
      </c>
      <c r="H6717" s="35">
        <v>-5.380748113652122</v>
      </c>
      <c r="I6717" s="35">
        <v>-5.7415025461460663E-2</v>
      </c>
      <c r="J6717" s="35">
        <v>8.7361950575759931E-5</v>
      </c>
      <c r="K6717" s="35">
        <v>0.1116063625595249</v>
      </c>
      <c r="L6717" s="35">
        <v>25.831511402276952</v>
      </c>
      <c r="M6717" s="58" t="s">
        <v>24</v>
      </c>
      <c r="N6717" s="7">
        <v>11.333333333333334</v>
      </c>
      <c r="O6717" s="7" t="s">
        <v>178</v>
      </c>
      <c r="P6717" s="7" t="s">
        <v>178</v>
      </c>
    </row>
    <row r="6718" spans="1:16" x14ac:dyDescent="0.25">
      <c r="A6718" t="s">
        <v>183</v>
      </c>
      <c r="B6718" t="s">
        <v>234</v>
      </c>
      <c r="C6718" s="7" t="s">
        <v>175</v>
      </c>
      <c r="D6718" t="s">
        <v>122</v>
      </c>
      <c r="F6718" s="35">
        <v>11.078644915097472</v>
      </c>
      <c r="G6718" s="35">
        <v>59.626300565164243</v>
      </c>
      <c r="H6718" s="35">
        <v>13.464026886928684</v>
      </c>
      <c r="I6718" s="35">
        <v>-5.7415025461460663E-2</v>
      </c>
      <c r="J6718" s="35">
        <v>8.7361950575759931E-5</v>
      </c>
      <c r="K6718" s="35">
        <v>0.42964670249892645</v>
      </c>
      <c r="L6718" s="35">
        <v>3.4435675825580163</v>
      </c>
      <c r="M6718" s="58" t="s">
        <v>23</v>
      </c>
      <c r="N6718" s="7">
        <v>11.333333333333334</v>
      </c>
      <c r="O6718" s="7" t="s">
        <v>178</v>
      </c>
      <c r="P6718" s="7" t="s">
        <v>178</v>
      </c>
    </row>
    <row r="6719" spans="1:16" x14ac:dyDescent="0.25">
      <c r="A6719" t="s">
        <v>183</v>
      </c>
      <c r="B6719" t="s">
        <v>234</v>
      </c>
      <c r="C6719" s="7" t="s">
        <v>175</v>
      </c>
      <c r="D6719" t="s">
        <v>123</v>
      </c>
      <c r="F6719" s="35">
        <v>0</v>
      </c>
      <c r="G6719" s="35">
        <v>42.410068495689053</v>
      </c>
      <c r="H6719" s="35">
        <v>-46.493833562108478</v>
      </c>
      <c r="I6719" s="35">
        <v>-5.3761480701424946E-2</v>
      </c>
      <c r="J6719" s="35">
        <v>-6.8757852654418596E-4</v>
      </c>
      <c r="K6719" s="35">
        <v>-0.19995216070283503</v>
      </c>
      <c r="L6719" s="35">
        <v>-98.32826057873433</v>
      </c>
      <c r="M6719" s="58" t="s">
        <v>22</v>
      </c>
      <c r="N6719" s="7">
        <v>11.333333333333334</v>
      </c>
      <c r="O6719" s="7" t="s">
        <v>178</v>
      </c>
      <c r="P6719" s="7" t="s">
        <v>178</v>
      </c>
    </row>
    <row r="6720" spans="1:16" x14ac:dyDescent="0.25">
      <c r="A6720" t="s">
        <v>183</v>
      </c>
      <c r="B6720" t="s">
        <v>234</v>
      </c>
      <c r="C6720" s="7" t="s">
        <v>175</v>
      </c>
      <c r="D6720" t="s">
        <v>123</v>
      </c>
      <c r="F6720" s="35">
        <v>0.29999999999999988</v>
      </c>
      <c r="G6720" s="35">
        <v>42.573962995689051</v>
      </c>
      <c r="H6720" s="35">
        <v>-44.679433562108471</v>
      </c>
      <c r="I6720" s="35">
        <v>-5.3761480701424946E-2</v>
      </c>
      <c r="J6720" s="35">
        <v>-6.8757852654418596E-4</v>
      </c>
      <c r="K6720" s="35">
        <v>-0.18382371649240756</v>
      </c>
      <c r="L6720" s="35">
        <v>-84.6522705101018</v>
      </c>
      <c r="M6720" s="58" t="s">
        <v>22</v>
      </c>
      <c r="N6720" s="7">
        <v>11.333333333333334</v>
      </c>
      <c r="O6720" s="7" t="s">
        <v>178</v>
      </c>
      <c r="P6720" s="7" t="s">
        <v>178</v>
      </c>
    </row>
    <row r="6721" spans="1:16" x14ac:dyDescent="0.25">
      <c r="A6721" t="s">
        <v>183</v>
      </c>
      <c r="B6721" t="s">
        <v>234</v>
      </c>
      <c r="C6721" s="7" t="s">
        <v>175</v>
      </c>
      <c r="D6721" t="s">
        <v>123</v>
      </c>
      <c r="F6721" s="35">
        <v>0.29999999999999988</v>
      </c>
      <c r="G6721" s="35">
        <v>-60.034403918940875</v>
      </c>
      <c r="H6721" s="35">
        <v>-38.475957301199855</v>
      </c>
      <c r="I6721" s="35">
        <v>-5.3761480701424356E-2</v>
      </c>
      <c r="J6721" s="35">
        <v>1.6557932388324448E-4</v>
      </c>
      <c r="K6721" s="35">
        <v>-0.18377252702138197</v>
      </c>
      <c r="L6721" s="35">
        <v>-84.652270510101829</v>
      </c>
      <c r="M6721" s="58" t="s">
        <v>22</v>
      </c>
      <c r="N6721" s="7">
        <v>11.333333333333334</v>
      </c>
      <c r="O6721" s="7" t="s">
        <v>178</v>
      </c>
      <c r="P6721" s="7" t="s">
        <v>178</v>
      </c>
    </row>
    <row r="6722" spans="1:16" x14ac:dyDescent="0.25">
      <c r="A6722" t="s">
        <v>183</v>
      </c>
      <c r="B6722" t="s">
        <v>234</v>
      </c>
      <c r="C6722" s="7" t="s">
        <v>175</v>
      </c>
      <c r="D6722" t="s">
        <v>123</v>
      </c>
      <c r="F6722" s="35">
        <v>5.3</v>
      </c>
      <c r="G6722" s="35">
        <v>-57.302828918940868</v>
      </c>
      <c r="H6722" s="35">
        <v>-8.2359573011998588</v>
      </c>
      <c r="I6722" s="35">
        <v>-5.3761480701424356E-2</v>
      </c>
      <c r="J6722" s="35">
        <v>1.6557932388324448E-4</v>
      </c>
      <c r="K6722" s="35">
        <v>8.5034876485739833E-2</v>
      </c>
      <c r="L6722" s="35">
        <v>32.127515995897454</v>
      </c>
      <c r="M6722" s="58" t="s">
        <v>24</v>
      </c>
      <c r="N6722" s="7">
        <v>11.333333333333334</v>
      </c>
      <c r="O6722" s="7" t="s">
        <v>178</v>
      </c>
      <c r="P6722" s="7" t="s">
        <v>178</v>
      </c>
    </row>
    <row r="6723" spans="1:16" x14ac:dyDescent="0.25">
      <c r="A6723" t="s">
        <v>183</v>
      </c>
      <c r="B6723" t="s">
        <v>234</v>
      </c>
      <c r="C6723" s="7" t="s">
        <v>175</v>
      </c>
      <c r="D6723" t="s">
        <v>123</v>
      </c>
      <c r="F6723" s="35">
        <v>5.3</v>
      </c>
      <c r="G6723" s="35">
        <v>36.701558401442057</v>
      </c>
      <c r="H6723" s="35">
        <v>-12.904016546891846</v>
      </c>
      <c r="I6723" s="35">
        <v>-5.4027909862569848E-2</v>
      </c>
      <c r="J6723" s="35">
        <v>2.8258793195828154E-4</v>
      </c>
      <c r="K6723" s="35">
        <v>8.4226505882789737E-2</v>
      </c>
      <c r="L6723" s="35">
        <v>32.127515995897497</v>
      </c>
      <c r="M6723" s="58" t="s">
        <v>24</v>
      </c>
      <c r="N6723" s="7">
        <v>11.333333333333334</v>
      </c>
      <c r="O6723" s="7" t="s">
        <v>178</v>
      </c>
      <c r="P6723" s="7" t="s">
        <v>178</v>
      </c>
    </row>
    <row r="6724" spans="1:16" x14ac:dyDescent="0.25">
      <c r="A6724" t="s">
        <v>183</v>
      </c>
      <c r="B6724" t="s">
        <v>234</v>
      </c>
      <c r="C6724" s="7" t="s">
        <v>175</v>
      </c>
      <c r="D6724" t="s">
        <v>123</v>
      </c>
      <c r="F6724" s="35">
        <v>5.5393224575487361</v>
      </c>
      <c r="G6724" s="35">
        <v>36.832303849837793</v>
      </c>
      <c r="H6724" s="35">
        <v>-11.45659432363709</v>
      </c>
      <c r="I6724" s="35">
        <v>-5.4027909862569848E-2</v>
      </c>
      <c r="J6724" s="35">
        <v>2.8258793195828154E-4</v>
      </c>
      <c r="K6724" s="35">
        <v>9.715659804732156E-2</v>
      </c>
      <c r="L6724" s="35">
        <v>35.042536626359208</v>
      </c>
      <c r="M6724" s="58" t="s">
        <v>24</v>
      </c>
      <c r="N6724" s="7">
        <v>11.333333333333334</v>
      </c>
      <c r="O6724" s="7" t="s">
        <v>178</v>
      </c>
      <c r="P6724" s="7" t="s">
        <v>178</v>
      </c>
    </row>
    <row r="6725" spans="1:16" x14ac:dyDescent="0.25">
      <c r="A6725" t="s">
        <v>183</v>
      </c>
      <c r="B6725" t="s">
        <v>234</v>
      </c>
      <c r="C6725" s="7" t="s">
        <v>175</v>
      </c>
      <c r="D6725" t="s">
        <v>123</v>
      </c>
      <c r="F6725" s="35">
        <v>11.078644915097472</v>
      </c>
      <c r="G6725" s="35">
        <v>39.858518798233533</v>
      </c>
      <c r="H6725" s="35">
        <v>22.045227899617672</v>
      </c>
      <c r="I6725" s="35">
        <v>-5.4027909862569848E-2</v>
      </c>
      <c r="J6725" s="35">
        <v>2.8258793195828154E-4</v>
      </c>
      <c r="K6725" s="35">
        <v>0.39643461248347361</v>
      </c>
      <c r="L6725" s="35">
        <v>5.7156087452673043</v>
      </c>
      <c r="M6725" s="58" t="s">
        <v>23</v>
      </c>
      <c r="N6725" s="7">
        <v>11.333333333333334</v>
      </c>
      <c r="O6725" s="7" t="s">
        <v>178</v>
      </c>
      <c r="P6725" s="7" t="s">
        <v>178</v>
      </c>
    </row>
    <row r="6726" spans="1:16" x14ac:dyDescent="0.25">
      <c r="A6726" t="s">
        <v>183</v>
      </c>
      <c r="B6726" t="s">
        <v>234</v>
      </c>
      <c r="C6726" s="7" t="s">
        <v>175</v>
      </c>
      <c r="D6726" t="s">
        <v>124</v>
      </c>
      <c r="F6726" s="35">
        <v>0</v>
      </c>
      <c r="G6726" s="35">
        <v>1.9447266713879576</v>
      </c>
      <c r="H6726" s="35">
        <v>42.677856243566104</v>
      </c>
      <c r="I6726" s="35">
        <v>1.2076631597189409</v>
      </c>
      <c r="J6726" s="35">
        <v>-8.3196653991293615E-4</v>
      </c>
      <c r="K6726" s="35">
        <v>7.2216341577616516</v>
      </c>
      <c r="L6726" s="35">
        <v>85.33355641160037</v>
      </c>
      <c r="M6726" s="58" t="s">
        <v>22</v>
      </c>
      <c r="N6726" s="7">
        <v>11.333333333333334</v>
      </c>
      <c r="O6726" s="7" t="s">
        <v>178</v>
      </c>
      <c r="P6726" s="7" t="s">
        <v>178</v>
      </c>
    </row>
    <row r="6727" spans="1:16" x14ac:dyDescent="0.25">
      <c r="A6727" t="s">
        <v>183</v>
      </c>
      <c r="B6727" t="s">
        <v>234</v>
      </c>
      <c r="C6727" s="7" t="s">
        <v>175</v>
      </c>
      <c r="D6727" t="s">
        <v>124</v>
      </c>
      <c r="F6727" s="35">
        <v>0.29999999999999988</v>
      </c>
      <c r="G6727" s="35">
        <v>2.1086211713879526</v>
      </c>
      <c r="H6727" s="35">
        <v>40.693356243566107</v>
      </c>
      <c r="I6727" s="35">
        <v>1.2076631597189409</v>
      </c>
      <c r="J6727" s="35">
        <v>-8.3196653991293615E-4</v>
      </c>
      <c r="K6727" s="35">
        <v>6.8593352098459697</v>
      </c>
      <c r="L6727" s="35">
        <v>72.827874538530551</v>
      </c>
      <c r="M6727" s="58" t="s">
        <v>22</v>
      </c>
      <c r="N6727" s="7">
        <v>11.333333333333334</v>
      </c>
      <c r="O6727" s="7" t="s">
        <v>178</v>
      </c>
      <c r="P6727" s="7" t="s">
        <v>178</v>
      </c>
    </row>
    <row r="6728" spans="1:16" x14ac:dyDescent="0.25">
      <c r="A6728" t="s">
        <v>183</v>
      </c>
      <c r="B6728" t="s">
        <v>234</v>
      </c>
      <c r="C6728" s="7" t="s">
        <v>175</v>
      </c>
      <c r="D6728" t="s">
        <v>124</v>
      </c>
      <c r="F6728" s="35">
        <v>0.29999999999999988</v>
      </c>
      <c r="G6728" s="35">
        <v>92.275929272228694</v>
      </c>
      <c r="H6728" s="35">
        <v>35.330292003546383</v>
      </c>
      <c r="I6728" s="35">
        <v>1.2076631597189709</v>
      </c>
      <c r="J6728" s="35">
        <v>-8.4664812935523949E-4</v>
      </c>
      <c r="K6728" s="35">
        <v>6.859334328950605</v>
      </c>
      <c r="L6728" s="35">
        <v>72.827874538530537</v>
      </c>
      <c r="M6728" s="58" t="s">
        <v>22</v>
      </c>
      <c r="N6728" s="7">
        <v>11.333333333333334</v>
      </c>
      <c r="O6728" s="7" t="s">
        <v>178</v>
      </c>
      <c r="P6728" s="7" t="s">
        <v>178</v>
      </c>
    </row>
    <row r="6729" spans="1:16" x14ac:dyDescent="0.25">
      <c r="A6729" t="s">
        <v>183</v>
      </c>
      <c r="B6729" t="s">
        <v>234</v>
      </c>
      <c r="C6729" s="7" t="s">
        <v>175</v>
      </c>
      <c r="D6729" t="s">
        <v>124</v>
      </c>
      <c r="F6729" s="35">
        <v>5.3</v>
      </c>
      <c r="G6729" s="35">
        <v>95.007504272228687</v>
      </c>
      <c r="H6729" s="35">
        <v>2.2552920035463844</v>
      </c>
      <c r="I6729" s="35">
        <v>1.2076631597189709</v>
      </c>
      <c r="J6729" s="35">
        <v>-8.4664812935523949E-4</v>
      </c>
      <c r="K6729" s="35">
        <v>0.82101853035575068</v>
      </c>
      <c r="L6729" s="35">
        <v>-21.136085479201395</v>
      </c>
      <c r="M6729" s="58" t="s">
        <v>24</v>
      </c>
      <c r="N6729" s="7">
        <v>11.333333333333334</v>
      </c>
      <c r="O6729" s="7" t="s">
        <v>178</v>
      </c>
      <c r="P6729" s="7" t="s">
        <v>178</v>
      </c>
    </row>
    <row r="6730" spans="1:16" x14ac:dyDescent="0.25">
      <c r="A6730" t="s">
        <v>183</v>
      </c>
      <c r="B6730" t="s">
        <v>234</v>
      </c>
      <c r="C6730" s="7" t="s">
        <v>175</v>
      </c>
      <c r="D6730" t="s">
        <v>124</v>
      </c>
      <c r="F6730" s="35">
        <v>5.3</v>
      </c>
      <c r="G6730" s="35">
        <v>14.041202331703662</v>
      </c>
      <c r="H6730" s="35">
        <v>16.468179551008411</v>
      </c>
      <c r="I6730" s="35">
        <v>1.2075645048690835</v>
      </c>
      <c r="J6730" s="35">
        <v>-6.8977730834800265E-4</v>
      </c>
      <c r="K6730" s="35">
        <v>0.82114573489657594</v>
      </c>
      <c r="L6730" s="35">
        <v>-21.136085479201363</v>
      </c>
      <c r="M6730" s="58" t="s">
        <v>24</v>
      </c>
      <c r="N6730" s="7">
        <v>11.333333333333334</v>
      </c>
      <c r="O6730" s="7" t="s">
        <v>178</v>
      </c>
      <c r="P6730" s="7" t="s">
        <v>178</v>
      </c>
    </row>
    <row r="6731" spans="1:16" x14ac:dyDescent="0.25">
      <c r="A6731" t="s">
        <v>183</v>
      </c>
      <c r="B6731" t="s">
        <v>234</v>
      </c>
      <c r="C6731" s="7" t="s">
        <v>175</v>
      </c>
      <c r="D6731" t="s">
        <v>124</v>
      </c>
      <c r="F6731" s="35">
        <v>5.5393224575487361</v>
      </c>
      <c r="G6731" s="35">
        <v>14.171947780099396</v>
      </c>
      <c r="H6731" s="35">
        <v>14.885061494323525</v>
      </c>
      <c r="I6731" s="35">
        <v>1.2075645048690835</v>
      </c>
      <c r="J6731" s="35">
        <v>-6.8977730834800265E-4</v>
      </c>
      <c r="K6731" s="35">
        <v>0.53214842994268419</v>
      </c>
      <c r="L6731" s="35">
        <v>-24.887852828744737</v>
      </c>
      <c r="M6731" s="58" t="s">
        <v>24</v>
      </c>
      <c r="N6731" s="7">
        <v>11.333333333333334</v>
      </c>
      <c r="O6731" s="7" t="s">
        <v>178</v>
      </c>
      <c r="P6731" s="7" t="s">
        <v>178</v>
      </c>
    </row>
    <row r="6732" spans="1:16" x14ac:dyDescent="0.25">
      <c r="A6732" t="s">
        <v>183</v>
      </c>
      <c r="B6732" t="s">
        <v>234</v>
      </c>
      <c r="C6732" s="7" t="s">
        <v>175</v>
      </c>
      <c r="D6732" t="s">
        <v>124</v>
      </c>
      <c r="F6732" s="35">
        <v>11.078644915097472</v>
      </c>
      <c r="G6732" s="35">
        <v>17.198162728495134</v>
      </c>
      <c r="H6732" s="35">
        <v>-21.757556562361373</v>
      </c>
      <c r="I6732" s="35">
        <v>1.2075645048690835</v>
      </c>
      <c r="J6732" s="35">
        <v>-6.8977730834800265E-4</v>
      </c>
      <c r="K6732" s="35">
        <v>-6.1569407508173501</v>
      </c>
      <c r="L6732" s="35">
        <v>-5.8533696938572364</v>
      </c>
      <c r="M6732" s="58" t="s">
        <v>23</v>
      </c>
      <c r="N6732" s="7">
        <v>11.333333333333334</v>
      </c>
      <c r="O6732" s="7" t="s">
        <v>178</v>
      </c>
      <c r="P6732" s="7" t="s">
        <v>178</v>
      </c>
    </row>
    <row r="6733" spans="1:16" x14ac:dyDescent="0.25">
      <c r="A6733" t="s">
        <v>183</v>
      </c>
      <c r="B6733" t="s">
        <v>234</v>
      </c>
      <c r="C6733" s="7" t="s">
        <v>175</v>
      </c>
      <c r="D6733" t="s">
        <v>125</v>
      </c>
      <c r="F6733" s="35">
        <v>0</v>
      </c>
      <c r="G6733" s="35">
        <v>-19.835611143914914</v>
      </c>
      <c r="H6733" s="35">
        <v>26.302777040387763</v>
      </c>
      <c r="I6733" s="35">
        <v>2.7746778249334314</v>
      </c>
      <c r="J6733" s="35">
        <v>-1.0025414259570479E-3</v>
      </c>
      <c r="K6733" s="35">
        <v>16.493523710519376</v>
      </c>
      <c r="L6733" s="35">
        <v>52.959065360679801</v>
      </c>
      <c r="M6733" s="58" t="s">
        <v>22</v>
      </c>
      <c r="N6733" s="7">
        <v>11.333333333333334</v>
      </c>
      <c r="O6733" s="7" t="s">
        <v>178</v>
      </c>
      <c r="P6733" s="7" t="s">
        <v>178</v>
      </c>
    </row>
    <row r="6734" spans="1:16" x14ac:dyDescent="0.25">
      <c r="A6734" t="s">
        <v>183</v>
      </c>
      <c r="B6734" t="s">
        <v>234</v>
      </c>
      <c r="C6734" s="7" t="s">
        <v>175</v>
      </c>
      <c r="D6734" t="s">
        <v>125</v>
      </c>
      <c r="F6734" s="35">
        <v>0.29999999999999988</v>
      </c>
      <c r="G6734" s="35">
        <v>-19.67171664391492</v>
      </c>
      <c r="H6734" s="35">
        <v>25.112077040387767</v>
      </c>
      <c r="I6734" s="35">
        <v>2.7746778249334314</v>
      </c>
      <c r="J6734" s="35">
        <v>-1.0025414259570479E-3</v>
      </c>
      <c r="K6734" s="35">
        <v>15.66112036303935</v>
      </c>
      <c r="L6734" s="35">
        <v>45.246837248563473</v>
      </c>
      <c r="M6734" s="58" t="s">
        <v>22</v>
      </c>
      <c r="N6734" s="7">
        <v>11.333333333333334</v>
      </c>
      <c r="O6734" s="7" t="s">
        <v>178</v>
      </c>
      <c r="P6734" s="7" t="s">
        <v>178</v>
      </c>
    </row>
    <row r="6735" spans="1:16" x14ac:dyDescent="0.25">
      <c r="A6735" t="s">
        <v>183</v>
      </c>
      <c r="B6735" t="s">
        <v>234</v>
      </c>
      <c r="C6735" s="7" t="s">
        <v>175</v>
      </c>
      <c r="D6735" t="s">
        <v>125</v>
      </c>
      <c r="F6735" s="35">
        <v>0.29999999999999988</v>
      </c>
      <c r="G6735" s="35">
        <v>37.561551735832587</v>
      </c>
      <c r="H6735" s="35">
        <v>21.725055183633625</v>
      </c>
      <c r="I6735" s="35">
        <v>2.7746778249334447</v>
      </c>
      <c r="J6735" s="35">
        <v>-9.3223530946270059E-4</v>
      </c>
      <c r="K6735" s="35">
        <v>15.661124581406359</v>
      </c>
      <c r="L6735" s="35">
        <v>45.246837248563494</v>
      </c>
      <c r="M6735" s="58" t="s">
        <v>22</v>
      </c>
      <c r="N6735" s="7">
        <v>11.333333333333334</v>
      </c>
      <c r="O6735" s="7" t="s">
        <v>178</v>
      </c>
      <c r="P6735" s="7" t="s">
        <v>178</v>
      </c>
    </row>
    <row r="6736" spans="1:16" x14ac:dyDescent="0.25">
      <c r="A6736" t="s">
        <v>183</v>
      </c>
      <c r="B6736" t="s">
        <v>234</v>
      </c>
      <c r="C6736" s="7" t="s">
        <v>175</v>
      </c>
      <c r="D6736" t="s">
        <v>125</v>
      </c>
      <c r="F6736" s="35">
        <v>5.3</v>
      </c>
      <c r="G6736" s="35">
        <v>40.293126735832594</v>
      </c>
      <c r="H6736" s="35">
        <v>1.8800551836336243</v>
      </c>
      <c r="I6736" s="35">
        <v>2.7746778249334447</v>
      </c>
      <c r="J6736" s="35">
        <v>-9.3223530946270059E-4</v>
      </c>
      <c r="K6736" s="35">
        <v>1.7877354567391353</v>
      </c>
      <c r="L6736" s="35">
        <v>-13.765938669604619</v>
      </c>
      <c r="M6736" s="58" t="s">
        <v>24</v>
      </c>
      <c r="N6736" s="7">
        <v>11.333333333333334</v>
      </c>
      <c r="O6736" s="7" t="s">
        <v>178</v>
      </c>
      <c r="P6736" s="7" t="s">
        <v>178</v>
      </c>
    </row>
    <row r="6737" spans="1:16" x14ac:dyDescent="0.25">
      <c r="A6737" t="s">
        <v>183</v>
      </c>
      <c r="B6737" t="s">
        <v>234</v>
      </c>
      <c r="C6737" s="7" t="s">
        <v>175</v>
      </c>
      <c r="D6737" t="s">
        <v>125</v>
      </c>
      <c r="F6737" s="35">
        <v>5.3</v>
      </c>
      <c r="G6737" s="35">
        <v>-10.147663797906059</v>
      </c>
      <c r="H6737" s="35">
        <v>9.7075380271536282</v>
      </c>
      <c r="I6737" s="35">
        <v>2.7744851589095636</v>
      </c>
      <c r="J6737" s="35">
        <v>-6.0165983517428937E-4</v>
      </c>
      <c r="K6737" s="35">
        <v>1.7875762968090094</v>
      </c>
      <c r="L6737" s="35">
        <v>-13.765938669604637</v>
      </c>
      <c r="M6737" s="58" t="s">
        <v>24</v>
      </c>
      <c r="N6737" s="7">
        <v>11.333333333333334</v>
      </c>
      <c r="O6737" s="7" t="s">
        <v>178</v>
      </c>
      <c r="P6737" s="7" t="s">
        <v>178</v>
      </c>
    </row>
    <row r="6738" spans="1:16" x14ac:dyDescent="0.25">
      <c r="A6738" t="s">
        <v>183</v>
      </c>
      <c r="B6738" t="s">
        <v>234</v>
      </c>
      <c r="C6738" s="7" t="s">
        <v>175</v>
      </c>
      <c r="D6738" t="s">
        <v>125</v>
      </c>
      <c r="F6738" s="35">
        <v>5.5393224575487361</v>
      </c>
      <c r="G6738" s="35">
        <v>-10.016918349510327</v>
      </c>
      <c r="H6738" s="35">
        <v>8.7576671931426961</v>
      </c>
      <c r="I6738" s="35">
        <v>2.7744851589095636</v>
      </c>
      <c r="J6738" s="35">
        <v>-6.0165983517428937E-4</v>
      </c>
      <c r="K6738" s="35">
        <v>1.1235796901462773</v>
      </c>
      <c r="L6738" s="35">
        <v>-15.975507815836171</v>
      </c>
      <c r="M6738" s="58" t="s">
        <v>24</v>
      </c>
      <c r="N6738" s="7">
        <v>11.333333333333334</v>
      </c>
      <c r="O6738" s="7" t="s">
        <v>178</v>
      </c>
      <c r="P6738" s="7" t="s">
        <v>178</v>
      </c>
    </row>
    <row r="6739" spans="1:16" x14ac:dyDescent="0.25">
      <c r="A6739" t="s">
        <v>183</v>
      </c>
      <c r="B6739" t="s">
        <v>234</v>
      </c>
      <c r="C6739" s="7" t="s">
        <v>175</v>
      </c>
      <c r="D6739" t="s">
        <v>125</v>
      </c>
      <c r="F6739" s="35">
        <v>11.078644915097472</v>
      </c>
      <c r="G6739" s="35">
        <v>-6.9907034011145868</v>
      </c>
      <c r="H6739" s="35">
        <v>-13.22790364086824</v>
      </c>
      <c r="I6739" s="35">
        <v>2.7744851589095636</v>
      </c>
      <c r="J6739" s="35">
        <v>-6.0165983517428937E-4</v>
      </c>
      <c r="K6739" s="35">
        <v>-14.245188258737141</v>
      </c>
      <c r="L6739" s="35">
        <v>-3.5944672431166715</v>
      </c>
      <c r="M6739" s="58" t="s">
        <v>23</v>
      </c>
      <c r="N6739" s="7">
        <v>11.333333333333334</v>
      </c>
      <c r="O6739" s="7" t="s">
        <v>178</v>
      </c>
      <c r="P6739" s="7" t="s">
        <v>178</v>
      </c>
    </row>
    <row r="6740" spans="1:16" x14ac:dyDescent="0.25">
      <c r="A6740" t="s">
        <v>183</v>
      </c>
      <c r="B6740" t="s">
        <v>234</v>
      </c>
      <c r="C6740" s="7" t="s">
        <v>175</v>
      </c>
      <c r="D6740" t="s">
        <v>126</v>
      </c>
      <c r="F6740" s="35">
        <v>0</v>
      </c>
      <c r="G6740" s="35">
        <v>-7.9955628584240893E-2</v>
      </c>
      <c r="H6740" s="35">
        <v>42.827592290169804</v>
      </c>
      <c r="I6740" s="35">
        <v>-1.2604494490346079</v>
      </c>
      <c r="J6740" s="35">
        <v>-1.5931700682320674E-3</v>
      </c>
      <c r="K6740" s="35">
        <v>-7.3582813400128932</v>
      </c>
      <c r="L6740" s="35">
        <v>85.707528379283104</v>
      </c>
      <c r="M6740" s="58" t="s">
        <v>22</v>
      </c>
      <c r="N6740" s="7">
        <v>11.333333333333334</v>
      </c>
      <c r="O6740" s="7" t="s">
        <v>178</v>
      </c>
      <c r="P6740" s="7" t="s">
        <v>178</v>
      </c>
    </row>
    <row r="6741" spans="1:16" x14ac:dyDescent="0.25">
      <c r="A6741" t="s">
        <v>183</v>
      </c>
      <c r="B6741" t="s">
        <v>234</v>
      </c>
      <c r="C6741" s="7" t="s">
        <v>175</v>
      </c>
      <c r="D6741" t="s">
        <v>126</v>
      </c>
      <c r="F6741" s="35">
        <v>0.29999999999999988</v>
      </c>
      <c r="G6741" s="35">
        <v>8.3938871415753943E-2</v>
      </c>
      <c r="H6741" s="35">
        <v>40.843092290169807</v>
      </c>
      <c r="I6741" s="35">
        <v>-1.2604494490346079</v>
      </c>
      <c r="J6741" s="35">
        <v>-1.5931700682320674E-3</v>
      </c>
      <c r="K6741" s="35">
        <v>-6.9801465053025114</v>
      </c>
      <c r="L6741" s="35">
        <v>73.156925692232178</v>
      </c>
      <c r="M6741" s="58" t="s">
        <v>22</v>
      </c>
      <c r="N6741" s="7">
        <v>11.333333333333334</v>
      </c>
      <c r="O6741" s="7" t="s">
        <v>178</v>
      </c>
      <c r="P6741" s="7" t="s">
        <v>178</v>
      </c>
    </row>
    <row r="6742" spans="1:16" x14ac:dyDescent="0.25">
      <c r="A6742" t="s">
        <v>183</v>
      </c>
      <c r="B6742" t="s">
        <v>234</v>
      </c>
      <c r="C6742" s="7" t="s">
        <v>175</v>
      </c>
      <c r="D6742" t="s">
        <v>126</v>
      </c>
      <c r="F6742" s="35">
        <v>0.29999999999999988</v>
      </c>
      <c r="G6742" s="35">
        <v>90.986191691481523</v>
      </c>
      <c r="H6742" s="35">
        <v>35.435931366996556</v>
      </c>
      <c r="I6742" s="35">
        <v>-1.2604494490346181</v>
      </c>
      <c r="J6742" s="35">
        <v>-7.146509008379426E-4</v>
      </c>
      <c r="K6742" s="35">
        <v>-6.9800937941524719</v>
      </c>
      <c r="L6742" s="35">
        <v>73.156925692232193</v>
      </c>
      <c r="M6742" s="58" t="s">
        <v>22</v>
      </c>
      <c r="N6742" s="7">
        <v>11.333333333333334</v>
      </c>
      <c r="O6742" s="7" t="s">
        <v>178</v>
      </c>
      <c r="P6742" s="7" t="s">
        <v>178</v>
      </c>
    </row>
    <row r="6743" spans="1:16" x14ac:dyDescent="0.25">
      <c r="A6743" t="s">
        <v>183</v>
      </c>
      <c r="B6743" t="s">
        <v>234</v>
      </c>
      <c r="C6743" s="7" t="s">
        <v>175</v>
      </c>
      <c r="D6743" t="s">
        <v>126</v>
      </c>
      <c r="F6743" s="35">
        <v>5.3</v>
      </c>
      <c r="G6743" s="35">
        <v>93.717766691481515</v>
      </c>
      <c r="H6743" s="35">
        <v>2.3609313669965535</v>
      </c>
      <c r="I6743" s="35">
        <v>-1.2604494490346181</v>
      </c>
      <c r="J6743" s="35">
        <v>-7.146509008379426E-4</v>
      </c>
      <c r="K6743" s="35">
        <v>-0.67784654897938246</v>
      </c>
      <c r="L6743" s="35">
        <v>-21.335231142750594</v>
      </c>
      <c r="M6743" s="58" t="s">
        <v>24</v>
      </c>
      <c r="N6743" s="7">
        <v>11.333333333333334</v>
      </c>
      <c r="O6743" s="7" t="s">
        <v>178</v>
      </c>
      <c r="P6743" s="7" t="s">
        <v>178</v>
      </c>
    </row>
    <row r="6744" spans="1:16" x14ac:dyDescent="0.25">
      <c r="A6744" t="s">
        <v>183</v>
      </c>
      <c r="B6744" t="s">
        <v>234</v>
      </c>
      <c r="C6744" s="7" t="s">
        <v>175</v>
      </c>
      <c r="D6744" t="s">
        <v>126</v>
      </c>
      <c r="F6744" s="35">
        <v>5.3</v>
      </c>
      <c r="G6744" s="35">
        <v>12.147576990242987</v>
      </c>
      <c r="H6744" s="35">
        <v>16.435178508163251</v>
      </c>
      <c r="I6744" s="35">
        <v>-1.2606334144865337</v>
      </c>
      <c r="J6744" s="35">
        <v>-7.6248639736775994E-4</v>
      </c>
      <c r="K6744" s="35">
        <v>-0.67870874438280815</v>
      </c>
      <c r="L6744" s="35">
        <v>-21.335231142750583</v>
      </c>
      <c r="M6744" s="58" t="s">
        <v>24</v>
      </c>
      <c r="N6744" s="7">
        <v>11.333333333333334</v>
      </c>
      <c r="O6744" s="7" t="s">
        <v>178</v>
      </c>
      <c r="P6744" s="7" t="s">
        <v>178</v>
      </c>
    </row>
    <row r="6745" spans="1:16" x14ac:dyDescent="0.25">
      <c r="A6745" t="s">
        <v>183</v>
      </c>
      <c r="B6745" t="s">
        <v>234</v>
      </c>
      <c r="C6745" s="7" t="s">
        <v>175</v>
      </c>
      <c r="D6745" t="s">
        <v>126</v>
      </c>
      <c r="F6745" s="35">
        <v>5.5393224575487361</v>
      </c>
      <c r="G6745" s="35">
        <v>12.278322438638721</v>
      </c>
      <c r="H6745" s="35">
        <v>14.852060451478364</v>
      </c>
      <c r="I6745" s="35">
        <v>-1.2606334144865337</v>
      </c>
      <c r="J6745" s="35">
        <v>-7.6248639736775994E-4</v>
      </c>
      <c r="K6745" s="35">
        <v>-0.37701085755983643</v>
      </c>
      <c r="L6745" s="35">
        <v>-25.079100601618574</v>
      </c>
      <c r="M6745" s="58" t="s">
        <v>24</v>
      </c>
      <c r="N6745" s="7">
        <v>11.333333333333334</v>
      </c>
      <c r="O6745" s="7" t="s">
        <v>178</v>
      </c>
      <c r="P6745" s="7" t="s">
        <v>178</v>
      </c>
    </row>
    <row r="6746" spans="1:16" x14ac:dyDescent="0.25">
      <c r="A6746" t="s">
        <v>183</v>
      </c>
      <c r="B6746" t="s">
        <v>234</v>
      </c>
      <c r="C6746" s="7" t="s">
        <v>175</v>
      </c>
      <c r="D6746" t="s">
        <v>126</v>
      </c>
      <c r="F6746" s="35">
        <v>11.078644915097472</v>
      </c>
      <c r="G6746" s="35">
        <v>15.304537387034459</v>
      </c>
      <c r="H6746" s="35">
        <v>-21.790557605206534</v>
      </c>
      <c r="I6746" s="35">
        <v>-1.2606334144865337</v>
      </c>
      <c r="J6746" s="35">
        <v>-7.6248639736775994E-4</v>
      </c>
      <c r="K6746" s="35">
        <v>6.6060441260417626</v>
      </c>
      <c r="L6746" s="35">
        <v>-5.8618140489763526</v>
      </c>
      <c r="M6746" s="58" t="s">
        <v>23</v>
      </c>
      <c r="N6746" s="7">
        <v>11.333333333333334</v>
      </c>
      <c r="O6746" s="7" t="s">
        <v>178</v>
      </c>
      <c r="P6746" s="7" t="s">
        <v>178</v>
      </c>
    </row>
    <row r="6747" spans="1:16" x14ac:dyDescent="0.25">
      <c r="A6747" t="s">
        <v>183</v>
      </c>
      <c r="B6747" t="s">
        <v>234</v>
      </c>
      <c r="C6747" s="7" t="s">
        <v>175</v>
      </c>
      <c r="D6747" t="s">
        <v>127</v>
      </c>
      <c r="F6747" s="35">
        <v>0</v>
      </c>
      <c r="G6747" s="35">
        <v>-48.477142675575124</v>
      </c>
      <c r="H6747" s="35">
        <v>27.200816079174551</v>
      </c>
      <c r="I6747" s="35">
        <v>-2.6415223782022834</v>
      </c>
      <c r="J6747" s="35">
        <v>-9.743758331083387E-4</v>
      </c>
      <c r="K6747" s="35">
        <v>-15.901600069247655</v>
      </c>
      <c r="L6747" s="35">
        <v>55.132598301485395</v>
      </c>
      <c r="M6747" s="58" t="s">
        <v>22</v>
      </c>
      <c r="N6747" s="7">
        <v>11.333333333333334</v>
      </c>
      <c r="O6747" s="7" t="s">
        <v>178</v>
      </c>
      <c r="P6747" s="7" t="s">
        <v>178</v>
      </c>
    </row>
    <row r="6748" spans="1:16" x14ac:dyDescent="0.25">
      <c r="A6748" t="s">
        <v>183</v>
      </c>
      <c r="B6748" t="s">
        <v>234</v>
      </c>
      <c r="C6748" s="7" t="s">
        <v>175</v>
      </c>
      <c r="D6748" t="s">
        <v>127</v>
      </c>
      <c r="F6748" s="35">
        <v>0.29999999999999988</v>
      </c>
      <c r="G6748" s="35">
        <v>-48.313248175575126</v>
      </c>
      <c r="H6748" s="35">
        <v>26.010116079174551</v>
      </c>
      <c r="I6748" s="35">
        <v>-2.6415223782022834</v>
      </c>
      <c r="J6748" s="35">
        <v>-9.743758331083387E-4</v>
      </c>
      <c r="K6748" s="35">
        <v>-15.109143355786969</v>
      </c>
      <c r="L6748" s="35">
        <v>47.150958477733035</v>
      </c>
      <c r="M6748" s="58" t="s">
        <v>22</v>
      </c>
      <c r="N6748" s="7">
        <v>11.333333333333334</v>
      </c>
      <c r="O6748" s="7" t="s">
        <v>178</v>
      </c>
      <c r="P6748" s="7" t="s">
        <v>178</v>
      </c>
    </row>
    <row r="6749" spans="1:16" x14ac:dyDescent="0.25">
      <c r="A6749" t="s">
        <v>183</v>
      </c>
      <c r="B6749" t="s">
        <v>234</v>
      </c>
      <c r="C6749" s="7" t="s">
        <v>175</v>
      </c>
      <c r="D6749" t="s">
        <v>127</v>
      </c>
      <c r="F6749" s="35">
        <v>0.29999999999999988</v>
      </c>
      <c r="G6749" s="35">
        <v>12.271746663172392</v>
      </c>
      <c r="H6749" s="35">
        <v>22.421990634880405</v>
      </c>
      <c r="I6749" s="35">
        <v>-2.6415223782023354</v>
      </c>
      <c r="J6749" s="35">
        <v>-5.8276159278137162E-4</v>
      </c>
      <c r="K6749" s="35">
        <v>-15.109119858932557</v>
      </c>
      <c r="L6749" s="35">
        <v>47.150958477733042</v>
      </c>
      <c r="M6749" s="58" t="s">
        <v>22</v>
      </c>
      <c r="N6749" s="7">
        <v>11.333333333333334</v>
      </c>
      <c r="O6749" s="7" t="s">
        <v>178</v>
      </c>
      <c r="P6749" s="7" t="s">
        <v>178</v>
      </c>
    </row>
    <row r="6750" spans="1:16" x14ac:dyDescent="0.25">
      <c r="A6750" t="s">
        <v>183</v>
      </c>
      <c r="B6750" t="s">
        <v>234</v>
      </c>
      <c r="C6750" s="7" t="s">
        <v>175</v>
      </c>
      <c r="D6750" t="s">
        <v>127</v>
      </c>
      <c r="F6750" s="35">
        <v>5.3</v>
      </c>
      <c r="G6750" s="35">
        <v>15.003321663172393</v>
      </c>
      <c r="H6750" s="35">
        <v>2.5769906348804046</v>
      </c>
      <c r="I6750" s="35">
        <v>-2.6415223782023354</v>
      </c>
      <c r="J6750" s="35">
        <v>-5.8276159278137162E-4</v>
      </c>
      <c r="K6750" s="35">
        <v>-1.9015079679208813</v>
      </c>
      <c r="L6750" s="35">
        <v>-15.346494696668975</v>
      </c>
      <c r="M6750" s="58" t="s">
        <v>24</v>
      </c>
      <c r="N6750" s="7">
        <v>11.333333333333334</v>
      </c>
      <c r="O6750" s="7" t="s">
        <v>178</v>
      </c>
      <c r="P6750" s="7" t="s">
        <v>178</v>
      </c>
    </row>
    <row r="6751" spans="1:16" x14ac:dyDescent="0.25">
      <c r="A6751" t="s">
        <v>183</v>
      </c>
      <c r="B6751" t="s">
        <v>234</v>
      </c>
      <c r="C6751" s="7" t="s">
        <v>175</v>
      </c>
      <c r="D6751" t="s">
        <v>127</v>
      </c>
      <c r="F6751" s="35">
        <v>5.3</v>
      </c>
      <c r="G6751" s="35">
        <v>-38.484633028794626</v>
      </c>
      <c r="H6751" s="35">
        <v>9.4455769125743068</v>
      </c>
      <c r="I6751" s="35">
        <v>-2.64139268036479</v>
      </c>
      <c r="J6751" s="35">
        <v>-9.1789660079194676E-4</v>
      </c>
      <c r="K6751" s="35">
        <v>-1.9022226989423741</v>
      </c>
      <c r="L6751" s="35">
        <v>-15.346494696668978</v>
      </c>
      <c r="M6751" s="58" t="s">
        <v>24</v>
      </c>
      <c r="N6751" s="7">
        <v>11.333333333333334</v>
      </c>
      <c r="O6751" s="7" t="s">
        <v>178</v>
      </c>
      <c r="P6751" s="7" t="s">
        <v>178</v>
      </c>
    </row>
    <row r="6752" spans="1:16" x14ac:dyDescent="0.25">
      <c r="A6752" t="s">
        <v>183</v>
      </c>
      <c r="B6752" t="s">
        <v>234</v>
      </c>
      <c r="C6752" s="7" t="s">
        <v>175</v>
      </c>
      <c r="D6752" t="s">
        <v>127</v>
      </c>
      <c r="F6752" s="35">
        <v>5.5393224575487361</v>
      </c>
      <c r="G6752" s="35">
        <v>-38.35388758039889</v>
      </c>
      <c r="H6752" s="35">
        <v>8.4957060785633729</v>
      </c>
      <c r="I6752" s="35">
        <v>-2.64139268036479</v>
      </c>
      <c r="J6752" s="35">
        <v>-9.1789660079194676E-4</v>
      </c>
      <c r="K6752" s="35">
        <v>-1.2700781113262289</v>
      </c>
      <c r="L6752" s="35">
        <v>-17.493370665177181</v>
      </c>
      <c r="M6752" s="58" t="s">
        <v>24</v>
      </c>
      <c r="N6752" s="7">
        <v>11.333333333333334</v>
      </c>
      <c r="O6752" s="7" t="s">
        <v>178</v>
      </c>
      <c r="P6752" s="7" t="s">
        <v>178</v>
      </c>
    </row>
    <row r="6753" spans="1:16" x14ac:dyDescent="0.25">
      <c r="A6753" t="s">
        <v>183</v>
      </c>
      <c r="B6753" t="s">
        <v>234</v>
      </c>
      <c r="C6753" s="7" t="s">
        <v>175</v>
      </c>
      <c r="D6753" t="s">
        <v>127</v>
      </c>
      <c r="F6753" s="35">
        <v>11.078644915097472</v>
      </c>
      <c r="G6753" s="35">
        <v>-35.32767263200315</v>
      </c>
      <c r="H6753" s="35">
        <v>-13.489864755447563</v>
      </c>
      <c r="I6753" s="35">
        <v>-2.64139268036479</v>
      </c>
      <c r="J6753" s="35">
        <v>-9.1789660079194676E-4</v>
      </c>
      <c r="K6753" s="35">
        <v>13.361447682223305</v>
      </c>
      <c r="L6753" s="35">
        <v>-3.6612430074639373</v>
      </c>
      <c r="M6753" s="58" t="s">
        <v>23</v>
      </c>
      <c r="N6753" s="7">
        <v>11.333333333333334</v>
      </c>
      <c r="O6753" s="7" t="s">
        <v>178</v>
      </c>
      <c r="P6753" s="7" t="s">
        <v>178</v>
      </c>
    </row>
    <row r="6754" spans="1:16" x14ac:dyDescent="0.25">
      <c r="A6754" t="s">
        <v>183</v>
      </c>
      <c r="B6754" t="s">
        <v>235</v>
      </c>
      <c r="C6754" s="7" t="s">
        <v>176</v>
      </c>
      <c r="D6754" t="s">
        <v>105</v>
      </c>
      <c r="F6754" s="35">
        <v>0</v>
      </c>
      <c r="G6754" s="35">
        <v>-31.767999682091634</v>
      </c>
      <c r="H6754" s="35">
        <v>-4.9564322381667289E-2</v>
      </c>
      <c r="I6754" s="35">
        <v>-0.17513726970243138</v>
      </c>
      <c r="J6754" s="35">
        <v>5.7903821308861484E-3</v>
      </c>
      <c r="K6754" s="35">
        <v>-0.56988575438322098</v>
      </c>
      <c r="L6754" s="35">
        <v>0.36633914595894046</v>
      </c>
      <c r="M6754" s="58" t="s">
        <v>22</v>
      </c>
      <c r="N6754" s="7">
        <v>10.416666666666666</v>
      </c>
      <c r="O6754" s="7" t="s">
        <v>178</v>
      </c>
      <c r="P6754" s="7" t="s">
        <v>178</v>
      </c>
    </row>
    <row r="6755" spans="1:16" x14ac:dyDescent="0.25">
      <c r="A6755" t="s">
        <v>183</v>
      </c>
      <c r="B6755" t="s">
        <v>235</v>
      </c>
      <c r="C6755" s="7" t="s">
        <v>176</v>
      </c>
      <c r="D6755" t="s">
        <v>105</v>
      </c>
      <c r="F6755" s="35">
        <v>4.5</v>
      </c>
      <c r="G6755" s="35">
        <v>-29.309582182091638</v>
      </c>
      <c r="H6755" s="35">
        <v>-4.9564322381667289E-2</v>
      </c>
      <c r="I6755" s="35">
        <v>-0.17513726970243138</v>
      </c>
      <c r="J6755" s="35">
        <v>5.7903821308861484E-3</v>
      </c>
      <c r="K6755" s="35">
        <v>0.21823195927772007</v>
      </c>
      <c r="L6755" s="35">
        <v>0.58937859667644321</v>
      </c>
      <c r="M6755" s="58" t="s">
        <v>24</v>
      </c>
      <c r="N6755" s="7">
        <v>10.416666666666666</v>
      </c>
      <c r="O6755" s="7" t="s">
        <v>178</v>
      </c>
      <c r="P6755" s="7" t="s">
        <v>178</v>
      </c>
    </row>
    <row r="6756" spans="1:16" x14ac:dyDescent="0.25">
      <c r="A6756" t="s">
        <v>183</v>
      </c>
      <c r="B6756" t="s">
        <v>235</v>
      </c>
      <c r="C6756" s="7" t="s">
        <v>176</v>
      </c>
      <c r="D6756" t="s">
        <v>105</v>
      </c>
      <c r="F6756" s="35">
        <v>4.5</v>
      </c>
      <c r="G6756" s="35">
        <v>-28.523446682759737</v>
      </c>
      <c r="H6756" s="35">
        <v>-4.9633483564566011E-2</v>
      </c>
      <c r="I6756" s="35">
        <v>-0.18394727872850333</v>
      </c>
      <c r="J6756" s="35">
        <v>-4.4042655478065545E-3</v>
      </c>
      <c r="K6756" s="35">
        <v>0.21823186271829317</v>
      </c>
      <c r="L6756" s="35">
        <v>-0.39329161725366063</v>
      </c>
      <c r="M6756" s="58" t="s">
        <v>24</v>
      </c>
      <c r="N6756" s="7">
        <v>10.416666666666666</v>
      </c>
      <c r="O6756" s="7" t="s">
        <v>178</v>
      </c>
      <c r="P6756" s="7" t="s">
        <v>178</v>
      </c>
    </row>
    <row r="6757" spans="1:16" x14ac:dyDescent="0.25">
      <c r="A6757" t="s">
        <v>183</v>
      </c>
      <c r="B6757" t="s">
        <v>235</v>
      </c>
      <c r="C6757" s="7" t="s">
        <v>176</v>
      </c>
      <c r="D6757" t="s">
        <v>105</v>
      </c>
      <c r="F6757" s="35">
        <v>5.0809891242154022</v>
      </c>
      <c r="G6757" s="35">
        <v>-28.206043609363999</v>
      </c>
      <c r="H6757" s="35">
        <v>-4.9633483564566011E-2</v>
      </c>
      <c r="I6757" s="35">
        <v>-0.18394727872850333</v>
      </c>
      <c r="J6757" s="35">
        <v>-4.4042655478065545E-3</v>
      </c>
      <c r="K6757" s="35">
        <v>0.3251032310885727</v>
      </c>
      <c r="L6757" s="35">
        <v>-0.36445510310572377</v>
      </c>
      <c r="M6757" s="58" t="s">
        <v>24</v>
      </c>
      <c r="N6757" s="7">
        <v>10.416666666666666</v>
      </c>
      <c r="O6757" s="7" t="s">
        <v>178</v>
      </c>
      <c r="P6757" s="7" t="s">
        <v>178</v>
      </c>
    </row>
    <row r="6758" spans="1:16" x14ac:dyDescent="0.25">
      <c r="A6758" t="s">
        <v>183</v>
      </c>
      <c r="B6758" t="s">
        <v>235</v>
      </c>
      <c r="C6758" s="7" t="s">
        <v>176</v>
      </c>
      <c r="D6758" t="s">
        <v>105</v>
      </c>
      <c r="F6758" s="35">
        <v>10.161978248430804</v>
      </c>
      <c r="G6758" s="35">
        <v>-25.430223035968261</v>
      </c>
      <c r="H6758" s="35">
        <v>-4.9633483564566011E-2</v>
      </c>
      <c r="I6758" s="35">
        <v>-0.18394727872850333</v>
      </c>
      <c r="J6758" s="35">
        <v>-4.4042655478065545E-3</v>
      </c>
      <c r="K6758" s="35">
        <v>1.2597373537371173</v>
      </c>
      <c r="L6758" s="35">
        <v>-0.11226791291724</v>
      </c>
      <c r="M6758" s="58" t="s">
        <v>23</v>
      </c>
      <c r="N6758" s="7">
        <v>10.416666666666666</v>
      </c>
      <c r="O6758" s="7" t="s">
        <v>178</v>
      </c>
      <c r="P6758" s="7" t="s">
        <v>178</v>
      </c>
    </row>
    <row r="6759" spans="1:16" x14ac:dyDescent="0.25">
      <c r="A6759" t="s">
        <v>183</v>
      </c>
      <c r="B6759" t="s">
        <v>235</v>
      </c>
      <c r="C6759" s="7" t="s">
        <v>176</v>
      </c>
      <c r="D6759" t="s">
        <v>15</v>
      </c>
      <c r="F6759" s="35">
        <v>0</v>
      </c>
      <c r="G6759" s="35">
        <v>26.358680648794138</v>
      </c>
      <c r="H6759" s="35">
        <v>23.099891766554798</v>
      </c>
      <c r="I6759" s="35">
        <v>0.14183997589806246</v>
      </c>
      <c r="J6759" s="35">
        <v>9.3796582765727308E-3</v>
      </c>
      <c r="K6759" s="35">
        <v>0.5352224371287575</v>
      </c>
      <c r="L6759" s="35">
        <v>56.938104991702325</v>
      </c>
      <c r="M6759" s="58" t="s">
        <v>22</v>
      </c>
      <c r="N6759" s="7">
        <v>10.416666666666666</v>
      </c>
      <c r="O6759" s="7" t="s">
        <v>178</v>
      </c>
      <c r="P6759" s="7" t="s">
        <v>178</v>
      </c>
    </row>
    <row r="6760" spans="1:16" x14ac:dyDescent="0.25">
      <c r="A6760" t="s">
        <v>183</v>
      </c>
      <c r="B6760" t="s">
        <v>235</v>
      </c>
      <c r="C6760" s="7" t="s">
        <v>176</v>
      </c>
      <c r="D6760" t="s">
        <v>15</v>
      </c>
      <c r="F6760" s="35">
        <v>4.5</v>
      </c>
      <c r="G6760" s="35">
        <v>28.817098148794138</v>
      </c>
      <c r="H6760" s="35">
        <v>7.7908917665547932</v>
      </c>
      <c r="I6760" s="35">
        <v>0.14183997589806246</v>
      </c>
      <c r="J6760" s="35">
        <v>9.3796582765727308E-3</v>
      </c>
      <c r="K6760" s="35">
        <v>-0.10305745441252349</v>
      </c>
      <c r="L6760" s="35">
        <v>-12.566157957794244</v>
      </c>
      <c r="M6760" s="58" t="s">
        <v>24</v>
      </c>
      <c r="N6760" s="7">
        <v>10.416666666666666</v>
      </c>
      <c r="O6760" s="7" t="s">
        <v>178</v>
      </c>
      <c r="P6760" s="7" t="s">
        <v>178</v>
      </c>
    </row>
    <row r="6761" spans="1:16" x14ac:dyDescent="0.25">
      <c r="A6761" t="s">
        <v>183</v>
      </c>
      <c r="B6761" t="s">
        <v>235</v>
      </c>
      <c r="C6761" s="7" t="s">
        <v>176</v>
      </c>
      <c r="D6761" t="s">
        <v>15</v>
      </c>
      <c r="F6761" s="35">
        <v>4.5</v>
      </c>
      <c r="G6761" s="35">
        <v>29.603233798413022</v>
      </c>
      <c r="H6761" s="35">
        <v>7.7910637976909376</v>
      </c>
      <c r="I6761" s="35">
        <v>0.12989619905637148</v>
      </c>
      <c r="J6761" s="35">
        <v>-5.6740619625293698E-3</v>
      </c>
      <c r="K6761" s="35">
        <v>-0.10305482278340863</v>
      </c>
      <c r="L6761" s="35">
        <v>-13.548760202203141</v>
      </c>
      <c r="M6761" s="58" t="s">
        <v>24</v>
      </c>
      <c r="N6761" s="7">
        <v>10.416666666666666</v>
      </c>
      <c r="O6761" s="7" t="s">
        <v>178</v>
      </c>
      <c r="P6761" s="7" t="s">
        <v>178</v>
      </c>
    </row>
    <row r="6762" spans="1:16" x14ac:dyDescent="0.25">
      <c r="A6762" t="s">
        <v>183</v>
      </c>
      <c r="B6762" t="s">
        <v>235</v>
      </c>
      <c r="C6762" s="7" t="s">
        <v>176</v>
      </c>
      <c r="D6762" t="s">
        <v>15</v>
      </c>
      <c r="F6762" s="35">
        <v>5.0809891242154022</v>
      </c>
      <c r="G6762" s="35">
        <v>29.92063687180876</v>
      </c>
      <c r="H6762" s="35">
        <v>5.8145387971101403</v>
      </c>
      <c r="I6762" s="35">
        <v>0.12989619905637148</v>
      </c>
      <c r="J6762" s="35">
        <v>-5.6740619625293698E-3</v>
      </c>
      <c r="K6762" s="35">
        <v>-0.17852310171207944</v>
      </c>
      <c r="L6762" s="35">
        <v>-17.501113770191282</v>
      </c>
      <c r="M6762" s="58" t="s">
        <v>24</v>
      </c>
      <c r="N6762" s="7">
        <v>10.416666666666666</v>
      </c>
      <c r="O6762" s="7" t="s">
        <v>178</v>
      </c>
      <c r="P6762" s="7" t="s">
        <v>178</v>
      </c>
    </row>
    <row r="6763" spans="1:16" x14ac:dyDescent="0.25">
      <c r="A6763" t="s">
        <v>183</v>
      </c>
      <c r="B6763" t="s">
        <v>235</v>
      </c>
      <c r="C6763" s="7" t="s">
        <v>176</v>
      </c>
      <c r="D6763" t="s">
        <v>15</v>
      </c>
      <c r="F6763" s="35">
        <v>10.161978248430804</v>
      </c>
      <c r="G6763" s="35">
        <v>32.696457445204501</v>
      </c>
      <c r="H6763" s="35">
        <v>-11.470986203470661</v>
      </c>
      <c r="I6763" s="35">
        <v>0.12989619905637148</v>
      </c>
      <c r="J6763" s="35">
        <v>-5.6740619625293698E-3</v>
      </c>
      <c r="K6763" s="35">
        <v>-0.83852427639442173</v>
      </c>
      <c r="L6763" s="35">
        <v>-3.1309398934841757</v>
      </c>
      <c r="M6763" s="58" t="s">
        <v>23</v>
      </c>
      <c r="N6763" s="7">
        <v>10.416666666666666</v>
      </c>
      <c r="O6763" s="7" t="s">
        <v>178</v>
      </c>
      <c r="P6763" s="7" t="s">
        <v>178</v>
      </c>
    </row>
    <row r="6764" spans="1:16" x14ac:dyDescent="0.25">
      <c r="A6764" t="s">
        <v>183</v>
      </c>
      <c r="B6764" t="s">
        <v>235</v>
      </c>
      <c r="C6764" s="7" t="s">
        <v>176</v>
      </c>
      <c r="D6764" t="s">
        <v>16</v>
      </c>
      <c r="F6764" s="35">
        <v>0</v>
      </c>
      <c r="G6764" s="35">
        <v>4.9804894863147409</v>
      </c>
      <c r="H6764" s="35">
        <v>5.4545705367437787</v>
      </c>
      <c r="I6764" s="35">
        <v>4.2640419448277858E-2</v>
      </c>
      <c r="J6764" s="35">
        <v>3.9602062996690491E-3</v>
      </c>
      <c r="K6764" s="35">
        <v>0.17027956787665499</v>
      </c>
      <c r="L6764" s="35">
        <v>16.685747001424005</v>
      </c>
      <c r="M6764" s="58" t="s">
        <v>22</v>
      </c>
      <c r="N6764" s="7">
        <v>10.416666666666666</v>
      </c>
      <c r="O6764" s="7" t="s">
        <v>178</v>
      </c>
      <c r="P6764" s="7" t="s">
        <v>178</v>
      </c>
    </row>
    <row r="6765" spans="1:16" x14ac:dyDescent="0.25">
      <c r="A6765" t="s">
        <v>183</v>
      </c>
      <c r="B6765" t="s">
        <v>235</v>
      </c>
      <c r="C6765" s="7" t="s">
        <v>176</v>
      </c>
      <c r="D6765" t="s">
        <v>16</v>
      </c>
      <c r="F6765" s="35">
        <v>4.5</v>
      </c>
      <c r="G6765" s="35">
        <v>7.4389069863147403</v>
      </c>
      <c r="H6765" s="35">
        <v>2.0525705367437777</v>
      </c>
      <c r="I6765" s="35">
        <v>4.2640419448277858E-2</v>
      </c>
      <c r="J6765" s="35">
        <v>3.9602062996690491E-3</v>
      </c>
      <c r="K6765" s="35">
        <v>-2.1602319640595388E-2</v>
      </c>
      <c r="L6765" s="35">
        <v>-0.20532041392299516</v>
      </c>
      <c r="M6765" s="58" t="s">
        <v>24</v>
      </c>
      <c r="N6765" s="7">
        <v>10.416666666666666</v>
      </c>
      <c r="O6765" s="7" t="s">
        <v>178</v>
      </c>
      <c r="P6765" s="7" t="s">
        <v>178</v>
      </c>
    </row>
    <row r="6766" spans="1:16" x14ac:dyDescent="0.25">
      <c r="A6766" t="s">
        <v>183</v>
      </c>
      <c r="B6766" t="s">
        <v>235</v>
      </c>
      <c r="C6766" s="7" t="s">
        <v>176</v>
      </c>
      <c r="D6766" t="s">
        <v>16</v>
      </c>
      <c r="F6766" s="35">
        <v>4.5</v>
      </c>
      <c r="G6766" s="35">
        <v>8.225042828337914</v>
      </c>
      <c r="H6766" s="35">
        <v>2.0525041498208596</v>
      </c>
      <c r="I6766" s="35">
        <v>3.6512006918047894E-2</v>
      </c>
      <c r="J6766" s="35">
        <v>-3.0657049655860124E-3</v>
      </c>
      <c r="K6766" s="35">
        <v>-2.1601162671828406E-2</v>
      </c>
      <c r="L6766" s="35">
        <v>-1.1879782687995268</v>
      </c>
      <c r="M6766" s="58" t="s">
        <v>24</v>
      </c>
      <c r="N6766" s="7">
        <v>10.416666666666666</v>
      </c>
      <c r="O6766" s="7" t="s">
        <v>178</v>
      </c>
      <c r="P6766" s="7" t="s">
        <v>178</v>
      </c>
    </row>
    <row r="6767" spans="1:16" x14ac:dyDescent="0.25">
      <c r="A6767" t="s">
        <v>183</v>
      </c>
      <c r="B6767" t="s">
        <v>235</v>
      </c>
      <c r="C6767" s="7" t="s">
        <v>176</v>
      </c>
      <c r="D6767" t="s">
        <v>16</v>
      </c>
      <c r="F6767" s="35">
        <v>5.0809891242154022</v>
      </c>
      <c r="G6767" s="35">
        <v>8.5424459017336503</v>
      </c>
      <c r="H6767" s="35">
        <v>1.613276371914016</v>
      </c>
      <c r="I6767" s="35">
        <v>3.6512006918047894E-2</v>
      </c>
      <c r="J6767" s="35">
        <v>-3.0657049655860124E-3</v>
      </c>
      <c r="K6767" s="35">
        <v>-4.281424159449175E-2</v>
      </c>
      <c r="L6767" s="35">
        <v>-2.2528675762438386</v>
      </c>
      <c r="M6767" s="58" t="s">
        <v>24</v>
      </c>
      <c r="N6767" s="7">
        <v>10.416666666666666</v>
      </c>
      <c r="O6767" s="7" t="s">
        <v>178</v>
      </c>
      <c r="P6767" s="7" t="s">
        <v>178</v>
      </c>
    </row>
    <row r="6768" spans="1:16" x14ac:dyDescent="0.25">
      <c r="A6768" t="s">
        <v>183</v>
      </c>
      <c r="B6768" t="s">
        <v>235</v>
      </c>
      <c r="C6768" s="7" t="s">
        <v>176</v>
      </c>
      <c r="D6768" t="s">
        <v>16</v>
      </c>
      <c r="F6768" s="35">
        <v>10.161978248430804</v>
      </c>
      <c r="G6768" s="35">
        <v>11.318266475129388</v>
      </c>
      <c r="H6768" s="35">
        <v>-2.2279514059928278</v>
      </c>
      <c r="I6768" s="35">
        <v>3.6512006918047894E-2</v>
      </c>
      <c r="J6768" s="35">
        <v>-3.0657049655860124E-3</v>
      </c>
      <c r="K6768" s="35">
        <v>-0.22833135164837057</v>
      </c>
      <c r="L6768" s="35">
        <v>-0.69128899470325045</v>
      </c>
      <c r="M6768" s="58" t="s">
        <v>23</v>
      </c>
      <c r="N6768" s="7">
        <v>10.416666666666666</v>
      </c>
      <c r="O6768" s="7" t="s">
        <v>178</v>
      </c>
      <c r="P6768" s="7" t="s">
        <v>178</v>
      </c>
    </row>
    <row r="6769" spans="1:16" x14ac:dyDescent="0.25">
      <c r="A6769" t="s">
        <v>183</v>
      </c>
      <c r="B6769" t="s">
        <v>235</v>
      </c>
      <c r="C6769" s="7" t="s">
        <v>176</v>
      </c>
      <c r="D6769" t="s">
        <v>106</v>
      </c>
      <c r="F6769" s="35">
        <v>0</v>
      </c>
      <c r="G6769" s="35">
        <v>70.024712675671026</v>
      </c>
      <c r="H6769" s="35">
        <v>-23.37581281837052</v>
      </c>
      <c r="I6769" s="35">
        <v>0.64769483411537021</v>
      </c>
      <c r="J6769" s="35">
        <v>6.4578500933039542E-3</v>
      </c>
      <c r="K6769" s="35">
        <v>2.2316049270593412</v>
      </c>
      <c r="L6769" s="35">
        <v>-58.045069110112784</v>
      </c>
      <c r="M6769" s="58" t="s">
        <v>22</v>
      </c>
      <c r="N6769" s="7">
        <v>10.416666666666666</v>
      </c>
      <c r="O6769" s="7" t="s">
        <v>178</v>
      </c>
      <c r="P6769" s="7" t="s">
        <v>178</v>
      </c>
    </row>
    <row r="6770" spans="1:16" x14ac:dyDescent="0.25">
      <c r="A6770" t="s">
        <v>183</v>
      </c>
      <c r="B6770" t="s">
        <v>235</v>
      </c>
      <c r="C6770" s="7" t="s">
        <v>176</v>
      </c>
      <c r="D6770" t="s">
        <v>106</v>
      </c>
      <c r="F6770" s="35">
        <v>4.5</v>
      </c>
      <c r="G6770" s="35">
        <v>72.483130175671022</v>
      </c>
      <c r="H6770" s="35">
        <v>-8.0668128183705168</v>
      </c>
      <c r="I6770" s="35">
        <v>0.64769483411537021</v>
      </c>
      <c r="J6770" s="35">
        <v>6.4578500933039542E-3</v>
      </c>
      <c r="K6770" s="35">
        <v>-0.68302182645982479</v>
      </c>
      <c r="L6770" s="35">
        <v>12.700838572554535</v>
      </c>
      <c r="M6770" s="58" t="s">
        <v>24</v>
      </c>
      <c r="N6770" s="7">
        <v>10.416666666666666</v>
      </c>
      <c r="O6770" s="7" t="s">
        <v>178</v>
      </c>
      <c r="P6770" s="7" t="s">
        <v>178</v>
      </c>
    </row>
    <row r="6771" spans="1:16" x14ac:dyDescent="0.25">
      <c r="A6771" t="s">
        <v>183</v>
      </c>
      <c r="B6771" t="s">
        <v>235</v>
      </c>
      <c r="C6771" s="7" t="s">
        <v>176</v>
      </c>
      <c r="D6771" t="s">
        <v>106</v>
      </c>
      <c r="F6771" s="35">
        <v>4.5</v>
      </c>
      <c r="G6771" s="35">
        <v>73.269266602131552</v>
      </c>
      <c r="H6771" s="35">
        <v>-8.067097766831985</v>
      </c>
      <c r="I6771" s="35">
        <v>0.63588098124004888</v>
      </c>
      <c r="J6771" s="35">
        <v>-6.310724312879339E-3</v>
      </c>
      <c r="K6771" s="35">
        <v>-0.68301894134981211</v>
      </c>
      <c r="L6771" s="35">
        <v>11.718098900190389</v>
      </c>
      <c r="M6771" s="58" t="s">
        <v>24</v>
      </c>
      <c r="N6771" s="7">
        <v>10.416666666666666</v>
      </c>
      <c r="O6771" s="7" t="s">
        <v>178</v>
      </c>
      <c r="P6771" s="7" t="s">
        <v>178</v>
      </c>
    </row>
    <row r="6772" spans="1:16" x14ac:dyDescent="0.25">
      <c r="A6772" t="s">
        <v>183</v>
      </c>
      <c r="B6772" t="s">
        <v>235</v>
      </c>
      <c r="C6772" s="7" t="s">
        <v>176</v>
      </c>
      <c r="D6772" t="s">
        <v>106</v>
      </c>
      <c r="F6772" s="35">
        <v>5.0809891242154022</v>
      </c>
      <c r="G6772" s="35">
        <v>73.58666967552729</v>
      </c>
      <c r="H6772" s="35">
        <v>-6.0905727662511877</v>
      </c>
      <c r="I6772" s="35">
        <v>0.63588098124004888</v>
      </c>
      <c r="J6772" s="35">
        <v>-6.310724312879339E-3</v>
      </c>
      <c r="K6772" s="35">
        <v>-1.0524588757456985</v>
      </c>
      <c r="L6772" s="35">
        <v>15.830825202163487</v>
      </c>
      <c r="M6772" s="58" t="s">
        <v>24</v>
      </c>
      <c r="N6772" s="7">
        <v>10.416666666666666</v>
      </c>
      <c r="O6772" s="7" t="s">
        <v>178</v>
      </c>
      <c r="P6772" s="7" t="s">
        <v>178</v>
      </c>
    </row>
    <row r="6773" spans="1:16" x14ac:dyDescent="0.25">
      <c r="A6773" t="s">
        <v>183</v>
      </c>
      <c r="B6773" t="s">
        <v>235</v>
      </c>
      <c r="C6773" s="7" t="s">
        <v>176</v>
      </c>
      <c r="D6773" t="s">
        <v>106</v>
      </c>
      <c r="F6773" s="35">
        <v>10.161978248430804</v>
      </c>
      <c r="G6773" s="35">
        <v>76.362490248923024</v>
      </c>
      <c r="H6773" s="35">
        <v>11.194952234329614</v>
      </c>
      <c r="I6773" s="35">
        <v>0.63588098124004888</v>
      </c>
      <c r="J6773" s="35">
        <v>-6.310724312879339E-3</v>
      </c>
      <c r="K6773" s="35">
        <v>-4.2833632257218053</v>
      </c>
      <c r="L6773" s="35">
        <v>2.8631769205760529</v>
      </c>
      <c r="M6773" s="58" t="s">
        <v>23</v>
      </c>
      <c r="N6773" s="7">
        <v>10.416666666666666</v>
      </c>
      <c r="O6773" s="7" t="s">
        <v>178</v>
      </c>
      <c r="P6773" s="7" t="s">
        <v>178</v>
      </c>
    </row>
    <row r="6774" spans="1:16" x14ac:dyDescent="0.25">
      <c r="A6774" t="s">
        <v>183</v>
      </c>
      <c r="B6774" t="s">
        <v>235</v>
      </c>
      <c r="C6774" s="7" t="s">
        <v>176</v>
      </c>
      <c r="D6774" t="s">
        <v>107</v>
      </c>
      <c r="F6774" s="35">
        <v>0</v>
      </c>
      <c r="G6774" s="35">
        <v>48.41771781972929</v>
      </c>
      <c r="H6774" s="35">
        <v>-41.021126443004903</v>
      </c>
      <c r="I6774" s="35">
        <v>0.52827053188004147</v>
      </c>
      <c r="J6774" s="35">
        <v>1.2977088270705722E-3</v>
      </c>
      <c r="K6774" s="35">
        <v>1.796261592030868</v>
      </c>
      <c r="L6774" s="35">
        <v>-98.297392774986847</v>
      </c>
      <c r="M6774" s="58" t="s">
        <v>22</v>
      </c>
      <c r="N6774" s="7">
        <v>10.416666666666666</v>
      </c>
      <c r="O6774" s="7" t="s">
        <v>178</v>
      </c>
      <c r="P6774" s="7" t="s">
        <v>178</v>
      </c>
    </row>
    <row r="6775" spans="1:16" x14ac:dyDescent="0.25">
      <c r="A6775" t="s">
        <v>183</v>
      </c>
      <c r="B6775" t="s">
        <v>235</v>
      </c>
      <c r="C6775" s="7" t="s">
        <v>176</v>
      </c>
      <c r="D6775" t="s">
        <v>107</v>
      </c>
      <c r="F6775" s="35">
        <v>4.5</v>
      </c>
      <c r="G6775" s="35">
        <v>50.876135319729293</v>
      </c>
      <c r="H6775" s="35">
        <v>-13.805126443004903</v>
      </c>
      <c r="I6775" s="35">
        <v>0.52827053188004147</v>
      </c>
      <c r="J6775" s="35">
        <v>1.2977088270705722E-3</v>
      </c>
      <c r="K6775" s="35">
        <v>-0.58095580142931869</v>
      </c>
      <c r="L6775" s="35">
        <v>25.061676218535204</v>
      </c>
      <c r="M6775" s="58" t="s">
        <v>24</v>
      </c>
      <c r="N6775" s="7">
        <v>10.416666666666666</v>
      </c>
      <c r="O6775" s="7" t="s">
        <v>178</v>
      </c>
      <c r="P6775" s="7" t="s">
        <v>178</v>
      </c>
    </row>
    <row r="6776" spans="1:16" x14ac:dyDescent="0.25">
      <c r="A6776" t="s">
        <v>183</v>
      </c>
      <c r="B6776" t="s">
        <v>235</v>
      </c>
      <c r="C6776" s="7" t="s">
        <v>176</v>
      </c>
      <c r="D6776" t="s">
        <v>107</v>
      </c>
      <c r="F6776" s="35">
        <v>4.5</v>
      </c>
      <c r="G6776" s="35">
        <v>51.662271933435839</v>
      </c>
      <c r="H6776" s="35">
        <v>-13.805653706876619</v>
      </c>
      <c r="I6776" s="35">
        <v>0.52187711656137925</v>
      </c>
      <c r="J6776" s="35">
        <v>-3.8965186915037894E-3</v>
      </c>
      <c r="K6776" s="35">
        <v>-0.58095449593142778</v>
      </c>
      <c r="L6776" s="35">
        <v>24.078880977300333</v>
      </c>
      <c r="M6776" s="58" t="s">
        <v>24</v>
      </c>
      <c r="N6776" s="7">
        <v>10.416666666666666</v>
      </c>
      <c r="O6776" s="7" t="s">
        <v>178</v>
      </c>
      <c r="P6776" s="7" t="s">
        <v>178</v>
      </c>
    </row>
    <row r="6777" spans="1:16" x14ac:dyDescent="0.25">
      <c r="A6777" t="s">
        <v>183</v>
      </c>
      <c r="B6777" t="s">
        <v>235</v>
      </c>
      <c r="C6777" s="7" t="s">
        <v>176</v>
      </c>
      <c r="D6777" t="s">
        <v>107</v>
      </c>
      <c r="F6777" s="35">
        <v>5.0809891242154022</v>
      </c>
      <c r="G6777" s="35">
        <v>51.979675006831577</v>
      </c>
      <c r="H6777" s="35">
        <v>-10.291831483621868</v>
      </c>
      <c r="I6777" s="35">
        <v>0.52187711656137925</v>
      </c>
      <c r="J6777" s="35">
        <v>-3.8965186915037894E-3</v>
      </c>
      <c r="K6777" s="35">
        <v>-0.88415942483048282</v>
      </c>
      <c r="L6777" s="35">
        <v>31.079069385610996</v>
      </c>
      <c r="M6777" s="58" t="s">
        <v>24</v>
      </c>
      <c r="N6777" s="7">
        <v>10.416666666666666</v>
      </c>
      <c r="O6777" s="7" t="s">
        <v>178</v>
      </c>
      <c r="P6777" s="7" t="s">
        <v>178</v>
      </c>
    </row>
    <row r="6778" spans="1:16" x14ac:dyDescent="0.25">
      <c r="A6778" t="s">
        <v>183</v>
      </c>
      <c r="B6778" t="s">
        <v>235</v>
      </c>
      <c r="C6778" s="7" t="s">
        <v>176</v>
      </c>
      <c r="D6778" t="s">
        <v>107</v>
      </c>
      <c r="F6778" s="35">
        <v>10.161978248430804</v>
      </c>
      <c r="G6778" s="35">
        <v>54.755495580227311</v>
      </c>
      <c r="H6778" s="35">
        <v>20.43799073963288</v>
      </c>
      <c r="I6778" s="35">
        <v>0.52187711656137925</v>
      </c>
      <c r="J6778" s="35">
        <v>-3.8965186915037894E-3</v>
      </c>
      <c r="K6778" s="35">
        <v>-3.5358113782557439</v>
      </c>
      <c r="L6778" s="35">
        <v>5.3028069694363094</v>
      </c>
      <c r="M6778" s="58" t="s">
        <v>23</v>
      </c>
      <c r="N6778" s="7">
        <v>10.416666666666666</v>
      </c>
      <c r="O6778" s="7" t="s">
        <v>178</v>
      </c>
      <c r="P6778" s="7" t="s">
        <v>178</v>
      </c>
    </row>
    <row r="6779" spans="1:16" x14ac:dyDescent="0.25">
      <c r="A6779" t="s">
        <v>183</v>
      </c>
      <c r="B6779" t="s">
        <v>235</v>
      </c>
      <c r="C6779" s="7" t="s">
        <v>176</v>
      </c>
      <c r="D6779" t="s">
        <v>108</v>
      </c>
      <c r="F6779" s="35">
        <v>0</v>
      </c>
      <c r="G6779" s="35">
        <v>26.333026625261308</v>
      </c>
      <c r="H6779" s="35">
        <v>44.057293100266456</v>
      </c>
      <c r="I6779" s="35">
        <v>1.8028193887118642</v>
      </c>
      <c r="J6779" s="35">
        <v>9.0124646695917306E-3</v>
      </c>
      <c r="K6779" s="35">
        <v>9.3902286803864943</v>
      </c>
      <c r="L6779" s="35">
        <v>100.93183913553568</v>
      </c>
      <c r="M6779" s="58" t="s">
        <v>22</v>
      </c>
      <c r="N6779" s="7">
        <v>10.416666666666666</v>
      </c>
      <c r="O6779" s="7" t="s">
        <v>178</v>
      </c>
      <c r="P6779" s="7" t="s">
        <v>178</v>
      </c>
    </row>
    <row r="6780" spans="1:16" x14ac:dyDescent="0.25">
      <c r="A6780" t="s">
        <v>183</v>
      </c>
      <c r="B6780" t="s">
        <v>235</v>
      </c>
      <c r="C6780" s="7" t="s">
        <v>176</v>
      </c>
      <c r="D6780" t="s">
        <v>108</v>
      </c>
      <c r="F6780" s="35">
        <v>4.5</v>
      </c>
      <c r="G6780" s="35">
        <v>28.791444125261307</v>
      </c>
      <c r="H6780" s="35">
        <v>14.289793100266447</v>
      </c>
      <c r="I6780" s="35">
        <v>1.8028193887118642</v>
      </c>
      <c r="J6780" s="35">
        <v>9.0124646695917306E-3</v>
      </c>
      <c r="K6780" s="35">
        <v>1.2775414311831066</v>
      </c>
      <c r="L6780" s="35">
        <v>-30.349104815663335</v>
      </c>
      <c r="M6780" s="58" t="s">
        <v>24</v>
      </c>
      <c r="N6780" s="7">
        <v>10.416666666666666</v>
      </c>
      <c r="O6780" s="7" t="s">
        <v>178</v>
      </c>
      <c r="P6780" s="7" t="s">
        <v>178</v>
      </c>
    </row>
    <row r="6781" spans="1:16" x14ac:dyDescent="0.25">
      <c r="A6781" t="s">
        <v>183</v>
      </c>
      <c r="B6781" t="s">
        <v>235</v>
      </c>
      <c r="C6781" s="7" t="s">
        <v>176</v>
      </c>
      <c r="D6781" t="s">
        <v>108</v>
      </c>
      <c r="F6781" s="35">
        <v>4.5</v>
      </c>
      <c r="G6781" s="35">
        <v>29.57757490502004</v>
      </c>
      <c r="H6781" s="35">
        <v>14.2904714591977</v>
      </c>
      <c r="I6781" s="35">
        <v>1.7952713893383883</v>
      </c>
      <c r="J6781" s="35">
        <v>-3.0915073094438732E-3</v>
      </c>
      <c r="K6781" s="35">
        <v>1.2775662674120414</v>
      </c>
      <c r="L6781" s="35">
        <v>-31.331629850942111</v>
      </c>
      <c r="M6781" s="58" t="s">
        <v>24</v>
      </c>
      <c r="N6781" s="7">
        <v>10.416666666666666</v>
      </c>
      <c r="O6781" s="7" t="s">
        <v>178</v>
      </c>
      <c r="P6781" s="7" t="s">
        <v>178</v>
      </c>
    </row>
    <row r="6782" spans="1:16" x14ac:dyDescent="0.25">
      <c r="A6782" t="s">
        <v>183</v>
      </c>
      <c r="B6782" t="s">
        <v>235</v>
      </c>
      <c r="C6782" s="7" t="s">
        <v>176</v>
      </c>
      <c r="D6782" t="s">
        <v>108</v>
      </c>
      <c r="F6782" s="35">
        <v>5.0809891242154022</v>
      </c>
      <c r="G6782" s="35">
        <v>29.894977978415778</v>
      </c>
      <c r="H6782" s="35">
        <v>10.447228402512817</v>
      </c>
      <c r="I6782" s="35">
        <v>1.7952713893383883</v>
      </c>
      <c r="J6782" s="35">
        <v>-3.0915073094438732E-3</v>
      </c>
      <c r="K6782" s="35">
        <v>0.23453311519136344</v>
      </c>
      <c r="L6782" s="35">
        <v>-38.517797139821447</v>
      </c>
      <c r="M6782" s="58" t="s">
        <v>24</v>
      </c>
      <c r="N6782" s="7">
        <v>10.416666666666666</v>
      </c>
      <c r="O6782" s="7" t="s">
        <v>178</v>
      </c>
      <c r="P6782" s="7" t="s">
        <v>178</v>
      </c>
    </row>
    <row r="6783" spans="1:16" x14ac:dyDescent="0.25">
      <c r="A6783" t="s">
        <v>183</v>
      </c>
      <c r="B6783" t="s">
        <v>235</v>
      </c>
      <c r="C6783" s="7" t="s">
        <v>176</v>
      </c>
      <c r="D6783" t="s">
        <v>108</v>
      </c>
      <c r="F6783" s="35">
        <v>10.161978248430804</v>
      </c>
      <c r="G6783" s="35">
        <v>32.670798551811515</v>
      </c>
      <c r="H6783" s="35">
        <v>-23.163514654172072</v>
      </c>
      <c r="I6783" s="35">
        <v>1.7952713893383883</v>
      </c>
      <c r="J6783" s="35">
        <v>-3.0915073094438732E-3</v>
      </c>
      <c r="K6783" s="35">
        <v>-8.8872212890520608</v>
      </c>
      <c r="L6783" s="35">
        <v>-6.212141067276197</v>
      </c>
      <c r="M6783" s="58" t="s">
        <v>23</v>
      </c>
      <c r="N6783" s="7">
        <v>10.416666666666666</v>
      </c>
      <c r="O6783" s="7" t="s">
        <v>178</v>
      </c>
      <c r="P6783" s="7" t="s">
        <v>178</v>
      </c>
    </row>
    <row r="6784" spans="1:16" x14ac:dyDescent="0.25">
      <c r="A6784" t="s">
        <v>183</v>
      </c>
      <c r="B6784" t="s">
        <v>235</v>
      </c>
      <c r="C6784" s="7" t="s">
        <v>176</v>
      </c>
      <c r="D6784" t="s">
        <v>109</v>
      </c>
      <c r="F6784" s="35">
        <v>0</v>
      </c>
      <c r="G6784" s="35">
        <v>0.64229848571468018</v>
      </c>
      <c r="H6784" s="35">
        <v>26.44998858567239</v>
      </c>
      <c r="I6784" s="35">
        <v>3.7381640893060442</v>
      </c>
      <c r="J6784" s="35">
        <v>5.3517846360697551E-3</v>
      </c>
      <c r="K6784" s="35">
        <v>20.034892015026422</v>
      </c>
      <c r="L6784" s="35">
        <v>61.075105368704179</v>
      </c>
      <c r="M6784" s="58" t="s">
        <v>22</v>
      </c>
      <c r="N6784" s="7">
        <v>10.416666666666666</v>
      </c>
      <c r="O6784" s="7" t="s">
        <v>178</v>
      </c>
      <c r="P6784" s="7" t="s">
        <v>178</v>
      </c>
    </row>
    <row r="6785" spans="1:16" x14ac:dyDescent="0.25">
      <c r="A6785" t="s">
        <v>183</v>
      </c>
      <c r="B6785" t="s">
        <v>235</v>
      </c>
      <c r="C6785" s="7" t="s">
        <v>176</v>
      </c>
      <c r="D6785" t="s">
        <v>109</v>
      </c>
      <c r="F6785" s="35">
        <v>4.5</v>
      </c>
      <c r="G6785" s="35">
        <v>3.1007159857146793</v>
      </c>
      <c r="H6785" s="35">
        <v>8.5894885856723864</v>
      </c>
      <c r="I6785" s="35">
        <v>3.7381640893060442</v>
      </c>
      <c r="J6785" s="35">
        <v>5.3517846360697551E-3</v>
      </c>
      <c r="K6785" s="35">
        <v>3.2131536131492258</v>
      </c>
      <c r="L6785" s="35">
        <v>-17.763718266821559</v>
      </c>
      <c r="M6785" s="58" t="s">
        <v>24</v>
      </c>
      <c r="N6785" s="7">
        <v>10.416666666666666</v>
      </c>
      <c r="O6785" s="7" t="s">
        <v>178</v>
      </c>
      <c r="P6785" s="7" t="s">
        <v>178</v>
      </c>
    </row>
    <row r="6786" spans="1:16" x14ac:dyDescent="0.25">
      <c r="A6786" t="s">
        <v>183</v>
      </c>
      <c r="B6786" t="s">
        <v>235</v>
      </c>
      <c r="C6786" s="7" t="s">
        <v>176</v>
      </c>
      <c r="D6786" t="s">
        <v>109</v>
      </c>
      <c r="F6786" s="35">
        <v>4.5</v>
      </c>
      <c r="G6786" s="35">
        <v>3.8868408359339184</v>
      </c>
      <c r="H6786" s="35">
        <v>8.5898919772421962</v>
      </c>
      <c r="I6786" s="35">
        <v>3.733637740734185</v>
      </c>
      <c r="J6786" s="35">
        <v>-1.8902067826110642E-3</v>
      </c>
      <c r="K6786" s="35">
        <v>3.2132034120898063</v>
      </c>
      <c r="L6786" s="35">
        <v>-18.746293184256363</v>
      </c>
      <c r="M6786" s="58" t="s">
        <v>24</v>
      </c>
      <c r="N6786" s="7">
        <v>10.416666666666666</v>
      </c>
      <c r="O6786" s="7" t="s">
        <v>178</v>
      </c>
      <c r="P6786" s="7" t="s">
        <v>178</v>
      </c>
    </row>
    <row r="6787" spans="1:16" x14ac:dyDescent="0.25">
      <c r="A6787" t="s">
        <v>183</v>
      </c>
      <c r="B6787" t="s">
        <v>235</v>
      </c>
      <c r="C6787" s="7" t="s">
        <v>176</v>
      </c>
      <c r="D6787" t="s">
        <v>109</v>
      </c>
      <c r="F6787" s="35">
        <v>5.0809891242154022</v>
      </c>
      <c r="G6787" s="35">
        <v>4.2042439093296551</v>
      </c>
      <c r="H6787" s="35">
        <v>6.2839461432312653</v>
      </c>
      <c r="I6787" s="35">
        <v>3.733637740734185</v>
      </c>
      <c r="J6787" s="35">
        <v>-1.8902067826110642E-3</v>
      </c>
      <c r="K6787" s="35">
        <v>1.0440004909630809</v>
      </c>
      <c r="L6787" s="35">
        <v>-23.06706227592413</v>
      </c>
      <c r="M6787" s="58" t="s">
        <v>24</v>
      </c>
      <c r="N6787" s="7">
        <v>10.416666666666666</v>
      </c>
      <c r="O6787" s="7" t="s">
        <v>178</v>
      </c>
      <c r="P6787" s="7" t="s">
        <v>178</v>
      </c>
    </row>
    <row r="6788" spans="1:16" x14ac:dyDescent="0.25">
      <c r="A6788" t="s">
        <v>183</v>
      </c>
      <c r="B6788" t="s">
        <v>235</v>
      </c>
      <c r="C6788" s="7" t="s">
        <v>176</v>
      </c>
      <c r="D6788" t="s">
        <v>109</v>
      </c>
      <c r="F6788" s="35">
        <v>10.161978248430804</v>
      </c>
      <c r="G6788" s="35">
        <v>6.9800644827253935</v>
      </c>
      <c r="H6788" s="35">
        <v>-13.882499690779664</v>
      </c>
      <c r="I6788" s="35">
        <v>3.733637740734185</v>
      </c>
      <c r="J6788" s="35">
        <v>-1.8902067826110642E-3</v>
      </c>
      <c r="K6788" s="35">
        <v>-17.926572263467474</v>
      </c>
      <c r="L6788" s="35">
        <v>-3.7629783084932464</v>
      </c>
      <c r="M6788" s="58" t="s">
        <v>23</v>
      </c>
      <c r="N6788" s="7">
        <v>10.416666666666666</v>
      </c>
      <c r="O6788" s="7" t="s">
        <v>178</v>
      </c>
      <c r="P6788" s="7" t="s">
        <v>178</v>
      </c>
    </row>
    <row r="6789" spans="1:16" x14ac:dyDescent="0.25">
      <c r="A6789" t="s">
        <v>183</v>
      </c>
      <c r="B6789" t="s">
        <v>235</v>
      </c>
      <c r="C6789" s="7" t="s">
        <v>176</v>
      </c>
      <c r="D6789" t="s">
        <v>110</v>
      </c>
      <c r="F6789" s="35">
        <v>0</v>
      </c>
      <c r="G6789" s="35">
        <v>29.284381091291706</v>
      </c>
      <c r="H6789" s="35">
        <v>44.083134559026433</v>
      </c>
      <c r="I6789" s="35">
        <v>-0.96870981724778749</v>
      </c>
      <c r="J6789" s="35">
        <v>-2.056696537682174E-2</v>
      </c>
      <c r="K6789" s="35">
        <v>-6.3588947050736877</v>
      </c>
      <c r="L6789" s="35">
        <v>101.20346642436193</v>
      </c>
      <c r="M6789" s="58" t="s">
        <v>22</v>
      </c>
      <c r="N6789" s="7">
        <v>10.416666666666666</v>
      </c>
      <c r="O6789" s="7" t="s">
        <v>178</v>
      </c>
      <c r="P6789" s="7" t="s">
        <v>178</v>
      </c>
    </row>
    <row r="6790" spans="1:16" x14ac:dyDescent="0.25">
      <c r="A6790" t="s">
        <v>183</v>
      </c>
      <c r="B6790" t="s">
        <v>235</v>
      </c>
      <c r="C6790" s="7" t="s">
        <v>176</v>
      </c>
      <c r="D6790" t="s">
        <v>110</v>
      </c>
      <c r="F6790" s="35">
        <v>4.5</v>
      </c>
      <c r="G6790" s="35">
        <v>31.742798591291702</v>
      </c>
      <c r="H6790" s="35">
        <v>14.315634559026426</v>
      </c>
      <c r="I6790" s="35">
        <v>-0.96870981724778749</v>
      </c>
      <c r="J6790" s="35">
        <v>-2.056696537682174E-2</v>
      </c>
      <c r="K6790" s="35">
        <v>-1.9997005274586437</v>
      </c>
      <c r="L6790" s="35">
        <v>-30.19376409125697</v>
      </c>
      <c r="M6790" s="58" t="s">
        <v>24</v>
      </c>
      <c r="N6790" s="7">
        <v>10.416666666666666</v>
      </c>
      <c r="O6790" s="7" t="s">
        <v>178</v>
      </c>
      <c r="P6790" s="7" t="s">
        <v>178</v>
      </c>
    </row>
    <row r="6791" spans="1:16" x14ac:dyDescent="0.25">
      <c r="A6791" t="s">
        <v>183</v>
      </c>
      <c r="B6791" t="s">
        <v>235</v>
      </c>
      <c r="C6791" s="7" t="s">
        <v>176</v>
      </c>
      <c r="D6791" t="s">
        <v>110</v>
      </c>
      <c r="F6791" s="35">
        <v>4.5</v>
      </c>
      <c r="G6791" s="35">
        <v>32.528939885917424</v>
      </c>
      <c r="H6791" s="35">
        <v>14.316384179099774</v>
      </c>
      <c r="I6791" s="35">
        <v>-0.9325305107013937</v>
      </c>
      <c r="J6791" s="35">
        <v>1.9147409019000448E-2</v>
      </c>
      <c r="K6791" s="35">
        <v>-1.9997149657723254</v>
      </c>
      <c r="L6791" s="35">
        <v>-31.176314459563756</v>
      </c>
      <c r="M6791" s="58" t="s">
        <v>24</v>
      </c>
      <c r="N6791" s="7">
        <v>10.416666666666666</v>
      </c>
      <c r="O6791" s="7" t="s">
        <v>178</v>
      </c>
      <c r="P6791" s="7" t="s">
        <v>178</v>
      </c>
    </row>
    <row r="6792" spans="1:16" x14ac:dyDescent="0.25">
      <c r="A6792" t="s">
        <v>183</v>
      </c>
      <c r="B6792" t="s">
        <v>235</v>
      </c>
      <c r="C6792" s="7" t="s">
        <v>176</v>
      </c>
      <c r="D6792" t="s">
        <v>110</v>
      </c>
      <c r="F6792" s="35">
        <v>5.0809891242154022</v>
      </c>
      <c r="G6792" s="35">
        <v>32.846342959313169</v>
      </c>
      <c r="H6792" s="35">
        <v>10.473141122414891</v>
      </c>
      <c r="I6792" s="35">
        <v>-0.9325305107013937</v>
      </c>
      <c r="J6792" s="35">
        <v>1.9147409019000448E-2</v>
      </c>
      <c r="K6792" s="35">
        <v>-1.4579248810557817</v>
      </c>
      <c r="L6792" s="35">
        <v>-38.377536756885029</v>
      </c>
      <c r="M6792" s="58" t="s">
        <v>24</v>
      </c>
      <c r="N6792" s="7">
        <v>10.416666666666666</v>
      </c>
      <c r="O6792" s="7" t="s">
        <v>178</v>
      </c>
      <c r="P6792" s="7" t="s">
        <v>178</v>
      </c>
    </row>
    <row r="6793" spans="1:16" x14ac:dyDescent="0.25">
      <c r="A6793" t="s">
        <v>183</v>
      </c>
      <c r="B6793" t="s">
        <v>235</v>
      </c>
      <c r="C6793" s="7" t="s">
        <v>176</v>
      </c>
      <c r="D6793" t="s">
        <v>110</v>
      </c>
      <c r="F6793" s="35">
        <v>10.161978248430804</v>
      </c>
      <c r="G6793" s="35">
        <v>35.622163532708903</v>
      </c>
      <c r="H6793" s="35">
        <v>-23.137601934269995</v>
      </c>
      <c r="I6793" s="35">
        <v>-0.9325305107013937</v>
      </c>
      <c r="J6793" s="35">
        <v>1.9147409019000448E-2</v>
      </c>
      <c r="K6793" s="35">
        <v>3.2802525018170337</v>
      </c>
      <c r="L6793" s="35">
        <v>-6.2035429323410476</v>
      </c>
      <c r="M6793" s="58" t="s">
        <v>23</v>
      </c>
      <c r="N6793" s="7">
        <v>10.416666666666666</v>
      </c>
      <c r="O6793" s="7" t="s">
        <v>178</v>
      </c>
      <c r="P6793" s="7" t="s">
        <v>178</v>
      </c>
    </row>
    <row r="6794" spans="1:16" x14ac:dyDescent="0.25">
      <c r="A6794" t="s">
        <v>183</v>
      </c>
      <c r="B6794" t="s">
        <v>235</v>
      </c>
      <c r="C6794" s="7" t="s">
        <v>176</v>
      </c>
      <c r="D6794" t="s">
        <v>111</v>
      </c>
      <c r="F6794" s="35">
        <v>0</v>
      </c>
      <c r="G6794" s="35">
        <v>-29.40649403711824</v>
      </c>
      <c r="H6794" s="35">
        <v>26.484866212470848</v>
      </c>
      <c r="I6794" s="35">
        <v>-3.6417529088641483</v>
      </c>
      <c r="J6794" s="35">
        <v>-1.3650435604683774E-2</v>
      </c>
      <c r="K6794" s="35">
        <v>-19.527815561106451</v>
      </c>
      <c r="L6794" s="35">
        <v>61.438540372408859</v>
      </c>
      <c r="M6794" s="58" t="s">
        <v>22</v>
      </c>
      <c r="N6794" s="7">
        <v>10.416666666666666</v>
      </c>
      <c r="O6794" s="7" t="s">
        <v>178</v>
      </c>
      <c r="P6794" s="7" t="s">
        <v>178</v>
      </c>
    </row>
    <row r="6795" spans="1:16" x14ac:dyDescent="0.25">
      <c r="A6795" t="s">
        <v>183</v>
      </c>
      <c r="B6795" t="s">
        <v>235</v>
      </c>
      <c r="C6795" s="7" t="s">
        <v>176</v>
      </c>
      <c r="D6795" t="s">
        <v>111</v>
      </c>
      <c r="F6795" s="35">
        <v>4.5</v>
      </c>
      <c r="G6795" s="35">
        <v>-26.94807653711824</v>
      </c>
      <c r="H6795" s="35">
        <v>8.6243662124708464</v>
      </c>
      <c r="I6795" s="35">
        <v>-3.6417529088641483</v>
      </c>
      <c r="J6795" s="35">
        <v>-1.3650435604683774E-2</v>
      </c>
      <c r="K6795" s="35">
        <v>-3.1399274712177836</v>
      </c>
      <c r="L6795" s="35">
        <v>-17.557232583709951</v>
      </c>
      <c r="M6795" s="58" t="s">
        <v>24</v>
      </c>
      <c r="N6795" s="7">
        <v>10.416666666666666</v>
      </c>
      <c r="O6795" s="7" t="s">
        <v>178</v>
      </c>
      <c r="P6795" s="7" t="s">
        <v>178</v>
      </c>
    </row>
    <row r="6796" spans="1:16" x14ac:dyDescent="0.25">
      <c r="A6796" t="s">
        <v>183</v>
      </c>
      <c r="B6796" t="s">
        <v>235</v>
      </c>
      <c r="C6796" s="7" t="s">
        <v>176</v>
      </c>
      <c r="D6796" t="s">
        <v>111</v>
      </c>
      <c r="F6796" s="35">
        <v>4.5</v>
      </c>
      <c r="G6796" s="35">
        <v>-26.161929908588757</v>
      </c>
      <c r="H6796" s="35">
        <v>8.6246731578590481</v>
      </c>
      <c r="I6796" s="35">
        <v>-3.6187160611529134</v>
      </c>
      <c r="J6796" s="35">
        <v>1.2403377965614547E-2</v>
      </c>
      <c r="K6796" s="35">
        <v>-3.1399723649095148</v>
      </c>
      <c r="L6796" s="35">
        <v>-18.539845638441136</v>
      </c>
      <c r="M6796" s="58" t="s">
        <v>24</v>
      </c>
      <c r="N6796" s="7">
        <v>10.416666666666666</v>
      </c>
      <c r="O6796" s="7" t="s">
        <v>178</v>
      </c>
      <c r="P6796" s="7" t="s">
        <v>178</v>
      </c>
    </row>
    <row r="6797" spans="1:16" x14ac:dyDescent="0.25">
      <c r="A6797" t="s">
        <v>183</v>
      </c>
      <c r="B6797" t="s">
        <v>235</v>
      </c>
      <c r="C6797" s="7" t="s">
        <v>176</v>
      </c>
      <c r="D6797" t="s">
        <v>111</v>
      </c>
      <c r="F6797" s="35">
        <v>5.0809891242154022</v>
      </c>
      <c r="G6797" s="35">
        <v>-25.844526835193019</v>
      </c>
      <c r="H6797" s="35">
        <v>6.3187273238481172</v>
      </c>
      <c r="I6797" s="35">
        <v>-3.6187160611529134</v>
      </c>
      <c r="J6797" s="35">
        <v>1.2403377965614547E-2</v>
      </c>
      <c r="K6797" s="35">
        <v>-1.0375376897560753</v>
      </c>
      <c r="L6797" s="35">
        <v>-22.880822217774668</v>
      </c>
      <c r="M6797" s="58" t="s">
        <v>24</v>
      </c>
      <c r="N6797" s="7">
        <v>10.416666666666666</v>
      </c>
      <c r="O6797" s="7" t="s">
        <v>178</v>
      </c>
      <c r="P6797" s="7" t="s">
        <v>178</v>
      </c>
    </row>
    <row r="6798" spans="1:16" x14ac:dyDescent="0.25">
      <c r="A6798" t="s">
        <v>183</v>
      </c>
      <c r="B6798" t="s">
        <v>235</v>
      </c>
      <c r="C6798" s="7" t="s">
        <v>176</v>
      </c>
      <c r="D6798" t="s">
        <v>111</v>
      </c>
      <c r="F6798" s="35">
        <v>10.161978248430804</v>
      </c>
      <c r="G6798" s="35">
        <v>-23.068706261797281</v>
      </c>
      <c r="H6798" s="35">
        <v>-13.847718510162812</v>
      </c>
      <c r="I6798" s="35">
        <v>-3.6187160611529134</v>
      </c>
      <c r="J6798" s="35">
        <v>1.2403377965614547E-2</v>
      </c>
      <c r="K6798" s="35">
        <v>17.349119260585475</v>
      </c>
      <c r="L6798" s="35">
        <v>-3.7534610507853818</v>
      </c>
      <c r="M6798" s="58" t="s">
        <v>23</v>
      </c>
      <c r="N6798" s="7">
        <v>10.416666666666666</v>
      </c>
      <c r="O6798" s="7" t="s">
        <v>178</v>
      </c>
      <c r="P6798" s="7" t="s">
        <v>178</v>
      </c>
    </row>
    <row r="6799" spans="1:16" x14ac:dyDescent="0.25">
      <c r="A6799" t="s">
        <v>183</v>
      </c>
      <c r="B6799" t="s">
        <v>235</v>
      </c>
      <c r="C6799" s="7" t="s">
        <v>176</v>
      </c>
      <c r="D6799" t="s">
        <v>112</v>
      </c>
      <c r="F6799" s="35">
        <v>0</v>
      </c>
      <c r="G6799" s="35">
        <v>6.8653647110115044</v>
      </c>
      <c r="H6799" s="35">
        <v>20.802640007412204</v>
      </c>
      <c r="I6799" s="35">
        <v>1.0905805407888236E-2</v>
      </c>
      <c r="J6799" s="35">
        <v>1.2237658758622696E-2</v>
      </c>
      <c r="K6799" s="35">
        <v>9.5708926558296284E-2</v>
      </c>
      <c r="L6799" s="35">
        <v>51.464463236915883</v>
      </c>
      <c r="M6799" s="58" t="s">
        <v>22</v>
      </c>
      <c r="N6799" s="7">
        <v>10.416666666666666</v>
      </c>
      <c r="O6799" s="7" t="s">
        <v>178</v>
      </c>
      <c r="P6799" s="7" t="s">
        <v>178</v>
      </c>
    </row>
    <row r="6800" spans="1:16" x14ac:dyDescent="0.25">
      <c r="A6800" t="s">
        <v>183</v>
      </c>
      <c r="B6800" t="s">
        <v>235</v>
      </c>
      <c r="C6800" s="7" t="s">
        <v>176</v>
      </c>
      <c r="D6800" t="s">
        <v>112</v>
      </c>
      <c r="F6800" s="35">
        <v>4.5</v>
      </c>
      <c r="G6800" s="35">
        <v>9.323782211011503</v>
      </c>
      <c r="H6800" s="35">
        <v>7.0245400074122033</v>
      </c>
      <c r="I6800" s="35">
        <v>1.0905805407888236E-2</v>
      </c>
      <c r="J6800" s="35">
        <v>1.2237658758622696E-2</v>
      </c>
      <c r="K6800" s="35">
        <v>4.6632802222799204E-2</v>
      </c>
      <c r="L6800" s="35">
        <v>-11.146691796439033</v>
      </c>
      <c r="M6800" s="58" t="s">
        <v>24</v>
      </c>
      <c r="N6800" s="7">
        <v>10.416666666666666</v>
      </c>
      <c r="O6800" s="7" t="s">
        <v>178</v>
      </c>
      <c r="P6800" s="7" t="s">
        <v>178</v>
      </c>
    </row>
    <row r="6801" spans="1:16" x14ac:dyDescent="0.25">
      <c r="A6801" t="s">
        <v>183</v>
      </c>
      <c r="B6801" t="s">
        <v>235</v>
      </c>
      <c r="C6801" s="7" t="s">
        <v>176</v>
      </c>
      <c r="D6801" t="s">
        <v>112</v>
      </c>
      <c r="F6801" s="35">
        <v>4.5</v>
      </c>
      <c r="G6801" s="35">
        <v>10.109917596065801</v>
      </c>
      <c r="H6801" s="35">
        <v>7.0246327200882384</v>
      </c>
      <c r="I6801" s="35">
        <v>-5.6763018680019844E-3</v>
      </c>
      <c r="J6801" s="35">
        <v>-7.9867612162974645E-3</v>
      </c>
      <c r="K6801" s="35">
        <v>4.663470848894357E-2</v>
      </c>
      <c r="L6801" s="35">
        <v>-12.129300722914774</v>
      </c>
      <c r="M6801" s="58" t="s">
        <v>24</v>
      </c>
      <c r="N6801" s="7">
        <v>10.416666666666666</v>
      </c>
      <c r="O6801" s="7" t="s">
        <v>178</v>
      </c>
      <c r="P6801" s="7" t="s">
        <v>178</v>
      </c>
    </row>
    <row r="6802" spans="1:16" x14ac:dyDescent="0.25">
      <c r="A6802" t="s">
        <v>183</v>
      </c>
      <c r="B6802" t="s">
        <v>235</v>
      </c>
      <c r="C6802" s="7" t="s">
        <v>176</v>
      </c>
      <c r="D6802" t="s">
        <v>112</v>
      </c>
      <c r="F6802" s="35">
        <v>5.0809891242154022</v>
      </c>
      <c r="G6802" s="35">
        <v>10.427320669461539</v>
      </c>
      <c r="H6802" s="35">
        <v>5.2457602195655211</v>
      </c>
      <c r="I6802" s="35">
        <v>-5.6763018680019844E-3</v>
      </c>
      <c r="J6802" s="35">
        <v>-7.9867612162974645E-3</v>
      </c>
      <c r="K6802" s="35">
        <v>4.9932578140016226E-2</v>
      </c>
      <c r="L6802" s="35">
        <v>-15.693783146808919</v>
      </c>
      <c r="M6802" s="58" t="s">
        <v>24</v>
      </c>
      <c r="N6802" s="7">
        <v>10.416666666666666</v>
      </c>
      <c r="O6802" s="7" t="s">
        <v>178</v>
      </c>
      <c r="P6802" s="7" t="s">
        <v>178</v>
      </c>
    </row>
    <row r="6803" spans="1:16" x14ac:dyDescent="0.25">
      <c r="A6803" t="s">
        <v>183</v>
      </c>
      <c r="B6803" t="s">
        <v>235</v>
      </c>
      <c r="C6803" s="7" t="s">
        <v>176</v>
      </c>
      <c r="D6803" t="s">
        <v>112</v>
      </c>
      <c r="F6803" s="35">
        <v>10.161978248430804</v>
      </c>
      <c r="G6803" s="35">
        <v>13.203141242857278</v>
      </c>
      <c r="H6803" s="35">
        <v>-10.3112122809572</v>
      </c>
      <c r="I6803" s="35">
        <v>-5.6763018680019844E-3</v>
      </c>
      <c r="J6803" s="35">
        <v>-7.9867612162974645E-3</v>
      </c>
      <c r="K6803" s="35">
        <v>7.8773806197097965E-2</v>
      </c>
      <c r="L6803" s="35">
        <v>-2.8250297302261131</v>
      </c>
      <c r="M6803" s="58" t="s">
        <v>23</v>
      </c>
      <c r="N6803" s="7">
        <v>10.416666666666666</v>
      </c>
      <c r="O6803" s="7" t="s">
        <v>178</v>
      </c>
      <c r="P6803" s="7" t="s">
        <v>178</v>
      </c>
    </row>
    <row r="6804" spans="1:16" x14ac:dyDescent="0.25">
      <c r="A6804" t="s">
        <v>183</v>
      </c>
      <c r="B6804" t="s">
        <v>235</v>
      </c>
      <c r="C6804" s="7" t="s">
        <v>176</v>
      </c>
      <c r="D6804" t="s">
        <v>113</v>
      </c>
      <c r="F6804" s="35">
        <v>0</v>
      </c>
      <c r="G6804" s="35">
        <v>-12.375007335219955</v>
      </c>
      <c r="H6804" s="35">
        <v>4.9218509005822897</v>
      </c>
      <c r="I6804" s="35">
        <v>-7.8373795396917897E-2</v>
      </c>
      <c r="J6804" s="35">
        <v>7.3601519794093831E-3</v>
      </c>
      <c r="K6804" s="35">
        <v>-0.23273965576859598</v>
      </c>
      <c r="L6804" s="35">
        <v>15.237341045665394</v>
      </c>
      <c r="M6804" s="58" t="s">
        <v>22</v>
      </c>
      <c r="N6804" s="7">
        <v>10.416666666666666</v>
      </c>
      <c r="O6804" s="7" t="s">
        <v>178</v>
      </c>
      <c r="P6804" s="7" t="s">
        <v>178</v>
      </c>
    </row>
    <row r="6805" spans="1:16" x14ac:dyDescent="0.25">
      <c r="A6805" t="s">
        <v>183</v>
      </c>
      <c r="B6805" t="s">
        <v>235</v>
      </c>
      <c r="C6805" s="7" t="s">
        <v>176</v>
      </c>
      <c r="D6805" t="s">
        <v>113</v>
      </c>
      <c r="F6805" s="35">
        <v>4.5</v>
      </c>
      <c r="G6805" s="35">
        <v>-9.9165898352199555</v>
      </c>
      <c r="H6805" s="35">
        <v>1.8600509005822889</v>
      </c>
      <c r="I6805" s="35">
        <v>-7.8373795396917897E-2</v>
      </c>
      <c r="J6805" s="35">
        <v>7.3601519794093831E-3</v>
      </c>
      <c r="K6805" s="35">
        <v>0.11994242351753451</v>
      </c>
      <c r="L6805" s="35">
        <v>-2.1938006954906736E-2</v>
      </c>
      <c r="M6805" s="58" t="s">
        <v>24</v>
      </c>
      <c r="N6805" s="7">
        <v>10.416666666666666</v>
      </c>
      <c r="O6805" s="7" t="s">
        <v>178</v>
      </c>
      <c r="P6805" s="7" t="s">
        <v>178</v>
      </c>
    </row>
    <row r="6806" spans="1:16" x14ac:dyDescent="0.25">
      <c r="A6806" t="s">
        <v>183</v>
      </c>
      <c r="B6806" t="s">
        <v>235</v>
      </c>
      <c r="C6806" s="7" t="s">
        <v>176</v>
      </c>
      <c r="D6806" t="s">
        <v>113</v>
      </c>
      <c r="F6806" s="35">
        <v>4.5</v>
      </c>
      <c r="G6806" s="35">
        <v>-9.130454277001796</v>
      </c>
      <c r="H6806" s="35">
        <v>1.8599290370051673</v>
      </c>
      <c r="I6806" s="35">
        <v>-8.9722074792493195E-2</v>
      </c>
      <c r="J6806" s="35">
        <v>-5.6392399190484431E-3</v>
      </c>
      <c r="K6806" s="35">
        <v>0.1199430025893658</v>
      </c>
      <c r="L6806" s="35">
        <v>-1.0045969828515204</v>
      </c>
      <c r="M6806" s="58" t="s">
        <v>24</v>
      </c>
      <c r="N6806" s="7">
        <v>10.416666666666666</v>
      </c>
      <c r="O6806" s="7" t="s">
        <v>178</v>
      </c>
      <c r="P6806" s="7" t="s">
        <v>178</v>
      </c>
    </row>
    <row r="6807" spans="1:16" x14ac:dyDescent="0.25">
      <c r="A6807" t="s">
        <v>183</v>
      </c>
      <c r="B6807" t="s">
        <v>235</v>
      </c>
      <c r="C6807" s="7" t="s">
        <v>176</v>
      </c>
      <c r="D6807" t="s">
        <v>113</v>
      </c>
      <c r="F6807" s="35">
        <v>5.0809891242154022</v>
      </c>
      <c r="G6807" s="35">
        <v>-8.8130512036060598</v>
      </c>
      <c r="H6807" s="35">
        <v>1.464624036889008</v>
      </c>
      <c r="I6807" s="35">
        <v>-8.9722074792493195E-2</v>
      </c>
      <c r="J6807" s="35">
        <v>-5.6392399190484431E-3</v>
      </c>
      <c r="K6807" s="35">
        <v>0.17207055224584517</v>
      </c>
      <c r="L6807" s="35">
        <v>-1.9703615722562196</v>
      </c>
      <c r="M6807" s="58" t="s">
        <v>24</v>
      </c>
      <c r="N6807" s="7">
        <v>10.416666666666666</v>
      </c>
      <c r="O6807" s="7" t="s">
        <v>178</v>
      </c>
      <c r="P6807" s="7" t="s">
        <v>178</v>
      </c>
    </row>
    <row r="6808" spans="1:16" x14ac:dyDescent="0.25">
      <c r="A6808" t="s">
        <v>183</v>
      </c>
      <c r="B6808" t="s">
        <v>235</v>
      </c>
      <c r="C6808" s="7" t="s">
        <v>176</v>
      </c>
      <c r="D6808" t="s">
        <v>113</v>
      </c>
      <c r="F6808" s="35">
        <v>10.161978248430804</v>
      </c>
      <c r="G6808" s="35">
        <v>-6.0372306302103196</v>
      </c>
      <c r="H6808" s="35">
        <v>-1.9924809632271516</v>
      </c>
      <c r="I6808" s="35">
        <v>-8.9722074792493195E-2</v>
      </c>
      <c r="J6808" s="35">
        <v>-5.6392399190484431E-3</v>
      </c>
      <c r="K6808" s="35">
        <v>0.62794743846854384</v>
      </c>
      <c r="L6808" s="35">
        <v>-0.62934392132327999</v>
      </c>
      <c r="M6808" s="58" t="s">
        <v>23</v>
      </c>
      <c r="N6808" s="7">
        <v>10.416666666666666</v>
      </c>
      <c r="O6808" s="7" t="s">
        <v>178</v>
      </c>
      <c r="P6808" s="7" t="s">
        <v>178</v>
      </c>
    </row>
    <row r="6809" spans="1:16" x14ac:dyDescent="0.25">
      <c r="A6809" t="s">
        <v>183</v>
      </c>
      <c r="B6809" t="s">
        <v>235</v>
      </c>
      <c r="C6809" s="7" t="s">
        <v>176</v>
      </c>
      <c r="D6809" t="s">
        <v>114</v>
      </c>
      <c r="F6809" s="35">
        <v>0</v>
      </c>
      <c r="G6809" s="35">
        <v>46.164793535200694</v>
      </c>
      <c r="H6809" s="35">
        <v>-21.025494119020578</v>
      </c>
      <c r="I6809" s="35">
        <v>0.46617517780346529</v>
      </c>
      <c r="J6809" s="35">
        <v>9.6080313936807975E-3</v>
      </c>
      <c r="K6809" s="35">
        <v>1.6224531674958216</v>
      </c>
      <c r="L6809" s="35">
        <v>-52.02039345471772</v>
      </c>
      <c r="M6809" s="58" t="s">
        <v>22</v>
      </c>
      <c r="N6809" s="7">
        <v>10.416666666666666</v>
      </c>
      <c r="O6809" s="7" t="s">
        <v>178</v>
      </c>
      <c r="P6809" s="7" t="s">
        <v>178</v>
      </c>
    </row>
    <row r="6810" spans="1:16" x14ac:dyDescent="0.25">
      <c r="A6810" t="s">
        <v>183</v>
      </c>
      <c r="B6810" t="s">
        <v>235</v>
      </c>
      <c r="C6810" s="7" t="s">
        <v>176</v>
      </c>
      <c r="D6810" t="s">
        <v>114</v>
      </c>
      <c r="F6810" s="35">
        <v>4.5</v>
      </c>
      <c r="G6810" s="35">
        <v>48.62321103520069</v>
      </c>
      <c r="H6810" s="35">
        <v>-7.2473941190205755</v>
      </c>
      <c r="I6810" s="35">
        <v>0.46617517780346529</v>
      </c>
      <c r="J6810" s="35">
        <v>9.6080313936807975E-3</v>
      </c>
      <c r="K6810" s="35">
        <v>-0.47533513261977195</v>
      </c>
      <c r="L6810" s="35">
        <v>11.593605080874868</v>
      </c>
      <c r="M6810" s="58" t="s">
        <v>24</v>
      </c>
      <c r="N6810" s="7">
        <v>10.416666666666666</v>
      </c>
      <c r="O6810" s="7" t="s">
        <v>178</v>
      </c>
      <c r="P6810" s="7" t="s">
        <v>178</v>
      </c>
    </row>
    <row r="6811" spans="1:16" x14ac:dyDescent="0.25">
      <c r="A6811" t="s">
        <v>183</v>
      </c>
      <c r="B6811" t="s">
        <v>235</v>
      </c>
      <c r="C6811" s="7" t="s">
        <v>176</v>
      </c>
      <c r="D6811" t="s">
        <v>114</v>
      </c>
      <c r="F6811" s="35">
        <v>4.5</v>
      </c>
      <c r="G6811" s="35">
        <v>49.409347119412487</v>
      </c>
      <c r="H6811" s="35">
        <v>-7.2477126879823928</v>
      </c>
      <c r="I6811" s="35">
        <v>0.44971000209730777</v>
      </c>
      <c r="J6811" s="35">
        <v>-8.5597573316124383E-3</v>
      </c>
      <c r="K6811" s="35">
        <v>-0.47533299822081965</v>
      </c>
      <c r="L6811" s="35">
        <v>10.610872469239403</v>
      </c>
      <c r="M6811" s="58" t="s">
        <v>24</v>
      </c>
      <c r="N6811" s="7">
        <v>10.416666666666666</v>
      </c>
      <c r="O6811" s="7" t="s">
        <v>178</v>
      </c>
      <c r="P6811" s="7" t="s">
        <v>178</v>
      </c>
    </row>
    <row r="6812" spans="1:16" x14ac:dyDescent="0.25">
      <c r="A6812" t="s">
        <v>183</v>
      </c>
      <c r="B6812" t="s">
        <v>235</v>
      </c>
      <c r="C6812" s="7" t="s">
        <v>176</v>
      </c>
      <c r="D6812" t="s">
        <v>114</v>
      </c>
      <c r="F6812" s="35">
        <v>5.0809891242154022</v>
      </c>
      <c r="G6812" s="35">
        <v>49.726750192808225</v>
      </c>
      <c r="H6812" s="35">
        <v>-5.4688401874596755</v>
      </c>
      <c r="I6812" s="35">
        <v>0.44971000209730777</v>
      </c>
      <c r="J6812" s="35">
        <v>-8.5597573316124383E-3</v>
      </c>
      <c r="K6812" s="35">
        <v>-0.73660961849024098</v>
      </c>
      <c r="L6812" s="35">
        <v>14.304961928310373</v>
      </c>
      <c r="M6812" s="58" t="s">
        <v>24</v>
      </c>
      <c r="N6812" s="7">
        <v>10.416666666666666</v>
      </c>
      <c r="O6812" s="7" t="s">
        <v>178</v>
      </c>
      <c r="P6812" s="7" t="s">
        <v>178</v>
      </c>
    </row>
    <row r="6813" spans="1:16" x14ac:dyDescent="0.25">
      <c r="A6813" t="s">
        <v>183</v>
      </c>
      <c r="B6813" t="s">
        <v>235</v>
      </c>
      <c r="C6813" s="7" t="s">
        <v>176</v>
      </c>
      <c r="D6813" t="s">
        <v>114</v>
      </c>
      <c r="F6813" s="35">
        <v>10.161978248430804</v>
      </c>
      <c r="G6813" s="35">
        <v>52.502570766203959</v>
      </c>
      <c r="H6813" s="35">
        <v>10.088132313063044</v>
      </c>
      <c r="I6813" s="35">
        <v>0.44971000209730777</v>
      </c>
      <c r="J6813" s="35">
        <v>-8.5597573316124383E-3</v>
      </c>
      <c r="K6813" s="35">
        <v>-3.0215812481975464</v>
      </c>
      <c r="L6813" s="35">
        <v>2.5696754024280928</v>
      </c>
      <c r="M6813" s="58" t="s">
        <v>23</v>
      </c>
      <c r="N6813" s="7">
        <v>10.416666666666666</v>
      </c>
      <c r="O6813" s="7" t="s">
        <v>178</v>
      </c>
      <c r="P6813" s="7" t="s">
        <v>178</v>
      </c>
    </row>
    <row r="6814" spans="1:16" x14ac:dyDescent="0.25">
      <c r="A6814" t="s">
        <v>183</v>
      </c>
      <c r="B6814" t="s">
        <v>235</v>
      </c>
      <c r="C6814" s="7" t="s">
        <v>176</v>
      </c>
      <c r="D6814" t="s">
        <v>115</v>
      </c>
      <c r="F6814" s="35">
        <v>0</v>
      </c>
      <c r="G6814" s="35">
        <v>26.718498164853141</v>
      </c>
      <c r="H6814" s="35">
        <v>-36.906276381191525</v>
      </c>
      <c r="I6814" s="35">
        <v>0.35869330579166941</v>
      </c>
      <c r="J6814" s="35">
        <v>4.9639042540707539E-3</v>
      </c>
      <c r="K6814" s="35">
        <v>1.2306441659701957</v>
      </c>
      <c r="L6814" s="35">
        <v>-88.247484753104388</v>
      </c>
      <c r="M6814" s="58" t="s">
        <v>22</v>
      </c>
      <c r="N6814" s="7">
        <v>10.416666666666666</v>
      </c>
      <c r="O6814" s="7" t="s">
        <v>178</v>
      </c>
      <c r="P6814" s="7" t="s">
        <v>178</v>
      </c>
    </row>
    <row r="6815" spans="1:16" x14ac:dyDescent="0.25">
      <c r="A6815" t="s">
        <v>183</v>
      </c>
      <c r="B6815" t="s">
        <v>235</v>
      </c>
      <c r="C6815" s="7" t="s">
        <v>176</v>
      </c>
      <c r="D6815" t="s">
        <v>115</v>
      </c>
      <c r="F6815" s="35">
        <v>4.5</v>
      </c>
      <c r="G6815" s="35">
        <v>29.176915664853141</v>
      </c>
      <c r="H6815" s="35">
        <v>-12.411876381191524</v>
      </c>
      <c r="I6815" s="35">
        <v>0.35869330579166941</v>
      </c>
      <c r="J6815" s="35">
        <v>4.9639042540707539E-3</v>
      </c>
      <c r="K6815" s="35">
        <v>-0.38347571009231657</v>
      </c>
      <c r="L6815" s="35">
        <v>22.718358962257472</v>
      </c>
      <c r="M6815" s="58" t="s">
        <v>24</v>
      </c>
      <c r="N6815" s="7">
        <v>10.416666666666666</v>
      </c>
      <c r="O6815" s="7" t="s">
        <v>178</v>
      </c>
      <c r="P6815" s="7" t="s">
        <v>178</v>
      </c>
    </row>
    <row r="6816" spans="1:16" x14ac:dyDescent="0.25">
      <c r="A6816" t="s">
        <v>183</v>
      </c>
      <c r="B6816" t="s">
        <v>235</v>
      </c>
      <c r="C6816" s="7" t="s">
        <v>176</v>
      </c>
      <c r="D6816" t="s">
        <v>115</v>
      </c>
      <c r="F6816" s="35">
        <v>4.5</v>
      </c>
      <c r="G6816" s="35">
        <v>29.963051917586338</v>
      </c>
      <c r="H6816" s="35">
        <v>-12.412413034022565</v>
      </c>
      <c r="I6816" s="35">
        <v>0.34710652388650498</v>
      </c>
      <c r="J6816" s="35">
        <v>-6.3869722723744428E-3</v>
      </c>
      <c r="K6816" s="35">
        <v>-0.38347499734427376</v>
      </c>
      <c r="L6816" s="35">
        <v>21.735576338638353</v>
      </c>
      <c r="M6816" s="58" t="s">
        <v>24</v>
      </c>
      <c r="N6816" s="7">
        <v>10.416666666666666</v>
      </c>
      <c r="O6816" s="7" t="s">
        <v>178</v>
      </c>
      <c r="P6816" s="7" t="s">
        <v>178</v>
      </c>
    </row>
    <row r="6817" spans="1:16" x14ac:dyDescent="0.25">
      <c r="A6817" t="s">
        <v>183</v>
      </c>
      <c r="B6817" t="s">
        <v>235</v>
      </c>
      <c r="C6817" s="7" t="s">
        <v>176</v>
      </c>
      <c r="D6817" t="s">
        <v>115</v>
      </c>
      <c r="F6817" s="35">
        <v>5.0809891242154022</v>
      </c>
      <c r="G6817" s="35">
        <v>30.280454990982076</v>
      </c>
      <c r="H6817" s="35">
        <v>-9.2499730330932888</v>
      </c>
      <c r="I6817" s="35">
        <v>0.34710652388650498</v>
      </c>
      <c r="J6817" s="35">
        <v>-6.3869722723744428E-3</v>
      </c>
      <c r="K6817" s="35">
        <v>-0.58514011266654675</v>
      </c>
      <c r="L6817" s="35">
        <v>28.028381693413134</v>
      </c>
      <c r="M6817" s="58" t="s">
        <v>24</v>
      </c>
      <c r="N6817" s="7">
        <v>10.416666666666666</v>
      </c>
      <c r="O6817" s="7" t="s">
        <v>178</v>
      </c>
      <c r="P6817" s="7" t="s">
        <v>178</v>
      </c>
    </row>
    <row r="6818" spans="1:16" x14ac:dyDescent="0.25">
      <c r="A6818" t="s">
        <v>183</v>
      </c>
      <c r="B6818" t="s">
        <v>235</v>
      </c>
      <c r="C6818" s="7" t="s">
        <v>176</v>
      </c>
      <c r="D6818" t="s">
        <v>115</v>
      </c>
      <c r="F6818" s="35">
        <v>10.161978248430804</v>
      </c>
      <c r="G6818" s="35">
        <v>33.056275564377813</v>
      </c>
      <c r="H6818" s="35">
        <v>18.406866967835988</v>
      </c>
      <c r="I6818" s="35">
        <v>0.34710652388650498</v>
      </c>
      <c r="J6818" s="35">
        <v>-6.3869722723744428E-3</v>
      </c>
      <c r="K6818" s="35">
        <v>-2.348784585478092</v>
      </c>
      <c r="L6818" s="35">
        <v>4.7653424464023253</v>
      </c>
      <c r="M6818" s="58" t="s">
        <v>23</v>
      </c>
      <c r="N6818" s="7">
        <v>10.416666666666666</v>
      </c>
      <c r="O6818" s="7" t="s">
        <v>178</v>
      </c>
      <c r="P6818" s="7" t="s">
        <v>178</v>
      </c>
    </row>
    <row r="6819" spans="1:16" x14ac:dyDescent="0.25">
      <c r="A6819" t="s">
        <v>183</v>
      </c>
      <c r="B6819" t="s">
        <v>235</v>
      </c>
      <c r="C6819" s="7" t="s">
        <v>176</v>
      </c>
      <c r="D6819" t="s">
        <v>116</v>
      </c>
      <c r="F6819" s="35">
        <v>0</v>
      </c>
      <c r="G6819" s="35">
        <v>6.8422760898319597</v>
      </c>
      <c r="H6819" s="35">
        <v>39.664301207752693</v>
      </c>
      <c r="I6819" s="35">
        <v>1.5057872769403098</v>
      </c>
      <c r="J6819" s="35">
        <v>1.1907184512339795E-2</v>
      </c>
      <c r="K6819" s="35">
        <v>8.0652145454902602</v>
      </c>
      <c r="L6819" s="35">
        <v>91.058823966365907</v>
      </c>
      <c r="M6819" s="58" t="s">
        <v>22</v>
      </c>
      <c r="N6819" s="7">
        <v>10.416666666666666</v>
      </c>
      <c r="O6819" s="7" t="s">
        <v>178</v>
      </c>
      <c r="P6819" s="7" t="s">
        <v>178</v>
      </c>
    </row>
    <row r="6820" spans="1:16" x14ac:dyDescent="0.25">
      <c r="A6820" t="s">
        <v>183</v>
      </c>
      <c r="B6820" t="s">
        <v>235</v>
      </c>
      <c r="C6820" s="7" t="s">
        <v>176</v>
      </c>
      <c r="D6820" t="s">
        <v>116</v>
      </c>
      <c r="F6820" s="35">
        <v>4.5</v>
      </c>
      <c r="G6820" s="35">
        <v>9.3006935898319583</v>
      </c>
      <c r="H6820" s="35">
        <v>12.873551207752691</v>
      </c>
      <c r="I6820" s="35">
        <v>1.5057872769403098</v>
      </c>
      <c r="J6820" s="35">
        <v>1.1907184512339795E-2</v>
      </c>
      <c r="K6820" s="35">
        <v>1.2891717992588665</v>
      </c>
      <c r="L6820" s="35">
        <v>-27.151343968521211</v>
      </c>
      <c r="M6820" s="58" t="s">
        <v>24</v>
      </c>
      <c r="N6820" s="7">
        <v>10.416666666666666</v>
      </c>
      <c r="O6820" s="7" t="s">
        <v>178</v>
      </c>
      <c r="P6820" s="7" t="s">
        <v>178</v>
      </c>
    </row>
    <row r="6821" spans="1:16" x14ac:dyDescent="0.25">
      <c r="A6821" t="s">
        <v>183</v>
      </c>
      <c r="B6821" t="s">
        <v>235</v>
      </c>
      <c r="C6821" s="7" t="s">
        <v>176</v>
      </c>
      <c r="D6821" t="s">
        <v>116</v>
      </c>
      <c r="F6821" s="35">
        <v>4.5</v>
      </c>
      <c r="G6821" s="35">
        <v>10.086824592012125</v>
      </c>
      <c r="H6821" s="35">
        <v>12.874099615444322</v>
      </c>
      <c r="I6821" s="35">
        <v>1.4931613693858132</v>
      </c>
      <c r="J6821" s="35">
        <v>-5.6624620285205176E-3</v>
      </c>
      <c r="K6821" s="35">
        <v>1.2891936896648486</v>
      </c>
      <c r="L6821" s="35">
        <v>-28.133883406779848</v>
      </c>
      <c r="M6821" s="58" t="s">
        <v>24</v>
      </c>
      <c r="N6821" s="7">
        <v>10.416666666666666</v>
      </c>
      <c r="O6821" s="7" t="s">
        <v>178</v>
      </c>
      <c r="P6821" s="7" t="s">
        <v>178</v>
      </c>
    </row>
    <row r="6822" spans="1:16" x14ac:dyDescent="0.25">
      <c r="A6822" t="s">
        <v>183</v>
      </c>
      <c r="B6822" t="s">
        <v>235</v>
      </c>
      <c r="C6822" s="7" t="s">
        <v>176</v>
      </c>
      <c r="D6822" t="s">
        <v>116</v>
      </c>
      <c r="F6822" s="35">
        <v>5.0809891242154022</v>
      </c>
      <c r="G6822" s="35">
        <v>10.404227665407861</v>
      </c>
      <c r="H6822" s="35">
        <v>9.4151808644279278</v>
      </c>
      <c r="I6822" s="35">
        <v>1.4931613693858132</v>
      </c>
      <c r="J6822" s="35">
        <v>-5.6624620285205176E-3</v>
      </c>
      <c r="K6822" s="35">
        <v>0.42168317335311484</v>
      </c>
      <c r="L6822" s="35">
        <v>-34.608798179476068</v>
      </c>
      <c r="M6822" s="58" t="s">
        <v>24</v>
      </c>
      <c r="N6822" s="7">
        <v>10.416666666666666</v>
      </c>
      <c r="O6822" s="7" t="s">
        <v>178</v>
      </c>
      <c r="P6822" s="7" t="s">
        <v>178</v>
      </c>
    </row>
    <row r="6823" spans="1:16" x14ac:dyDescent="0.25">
      <c r="A6823" t="s">
        <v>183</v>
      </c>
      <c r="B6823" t="s">
        <v>235</v>
      </c>
      <c r="C6823" s="7" t="s">
        <v>176</v>
      </c>
      <c r="D6823" t="s">
        <v>116</v>
      </c>
      <c r="F6823" s="35">
        <v>10.161978248430804</v>
      </c>
      <c r="G6823" s="35">
        <v>13.1800482388036</v>
      </c>
      <c r="H6823" s="35">
        <v>-20.834487886588466</v>
      </c>
      <c r="I6823" s="35">
        <v>1.4931613693858132</v>
      </c>
      <c r="J6823" s="35">
        <v>-5.6624620285205176E-3</v>
      </c>
      <c r="K6823" s="35">
        <v>-7.1650535051947779</v>
      </c>
      <c r="L6823" s="35">
        <v>-5.5981107866389319</v>
      </c>
      <c r="M6823" s="58" t="s">
        <v>23</v>
      </c>
      <c r="N6823" s="7">
        <v>10.416666666666666</v>
      </c>
      <c r="O6823" s="7" t="s">
        <v>178</v>
      </c>
      <c r="P6823" s="7" t="s">
        <v>178</v>
      </c>
    </row>
    <row r="6824" spans="1:16" x14ac:dyDescent="0.25">
      <c r="A6824" t="s">
        <v>183</v>
      </c>
      <c r="B6824" t="s">
        <v>235</v>
      </c>
      <c r="C6824" s="7" t="s">
        <v>176</v>
      </c>
      <c r="D6824" t="s">
        <v>117</v>
      </c>
      <c r="F6824" s="35">
        <v>0</v>
      </c>
      <c r="G6824" s="35">
        <v>-16.279379235760008</v>
      </c>
      <c r="H6824" s="35">
        <v>23.81772714461804</v>
      </c>
      <c r="I6824" s="35">
        <v>3.2475975074750716</v>
      </c>
      <c r="J6824" s="35">
        <v>8.6125724821700181E-3</v>
      </c>
      <c r="K6824" s="35">
        <v>17.645411546666192</v>
      </c>
      <c r="L6824" s="35">
        <v>55.187763576217549</v>
      </c>
      <c r="M6824" s="58" t="s">
        <v>22</v>
      </c>
      <c r="N6824" s="7">
        <v>10.416666666666666</v>
      </c>
      <c r="O6824" s="7" t="s">
        <v>178</v>
      </c>
      <c r="P6824" s="7" t="s">
        <v>178</v>
      </c>
    </row>
    <row r="6825" spans="1:16" x14ac:dyDescent="0.25">
      <c r="A6825" t="s">
        <v>183</v>
      </c>
      <c r="B6825" t="s">
        <v>235</v>
      </c>
      <c r="C6825" s="7" t="s">
        <v>176</v>
      </c>
      <c r="D6825" t="s">
        <v>117</v>
      </c>
      <c r="F6825" s="35">
        <v>4.5</v>
      </c>
      <c r="G6825" s="35">
        <v>-13.82096173576001</v>
      </c>
      <c r="H6825" s="35">
        <v>7.7432771446180384</v>
      </c>
      <c r="I6825" s="35">
        <v>3.2475975074750716</v>
      </c>
      <c r="J6825" s="35">
        <v>8.6125724821700181E-3</v>
      </c>
      <c r="K6825" s="35">
        <v>3.0312227630283735</v>
      </c>
      <c r="L6825" s="35">
        <v>-15.824496074563614</v>
      </c>
      <c r="M6825" s="58" t="s">
        <v>24</v>
      </c>
      <c r="N6825" s="7">
        <v>10.416666666666666</v>
      </c>
      <c r="O6825" s="7" t="s">
        <v>178</v>
      </c>
      <c r="P6825" s="7" t="s">
        <v>178</v>
      </c>
    </row>
    <row r="6826" spans="1:16" x14ac:dyDescent="0.25">
      <c r="A6826" t="s">
        <v>183</v>
      </c>
      <c r="B6826" t="s">
        <v>235</v>
      </c>
      <c r="C6826" s="7" t="s">
        <v>176</v>
      </c>
      <c r="D6826" t="s">
        <v>117</v>
      </c>
      <c r="F6826" s="35">
        <v>4.5</v>
      </c>
      <c r="G6826" s="35">
        <v>-13.034836070165392</v>
      </c>
      <c r="H6826" s="35">
        <v>7.7435780816843698</v>
      </c>
      <c r="I6826" s="35">
        <v>3.2376910856420298</v>
      </c>
      <c r="J6826" s="35">
        <v>-4.5812915543709904E-3</v>
      </c>
      <c r="K6826" s="35">
        <v>3.0312671198748373</v>
      </c>
      <c r="L6826" s="35">
        <v>-16.807080406762669</v>
      </c>
      <c r="M6826" s="58" t="s">
        <v>24</v>
      </c>
      <c r="N6826" s="7">
        <v>10.416666666666666</v>
      </c>
      <c r="O6826" s="7" t="s">
        <v>178</v>
      </c>
      <c r="P6826" s="7" t="s">
        <v>178</v>
      </c>
    </row>
    <row r="6827" spans="1:16" x14ac:dyDescent="0.25">
      <c r="A6827" t="s">
        <v>183</v>
      </c>
      <c r="B6827" t="s">
        <v>235</v>
      </c>
      <c r="C6827" s="7" t="s">
        <v>176</v>
      </c>
      <c r="D6827" t="s">
        <v>117</v>
      </c>
      <c r="F6827" s="35">
        <v>5.0809891242154022</v>
      </c>
      <c r="G6827" s="35">
        <v>-12.717432996769656</v>
      </c>
      <c r="H6827" s="35">
        <v>5.6682268310745325</v>
      </c>
      <c r="I6827" s="35">
        <v>3.2376910856420298</v>
      </c>
      <c r="J6827" s="35">
        <v>-4.5812915543709904E-3</v>
      </c>
      <c r="K6827" s="35">
        <v>1.1502038115476607</v>
      </c>
      <c r="L6827" s="35">
        <v>-20.703136801968483</v>
      </c>
      <c r="M6827" s="58" t="s">
        <v>24</v>
      </c>
      <c r="N6827" s="7">
        <v>10.416666666666666</v>
      </c>
      <c r="O6827" s="7" t="s">
        <v>178</v>
      </c>
      <c r="P6827" s="7" t="s">
        <v>178</v>
      </c>
    </row>
    <row r="6828" spans="1:16" x14ac:dyDescent="0.25">
      <c r="A6828" t="s">
        <v>183</v>
      </c>
      <c r="B6828" t="s">
        <v>235</v>
      </c>
      <c r="C6828" s="7" t="s">
        <v>176</v>
      </c>
      <c r="D6828" t="s">
        <v>117</v>
      </c>
      <c r="F6828" s="35">
        <v>10.161978248430804</v>
      </c>
      <c r="G6828" s="35">
        <v>-9.9416124233739147</v>
      </c>
      <c r="H6828" s="35">
        <v>-12.481574419535304</v>
      </c>
      <c r="I6828" s="35">
        <v>3.2376910856420298</v>
      </c>
      <c r="J6828" s="35">
        <v>-4.5812915543709904E-3</v>
      </c>
      <c r="K6828" s="35">
        <v>-15.30046938216865</v>
      </c>
      <c r="L6828" s="35">
        <v>-3.3938643037342766</v>
      </c>
      <c r="M6828" s="58" t="s">
        <v>23</v>
      </c>
      <c r="N6828" s="7">
        <v>10.416666666666666</v>
      </c>
      <c r="O6828" s="7" t="s">
        <v>178</v>
      </c>
      <c r="P6828" s="7" t="s">
        <v>178</v>
      </c>
    </row>
    <row r="6829" spans="1:16" x14ac:dyDescent="0.25">
      <c r="A6829" t="s">
        <v>183</v>
      </c>
      <c r="B6829" t="s">
        <v>235</v>
      </c>
      <c r="C6829" s="7" t="s">
        <v>176</v>
      </c>
      <c r="D6829" t="s">
        <v>118</v>
      </c>
      <c r="F6829" s="35">
        <v>0</v>
      </c>
      <c r="G6829" s="35">
        <v>9.4984951092593164</v>
      </c>
      <c r="H6829" s="35">
        <v>39.687558520636671</v>
      </c>
      <c r="I6829" s="35">
        <v>-0.98858900842337682</v>
      </c>
      <c r="J6829" s="35">
        <v>-1.4714302529432328E-2</v>
      </c>
      <c r="K6829" s="35">
        <v>-6.1089965014239036</v>
      </c>
      <c r="L6829" s="35">
        <v>91.303288526309544</v>
      </c>
      <c r="M6829" s="58" t="s">
        <v>22</v>
      </c>
      <c r="N6829" s="7">
        <v>10.416666666666666</v>
      </c>
      <c r="O6829" s="7" t="s">
        <v>178</v>
      </c>
      <c r="P6829" s="7" t="s">
        <v>178</v>
      </c>
    </row>
    <row r="6830" spans="1:16" x14ac:dyDescent="0.25">
      <c r="A6830" t="s">
        <v>183</v>
      </c>
      <c r="B6830" t="s">
        <v>235</v>
      </c>
      <c r="C6830" s="7" t="s">
        <v>176</v>
      </c>
      <c r="D6830" t="s">
        <v>118</v>
      </c>
      <c r="F6830" s="35">
        <v>4.5</v>
      </c>
      <c r="G6830" s="35">
        <v>11.956912609259316</v>
      </c>
      <c r="H6830" s="35">
        <v>12.896808520636672</v>
      </c>
      <c r="I6830" s="35">
        <v>-0.98858900842337682</v>
      </c>
      <c r="J6830" s="35">
        <v>-1.4714302529432328E-2</v>
      </c>
      <c r="K6830" s="35">
        <v>-1.6603459635187088</v>
      </c>
      <c r="L6830" s="35">
        <v>-27.011537316555486</v>
      </c>
      <c r="M6830" s="58" t="s">
        <v>24</v>
      </c>
      <c r="N6830" s="7">
        <v>10.416666666666666</v>
      </c>
      <c r="O6830" s="7" t="s">
        <v>178</v>
      </c>
      <c r="P6830" s="7" t="s">
        <v>178</v>
      </c>
    </row>
    <row r="6831" spans="1:16" x14ac:dyDescent="0.25">
      <c r="A6831" t="s">
        <v>183</v>
      </c>
      <c r="B6831" t="s">
        <v>235</v>
      </c>
      <c r="C6831" s="7" t="s">
        <v>176</v>
      </c>
      <c r="D6831" t="s">
        <v>118</v>
      </c>
      <c r="F6831" s="35">
        <v>4.5</v>
      </c>
      <c r="G6831" s="35">
        <v>12.743053074819768</v>
      </c>
      <c r="H6831" s="35">
        <v>12.897421063356189</v>
      </c>
      <c r="I6831" s="35">
        <v>-0.9618603406499906</v>
      </c>
      <c r="J6831" s="35">
        <v>1.435256266707937E-2</v>
      </c>
      <c r="K6831" s="35">
        <v>-1.6603594202010816</v>
      </c>
      <c r="L6831" s="35">
        <v>-27.994099554539321</v>
      </c>
      <c r="M6831" s="58" t="s">
        <v>24</v>
      </c>
      <c r="N6831" s="7">
        <v>10.416666666666666</v>
      </c>
      <c r="O6831" s="7" t="s">
        <v>178</v>
      </c>
      <c r="P6831" s="7" t="s">
        <v>178</v>
      </c>
    </row>
    <row r="6832" spans="1:16" x14ac:dyDescent="0.25">
      <c r="A6832" t="s">
        <v>183</v>
      </c>
      <c r="B6832" t="s">
        <v>235</v>
      </c>
      <c r="C6832" s="7" t="s">
        <v>176</v>
      </c>
      <c r="D6832" t="s">
        <v>118</v>
      </c>
      <c r="F6832" s="35">
        <v>5.0809891242154022</v>
      </c>
      <c r="G6832" s="35">
        <v>13.060456148215506</v>
      </c>
      <c r="H6832" s="35">
        <v>9.4385023123397946</v>
      </c>
      <c r="I6832" s="35">
        <v>-0.9618603406499906</v>
      </c>
      <c r="J6832" s="35">
        <v>1.435256266707937E-2</v>
      </c>
      <c r="K6832" s="35">
        <v>-1.1015290232693153</v>
      </c>
      <c r="L6832" s="35">
        <v>-34.482563834833293</v>
      </c>
      <c r="M6832" s="58" t="s">
        <v>24</v>
      </c>
      <c r="N6832" s="7">
        <v>10.416666666666666</v>
      </c>
      <c r="O6832" s="7" t="s">
        <v>178</v>
      </c>
      <c r="P6832" s="7" t="s">
        <v>178</v>
      </c>
    </row>
    <row r="6833" spans="1:16" x14ac:dyDescent="0.25">
      <c r="A6833" t="s">
        <v>183</v>
      </c>
      <c r="B6833" t="s">
        <v>235</v>
      </c>
      <c r="C6833" s="7" t="s">
        <v>176</v>
      </c>
      <c r="D6833" t="s">
        <v>118</v>
      </c>
      <c r="F6833" s="35">
        <v>10.161978248430804</v>
      </c>
      <c r="G6833" s="35">
        <v>15.836276721611245</v>
      </c>
      <c r="H6833" s="35">
        <v>-20.811166438676601</v>
      </c>
      <c r="I6833" s="35">
        <v>-0.9618603406499906</v>
      </c>
      <c r="J6833" s="35">
        <v>1.435256266707937E-2</v>
      </c>
      <c r="K6833" s="35">
        <v>3.7856729065874077</v>
      </c>
      <c r="L6833" s="35">
        <v>-5.590372465197297</v>
      </c>
      <c r="M6833" s="58" t="s">
        <v>23</v>
      </c>
      <c r="N6833" s="7">
        <v>10.416666666666666</v>
      </c>
      <c r="O6833" s="7" t="s">
        <v>178</v>
      </c>
      <c r="P6833" s="7" t="s">
        <v>178</v>
      </c>
    </row>
    <row r="6834" spans="1:16" x14ac:dyDescent="0.25">
      <c r="A6834" t="s">
        <v>183</v>
      </c>
      <c r="B6834" t="s">
        <v>235</v>
      </c>
      <c r="C6834" s="7" t="s">
        <v>176</v>
      </c>
      <c r="D6834" t="s">
        <v>119</v>
      </c>
      <c r="F6834" s="35">
        <v>0</v>
      </c>
      <c r="G6834" s="35">
        <v>-43.323292506309642</v>
      </c>
      <c r="H6834" s="35">
        <v>23.849117008736656</v>
      </c>
      <c r="I6834" s="35">
        <v>-3.3943277908781013</v>
      </c>
      <c r="J6834" s="35">
        <v>-8.4894257345081575E-3</v>
      </c>
      <c r="K6834" s="35">
        <v>-17.961025271853391</v>
      </c>
      <c r="L6834" s="35">
        <v>55.514855079551758</v>
      </c>
      <c r="M6834" s="58" t="s">
        <v>22</v>
      </c>
      <c r="N6834" s="7">
        <v>10.416666666666666</v>
      </c>
      <c r="O6834" s="7" t="s">
        <v>178</v>
      </c>
      <c r="P6834" s="7" t="s">
        <v>178</v>
      </c>
    </row>
    <row r="6835" spans="1:16" x14ac:dyDescent="0.25">
      <c r="A6835" t="s">
        <v>183</v>
      </c>
      <c r="B6835" t="s">
        <v>235</v>
      </c>
      <c r="C6835" s="7" t="s">
        <v>176</v>
      </c>
      <c r="D6835" t="s">
        <v>119</v>
      </c>
      <c r="F6835" s="35">
        <v>4.5</v>
      </c>
      <c r="G6835" s="35">
        <v>-40.864875006309646</v>
      </c>
      <c r="H6835" s="35">
        <v>7.7746670087366514</v>
      </c>
      <c r="I6835" s="35">
        <v>-3.3943277908781013</v>
      </c>
      <c r="J6835" s="35">
        <v>-8.4894257345081575E-3</v>
      </c>
      <c r="K6835" s="35">
        <v>-2.6865502129019352</v>
      </c>
      <c r="L6835" s="35">
        <v>-15.638658959763168</v>
      </c>
      <c r="M6835" s="58" t="s">
        <v>24</v>
      </c>
      <c r="N6835" s="7">
        <v>10.416666666666666</v>
      </c>
      <c r="O6835" s="7" t="s">
        <v>178</v>
      </c>
      <c r="P6835" s="7" t="s">
        <v>178</v>
      </c>
    </row>
    <row r="6836" spans="1:16" x14ac:dyDescent="0.25">
      <c r="A6836" t="s">
        <v>183</v>
      </c>
      <c r="B6836" t="s">
        <v>235</v>
      </c>
      <c r="C6836" s="7" t="s">
        <v>176</v>
      </c>
      <c r="D6836" t="s">
        <v>119</v>
      </c>
      <c r="F6836" s="35">
        <v>4.5</v>
      </c>
      <c r="G6836" s="35">
        <v>-40.078729740235801</v>
      </c>
      <c r="H6836" s="35">
        <v>7.7748811442395374</v>
      </c>
      <c r="I6836" s="35">
        <v>-3.3794273360563589</v>
      </c>
      <c r="J6836" s="35">
        <v>8.2829347190320601E-3</v>
      </c>
      <c r="K6836" s="35">
        <v>-2.6865910794245518</v>
      </c>
      <c r="L6836" s="35">
        <v>-16.621277615528971</v>
      </c>
      <c r="M6836" s="58" t="s">
        <v>24</v>
      </c>
      <c r="N6836" s="7">
        <v>10.416666666666666</v>
      </c>
      <c r="O6836" s="7" t="s">
        <v>178</v>
      </c>
      <c r="P6836" s="7" t="s">
        <v>178</v>
      </c>
    </row>
    <row r="6837" spans="1:16" x14ac:dyDescent="0.25">
      <c r="A6837" t="s">
        <v>183</v>
      </c>
      <c r="B6837" t="s">
        <v>235</v>
      </c>
      <c r="C6837" s="7" t="s">
        <v>176</v>
      </c>
      <c r="D6837" t="s">
        <v>119</v>
      </c>
      <c r="F6837" s="35">
        <v>5.0809891242154022</v>
      </c>
      <c r="G6837" s="35">
        <v>-39.761326666840063</v>
      </c>
      <c r="H6837" s="35">
        <v>5.6995298936297001</v>
      </c>
      <c r="I6837" s="35">
        <v>-3.3794273360563589</v>
      </c>
      <c r="J6837" s="35">
        <v>8.2829347190320601E-3</v>
      </c>
      <c r="K6837" s="35">
        <v>-0.72318055109958002</v>
      </c>
      <c r="L6837" s="35">
        <v>-20.535520749633967</v>
      </c>
      <c r="M6837" s="58" t="s">
        <v>24</v>
      </c>
      <c r="N6837" s="7">
        <v>10.416666666666666</v>
      </c>
      <c r="O6837" s="7" t="s">
        <v>178</v>
      </c>
      <c r="P6837" s="7" t="s">
        <v>178</v>
      </c>
    </row>
    <row r="6838" spans="1:16" x14ac:dyDescent="0.25">
      <c r="A6838" t="s">
        <v>183</v>
      </c>
      <c r="B6838" t="s">
        <v>235</v>
      </c>
      <c r="C6838" s="7" t="s">
        <v>176</v>
      </c>
      <c r="D6838" t="s">
        <v>119</v>
      </c>
      <c r="F6838" s="35">
        <v>10.161978248430804</v>
      </c>
      <c r="G6838" s="35">
        <v>-36.985506093444322</v>
      </c>
      <c r="H6838" s="35">
        <v>-12.450271356980137</v>
      </c>
      <c r="I6838" s="35">
        <v>-3.3794273360563589</v>
      </c>
      <c r="J6838" s="35">
        <v>8.2829347190320601E-3</v>
      </c>
      <c r="K6838" s="35">
        <v>16.447652989479003</v>
      </c>
      <c r="L6838" s="35">
        <v>-3.3852987717971983</v>
      </c>
      <c r="M6838" s="58" t="s">
        <v>23</v>
      </c>
      <c r="N6838" s="7">
        <v>10.416666666666666</v>
      </c>
      <c r="O6838" s="7" t="s">
        <v>178</v>
      </c>
      <c r="P6838" s="7" t="s">
        <v>178</v>
      </c>
    </row>
    <row r="6839" spans="1:16" x14ac:dyDescent="0.25">
      <c r="A6839" t="s">
        <v>183</v>
      </c>
      <c r="B6839" t="s">
        <v>235</v>
      </c>
      <c r="C6839" s="7" t="s">
        <v>176</v>
      </c>
      <c r="D6839" t="s">
        <v>120</v>
      </c>
      <c r="F6839" s="35">
        <v>0</v>
      </c>
      <c r="G6839" s="35">
        <v>12.678032744100074</v>
      </c>
      <c r="H6839" s="35">
        <v>23.117585616305853</v>
      </c>
      <c r="I6839" s="35">
        <v>4.2603529967937613E-2</v>
      </c>
      <c r="J6839" s="35">
        <v>1.2596586373191354E-2</v>
      </c>
      <c r="K6839" s="35">
        <v>0.20621974570949417</v>
      </c>
      <c r="L6839" s="35">
        <v>57.12163982149022</v>
      </c>
      <c r="M6839" s="58" t="s">
        <v>22</v>
      </c>
      <c r="N6839" s="7">
        <v>10.416666666666666</v>
      </c>
      <c r="O6839" s="7" t="s">
        <v>178</v>
      </c>
      <c r="P6839" s="7" t="s">
        <v>178</v>
      </c>
    </row>
    <row r="6840" spans="1:16" x14ac:dyDescent="0.25">
      <c r="A6840" t="s">
        <v>183</v>
      </c>
      <c r="B6840" t="s">
        <v>235</v>
      </c>
      <c r="C6840" s="7" t="s">
        <v>176</v>
      </c>
      <c r="D6840" t="s">
        <v>120</v>
      </c>
      <c r="F6840" s="35">
        <v>4.5</v>
      </c>
      <c r="G6840" s="35">
        <v>15.136450244100077</v>
      </c>
      <c r="H6840" s="35">
        <v>7.8085856163058489</v>
      </c>
      <c r="I6840" s="35">
        <v>4.2603529967937613E-2</v>
      </c>
      <c r="J6840" s="35">
        <v>1.2596586373191354E-2</v>
      </c>
      <c r="K6840" s="35">
        <v>1.4503860853774848E-2</v>
      </c>
      <c r="L6840" s="35">
        <v>-12.462245451886099</v>
      </c>
      <c r="M6840" s="58" t="s">
        <v>24</v>
      </c>
      <c r="N6840" s="7">
        <v>10.416666666666666</v>
      </c>
      <c r="O6840" s="7" t="s">
        <v>178</v>
      </c>
      <c r="P6840" s="7" t="s">
        <v>178</v>
      </c>
    </row>
    <row r="6841" spans="1:16" x14ac:dyDescent="0.25">
      <c r="A6841" t="s">
        <v>183</v>
      </c>
      <c r="B6841" t="s">
        <v>235</v>
      </c>
      <c r="C6841" s="7" t="s">
        <v>176</v>
      </c>
      <c r="D6841" t="s">
        <v>120</v>
      </c>
      <c r="F6841" s="35">
        <v>4.5</v>
      </c>
      <c r="G6841" s="35">
        <v>15.922585644183076</v>
      </c>
      <c r="H6841" s="35">
        <v>7.8087024482137881</v>
      </c>
      <c r="I6841" s="35">
        <v>2.5708045910485505E-2</v>
      </c>
      <c r="J6841" s="35">
        <v>-8.1137408577697471E-3</v>
      </c>
      <c r="K6841" s="35">
        <v>1.4506039938773403E-2</v>
      </c>
      <c r="L6841" s="35">
        <v>-13.444847581409723</v>
      </c>
      <c r="M6841" s="58" t="s">
        <v>24</v>
      </c>
      <c r="N6841" s="7">
        <v>10.416666666666666</v>
      </c>
      <c r="O6841" s="7" t="s">
        <v>178</v>
      </c>
      <c r="P6841" s="7" t="s">
        <v>178</v>
      </c>
    </row>
    <row r="6842" spans="1:16" x14ac:dyDescent="0.25">
      <c r="A6842" t="s">
        <v>183</v>
      </c>
      <c r="B6842" t="s">
        <v>235</v>
      </c>
      <c r="C6842" s="7" t="s">
        <v>176</v>
      </c>
      <c r="D6842" t="s">
        <v>120</v>
      </c>
      <c r="F6842" s="35">
        <v>5.0809891242154022</v>
      </c>
      <c r="G6842" s="35">
        <v>16.239988717578814</v>
      </c>
      <c r="H6842" s="35">
        <v>5.8321774476329908</v>
      </c>
      <c r="I6842" s="35">
        <v>2.5708045910485505E-2</v>
      </c>
      <c r="J6842" s="35">
        <v>-8.1137408577697471E-3</v>
      </c>
      <c r="K6842" s="35">
        <v>-4.3005514004896384E-4</v>
      </c>
      <c r="L6842" s="35">
        <v>-17.407449013517471</v>
      </c>
      <c r="M6842" s="58" t="s">
        <v>24</v>
      </c>
      <c r="N6842" s="7">
        <v>10.416666666666666</v>
      </c>
      <c r="O6842" s="7" t="s">
        <v>178</v>
      </c>
      <c r="P6842" s="7" t="s">
        <v>178</v>
      </c>
    </row>
    <row r="6843" spans="1:16" x14ac:dyDescent="0.25">
      <c r="A6843" t="s">
        <v>183</v>
      </c>
      <c r="B6843" t="s">
        <v>235</v>
      </c>
      <c r="C6843" s="7" t="s">
        <v>176</v>
      </c>
      <c r="D6843" t="s">
        <v>120</v>
      </c>
      <c r="F6843" s="35">
        <v>10.161978248430804</v>
      </c>
      <c r="G6843" s="35">
        <v>19.015809290974548</v>
      </c>
      <c r="H6843" s="35">
        <v>-11.453347552947811</v>
      </c>
      <c r="I6843" s="35">
        <v>2.5708045910485505E-2</v>
      </c>
      <c r="J6843" s="35">
        <v>-8.1137408577697471E-3</v>
      </c>
      <c r="K6843" s="35">
        <v>-0.13105235681605593</v>
      </c>
      <c r="L6843" s="35">
        <v>-3.126896928282807</v>
      </c>
      <c r="M6843" s="58" t="s">
        <v>23</v>
      </c>
      <c r="N6843" s="7">
        <v>10.416666666666666</v>
      </c>
      <c r="O6843" s="7" t="s">
        <v>178</v>
      </c>
      <c r="P6843" s="7" t="s">
        <v>178</v>
      </c>
    </row>
    <row r="6844" spans="1:16" x14ac:dyDescent="0.25">
      <c r="A6844" t="s">
        <v>183</v>
      </c>
      <c r="B6844" t="s">
        <v>235</v>
      </c>
      <c r="C6844" s="7" t="s">
        <v>176</v>
      </c>
      <c r="D6844" t="s">
        <v>121</v>
      </c>
      <c r="F6844" s="35">
        <v>0</v>
      </c>
      <c r="G6844" s="35">
        <v>-8.7001584183793224</v>
      </c>
      <c r="H6844" s="35">
        <v>5.4722643864948335</v>
      </c>
      <c r="I6844" s="35">
        <v>-5.6596026481846994E-2</v>
      </c>
      <c r="J6844" s="35">
        <v>7.1771343962876736E-3</v>
      </c>
      <c r="K6844" s="35">
        <v>-0.15872312354260837</v>
      </c>
      <c r="L6844" s="35">
        <v>16.8692818312119</v>
      </c>
      <c r="M6844" s="58" t="s">
        <v>22</v>
      </c>
      <c r="N6844" s="7">
        <v>10.416666666666666</v>
      </c>
      <c r="O6844" s="7" t="s">
        <v>178</v>
      </c>
      <c r="P6844" s="7" t="s">
        <v>178</v>
      </c>
    </row>
    <row r="6845" spans="1:16" x14ac:dyDescent="0.25">
      <c r="A6845" t="s">
        <v>183</v>
      </c>
      <c r="B6845" t="s">
        <v>235</v>
      </c>
      <c r="C6845" s="7" t="s">
        <v>176</v>
      </c>
      <c r="D6845" t="s">
        <v>121</v>
      </c>
      <c r="F6845" s="35">
        <v>4.5</v>
      </c>
      <c r="G6845" s="35">
        <v>-6.2417409183793193</v>
      </c>
      <c r="H6845" s="35">
        <v>2.0702643864948338</v>
      </c>
      <c r="I6845" s="35">
        <v>-5.6596026481846994E-2</v>
      </c>
      <c r="J6845" s="35">
        <v>7.1771343962876736E-3</v>
      </c>
      <c r="K6845" s="35">
        <v>9.5958995625702953E-2</v>
      </c>
      <c r="L6845" s="35">
        <v>-0.10140790801485054</v>
      </c>
      <c r="M6845" s="58" t="s">
        <v>24</v>
      </c>
      <c r="N6845" s="7">
        <v>10.416666666666666</v>
      </c>
      <c r="O6845" s="7" t="s">
        <v>178</v>
      </c>
      <c r="P6845" s="7" t="s">
        <v>178</v>
      </c>
    </row>
    <row r="6846" spans="1:16" x14ac:dyDescent="0.25">
      <c r="A6846" t="s">
        <v>183</v>
      </c>
      <c r="B6846" t="s">
        <v>235</v>
      </c>
      <c r="C6846" s="7" t="s">
        <v>176</v>
      </c>
      <c r="D6846" t="s">
        <v>121</v>
      </c>
      <c r="F6846" s="35">
        <v>4.5</v>
      </c>
      <c r="G6846" s="35">
        <v>-5.4556053258920318</v>
      </c>
      <c r="H6846" s="35">
        <v>2.0701428003437101</v>
      </c>
      <c r="I6846" s="35">
        <v>-6.7676146227838074E-2</v>
      </c>
      <c r="J6846" s="35">
        <v>-5.5053838608263902E-3</v>
      </c>
      <c r="K6846" s="35">
        <v>9.5959700050353633E-2</v>
      </c>
      <c r="L6846" s="35">
        <v>-1.0840656480061068</v>
      </c>
      <c r="M6846" s="58" t="s">
        <v>24</v>
      </c>
      <c r="N6846" s="7">
        <v>10.416666666666666</v>
      </c>
      <c r="O6846" s="7" t="s">
        <v>178</v>
      </c>
      <c r="P6846" s="7" t="s">
        <v>178</v>
      </c>
    </row>
    <row r="6847" spans="1:16" x14ac:dyDescent="0.25">
      <c r="A6847" t="s">
        <v>183</v>
      </c>
      <c r="B6847" t="s">
        <v>235</v>
      </c>
      <c r="C6847" s="7" t="s">
        <v>176</v>
      </c>
      <c r="D6847" t="s">
        <v>121</v>
      </c>
      <c r="F6847" s="35">
        <v>5.0809891242154022</v>
      </c>
      <c r="G6847" s="35">
        <v>-5.1382022524962947</v>
      </c>
      <c r="H6847" s="35">
        <v>1.630915022436866</v>
      </c>
      <c r="I6847" s="35">
        <v>-6.7676146227838074E-2</v>
      </c>
      <c r="J6847" s="35">
        <v>-5.5053838608263902E-3</v>
      </c>
      <c r="K6847" s="35">
        <v>0.13527880497753872</v>
      </c>
      <c r="L6847" s="35">
        <v>-2.159202819570031</v>
      </c>
      <c r="M6847" s="58" t="s">
        <v>24</v>
      </c>
      <c r="N6847" s="7">
        <v>10.416666666666666</v>
      </c>
      <c r="O6847" s="7" t="s">
        <v>178</v>
      </c>
      <c r="P6847" s="7" t="s">
        <v>178</v>
      </c>
    </row>
    <row r="6848" spans="1:16" x14ac:dyDescent="0.25">
      <c r="A6848" t="s">
        <v>183</v>
      </c>
      <c r="B6848" t="s">
        <v>235</v>
      </c>
      <c r="C6848" s="7" t="s">
        <v>176</v>
      </c>
      <c r="D6848" t="s">
        <v>121</v>
      </c>
      <c r="F6848" s="35">
        <v>10.161978248430804</v>
      </c>
      <c r="G6848" s="35">
        <v>-2.362381679100559</v>
      </c>
      <c r="H6848" s="35">
        <v>-2.2103127554699777</v>
      </c>
      <c r="I6848" s="35">
        <v>-6.7676146227838074E-2</v>
      </c>
      <c r="J6848" s="35">
        <v>-5.5053838608263902E-3</v>
      </c>
      <c r="K6848" s="35">
        <v>0.47914056792999526</v>
      </c>
      <c r="L6848" s="35">
        <v>-0.68724602950188118</v>
      </c>
      <c r="M6848" s="58" t="s">
        <v>23</v>
      </c>
      <c r="N6848" s="7">
        <v>10.416666666666666</v>
      </c>
      <c r="O6848" s="7" t="s">
        <v>178</v>
      </c>
      <c r="P6848" s="7" t="s">
        <v>178</v>
      </c>
    </row>
    <row r="6849" spans="1:16" x14ac:dyDescent="0.25">
      <c r="A6849" t="s">
        <v>183</v>
      </c>
      <c r="B6849" t="s">
        <v>235</v>
      </c>
      <c r="C6849" s="7" t="s">
        <v>176</v>
      </c>
      <c r="D6849" t="s">
        <v>122</v>
      </c>
      <c r="F6849" s="35">
        <v>0</v>
      </c>
      <c r="G6849" s="35">
        <v>56.344064770976949</v>
      </c>
      <c r="H6849" s="35">
        <v>-23.358118968619465</v>
      </c>
      <c r="I6849" s="35">
        <v>0.54845838818524528</v>
      </c>
      <c r="J6849" s="35">
        <v>9.6747781899225779E-3</v>
      </c>
      <c r="K6849" s="35">
        <v>1.9026022356400778</v>
      </c>
      <c r="L6849" s="35">
        <v>-57.861534280324889</v>
      </c>
      <c r="M6849" s="58" t="s">
        <v>22</v>
      </c>
      <c r="N6849" s="7">
        <v>10.416666666666666</v>
      </c>
      <c r="O6849" s="7" t="s">
        <v>178</v>
      </c>
      <c r="P6849" s="7" t="s">
        <v>178</v>
      </c>
    </row>
    <row r="6850" spans="1:16" x14ac:dyDescent="0.25">
      <c r="A6850" t="s">
        <v>183</v>
      </c>
      <c r="B6850" t="s">
        <v>235</v>
      </c>
      <c r="C6850" s="7" t="s">
        <v>176</v>
      </c>
      <c r="D6850" t="s">
        <v>122</v>
      </c>
      <c r="F6850" s="35">
        <v>4.5</v>
      </c>
      <c r="G6850" s="35">
        <v>58.802482270976952</v>
      </c>
      <c r="H6850" s="35">
        <v>-8.0491189686194602</v>
      </c>
      <c r="I6850" s="35">
        <v>0.54845838818524528</v>
      </c>
      <c r="J6850" s="35">
        <v>9.6747781899225779E-3</v>
      </c>
      <c r="K6850" s="35">
        <v>-0.56546051119352636</v>
      </c>
      <c r="L6850" s="35">
        <v>12.804751078462679</v>
      </c>
      <c r="M6850" s="58" t="s">
        <v>24</v>
      </c>
      <c r="N6850" s="7">
        <v>10.416666666666666</v>
      </c>
      <c r="O6850" s="7" t="s">
        <v>178</v>
      </c>
      <c r="P6850" s="7" t="s">
        <v>178</v>
      </c>
    </row>
    <row r="6851" spans="1:16" x14ac:dyDescent="0.25">
      <c r="A6851" t="s">
        <v>183</v>
      </c>
      <c r="B6851" t="s">
        <v>235</v>
      </c>
      <c r="C6851" s="7" t="s">
        <v>176</v>
      </c>
      <c r="D6851" t="s">
        <v>122</v>
      </c>
      <c r="F6851" s="35">
        <v>4.5</v>
      </c>
      <c r="G6851" s="35">
        <v>59.588618447901609</v>
      </c>
      <c r="H6851" s="35">
        <v>-8.0494591163091354</v>
      </c>
      <c r="I6851" s="35">
        <v>0.53169282809416296</v>
      </c>
      <c r="J6851" s="35">
        <v>-8.7504032081197163E-3</v>
      </c>
      <c r="K6851" s="35">
        <v>-0.5654580786276302</v>
      </c>
      <c r="L6851" s="35">
        <v>11.822011520983809</v>
      </c>
      <c r="M6851" s="58" t="s">
        <v>24</v>
      </c>
      <c r="N6851" s="7">
        <v>10.416666666666666</v>
      </c>
      <c r="O6851" s="7" t="s">
        <v>178</v>
      </c>
      <c r="P6851" s="7" t="s">
        <v>178</v>
      </c>
    </row>
    <row r="6852" spans="1:16" x14ac:dyDescent="0.25">
      <c r="A6852" t="s">
        <v>183</v>
      </c>
      <c r="B6852" t="s">
        <v>235</v>
      </c>
      <c r="C6852" s="7" t="s">
        <v>176</v>
      </c>
      <c r="D6852" t="s">
        <v>122</v>
      </c>
      <c r="F6852" s="35">
        <v>5.0809891242154022</v>
      </c>
      <c r="G6852" s="35">
        <v>59.906021521297347</v>
      </c>
      <c r="H6852" s="35">
        <v>-6.0729341157283381</v>
      </c>
      <c r="I6852" s="35">
        <v>0.53169282809416296</v>
      </c>
      <c r="J6852" s="35">
        <v>-8.7504032081197163E-3</v>
      </c>
      <c r="K6852" s="35">
        <v>-0.87436582917366823</v>
      </c>
      <c r="L6852" s="35">
        <v>15.924489958837295</v>
      </c>
      <c r="M6852" s="58" t="s">
        <v>24</v>
      </c>
      <c r="N6852" s="7">
        <v>10.416666666666666</v>
      </c>
      <c r="O6852" s="7" t="s">
        <v>178</v>
      </c>
      <c r="P6852" s="7" t="s">
        <v>178</v>
      </c>
    </row>
    <row r="6853" spans="1:16" x14ac:dyDescent="0.25">
      <c r="A6853" t="s">
        <v>183</v>
      </c>
      <c r="B6853" t="s">
        <v>235</v>
      </c>
      <c r="C6853" s="7" t="s">
        <v>176</v>
      </c>
      <c r="D6853" t="s">
        <v>122</v>
      </c>
      <c r="F6853" s="35">
        <v>10.161978248430804</v>
      </c>
      <c r="G6853" s="35">
        <v>62.681842094693081</v>
      </c>
      <c r="H6853" s="35">
        <v>11.212590884852462</v>
      </c>
      <c r="I6853" s="35">
        <v>0.53169282809416296</v>
      </c>
      <c r="J6853" s="35">
        <v>-8.7504032081197163E-3</v>
      </c>
      <c r="K6853" s="35">
        <v>-3.575891306143439</v>
      </c>
      <c r="L6853" s="35">
        <v>2.867219885777422</v>
      </c>
      <c r="M6853" s="58" t="s">
        <v>23</v>
      </c>
      <c r="N6853" s="7">
        <v>10.416666666666666</v>
      </c>
      <c r="O6853" s="7" t="s">
        <v>178</v>
      </c>
      <c r="P6853" s="7" t="s">
        <v>178</v>
      </c>
    </row>
    <row r="6854" spans="1:16" x14ac:dyDescent="0.25">
      <c r="A6854" t="s">
        <v>183</v>
      </c>
      <c r="B6854" t="s">
        <v>235</v>
      </c>
      <c r="C6854" s="7" t="s">
        <v>176</v>
      </c>
      <c r="D6854" t="s">
        <v>123</v>
      </c>
      <c r="F6854" s="35">
        <v>0</v>
      </c>
      <c r="G6854" s="35">
        <v>34.737069915035228</v>
      </c>
      <c r="H6854" s="35">
        <v>-41.003432593253848</v>
      </c>
      <c r="I6854" s="35">
        <v>0.42903408594991671</v>
      </c>
      <c r="J6854" s="35">
        <v>4.5146369236891979E-3</v>
      </c>
      <c r="K6854" s="35">
        <v>1.4672589006116046</v>
      </c>
      <c r="L6854" s="35">
        <v>-98.113857945198959</v>
      </c>
      <c r="M6854" s="58" t="s">
        <v>22</v>
      </c>
      <c r="N6854" s="7">
        <v>10.416666666666666</v>
      </c>
      <c r="O6854" s="7" t="s">
        <v>178</v>
      </c>
      <c r="P6854" s="7" t="s">
        <v>178</v>
      </c>
    </row>
    <row r="6855" spans="1:16" x14ac:dyDescent="0.25">
      <c r="A6855" t="s">
        <v>183</v>
      </c>
      <c r="B6855" t="s">
        <v>235</v>
      </c>
      <c r="C6855" s="7" t="s">
        <v>176</v>
      </c>
      <c r="D6855" t="s">
        <v>123</v>
      </c>
      <c r="F6855" s="35">
        <v>4.5</v>
      </c>
      <c r="G6855" s="35">
        <v>37.195487415035231</v>
      </c>
      <c r="H6855" s="35">
        <v>-13.787432593253847</v>
      </c>
      <c r="I6855" s="35">
        <v>0.42903408594991671</v>
      </c>
      <c r="J6855" s="35">
        <v>4.5146369236891979E-3</v>
      </c>
      <c r="K6855" s="35">
        <v>-0.46339448616302037</v>
      </c>
      <c r="L6855" s="35">
        <v>25.165588724443349</v>
      </c>
      <c r="M6855" s="58" t="s">
        <v>24</v>
      </c>
      <c r="N6855" s="7">
        <v>10.416666666666666</v>
      </c>
      <c r="O6855" s="7" t="s">
        <v>178</v>
      </c>
      <c r="P6855" s="7" t="s">
        <v>178</v>
      </c>
    </row>
    <row r="6856" spans="1:16" x14ac:dyDescent="0.25">
      <c r="A6856" t="s">
        <v>183</v>
      </c>
      <c r="B6856" t="s">
        <v>235</v>
      </c>
      <c r="C6856" s="7" t="s">
        <v>176</v>
      </c>
      <c r="D6856" t="s">
        <v>123</v>
      </c>
      <c r="F6856" s="35">
        <v>4.5</v>
      </c>
      <c r="G6856" s="35">
        <v>37.98162377920589</v>
      </c>
      <c r="H6856" s="35">
        <v>-13.788015056353769</v>
      </c>
      <c r="I6856" s="35">
        <v>0.41768896341549333</v>
      </c>
      <c r="J6856" s="35">
        <v>-6.3361975867441672E-3</v>
      </c>
      <c r="K6856" s="35">
        <v>-0.46339363320924581</v>
      </c>
      <c r="L6856" s="35">
        <v>24.182793598093753</v>
      </c>
      <c r="M6856" s="58" t="s">
        <v>24</v>
      </c>
      <c r="N6856" s="7">
        <v>10.416666666666666</v>
      </c>
      <c r="O6856" s="7" t="s">
        <v>178</v>
      </c>
      <c r="P6856" s="7" t="s">
        <v>178</v>
      </c>
    </row>
    <row r="6857" spans="1:16" x14ac:dyDescent="0.25">
      <c r="A6857" t="s">
        <v>183</v>
      </c>
      <c r="B6857" t="s">
        <v>235</v>
      </c>
      <c r="C6857" s="7" t="s">
        <v>176</v>
      </c>
      <c r="D6857" t="s">
        <v>123</v>
      </c>
      <c r="F6857" s="35">
        <v>5.0809891242154022</v>
      </c>
      <c r="G6857" s="35">
        <v>38.299026852601628</v>
      </c>
      <c r="H6857" s="35">
        <v>-10.274192833099018</v>
      </c>
      <c r="I6857" s="35">
        <v>0.41768896341549333</v>
      </c>
      <c r="J6857" s="35">
        <v>-6.3361975867441672E-3</v>
      </c>
      <c r="K6857" s="35">
        <v>-0.70606637825845231</v>
      </c>
      <c r="L6857" s="35">
        <v>31.172734142284806</v>
      </c>
      <c r="M6857" s="58" t="s">
        <v>24</v>
      </c>
      <c r="N6857" s="7">
        <v>10.416666666666666</v>
      </c>
      <c r="O6857" s="7" t="s">
        <v>178</v>
      </c>
      <c r="P6857" s="7" t="s">
        <v>178</v>
      </c>
    </row>
    <row r="6858" spans="1:16" x14ac:dyDescent="0.25">
      <c r="A6858" t="s">
        <v>183</v>
      </c>
      <c r="B6858" t="s">
        <v>235</v>
      </c>
      <c r="C6858" s="7" t="s">
        <v>176</v>
      </c>
      <c r="D6858" t="s">
        <v>123</v>
      </c>
      <c r="F6858" s="35">
        <v>10.161978248430804</v>
      </c>
      <c r="G6858" s="35">
        <v>41.074847425997369</v>
      </c>
      <c r="H6858" s="35">
        <v>20.455629390155732</v>
      </c>
      <c r="I6858" s="35">
        <v>0.41768896341549333</v>
      </c>
      <c r="J6858" s="35">
        <v>-6.3361975867441672E-3</v>
      </c>
      <c r="K6858" s="35">
        <v>-2.828339458677378</v>
      </c>
      <c r="L6858" s="35">
        <v>5.306849934637679</v>
      </c>
      <c r="M6858" s="58" t="s">
        <v>23</v>
      </c>
      <c r="N6858" s="7">
        <v>10.416666666666666</v>
      </c>
      <c r="O6858" s="7" t="s">
        <v>178</v>
      </c>
      <c r="P6858" s="7" t="s">
        <v>178</v>
      </c>
    </row>
    <row r="6859" spans="1:16" x14ac:dyDescent="0.25">
      <c r="A6859" t="s">
        <v>183</v>
      </c>
      <c r="B6859" t="s">
        <v>235</v>
      </c>
      <c r="C6859" s="7" t="s">
        <v>176</v>
      </c>
      <c r="D6859" t="s">
        <v>124</v>
      </c>
      <c r="F6859" s="35">
        <v>0</v>
      </c>
      <c r="G6859" s="35">
        <v>12.652378720567246</v>
      </c>
      <c r="H6859" s="35">
        <v>44.074986950017511</v>
      </c>
      <c r="I6859" s="35">
        <v>1.7035829427817393</v>
      </c>
      <c r="J6859" s="35">
        <v>1.2229392766210354E-2</v>
      </c>
      <c r="K6859" s="35">
        <v>9.061225988967232</v>
      </c>
      <c r="L6859" s="35">
        <v>101.11537396532357</v>
      </c>
      <c r="M6859" s="58" t="s">
        <v>22</v>
      </c>
      <c r="N6859" s="7">
        <v>10.416666666666666</v>
      </c>
      <c r="O6859" s="7" t="s">
        <v>178</v>
      </c>
      <c r="P6859" s="7" t="s">
        <v>178</v>
      </c>
    </row>
    <row r="6860" spans="1:16" x14ac:dyDescent="0.25">
      <c r="A6860" t="s">
        <v>183</v>
      </c>
      <c r="B6860" t="s">
        <v>235</v>
      </c>
      <c r="C6860" s="7" t="s">
        <v>176</v>
      </c>
      <c r="D6860" t="s">
        <v>124</v>
      </c>
      <c r="F6860" s="35">
        <v>4.5</v>
      </c>
      <c r="G6860" s="35">
        <v>15.110796220567249</v>
      </c>
      <c r="H6860" s="35">
        <v>14.307486950017504</v>
      </c>
      <c r="I6860" s="35">
        <v>1.7035829427817393</v>
      </c>
      <c r="J6860" s="35">
        <v>1.2229392766210354E-2</v>
      </c>
      <c r="K6860" s="35">
        <v>1.395102746449405</v>
      </c>
      <c r="L6860" s="35">
        <v>-30.245192309755186</v>
      </c>
      <c r="M6860" s="58" t="s">
        <v>24</v>
      </c>
      <c r="N6860" s="7">
        <v>10.416666666666666</v>
      </c>
      <c r="O6860" s="7" t="s">
        <v>178</v>
      </c>
      <c r="P6860" s="7" t="s">
        <v>178</v>
      </c>
    </row>
    <row r="6861" spans="1:16" x14ac:dyDescent="0.25">
      <c r="A6861" t="s">
        <v>183</v>
      </c>
      <c r="B6861" t="s">
        <v>235</v>
      </c>
      <c r="C6861" s="7" t="s">
        <v>176</v>
      </c>
      <c r="D6861" t="s">
        <v>124</v>
      </c>
      <c r="F6861" s="35">
        <v>4.5</v>
      </c>
      <c r="G6861" s="35">
        <v>15.896926750790096</v>
      </c>
      <c r="H6861" s="35">
        <v>14.308110109720548</v>
      </c>
      <c r="I6861" s="35">
        <v>1.6910832361925023</v>
      </c>
      <c r="J6861" s="35">
        <v>-5.53118620468425E-3</v>
      </c>
      <c r="K6861" s="35">
        <v>1.3951271301342234</v>
      </c>
      <c r="L6861" s="35">
        <v>-31.227717230148691</v>
      </c>
      <c r="M6861" s="58" t="s">
        <v>24</v>
      </c>
      <c r="N6861" s="7">
        <v>10.416666666666666</v>
      </c>
      <c r="O6861" s="7" t="s">
        <v>178</v>
      </c>
      <c r="P6861" s="7" t="s">
        <v>178</v>
      </c>
    </row>
    <row r="6862" spans="1:16" x14ac:dyDescent="0.25">
      <c r="A6862" t="s">
        <v>183</v>
      </c>
      <c r="B6862" t="s">
        <v>235</v>
      </c>
      <c r="C6862" s="7" t="s">
        <v>176</v>
      </c>
      <c r="D6862" t="s">
        <v>124</v>
      </c>
      <c r="F6862" s="35">
        <v>5.0809891242154022</v>
      </c>
      <c r="G6862" s="35">
        <v>16.214329824185832</v>
      </c>
      <c r="H6862" s="35">
        <v>10.464867053035666</v>
      </c>
      <c r="I6862" s="35">
        <v>1.6910832361925023</v>
      </c>
      <c r="J6862" s="35">
        <v>-5.53118620468425E-3</v>
      </c>
      <c r="K6862" s="35">
        <v>0.41262616176339389</v>
      </c>
      <c r="L6862" s="35">
        <v>-38.424132383147636</v>
      </c>
      <c r="M6862" s="58" t="s">
        <v>24</v>
      </c>
      <c r="N6862" s="7">
        <v>10.416666666666666</v>
      </c>
      <c r="O6862" s="7" t="s">
        <v>178</v>
      </c>
      <c r="P6862" s="7" t="s">
        <v>178</v>
      </c>
    </row>
    <row r="6863" spans="1:16" x14ac:dyDescent="0.25">
      <c r="A6863" t="s">
        <v>183</v>
      </c>
      <c r="B6863" t="s">
        <v>235</v>
      </c>
      <c r="C6863" s="7" t="s">
        <v>176</v>
      </c>
      <c r="D6863" t="s">
        <v>124</v>
      </c>
      <c r="F6863" s="35">
        <v>10.161978248430804</v>
      </c>
      <c r="G6863" s="35">
        <v>18.990150397581569</v>
      </c>
      <c r="H6863" s="35">
        <v>-23.145876003649221</v>
      </c>
      <c r="I6863" s="35">
        <v>1.6910832361925023</v>
      </c>
      <c r="J6863" s="35">
        <v>-5.53118620468425E-3</v>
      </c>
      <c r="K6863" s="35">
        <v>-8.1797493694736954</v>
      </c>
      <c r="L6863" s="35">
        <v>-6.2080981020748274</v>
      </c>
      <c r="M6863" s="58" t="s">
        <v>23</v>
      </c>
      <c r="N6863" s="7">
        <v>10.416666666666666</v>
      </c>
      <c r="O6863" s="7" t="s">
        <v>178</v>
      </c>
      <c r="P6863" s="7" t="s">
        <v>178</v>
      </c>
    </row>
    <row r="6864" spans="1:16" x14ac:dyDescent="0.25">
      <c r="A6864" t="s">
        <v>183</v>
      </c>
      <c r="B6864" t="s">
        <v>235</v>
      </c>
      <c r="C6864" s="7" t="s">
        <v>176</v>
      </c>
      <c r="D6864" t="s">
        <v>125</v>
      </c>
      <c r="F6864" s="35">
        <v>0</v>
      </c>
      <c r="G6864" s="35">
        <v>-13.038349418979383</v>
      </c>
      <c r="H6864" s="35">
        <v>26.467682435423445</v>
      </c>
      <c r="I6864" s="35">
        <v>3.6389276433759195</v>
      </c>
      <c r="J6864" s="35">
        <v>8.5687127326883796E-3</v>
      </c>
      <c r="K6864" s="35">
        <v>19.705889323607156</v>
      </c>
      <c r="L6864" s="35">
        <v>61.258640198492074</v>
      </c>
      <c r="M6864" s="58" t="s">
        <v>22</v>
      </c>
      <c r="N6864" s="7">
        <v>10.416666666666666</v>
      </c>
      <c r="O6864" s="7" t="s">
        <v>178</v>
      </c>
      <c r="P6864" s="7" t="s">
        <v>178</v>
      </c>
    </row>
    <row r="6865" spans="1:16" x14ac:dyDescent="0.25">
      <c r="A6865" t="s">
        <v>183</v>
      </c>
      <c r="B6865" t="s">
        <v>235</v>
      </c>
      <c r="C6865" s="7" t="s">
        <v>176</v>
      </c>
      <c r="D6865" t="s">
        <v>125</v>
      </c>
      <c r="F6865" s="35">
        <v>4.5</v>
      </c>
      <c r="G6865" s="35">
        <v>-10.57993191897938</v>
      </c>
      <c r="H6865" s="35">
        <v>8.607182435423443</v>
      </c>
      <c r="I6865" s="35">
        <v>3.6389276433759195</v>
      </c>
      <c r="J6865" s="35">
        <v>8.5687127326883796E-3</v>
      </c>
      <c r="K6865" s="35">
        <v>3.330714928415524</v>
      </c>
      <c r="L6865" s="35">
        <v>-17.659805760913411</v>
      </c>
      <c r="M6865" s="58" t="s">
        <v>24</v>
      </c>
      <c r="N6865" s="7">
        <v>10.416666666666666</v>
      </c>
      <c r="O6865" s="7" t="s">
        <v>178</v>
      </c>
      <c r="P6865" s="7" t="s">
        <v>178</v>
      </c>
    </row>
    <row r="6866" spans="1:16" x14ac:dyDescent="0.25">
      <c r="A6866" t="s">
        <v>183</v>
      </c>
      <c r="B6866" t="s">
        <v>235</v>
      </c>
      <c r="C6866" s="7" t="s">
        <v>176</v>
      </c>
      <c r="D6866" t="s">
        <v>125</v>
      </c>
      <c r="F6866" s="35">
        <v>4.5</v>
      </c>
      <c r="G6866" s="35">
        <v>-9.793807318296027</v>
      </c>
      <c r="H6866" s="35">
        <v>8.6075306277650458</v>
      </c>
      <c r="I6866" s="35">
        <v>3.6294495875882986</v>
      </c>
      <c r="J6866" s="35">
        <v>-4.329885677851442E-3</v>
      </c>
      <c r="K6866" s="35">
        <v>3.3307642748119881</v>
      </c>
      <c r="L6866" s="35">
        <v>-18.642380563462943</v>
      </c>
      <c r="M6866" s="58" t="s">
        <v>24</v>
      </c>
      <c r="N6866" s="7">
        <v>10.416666666666666</v>
      </c>
      <c r="O6866" s="7" t="s">
        <v>178</v>
      </c>
      <c r="P6866" s="7" t="s">
        <v>178</v>
      </c>
    </row>
    <row r="6867" spans="1:16" x14ac:dyDescent="0.25">
      <c r="A6867" t="s">
        <v>183</v>
      </c>
      <c r="B6867" t="s">
        <v>235</v>
      </c>
      <c r="C6867" s="7" t="s">
        <v>176</v>
      </c>
      <c r="D6867" t="s">
        <v>125</v>
      </c>
      <c r="F6867" s="35">
        <v>5.0809891242154022</v>
      </c>
      <c r="G6867" s="35">
        <v>-9.4764042449002908</v>
      </c>
      <c r="H6867" s="35">
        <v>6.301584793754115</v>
      </c>
      <c r="I6867" s="35">
        <v>3.6294495875882986</v>
      </c>
      <c r="J6867" s="35">
        <v>-4.329885677851442E-3</v>
      </c>
      <c r="K6867" s="35">
        <v>1.2220935375351116</v>
      </c>
      <c r="L6867" s="35">
        <v>-22.973397519250319</v>
      </c>
      <c r="M6867" s="58" t="s">
        <v>24</v>
      </c>
      <c r="N6867" s="7">
        <v>10.416666666666666</v>
      </c>
      <c r="O6867" s="7" t="s">
        <v>178</v>
      </c>
      <c r="P6867" s="7" t="s">
        <v>178</v>
      </c>
    </row>
    <row r="6868" spans="1:16" x14ac:dyDescent="0.25">
      <c r="A6868" t="s">
        <v>183</v>
      </c>
      <c r="B6868" t="s">
        <v>235</v>
      </c>
      <c r="C6868" s="7" t="s">
        <v>176</v>
      </c>
      <c r="D6868" t="s">
        <v>125</v>
      </c>
      <c r="F6868" s="35">
        <v>10.161978248430804</v>
      </c>
      <c r="G6868" s="35">
        <v>-6.7005836715045541</v>
      </c>
      <c r="H6868" s="35">
        <v>-13.864861040256814</v>
      </c>
      <c r="I6868" s="35">
        <v>3.6294495875882986</v>
      </c>
      <c r="J6868" s="35">
        <v>-4.329885677851442E-3</v>
      </c>
      <c r="K6868" s="35">
        <v>-17.21910034388911</v>
      </c>
      <c r="L6868" s="35">
        <v>-3.7589353432918773</v>
      </c>
      <c r="M6868" s="58" t="s">
        <v>23</v>
      </c>
      <c r="N6868" s="7">
        <v>10.416666666666666</v>
      </c>
      <c r="O6868" s="7" t="s">
        <v>178</v>
      </c>
      <c r="P6868" s="7" t="s">
        <v>178</v>
      </c>
    </row>
    <row r="6869" spans="1:16" x14ac:dyDescent="0.25">
      <c r="A6869" t="s">
        <v>183</v>
      </c>
      <c r="B6869" t="s">
        <v>235</v>
      </c>
      <c r="C6869" s="7" t="s">
        <v>176</v>
      </c>
      <c r="D6869" t="s">
        <v>126</v>
      </c>
      <c r="F6869" s="35">
        <v>0</v>
      </c>
      <c r="G6869" s="35">
        <v>15.603733186597642</v>
      </c>
      <c r="H6869" s="35">
        <v>44.100828408777488</v>
      </c>
      <c r="I6869" s="35">
        <v>-1.0679462631779122</v>
      </c>
      <c r="J6869" s="35">
        <v>-1.7350037280203116E-2</v>
      </c>
      <c r="K6869" s="35">
        <v>-6.6878973964929509</v>
      </c>
      <c r="L6869" s="35">
        <v>101.38700125414982</v>
      </c>
      <c r="M6869" s="58" t="s">
        <v>22</v>
      </c>
      <c r="N6869" s="7">
        <v>10.416666666666666</v>
      </c>
      <c r="O6869" s="7" t="s">
        <v>178</v>
      </c>
      <c r="P6869" s="7" t="s">
        <v>178</v>
      </c>
    </row>
    <row r="6870" spans="1:16" x14ac:dyDescent="0.25">
      <c r="A6870" t="s">
        <v>183</v>
      </c>
      <c r="B6870" t="s">
        <v>235</v>
      </c>
      <c r="C6870" s="7" t="s">
        <v>176</v>
      </c>
      <c r="D6870" t="s">
        <v>126</v>
      </c>
      <c r="F6870" s="35">
        <v>4.5</v>
      </c>
      <c r="G6870" s="35">
        <v>18.062150686597644</v>
      </c>
      <c r="H6870" s="35">
        <v>14.333328408777481</v>
      </c>
      <c r="I6870" s="35">
        <v>-1.0679462631779122</v>
      </c>
      <c r="J6870" s="35">
        <v>-1.7350037280203116E-2</v>
      </c>
      <c r="K6870" s="35">
        <v>-1.8821392121923455</v>
      </c>
      <c r="L6870" s="35">
        <v>-30.089851585348821</v>
      </c>
      <c r="M6870" s="58" t="s">
        <v>24</v>
      </c>
      <c r="N6870" s="7">
        <v>10.416666666666666</v>
      </c>
      <c r="O6870" s="7" t="s">
        <v>178</v>
      </c>
      <c r="P6870" s="7" t="s">
        <v>178</v>
      </c>
    </row>
    <row r="6871" spans="1:16" x14ac:dyDescent="0.25">
      <c r="A6871" t="s">
        <v>183</v>
      </c>
      <c r="B6871" t="s">
        <v>235</v>
      </c>
      <c r="C6871" s="7" t="s">
        <v>176</v>
      </c>
      <c r="D6871" t="s">
        <v>126</v>
      </c>
      <c r="F6871" s="35">
        <v>4.5</v>
      </c>
      <c r="G6871" s="35">
        <v>18.848291731687482</v>
      </c>
      <c r="H6871" s="35">
        <v>14.334022829622624</v>
      </c>
      <c r="I6871" s="35">
        <v>-1.0367186638472796</v>
      </c>
      <c r="J6871" s="35">
        <v>1.6707730123760072E-2</v>
      </c>
      <c r="K6871" s="35">
        <v>-1.8821541030501434</v>
      </c>
      <c r="L6871" s="35">
        <v>-31.072401838770332</v>
      </c>
      <c r="M6871" s="58" t="s">
        <v>24</v>
      </c>
      <c r="N6871" s="7">
        <v>10.416666666666666</v>
      </c>
      <c r="O6871" s="7" t="s">
        <v>178</v>
      </c>
      <c r="P6871" s="7" t="s">
        <v>178</v>
      </c>
    </row>
    <row r="6872" spans="1:16" x14ac:dyDescent="0.25">
      <c r="A6872" t="s">
        <v>183</v>
      </c>
      <c r="B6872" t="s">
        <v>235</v>
      </c>
      <c r="C6872" s="7" t="s">
        <v>176</v>
      </c>
      <c r="D6872" t="s">
        <v>126</v>
      </c>
      <c r="F6872" s="35">
        <v>5.0809891242154022</v>
      </c>
      <c r="G6872" s="35">
        <v>19.165694805083216</v>
      </c>
      <c r="H6872" s="35">
        <v>10.49077977293774</v>
      </c>
      <c r="I6872" s="35">
        <v>-1.0367186638472796</v>
      </c>
      <c r="J6872" s="35">
        <v>1.6707730123760072E-2</v>
      </c>
      <c r="K6872" s="35">
        <v>-1.2798318344837512</v>
      </c>
      <c r="L6872" s="35">
        <v>-38.283872000211218</v>
      </c>
      <c r="M6872" s="58" t="s">
        <v>24</v>
      </c>
      <c r="N6872" s="7">
        <v>10.416666666666666</v>
      </c>
      <c r="O6872" s="7" t="s">
        <v>178</v>
      </c>
      <c r="P6872" s="7" t="s">
        <v>178</v>
      </c>
    </row>
    <row r="6873" spans="1:16" x14ac:dyDescent="0.25">
      <c r="A6873" t="s">
        <v>183</v>
      </c>
      <c r="B6873" t="s">
        <v>235</v>
      </c>
      <c r="C6873" s="7" t="s">
        <v>176</v>
      </c>
      <c r="D6873" t="s">
        <v>126</v>
      </c>
      <c r="F6873" s="35">
        <v>10.161978248430804</v>
      </c>
      <c r="G6873" s="35">
        <v>21.941515378478954</v>
      </c>
      <c r="H6873" s="35">
        <v>-23.119963283747143</v>
      </c>
      <c r="I6873" s="35">
        <v>-1.0367186638472796</v>
      </c>
      <c r="J6873" s="35">
        <v>1.6707730123760072E-2</v>
      </c>
      <c r="K6873" s="35">
        <v>3.9877244213953995</v>
      </c>
      <c r="L6873" s="35">
        <v>-6.199499967139678</v>
      </c>
      <c r="M6873" s="58" t="s">
        <v>23</v>
      </c>
      <c r="N6873" s="7">
        <v>10.416666666666666</v>
      </c>
      <c r="O6873" s="7" t="s">
        <v>178</v>
      </c>
      <c r="P6873" s="7" t="s">
        <v>178</v>
      </c>
    </row>
    <row r="6874" spans="1:16" x14ac:dyDescent="0.25">
      <c r="A6874" t="s">
        <v>183</v>
      </c>
      <c r="B6874" t="s">
        <v>235</v>
      </c>
      <c r="C6874" s="7" t="s">
        <v>176</v>
      </c>
      <c r="D6874" t="s">
        <v>127</v>
      </c>
      <c r="F6874" s="35">
        <v>0</v>
      </c>
      <c r="G6874" s="35">
        <v>-43.087141941812305</v>
      </c>
      <c r="H6874" s="35">
        <v>26.5025600622219</v>
      </c>
      <c r="I6874" s="35">
        <v>-3.740989354794273</v>
      </c>
      <c r="J6874" s="35">
        <v>-1.0433507508065151E-2</v>
      </c>
      <c r="K6874" s="35">
        <v>-19.856818252525716</v>
      </c>
      <c r="L6874" s="35">
        <v>61.622075202196754</v>
      </c>
      <c r="M6874" s="58" t="s">
        <v>22</v>
      </c>
      <c r="N6874" s="7">
        <v>10.416666666666666</v>
      </c>
      <c r="O6874" s="7" t="s">
        <v>178</v>
      </c>
      <c r="P6874" s="7" t="s">
        <v>178</v>
      </c>
    </row>
    <row r="6875" spans="1:16" x14ac:dyDescent="0.25">
      <c r="A6875" t="s">
        <v>183</v>
      </c>
      <c r="B6875" t="s">
        <v>235</v>
      </c>
      <c r="C6875" s="7" t="s">
        <v>176</v>
      </c>
      <c r="D6875" t="s">
        <v>127</v>
      </c>
      <c r="F6875" s="35">
        <v>4.5</v>
      </c>
      <c r="G6875" s="35">
        <v>-40.628724441812302</v>
      </c>
      <c r="H6875" s="35">
        <v>8.642060062221903</v>
      </c>
      <c r="I6875" s="35">
        <v>-3.740989354794273</v>
      </c>
      <c r="J6875" s="35">
        <v>-1.0433507508065151E-2</v>
      </c>
      <c r="K6875" s="35">
        <v>-3.0223661559514858</v>
      </c>
      <c r="L6875" s="35">
        <v>-17.453320077801806</v>
      </c>
      <c r="M6875" s="58" t="s">
        <v>24</v>
      </c>
      <c r="N6875" s="7">
        <v>10.416666666666666</v>
      </c>
      <c r="O6875" s="7" t="s">
        <v>178</v>
      </c>
      <c r="P6875" s="7" t="s">
        <v>178</v>
      </c>
    </row>
    <row r="6876" spans="1:16" x14ac:dyDescent="0.25">
      <c r="A6876" t="s">
        <v>183</v>
      </c>
      <c r="B6876" t="s">
        <v>235</v>
      </c>
      <c r="C6876" s="7" t="s">
        <v>176</v>
      </c>
      <c r="D6876" t="s">
        <v>127</v>
      </c>
      <c r="F6876" s="35">
        <v>4.5</v>
      </c>
      <c r="G6876" s="35">
        <v>-39.842578062818696</v>
      </c>
      <c r="H6876" s="35">
        <v>8.6423118083818977</v>
      </c>
      <c r="I6876" s="35">
        <v>-3.7229042142987998</v>
      </c>
      <c r="J6876" s="35">
        <v>9.9636990703741695E-3</v>
      </c>
      <c r="K6876" s="35">
        <v>-3.0224115021873326</v>
      </c>
      <c r="L6876" s="35">
        <v>-18.435933017647717</v>
      </c>
      <c r="M6876" s="58" t="s">
        <v>24</v>
      </c>
      <c r="N6876" s="7">
        <v>10.416666666666666</v>
      </c>
      <c r="O6876" s="7" t="s">
        <v>178</v>
      </c>
      <c r="P6876" s="7" t="s">
        <v>178</v>
      </c>
    </row>
    <row r="6877" spans="1:16" x14ac:dyDescent="0.25">
      <c r="A6877" t="s">
        <v>183</v>
      </c>
      <c r="B6877" t="s">
        <v>235</v>
      </c>
      <c r="C6877" s="7" t="s">
        <v>176</v>
      </c>
      <c r="D6877" t="s">
        <v>127</v>
      </c>
      <c r="F6877" s="35">
        <v>5.0809891242154022</v>
      </c>
      <c r="G6877" s="35">
        <v>-39.525174989422965</v>
      </c>
      <c r="H6877" s="35">
        <v>6.3363659743709677</v>
      </c>
      <c r="I6877" s="35">
        <v>-3.7229042142987998</v>
      </c>
      <c r="J6877" s="35">
        <v>9.9636990703741695E-3</v>
      </c>
      <c r="K6877" s="35">
        <v>-0.85944464318404479</v>
      </c>
      <c r="L6877" s="35">
        <v>-22.787157461100858</v>
      </c>
      <c r="M6877" s="58" t="s">
        <v>24</v>
      </c>
      <c r="N6877" s="7">
        <v>10.416666666666666</v>
      </c>
      <c r="O6877" s="7" t="s">
        <v>178</v>
      </c>
      <c r="P6877" s="7" t="s">
        <v>178</v>
      </c>
    </row>
    <row r="6878" spans="1:16" x14ac:dyDescent="0.25">
      <c r="A6878" t="s">
        <v>183</v>
      </c>
      <c r="B6878" t="s">
        <v>235</v>
      </c>
      <c r="C6878" s="7" t="s">
        <v>176</v>
      </c>
      <c r="D6878" t="s">
        <v>127</v>
      </c>
      <c r="F6878" s="35">
        <v>10.161978248430804</v>
      </c>
      <c r="G6878" s="35">
        <v>-36.749354416027231</v>
      </c>
      <c r="H6878" s="35">
        <v>-13.830079859639962</v>
      </c>
      <c r="I6878" s="35">
        <v>-3.7229042142987998</v>
      </c>
      <c r="J6878" s="35">
        <v>9.9636990703741695E-3</v>
      </c>
      <c r="K6878" s="35">
        <v>18.056591180163842</v>
      </c>
      <c r="L6878" s="35">
        <v>-3.7494180855840127</v>
      </c>
      <c r="M6878" s="58" t="s">
        <v>23</v>
      </c>
      <c r="N6878" s="7">
        <v>10.416666666666666</v>
      </c>
      <c r="O6878" s="7" t="s">
        <v>178</v>
      </c>
      <c r="P6878" s="7" t="s">
        <v>178</v>
      </c>
    </row>
    <row r="6879" spans="1:16" x14ac:dyDescent="0.25">
      <c r="A6879" t="s">
        <v>181</v>
      </c>
      <c r="B6879" t="s">
        <v>236</v>
      </c>
      <c r="C6879" s="7" t="s">
        <v>177</v>
      </c>
      <c r="D6879" t="s">
        <v>105</v>
      </c>
      <c r="F6879" s="35">
        <v>0</v>
      </c>
      <c r="G6879" s="35">
        <v>-18.044309175634577</v>
      </c>
      <c r="H6879" s="35">
        <v>1.0379935599858694</v>
      </c>
      <c r="I6879" s="35">
        <v>1.2558758438758546</v>
      </c>
      <c r="J6879" s="35">
        <v>-5.7676570543167436E-3</v>
      </c>
      <c r="K6879" s="35">
        <v>4.0616402212445468</v>
      </c>
      <c r="L6879" s="35">
        <v>2.7292670350077382</v>
      </c>
      <c r="M6879" s="58" t="s">
        <v>22</v>
      </c>
      <c r="N6879" s="7">
        <v>9.5</v>
      </c>
      <c r="O6879" s="7" t="s">
        <v>178</v>
      </c>
      <c r="P6879" s="7" t="s">
        <v>178</v>
      </c>
    </row>
    <row r="6880" spans="1:16" x14ac:dyDescent="0.25">
      <c r="A6880" t="s">
        <v>181</v>
      </c>
      <c r="B6880" t="s">
        <v>236</v>
      </c>
      <c r="C6880" s="7" t="s">
        <v>177</v>
      </c>
      <c r="D6880" t="s">
        <v>105</v>
      </c>
      <c r="F6880" s="35">
        <v>2</v>
      </c>
      <c r="G6880" s="35">
        <v>-16.951679175634581</v>
      </c>
      <c r="H6880" s="35">
        <v>1.0379935599858694</v>
      </c>
      <c r="I6880" s="35">
        <v>1.2558758438758546</v>
      </c>
      <c r="J6880" s="35">
        <v>-5.7676570543167436E-3</v>
      </c>
      <c r="K6880" s="35">
        <v>1.5498885334928378</v>
      </c>
      <c r="L6880" s="35">
        <v>0.65327991503599991</v>
      </c>
      <c r="M6880" s="58" t="s">
        <v>22</v>
      </c>
      <c r="N6880" s="7">
        <v>9.5</v>
      </c>
      <c r="O6880" s="7" t="s">
        <v>178</v>
      </c>
      <c r="P6880" s="7" t="s">
        <v>178</v>
      </c>
    </row>
    <row r="6881" spans="1:16" x14ac:dyDescent="0.25">
      <c r="A6881" t="s">
        <v>181</v>
      </c>
      <c r="B6881" t="s">
        <v>236</v>
      </c>
      <c r="C6881" s="7" t="s">
        <v>177</v>
      </c>
      <c r="D6881" t="s">
        <v>105</v>
      </c>
      <c r="F6881" s="35">
        <v>2</v>
      </c>
      <c r="G6881" s="35">
        <v>-15.928943849494171</v>
      </c>
      <c r="H6881" s="35">
        <v>-3.1915984594758667E-2</v>
      </c>
      <c r="I6881" s="35">
        <v>1.2558740230330898</v>
      </c>
      <c r="J6881" s="35">
        <v>-5.743520845840489E-3</v>
      </c>
      <c r="K6881" s="35">
        <v>1.5499142787818836</v>
      </c>
      <c r="L6881" s="35">
        <v>0.65327991503599847</v>
      </c>
      <c r="M6881" s="58" t="s">
        <v>22</v>
      </c>
      <c r="N6881" s="7">
        <v>9.5</v>
      </c>
      <c r="O6881" s="7" t="s">
        <v>178</v>
      </c>
      <c r="P6881" s="7" t="s">
        <v>178</v>
      </c>
    </row>
    <row r="6882" spans="1:16" x14ac:dyDescent="0.25">
      <c r="A6882" t="s">
        <v>181</v>
      </c>
      <c r="B6882" t="s">
        <v>236</v>
      </c>
      <c r="C6882" s="7" t="s">
        <v>177</v>
      </c>
      <c r="D6882" t="s">
        <v>105</v>
      </c>
      <c r="F6882" s="35">
        <v>4.5</v>
      </c>
      <c r="G6882" s="35">
        <v>-14.563156349494173</v>
      </c>
      <c r="H6882" s="35">
        <v>-3.1915984594758667E-2</v>
      </c>
      <c r="I6882" s="35">
        <v>1.2558740230330898</v>
      </c>
      <c r="J6882" s="35">
        <v>-5.743520845840489E-3</v>
      </c>
      <c r="K6882" s="35">
        <v>-1.5897707788008411</v>
      </c>
      <c r="L6882" s="35">
        <v>0.73306987652289513</v>
      </c>
      <c r="M6882" s="58" t="s">
        <v>24</v>
      </c>
      <c r="N6882" s="7">
        <v>9.5</v>
      </c>
      <c r="O6882" s="7" t="s">
        <v>178</v>
      </c>
      <c r="P6882" s="7" t="s">
        <v>178</v>
      </c>
    </row>
    <row r="6883" spans="1:16" x14ac:dyDescent="0.25">
      <c r="A6883" t="s">
        <v>181</v>
      </c>
      <c r="B6883" t="s">
        <v>236</v>
      </c>
      <c r="C6883" s="7" t="s">
        <v>177</v>
      </c>
      <c r="D6883" t="s">
        <v>105</v>
      </c>
      <c r="F6883" s="35">
        <v>4.5</v>
      </c>
      <c r="G6883" s="35">
        <v>-13.777019928539987</v>
      </c>
      <c r="H6883" s="35">
        <v>-3.1846823411873115E-2</v>
      </c>
      <c r="I6883" s="35">
        <v>1.2646840320591533</v>
      </c>
      <c r="J6883" s="35">
        <v>5.0735774789193479E-3</v>
      </c>
      <c r="K6883" s="35">
        <v>-1.5897665349411387</v>
      </c>
      <c r="L6883" s="35">
        <v>-0.24959980990462127</v>
      </c>
      <c r="M6883" s="58" t="s">
        <v>24</v>
      </c>
      <c r="N6883" s="7">
        <v>9.5</v>
      </c>
      <c r="O6883" s="7" t="s">
        <v>178</v>
      </c>
      <c r="P6883" s="7" t="s">
        <v>178</v>
      </c>
    </row>
    <row r="6884" spans="1:16" x14ac:dyDescent="0.25">
      <c r="A6884" t="s">
        <v>181</v>
      </c>
      <c r="B6884" t="s">
        <v>236</v>
      </c>
      <c r="C6884" s="7" t="s">
        <v>177</v>
      </c>
      <c r="D6884" t="s">
        <v>105</v>
      </c>
      <c r="F6884" s="35">
        <v>4.6226557908820691</v>
      </c>
      <c r="G6884" s="35">
        <v>-13.71001123014425</v>
      </c>
      <c r="H6884" s="35">
        <v>-3.1846823411873115E-2</v>
      </c>
      <c r="I6884" s="35">
        <v>1.2646840320591533</v>
      </c>
      <c r="J6884" s="35">
        <v>5.0735774789193479E-3</v>
      </c>
      <c r="K6884" s="35">
        <v>-1.7448873551092783</v>
      </c>
      <c r="L6884" s="35">
        <v>-0.24569361259195638</v>
      </c>
      <c r="M6884" s="58" t="s">
        <v>24</v>
      </c>
      <c r="N6884" s="7">
        <v>9.5</v>
      </c>
      <c r="O6884" s="7" t="s">
        <v>178</v>
      </c>
      <c r="P6884" s="7" t="s">
        <v>178</v>
      </c>
    </row>
    <row r="6885" spans="1:16" x14ac:dyDescent="0.25">
      <c r="A6885" t="s">
        <v>181</v>
      </c>
      <c r="B6885" t="s">
        <v>236</v>
      </c>
      <c r="C6885" s="7" t="s">
        <v>177</v>
      </c>
      <c r="D6885" t="s">
        <v>105</v>
      </c>
      <c r="F6885" s="35">
        <v>9.2453115817641383</v>
      </c>
      <c r="G6885" s="35">
        <v>-11.184585031748512</v>
      </c>
      <c r="H6885" s="35">
        <v>-3.1846823411873115E-2</v>
      </c>
      <c r="I6885" s="35">
        <v>1.2646840320591533</v>
      </c>
      <c r="J6885" s="35">
        <v>5.0735774789193479E-3</v>
      </c>
      <c r="K6885" s="35">
        <v>-7.5910863195436056</v>
      </c>
      <c r="L6885" s="35">
        <v>-9.8476709925862466E-2</v>
      </c>
      <c r="M6885" s="58" t="s">
        <v>23</v>
      </c>
      <c r="N6885" s="7">
        <v>9.5</v>
      </c>
      <c r="O6885" s="7" t="s">
        <v>178</v>
      </c>
      <c r="P6885" s="7" t="s">
        <v>178</v>
      </c>
    </row>
    <row r="6886" spans="1:16" x14ac:dyDescent="0.25">
      <c r="A6886" t="s">
        <v>181</v>
      </c>
      <c r="B6886" t="s">
        <v>236</v>
      </c>
      <c r="C6886" s="7" t="s">
        <v>177</v>
      </c>
      <c r="D6886" t="s">
        <v>15</v>
      </c>
      <c r="F6886" s="35">
        <v>0</v>
      </c>
      <c r="G6886" s="35">
        <v>-0.4130566231359698</v>
      </c>
      <c r="H6886" s="35">
        <v>16.628989431490453</v>
      </c>
      <c r="I6886" s="35">
        <v>9.3448372236576152</v>
      </c>
      <c r="J6886" s="35">
        <v>-5.4328404666333487E-3</v>
      </c>
      <c r="K6886" s="35">
        <v>13.89830036839636</v>
      </c>
      <c r="L6886" s="35">
        <v>33.908528427313335</v>
      </c>
      <c r="M6886" s="58" t="s">
        <v>22</v>
      </c>
      <c r="N6886" s="7">
        <v>9.5</v>
      </c>
      <c r="O6886" s="7" t="s">
        <v>178</v>
      </c>
      <c r="P6886" s="7" t="s">
        <v>178</v>
      </c>
    </row>
    <row r="6887" spans="1:16" x14ac:dyDescent="0.25">
      <c r="A6887" t="s">
        <v>181</v>
      </c>
      <c r="B6887" t="s">
        <v>236</v>
      </c>
      <c r="C6887" s="7" t="s">
        <v>177</v>
      </c>
      <c r="D6887" t="s">
        <v>15</v>
      </c>
      <c r="F6887" s="35">
        <v>2</v>
      </c>
      <c r="G6887" s="35">
        <v>0.67957337686403108</v>
      </c>
      <c r="H6887" s="35">
        <v>13.22698943149045</v>
      </c>
      <c r="I6887" s="35">
        <v>5.144837223657615</v>
      </c>
      <c r="J6887" s="35">
        <v>-5.4328404666333487E-3</v>
      </c>
      <c r="K6887" s="35">
        <v>-0.59137407891887073</v>
      </c>
      <c r="L6887" s="35">
        <v>4.0525495643324279</v>
      </c>
      <c r="M6887" s="58" t="s">
        <v>22</v>
      </c>
      <c r="N6887" s="7">
        <v>9.5</v>
      </c>
      <c r="O6887" s="7" t="s">
        <v>178</v>
      </c>
      <c r="P6887" s="7" t="s">
        <v>178</v>
      </c>
    </row>
    <row r="6888" spans="1:16" x14ac:dyDescent="0.25">
      <c r="A6888" t="s">
        <v>181</v>
      </c>
      <c r="B6888" t="s">
        <v>236</v>
      </c>
      <c r="C6888" s="7" t="s">
        <v>177</v>
      </c>
      <c r="D6888" t="s">
        <v>15</v>
      </c>
      <c r="F6888" s="35">
        <v>2</v>
      </c>
      <c r="G6888" s="35">
        <v>6.7243894413947221</v>
      </c>
      <c r="H6888" s="35">
        <v>6.8001880972245887</v>
      </c>
      <c r="I6888" s="35">
        <v>5.1448400140190644</v>
      </c>
      <c r="J6888" s="35">
        <v>-5.4404942927046979E-3</v>
      </c>
      <c r="K6888" s="35">
        <v>-0.59138224300000386</v>
      </c>
      <c r="L6888" s="35">
        <v>4.0525495643324154</v>
      </c>
      <c r="M6888" s="58" t="s">
        <v>22</v>
      </c>
      <c r="N6888" s="7">
        <v>9.5</v>
      </c>
      <c r="O6888" s="7" t="s">
        <v>178</v>
      </c>
      <c r="P6888" s="7" t="s">
        <v>178</v>
      </c>
    </row>
    <row r="6889" spans="1:16" x14ac:dyDescent="0.25">
      <c r="A6889" t="s">
        <v>181</v>
      </c>
      <c r="B6889" t="s">
        <v>236</v>
      </c>
      <c r="C6889" s="7" t="s">
        <v>177</v>
      </c>
      <c r="D6889" t="s">
        <v>15</v>
      </c>
      <c r="F6889" s="35">
        <v>4.5</v>
      </c>
      <c r="G6889" s="35">
        <v>8.0901769413947218</v>
      </c>
      <c r="H6889" s="35">
        <v>2.547688097224587</v>
      </c>
      <c r="I6889" s="35">
        <v>-0.10515998598093647</v>
      </c>
      <c r="J6889" s="35">
        <v>-5.4404942927046979E-3</v>
      </c>
      <c r="K6889" s="35">
        <v>-6.8909822780476642</v>
      </c>
      <c r="L6889" s="35">
        <v>-7.6322956787290535</v>
      </c>
      <c r="M6889" s="58" t="s">
        <v>24</v>
      </c>
      <c r="N6889" s="7">
        <v>9.5</v>
      </c>
      <c r="O6889" s="7" t="s">
        <v>178</v>
      </c>
      <c r="P6889" s="7" t="s">
        <v>178</v>
      </c>
    </row>
    <row r="6890" spans="1:16" x14ac:dyDescent="0.25">
      <c r="A6890" t="s">
        <v>181</v>
      </c>
      <c r="B6890" t="s">
        <v>236</v>
      </c>
      <c r="C6890" s="7" t="s">
        <v>177</v>
      </c>
      <c r="D6890" t="s">
        <v>15</v>
      </c>
      <c r="F6890" s="35">
        <v>4.5</v>
      </c>
      <c r="G6890" s="35">
        <v>8.8763132120619712</v>
      </c>
      <c r="H6890" s="35">
        <v>2.5475160660877183</v>
      </c>
      <c r="I6890" s="35">
        <v>-9.32162091392576E-2</v>
      </c>
      <c r="J6890" s="35">
        <v>8.0649457205413822E-3</v>
      </c>
      <c r="K6890" s="35">
        <v>-6.890982114958879</v>
      </c>
      <c r="L6890" s="35">
        <v>-8.615033334677749</v>
      </c>
      <c r="M6890" s="58" t="s">
        <v>24</v>
      </c>
      <c r="N6890" s="7">
        <v>9.5</v>
      </c>
      <c r="O6890" s="7" t="s">
        <v>178</v>
      </c>
      <c r="P6890" s="7" t="s">
        <v>178</v>
      </c>
    </row>
    <row r="6891" spans="1:16" x14ac:dyDescent="0.25">
      <c r="A6891" t="s">
        <v>181</v>
      </c>
      <c r="B6891" t="s">
        <v>236</v>
      </c>
      <c r="C6891" s="7" t="s">
        <v>177</v>
      </c>
      <c r="D6891" t="s">
        <v>15</v>
      </c>
      <c r="F6891" s="35">
        <v>4.6226557908820691</v>
      </c>
      <c r="G6891" s="35">
        <v>8.9433219104577102</v>
      </c>
      <c r="H6891" s="35">
        <v>2.3388785657973186</v>
      </c>
      <c r="I6891" s="35">
        <v>-0.35079336999160271</v>
      </c>
      <c r="J6891" s="35">
        <v>8.0649457205413822E-3</v>
      </c>
      <c r="K6891" s="35">
        <v>-6.8637519419151234</v>
      </c>
      <c r="L6891" s="35">
        <v>-8.9147056337456263</v>
      </c>
      <c r="M6891" s="58" t="s">
        <v>24</v>
      </c>
      <c r="N6891" s="7">
        <v>9.5</v>
      </c>
      <c r="O6891" s="7" t="s">
        <v>178</v>
      </c>
      <c r="P6891" s="7" t="s">
        <v>178</v>
      </c>
    </row>
    <row r="6892" spans="1:16" x14ac:dyDescent="0.25">
      <c r="A6892" t="s">
        <v>181</v>
      </c>
      <c r="B6892" t="s">
        <v>236</v>
      </c>
      <c r="C6892" s="7" t="s">
        <v>177</v>
      </c>
      <c r="D6892" t="s">
        <v>15</v>
      </c>
      <c r="F6892" s="35">
        <v>9.2453115817641383</v>
      </c>
      <c r="G6892" s="35">
        <v>11.468748108853445</v>
      </c>
      <c r="H6892" s="35">
        <v>-5.5242589344930817</v>
      </c>
      <c r="I6892" s="35">
        <v>-10.058370530843947</v>
      </c>
      <c r="J6892" s="35">
        <v>8.0649457205413822E-3</v>
      </c>
      <c r="K6892" s="35">
        <v>17.195238950303892</v>
      </c>
      <c r="L6892" s="35">
        <v>-1.5522471299888632</v>
      </c>
      <c r="M6892" s="58" t="s">
        <v>23</v>
      </c>
      <c r="N6892" s="7">
        <v>9.5</v>
      </c>
      <c r="O6892" s="7" t="s">
        <v>178</v>
      </c>
      <c r="P6892" s="7" t="s">
        <v>178</v>
      </c>
    </row>
    <row r="6893" spans="1:16" x14ac:dyDescent="0.25">
      <c r="A6893" t="s">
        <v>181</v>
      </c>
      <c r="B6893" t="s">
        <v>236</v>
      </c>
      <c r="C6893" s="7" t="s">
        <v>177</v>
      </c>
      <c r="D6893" t="s">
        <v>16</v>
      </c>
      <c r="F6893" s="35">
        <v>0</v>
      </c>
      <c r="G6893" s="35">
        <v>-10.486304722502927</v>
      </c>
      <c r="H6893" s="35">
        <v>9.1709001528574792</v>
      </c>
      <c r="I6893" s="35">
        <v>4.2481845834866903</v>
      </c>
      <c r="J6893" s="35">
        <v>-3.6918046055790374E-3</v>
      </c>
      <c r="K6893" s="35">
        <v>6.5722496198481535</v>
      </c>
      <c r="L6893" s="35">
        <v>19.712381270657055</v>
      </c>
      <c r="M6893" s="58" t="s">
        <v>22</v>
      </c>
      <c r="N6893" s="7">
        <v>9.5</v>
      </c>
      <c r="O6893" s="7" t="s">
        <v>178</v>
      </c>
      <c r="P6893" s="7" t="s">
        <v>178</v>
      </c>
    </row>
    <row r="6894" spans="1:16" x14ac:dyDescent="0.25">
      <c r="A6894" t="s">
        <v>181</v>
      </c>
      <c r="B6894" t="s">
        <v>236</v>
      </c>
      <c r="C6894" s="7" t="s">
        <v>177</v>
      </c>
      <c r="D6894" t="s">
        <v>16</v>
      </c>
      <c r="F6894" s="35">
        <v>2</v>
      </c>
      <c r="G6894" s="35">
        <v>-9.3936747225029258</v>
      </c>
      <c r="H6894" s="35">
        <v>8.4149001528574789</v>
      </c>
      <c r="I6894" s="35">
        <v>2.4001845834866895</v>
      </c>
      <c r="J6894" s="35">
        <v>-3.6918046055790374E-3</v>
      </c>
      <c r="K6894" s="35">
        <v>-7.6119547125224937E-2</v>
      </c>
      <c r="L6894" s="35">
        <v>2.1265809649420961</v>
      </c>
      <c r="M6894" s="58" t="s">
        <v>22</v>
      </c>
      <c r="N6894" s="7">
        <v>9.5</v>
      </c>
      <c r="O6894" s="7" t="s">
        <v>178</v>
      </c>
      <c r="P6894" s="7" t="s">
        <v>178</v>
      </c>
    </row>
    <row r="6895" spans="1:16" x14ac:dyDescent="0.25">
      <c r="A6895" t="s">
        <v>181</v>
      </c>
      <c r="B6895" t="s">
        <v>236</v>
      </c>
      <c r="C6895" s="7" t="s">
        <v>177</v>
      </c>
      <c r="D6895" t="s">
        <v>16</v>
      </c>
      <c r="F6895" s="35">
        <v>2</v>
      </c>
      <c r="G6895" s="35">
        <v>-2.968171884703231</v>
      </c>
      <c r="H6895" s="35">
        <v>1.5820317113532114</v>
      </c>
      <c r="I6895" s="35">
        <v>2.4001861371770827</v>
      </c>
      <c r="J6895" s="35">
        <v>-3.693920125425452E-3</v>
      </c>
      <c r="K6895" s="35">
        <v>-7.612180367972711E-2</v>
      </c>
      <c r="L6895" s="35">
        <v>2.1265809649420979</v>
      </c>
      <c r="M6895" s="58" t="s">
        <v>22</v>
      </c>
      <c r="N6895" s="7">
        <v>9.5</v>
      </c>
      <c r="O6895" s="7" t="s">
        <v>178</v>
      </c>
      <c r="P6895" s="7" t="s">
        <v>178</v>
      </c>
    </row>
    <row r="6896" spans="1:16" x14ac:dyDescent="0.25">
      <c r="A6896" t="s">
        <v>181</v>
      </c>
      <c r="B6896" t="s">
        <v>236</v>
      </c>
      <c r="C6896" s="7" t="s">
        <v>177</v>
      </c>
      <c r="D6896" t="s">
        <v>16</v>
      </c>
      <c r="F6896" s="35">
        <v>4.5</v>
      </c>
      <c r="G6896" s="35">
        <v>-1.602384384703232</v>
      </c>
      <c r="H6896" s="35">
        <v>0.63703171135321146</v>
      </c>
      <c r="I6896" s="35">
        <v>9.0186137177082501E-2</v>
      </c>
      <c r="J6896" s="35">
        <v>-3.693920125425452E-3</v>
      </c>
      <c r="K6896" s="35">
        <v>-3.189087146622434</v>
      </c>
      <c r="L6896" s="35">
        <v>-0.64724831344093003</v>
      </c>
      <c r="M6896" s="58" t="s">
        <v>24</v>
      </c>
      <c r="N6896" s="7">
        <v>9.5</v>
      </c>
      <c r="O6896" s="7" t="s">
        <v>178</v>
      </c>
      <c r="P6896" s="7" t="s">
        <v>178</v>
      </c>
    </row>
    <row r="6897" spans="1:16" x14ac:dyDescent="0.25">
      <c r="A6897" t="s">
        <v>181</v>
      </c>
      <c r="B6897" t="s">
        <v>236</v>
      </c>
      <c r="C6897" s="7" t="s">
        <v>177</v>
      </c>
      <c r="D6897" t="s">
        <v>16</v>
      </c>
      <c r="F6897" s="35">
        <v>4.5</v>
      </c>
      <c r="G6897" s="35">
        <v>-0.81624830644029933</v>
      </c>
      <c r="H6897" s="35">
        <v>0.63709809827572439</v>
      </c>
      <c r="I6897" s="35">
        <v>9.6314549707307809E-2</v>
      </c>
      <c r="J6897" s="35">
        <v>3.9294734458203201E-3</v>
      </c>
      <c r="K6897" s="35">
        <v>-3.1890872405122233</v>
      </c>
      <c r="L6897" s="35">
        <v>-1.6299303589220087</v>
      </c>
      <c r="M6897" s="58" t="s">
        <v>24</v>
      </c>
      <c r="N6897" s="7">
        <v>9.5</v>
      </c>
      <c r="O6897" s="7" t="s">
        <v>178</v>
      </c>
      <c r="P6897" s="7" t="s">
        <v>178</v>
      </c>
    </row>
    <row r="6898" spans="1:16" x14ac:dyDescent="0.25">
      <c r="A6898" t="s">
        <v>181</v>
      </c>
      <c r="B6898" t="s">
        <v>236</v>
      </c>
      <c r="C6898" s="7" t="s">
        <v>177</v>
      </c>
      <c r="D6898" t="s">
        <v>16</v>
      </c>
      <c r="F6898" s="35">
        <v>4.6226557908820691</v>
      </c>
      <c r="G6898" s="35">
        <v>-0.74923960804456036</v>
      </c>
      <c r="H6898" s="35">
        <v>0.59073420932230225</v>
      </c>
      <c r="I6898" s="35">
        <v>-1.7019401067724059E-2</v>
      </c>
      <c r="J6898" s="35">
        <v>3.9294734458203201E-3</v>
      </c>
      <c r="K6898" s="35">
        <v>-3.1939502450969735</v>
      </c>
      <c r="L6898" s="35">
        <v>-1.7052307303015046</v>
      </c>
      <c r="M6898" s="58" t="s">
        <v>24</v>
      </c>
      <c r="N6898" s="7">
        <v>9.5</v>
      </c>
      <c r="O6898" s="7" t="s">
        <v>178</v>
      </c>
      <c r="P6898" s="7" t="s">
        <v>178</v>
      </c>
    </row>
    <row r="6899" spans="1:16" x14ac:dyDescent="0.25">
      <c r="A6899" t="s">
        <v>181</v>
      </c>
      <c r="B6899" t="s">
        <v>236</v>
      </c>
      <c r="C6899" s="7" t="s">
        <v>177</v>
      </c>
      <c r="D6899" t="s">
        <v>16</v>
      </c>
      <c r="F6899" s="35">
        <v>9.2453115817641383</v>
      </c>
      <c r="G6899" s="35">
        <v>1.7761865903511767</v>
      </c>
      <c r="H6899" s="35">
        <v>-1.1566296796311197</v>
      </c>
      <c r="I6899" s="35">
        <v>-4.2883533518427557</v>
      </c>
      <c r="J6899" s="35">
        <v>3.9294734458203201E-3</v>
      </c>
      <c r="K6899" s="35">
        <v>6.7571778989767797</v>
      </c>
      <c r="L6899" s="35">
        <v>-0.39726074387301102</v>
      </c>
      <c r="M6899" s="58" t="s">
        <v>23</v>
      </c>
      <c r="N6899" s="7">
        <v>9.5</v>
      </c>
      <c r="O6899" s="7" t="s">
        <v>178</v>
      </c>
      <c r="P6899" s="7" t="s">
        <v>178</v>
      </c>
    </row>
    <row r="6900" spans="1:16" x14ac:dyDescent="0.25">
      <c r="A6900" t="s">
        <v>181</v>
      </c>
      <c r="B6900" t="s">
        <v>236</v>
      </c>
      <c r="C6900" s="7" t="s">
        <v>177</v>
      </c>
      <c r="D6900" t="s">
        <v>106</v>
      </c>
      <c r="F6900" s="35">
        <v>0</v>
      </c>
      <c r="G6900" s="35">
        <v>47.920183894934581</v>
      </c>
      <c r="H6900" s="35">
        <v>-18.734993066936781</v>
      </c>
      <c r="I6900" s="35">
        <v>17.169974364250191</v>
      </c>
      <c r="J6900" s="35">
        <v>-9.8898086594643875E-3</v>
      </c>
      <c r="K6900" s="35">
        <v>23.428810424771797</v>
      </c>
      <c r="L6900" s="35">
        <v>-35.882531361314591</v>
      </c>
      <c r="M6900" s="58" t="s">
        <v>22</v>
      </c>
      <c r="N6900" s="7">
        <v>9.5</v>
      </c>
      <c r="O6900" s="7" t="s">
        <v>178</v>
      </c>
      <c r="P6900" s="7" t="s">
        <v>178</v>
      </c>
    </row>
    <row r="6901" spans="1:16" x14ac:dyDescent="0.25">
      <c r="A6901" t="s">
        <v>181</v>
      </c>
      <c r="B6901" t="s">
        <v>236</v>
      </c>
      <c r="C6901" s="7" t="s">
        <v>177</v>
      </c>
      <c r="D6901" t="s">
        <v>106</v>
      </c>
      <c r="F6901" s="35">
        <v>2</v>
      </c>
      <c r="G6901" s="35">
        <v>49.012813894934581</v>
      </c>
      <c r="H6901" s="35">
        <v>-15.332993066936782</v>
      </c>
      <c r="I6901" s="35">
        <v>8.9379743642501897</v>
      </c>
      <c r="J6901" s="35">
        <v>-9.8898086594643875E-3</v>
      </c>
      <c r="K6901" s="35">
        <v>-2.6791383037285765</v>
      </c>
      <c r="L6901" s="35">
        <v>-1.8145452274410327</v>
      </c>
      <c r="M6901" s="58" t="s">
        <v>22</v>
      </c>
      <c r="N6901" s="7">
        <v>9.5</v>
      </c>
      <c r="O6901" s="7" t="s">
        <v>178</v>
      </c>
      <c r="P6901" s="7" t="s">
        <v>178</v>
      </c>
    </row>
    <row r="6902" spans="1:16" x14ac:dyDescent="0.25">
      <c r="A6902" t="s">
        <v>181</v>
      </c>
      <c r="B6902" t="s">
        <v>236</v>
      </c>
      <c r="C6902" s="7" t="s">
        <v>177</v>
      </c>
      <c r="D6902" t="s">
        <v>106</v>
      </c>
      <c r="F6902" s="35">
        <v>2</v>
      </c>
      <c r="G6902" s="35">
        <v>40.976473242793134</v>
      </c>
      <c r="H6902" s="35">
        <v>-6.7398796689452158</v>
      </c>
      <c r="I6902" s="35">
        <v>8.9379917937862281</v>
      </c>
      <c r="J6902" s="35">
        <v>-9.9081164736967604E-3</v>
      </c>
      <c r="K6902" s="35">
        <v>-2.6791578320637526</v>
      </c>
      <c r="L6902" s="35">
        <v>-1.8145452274410463</v>
      </c>
      <c r="M6902" s="58" t="s">
        <v>22</v>
      </c>
      <c r="N6902" s="7">
        <v>9.5</v>
      </c>
      <c r="O6902" s="7" t="s">
        <v>178</v>
      </c>
      <c r="P6902" s="7" t="s">
        <v>178</v>
      </c>
    </row>
    <row r="6903" spans="1:16" x14ac:dyDescent="0.25">
      <c r="A6903" t="s">
        <v>181</v>
      </c>
      <c r="B6903" t="s">
        <v>236</v>
      </c>
      <c r="C6903" s="7" t="s">
        <v>177</v>
      </c>
      <c r="D6903" t="s">
        <v>106</v>
      </c>
      <c r="F6903" s="35">
        <v>4.5</v>
      </c>
      <c r="G6903" s="35">
        <v>42.342260742793137</v>
      </c>
      <c r="H6903" s="35">
        <v>-2.4873796689452154</v>
      </c>
      <c r="I6903" s="35">
        <v>-1.3520082062137722</v>
      </c>
      <c r="J6903" s="35">
        <v>-9.9081164736967604E-3</v>
      </c>
      <c r="K6903" s="35">
        <v>-12.161637316529323</v>
      </c>
      <c r="L6903" s="35">
        <v>9.7195289449219917</v>
      </c>
      <c r="M6903" s="58" t="s">
        <v>24</v>
      </c>
      <c r="N6903" s="7">
        <v>9.5</v>
      </c>
      <c r="O6903" s="7" t="s">
        <v>178</v>
      </c>
      <c r="P6903" s="7" t="s">
        <v>178</v>
      </c>
    </row>
    <row r="6904" spans="1:16" x14ac:dyDescent="0.25">
      <c r="A6904" t="s">
        <v>181</v>
      </c>
      <c r="B6904" t="s">
        <v>236</v>
      </c>
      <c r="C6904" s="7" t="s">
        <v>177</v>
      </c>
      <c r="D6904" t="s">
        <v>106</v>
      </c>
      <c r="F6904" s="35">
        <v>4.5</v>
      </c>
      <c r="G6904" s="35">
        <v>43.128396236618734</v>
      </c>
      <c r="H6904" s="35">
        <v>-2.48709472048286</v>
      </c>
      <c r="I6904" s="35">
        <v>-1.3401943533384666</v>
      </c>
      <c r="J6904" s="35">
        <v>5.4249940865264464E-3</v>
      </c>
      <c r="K6904" s="35">
        <v>-12.161644398496597</v>
      </c>
      <c r="L6904" s="35">
        <v>8.7369287169284711</v>
      </c>
      <c r="M6904" s="58" t="s">
        <v>24</v>
      </c>
      <c r="N6904" s="7">
        <v>9.5</v>
      </c>
      <c r="O6904" s="7" t="s">
        <v>178</v>
      </c>
      <c r="P6904" s="7" t="s">
        <v>178</v>
      </c>
    </row>
    <row r="6905" spans="1:16" x14ac:dyDescent="0.25">
      <c r="A6905" t="s">
        <v>181</v>
      </c>
      <c r="B6905" t="s">
        <v>236</v>
      </c>
      <c r="C6905" s="7" t="s">
        <v>177</v>
      </c>
      <c r="D6905" t="s">
        <v>106</v>
      </c>
      <c r="F6905" s="35">
        <v>4.6226557908820691</v>
      </c>
      <c r="G6905" s="35">
        <v>43.195404935014473</v>
      </c>
      <c r="H6905" s="35">
        <v>-2.2784572201924602</v>
      </c>
      <c r="I6905" s="35">
        <v>-1.8450455886090633</v>
      </c>
      <c r="J6905" s="35">
        <v>5.4249940865264464E-3</v>
      </c>
      <c r="K6905" s="35">
        <v>-11.966300336382233</v>
      </c>
      <c r="L6905" s="35">
        <v>9.0291899880650277</v>
      </c>
      <c r="M6905" s="58" t="s">
        <v>24</v>
      </c>
      <c r="N6905" s="7">
        <v>9.5</v>
      </c>
      <c r="O6905" s="7" t="s">
        <v>178</v>
      </c>
      <c r="P6905" s="7" t="s">
        <v>178</v>
      </c>
    </row>
    <row r="6906" spans="1:16" x14ac:dyDescent="0.25">
      <c r="A6906" t="s">
        <v>181</v>
      </c>
      <c r="B6906" t="s">
        <v>236</v>
      </c>
      <c r="C6906" s="7" t="s">
        <v>177</v>
      </c>
      <c r="D6906" t="s">
        <v>106</v>
      </c>
      <c r="F6906" s="35">
        <v>9.2453115817641383</v>
      </c>
      <c r="G6906" s="35">
        <v>45.720831133410208</v>
      </c>
      <c r="H6906" s="35">
        <v>5.58468028009794</v>
      </c>
      <c r="I6906" s="35">
        <v>-20.871896823879659</v>
      </c>
      <c r="J6906" s="35">
        <v>5.4249940865264464E-3</v>
      </c>
      <c r="K6906" s="35">
        <v>40.540002360730504</v>
      </c>
      <c r="L6906" s="35">
        <v>1.3874244011550783</v>
      </c>
      <c r="M6906" s="58" t="s">
        <v>23</v>
      </c>
      <c r="N6906" s="7">
        <v>9.5</v>
      </c>
      <c r="O6906" s="7" t="s">
        <v>178</v>
      </c>
      <c r="P6906" s="7" t="s">
        <v>178</v>
      </c>
    </row>
    <row r="6907" spans="1:16" x14ac:dyDescent="0.25">
      <c r="A6907" t="s">
        <v>181</v>
      </c>
      <c r="B6907" t="s">
        <v>236</v>
      </c>
      <c r="C6907" s="7" t="s">
        <v>177</v>
      </c>
      <c r="D6907" t="s">
        <v>107</v>
      </c>
      <c r="F6907" s="35">
        <v>0</v>
      </c>
      <c r="G6907" s="35">
        <v>37.50996165604915</v>
      </c>
      <c r="H6907" s="35">
        <v>-26.196630256711448</v>
      </c>
      <c r="I6907" s="35">
        <v>12.113831542409732</v>
      </c>
      <c r="J6907" s="35">
        <v>-8.406081039276923E-3</v>
      </c>
      <c r="K6907" s="35">
        <v>16.230108476789056</v>
      </c>
      <c r="L6907" s="35">
        <v>-50.08890119163862</v>
      </c>
      <c r="M6907" s="58" t="s">
        <v>22</v>
      </c>
      <c r="N6907" s="7">
        <v>9.5</v>
      </c>
      <c r="O6907" s="7" t="s">
        <v>178</v>
      </c>
      <c r="P6907" s="7" t="s">
        <v>178</v>
      </c>
    </row>
    <row r="6908" spans="1:16" x14ac:dyDescent="0.25">
      <c r="A6908" t="s">
        <v>181</v>
      </c>
      <c r="B6908" t="s">
        <v>236</v>
      </c>
      <c r="C6908" s="7" t="s">
        <v>177</v>
      </c>
      <c r="D6908" t="s">
        <v>107</v>
      </c>
      <c r="F6908" s="35">
        <v>2</v>
      </c>
      <c r="G6908" s="35">
        <v>38.60259165604915</v>
      </c>
      <c r="H6908" s="35">
        <v>-20.148630256711449</v>
      </c>
      <c r="I6908" s="35">
        <v>6.2338315424097308</v>
      </c>
      <c r="J6908" s="35">
        <v>-8.406081039276923E-3</v>
      </c>
      <c r="K6908" s="35">
        <v>-2.1175546080304049</v>
      </c>
      <c r="L6908" s="35">
        <v>-3.7436406782157223</v>
      </c>
      <c r="M6908" s="58" t="s">
        <v>22</v>
      </c>
      <c r="N6908" s="7">
        <v>9.5</v>
      </c>
      <c r="O6908" s="7" t="s">
        <v>178</v>
      </c>
      <c r="P6908" s="7" t="s">
        <v>178</v>
      </c>
    </row>
    <row r="6909" spans="1:16" x14ac:dyDescent="0.25">
      <c r="A6909" t="s">
        <v>181</v>
      </c>
      <c r="B6909" t="s">
        <v>236</v>
      </c>
      <c r="C6909" s="7" t="s">
        <v>177</v>
      </c>
      <c r="D6909" t="s">
        <v>107</v>
      </c>
      <c r="F6909" s="35">
        <v>2</v>
      </c>
      <c r="G6909" s="35">
        <v>30.94400773396379</v>
      </c>
      <c r="H6909" s="35">
        <v>-11.958458572112745</v>
      </c>
      <c r="I6909" s="35">
        <v>6.2338475992109652</v>
      </c>
      <c r="J6909" s="35">
        <v>-8.4186784374410684E-3</v>
      </c>
      <c r="K6909" s="35">
        <v>-2.1175680452551102</v>
      </c>
      <c r="L6909" s="35">
        <v>-3.743640678215721</v>
      </c>
      <c r="M6909" s="58" t="s">
        <v>22</v>
      </c>
      <c r="N6909" s="7">
        <v>9.5</v>
      </c>
      <c r="O6909" s="7" t="s">
        <v>178</v>
      </c>
      <c r="P6909" s="7" t="s">
        <v>178</v>
      </c>
    </row>
    <row r="6910" spans="1:16" x14ac:dyDescent="0.25">
      <c r="A6910" t="s">
        <v>181</v>
      </c>
      <c r="B6910" t="s">
        <v>236</v>
      </c>
      <c r="C6910" s="7" t="s">
        <v>177</v>
      </c>
      <c r="D6910" t="s">
        <v>107</v>
      </c>
      <c r="F6910" s="35">
        <v>4.5</v>
      </c>
      <c r="G6910" s="35">
        <v>32.30979523396379</v>
      </c>
      <c r="H6910" s="35">
        <v>-4.3984585721127454</v>
      </c>
      <c r="I6910" s="35">
        <v>-1.1161524007890353</v>
      </c>
      <c r="J6910" s="35">
        <v>-8.4186784374410684E-3</v>
      </c>
      <c r="K6910" s="35">
        <v>-8.514687043282521</v>
      </c>
      <c r="L6910" s="35">
        <v>16.702505752066141</v>
      </c>
      <c r="M6910" s="58" t="s">
        <v>24</v>
      </c>
      <c r="N6910" s="7">
        <v>9.5</v>
      </c>
      <c r="O6910" s="7" t="s">
        <v>178</v>
      </c>
      <c r="P6910" s="7" t="s">
        <v>178</v>
      </c>
    </row>
    <row r="6911" spans="1:16" x14ac:dyDescent="0.25">
      <c r="A6911" t="s">
        <v>181</v>
      </c>
      <c r="B6911" t="s">
        <v>236</v>
      </c>
      <c r="C6911" s="7" t="s">
        <v>177</v>
      </c>
      <c r="D6911" t="s">
        <v>107</v>
      </c>
      <c r="F6911" s="35">
        <v>4.5</v>
      </c>
      <c r="G6911" s="35">
        <v>33.095930540543328</v>
      </c>
      <c r="H6911" s="35">
        <v>-4.3979313082398273</v>
      </c>
      <c r="I6911" s="35">
        <v>-1.109758985470392</v>
      </c>
      <c r="J6911" s="35">
        <v>1.5209239278795362E-3</v>
      </c>
      <c r="K6911" s="35">
        <v>-8.5146942308519211</v>
      </c>
      <c r="L6911" s="35">
        <v>15.719961092943304</v>
      </c>
      <c r="M6911" s="58" t="s">
        <v>24</v>
      </c>
      <c r="N6911" s="7">
        <v>9.5</v>
      </c>
      <c r="O6911" s="7" t="s">
        <v>178</v>
      </c>
      <c r="P6911" s="7" t="s">
        <v>178</v>
      </c>
    </row>
    <row r="6912" spans="1:16" x14ac:dyDescent="0.25">
      <c r="A6912" t="s">
        <v>181</v>
      </c>
      <c r="B6912" t="s">
        <v>236</v>
      </c>
      <c r="C6912" s="7" t="s">
        <v>177</v>
      </c>
      <c r="D6912" t="s">
        <v>107</v>
      </c>
      <c r="F6912" s="35">
        <v>4.6226557908820691</v>
      </c>
      <c r="G6912" s="35">
        <v>33.162939238939067</v>
      </c>
      <c r="H6912" s="35">
        <v>-4.0270201966124501</v>
      </c>
      <c r="I6912" s="35">
        <v>-1.4703670106636753</v>
      </c>
      <c r="J6912" s="35">
        <v>1.5209239278795362E-3</v>
      </c>
      <c r="K6912" s="35">
        <v>-8.3564605335363158</v>
      </c>
      <c r="L6912" s="35">
        <v>16.236645637928671</v>
      </c>
      <c r="M6912" s="58" t="s">
        <v>24</v>
      </c>
      <c r="N6912" s="7">
        <v>9.5</v>
      </c>
      <c r="O6912" s="7" t="s">
        <v>178</v>
      </c>
      <c r="P6912" s="7" t="s">
        <v>178</v>
      </c>
    </row>
    <row r="6913" spans="1:16" x14ac:dyDescent="0.25">
      <c r="A6913" t="s">
        <v>181</v>
      </c>
      <c r="B6913" t="s">
        <v>236</v>
      </c>
      <c r="C6913" s="7" t="s">
        <v>177</v>
      </c>
      <c r="D6913" t="s">
        <v>107</v>
      </c>
      <c r="F6913" s="35">
        <v>9.2453115817641383</v>
      </c>
      <c r="G6913" s="35">
        <v>35.688365437334802</v>
      </c>
      <c r="H6913" s="35">
        <v>9.9518909150149248</v>
      </c>
      <c r="I6913" s="35">
        <v>-15.060975035856957</v>
      </c>
      <c r="J6913" s="35">
        <v>1.5209239278795362E-3</v>
      </c>
      <c r="K6913" s="35">
        <v>29.852891487664092</v>
      </c>
      <c r="L6913" s="35">
        <v>2.5423266696032734</v>
      </c>
      <c r="M6913" s="58" t="s">
        <v>23</v>
      </c>
      <c r="N6913" s="7">
        <v>9.5</v>
      </c>
      <c r="O6913" s="7" t="s">
        <v>178</v>
      </c>
      <c r="P6913" s="7" t="s">
        <v>178</v>
      </c>
    </row>
    <row r="6914" spans="1:16" x14ac:dyDescent="0.25">
      <c r="A6914" t="s">
        <v>181</v>
      </c>
      <c r="B6914" t="s">
        <v>236</v>
      </c>
      <c r="C6914" s="7" t="s">
        <v>177</v>
      </c>
      <c r="D6914" t="s">
        <v>108</v>
      </c>
      <c r="F6914" s="35">
        <v>0</v>
      </c>
      <c r="G6914" s="35">
        <v>5.9744643070094847</v>
      </c>
      <c r="H6914" s="35">
        <v>19.422337099474944</v>
      </c>
      <c r="I6914" s="35">
        <v>8.4402089691032689</v>
      </c>
      <c r="J6914" s="35">
        <v>2.8768164891362533E-4</v>
      </c>
      <c r="K6914" s="35">
        <v>18.591971159668212</v>
      </c>
      <c r="L6914" s="35">
        <v>37.657781653053348</v>
      </c>
      <c r="M6914" s="58" t="s">
        <v>22</v>
      </c>
      <c r="N6914" s="7">
        <v>9.5</v>
      </c>
      <c r="O6914" s="7" t="s">
        <v>178</v>
      </c>
      <c r="P6914" s="7" t="s">
        <v>178</v>
      </c>
    </row>
    <row r="6915" spans="1:16" x14ac:dyDescent="0.25">
      <c r="A6915" t="s">
        <v>181</v>
      </c>
      <c r="B6915" t="s">
        <v>236</v>
      </c>
      <c r="C6915" s="7" t="s">
        <v>177</v>
      </c>
      <c r="D6915" t="s">
        <v>108</v>
      </c>
      <c r="F6915" s="35">
        <v>2</v>
      </c>
      <c r="G6915" s="35">
        <v>7.0670943070094863</v>
      </c>
      <c r="H6915" s="35">
        <v>12.807337099474941</v>
      </c>
      <c r="I6915" s="35">
        <v>5.2482089691032687</v>
      </c>
      <c r="J6915" s="35">
        <v>2.8768164891362533E-4</v>
      </c>
      <c r="K6915" s="35">
        <v>4.903553221461677</v>
      </c>
      <c r="L6915" s="35">
        <v>5.4281074541034631</v>
      </c>
      <c r="M6915" s="58" t="s">
        <v>22</v>
      </c>
      <c r="N6915" s="7">
        <v>9.5</v>
      </c>
      <c r="O6915" s="7" t="s">
        <v>178</v>
      </c>
      <c r="P6915" s="7" t="s">
        <v>178</v>
      </c>
    </row>
    <row r="6916" spans="1:16" x14ac:dyDescent="0.25">
      <c r="A6916" t="s">
        <v>181</v>
      </c>
      <c r="B6916" t="s">
        <v>236</v>
      </c>
      <c r="C6916" s="7" t="s">
        <v>177</v>
      </c>
      <c r="D6916" t="s">
        <v>108</v>
      </c>
      <c r="F6916" s="35">
        <v>2</v>
      </c>
      <c r="G6916" s="35">
        <v>6.8983479256117706</v>
      </c>
      <c r="H6916" s="35">
        <v>13.008344828591937</v>
      </c>
      <c r="I6916" s="35">
        <v>5.248203285982644</v>
      </c>
      <c r="J6916" s="35">
        <v>2.6506908403512802E-4</v>
      </c>
      <c r="K6916" s="35">
        <v>4.9035291013924978</v>
      </c>
      <c r="L6916" s="35">
        <v>5.428107454103424</v>
      </c>
      <c r="M6916" s="58" t="s">
        <v>22</v>
      </c>
      <c r="N6916" s="7">
        <v>9.5</v>
      </c>
      <c r="O6916" s="7" t="s">
        <v>178</v>
      </c>
      <c r="P6916" s="7" t="s">
        <v>178</v>
      </c>
    </row>
    <row r="6917" spans="1:16" x14ac:dyDescent="0.25">
      <c r="A6917" t="s">
        <v>181</v>
      </c>
      <c r="B6917" t="s">
        <v>236</v>
      </c>
      <c r="C6917" s="7" t="s">
        <v>177</v>
      </c>
      <c r="D6917" t="s">
        <v>108</v>
      </c>
      <c r="F6917" s="35">
        <v>4.5</v>
      </c>
      <c r="G6917" s="35">
        <v>8.2641354256117694</v>
      </c>
      <c r="H6917" s="35">
        <v>4.7395948285919376</v>
      </c>
      <c r="I6917" s="35">
        <v>1.2582032859826429</v>
      </c>
      <c r="J6917" s="35">
        <v>2.6506908403512802E-4</v>
      </c>
      <c r="K6917" s="35">
        <v>-3.2294791135641092</v>
      </c>
      <c r="L6917" s="35">
        <v>-16.756817117376421</v>
      </c>
      <c r="M6917" s="58" t="s">
        <v>24</v>
      </c>
      <c r="N6917" s="7">
        <v>9.5</v>
      </c>
      <c r="O6917" s="7" t="s">
        <v>178</v>
      </c>
      <c r="P6917" s="7" t="s">
        <v>178</v>
      </c>
    </row>
    <row r="6918" spans="1:16" x14ac:dyDescent="0.25">
      <c r="A6918" t="s">
        <v>181</v>
      </c>
      <c r="B6918" t="s">
        <v>236</v>
      </c>
      <c r="C6918" s="7" t="s">
        <v>177</v>
      </c>
      <c r="D6918" t="s">
        <v>108</v>
      </c>
      <c r="F6918" s="35">
        <v>4.5</v>
      </c>
      <c r="G6918" s="35">
        <v>9.0502765661391251</v>
      </c>
      <c r="H6918" s="35">
        <v>4.7389164696598494</v>
      </c>
      <c r="I6918" s="35">
        <v>1.2657512853560664</v>
      </c>
      <c r="J6918" s="35">
        <v>6.2638106804017201E-3</v>
      </c>
      <c r="K6918" s="35">
        <v>-3.2294573263343365</v>
      </c>
      <c r="L6918" s="35">
        <v>-17.739631982455254</v>
      </c>
      <c r="M6918" s="58" t="s">
        <v>24</v>
      </c>
      <c r="N6918" s="7">
        <v>9.5</v>
      </c>
      <c r="O6918" s="7" t="s">
        <v>178</v>
      </c>
      <c r="P6918" s="7" t="s">
        <v>178</v>
      </c>
    </row>
    <row r="6919" spans="1:16" x14ac:dyDescent="0.25">
      <c r="A6919" t="s">
        <v>181</v>
      </c>
      <c r="B6919" t="s">
        <v>236</v>
      </c>
      <c r="C6919" s="7" t="s">
        <v>177</v>
      </c>
      <c r="D6919" t="s">
        <v>108</v>
      </c>
      <c r="F6919" s="35">
        <v>4.6226557908820691</v>
      </c>
      <c r="G6919" s="35">
        <v>9.1172852645348641</v>
      </c>
      <c r="H6919" s="35">
        <v>4.3332324413174046</v>
      </c>
      <c r="I6919" s="35">
        <v>1.0699926431082838</v>
      </c>
      <c r="J6919" s="35">
        <v>6.2638106804017201E-3</v>
      </c>
      <c r="K6919" s="35">
        <v>-3.3727035857562297</v>
      </c>
      <c r="L6919" s="35">
        <v>-18.296007782293159</v>
      </c>
      <c r="M6919" s="58" t="s">
        <v>24</v>
      </c>
      <c r="N6919" s="7">
        <v>9.5</v>
      </c>
      <c r="O6919" s="7" t="s">
        <v>178</v>
      </c>
      <c r="P6919" s="7" t="s">
        <v>178</v>
      </c>
    </row>
    <row r="6920" spans="1:16" x14ac:dyDescent="0.25">
      <c r="A6920" t="s">
        <v>181</v>
      </c>
      <c r="B6920" t="s">
        <v>236</v>
      </c>
      <c r="C6920" s="7" t="s">
        <v>177</v>
      </c>
      <c r="D6920" t="s">
        <v>108</v>
      </c>
      <c r="F6920" s="35">
        <v>9.2453115817641383</v>
      </c>
      <c r="G6920" s="35">
        <v>11.642711462930603</v>
      </c>
      <c r="H6920" s="35">
        <v>-10.95620158702504</v>
      </c>
      <c r="I6920" s="35">
        <v>-6.307765999139499</v>
      </c>
      <c r="J6920" s="35">
        <v>6.2638106804017201E-3</v>
      </c>
      <c r="K6920" s="35">
        <v>8.7335080820365221</v>
      </c>
      <c r="L6920" s="35">
        <v>-2.9881544451738291</v>
      </c>
      <c r="M6920" s="58" t="s">
        <v>23</v>
      </c>
      <c r="N6920" s="7">
        <v>9.5</v>
      </c>
      <c r="O6920" s="7" t="s">
        <v>178</v>
      </c>
      <c r="P6920" s="7" t="s">
        <v>178</v>
      </c>
    </row>
    <row r="6921" spans="1:16" x14ac:dyDescent="0.25">
      <c r="A6921" t="s">
        <v>181</v>
      </c>
      <c r="B6921" t="s">
        <v>236</v>
      </c>
      <c r="C6921" s="7" t="s">
        <v>177</v>
      </c>
      <c r="D6921" t="s">
        <v>109</v>
      </c>
      <c r="F6921" s="35">
        <v>0</v>
      </c>
      <c r="G6921" s="35">
        <v>-9.2816015531023659</v>
      </c>
      <c r="H6921" s="35">
        <v>12.815881450265477</v>
      </c>
      <c r="I6921" s="35">
        <v>5.7564646420881704</v>
      </c>
      <c r="J6921" s="35">
        <v>1.101373031002772E-4</v>
      </c>
      <c r="K6921" s="35">
        <v>23.70649078516827</v>
      </c>
      <c r="L6921" s="35">
        <v>25.266134744063741</v>
      </c>
      <c r="M6921" s="58" t="s">
        <v>22</v>
      </c>
      <c r="N6921" s="7">
        <v>9.5</v>
      </c>
      <c r="O6921" s="7" t="s">
        <v>178</v>
      </c>
      <c r="P6921" s="7" t="s">
        <v>178</v>
      </c>
    </row>
    <row r="6922" spans="1:16" x14ac:dyDescent="0.25">
      <c r="A6922" t="s">
        <v>181</v>
      </c>
      <c r="B6922" t="s">
        <v>236</v>
      </c>
      <c r="C6922" s="7" t="s">
        <v>177</v>
      </c>
      <c r="D6922" t="s">
        <v>109</v>
      </c>
      <c r="F6922" s="35">
        <v>2</v>
      </c>
      <c r="G6922" s="35">
        <v>-8.1889715531023644</v>
      </c>
      <c r="H6922" s="35">
        <v>8.846881450265478</v>
      </c>
      <c r="I6922" s="35">
        <v>4.9164646420881706</v>
      </c>
      <c r="J6922" s="35">
        <v>1.101373031002772E-4</v>
      </c>
      <c r="K6922" s="35">
        <v>13.033561500991929</v>
      </c>
      <c r="L6922" s="35">
        <v>3.6033718435327859</v>
      </c>
      <c r="M6922" s="58" t="s">
        <v>22</v>
      </c>
      <c r="N6922" s="7">
        <v>9.5</v>
      </c>
      <c r="O6922" s="7" t="s">
        <v>178</v>
      </c>
      <c r="P6922" s="7" t="s">
        <v>178</v>
      </c>
    </row>
    <row r="6923" spans="1:16" x14ac:dyDescent="0.25">
      <c r="A6923" t="s">
        <v>181</v>
      </c>
      <c r="B6923" t="s">
        <v>236</v>
      </c>
      <c r="C6923" s="7" t="s">
        <v>177</v>
      </c>
      <c r="D6923" t="s">
        <v>109</v>
      </c>
      <c r="F6923" s="35">
        <v>2</v>
      </c>
      <c r="G6923" s="35">
        <v>-7.1912339992620353</v>
      </c>
      <c r="H6923" s="35">
        <v>7.8036373204383276</v>
      </c>
      <c r="I6923" s="35">
        <v>4.9164535663767888</v>
      </c>
      <c r="J6923" s="35">
        <v>7.9182026940380619E-5</v>
      </c>
      <c r="K6923" s="35">
        <v>13.033528482030741</v>
      </c>
      <c r="L6923" s="35">
        <v>3.6033718435327877</v>
      </c>
      <c r="M6923" s="58" t="s">
        <v>22</v>
      </c>
      <c r="N6923" s="7">
        <v>9.5</v>
      </c>
      <c r="O6923" s="7" t="s">
        <v>178</v>
      </c>
      <c r="P6923" s="7" t="s">
        <v>178</v>
      </c>
    </row>
    <row r="6924" spans="1:16" x14ac:dyDescent="0.25">
      <c r="A6924" t="s">
        <v>181</v>
      </c>
      <c r="B6924" t="s">
        <v>236</v>
      </c>
      <c r="C6924" s="7" t="s">
        <v>177</v>
      </c>
      <c r="D6924" t="s">
        <v>109</v>
      </c>
      <c r="F6924" s="35">
        <v>4.5</v>
      </c>
      <c r="G6924" s="35">
        <v>-5.8254464992620347</v>
      </c>
      <c r="H6924" s="35">
        <v>2.842387320438327</v>
      </c>
      <c r="I6924" s="35">
        <v>3.8664535663767881</v>
      </c>
      <c r="J6924" s="35">
        <v>7.9182026940380619E-5</v>
      </c>
      <c r="K6924" s="35">
        <v>2.054894566088771</v>
      </c>
      <c r="L6924" s="35">
        <v>-9.7041589575630276</v>
      </c>
      <c r="M6924" s="58" t="s">
        <v>24</v>
      </c>
      <c r="N6924" s="7">
        <v>9.5</v>
      </c>
      <c r="O6924" s="7" t="s">
        <v>178</v>
      </c>
      <c r="P6924" s="7" t="s">
        <v>178</v>
      </c>
    </row>
    <row r="6925" spans="1:16" x14ac:dyDescent="0.25">
      <c r="A6925" t="s">
        <v>181</v>
      </c>
      <c r="B6925" t="s">
        <v>236</v>
      </c>
      <c r="C6925" s="7" t="s">
        <v>177</v>
      </c>
      <c r="D6925" t="s">
        <v>109</v>
      </c>
      <c r="F6925" s="35">
        <v>4.5</v>
      </c>
      <c r="G6925" s="35">
        <v>-5.0392994291954096</v>
      </c>
      <c r="H6925" s="35">
        <v>2.8419839288679856</v>
      </c>
      <c r="I6925" s="35">
        <v>3.8709799149485646</v>
      </c>
      <c r="J6925" s="35">
        <v>3.6906493165137252E-3</v>
      </c>
      <c r="K6925" s="35">
        <v>2.0549447564604169</v>
      </c>
      <c r="L6925" s="35">
        <v>-10.686923940485769</v>
      </c>
      <c r="M6925" s="58" t="s">
        <v>24</v>
      </c>
      <c r="N6925" s="7">
        <v>9.5</v>
      </c>
      <c r="O6925" s="7" t="s">
        <v>178</v>
      </c>
      <c r="P6925" s="7" t="s">
        <v>178</v>
      </c>
    </row>
    <row r="6926" spans="1:16" x14ac:dyDescent="0.25">
      <c r="A6926" t="s">
        <v>181</v>
      </c>
      <c r="B6926" t="s">
        <v>236</v>
      </c>
      <c r="C6926" s="7" t="s">
        <v>177</v>
      </c>
      <c r="D6926" t="s">
        <v>109</v>
      </c>
      <c r="F6926" s="35">
        <v>4.6226557908820691</v>
      </c>
      <c r="G6926" s="35">
        <v>-4.9722907307996707</v>
      </c>
      <c r="H6926" s="35">
        <v>2.5985735118625195</v>
      </c>
      <c r="I6926" s="35">
        <v>3.8194644827780957</v>
      </c>
      <c r="J6926" s="35">
        <v>3.6906493165137252E-3</v>
      </c>
      <c r="K6926" s="35">
        <v>1.5833059865415464</v>
      </c>
      <c r="L6926" s="35">
        <v>-11.020581878351832</v>
      </c>
      <c r="M6926" s="58" t="s">
        <v>24</v>
      </c>
      <c r="N6926" s="7">
        <v>9.5</v>
      </c>
      <c r="O6926" s="7" t="s">
        <v>178</v>
      </c>
      <c r="P6926" s="7" t="s">
        <v>178</v>
      </c>
    </row>
    <row r="6927" spans="1:16" x14ac:dyDescent="0.25">
      <c r="A6927" t="s">
        <v>181</v>
      </c>
      <c r="B6927" t="s">
        <v>236</v>
      </c>
      <c r="C6927" s="7" t="s">
        <v>177</v>
      </c>
      <c r="D6927" t="s">
        <v>109</v>
      </c>
      <c r="F6927" s="35">
        <v>9.2453115817641383</v>
      </c>
      <c r="G6927" s="35">
        <v>-2.4468645324039335</v>
      </c>
      <c r="H6927" s="35">
        <v>-6.575086905142947</v>
      </c>
      <c r="I6927" s="35">
        <v>1.8779490506076262</v>
      </c>
      <c r="J6927" s="35">
        <v>3.6906493165137252E-3</v>
      </c>
      <c r="K6927" s="35">
        <v>-11.585284845036139</v>
      </c>
      <c r="L6927" s="35">
        <v>-1.8295555458678947</v>
      </c>
      <c r="M6927" s="58" t="s">
        <v>23</v>
      </c>
      <c r="N6927" s="7">
        <v>9.5</v>
      </c>
      <c r="O6927" s="7" t="s">
        <v>178</v>
      </c>
      <c r="P6927" s="7" t="s">
        <v>178</v>
      </c>
    </row>
    <row r="6928" spans="1:16" x14ac:dyDescent="0.25">
      <c r="A6928" t="s">
        <v>181</v>
      </c>
      <c r="B6928" t="s">
        <v>236</v>
      </c>
      <c r="C6928" s="7" t="s">
        <v>177</v>
      </c>
      <c r="D6928" t="s">
        <v>110</v>
      </c>
      <c r="F6928" s="35">
        <v>0</v>
      </c>
      <c r="G6928" s="35">
        <v>19.023995435092512</v>
      </c>
      <c r="H6928" s="35">
        <v>26.477481145086173</v>
      </c>
      <c r="I6928" s="35">
        <v>-12.123956379324744</v>
      </c>
      <c r="J6928" s="35">
        <v>2.8163376450652301E-2</v>
      </c>
      <c r="K6928" s="35">
        <v>-30.554360732658171</v>
      </c>
      <c r="L6928" s="35">
        <v>50.851325369595713</v>
      </c>
      <c r="M6928" s="58" t="s">
        <v>22</v>
      </c>
      <c r="N6928" s="7">
        <v>9.5</v>
      </c>
      <c r="O6928" s="7" t="s">
        <v>178</v>
      </c>
      <c r="P6928" s="7" t="s">
        <v>178</v>
      </c>
    </row>
    <row r="6929" spans="1:16" x14ac:dyDescent="0.25">
      <c r="A6929" t="s">
        <v>181</v>
      </c>
      <c r="B6929" t="s">
        <v>236</v>
      </c>
      <c r="C6929" s="7" t="s">
        <v>177</v>
      </c>
      <c r="D6929" t="s">
        <v>110</v>
      </c>
      <c r="F6929" s="35">
        <v>2</v>
      </c>
      <c r="G6929" s="35">
        <v>20.116625435092512</v>
      </c>
      <c r="H6929" s="35">
        <v>17.216481145086171</v>
      </c>
      <c r="I6929" s="35">
        <v>-9.0999563793247429</v>
      </c>
      <c r="J6929" s="35">
        <v>2.8163376450652301E-2</v>
      </c>
      <c r="K6929" s="35">
        <v>-9.330447974008683</v>
      </c>
      <c r="L6929" s="35">
        <v>7.1573630794233738</v>
      </c>
      <c r="M6929" s="58" t="s">
        <v>22</v>
      </c>
      <c r="N6929" s="7">
        <v>9.5</v>
      </c>
      <c r="O6929" s="7" t="s">
        <v>178</v>
      </c>
      <c r="P6929" s="7" t="s">
        <v>178</v>
      </c>
    </row>
    <row r="6930" spans="1:16" x14ac:dyDescent="0.25">
      <c r="A6930" t="s">
        <v>181</v>
      </c>
      <c r="B6930" t="s">
        <v>236</v>
      </c>
      <c r="C6930" s="7" t="s">
        <v>177</v>
      </c>
      <c r="D6930" t="s">
        <v>110</v>
      </c>
      <c r="F6930" s="35">
        <v>2</v>
      </c>
      <c r="G6930" s="35">
        <v>19.213800101599475</v>
      </c>
      <c r="H6930" s="35">
        <v>18.200508253091726</v>
      </c>
      <c r="I6930" s="35">
        <v>-9.0999520099133449</v>
      </c>
      <c r="J6930" s="35">
        <v>2.8120767858072077E-2</v>
      </c>
      <c r="K6930" s="35">
        <v>-9.3304934231741417</v>
      </c>
      <c r="L6930" s="35">
        <v>7.1573630794233969</v>
      </c>
      <c r="M6930" s="58" t="s">
        <v>22</v>
      </c>
      <c r="N6930" s="7">
        <v>9.5</v>
      </c>
      <c r="O6930" s="7" t="s">
        <v>178</v>
      </c>
      <c r="P6930" s="7" t="s">
        <v>178</v>
      </c>
    </row>
    <row r="6931" spans="1:16" x14ac:dyDescent="0.25">
      <c r="A6931" t="s">
        <v>181</v>
      </c>
      <c r="B6931" t="s">
        <v>236</v>
      </c>
      <c r="C6931" s="7" t="s">
        <v>177</v>
      </c>
      <c r="D6931" t="s">
        <v>110</v>
      </c>
      <c r="F6931" s="35">
        <v>4.5</v>
      </c>
      <c r="G6931" s="35">
        <v>20.579587601599471</v>
      </c>
      <c r="H6931" s="35">
        <v>6.6242582530917256</v>
      </c>
      <c r="I6931" s="35">
        <v>-5.3199520099133446</v>
      </c>
      <c r="J6931" s="35">
        <v>2.8120767858072077E-2</v>
      </c>
      <c r="K6931" s="35">
        <v>8.6943866016092191</v>
      </c>
      <c r="L6931" s="35">
        <v>-23.873595053305912</v>
      </c>
      <c r="M6931" s="58" t="s">
        <v>24</v>
      </c>
      <c r="N6931" s="7">
        <v>9.5</v>
      </c>
      <c r="O6931" s="7" t="s">
        <v>178</v>
      </c>
      <c r="P6931" s="7" t="s">
        <v>178</v>
      </c>
    </row>
    <row r="6932" spans="1:16" x14ac:dyDescent="0.25">
      <c r="A6932" t="s">
        <v>181</v>
      </c>
      <c r="B6932" t="s">
        <v>236</v>
      </c>
      <c r="C6932" s="7" t="s">
        <v>177</v>
      </c>
      <c r="D6932" t="s">
        <v>110</v>
      </c>
      <c r="F6932" s="35">
        <v>4.5</v>
      </c>
      <c r="G6932" s="35">
        <v>21.365718227260004</v>
      </c>
      <c r="H6932" s="35">
        <v>6.6235086330172726</v>
      </c>
      <c r="I6932" s="35">
        <v>-5.3561313164596758</v>
      </c>
      <c r="J6932" s="35">
        <v>-1.8340187198958177E-2</v>
      </c>
      <c r="K6932" s="35">
        <v>8.6943530295801317</v>
      </c>
      <c r="L6932" s="35">
        <v>-24.856384585356757</v>
      </c>
      <c r="M6932" s="58" t="s">
        <v>24</v>
      </c>
      <c r="N6932" s="7">
        <v>9.5</v>
      </c>
      <c r="O6932" s="7" t="s">
        <v>178</v>
      </c>
      <c r="P6932" s="7" t="s">
        <v>178</v>
      </c>
    </row>
    <row r="6933" spans="1:16" x14ac:dyDescent="0.25">
      <c r="A6933" t="s">
        <v>181</v>
      </c>
      <c r="B6933" t="s">
        <v>236</v>
      </c>
      <c r="C6933" s="7" t="s">
        <v>177</v>
      </c>
      <c r="D6933" t="s">
        <v>110</v>
      </c>
      <c r="F6933" s="35">
        <v>4.6226557908820691</v>
      </c>
      <c r="G6933" s="35">
        <v>21.432726925655743</v>
      </c>
      <c r="H6933" s="35">
        <v>6.0555509933378504</v>
      </c>
      <c r="I6933" s="35">
        <v>-5.1706757606459872</v>
      </c>
      <c r="J6933" s="35">
        <v>-1.8340187198958177E-2</v>
      </c>
      <c r="K6933" s="35">
        <v>9.3399399533328129</v>
      </c>
      <c r="L6933" s="35">
        <v>-25.633964628412507</v>
      </c>
      <c r="M6933" s="58" t="s">
        <v>24</v>
      </c>
      <c r="N6933" s="7">
        <v>9.5</v>
      </c>
      <c r="O6933" s="7" t="s">
        <v>178</v>
      </c>
      <c r="P6933" s="7" t="s">
        <v>178</v>
      </c>
    </row>
    <row r="6934" spans="1:16" x14ac:dyDescent="0.25">
      <c r="A6934" t="s">
        <v>181</v>
      </c>
      <c r="B6934" t="s">
        <v>236</v>
      </c>
      <c r="C6934" s="7" t="s">
        <v>177</v>
      </c>
      <c r="D6934" t="s">
        <v>110</v>
      </c>
      <c r="F6934" s="35">
        <v>9.2453115817641383</v>
      </c>
      <c r="G6934" s="35">
        <v>23.958153124051481</v>
      </c>
      <c r="H6934" s="35">
        <v>-15.349656646341572</v>
      </c>
      <c r="I6934" s="35">
        <v>1.8187797951677007</v>
      </c>
      <c r="J6934" s="35">
        <v>-1.8340187198958177E-2</v>
      </c>
      <c r="K6934" s="35">
        <v>17.087270600959034</v>
      </c>
      <c r="L6934" s="35">
        <v>-4.1522389694487973</v>
      </c>
      <c r="M6934" s="58" t="s">
        <v>23</v>
      </c>
      <c r="N6934" s="7">
        <v>9.5</v>
      </c>
      <c r="O6934" s="7" t="s">
        <v>178</v>
      </c>
      <c r="P6934" s="7" t="s">
        <v>178</v>
      </c>
    </row>
    <row r="6935" spans="1:16" x14ac:dyDescent="0.25">
      <c r="A6935" t="s">
        <v>181</v>
      </c>
      <c r="B6935" t="s">
        <v>236</v>
      </c>
      <c r="C6935" s="7" t="s">
        <v>177</v>
      </c>
      <c r="D6935" t="s">
        <v>111</v>
      </c>
      <c r="F6935" s="35">
        <v>0</v>
      </c>
      <c r="G6935" s="35">
        <v>-18.2484189376956</v>
      </c>
      <c r="H6935" s="35">
        <v>20.353170409737597</v>
      </c>
      <c r="I6935" s="35">
        <v>-16.729809999122363</v>
      </c>
      <c r="J6935" s="35">
        <v>1.7370925559014243E-2</v>
      </c>
      <c r="K6935" s="35">
        <v>-41.047107618042816</v>
      </c>
      <c r="L6935" s="35">
        <v>39.060494853367025</v>
      </c>
      <c r="M6935" s="58" t="s">
        <v>22</v>
      </c>
      <c r="N6935" s="7">
        <v>9.5</v>
      </c>
      <c r="O6935" s="7" t="s">
        <v>178</v>
      </c>
      <c r="P6935" s="7" t="s">
        <v>178</v>
      </c>
    </row>
    <row r="6936" spans="1:16" x14ac:dyDescent="0.25">
      <c r="A6936" t="s">
        <v>181</v>
      </c>
      <c r="B6936" t="s">
        <v>236</v>
      </c>
      <c r="C6936" s="7" t="s">
        <v>177</v>
      </c>
      <c r="D6936" t="s">
        <v>111</v>
      </c>
      <c r="F6936" s="35">
        <v>2</v>
      </c>
      <c r="G6936" s="35">
        <v>-17.155788937695604</v>
      </c>
      <c r="H6936" s="35">
        <v>13.738170409737595</v>
      </c>
      <c r="I6936" s="35">
        <v>-11.353809999122362</v>
      </c>
      <c r="J6936" s="35">
        <v>1.7370925559014243E-2</v>
      </c>
      <c r="K6936" s="35">
        <v>-12.963487619798093</v>
      </c>
      <c r="L6936" s="35">
        <v>4.9691540338918321</v>
      </c>
      <c r="M6936" s="58" t="s">
        <v>22</v>
      </c>
      <c r="N6936" s="7">
        <v>9.5</v>
      </c>
      <c r="O6936" s="7" t="s">
        <v>178</v>
      </c>
      <c r="P6936" s="7" t="s">
        <v>178</v>
      </c>
    </row>
    <row r="6937" spans="1:16" x14ac:dyDescent="0.25">
      <c r="A6937" t="s">
        <v>181</v>
      </c>
      <c r="B6937" t="s">
        <v>236</v>
      </c>
      <c r="C6937" s="7" t="s">
        <v>177</v>
      </c>
      <c r="D6937" t="s">
        <v>111</v>
      </c>
      <c r="F6937" s="35">
        <v>2</v>
      </c>
      <c r="G6937" s="35">
        <v>-16.39447953940418</v>
      </c>
      <c r="H6937" s="35">
        <v>12.947118323510811</v>
      </c>
      <c r="I6937" s="35">
        <v>-11.353805456546855</v>
      </c>
      <c r="J6937" s="35">
        <v>1.7389965327807708E-2</v>
      </c>
      <c r="K6937" s="35">
        <v>-12.963467310711467</v>
      </c>
      <c r="L6937" s="35">
        <v>4.9691540338918392</v>
      </c>
      <c r="M6937" s="58" t="s">
        <v>22</v>
      </c>
      <c r="N6937" s="7">
        <v>9.5</v>
      </c>
      <c r="O6937" s="7" t="s">
        <v>178</v>
      </c>
      <c r="P6937" s="7" t="s">
        <v>178</v>
      </c>
    </row>
    <row r="6938" spans="1:16" x14ac:dyDescent="0.25">
      <c r="A6938" t="s">
        <v>181</v>
      </c>
      <c r="B6938" t="s">
        <v>236</v>
      </c>
      <c r="C6938" s="7" t="s">
        <v>177</v>
      </c>
      <c r="D6938" t="s">
        <v>111</v>
      </c>
      <c r="F6938" s="35">
        <v>4.5</v>
      </c>
      <c r="G6938" s="35">
        <v>-15.028692039404181</v>
      </c>
      <c r="H6938" s="35">
        <v>4.67836832351081</v>
      </c>
      <c r="I6938" s="35">
        <v>-4.633805456546856</v>
      </c>
      <c r="J6938" s="35">
        <v>1.7389965327807708E-2</v>
      </c>
      <c r="K6938" s="35">
        <v>7.0210463306556736</v>
      </c>
      <c r="L6938" s="35">
        <v>-17.062704274885185</v>
      </c>
      <c r="M6938" s="58" t="s">
        <v>24</v>
      </c>
      <c r="N6938" s="7">
        <v>9.5</v>
      </c>
      <c r="O6938" s="7" t="s">
        <v>178</v>
      </c>
      <c r="P6938" s="7" t="s">
        <v>178</v>
      </c>
    </row>
    <row r="6939" spans="1:16" x14ac:dyDescent="0.25">
      <c r="A6939" t="s">
        <v>181</v>
      </c>
      <c r="B6939" t="s">
        <v>236</v>
      </c>
      <c r="C6939" s="7" t="s">
        <v>177</v>
      </c>
      <c r="D6939" t="s">
        <v>111</v>
      </c>
      <c r="F6939" s="35">
        <v>4.5</v>
      </c>
      <c r="G6939" s="35">
        <v>-14.242566747646926</v>
      </c>
      <c r="H6939" s="35">
        <v>4.6780613781217992</v>
      </c>
      <c r="I6939" s="35">
        <v>-4.6568423042580056</v>
      </c>
      <c r="J6939" s="35">
        <v>-1.1426356736939312E-2</v>
      </c>
      <c r="K6939" s="35">
        <v>7.0209952088752781</v>
      </c>
      <c r="L6939" s="35">
        <v>-18.045431120511648</v>
      </c>
      <c r="M6939" s="58" t="s">
        <v>24</v>
      </c>
      <c r="N6939" s="7">
        <v>9.5</v>
      </c>
      <c r="O6939" s="7" t="s">
        <v>178</v>
      </c>
      <c r="P6939" s="7" t="s">
        <v>178</v>
      </c>
    </row>
    <row r="6940" spans="1:16" x14ac:dyDescent="0.25">
      <c r="A6940" t="s">
        <v>181</v>
      </c>
      <c r="B6940" t="s">
        <v>236</v>
      </c>
      <c r="C6940" s="7" t="s">
        <v>177</v>
      </c>
      <c r="D6940" t="s">
        <v>111</v>
      </c>
      <c r="F6940" s="35">
        <v>4.6226557908820691</v>
      </c>
      <c r="G6940" s="35">
        <v>-14.175558049251185</v>
      </c>
      <c r="H6940" s="35">
        <v>4.2723773497793553</v>
      </c>
      <c r="I6940" s="35">
        <v>-4.3271435383670029</v>
      </c>
      <c r="J6940" s="35">
        <v>-1.1426356736939312E-2</v>
      </c>
      <c r="K6940" s="35">
        <v>7.5719641532755189</v>
      </c>
      <c r="L6940" s="35">
        <v>-18.594342690967753</v>
      </c>
      <c r="M6940" s="58" t="s">
        <v>24</v>
      </c>
      <c r="N6940" s="7">
        <v>9.5</v>
      </c>
      <c r="O6940" s="7" t="s">
        <v>178</v>
      </c>
      <c r="P6940" s="7" t="s">
        <v>178</v>
      </c>
    </row>
    <row r="6941" spans="1:16" x14ac:dyDescent="0.25">
      <c r="A6941" t="s">
        <v>181</v>
      </c>
      <c r="B6941" t="s">
        <v>236</v>
      </c>
      <c r="C6941" s="7" t="s">
        <v>177</v>
      </c>
      <c r="D6941" t="s">
        <v>111</v>
      </c>
      <c r="F6941" s="35">
        <v>9.2453115817641383</v>
      </c>
      <c r="G6941" s="35">
        <v>-11.650131850855448</v>
      </c>
      <c r="H6941" s="35">
        <v>-11.017056678563089</v>
      </c>
      <c r="I6941" s="35">
        <v>8.0985552275239971</v>
      </c>
      <c r="J6941" s="35">
        <v>-1.1426356736939312E-2</v>
      </c>
      <c r="K6941" s="35">
        <v>-1.1450048890654352</v>
      </c>
      <c r="L6941" s="35">
        <v>-3.0051772125454028</v>
      </c>
      <c r="M6941" s="58" t="s">
        <v>23</v>
      </c>
      <c r="N6941" s="7">
        <v>9.5</v>
      </c>
      <c r="O6941" s="7" t="s">
        <v>178</v>
      </c>
      <c r="P6941" s="7" t="s">
        <v>178</v>
      </c>
    </row>
    <row r="6942" spans="1:16" x14ac:dyDescent="0.25">
      <c r="A6942" t="s">
        <v>181</v>
      </c>
      <c r="B6942" t="s">
        <v>236</v>
      </c>
      <c r="C6942" s="7" t="s">
        <v>177</v>
      </c>
      <c r="D6942" t="s">
        <v>112</v>
      </c>
      <c r="F6942" s="35">
        <v>0</v>
      </c>
      <c r="G6942" s="35">
        <v>-8.3431993854158453</v>
      </c>
      <c r="H6942" s="35">
        <v>15.508570858050437</v>
      </c>
      <c r="I6942" s="35">
        <v>9.2238343357414614</v>
      </c>
      <c r="J6942" s="35">
        <v>-8.7425764201022275E-3</v>
      </c>
      <c r="K6942" s="35">
        <v>15.109111400230573</v>
      </c>
      <c r="L6942" s="35">
        <v>31.59329655721249</v>
      </c>
      <c r="M6942" s="58" t="s">
        <v>22</v>
      </c>
      <c r="N6942" s="7">
        <v>9.5</v>
      </c>
      <c r="O6942" s="7" t="s">
        <v>178</v>
      </c>
      <c r="P6942" s="7" t="s">
        <v>178</v>
      </c>
    </row>
    <row r="6943" spans="1:16" x14ac:dyDescent="0.25">
      <c r="A6943" t="s">
        <v>181</v>
      </c>
      <c r="B6943" t="s">
        <v>236</v>
      </c>
      <c r="C6943" s="7" t="s">
        <v>177</v>
      </c>
      <c r="D6943" t="s">
        <v>112</v>
      </c>
      <c r="F6943" s="35">
        <v>2</v>
      </c>
      <c r="G6943" s="35">
        <v>-7.2505693854158473</v>
      </c>
      <c r="H6943" s="35">
        <v>12.446770858050437</v>
      </c>
      <c r="I6943" s="35">
        <v>5.4438343357414603</v>
      </c>
      <c r="J6943" s="35">
        <v>-8.7425764201022275E-3</v>
      </c>
      <c r="K6943" s="35">
        <v>0.44144272874765295</v>
      </c>
      <c r="L6943" s="35">
        <v>3.6379548411116192</v>
      </c>
      <c r="M6943" s="58" t="s">
        <v>22</v>
      </c>
      <c r="N6943" s="7">
        <v>9.5</v>
      </c>
      <c r="O6943" s="7" t="s">
        <v>178</v>
      </c>
      <c r="P6943" s="7" t="s">
        <v>178</v>
      </c>
    </row>
    <row r="6944" spans="1:16" x14ac:dyDescent="0.25">
      <c r="A6944" t="s">
        <v>181</v>
      </c>
      <c r="B6944" t="s">
        <v>236</v>
      </c>
      <c r="C6944" s="7" t="s">
        <v>177</v>
      </c>
      <c r="D6944" t="s">
        <v>112</v>
      </c>
      <c r="F6944" s="35">
        <v>2</v>
      </c>
      <c r="G6944" s="35">
        <v>-1.2872965706019184</v>
      </c>
      <c r="H6944" s="35">
        <v>6.1069491715097284</v>
      </c>
      <c r="I6944" s="35">
        <v>5.4438355895628616</v>
      </c>
      <c r="J6944" s="35">
        <v>-8.7333112688590502E-3</v>
      </c>
      <c r="K6944" s="35">
        <v>0.44145261157565741</v>
      </c>
      <c r="L6944" s="35">
        <v>3.6379548411116067</v>
      </c>
      <c r="M6944" s="58" t="s">
        <v>22</v>
      </c>
      <c r="N6944" s="7">
        <v>9.5</v>
      </c>
      <c r="O6944" s="7" t="s">
        <v>178</v>
      </c>
      <c r="P6944" s="7" t="s">
        <v>178</v>
      </c>
    </row>
    <row r="6945" spans="1:16" x14ac:dyDescent="0.25">
      <c r="A6945" t="s">
        <v>181</v>
      </c>
      <c r="B6945" t="s">
        <v>236</v>
      </c>
      <c r="C6945" s="7" t="s">
        <v>177</v>
      </c>
      <c r="D6945" t="s">
        <v>112</v>
      </c>
      <c r="F6945" s="35">
        <v>4.5</v>
      </c>
      <c r="G6945" s="35">
        <v>7.8490929398079959E-2</v>
      </c>
      <c r="H6945" s="35">
        <v>2.2796991715097272</v>
      </c>
      <c r="I6945" s="35">
        <v>0.71883558956286098</v>
      </c>
      <c r="J6945" s="35">
        <v>-8.7333112688590502E-3</v>
      </c>
      <c r="K6945" s="35">
        <v>-7.2618863623314969</v>
      </c>
      <c r="L6945" s="35">
        <v>-6.8453555876627128</v>
      </c>
      <c r="M6945" s="58" t="s">
        <v>24</v>
      </c>
      <c r="N6945" s="7">
        <v>9.5</v>
      </c>
      <c r="O6945" s="7" t="s">
        <v>178</v>
      </c>
      <c r="P6945" s="7" t="s">
        <v>178</v>
      </c>
    </row>
    <row r="6946" spans="1:16" x14ac:dyDescent="0.25">
      <c r="A6946" t="s">
        <v>181</v>
      </c>
      <c r="B6946" t="s">
        <v>236</v>
      </c>
      <c r="C6946" s="7" t="s">
        <v>177</v>
      </c>
      <c r="D6946" t="s">
        <v>112</v>
      </c>
      <c r="F6946" s="35">
        <v>4.5</v>
      </c>
      <c r="G6946" s="35">
        <v>0.86462746462989692</v>
      </c>
      <c r="H6946" s="35">
        <v>2.2796064588330252</v>
      </c>
      <c r="I6946" s="35">
        <v>0.73541769683873581</v>
      </c>
      <c r="J6946" s="35">
        <v>1.0656694621240286E-2</v>
      </c>
      <c r="K6946" s="35">
        <v>-7.2618830927986133</v>
      </c>
      <c r="L6946" s="35">
        <v>-7.8280865615445654</v>
      </c>
      <c r="M6946" s="58" t="s">
        <v>24</v>
      </c>
      <c r="N6946" s="7">
        <v>9.5</v>
      </c>
      <c r="O6946" s="7" t="s">
        <v>178</v>
      </c>
      <c r="P6946" s="7" t="s">
        <v>178</v>
      </c>
    </row>
    <row r="6947" spans="1:16" x14ac:dyDescent="0.25">
      <c r="A6947" t="s">
        <v>181</v>
      </c>
      <c r="B6947" t="s">
        <v>236</v>
      </c>
      <c r="C6947" s="7" t="s">
        <v>177</v>
      </c>
      <c r="D6947" t="s">
        <v>112</v>
      </c>
      <c r="F6947" s="35">
        <v>4.6226557908820691</v>
      </c>
      <c r="G6947" s="35">
        <v>0.93163616302563401</v>
      </c>
      <c r="H6947" s="35">
        <v>2.091832708571665</v>
      </c>
      <c r="I6947" s="35">
        <v>0.50359825207162523</v>
      </c>
      <c r="J6947" s="35">
        <v>1.0656694621240286E-2</v>
      </c>
      <c r="K6947" s="35">
        <v>-7.3378693333631624</v>
      </c>
      <c r="L6947" s="35">
        <v>-8.0961777257300032</v>
      </c>
      <c r="M6947" s="58" t="s">
        <v>24</v>
      </c>
      <c r="N6947" s="7">
        <v>9.5</v>
      </c>
      <c r="O6947" s="7" t="s">
        <v>178</v>
      </c>
      <c r="P6947" s="7" t="s">
        <v>178</v>
      </c>
    </row>
    <row r="6948" spans="1:16" x14ac:dyDescent="0.25">
      <c r="A6948" t="s">
        <v>181</v>
      </c>
      <c r="B6948" t="s">
        <v>236</v>
      </c>
      <c r="C6948" s="7" t="s">
        <v>177</v>
      </c>
      <c r="D6948" t="s">
        <v>112</v>
      </c>
      <c r="F6948" s="35">
        <v>9.2453115817641383</v>
      </c>
      <c r="G6948" s="35">
        <v>3.457062361421372</v>
      </c>
      <c r="H6948" s="35">
        <v>-4.9849910416896943</v>
      </c>
      <c r="I6948" s="35">
        <v>-8.2332211926954866</v>
      </c>
      <c r="J6948" s="35">
        <v>1.0656694621240286E-2</v>
      </c>
      <c r="K6948" s="35">
        <v>10.527823790541724</v>
      </c>
      <c r="L6948" s="35">
        <v>-1.4091401644666171</v>
      </c>
      <c r="M6948" s="58" t="s">
        <v>23</v>
      </c>
      <c r="N6948" s="7">
        <v>9.5</v>
      </c>
      <c r="O6948" s="7" t="s">
        <v>178</v>
      </c>
      <c r="P6948" s="7" t="s">
        <v>178</v>
      </c>
    </row>
    <row r="6949" spans="1:16" x14ac:dyDescent="0.25">
      <c r="A6949" t="s">
        <v>181</v>
      </c>
      <c r="B6949" t="s">
        <v>236</v>
      </c>
      <c r="C6949" s="7" t="s">
        <v>177</v>
      </c>
      <c r="D6949" t="s">
        <v>113</v>
      </c>
      <c r="F6949" s="35">
        <v>0</v>
      </c>
      <c r="G6949" s="35">
        <v>-17.409122674846106</v>
      </c>
      <c r="H6949" s="35">
        <v>8.7962905072807622</v>
      </c>
      <c r="I6949" s="35">
        <v>4.6368469595876274</v>
      </c>
      <c r="J6949" s="35">
        <v>-7.1756441451533487E-3</v>
      </c>
      <c r="K6949" s="35">
        <v>8.515665726537188</v>
      </c>
      <c r="L6949" s="35">
        <v>18.81676411622184</v>
      </c>
      <c r="M6949" s="58" t="s">
        <v>22</v>
      </c>
      <c r="N6949" s="7">
        <v>9.5</v>
      </c>
      <c r="O6949" s="7" t="s">
        <v>178</v>
      </c>
      <c r="P6949" s="7" t="s">
        <v>178</v>
      </c>
    </row>
    <row r="6950" spans="1:16" x14ac:dyDescent="0.25">
      <c r="A6950" t="s">
        <v>181</v>
      </c>
      <c r="B6950" t="s">
        <v>236</v>
      </c>
      <c r="C6950" s="7" t="s">
        <v>177</v>
      </c>
      <c r="D6950" t="s">
        <v>113</v>
      </c>
      <c r="F6950" s="35">
        <v>2</v>
      </c>
      <c r="G6950" s="35">
        <v>-16.31649267484611</v>
      </c>
      <c r="H6950" s="35">
        <v>8.1158905072807617</v>
      </c>
      <c r="I6950" s="35">
        <v>2.9736469595876271</v>
      </c>
      <c r="J6950" s="35">
        <v>-7.1756441451533487E-3</v>
      </c>
      <c r="K6950" s="35">
        <v>0.90517180736193437</v>
      </c>
      <c r="L6950" s="35">
        <v>1.9045831016603196</v>
      </c>
      <c r="M6950" s="58" t="s">
        <v>22</v>
      </c>
      <c r="N6950" s="7">
        <v>9.5</v>
      </c>
      <c r="O6950" s="7" t="s">
        <v>178</v>
      </c>
      <c r="P6950" s="7" t="s">
        <v>178</v>
      </c>
    </row>
    <row r="6951" spans="1:16" x14ac:dyDescent="0.25">
      <c r="A6951" t="s">
        <v>181</v>
      </c>
      <c r="B6951" t="s">
        <v>236</v>
      </c>
      <c r="C6951" s="7" t="s">
        <v>177</v>
      </c>
      <c r="D6951" t="s">
        <v>113</v>
      </c>
      <c r="F6951" s="35">
        <v>2</v>
      </c>
      <c r="G6951" s="35">
        <v>-10.010601764090078</v>
      </c>
      <c r="H6951" s="35">
        <v>1.4106084242254893</v>
      </c>
      <c r="I6951" s="35">
        <v>2.9736471004050786</v>
      </c>
      <c r="J6951" s="35">
        <v>-7.1613945183077281E-3</v>
      </c>
      <c r="K6951" s="35">
        <v>0.9051870069639063</v>
      </c>
      <c r="L6951" s="35">
        <v>1.904583101660321</v>
      </c>
      <c r="M6951" s="58" t="s">
        <v>22</v>
      </c>
      <c r="N6951" s="7">
        <v>9.5</v>
      </c>
      <c r="O6951" s="7" t="s">
        <v>178</v>
      </c>
      <c r="P6951" s="7" t="s">
        <v>178</v>
      </c>
    </row>
    <row r="6952" spans="1:16" x14ac:dyDescent="0.25">
      <c r="A6952" t="s">
        <v>181</v>
      </c>
      <c r="B6952" t="s">
        <v>236</v>
      </c>
      <c r="C6952" s="7" t="s">
        <v>177</v>
      </c>
      <c r="D6952" t="s">
        <v>113</v>
      </c>
      <c r="F6952" s="35">
        <v>4.5</v>
      </c>
      <c r="G6952" s="35">
        <v>-8.644814264090078</v>
      </c>
      <c r="H6952" s="35">
        <v>0.56010842422548912</v>
      </c>
      <c r="I6952" s="35">
        <v>0.89464710040507822</v>
      </c>
      <c r="J6952" s="35">
        <v>-7.1613945183077281E-3</v>
      </c>
      <c r="K6952" s="35">
        <v>-3.9301807440487897</v>
      </c>
      <c r="L6952" s="35">
        <v>-0.55881295890340155</v>
      </c>
      <c r="M6952" s="58" t="s">
        <v>24</v>
      </c>
      <c r="N6952" s="7">
        <v>9.5</v>
      </c>
      <c r="O6952" s="7" t="s">
        <v>178</v>
      </c>
      <c r="P6952" s="7" t="s">
        <v>178</v>
      </c>
    </row>
    <row r="6953" spans="1:16" x14ac:dyDescent="0.25">
      <c r="A6953" t="s">
        <v>181</v>
      </c>
      <c r="B6953" t="s">
        <v>236</v>
      </c>
      <c r="C6953" s="7" t="s">
        <v>177</v>
      </c>
      <c r="D6953" t="s">
        <v>113</v>
      </c>
      <c r="F6953" s="35">
        <v>4.5</v>
      </c>
      <c r="G6953" s="35">
        <v>-7.858677902022146</v>
      </c>
      <c r="H6953" s="35">
        <v>0.5602302878022305</v>
      </c>
      <c r="I6953" s="35">
        <v>0.90599537980064482</v>
      </c>
      <c r="J6953" s="35">
        <v>6.9347695739913305E-3</v>
      </c>
      <c r="K6953" s="35">
        <v>-3.9301777057966225</v>
      </c>
      <c r="L6953" s="35">
        <v>-1.5414938833643985</v>
      </c>
      <c r="M6953" s="58" t="s">
        <v>24</v>
      </c>
      <c r="N6953" s="7">
        <v>9.5</v>
      </c>
      <c r="O6953" s="7" t="s">
        <v>178</v>
      </c>
      <c r="P6953" s="7" t="s">
        <v>178</v>
      </c>
    </row>
    <row r="6954" spans="1:16" x14ac:dyDescent="0.25">
      <c r="A6954" t="s">
        <v>181</v>
      </c>
      <c r="B6954" t="s">
        <v>236</v>
      </c>
      <c r="C6954" s="7" t="s">
        <v>177</v>
      </c>
      <c r="D6954" t="s">
        <v>113</v>
      </c>
      <c r="F6954" s="35">
        <v>4.6226557908820691</v>
      </c>
      <c r="G6954" s="35">
        <v>-7.7916692036264088</v>
      </c>
      <c r="H6954" s="35">
        <v>0.51850278774415048</v>
      </c>
      <c r="I6954" s="35">
        <v>0.80399482410311596</v>
      </c>
      <c r="J6954" s="35">
        <v>6.9347695739913305E-3</v>
      </c>
      <c r="K6954" s="35">
        <v>-4.0350478062268262</v>
      </c>
      <c r="L6954" s="35">
        <v>-1.607650312630293</v>
      </c>
      <c r="M6954" s="58" t="s">
        <v>24</v>
      </c>
      <c r="N6954" s="7">
        <v>9.5</v>
      </c>
      <c r="O6954" s="7" t="s">
        <v>178</v>
      </c>
      <c r="P6954" s="7" t="s">
        <v>178</v>
      </c>
    </row>
    <row r="6955" spans="1:16" x14ac:dyDescent="0.25">
      <c r="A6955" t="s">
        <v>181</v>
      </c>
      <c r="B6955" t="s">
        <v>236</v>
      </c>
      <c r="C6955" s="7" t="s">
        <v>177</v>
      </c>
      <c r="D6955" t="s">
        <v>113</v>
      </c>
      <c r="F6955" s="35">
        <v>9.2453115817641383</v>
      </c>
      <c r="G6955" s="35">
        <v>-5.2662430052306703</v>
      </c>
      <c r="H6955" s="35">
        <v>-1.0541247123139292</v>
      </c>
      <c r="I6955" s="35">
        <v>-3.0402057315944124</v>
      </c>
      <c r="J6955" s="35">
        <v>6.9347695739913305E-3</v>
      </c>
      <c r="K6955" s="35">
        <v>1.1335688443473202</v>
      </c>
      <c r="L6955" s="35">
        <v>-0.36965241696235002</v>
      </c>
      <c r="M6955" s="58" t="s">
        <v>23</v>
      </c>
      <c r="N6955" s="7">
        <v>9.5</v>
      </c>
      <c r="O6955" s="7" t="s">
        <v>178</v>
      </c>
      <c r="P6955" s="7" t="s">
        <v>178</v>
      </c>
    </row>
    <row r="6956" spans="1:16" x14ac:dyDescent="0.25">
      <c r="A6956" t="s">
        <v>181</v>
      </c>
      <c r="B6956" t="s">
        <v>236</v>
      </c>
      <c r="C6956" s="7" t="s">
        <v>177</v>
      </c>
      <c r="D6956" t="s">
        <v>114</v>
      </c>
      <c r="F6956" s="35">
        <v>0</v>
      </c>
      <c r="G6956" s="35">
        <v>35.156717080847649</v>
      </c>
      <c r="H6956" s="35">
        <v>-16.319013390534074</v>
      </c>
      <c r="I6956" s="35">
        <v>16.266457762274776</v>
      </c>
      <c r="J6956" s="35">
        <v>-1.2753847793650165E-2</v>
      </c>
      <c r="K6956" s="35">
        <v>23.686570450968468</v>
      </c>
      <c r="L6956" s="35">
        <v>-31.218657252552642</v>
      </c>
      <c r="M6956" s="58" t="s">
        <v>22</v>
      </c>
      <c r="N6956" s="7">
        <v>9.5</v>
      </c>
      <c r="O6956" s="7" t="s">
        <v>178</v>
      </c>
      <c r="P6956" s="7" t="s">
        <v>178</v>
      </c>
    </row>
    <row r="6957" spans="1:16" x14ac:dyDescent="0.25">
      <c r="A6957" t="s">
        <v>181</v>
      </c>
      <c r="B6957" t="s">
        <v>236</v>
      </c>
      <c r="C6957" s="7" t="s">
        <v>177</v>
      </c>
      <c r="D6957" t="s">
        <v>114</v>
      </c>
      <c r="F6957" s="35">
        <v>2</v>
      </c>
      <c r="G6957" s="35">
        <v>36.249347080847649</v>
      </c>
      <c r="H6957" s="35">
        <v>-13.257213390534073</v>
      </c>
      <c r="I6957" s="35">
        <v>8.8576577622747763</v>
      </c>
      <c r="J6957" s="35">
        <v>-1.2753847793650165E-2</v>
      </c>
      <c r="K6957" s="35">
        <v>-1.4375450735810826</v>
      </c>
      <c r="L6957" s="35">
        <v>-1.6424304714844962</v>
      </c>
      <c r="M6957" s="58" t="s">
        <v>22</v>
      </c>
      <c r="N6957" s="7">
        <v>9.5</v>
      </c>
      <c r="O6957" s="7" t="s">
        <v>178</v>
      </c>
      <c r="P6957" s="7" t="s">
        <v>178</v>
      </c>
    </row>
    <row r="6958" spans="1:16" x14ac:dyDescent="0.25">
      <c r="A6958" t="s">
        <v>181</v>
      </c>
      <c r="B6958" t="s">
        <v>236</v>
      </c>
      <c r="C6958" s="7" t="s">
        <v>177</v>
      </c>
      <c r="D6958" t="s">
        <v>114</v>
      </c>
      <c r="F6958" s="35">
        <v>2</v>
      </c>
      <c r="G6958" s="35">
        <v>29.53957885065665</v>
      </c>
      <c r="H6958" s="35">
        <v>-6.0791118180430956</v>
      </c>
      <c r="I6958" s="35">
        <v>8.8576721913533092</v>
      </c>
      <c r="J6958" s="35">
        <v>-1.2754171231751906E-2</v>
      </c>
      <c r="K6958" s="35">
        <v>-1.4375454185817163</v>
      </c>
      <c r="L6958" s="35">
        <v>-1.642430471484509</v>
      </c>
      <c r="M6958" s="58" t="s">
        <v>22</v>
      </c>
      <c r="N6958" s="7">
        <v>9.5</v>
      </c>
      <c r="O6958" s="7" t="s">
        <v>178</v>
      </c>
      <c r="P6958" s="7" t="s">
        <v>178</v>
      </c>
    </row>
    <row r="6959" spans="1:16" x14ac:dyDescent="0.25">
      <c r="A6959" t="s">
        <v>181</v>
      </c>
      <c r="B6959" t="s">
        <v>236</v>
      </c>
      <c r="C6959" s="7" t="s">
        <v>177</v>
      </c>
      <c r="D6959" t="s">
        <v>114</v>
      </c>
      <c r="F6959" s="35">
        <v>4.5</v>
      </c>
      <c r="G6959" s="35">
        <v>30.905366350656649</v>
      </c>
      <c r="H6959" s="35">
        <v>-2.2518618180430949</v>
      </c>
      <c r="I6959" s="35">
        <v>-0.40332780864669088</v>
      </c>
      <c r="J6959" s="35">
        <v>-1.2754171231751906E-2</v>
      </c>
      <c r="K6959" s="35">
        <v>-12.00547589696499</v>
      </c>
      <c r="L6959" s="35">
        <v>8.7712865736232288</v>
      </c>
      <c r="M6959" s="58" t="s">
        <v>24</v>
      </c>
      <c r="N6959" s="7">
        <v>9.5</v>
      </c>
      <c r="O6959" s="7" t="s">
        <v>178</v>
      </c>
      <c r="P6959" s="7" t="s">
        <v>178</v>
      </c>
    </row>
    <row r="6960" spans="1:16" x14ac:dyDescent="0.25">
      <c r="A6960" t="s">
        <v>181</v>
      </c>
      <c r="B6960" t="s">
        <v>236</v>
      </c>
      <c r="C6960" s="7" t="s">
        <v>177</v>
      </c>
      <c r="D6960" t="s">
        <v>114</v>
      </c>
      <c r="F6960" s="35">
        <v>4.5</v>
      </c>
      <c r="G6960" s="35">
        <v>31.691502186730983</v>
      </c>
      <c r="H6960" s="35">
        <v>-2.2515432490804956</v>
      </c>
      <c r="I6960" s="35">
        <v>-0.38686263294055234</v>
      </c>
      <c r="J6960" s="35">
        <v>8.2807381506268436E-3</v>
      </c>
      <c r="K6960" s="35">
        <v>-12.005479147982557</v>
      </c>
      <c r="L6960" s="35">
        <v>7.7886792849010336</v>
      </c>
      <c r="M6960" s="58" t="s">
        <v>24</v>
      </c>
      <c r="N6960" s="7">
        <v>9.5</v>
      </c>
      <c r="O6960" s="7" t="s">
        <v>178</v>
      </c>
      <c r="P6960" s="7" t="s">
        <v>178</v>
      </c>
    </row>
    <row r="6961" spans="1:16" x14ac:dyDescent="0.25">
      <c r="A6961" t="s">
        <v>181</v>
      </c>
      <c r="B6961" t="s">
        <v>236</v>
      </c>
      <c r="C6961" s="7" t="s">
        <v>177</v>
      </c>
      <c r="D6961" t="s">
        <v>114</v>
      </c>
      <c r="F6961" s="35">
        <v>4.6226557908820691</v>
      </c>
      <c r="G6961" s="35">
        <v>31.758510885126718</v>
      </c>
      <c r="H6961" s="35">
        <v>-2.0637694988191355</v>
      </c>
      <c r="I6961" s="35">
        <v>-0.84122874468408926</v>
      </c>
      <c r="J6961" s="35">
        <v>8.2807381506268436E-3</v>
      </c>
      <c r="K6961" s="35">
        <v>-11.930162888383558</v>
      </c>
      <c r="L6961" s="35">
        <v>8.0533283338995858</v>
      </c>
      <c r="M6961" s="58" t="s">
        <v>24</v>
      </c>
      <c r="N6961" s="7">
        <v>9.5</v>
      </c>
      <c r="O6961" s="7" t="s">
        <v>178</v>
      </c>
      <c r="P6961" s="7" t="s">
        <v>178</v>
      </c>
    </row>
    <row r="6962" spans="1:16" x14ac:dyDescent="0.25">
      <c r="A6962" t="s">
        <v>181</v>
      </c>
      <c r="B6962" t="s">
        <v>236</v>
      </c>
      <c r="C6962" s="7" t="s">
        <v>177</v>
      </c>
      <c r="D6962" t="s">
        <v>114</v>
      </c>
      <c r="F6962" s="35">
        <v>9.2453115817641383</v>
      </c>
      <c r="G6962" s="35">
        <v>34.283937083522453</v>
      </c>
      <c r="H6962" s="35">
        <v>5.0130542514422247</v>
      </c>
      <c r="I6962" s="35">
        <v>-17.965394856427626</v>
      </c>
      <c r="J6962" s="35">
        <v>8.2807381506268436E-3</v>
      </c>
      <c r="K6962" s="35">
        <v>31.538110859925673</v>
      </c>
      <c r="L6962" s="35">
        <v>1.2365642135629304</v>
      </c>
      <c r="M6962" s="58" t="s">
        <v>23</v>
      </c>
      <c r="N6962" s="7">
        <v>9.5</v>
      </c>
      <c r="O6962" s="7" t="s">
        <v>178</v>
      </c>
      <c r="P6962" s="7" t="s">
        <v>178</v>
      </c>
    </row>
    <row r="6963" spans="1:16" x14ac:dyDescent="0.25">
      <c r="A6963" t="s">
        <v>181</v>
      </c>
      <c r="B6963" t="s">
        <v>236</v>
      </c>
      <c r="C6963" s="7" t="s">
        <v>177</v>
      </c>
      <c r="D6963" t="s">
        <v>115</v>
      </c>
      <c r="F6963" s="35">
        <v>0</v>
      </c>
      <c r="G6963" s="35">
        <v>25.787517065850764</v>
      </c>
      <c r="H6963" s="35">
        <v>-23.034486861331278</v>
      </c>
      <c r="I6963" s="35">
        <v>11.715929222618364</v>
      </c>
      <c r="J6963" s="35">
        <v>-1.1418492935481446E-2</v>
      </c>
      <c r="K6963" s="35">
        <v>17.207738697784002</v>
      </c>
      <c r="L6963" s="35">
        <v>-44.004390099844272</v>
      </c>
      <c r="M6963" s="58" t="s">
        <v>22</v>
      </c>
      <c r="N6963" s="7">
        <v>9.5</v>
      </c>
      <c r="O6963" s="7" t="s">
        <v>178</v>
      </c>
      <c r="P6963" s="7" t="s">
        <v>178</v>
      </c>
    </row>
    <row r="6964" spans="1:16" x14ac:dyDescent="0.25">
      <c r="A6964" t="s">
        <v>181</v>
      </c>
      <c r="B6964" t="s">
        <v>236</v>
      </c>
      <c r="C6964" s="7" t="s">
        <v>177</v>
      </c>
      <c r="D6964" t="s">
        <v>115</v>
      </c>
      <c r="F6964" s="35">
        <v>2</v>
      </c>
      <c r="G6964" s="35">
        <v>26.880147065850764</v>
      </c>
      <c r="H6964" s="35">
        <v>-17.59128686133128</v>
      </c>
      <c r="I6964" s="35">
        <v>6.4239292226183649</v>
      </c>
      <c r="J6964" s="35">
        <v>-1.1418492935481446E-2</v>
      </c>
      <c r="K6964" s="35">
        <v>-0.93211974745272752</v>
      </c>
      <c r="L6964" s="35">
        <v>-3.3786163771817175</v>
      </c>
      <c r="M6964" s="58" t="s">
        <v>22</v>
      </c>
      <c r="N6964" s="7">
        <v>9.5</v>
      </c>
      <c r="O6964" s="7" t="s">
        <v>178</v>
      </c>
      <c r="P6964" s="7" t="s">
        <v>178</v>
      </c>
    </row>
    <row r="6965" spans="1:16" x14ac:dyDescent="0.25">
      <c r="A6965" t="s">
        <v>181</v>
      </c>
      <c r="B6965" t="s">
        <v>236</v>
      </c>
      <c r="C6965" s="7" t="s">
        <v>177</v>
      </c>
      <c r="D6965" t="s">
        <v>115</v>
      </c>
      <c r="F6965" s="35">
        <v>2</v>
      </c>
      <c r="G6965" s="35">
        <v>20.510359892710241</v>
      </c>
      <c r="H6965" s="35">
        <v>-10.77583283089387</v>
      </c>
      <c r="I6965" s="35">
        <v>6.4239424162355725</v>
      </c>
      <c r="J6965" s="35">
        <v>-1.1413676999121785E-2</v>
      </c>
      <c r="K6965" s="35">
        <v>-0.93211461045393884</v>
      </c>
      <c r="L6965" s="35">
        <v>-3.3786163771817161</v>
      </c>
      <c r="M6965" s="58" t="s">
        <v>22</v>
      </c>
      <c r="N6965" s="7">
        <v>9.5</v>
      </c>
      <c r="O6965" s="7" t="s">
        <v>178</v>
      </c>
      <c r="P6965" s="7" t="s">
        <v>178</v>
      </c>
    </row>
    <row r="6966" spans="1:16" x14ac:dyDescent="0.25">
      <c r="A6966" t="s">
        <v>181</v>
      </c>
      <c r="B6966" t="s">
        <v>236</v>
      </c>
      <c r="C6966" s="7" t="s">
        <v>177</v>
      </c>
      <c r="D6966" t="s">
        <v>115</v>
      </c>
      <c r="F6966" s="35">
        <v>4.5</v>
      </c>
      <c r="G6966" s="35">
        <v>21.876147392710241</v>
      </c>
      <c r="H6966" s="35">
        <v>-3.971832830893872</v>
      </c>
      <c r="I6966" s="35">
        <v>-0.19105758376442777</v>
      </c>
      <c r="J6966" s="35">
        <v>-1.1413676999121785E-2</v>
      </c>
      <c r="K6966" s="35">
        <v>-8.7232206510428689</v>
      </c>
      <c r="L6966" s="35">
        <v>15.055965700052962</v>
      </c>
      <c r="M6966" s="58" t="s">
        <v>24</v>
      </c>
      <c r="N6966" s="7">
        <v>9.5</v>
      </c>
      <c r="O6966" s="7" t="s">
        <v>178</v>
      </c>
      <c r="P6966" s="7" t="s">
        <v>178</v>
      </c>
    </row>
    <row r="6967" spans="1:16" x14ac:dyDescent="0.25">
      <c r="A6967" t="s">
        <v>181</v>
      </c>
      <c r="B6967" t="s">
        <v>236</v>
      </c>
      <c r="C6967" s="7" t="s">
        <v>177</v>
      </c>
      <c r="D6967" t="s">
        <v>115</v>
      </c>
      <c r="F6967" s="35">
        <v>4.5</v>
      </c>
      <c r="G6967" s="35">
        <v>22.662283060263121</v>
      </c>
      <c r="H6967" s="35">
        <v>-3.9712961780617664</v>
      </c>
      <c r="I6967" s="35">
        <v>-0.17947080185928505</v>
      </c>
      <c r="J6967" s="35">
        <v>4.7670750078446251E-3</v>
      </c>
      <c r="K6967" s="35">
        <v>-8.7232239971023517</v>
      </c>
      <c r="L6967" s="35">
        <v>14.073408423314383</v>
      </c>
      <c r="M6967" s="58" t="s">
        <v>24</v>
      </c>
      <c r="N6967" s="7">
        <v>9.5</v>
      </c>
      <c r="O6967" s="7" t="s">
        <v>178</v>
      </c>
      <c r="P6967" s="7" t="s">
        <v>178</v>
      </c>
    </row>
    <row r="6968" spans="1:16" x14ac:dyDescent="0.25">
      <c r="A6968" t="s">
        <v>181</v>
      </c>
      <c r="B6968" t="s">
        <v>236</v>
      </c>
      <c r="C6968" s="7" t="s">
        <v>177</v>
      </c>
      <c r="D6968" t="s">
        <v>115</v>
      </c>
      <c r="F6968" s="35">
        <v>4.6226557908820691</v>
      </c>
      <c r="G6968" s="35">
        <v>22.72929175865886</v>
      </c>
      <c r="H6968" s="35">
        <v>-3.6374761775971267</v>
      </c>
      <c r="I6968" s="35">
        <v>-0.50401802453324007</v>
      </c>
      <c r="J6968" s="35">
        <v>4.7670750078446251E-3</v>
      </c>
      <c r="K6968" s="35">
        <v>-8.6813070658222351</v>
      </c>
      <c r="L6968" s="35">
        <v>14.540038418776868</v>
      </c>
      <c r="M6968" s="58" t="s">
        <v>24</v>
      </c>
      <c r="N6968" s="7">
        <v>9.5</v>
      </c>
      <c r="O6968" s="7" t="s">
        <v>178</v>
      </c>
      <c r="P6968" s="7" t="s">
        <v>178</v>
      </c>
    </row>
    <row r="6969" spans="1:16" x14ac:dyDescent="0.25">
      <c r="A6969" t="s">
        <v>181</v>
      </c>
      <c r="B6969" t="s">
        <v>236</v>
      </c>
      <c r="C6969" s="7" t="s">
        <v>177</v>
      </c>
      <c r="D6969" t="s">
        <v>115</v>
      </c>
      <c r="F6969" s="35">
        <v>9.2453115817641383</v>
      </c>
      <c r="G6969" s="35">
        <v>25.254717957054595</v>
      </c>
      <c r="H6969" s="35">
        <v>8.943543822867511</v>
      </c>
      <c r="I6969" s="35">
        <v>-12.735565247207195</v>
      </c>
      <c r="J6969" s="35">
        <v>4.7670750078446251E-3</v>
      </c>
      <c r="K6969" s="35">
        <v>21.919711074165903</v>
      </c>
      <c r="L6969" s="35">
        <v>2.2759762551663063</v>
      </c>
      <c r="M6969" s="58" t="s">
        <v>23</v>
      </c>
      <c r="N6969" s="7">
        <v>9.5</v>
      </c>
      <c r="O6969" s="7" t="s">
        <v>178</v>
      </c>
      <c r="P6969" s="7" t="s">
        <v>178</v>
      </c>
    </row>
    <row r="6970" spans="1:16" x14ac:dyDescent="0.25">
      <c r="A6970" t="s">
        <v>181</v>
      </c>
      <c r="B6970" t="s">
        <v>236</v>
      </c>
      <c r="C6970" s="7" t="s">
        <v>177</v>
      </c>
      <c r="D6970" t="s">
        <v>116</v>
      </c>
      <c r="F6970" s="35">
        <v>0</v>
      </c>
      <c r="G6970" s="35">
        <v>-2.5944305482849335</v>
      </c>
      <c r="H6970" s="35">
        <v>18.022583759236479</v>
      </c>
      <c r="I6970" s="35">
        <v>8.4096689066425494</v>
      </c>
      <c r="J6970" s="35">
        <v>-3.5941065161099522E-3</v>
      </c>
      <c r="K6970" s="35">
        <v>19.333415112375242</v>
      </c>
      <c r="L6970" s="35">
        <v>34.967624460378502</v>
      </c>
      <c r="M6970" s="58" t="s">
        <v>22</v>
      </c>
      <c r="N6970" s="7">
        <v>9.5</v>
      </c>
      <c r="O6970" s="7" t="s">
        <v>178</v>
      </c>
      <c r="P6970" s="7" t="s">
        <v>178</v>
      </c>
    </row>
    <row r="6971" spans="1:16" x14ac:dyDescent="0.25">
      <c r="A6971" t="s">
        <v>181</v>
      </c>
      <c r="B6971" t="s">
        <v>236</v>
      </c>
      <c r="C6971" s="7" t="s">
        <v>177</v>
      </c>
      <c r="D6971" t="s">
        <v>116</v>
      </c>
      <c r="F6971" s="35">
        <v>2</v>
      </c>
      <c r="G6971" s="35">
        <v>-1.5018005482849364</v>
      </c>
      <c r="H6971" s="35">
        <v>12.069083759236479</v>
      </c>
      <c r="I6971" s="35">
        <v>5.5368689066425496</v>
      </c>
      <c r="J6971" s="35">
        <v>-3.5941065161099522E-3</v>
      </c>
      <c r="K6971" s="35">
        <v>5.3868772990901457</v>
      </c>
      <c r="L6971" s="35">
        <v>4.8759569419055504</v>
      </c>
      <c r="M6971" s="58" t="s">
        <v>22</v>
      </c>
      <c r="N6971" s="7">
        <v>9.5</v>
      </c>
      <c r="O6971" s="7" t="s">
        <v>178</v>
      </c>
      <c r="P6971" s="7" t="s">
        <v>178</v>
      </c>
    </row>
    <row r="6972" spans="1:16" x14ac:dyDescent="0.25">
      <c r="A6972" t="s">
        <v>181</v>
      </c>
      <c r="B6972" t="s">
        <v>236</v>
      </c>
      <c r="C6972" s="7" t="s">
        <v>177</v>
      </c>
      <c r="D6972" t="s">
        <v>116</v>
      </c>
      <c r="F6972" s="35">
        <v>2</v>
      </c>
      <c r="G6972" s="35">
        <v>-1.1307339348065759</v>
      </c>
      <c r="H6972" s="35">
        <v>11.694290229740345</v>
      </c>
      <c r="I6972" s="35">
        <v>5.5368625343300835</v>
      </c>
      <c r="J6972" s="35">
        <v>-3.5983042297932063E-3</v>
      </c>
      <c r="K6972" s="35">
        <v>5.3868728215289083</v>
      </c>
      <c r="L6972" s="35">
        <v>4.8759569419055149</v>
      </c>
      <c r="M6972" s="58" t="s">
        <v>22</v>
      </c>
      <c r="N6972" s="7">
        <v>9.5</v>
      </c>
      <c r="O6972" s="7" t="s">
        <v>178</v>
      </c>
      <c r="P6972" s="7" t="s">
        <v>178</v>
      </c>
    </row>
    <row r="6973" spans="1:16" x14ac:dyDescent="0.25">
      <c r="A6973" t="s">
        <v>181</v>
      </c>
      <c r="B6973" t="s">
        <v>236</v>
      </c>
      <c r="C6973" s="7" t="s">
        <v>177</v>
      </c>
      <c r="D6973" t="s">
        <v>116</v>
      </c>
      <c r="F6973" s="35">
        <v>4.5</v>
      </c>
      <c r="G6973" s="35">
        <v>0.23505356519342235</v>
      </c>
      <c r="H6973" s="35">
        <v>4.2524152297403424</v>
      </c>
      <c r="I6973" s="35">
        <v>1.9458625343300824</v>
      </c>
      <c r="J6973" s="35">
        <v>-3.5983042297932063E-3</v>
      </c>
      <c r="K6973" s="35">
        <v>-3.9665335142962972</v>
      </c>
      <c r="L6973" s="35">
        <v>-15.057424882445343</v>
      </c>
      <c r="M6973" s="58" t="s">
        <v>24</v>
      </c>
      <c r="N6973" s="7">
        <v>9.5</v>
      </c>
      <c r="O6973" s="7" t="s">
        <v>178</v>
      </c>
      <c r="P6973" s="7" t="s">
        <v>178</v>
      </c>
    </row>
    <row r="6974" spans="1:16" x14ac:dyDescent="0.25">
      <c r="A6974" t="s">
        <v>181</v>
      </c>
      <c r="B6974" t="s">
        <v>236</v>
      </c>
      <c r="C6974" s="7" t="s">
        <v>177</v>
      </c>
      <c r="D6974" t="s">
        <v>116</v>
      </c>
      <c r="F6974" s="35">
        <v>4.5</v>
      </c>
      <c r="G6974" s="35">
        <v>1.0211944832993374</v>
      </c>
      <c r="H6974" s="35">
        <v>4.2518668220479432</v>
      </c>
      <c r="I6974" s="35">
        <v>1.9584884418845272</v>
      </c>
      <c r="J6974" s="35">
        <v>9.03567308511459E-3</v>
      </c>
      <c r="K6974" s="35">
        <v>-3.9665107830365245</v>
      </c>
      <c r="L6974" s="35">
        <v>-16.040225344544318</v>
      </c>
      <c r="M6974" s="58" t="s">
        <v>24</v>
      </c>
      <c r="N6974" s="7">
        <v>9.5</v>
      </c>
      <c r="O6974" s="7" t="s">
        <v>178</v>
      </c>
      <c r="P6974" s="7" t="s">
        <v>178</v>
      </c>
    </row>
    <row r="6975" spans="1:16" x14ac:dyDescent="0.25">
      <c r="A6975" t="s">
        <v>181</v>
      </c>
      <c r="B6975" t="s">
        <v>236</v>
      </c>
      <c r="C6975" s="7" t="s">
        <v>177</v>
      </c>
      <c r="D6975" t="s">
        <v>116</v>
      </c>
      <c r="F6975" s="35">
        <v>4.6226557908820691</v>
      </c>
      <c r="G6975" s="35">
        <v>1.0882031816950746</v>
      </c>
      <c r="H6975" s="35">
        <v>3.886751196539743</v>
      </c>
      <c r="I6975" s="35">
        <v>1.7823056638615231</v>
      </c>
      <c r="J6975" s="35">
        <v>9.03567308511459E-3</v>
      </c>
      <c r="K6975" s="35">
        <v>-4.1959258128201569</v>
      </c>
      <c r="L6975" s="35">
        <v>-16.539349659422779</v>
      </c>
      <c r="M6975" s="58" t="s">
        <v>24</v>
      </c>
      <c r="N6975" s="7">
        <v>9.5</v>
      </c>
      <c r="O6975" s="7" t="s">
        <v>178</v>
      </c>
      <c r="P6975" s="7" t="s">
        <v>178</v>
      </c>
    </row>
    <row r="6976" spans="1:16" x14ac:dyDescent="0.25">
      <c r="A6976" t="s">
        <v>181</v>
      </c>
      <c r="B6976" t="s">
        <v>236</v>
      </c>
      <c r="C6976" s="7" t="s">
        <v>177</v>
      </c>
      <c r="D6976" t="s">
        <v>116</v>
      </c>
      <c r="F6976" s="35">
        <v>9.2453115817641383</v>
      </c>
      <c r="G6976" s="35">
        <v>3.6136293800908126</v>
      </c>
      <c r="H6976" s="35">
        <v>-9.8737394289684559</v>
      </c>
      <c r="I6976" s="35">
        <v>-4.857677114161481</v>
      </c>
      <c r="J6976" s="35">
        <v>9.03567308511459E-3</v>
      </c>
      <c r="K6976" s="35">
        <v>2.9122660091010881</v>
      </c>
      <c r="L6976" s="35">
        <v>-2.7014567481330864</v>
      </c>
      <c r="M6976" s="58" t="s">
        <v>23</v>
      </c>
      <c r="N6976" s="7">
        <v>9.5</v>
      </c>
      <c r="O6976" s="7" t="s">
        <v>178</v>
      </c>
      <c r="P6976" s="7" t="s">
        <v>178</v>
      </c>
    </row>
    <row r="6977" spans="1:16" x14ac:dyDescent="0.25">
      <c r="A6977" t="s">
        <v>181</v>
      </c>
      <c r="B6977" t="s">
        <v>236</v>
      </c>
      <c r="C6977" s="7" t="s">
        <v>177</v>
      </c>
      <c r="D6977" t="s">
        <v>117</v>
      </c>
      <c r="F6977" s="35">
        <v>0</v>
      </c>
      <c r="G6977" s="35">
        <v>-16.3248898223856</v>
      </c>
      <c r="H6977" s="35">
        <v>12.07677367494796</v>
      </c>
      <c r="I6977" s="35">
        <v>5.9942990123289608</v>
      </c>
      <c r="J6977" s="35">
        <v>-3.7538964273419653E-3</v>
      </c>
      <c r="K6977" s="35">
        <v>23.936482775325295</v>
      </c>
      <c r="L6977" s="35">
        <v>23.815142242287859</v>
      </c>
      <c r="M6977" s="58" t="s">
        <v>22</v>
      </c>
      <c r="N6977" s="7">
        <v>9.5</v>
      </c>
      <c r="O6977" s="7" t="s">
        <v>178</v>
      </c>
      <c r="P6977" s="7" t="s">
        <v>178</v>
      </c>
    </row>
    <row r="6978" spans="1:16" x14ac:dyDescent="0.25">
      <c r="A6978" t="s">
        <v>181</v>
      </c>
      <c r="B6978" t="s">
        <v>236</v>
      </c>
      <c r="C6978" s="7" t="s">
        <v>177</v>
      </c>
      <c r="D6978" t="s">
        <v>117</v>
      </c>
      <c r="F6978" s="35">
        <v>2</v>
      </c>
      <c r="G6978" s="35">
        <v>-15.232259822385604</v>
      </c>
      <c r="H6978" s="35">
        <v>8.504673674947961</v>
      </c>
      <c r="I6978" s="35">
        <v>5.2382990123289606</v>
      </c>
      <c r="J6978" s="35">
        <v>-3.7538964273419653E-3</v>
      </c>
      <c r="K6978" s="35">
        <v>12.703884750667374</v>
      </c>
      <c r="L6978" s="35">
        <v>3.2336948923919406</v>
      </c>
      <c r="M6978" s="58" t="s">
        <v>22</v>
      </c>
      <c r="N6978" s="7">
        <v>9.5</v>
      </c>
      <c r="O6978" s="7" t="s">
        <v>178</v>
      </c>
      <c r="P6978" s="7" t="s">
        <v>178</v>
      </c>
    </row>
    <row r="6979" spans="1:16" x14ac:dyDescent="0.25">
      <c r="A6979" t="s">
        <v>181</v>
      </c>
      <c r="B6979" t="s">
        <v>236</v>
      </c>
      <c r="C6979" s="7" t="s">
        <v>177</v>
      </c>
      <c r="D6979" t="s">
        <v>117</v>
      </c>
      <c r="F6979" s="35">
        <v>2</v>
      </c>
      <c r="G6979" s="35">
        <v>-13.811357667192999</v>
      </c>
      <c r="H6979" s="35">
        <v>7.0100534724020935</v>
      </c>
      <c r="I6979" s="35">
        <v>5.238287786684813</v>
      </c>
      <c r="J6979" s="35">
        <v>-3.7656025811784784E-3</v>
      </c>
      <c r="K6979" s="35">
        <v>12.703872264103328</v>
      </c>
      <c r="L6979" s="35">
        <v>3.2336948923919415</v>
      </c>
      <c r="M6979" s="58" t="s">
        <v>22</v>
      </c>
      <c r="N6979" s="7">
        <v>9.5</v>
      </c>
      <c r="O6979" s="7" t="s">
        <v>178</v>
      </c>
      <c r="P6979" s="7" t="s">
        <v>178</v>
      </c>
    </row>
    <row r="6980" spans="1:16" x14ac:dyDescent="0.25">
      <c r="A6980" t="s">
        <v>181</v>
      </c>
      <c r="B6980" t="s">
        <v>236</v>
      </c>
      <c r="C6980" s="7" t="s">
        <v>177</v>
      </c>
      <c r="D6980" t="s">
        <v>117</v>
      </c>
      <c r="F6980" s="35">
        <v>4.5</v>
      </c>
      <c r="G6980" s="35">
        <v>-12.445570167193001</v>
      </c>
      <c r="H6980" s="35">
        <v>2.5449284724020931</v>
      </c>
      <c r="I6980" s="35">
        <v>4.2932877866848127</v>
      </c>
      <c r="J6980" s="35">
        <v>-3.7656025811784784E-3</v>
      </c>
      <c r="K6980" s="35">
        <v>0.78940279739129482</v>
      </c>
      <c r="L6980" s="35">
        <v>-8.7100325386132891</v>
      </c>
      <c r="M6980" s="58" t="s">
        <v>24</v>
      </c>
      <c r="N6980" s="7">
        <v>9.5</v>
      </c>
      <c r="O6980" s="7" t="s">
        <v>178</v>
      </c>
      <c r="P6980" s="7" t="s">
        <v>178</v>
      </c>
    </row>
    <row r="6981" spans="1:16" x14ac:dyDescent="0.25">
      <c r="A6981" t="s">
        <v>181</v>
      </c>
      <c r="B6981" t="s">
        <v>236</v>
      </c>
      <c r="C6981" s="7" t="s">
        <v>177</v>
      </c>
      <c r="D6981" t="s">
        <v>117</v>
      </c>
      <c r="F6981" s="35">
        <v>4.5</v>
      </c>
      <c r="G6981" s="35">
        <v>-11.659423912501746</v>
      </c>
      <c r="H6981" s="35">
        <v>2.5446275353352652</v>
      </c>
      <c r="I6981" s="35">
        <v>4.303194208517775</v>
      </c>
      <c r="J6981" s="35">
        <v>6.7198278576153956E-3</v>
      </c>
      <c r="K6981" s="35">
        <v>0.78945109147875359</v>
      </c>
      <c r="L6981" s="35">
        <v>-9.6927881067717827</v>
      </c>
      <c r="M6981" s="58" t="s">
        <v>24</v>
      </c>
      <c r="N6981" s="7">
        <v>9.5</v>
      </c>
      <c r="O6981" s="7" t="s">
        <v>178</v>
      </c>
      <c r="P6981" s="7" t="s">
        <v>178</v>
      </c>
    </row>
    <row r="6982" spans="1:16" x14ac:dyDescent="0.25">
      <c r="A6982" t="s">
        <v>181</v>
      </c>
      <c r="B6982" t="s">
        <v>236</v>
      </c>
      <c r="C6982" s="7" t="s">
        <v>177</v>
      </c>
      <c r="D6982" t="s">
        <v>117</v>
      </c>
      <c r="F6982" s="35">
        <v>4.6226557908820691</v>
      </c>
      <c r="G6982" s="35">
        <v>-11.592415214106008</v>
      </c>
      <c r="H6982" s="35">
        <v>2.3255581600303459</v>
      </c>
      <c r="I6982" s="35">
        <v>4.2568303195643526</v>
      </c>
      <c r="J6982" s="35">
        <v>6.7198278576153956E-3</v>
      </c>
      <c r="K6982" s="35">
        <v>0.26448280224784176</v>
      </c>
      <c r="L6982" s="35">
        <v>-9.9914663458755886</v>
      </c>
      <c r="M6982" s="58" t="s">
        <v>24</v>
      </c>
      <c r="N6982" s="7">
        <v>9.5</v>
      </c>
      <c r="O6982" s="7" t="s">
        <v>178</v>
      </c>
      <c r="P6982" s="7" t="s">
        <v>178</v>
      </c>
    </row>
    <row r="6983" spans="1:16" x14ac:dyDescent="0.25">
      <c r="A6983" t="s">
        <v>181</v>
      </c>
      <c r="B6983" t="s">
        <v>236</v>
      </c>
      <c r="C6983" s="7" t="s">
        <v>177</v>
      </c>
      <c r="D6983" t="s">
        <v>117</v>
      </c>
      <c r="F6983" s="35">
        <v>9.2453115817641383</v>
      </c>
      <c r="G6983" s="35">
        <v>-9.0669890157102699</v>
      </c>
      <c r="H6983" s="35">
        <v>-5.9307362152745737</v>
      </c>
      <c r="I6983" s="35">
        <v>2.5094664306109311</v>
      </c>
      <c r="J6983" s="35">
        <v>6.7198278576153956E-3</v>
      </c>
      <c r="K6983" s="35">
        <v>-15.374647625264306</v>
      </c>
      <c r="L6983" s="35">
        <v>-1.6587177387577454</v>
      </c>
      <c r="M6983" s="58" t="s">
        <v>23</v>
      </c>
      <c r="N6983" s="7">
        <v>9.5</v>
      </c>
      <c r="O6983" s="7" t="s">
        <v>178</v>
      </c>
      <c r="P6983" s="7" t="s">
        <v>178</v>
      </c>
    </row>
    <row r="6984" spans="1:16" x14ac:dyDescent="0.25">
      <c r="A6984" t="s">
        <v>181</v>
      </c>
      <c r="B6984" t="s">
        <v>236</v>
      </c>
      <c r="C6984" s="7" t="s">
        <v>177</v>
      </c>
      <c r="D6984" t="s">
        <v>118</v>
      </c>
      <c r="F6984" s="35">
        <v>0</v>
      </c>
      <c r="G6984" s="35">
        <v>9.1501474669897895</v>
      </c>
      <c r="H6984" s="35">
        <v>24.372213400286586</v>
      </c>
      <c r="I6984" s="35">
        <v>-10.098079906942663</v>
      </c>
      <c r="J6984" s="35">
        <v>2.1494018805454859E-2</v>
      </c>
      <c r="K6984" s="35">
        <v>-24.898283590718503</v>
      </c>
      <c r="L6984" s="35">
        <v>46.841813805266632</v>
      </c>
      <c r="M6984" s="58" t="s">
        <v>22</v>
      </c>
      <c r="N6984" s="7">
        <v>9.5</v>
      </c>
      <c r="O6984" s="7" t="s">
        <v>178</v>
      </c>
      <c r="P6984" s="7" t="s">
        <v>178</v>
      </c>
    </row>
    <row r="6985" spans="1:16" x14ac:dyDescent="0.25">
      <c r="A6985" t="s">
        <v>181</v>
      </c>
      <c r="B6985" t="s">
        <v>236</v>
      </c>
      <c r="C6985" s="7" t="s">
        <v>177</v>
      </c>
      <c r="D6985" t="s">
        <v>118</v>
      </c>
      <c r="F6985" s="35">
        <v>2</v>
      </c>
      <c r="G6985" s="35">
        <v>10.242777466989786</v>
      </c>
      <c r="H6985" s="35">
        <v>16.037313400286582</v>
      </c>
      <c r="I6985" s="35">
        <v>-7.3764799069426621</v>
      </c>
      <c r="J6985" s="35">
        <v>2.1494018805454859E-2</v>
      </c>
      <c r="K6985" s="35">
        <v>-7.4237237768331772</v>
      </c>
      <c r="L6985" s="35">
        <v>6.4322870046934693</v>
      </c>
      <c r="M6985" s="58" t="s">
        <v>22</v>
      </c>
      <c r="N6985" s="7">
        <v>9.5</v>
      </c>
      <c r="O6985" s="7" t="s">
        <v>178</v>
      </c>
      <c r="P6985" s="7" t="s">
        <v>178</v>
      </c>
    </row>
    <row r="6986" spans="1:16" x14ac:dyDescent="0.25">
      <c r="A6986" t="s">
        <v>181</v>
      </c>
      <c r="B6986" t="s">
        <v>236</v>
      </c>
      <c r="C6986" s="7" t="s">
        <v>177</v>
      </c>
      <c r="D6986" t="s">
        <v>118</v>
      </c>
      <c r="F6986" s="35">
        <v>2</v>
      </c>
      <c r="G6986" s="35">
        <v>9.953173023582357</v>
      </c>
      <c r="H6986" s="35">
        <v>16.367237311790156</v>
      </c>
      <c r="I6986" s="35">
        <v>-7.376477231976307</v>
      </c>
      <c r="J6986" s="35">
        <v>2.1471824666840049E-2</v>
      </c>
      <c r="K6986" s="35">
        <v>-7.4237474505810681</v>
      </c>
      <c r="L6986" s="35">
        <v>6.4322870046934906</v>
      </c>
      <c r="M6986" s="58" t="s">
        <v>22</v>
      </c>
      <c r="N6986" s="7">
        <v>9.5</v>
      </c>
      <c r="O6986" s="7" t="s">
        <v>178</v>
      </c>
      <c r="P6986" s="7" t="s">
        <v>178</v>
      </c>
    </row>
    <row r="6987" spans="1:16" x14ac:dyDescent="0.25">
      <c r="A6987" t="s">
        <v>181</v>
      </c>
      <c r="B6987" t="s">
        <v>236</v>
      </c>
      <c r="C6987" s="7" t="s">
        <v>177</v>
      </c>
      <c r="D6987" t="s">
        <v>118</v>
      </c>
      <c r="F6987" s="35">
        <v>4.5</v>
      </c>
      <c r="G6987" s="35">
        <v>11.318960523582357</v>
      </c>
      <c r="H6987" s="35">
        <v>5.9486123117901526</v>
      </c>
      <c r="I6987" s="35">
        <v>-3.9744772319763064</v>
      </c>
      <c r="J6987" s="35">
        <v>2.1471824666840049E-2</v>
      </c>
      <c r="K6987" s="35">
        <v>6.7649456293596977</v>
      </c>
      <c r="L6987" s="35">
        <v>-21.46252502478189</v>
      </c>
      <c r="M6987" s="58" t="s">
        <v>24</v>
      </c>
      <c r="N6987" s="7">
        <v>9.5</v>
      </c>
      <c r="O6987" s="7" t="s">
        <v>178</v>
      </c>
      <c r="P6987" s="7" t="s">
        <v>178</v>
      </c>
    </row>
    <row r="6988" spans="1:16" x14ac:dyDescent="0.25">
      <c r="A6988" t="s">
        <v>181</v>
      </c>
      <c r="B6988" t="s">
        <v>236</v>
      </c>
      <c r="C6988" s="7" t="s">
        <v>177</v>
      </c>
      <c r="D6988" t="s">
        <v>118</v>
      </c>
      <c r="F6988" s="35">
        <v>4.5</v>
      </c>
      <c r="G6988" s="35">
        <v>12.105091978308128</v>
      </c>
      <c r="H6988" s="35">
        <v>5.9479997690696234</v>
      </c>
      <c r="I6988" s="35">
        <v>-4.0012058997496398</v>
      </c>
      <c r="J6988" s="35">
        <v>-1.3107925006309317E-2</v>
      </c>
      <c r="K6988" s="35">
        <v>6.7649185372864977</v>
      </c>
      <c r="L6988" s="35">
        <v>-22.445302687155671</v>
      </c>
      <c r="M6988" s="58" t="s">
        <v>24</v>
      </c>
      <c r="N6988" s="7">
        <v>9.5</v>
      </c>
      <c r="O6988" s="7" t="s">
        <v>178</v>
      </c>
      <c r="P6988" s="7" t="s">
        <v>178</v>
      </c>
    </row>
    <row r="6989" spans="1:16" x14ac:dyDescent="0.25">
      <c r="A6989" t="s">
        <v>181</v>
      </c>
      <c r="B6989" t="s">
        <v>236</v>
      </c>
      <c r="C6989" s="7" t="s">
        <v>177</v>
      </c>
      <c r="D6989" t="s">
        <v>118</v>
      </c>
      <c r="F6989" s="35">
        <v>4.6226557908820691</v>
      </c>
      <c r="G6989" s="35">
        <v>12.172100676703865</v>
      </c>
      <c r="H6989" s="35">
        <v>5.4368378933581445</v>
      </c>
      <c r="I6989" s="35">
        <v>-3.8342958995173206</v>
      </c>
      <c r="J6989" s="35">
        <v>-1.3107925006309317E-2</v>
      </c>
      <c r="K6989" s="35">
        <v>7.2454533723599805</v>
      </c>
      <c r="L6989" s="35">
        <v>-23.143510820930192</v>
      </c>
      <c r="M6989" s="58" t="s">
        <v>24</v>
      </c>
      <c r="N6989" s="7">
        <v>9.5</v>
      </c>
      <c r="O6989" s="7" t="s">
        <v>178</v>
      </c>
      <c r="P6989" s="7" t="s">
        <v>178</v>
      </c>
    </row>
    <row r="6990" spans="1:16" x14ac:dyDescent="0.25">
      <c r="A6990" t="s">
        <v>181</v>
      </c>
      <c r="B6990" t="s">
        <v>236</v>
      </c>
      <c r="C6990" s="7" t="s">
        <v>177</v>
      </c>
      <c r="D6990" t="s">
        <v>118</v>
      </c>
      <c r="F6990" s="35">
        <v>9.2453115817641383</v>
      </c>
      <c r="G6990" s="35">
        <v>14.697526875099603</v>
      </c>
      <c r="H6990" s="35">
        <v>-13.827848982353336</v>
      </c>
      <c r="I6990" s="35">
        <v>2.4562141007149987</v>
      </c>
      <c r="J6990" s="35">
        <v>-1.3107925006309317E-2</v>
      </c>
      <c r="K6990" s="35">
        <v>10.430652276131347</v>
      </c>
      <c r="L6990" s="35">
        <v>-3.7491328199805576</v>
      </c>
      <c r="M6990" s="58" t="s">
        <v>23</v>
      </c>
      <c r="N6990" s="7">
        <v>9.5</v>
      </c>
      <c r="O6990" s="7" t="s">
        <v>178</v>
      </c>
      <c r="P6990" s="7" t="s">
        <v>178</v>
      </c>
    </row>
    <row r="6991" spans="1:16" x14ac:dyDescent="0.25">
      <c r="A6991" t="s">
        <v>181</v>
      </c>
      <c r="B6991" t="s">
        <v>236</v>
      </c>
      <c r="C6991" s="7" t="s">
        <v>177</v>
      </c>
      <c r="D6991" t="s">
        <v>119</v>
      </c>
      <c r="F6991" s="35">
        <v>0</v>
      </c>
      <c r="G6991" s="35">
        <v>-24.395025468519517</v>
      </c>
      <c r="H6991" s="35">
        <v>18.860333738472868</v>
      </c>
      <c r="I6991" s="35">
        <v>-14.243348164760521</v>
      </c>
      <c r="J6991" s="35">
        <v>1.1780813002980605E-2</v>
      </c>
      <c r="K6991" s="35">
        <v>-34.341755787564686</v>
      </c>
      <c r="L6991" s="35">
        <v>36.230066340660819</v>
      </c>
      <c r="M6991" s="58" t="s">
        <v>22</v>
      </c>
      <c r="N6991" s="7">
        <v>9.5</v>
      </c>
      <c r="O6991" s="7" t="s">
        <v>178</v>
      </c>
      <c r="P6991" s="7" t="s">
        <v>178</v>
      </c>
    </row>
    <row r="6992" spans="1:16" x14ac:dyDescent="0.25">
      <c r="A6992" t="s">
        <v>181</v>
      </c>
      <c r="B6992" t="s">
        <v>236</v>
      </c>
      <c r="C6992" s="7" t="s">
        <v>177</v>
      </c>
      <c r="D6992" t="s">
        <v>119</v>
      </c>
      <c r="F6992" s="35">
        <v>2</v>
      </c>
      <c r="G6992" s="35">
        <v>-23.302395468519521</v>
      </c>
      <c r="H6992" s="35">
        <v>12.906833738472868</v>
      </c>
      <c r="I6992" s="35">
        <v>-9.4049481647605209</v>
      </c>
      <c r="J6992" s="35">
        <v>1.1780813002980605E-2</v>
      </c>
      <c r="K6992" s="35">
        <v>-10.693459458043645</v>
      </c>
      <c r="L6992" s="35">
        <v>4.4628988637150826</v>
      </c>
      <c r="M6992" s="58" t="s">
        <v>22</v>
      </c>
      <c r="N6992" s="7">
        <v>9.5</v>
      </c>
      <c r="O6992" s="7" t="s">
        <v>178</v>
      </c>
      <c r="P6992" s="7" t="s">
        <v>178</v>
      </c>
    </row>
    <row r="6993" spans="1:16" x14ac:dyDescent="0.25">
      <c r="A6993" t="s">
        <v>181</v>
      </c>
      <c r="B6993" t="s">
        <v>236</v>
      </c>
      <c r="C6993" s="7" t="s">
        <v>177</v>
      </c>
      <c r="D6993" t="s">
        <v>119</v>
      </c>
      <c r="F6993" s="35">
        <v>2</v>
      </c>
      <c r="G6993" s="35">
        <v>-22.094278653320931</v>
      </c>
      <c r="H6993" s="35">
        <v>11.639186375167329</v>
      </c>
      <c r="I6993" s="35">
        <v>-9.4049453339464666</v>
      </c>
      <c r="J6993" s="35">
        <v>1.1814102389602116E-2</v>
      </c>
      <c r="K6993" s="35">
        <v>-10.693423949364659</v>
      </c>
      <c r="L6993" s="35">
        <v>4.4628988637150897</v>
      </c>
      <c r="M6993" s="58" t="s">
        <v>22</v>
      </c>
      <c r="N6993" s="7">
        <v>9.5</v>
      </c>
      <c r="O6993" s="7" t="s">
        <v>178</v>
      </c>
      <c r="P6993" s="7" t="s">
        <v>178</v>
      </c>
    </row>
    <row r="6994" spans="1:16" x14ac:dyDescent="0.25">
      <c r="A6994" t="s">
        <v>181</v>
      </c>
      <c r="B6994" t="s">
        <v>236</v>
      </c>
      <c r="C6994" s="7" t="s">
        <v>177</v>
      </c>
      <c r="D6994" t="s">
        <v>119</v>
      </c>
      <c r="F6994" s="35">
        <v>4.5</v>
      </c>
      <c r="G6994" s="35">
        <v>-20.728491153320935</v>
      </c>
      <c r="H6994" s="35">
        <v>4.1973113751673283</v>
      </c>
      <c r="I6994" s="35">
        <v>-3.356945333946467</v>
      </c>
      <c r="J6994" s="35">
        <v>1.1814102389602116E-2</v>
      </c>
      <c r="K6994" s="35">
        <v>5.2589393855015079</v>
      </c>
      <c r="L6994" s="35">
        <v>-15.332723324203231</v>
      </c>
      <c r="M6994" s="58" t="s">
        <v>24</v>
      </c>
      <c r="N6994" s="7">
        <v>9.5</v>
      </c>
      <c r="O6994" s="7" t="s">
        <v>178</v>
      </c>
      <c r="P6994" s="7" t="s">
        <v>178</v>
      </c>
    </row>
    <row r="6995" spans="1:16" x14ac:dyDescent="0.25">
      <c r="A6995" t="s">
        <v>181</v>
      </c>
      <c r="B6995" t="s">
        <v>236</v>
      </c>
      <c r="C6995" s="7" t="s">
        <v>177</v>
      </c>
      <c r="D6995" t="s">
        <v>119</v>
      </c>
      <c r="F6995" s="35">
        <v>4.5</v>
      </c>
      <c r="G6995" s="35">
        <v>-19.942364499108109</v>
      </c>
      <c r="H6995" s="35">
        <v>4.1970972396636981</v>
      </c>
      <c r="I6995" s="35">
        <v>-3.3718457887681366</v>
      </c>
      <c r="J6995" s="35">
        <v>-6.8854775904923391E-3</v>
      </c>
      <c r="K6995" s="35">
        <v>5.2588964986521294</v>
      </c>
      <c r="L6995" s="35">
        <v>-16.315444568795073</v>
      </c>
      <c r="M6995" s="58" t="s">
        <v>24</v>
      </c>
      <c r="N6995" s="7">
        <v>9.5</v>
      </c>
      <c r="O6995" s="7" t="s">
        <v>178</v>
      </c>
      <c r="P6995" s="7" t="s">
        <v>178</v>
      </c>
    </row>
    <row r="6996" spans="1:16" x14ac:dyDescent="0.25">
      <c r="A6996" t="s">
        <v>181</v>
      </c>
      <c r="B6996" t="s">
        <v>236</v>
      </c>
      <c r="C6996" s="7" t="s">
        <v>177</v>
      </c>
      <c r="D6996" t="s">
        <v>119</v>
      </c>
      <c r="F6996" s="35">
        <v>4.6226557908820691</v>
      </c>
      <c r="G6996" s="35">
        <v>-19.87535580071237</v>
      </c>
      <c r="H6996" s="35">
        <v>3.8319816141554988</v>
      </c>
      <c r="I6996" s="35">
        <v>-3.0751168994662352</v>
      </c>
      <c r="J6996" s="35">
        <v>-6.8854775904923391E-3</v>
      </c>
      <c r="K6996" s="35">
        <v>5.6542751523084158</v>
      </c>
      <c r="L6996" s="35">
        <v>-16.807851077229916</v>
      </c>
      <c r="M6996" s="58" t="s">
        <v>24</v>
      </c>
      <c r="N6996" s="7">
        <v>9.5</v>
      </c>
      <c r="O6996" s="7" t="s">
        <v>178</v>
      </c>
      <c r="P6996" s="7" t="s">
        <v>178</v>
      </c>
    </row>
    <row r="6997" spans="1:16" x14ac:dyDescent="0.25">
      <c r="A6997" t="s">
        <v>181</v>
      </c>
      <c r="B6997" t="s">
        <v>236</v>
      </c>
      <c r="C6997" s="7" t="s">
        <v>177</v>
      </c>
      <c r="D6997" t="s">
        <v>119</v>
      </c>
      <c r="F6997" s="35">
        <v>9.2453115817641383</v>
      </c>
      <c r="G6997" s="35">
        <v>-17.349929602316635</v>
      </c>
      <c r="H6997" s="35">
        <v>-9.9285090113527019</v>
      </c>
      <c r="I6997" s="35">
        <v>8.1080119898356671</v>
      </c>
      <c r="J6997" s="35">
        <v>-6.8854775904923391E-3</v>
      </c>
      <c r="K6997" s="35">
        <v>-5.9783956648906731</v>
      </c>
      <c r="L6997" s="35">
        <v>-2.7167772387675027</v>
      </c>
      <c r="M6997" s="58" t="s">
        <v>23</v>
      </c>
      <c r="N6997" s="7">
        <v>9.5</v>
      </c>
      <c r="O6997" s="7" t="s">
        <v>178</v>
      </c>
      <c r="P6997" s="7" t="s">
        <v>178</v>
      </c>
    </row>
    <row r="6998" spans="1:16" x14ac:dyDescent="0.25">
      <c r="A6998" t="s">
        <v>181</v>
      </c>
      <c r="B6998" t="s">
        <v>236</v>
      </c>
      <c r="C6998" s="7" t="s">
        <v>177</v>
      </c>
      <c r="D6998" t="s">
        <v>120</v>
      </c>
      <c r="F6998" s="35">
        <v>0</v>
      </c>
      <c r="G6998" s="35">
        <v>-6.5800741301659862</v>
      </c>
      <c r="H6998" s="35">
        <v>17.067670445200896</v>
      </c>
      <c r="I6998" s="35">
        <v>10.032730473719637</v>
      </c>
      <c r="J6998" s="35">
        <v>-8.7090947613338889E-3</v>
      </c>
      <c r="K6998" s="35">
        <v>16.092777414945754</v>
      </c>
      <c r="L6998" s="35">
        <v>34.711222696443052</v>
      </c>
      <c r="M6998" s="58" t="s">
        <v>22</v>
      </c>
      <c r="N6998" s="7">
        <v>9.5</v>
      </c>
      <c r="O6998" s="7" t="s">
        <v>178</v>
      </c>
      <c r="P6998" s="7" t="s">
        <v>178</v>
      </c>
    </row>
    <row r="6999" spans="1:16" x14ac:dyDescent="0.25">
      <c r="A6999" t="s">
        <v>181</v>
      </c>
      <c r="B6999" t="s">
        <v>236</v>
      </c>
      <c r="C6999" s="7" t="s">
        <v>177</v>
      </c>
      <c r="D6999" t="s">
        <v>120</v>
      </c>
      <c r="F6999" s="35">
        <v>2</v>
      </c>
      <c r="G6999" s="35">
        <v>-5.4874441301659855</v>
      </c>
      <c r="H6999" s="35">
        <v>13.665670445200893</v>
      </c>
      <c r="I6999" s="35">
        <v>5.8327304737196366</v>
      </c>
      <c r="J6999" s="35">
        <v>-8.7090947613338889E-3</v>
      </c>
      <c r="K6999" s="35">
        <v>0.22731646750648243</v>
      </c>
      <c r="L6999" s="35">
        <v>3.9778818060412617</v>
      </c>
      <c r="M6999" s="58" t="s">
        <v>22</v>
      </c>
      <c r="N6999" s="7">
        <v>9.5</v>
      </c>
      <c r="O6999" s="7" t="s">
        <v>178</v>
      </c>
      <c r="P6999" s="7" t="s">
        <v>178</v>
      </c>
    </row>
    <row r="7000" spans="1:16" x14ac:dyDescent="0.25">
      <c r="A7000" t="s">
        <v>181</v>
      </c>
      <c r="B7000" t="s">
        <v>236</v>
      </c>
      <c r="C7000" s="7" t="s">
        <v>177</v>
      </c>
      <c r="D7000" t="s">
        <v>120</v>
      </c>
      <c r="F7000" s="35">
        <v>2</v>
      </c>
      <c r="G7000" s="35">
        <v>0.97803675848696714</v>
      </c>
      <c r="H7000" s="35">
        <v>6.7901595796916627</v>
      </c>
      <c r="I7000" s="35">
        <v>5.8327321886614589</v>
      </c>
      <c r="J7000" s="35">
        <v>-8.7030086135454713E-3</v>
      </c>
      <c r="K7000" s="35">
        <v>0.22732295939746866</v>
      </c>
      <c r="L7000" s="35">
        <v>3.9778818060412484</v>
      </c>
      <c r="M7000" s="58" t="s">
        <v>22</v>
      </c>
      <c r="N7000" s="7">
        <v>9.5</v>
      </c>
      <c r="O7000" s="7" t="s">
        <v>178</v>
      </c>
      <c r="P7000" s="7" t="s">
        <v>178</v>
      </c>
    </row>
    <row r="7001" spans="1:16" x14ac:dyDescent="0.25">
      <c r="A7001" t="s">
        <v>181</v>
      </c>
      <c r="B7001" t="s">
        <v>236</v>
      </c>
      <c r="C7001" s="7" t="s">
        <v>177</v>
      </c>
      <c r="D7001" t="s">
        <v>120</v>
      </c>
      <c r="F7001" s="35">
        <v>4.5</v>
      </c>
      <c r="G7001" s="35">
        <v>2.3438242584869671</v>
      </c>
      <c r="H7001" s="35">
        <v>2.5376595796916623</v>
      </c>
      <c r="I7001" s="35">
        <v>0.58273218866145859</v>
      </c>
      <c r="J7001" s="35">
        <v>-8.7030086135454713E-3</v>
      </c>
      <c r="K7001" s="35">
        <v>-7.7920075122561787</v>
      </c>
      <c r="L7001" s="35">
        <v>-7.6818921431879073</v>
      </c>
      <c r="M7001" s="58" t="s">
        <v>24</v>
      </c>
      <c r="N7001" s="7">
        <v>9.5</v>
      </c>
      <c r="O7001" s="7" t="s">
        <v>178</v>
      </c>
      <c r="P7001" s="7" t="s">
        <v>178</v>
      </c>
    </row>
    <row r="7002" spans="1:16" x14ac:dyDescent="0.25">
      <c r="A7002" t="s">
        <v>181</v>
      </c>
      <c r="B7002" t="s">
        <v>236</v>
      </c>
      <c r="C7002" s="7" t="s">
        <v>177</v>
      </c>
      <c r="D7002" t="s">
        <v>120</v>
      </c>
      <c r="F7002" s="35">
        <v>4.5</v>
      </c>
      <c r="G7002" s="35">
        <v>3.1299607786900916</v>
      </c>
      <c r="H7002" s="35">
        <v>2.5375427477829837</v>
      </c>
      <c r="I7002" s="35">
        <v>0.59962767271889483</v>
      </c>
      <c r="J7002" s="35">
        <v>1.095583144540249E-2</v>
      </c>
      <c r="K7002" s="35">
        <v>-7.7920046508003864</v>
      </c>
      <c r="L7002" s="35">
        <v>-8.6646299140218783</v>
      </c>
      <c r="M7002" s="58" t="s">
        <v>24</v>
      </c>
      <c r="N7002" s="7">
        <v>9.5</v>
      </c>
      <c r="O7002" s="7" t="s">
        <v>178</v>
      </c>
      <c r="P7002" s="7" t="s">
        <v>178</v>
      </c>
    </row>
    <row r="7003" spans="1:16" x14ac:dyDescent="0.25">
      <c r="A7003" t="s">
        <v>181</v>
      </c>
      <c r="B7003" t="s">
        <v>236</v>
      </c>
      <c r="C7003" s="7" t="s">
        <v>177</v>
      </c>
      <c r="D7003" t="s">
        <v>120</v>
      </c>
      <c r="F7003" s="35">
        <v>4.6226557908820691</v>
      </c>
      <c r="G7003" s="35">
        <v>3.1969694770858306</v>
      </c>
      <c r="H7003" s="35">
        <v>2.3289052474925844</v>
      </c>
      <c r="I7003" s="35">
        <v>0.34205051186654967</v>
      </c>
      <c r="J7003" s="35">
        <v>1.095583144540249E-2</v>
      </c>
      <c r="K7003" s="35">
        <v>-7.8497557920437453</v>
      </c>
      <c r="L7003" s="35">
        <v>-8.9630789278453697</v>
      </c>
      <c r="M7003" s="58" t="s">
        <v>24</v>
      </c>
      <c r="N7003" s="7">
        <v>9.5</v>
      </c>
      <c r="O7003" s="7" t="s">
        <v>178</v>
      </c>
      <c r="P7003" s="7" t="s">
        <v>178</v>
      </c>
    </row>
    <row r="7004" spans="1:16" x14ac:dyDescent="0.25">
      <c r="A7004" t="s">
        <v>181</v>
      </c>
      <c r="B7004" t="s">
        <v>236</v>
      </c>
      <c r="C7004" s="7" t="s">
        <v>177</v>
      </c>
      <c r="D7004" t="s">
        <v>120</v>
      </c>
      <c r="F7004" s="35">
        <v>9.2453115817641383</v>
      </c>
      <c r="G7004" s="35">
        <v>5.7223956754815672</v>
      </c>
      <c r="H7004" s="35">
        <v>-5.5342322527978158</v>
      </c>
      <c r="I7004" s="35">
        <v>-9.3655266489857958</v>
      </c>
      <c r="J7004" s="35">
        <v>1.095583144540249E-2</v>
      </c>
      <c r="K7004" s="35">
        <v>13.006456317526471</v>
      </c>
      <c r="L7004" s="35">
        <v>-1.5545172064729171</v>
      </c>
      <c r="M7004" s="58" t="s">
        <v>23</v>
      </c>
      <c r="N7004" s="7">
        <v>9.5</v>
      </c>
      <c r="O7004" s="7" t="s">
        <v>178</v>
      </c>
      <c r="P7004" s="7" t="s">
        <v>178</v>
      </c>
    </row>
    <row r="7005" spans="1:16" x14ac:dyDescent="0.25">
      <c r="A7005" t="s">
        <v>181</v>
      </c>
      <c r="B7005" t="s">
        <v>236</v>
      </c>
      <c r="C7005" s="7" t="s">
        <v>177</v>
      </c>
      <c r="D7005" t="s">
        <v>121</v>
      </c>
      <c r="F7005" s="35">
        <v>0</v>
      </c>
      <c r="G7005" s="35">
        <v>-16.653322229532943</v>
      </c>
      <c r="H7005" s="35">
        <v>9.6095811665679225</v>
      </c>
      <c r="I7005" s="35">
        <v>4.936077833548711</v>
      </c>
      <c r="J7005" s="35">
        <v>-6.9680589002795784E-3</v>
      </c>
      <c r="K7005" s="35">
        <v>8.7667266663975507</v>
      </c>
      <c r="L7005" s="35">
        <v>20.515075539786775</v>
      </c>
      <c r="M7005" s="58" t="s">
        <v>22</v>
      </c>
      <c r="N7005" s="7">
        <v>9.5</v>
      </c>
      <c r="O7005" s="7" t="s">
        <v>178</v>
      </c>
      <c r="P7005" s="7" t="s">
        <v>178</v>
      </c>
    </row>
    <row r="7006" spans="1:16" x14ac:dyDescent="0.25">
      <c r="A7006" t="s">
        <v>181</v>
      </c>
      <c r="B7006" t="s">
        <v>236</v>
      </c>
      <c r="C7006" s="7" t="s">
        <v>177</v>
      </c>
      <c r="D7006" t="s">
        <v>121</v>
      </c>
      <c r="F7006" s="35">
        <v>2</v>
      </c>
      <c r="G7006" s="35">
        <v>-15.560692229532943</v>
      </c>
      <c r="H7006" s="35">
        <v>8.8535811665679223</v>
      </c>
      <c r="I7006" s="35">
        <v>3.0880778335487107</v>
      </c>
      <c r="J7006" s="35">
        <v>-6.9680589002795784E-3</v>
      </c>
      <c r="K7006" s="35">
        <v>0.74257099930012826</v>
      </c>
      <c r="L7006" s="35">
        <v>2.0519132066509291</v>
      </c>
      <c r="M7006" s="58" t="s">
        <v>22</v>
      </c>
      <c r="N7006" s="7">
        <v>9.5</v>
      </c>
      <c r="O7006" s="7" t="s">
        <v>178</v>
      </c>
      <c r="P7006" s="7" t="s">
        <v>178</v>
      </c>
    </row>
    <row r="7007" spans="1:16" x14ac:dyDescent="0.25">
      <c r="A7007" t="s">
        <v>181</v>
      </c>
      <c r="B7007" t="s">
        <v>236</v>
      </c>
      <c r="C7007" s="7" t="s">
        <v>177</v>
      </c>
      <c r="D7007" t="s">
        <v>121</v>
      </c>
      <c r="F7007" s="35">
        <v>2</v>
      </c>
      <c r="G7007" s="35">
        <v>-8.7145245676109866</v>
      </c>
      <c r="H7007" s="35">
        <v>1.5720031938202861</v>
      </c>
      <c r="I7007" s="35">
        <v>3.0880783118194781</v>
      </c>
      <c r="J7007" s="35">
        <v>-6.9564344462662237E-3</v>
      </c>
      <c r="K7007" s="35">
        <v>0.74258339871774537</v>
      </c>
      <c r="L7007" s="35">
        <v>2.0519132066509309</v>
      </c>
      <c r="M7007" s="58" t="s">
        <v>22</v>
      </c>
      <c r="N7007" s="7">
        <v>9.5</v>
      </c>
      <c r="O7007" s="7" t="s">
        <v>178</v>
      </c>
      <c r="P7007" s="7" t="s">
        <v>178</v>
      </c>
    </row>
    <row r="7008" spans="1:16" x14ac:dyDescent="0.25">
      <c r="A7008" t="s">
        <v>181</v>
      </c>
      <c r="B7008" t="s">
        <v>236</v>
      </c>
      <c r="C7008" s="7" t="s">
        <v>177</v>
      </c>
      <c r="D7008" t="s">
        <v>121</v>
      </c>
      <c r="F7008" s="35">
        <v>4.5</v>
      </c>
      <c r="G7008" s="35">
        <v>-7.348737067610986</v>
      </c>
      <c r="H7008" s="35">
        <v>0.62700319382028613</v>
      </c>
      <c r="I7008" s="35">
        <v>0.77807831181947751</v>
      </c>
      <c r="J7008" s="35">
        <v>-6.9564344462662237E-3</v>
      </c>
      <c r="K7008" s="35">
        <v>-4.0901123808309494</v>
      </c>
      <c r="L7008" s="35">
        <v>-0.69684477789978383</v>
      </c>
      <c r="M7008" s="58" t="s">
        <v>24</v>
      </c>
      <c r="N7008" s="7">
        <v>9.5</v>
      </c>
      <c r="O7008" s="7" t="s">
        <v>178</v>
      </c>
      <c r="P7008" s="7" t="s">
        <v>178</v>
      </c>
    </row>
    <row r="7009" spans="1:16" x14ac:dyDescent="0.25">
      <c r="A7009" t="s">
        <v>181</v>
      </c>
      <c r="B7009" t="s">
        <v>236</v>
      </c>
      <c r="C7009" s="7" t="s">
        <v>177</v>
      </c>
      <c r="D7009" t="s">
        <v>121</v>
      </c>
      <c r="F7009" s="35">
        <v>4.5</v>
      </c>
      <c r="G7009" s="35">
        <v>-6.5626007398121775</v>
      </c>
      <c r="H7009" s="35">
        <v>0.62712477997099025</v>
      </c>
      <c r="I7009" s="35">
        <v>0.78915843156546028</v>
      </c>
      <c r="J7009" s="35">
        <v>6.8203591706814289E-3</v>
      </c>
      <c r="K7009" s="35">
        <v>-4.0901097763537306</v>
      </c>
      <c r="L7009" s="35">
        <v>-1.6795269382661377</v>
      </c>
      <c r="M7009" s="58" t="s">
        <v>24</v>
      </c>
      <c r="N7009" s="7">
        <v>9.5</v>
      </c>
      <c r="O7009" s="7" t="s">
        <v>178</v>
      </c>
      <c r="P7009" s="7" t="s">
        <v>178</v>
      </c>
    </row>
    <row r="7010" spans="1:16" x14ac:dyDescent="0.25">
      <c r="A7010" t="s">
        <v>181</v>
      </c>
      <c r="B7010" t="s">
        <v>236</v>
      </c>
      <c r="C7010" s="7" t="s">
        <v>177</v>
      </c>
      <c r="D7010" t="s">
        <v>121</v>
      </c>
      <c r="F7010" s="35">
        <v>4.6226557908820691</v>
      </c>
      <c r="G7010" s="35">
        <v>-6.4955920414164385</v>
      </c>
      <c r="H7010" s="35">
        <v>0.58076089101756811</v>
      </c>
      <c r="I7010" s="35">
        <v>0.67582448079042834</v>
      </c>
      <c r="J7010" s="35">
        <v>6.8203591706814289E-3</v>
      </c>
      <c r="K7010" s="35">
        <v>-4.1799540952255949</v>
      </c>
      <c r="L7010" s="35">
        <v>-1.7536040244012474</v>
      </c>
      <c r="M7010" s="58" t="s">
        <v>24</v>
      </c>
      <c r="N7010" s="7">
        <v>9.5</v>
      </c>
      <c r="O7010" s="7" t="s">
        <v>178</v>
      </c>
      <c r="P7010" s="7" t="s">
        <v>178</v>
      </c>
    </row>
    <row r="7011" spans="1:16" x14ac:dyDescent="0.25">
      <c r="A7011" t="s">
        <v>181</v>
      </c>
      <c r="B7011" t="s">
        <v>236</v>
      </c>
      <c r="C7011" s="7" t="s">
        <v>177</v>
      </c>
      <c r="D7011" t="s">
        <v>121</v>
      </c>
      <c r="F7011" s="35">
        <v>9.2453115817641383</v>
      </c>
      <c r="G7011" s="35">
        <v>-3.9701658430207027</v>
      </c>
      <c r="H7011" s="35">
        <v>-1.1666029979358539</v>
      </c>
      <c r="I7011" s="35">
        <v>-3.5955094699846035</v>
      </c>
      <c r="J7011" s="35">
        <v>6.8203591706814289E-3</v>
      </c>
      <c r="K7011" s="35">
        <v>2.568395266199357</v>
      </c>
      <c r="L7011" s="35">
        <v>-0.39953082035706483</v>
      </c>
      <c r="M7011" s="58" t="s">
        <v>23</v>
      </c>
      <c r="N7011" s="7">
        <v>9.5</v>
      </c>
      <c r="O7011" s="7" t="s">
        <v>178</v>
      </c>
      <c r="P7011" s="7" t="s">
        <v>178</v>
      </c>
    </row>
    <row r="7012" spans="1:16" x14ac:dyDescent="0.25">
      <c r="A7012" t="s">
        <v>181</v>
      </c>
      <c r="B7012" t="s">
        <v>236</v>
      </c>
      <c r="C7012" s="7" t="s">
        <v>177</v>
      </c>
      <c r="D7012" t="s">
        <v>122</v>
      </c>
      <c r="F7012" s="35">
        <v>0</v>
      </c>
      <c r="G7012" s="35">
        <v>41.753166387904564</v>
      </c>
      <c r="H7012" s="35">
        <v>-18.296312053226337</v>
      </c>
      <c r="I7012" s="35">
        <v>17.857867614312209</v>
      </c>
      <c r="J7012" s="35">
        <v>-1.3166062954164929E-2</v>
      </c>
      <c r="K7012" s="35">
        <v>25.623287471321195</v>
      </c>
      <c r="L7012" s="35">
        <v>-35.079837092184874</v>
      </c>
      <c r="M7012" s="58" t="s">
        <v>22</v>
      </c>
      <c r="N7012" s="7">
        <v>9.5</v>
      </c>
      <c r="O7012" s="7" t="s">
        <v>178</v>
      </c>
      <c r="P7012" s="7" t="s">
        <v>178</v>
      </c>
    </row>
    <row r="7013" spans="1:16" x14ac:dyDescent="0.25">
      <c r="A7013" t="s">
        <v>181</v>
      </c>
      <c r="B7013" t="s">
        <v>236</v>
      </c>
      <c r="C7013" s="7" t="s">
        <v>177</v>
      </c>
      <c r="D7013" t="s">
        <v>122</v>
      </c>
      <c r="F7013" s="35">
        <v>2</v>
      </c>
      <c r="G7013" s="35">
        <v>42.845796387904564</v>
      </c>
      <c r="H7013" s="35">
        <v>-14.894312053226336</v>
      </c>
      <c r="I7013" s="35">
        <v>9.6258676143122095</v>
      </c>
      <c r="J7013" s="35">
        <v>-1.3166062954164929E-2</v>
      </c>
      <c r="K7013" s="35">
        <v>-1.8604477573032234</v>
      </c>
      <c r="L7013" s="35">
        <v>-1.8892129857321995</v>
      </c>
      <c r="M7013" s="58" t="s">
        <v>22</v>
      </c>
      <c r="N7013" s="7">
        <v>9.5</v>
      </c>
      <c r="O7013" s="7" t="s">
        <v>178</v>
      </c>
      <c r="P7013" s="7" t="s">
        <v>178</v>
      </c>
    </row>
    <row r="7014" spans="1:16" x14ac:dyDescent="0.25">
      <c r="A7014" t="s">
        <v>181</v>
      </c>
      <c r="B7014" t="s">
        <v>236</v>
      </c>
      <c r="C7014" s="7" t="s">
        <v>177</v>
      </c>
      <c r="D7014" t="s">
        <v>122</v>
      </c>
      <c r="F7014" s="35">
        <v>2</v>
      </c>
      <c r="G7014" s="35">
        <v>35.230120559885378</v>
      </c>
      <c r="H7014" s="35">
        <v>-6.7499081864781418</v>
      </c>
      <c r="I7014" s="35">
        <v>9.6258839684286226</v>
      </c>
      <c r="J7014" s="35">
        <v>-1.3170630794537532E-2</v>
      </c>
      <c r="K7014" s="35">
        <v>-1.8604526296662798</v>
      </c>
      <c r="L7014" s="35">
        <v>-1.8892129857322135</v>
      </c>
      <c r="M7014" s="58" t="s">
        <v>22</v>
      </c>
      <c r="N7014" s="7">
        <v>9.5</v>
      </c>
      <c r="O7014" s="7" t="s">
        <v>178</v>
      </c>
      <c r="P7014" s="7" t="s">
        <v>178</v>
      </c>
    </row>
    <row r="7015" spans="1:16" x14ac:dyDescent="0.25">
      <c r="A7015" t="s">
        <v>181</v>
      </c>
      <c r="B7015" t="s">
        <v>236</v>
      </c>
      <c r="C7015" s="7" t="s">
        <v>177</v>
      </c>
      <c r="D7015" t="s">
        <v>122</v>
      </c>
      <c r="F7015" s="35">
        <v>4.5</v>
      </c>
      <c r="G7015" s="35">
        <v>36.595908059885375</v>
      </c>
      <c r="H7015" s="35">
        <v>-2.4974081864781406</v>
      </c>
      <c r="I7015" s="35">
        <v>-0.664116031571377</v>
      </c>
      <c r="J7015" s="35">
        <v>-1.3170630794537532E-2</v>
      </c>
      <c r="K7015" s="35">
        <v>-13.062662550737839</v>
      </c>
      <c r="L7015" s="35">
        <v>9.669932480463137</v>
      </c>
      <c r="M7015" s="58" t="s">
        <v>24</v>
      </c>
      <c r="N7015" s="7">
        <v>9.5</v>
      </c>
      <c r="O7015" s="7" t="s">
        <v>178</v>
      </c>
      <c r="P7015" s="7" t="s">
        <v>178</v>
      </c>
    </row>
    <row r="7016" spans="1:16" x14ac:dyDescent="0.25">
      <c r="A7016" t="s">
        <v>181</v>
      </c>
      <c r="B7016" t="s">
        <v>236</v>
      </c>
      <c r="C7016" s="7" t="s">
        <v>177</v>
      </c>
      <c r="D7016" t="s">
        <v>122</v>
      </c>
      <c r="F7016" s="35">
        <v>4.5</v>
      </c>
      <c r="G7016" s="35">
        <v>37.382043803246852</v>
      </c>
      <c r="H7016" s="35">
        <v>-2.4970680387875941</v>
      </c>
      <c r="I7016" s="35">
        <v>-0.64735047148031422</v>
      </c>
      <c r="J7016" s="35">
        <v>8.3158798113875543E-3</v>
      </c>
      <c r="K7016" s="35">
        <v>-13.062666934338104</v>
      </c>
      <c r="L7016" s="35">
        <v>8.6873321375843418</v>
      </c>
      <c r="M7016" s="58" t="s">
        <v>24</v>
      </c>
      <c r="N7016" s="7">
        <v>9.5</v>
      </c>
      <c r="O7016" s="7" t="s">
        <v>178</v>
      </c>
      <c r="P7016" s="7" t="s">
        <v>178</v>
      </c>
    </row>
    <row r="7017" spans="1:16" x14ac:dyDescent="0.25">
      <c r="A7017" t="s">
        <v>181</v>
      </c>
      <c r="B7017" t="s">
        <v>236</v>
      </c>
      <c r="C7017" s="7" t="s">
        <v>177</v>
      </c>
      <c r="D7017" t="s">
        <v>122</v>
      </c>
      <c r="F7017" s="35">
        <v>4.6226557908820691</v>
      </c>
      <c r="G7017" s="35">
        <v>37.449052501642591</v>
      </c>
      <c r="H7017" s="35">
        <v>-2.2884305384971944</v>
      </c>
      <c r="I7017" s="35">
        <v>-1.1522017067509109</v>
      </c>
      <c r="J7017" s="35">
        <v>8.3158798113875543E-3</v>
      </c>
      <c r="K7017" s="35">
        <v>-12.952304186510855</v>
      </c>
      <c r="L7017" s="35">
        <v>8.980816693965286</v>
      </c>
      <c r="M7017" s="58" t="s">
        <v>24</v>
      </c>
      <c r="N7017" s="7">
        <v>9.5</v>
      </c>
      <c r="O7017" s="7" t="s">
        <v>178</v>
      </c>
      <c r="P7017" s="7" t="s">
        <v>178</v>
      </c>
    </row>
    <row r="7018" spans="1:16" x14ac:dyDescent="0.25">
      <c r="A7018" t="s">
        <v>181</v>
      </c>
      <c r="B7018" t="s">
        <v>236</v>
      </c>
      <c r="C7018" s="7" t="s">
        <v>177</v>
      </c>
      <c r="D7018" t="s">
        <v>122</v>
      </c>
      <c r="F7018" s="35">
        <v>9.2453115817641383</v>
      </c>
      <c r="G7018" s="35">
        <v>39.974478700038325</v>
      </c>
      <c r="H7018" s="35">
        <v>5.5747069617932068</v>
      </c>
      <c r="I7018" s="35">
        <v>-20.179052942021507</v>
      </c>
      <c r="J7018" s="35">
        <v>8.3158798113875543E-3</v>
      </c>
      <c r="K7018" s="35">
        <v>36.35121972795308</v>
      </c>
      <c r="L7018" s="35">
        <v>1.3851543246710243</v>
      </c>
      <c r="M7018" s="58" t="s">
        <v>23</v>
      </c>
      <c r="N7018" s="7">
        <v>9.5</v>
      </c>
      <c r="O7018" s="7" t="s">
        <v>178</v>
      </c>
      <c r="P7018" s="7" t="s">
        <v>178</v>
      </c>
    </row>
    <row r="7019" spans="1:16" x14ac:dyDescent="0.25">
      <c r="A7019" t="s">
        <v>181</v>
      </c>
      <c r="B7019" t="s">
        <v>236</v>
      </c>
      <c r="C7019" s="7" t="s">
        <v>177</v>
      </c>
      <c r="D7019" t="s">
        <v>123</v>
      </c>
      <c r="F7019" s="35">
        <v>0</v>
      </c>
      <c r="G7019" s="35">
        <v>31.342944149019132</v>
      </c>
      <c r="H7019" s="35">
        <v>-25.757949243001008</v>
      </c>
      <c r="I7019" s="35">
        <v>12.801724792471754</v>
      </c>
      <c r="J7019" s="35">
        <v>-1.1682335333977462E-2</v>
      </c>
      <c r="K7019" s="35">
        <v>18.42458552333845</v>
      </c>
      <c r="L7019" s="35">
        <v>-49.286206922508903</v>
      </c>
      <c r="M7019" s="58" t="s">
        <v>22</v>
      </c>
      <c r="N7019" s="7">
        <v>9.5</v>
      </c>
      <c r="O7019" s="7" t="s">
        <v>178</v>
      </c>
      <c r="P7019" s="7" t="s">
        <v>178</v>
      </c>
    </row>
    <row r="7020" spans="1:16" x14ac:dyDescent="0.25">
      <c r="A7020" t="s">
        <v>181</v>
      </c>
      <c r="B7020" t="s">
        <v>236</v>
      </c>
      <c r="C7020" s="7" t="s">
        <v>177</v>
      </c>
      <c r="D7020" t="s">
        <v>123</v>
      </c>
      <c r="F7020" s="35">
        <v>2</v>
      </c>
      <c r="G7020" s="35">
        <v>32.435574149019132</v>
      </c>
      <c r="H7020" s="35">
        <v>-19.709949243001009</v>
      </c>
      <c r="I7020" s="35">
        <v>6.9217247924717524</v>
      </c>
      <c r="J7020" s="35">
        <v>-1.1682335333977462E-2</v>
      </c>
      <c r="K7020" s="35">
        <v>-1.2988640616050517</v>
      </c>
      <c r="L7020" s="35">
        <v>-3.8183084365068898</v>
      </c>
      <c r="M7020" s="58" t="s">
        <v>22</v>
      </c>
      <c r="N7020" s="7">
        <v>9.5</v>
      </c>
      <c r="O7020" s="7" t="s">
        <v>178</v>
      </c>
      <c r="P7020" s="7" t="s">
        <v>178</v>
      </c>
    </row>
    <row r="7021" spans="1:16" x14ac:dyDescent="0.25">
      <c r="A7021" t="s">
        <v>181</v>
      </c>
      <c r="B7021" t="s">
        <v>236</v>
      </c>
      <c r="C7021" s="7" t="s">
        <v>177</v>
      </c>
      <c r="D7021" t="s">
        <v>123</v>
      </c>
      <c r="F7021" s="35">
        <v>2</v>
      </c>
      <c r="G7021" s="35">
        <v>25.197655051056035</v>
      </c>
      <c r="H7021" s="35">
        <v>-11.96848708964567</v>
      </c>
      <c r="I7021" s="35">
        <v>6.9217397738533597</v>
      </c>
      <c r="J7021" s="35">
        <v>-1.1681192758281842E-2</v>
      </c>
      <c r="K7021" s="35">
        <v>-1.2988628428576379</v>
      </c>
      <c r="L7021" s="35">
        <v>-3.8183084365068884</v>
      </c>
      <c r="M7021" s="58" t="s">
        <v>22</v>
      </c>
      <c r="N7021" s="7">
        <v>9.5</v>
      </c>
      <c r="O7021" s="7" t="s">
        <v>178</v>
      </c>
      <c r="P7021" s="7" t="s">
        <v>178</v>
      </c>
    </row>
    <row r="7022" spans="1:16" x14ac:dyDescent="0.25">
      <c r="A7022" t="s">
        <v>181</v>
      </c>
      <c r="B7022" t="s">
        <v>236</v>
      </c>
      <c r="C7022" s="7" t="s">
        <v>177</v>
      </c>
      <c r="D7022" t="s">
        <v>123</v>
      </c>
      <c r="F7022" s="35">
        <v>4.5</v>
      </c>
      <c r="G7022" s="35">
        <v>26.563442551056035</v>
      </c>
      <c r="H7022" s="35">
        <v>-4.4084870896456705</v>
      </c>
      <c r="I7022" s="35">
        <v>-0.42826022614664011</v>
      </c>
      <c r="J7022" s="35">
        <v>-1.1681192758281842E-2</v>
      </c>
      <c r="K7022" s="35">
        <v>-9.4157122774910373</v>
      </c>
      <c r="L7022" s="35">
        <v>16.652909287607287</v>
      </c>
      <c r="M7022" s="58" t="s">
        <v>24</v>
      </c>
      <c r="N7022" s="7">
        <v>9.5</v>
      </c>
      <c r="O7022" s="7" t="s">
        <v>178</v>
      </c>
      <c r="P7022" s="7" t="s">
        <v>178</v>
      </c>
    </row>
    <row r="7023" spans="1:16" x14ac:dyDescent="0.25">
      <c r="A7023" t="s">
        <v>181</v>
      </c>
      <c r="B7023" t="s">
        <v>236</v>
      </c>
      <c r="C7023" s="7" t="s">
        <v>177</v>
      </c>
      <c r="D7023" t="s">
        <v>123</v>
      </c>
      <c r="F7023" s="35">
        <v>4.5</v>
      </c>
      <c r="G7023" s="35">
        <v>27.349578107171446</v>
      </c>
      <c r="H7023" s="35">
        <v>-4.4079046265445614</v>
      </c>
      <c r="I7023" s="35">
        <v>-0.41691510361223949</v>
      </c>
      <c r="J7023" s="35">
        <v>4.4118096527406446E-3</v>
      </c>
      <c r="K7023" s="35">
        <v>-9.4157167666934303</v>
      </c>
      <c r="L7023" s="35">
        <v>15.670364513599175</v>
      </c>
      <c r="M7023" s="58" t="s">
        <v>24</v>
      </c>
      <c r="N7023" s="7">
        <v>9.5</v>
      </c>
      <c r="O7023" s="7" t="s">
        <v>178</v>
      </c>
      <c r="P7023" s="7" t="s">
        <v>178</v>
      </c>
    </row>
    <row r="7024" spans="1:16" x14ac:dyDescent="0.25">
      <c r="A7024" t="s">
        <v>181</v>
      </c>
      <c r="B7024" t="s">
        <v>236</v>
      </c>
      <c r="C7024" s="7" t="s">
        <v>177</v>
      </c>
      <c r="D7024" t="s">
        <v>123</v>
      </c>
      <c r="F7024" s="35">
        <v>4.6226557908820691</v>
      </c>
      <c r="G7024" s="35">
        <v>27.416586805567189</v>
      </c>
      <c r="H7024" s="35">
        <v>-4.0369935149171843</v>
      </c>
      <c r="I7024" s="35">
        <v>-0.77752312880552277</v>
      </c>
      <c r="J7024" s="35">
        <v>4.4118096527406446E-3</v>
      </c>
      <c r="K7024" s="35">
        <v>-9.3424643836649395</v>
      </c>
      <c r="L7024" s="35">
        <v>16.188272343828928</v>
      </c>
      <c r="M7024" s="58" t="s">
        <v>24</v>
      </c>
      <c r="N7024" s="7">
        <v>9.5</v>
      </c>
      <c r="O7024" s="7" t="s">
        <v>178</v>
      </c>
      <c r="P7024" s="7" t="s">
        <v>178</v>
      </c>
    </row>
    <row r="7025" spans="1:16" x14ac:dyDescent="0.25">
      <c r="A7025" t="s">
        <v>181</v>
      </c>
      <c r="B7025" t="s">
        <v>236</v>
      </c>
      <c r="C7025" s="7" t="s">
        <v>177</v>
      </c>
      <c r="D7025" t="s">
        <v>123</v>
      </c>
      <c r="F7025" s="35">
        <v>9.2453115817641383</v>
      </c>
      <c r="G7025" s="35">
        <v>29.942013003962924</v>
      </c>
      <c r="H7025" s="35">
        <v>9.9419175967101907</v>
      </c>
      <c r="I7025" s="35">
        <v>-14.368131153998805</v>
      </c>
      <c r="J7025" s="35">
        <v>4.4118096527406446E-3</v>
      </c>
      <c r="K7025" s="35">
        <v>25.66410885488667</v>
      </c>
      <c r="L7025" s="35">
        <v>2.5400565931192203</v>
      </c>
      <c r="M7025" s="58" t="s">
        <v>23</v>
      </c>
      <c r="N7025" s="7">
        <v>9.5</v>
      </c>
      <c r="O7025" s="7" t="s">
        <v>178</v>
      </c>
      <c r="P7025" s="7" t="s">
        <v>178</v>
      </c>
    </row>
    <row r="7026" spans="1:16" x14ac:dyDescent="0.25">
      <c r="A7026" t="s">
        <v>181</v>
      </c>
      <c r="B7026" t="s">
        <v>236</v>
      </c>
      <c r="C7026" s="7" t="s">
        <v>177</v>
      </c>
      <c r="D7026" t="s">
        <v>124</v>
      </c>
      <c r="F7026" s="35">
        <v>0</v>
      </c>
      <c r="G7026" s="35">
        <v>-0.1925532000205312</v>
      </c>
      <c r="H7026" s="35">
        <v>19.861018113185384</v>
      </c>
      <c r="I7026" s="35">
        <v>9.1281022191652905</v>
      </c>
      <c r="J7026" s="35">
        <v>-2.9885726457869158E-3</v>
      </c>
      <c r="K7026" s="35">
        <v>20.78644820621761</v>
      </c>
      <c r="L7026" s="35">
        <v>38.460475922183065</v>
      </c>
      <c r="M7026" s="58" t="s">
        <v>22</v>
      </c>
      <c r="N7026" s="7">
        <v>9.5</v>
      </c>
      <c r="O7026" s="7" t="s">
        <v>178</v>
      </c>
      <c r="P7026" s="7" t="s">
        <v>178</v>
      </c>
    </row>
    <row r="7027" spans="1:16" x14ac:dyDescent="0.25">
      <c r="A7027" t="s">
        <v>181</v>
      </c>
      <c r="B7027" t="s">
        <v>236</v>
      </c>
      <c r="C7027" s="7" t="s">
        <v>177</v>
      </c>
      <c r="D7027" t="s">
        <v>124</v>
      </c>
      <c r="F7027" s="35">
        <v>2</v>
      </c>
      <c r="G7027" s="35">
        <v>0.90007679997946965</v>
      </c>
      <c r="H7027" s="35">
        <v>13.246018113185386</v>
      </c>
      <c r="I7027" s="35">
        <v>5.9361022191652904</v>
      </c>
      <c r="J7027" s="35">
        <v>-2.9885726457869158E-3</v>
      </c>
      <c r="K7027" s="35">
        <v>5.7222437678870302</v>
      </c>
      <c r="L7027" s="35">
        <v>5.3534396958122956</v>
      </c>
      <c r="M7027" s="58" t="s">
        <v>22</v>
      </c>
      <c r="N7027" s="7">
        <v>9.5</v>
      </c>
      <c r="O7027" s="7" t="s">
        <v>178</v>
      </c>
      <c r="P7027" s="7" t="s">
        <v>178</v>
      </c>
    </row>
    <row r="7028" spans="1:16" x14ac:dyDescent="0.25">
      <c r="A7028" t="s">
        <v>181</v>
      </c>
      <c r="B7028" t="s">
        <v>236</v>
      </c>
      <c r="C7028" s="7" t="s">
        <v>177</v>
      </c>
      <c r="D7028" t="s">
        <v>124</v>
      </c>
      <c r="F7028" s="35">
        <v>2</v>
      </c>
      <c r="G7028" s="35">
        <v>1.151995242704015</v>
      </c>
      <c r="H7028" s="35">
        <v>12.998316311059014</v>
      </c>
      <c r="I7028" s="35">
        <v>5.9360954606250385</v>
      </c>
      <c r="J7028" s="35">
        <v>-2.9974452368056437E-3</v>
      </c>
      <c r="K7028" s="35">
        <v>5.7222343037899703</v>
      </c>
      <c r="L7028" s="35">
        <v>5.3534396958122574</v>
      </c>
      <c r="M7028" s="58" t="s">
        <v>22</v>
      </c>
      <c r="N7028" s="7">
        <v>9.5</v>
      </c>
      <c r="O7028" s="7" t="s">
        <v>178</v>
      </c>
      <c r="P7028" s="7" t="s">
        <v>178</v>
      </c>
    </row>
    <row r="7029" spans="1:16" x14ac:dyDescent="0.25">
      <c r="A7029" t="s">
        <v>181</v>
      </c>
      <c r="B7029" t="s">
        <v>236</v>
      </c>
      <c r="C7029" s="7" t="s">
        <v>177</v>
      </c>
      <c r="D7029" t="s">
        <v>124</v>
      </c>
      <c r="F7029" s="35">
        <v>4.5</v>
      </c>
      <c r="G7029" s="35">
        <v>2.5177827427040151</v>
      </c>
      <c r="H7029" s="35">
        <v>4.7295663110590125</v>
      </c>
      <c r="I7029" s="35">
        <v>1.946095460625038</v>
      </c>
      <c r="J7029" s="35">
        <v>-2.9974452368056437E-3</v>
      </c>
      <c r="K7029" s="35">
        <v>-4.1305043477726242</v>
      </c>
      <c r="L7029" s="35">
        <v>-16.806413581835272</v>
      </c>
      <c r="M7029" s="58" t="s">
        <v>24</v>
      </c>
      <c r="N7029" s="7">
        <v>9.5</v>
      </c>
      <c r="O7029" s="7" t="s">
        <v>178</v>
      </c>
      <c r="P7029" s="7" t="s">
        <v>178</v>
      </c>
    </row>
    <row r="7030" spans="1:16" x14ac:dyDescent="0.25">
      <c r="A7030" t="s">
        <v>181</v>
      </c>
      <c r="B7030" t="s">
        <v>236</v>
      </c>
      <c r="C7030" s="7" t="s">
        <v>177</v>
      </c>
      <c r="D7030" t="s">
        <v>124</v>
      </c>
      <c r="F7030" s="35">
        <v>4.5</v>
      </c>
      <c r="G7030" s="35">
        <v>3.3039241327672473</v>
      </c>
      <c r="H7030" s="35">
        <v>4.7289431513551152</v>
      </c>
      <c r="I7030" s="35">
        <v>1.9585951672142188</v>
      </c>
      <c r="J7030" s="35">
        <v>9.1546964052628289E-3</v>
      </c>
      <c r="K7030" s="35">
        <v>-4.1304798621758438</v>
      </c>
      <c r="L7030" s="35">
        <v>-17.78922856179938</v>
      </c>
      <c r="M7030" s="58" t="s">
        <v>24</v>
      </c>
      <c r="N7030" s="7">
        <v>9.5</v>
      </c>
      <c r="O7030" s="7" t="s">
        <v>178</v>
      </c>
      <c r="P7030" s="7" t="s">
        <v>178</v>
      </c>
    </row>
    <row r="7031" spans="1:16" x14ac:dyDescent="0.25">
      <c r="A7031" t="s">
        <v>181</v>
      </c>
      <c r="B7031" t="s">
        <v>236</v>
      </c>
      <c r="C7031" s="7" t="s">
        <v>177</v>
      </c>
      <c r="D7031" t="s">
        <v>124</v>
      </c>
      <c r="F7031" s="35">
        <v>4.6226557908820691</v>
      </c>
      <c r="G7031" s="35">
        <v>3.3709328311629863</v>
      </c>
      <c r="H7031" s="35">
        <v>4.3232591230126713</v>
      </c>
      <c r="I7031" s="35">
        <v>1.7628365249664364</v>
      </c>
      <c r="J7031" s="35">
        <v>9.1546964052628289E-3</v>
      </c>
      <c r="K7031" s="35">
        <v>-4.3587074358848517</v>
      </c>
      <c r="L7031" s="35">
        <v>-18.344381076392899</v>
      </c>
      <c r="M7031" s="58" t="s">
        <v>24</v>
      </c>
      <c r="N7031" s="7">
        <v>9.5</v>
      </c>
      <c r="O7031" s="7" t="s">
        <v>178</v>
      </c>
      <c r="P7031" s="7" t="s">
        <v>178</v>
      </c>
    </row>
    <row r="7032" spans="1:16" x14ac:dyDescent="0.25">
      <c r="A7032" t="s">
        <v>181</v>
      </c>
      <c r="B7032" t="s">
        <v>236</v>
      </c>
      <c r="C7032" s="7" t="s">
        <v>177</v>
      </c>
      <c r="D7032" t="s">
        <v>124</v>
      </c>
      <c r="F7032" s="35">
        <v>9.2453115817641383</v>
      </c>
      <c r="G7032" s="35">
        <v>5.8963590295587229</v>
      </c>
      <c r="H7032" s="35">
        <v>-10.966174905329773</v>
      </c>
      <c r="I7032" s="35">
        <v>-5.6149221172813464</v>
      </c>
      <c r="J7032" s="35">
        <v>9.1546964052628289E-3</v>
      </c>
      <c r="K7032" s="35">
        <v>4.5447254492590989</v>
      </c>
      <c r="L7032" s="35">
        <v>-2.9904245216578826</v>
      </c>
      <c r="M7032" s="58" t="s">
        <v>23</v>
      </c>
      <c r="N7032" s="7">
        <v>9.5</v>
      </c>
      <c r="O7032" s="7" t="s">
        <v>178</v>
      </c>
      <c r="P7032" s="7" t="s">
        <v>178</v>
      </c>
    </row>
    <row r="7033" spans="1:16" x14ac:dyDescent="0.25">
      <c r="A7033" t="s">
        <v>181</v>
      </c>
      <c r="B7033" t="s">
        <v>236</v>
      </c>
      <c r="C7033" s="7" t="s">
        <v>177</v>
      </c>
      <c r="D7033" t="s">
        <v>125</v>
      </c>
      <c r="F7033" s="35">
        <v>0</v>
      </c>
      <c r="G7033" s="35">
        <v>-15.448619060132382</v>
      </c>
      <c r="H7033" s="35">
        <v>13.254562463975923</v>
      </c>
      <c r="I7033" s="35">
        <v>6.4443578921501929</v>
      </c>
      <c r="J7033" s="35">
        <v>-3.1661169916002638E-3</v>
      </c>
      <c r="K7033" s="35">
        <v>25.900967831717669</v>
      </c>
      <c r="L7033" s="35">
        <v>26.068829013193458</v>
      </c>
      <c r="M7033" s="58" t="s">
        <v>22</v>
      </c>
      <c r="N7033" s="7">
        <v>9.5</v>
      </c>
      <c r="O7033" s="7" t="s">
        <v>178</v>
      </c>
      <c r="P7033" s="7" t="s">
        <v>178</v>
      </c>
    </row>
    <row r="7034" spans="1:16" x14ac:dyDescent="0.25">
      <c r="A7034" t="s">
        <v>181</v>
      </c>
      <c r="B7034" t="s">
        <v>236</v>
      </c>
      <c r="C7034" s="7" t="s">
        <v>177</v>
      </c>
      <c r="D7034" t="s">
        <v>125</v>
      </c>
      <c r="F7034" s="35">
        <v>2</v>
      </c>
      <c r="G7034" s="35">
        <v>-14.355989060132382</v>
      </c>
      <c r="H7034" s="35">
        <v>9.2855624639759231</v>
      </c>
      <c r="I7034" s="35">
        <v>5.6043578921501931</v>
      </c>
      <c r="J7034" s="35">
        <v>-3.1661169916002638E-3</v>
      </c>
      <c r="K7034" s="35">
        <v>13.852252047417283</v>
      </c>
      <c r="L7034" s="35">
        <v>3.5287040852416189</v>
      </c>
      <c r="M7034" s="58" t="s">
        <v>22</v>
      </c>
      <c r="N7034" s="7">
        <v>9.5</v>
      </c>
      <c r="O7034" s="7" t="s">
        <v>178</v>
      </c>
      <c r="P7034" s="7" t="s">
        <v>178</v>
      </c>
    </row>
    <row r="7035" spans="1:16" x14ac:dyDescent="0.25">
      <c r="A7035" t="s">
        <v>181</v>
      </c>
      <c r="B7035" t="s">
        <v>236</v>
      </c>
      <c r="C7035" s="7" t="s">
        <v>177</v>
      </c>
      <c r="D7035" t="s">
        <v>125</v>
      </c>
      <c r="F7035" s="35">
        <v>2</v>
      </c>
      <c r="G7035" s="35">
        <v>-12.93758668216979</v>
      </c>
      <c r="H7035" s="35">
        <v>7.7936088029054016</v>
      </c>
      <c r="I7035" s="35">
        <v>5.6043457410191841</v>
      </c>
      <c r="J7035" s="35">
        <v>-3.1833322939003911E-3</v>
      </c>
      <c r="K7035" s="35">
        <v>13.852233684428214</v>
      </c>
      <c r="L7035" s="35">
        <v>3.5287040852416203</v>
      </c>
      <c r="M7035" s="58" t="s">
        <v>22</v>
      </c>
      <c r="N7035" s="7">
        <v>9.5</v>
      </c>
      <c r="O7035" s="7" t="s">
        <v>178</v>
      </c>
      <c r="P7035" s="7" t="s">
        <v>178</v>
      </c>
    </row>
    <row r="7036" spans="1:16" x14ac:dyDescent="0.25">
      <c r="A7036" t="s">
        <v>181</v>
      </c>
      <c r="B7036" t="s">
        <v>236</v>
      </c>
      <c r="C7036" s="7" t="s">
        <v>177</v>
      </c>
      <c r="D7036" t="s">
        <v>125</v>
      </c>
      <c r="F7036" s="35">
        <v>4.5</v>
      </c>
      <c r="G7036" s="35">
        <v>-11.571799182169791</v>
      </c>
      <c r="H7036" s="35">
        <v>2.8323588029054019</v>
      </c>
      <c r="I7036" s="35">
        <v>4.5543457410191834</v>
      </c>
      <c r="J7036" s="35">
        <v>-3.1833322939003911E-3</v>
      </c>
      <c r="K7036" s="35">
        <v>1.1538693318802558</v>
      </c>
      <c r="L7036" s="35">
        <v>-9.7537554220218823</v>
      </c>
      <c r="M7036" s="58" t="s">
        <v>24</v>
      </c>
      <c r="N7036" s="7">
        <v>9.5</v>
      </c>
      <c r="O7036" s="7" t="s">
        <v>178</v>
      </c>
      <c r="P7036" s="7" t="s">
        <v>178</v>
      </c>
    </row>
    <row r="7037" spans="1:16" x14ac:dyDescent="0.25">
      <c r="A7037" t="s">
        <v>181</v>
      </c>
      <c r="B7037" t="s">
        <v>236</v>
      </c>
      <c r="C7037" s="7" t="s">
        <v>177</v>
      </c>
      <c r="D7037" t="s">
        <v>125</v>
      </c>
      <c r="F7037" s="35">
        <v>4.5</v>
      </c>
      <c r="G7037" s="35">
        <v>-10.785651862567288</v>
      </c>
      <c r="H7037" s="35">
        <v>2.832010610563251</v>
      </c>
      <c r="I7037" s="35">
        <v>4.5638237968067168</v>
      </c>
      <c r="J7037" s="35">
        <v>6.5815350413748327E-3</v>
      </c>
      <c r="K7037" s="35">
        <v>1.1539222206189095</v>
      </c>
      <c r="L7037" s="35">
        <v>-10.736520519829899</v>
      </c>
      <c r="M7037" s="58" t="s">
        <v>24</v>
      </c>
      <c r="N7037" s="7">
        <v>9.5</v>
      </c>
      <c r="O7037" s="7" t="s">
        <v>178</v>
      </c>
      <c r="P7037" s="7" t="s">
        <v>178</v>
      </c>
    </row>
    <row r="7038" spans="1:16" x14ac:dyDescent="0.25">
      <c r="A7038" t="s">
        <v>181</v>
      </c>
      <c r="B7038" t="s">
        <v>236</v>
      </c>
      <c r="C7038" s="7" t="s">
        <v>177</v>
      </c>
      <c r="D7038" t="s">
        <v>125</v>
      </c>
      <c r="F7038" s="35">
        <v>4.6226557908820691</v>
      </c>
      <c r="G7038" s="35">
        <v>-10.718643164171549</v>
      </c>
      <c r="H7038" s="35">
        <v>2.5886001935577849</v>
      </c>
      <c r="I7038" s="35">
        <v>4.5123083646362474</v>
      </c>
      <c r="J7038" s="35">
        <v>6.5815350413748327E-3</v>
      </c>
      <c r="K7038" s="35">
        <v>0.59730213641292451</v>
      </c>
      <c r="L7038" s="35">
        <v>-11.068955172451576</v>
      </c>
      <c r="M7038" s="58" t="s">
        <v>24</v>
      </c>
      <c r="N7038" s="7">
        <v>9.5</v>
      </c>
      <c r="O7038" s="7" t="s">
        <v>178</v>
      </c>
      <c r="P7038" s="7" t="s">
        <v>178</v>
      </c>
    </row>
    <row r="7039" spans="1:16" x14ac:dyDescent="0.25">
      <c r="A7039" t="s">
        <v>181</v>
      </c>
      <c r="B7039" t="s">
        <v>236</v>
      </c>
      <c r="C7039" s="7" t="s">
        <v>177</v>
      </c>
      <c r="D7039" t="s">
        <v>125</v>
      </c>
      <c r="F7039" s="35">
        <v>9.2453115817641383</v>
      </c>
      <c r="G7039" s="35">
        <v>-8.1932169657758127</v>
      </c>
      <c r="H7039" s="35">
        <v>-6.5850602234476803</v>
      </c>
      <c r="I7039" s="35">
        <v>2.5707929324657783</v>
      </c>
      <c r="J7039" s="35">
        <v>6.5815350413748327E-3</v>
      </c>
      <c r="K7039" s="35">
        <v>-15.77406747781356</v>
      </c>
      <c r="L7039" s="35">
        <v>-1.8318256223519487</v>
      </c>
      <c r="M7039" s="58" t="s">
        <v>23</v>
      </c>
      <c r="N7039" s="7">
        <v>9.5</v>
      </c>
      <c r="O7039" s="7" t="s">
        <v>178</v>
      </c>
      <c r="P7039" s="7" t="s">
        <v>178</v>
      </c>
    </row>
    <row r="7040" spans="1:16" x14ac:dyDescent="0.25">
      <c r="A7040" t="s">
        <v>181</v>
      </c>
      <c r="B7040" t="s">
        <v>236</v>
      </c>
      <c r="C7040" s="7" t="s">
        <v>177</v>
      </c>
      <c r="D7040" t="s">
        <v>126</v>
      </c>
      <c r="F7040" s="35">
        <v>0</v>
      </c>
      <c r="G7040" s="35">
        <v>12.856977928062495</v>
      </c>
      <c r="H7040" s="35">
        <v>26.916162158796617</v>
      </c>
      <c r="I7040" s="35">
        <v>-11.436063129262722</v>
      </c>
      <c r="J7040" s="35">
        <v>2.488712215595176E-2</v>
      </c>
      <c r="K7040" s="35">
        <v>-28.359883686108773</v>
      </c>
      <c r="L7040" s="35">
        <v>51.65401963872543</v>
      </c>
      <c r="M7040" s="58" t="s">
        <v>22</v>
      </c>
      <c r="N7040" s="7">
        <v>9.5</v>
      </c>
      <c r="O7040" s="7" t="s">
        <v>178</v>
      </c>
      <c r="P7040" s="7" t="s">
        <v>178</v>
      </c>
    </row>
    <row r="7041" spans="1:16" x14ac:dyDescent="0.25">
      <c r="A7041" t="s">
        <v>181</v>
      </c>
      <c r="B7041" t="s">
        <v>236</v>
      </c>
      <c r="C7041" s="7" t="s">
        <v>177</v>
      </c>
      <c r="D7041" t="s">
        <v>126</v>
      </c>
      <c r="F7041" s="35">
        <v>2</v>
      </c>
      <c r="G7041" s="35">
        <v>13.949607928062495</v>
      </c>
      <c r="H7041" s="35">
        <v>17.65516215879661</v>
      </c>
      <c r="I7041" s="35">
        <v>-8.412063129262723</v>
      </c>
      <c r="J7041" s="35">
        <v>2.488712215595176E-2</v>
      </c>
      <c r="K7041" s="35">
        <v>-8.5117574275833299</v>
      </c>
      <c r="L7041" s="35">
        <v>7.0826953211322063</v>
      </c>
      <c r="M7041" s="58" t="s">
        <v>22</v>
      </c>
      <c r="N7041" s="7">
        <v>9.5</v>
      </c>
      <c r="O7041" s="7" t="s">
        <v>178</v>
      </c>
      <c r="P7041" s="7" t="s">
        <v>178</v>
      </c>
    </row>
    <row r="7042" spans="1:16" x14ac:dyDescent="0.25">
      <c r="A7042" t="s">
        <v>181</v>
      </c>
      <c r="B7042" t="s">
        <v>236</v>
      </c>
      <c r="C7042" s="7" t="s">
        <v>177</v>
      </c>
      <c r="D7042" t="s">
        <v>126</v>
      </c>
      <c r="F7042" s="35">
        <v>2</v>
      </c>
      <c r="G7042" s="35">
        <v>13.467447418691719</v>
      </c>
      <c r="H7042" s="35">
        <v>18.190479735558803</v>
      </c>
      <c r="I7042" s="35">
        <v>-8.4120598352709504</v>
      </c>
      <c r="J7042" s="35">
        <v>2.4858253537231301E-2</v>
      </c>
      <c r="K7042" s="35">
        <v>-8.5117882207766691</v>
      </c>
      <c r="L7042" s="35">
        <v>7.0826953211322303</v>
      </c>
      <c r="M7042" s="58" t="s">
        <v>22</v>
      </c>
      <c r="N7042" s="7">
        <v>9.5</v>
      </c>
      <c r="O7042" s="7" t="s">
        <v>178</v>
      </c>
      <c r="P7042" s="7" t="s">
        <v>178</v>
      </c>
    </row>
    <row r="7043" spans="1:16" x14ac:dyDescent="0.25">
      <c r="A7043" t="s">
        <v>181</v>
      </c>
      <c r="B7043" t="s">
        <v>236</v>
      </c>
      <c r="C7043" s="7" t="s">
        <v>177</v>
      </c>
      <c r="D7043" t="s">
        <v>126</v>
      </c>
      <c r="F7043" s="35">
        <v>4.5</v>
      </c>
      <c r="G7043" s="35">
        <v>14.833234918691719</v>
      </c>
      <c r="H7043" s="35">
        <v>6.6142297355588004</v>
      </c>
      <c r="I7043" s="35">
        <v>-4.6320598352709501</v>
      </c>
      <c r="J7043" s="35">
        <v>2.4858253537231301E-2</v>
      </c>
      <c r="K7043" s="35">
        <v>7.7933613674007027</v>
      </c>
      <c r="L7043" s="35">
        <v>-23.923191517764767</v>
      </c>
      <c r="M7043" s="58" t="s">
        <v>24</v>
      </c>
      <c r="N7043" s="7">
        <v>9.5</v>
      </c>
      <c r="O7043" s="7" t="s">
        <v>178</v>
      </c>
      <c r="P7043" s="7" t="s">
        <v>178</v>
      </c>
    </row>
    <row r="7044" spans="1:16" x14ac:dyDescent="0.25">
      <c r="A7044" t="s">
        <v>181</v>
      </c>
      <c r="B7044" t="s">
        <v>236</v>
      </c>
      <c r="C7044" s="7" t="s">
        <v>177</v>
      </c>
      <c r="D7044" t="s">
        <v>126</v>
      </c>
      <c r="F7044" s="35">
        <v>4.5</v>
      </c>
      <c r="G7044" s="35">
        <v>15.619365793888125</v>
      </c>
      <c r="H7044" s="35">
        <v>6.6135353147125384</v>
      </c>
      <c r="I7044" s="35">
        <v>-4.6632874346015232</v>
      </c>
      <c r="J7044" s="35">
        <v>-1.5449301474097068E-2</v>
      </c>
      <c r="K7044" s="35">
        <v>7.7933304937386243</v>
      </c>
      <c r="L7044" s="35">
        <v>-24.905981164700886</v>
      </c>
      <c r="M7044" s="58" t="s">
        <v>24</v>
      </c>
      <c r="N7044" s="7">
        <v>9.5</v>
      </c>
      <c r="O7044" s="7" t="s">
        <v>178</v>
      </c>
      <c r="P7044" s="7" t="s">
        <v>178</v>
      </c>
    </row>
    <row r="7045" spans="1:16" x14ac:dyDescent="0.25">
      <c r="A7045" t="s">
        <v>181</v>
      </c>
      <c r="B7045" t="s">
        <v>236</v>
      </c>
      <c r="C7045" s="7" t="s">
        <v>177</v>
      </c>
      <c r="D7045" t="s">
        <v>126</v>
      </c>
      <c r="F7045" s="35">
        <v>4.6226557908820691</v>
      </c>
      <c r="G7045" s="35">
        <v>15.686374492283864</v>
      </c>
      <c r="H7045" s="35">
        <v>6.0455776750331163</v>
      </c>
      <c r="I7045" s="35">
        <v>-4.4778318787878346</v>
      </c>
      <c r="J7045" s="35">
        <v>-1.5449301474097068E-2</v>
      </c>
      <c r="K7045" s="35">
        <v>8.353936103204191</v>
      </c>
      <c r="L7045" s="35">
        <v>-25.68233792251225</v>
      </c>
      <c r="M7045" s="58" t="s">
        <v>24</v>
      </c>
      <c r="N7045" s="7">
        <v>9.5</v>
      </c>
      <c r="O7045" s="7" t="s">
        <v>178</v>
      </c>
      <c r="P7045" s="7" t="s">
        <v>178</v>
      </c>
    </row>
    <row r="7046" spans="1:16" x14ac:dyDescent="0.25">
      <c r="A7046" t="s">
        <v>181</v>
      </c>
      <c r="B7046" t="s">
        <v>236</v>
      </c>
      <c r="C7046" s="7" t="s">
        <v>177</v>
      </c>
      <c r="D7046" t="s">
        <v>126</v>
      </c>
      <c r="F7046" s="35">
        <v>9.2453115817641383</v>
      </c>
      <c r="G7046" s="35">
        <v>18.211800690679599</v>
      </c>
      <c r="H7046" s="35">
        <v>-15.359629964646306</v>
      </c>
      <c r="I7046" s="35">
        <v>2.5116236770258533</v>
      </c>
      <c r="J7046" s="35">
        <v>-1.5449301474097068E-2</v>
      </c>
      <c r="K7046" s="35">
        <v>12.898487968181611</v>
      </c>
      <c r="L7046" s="35">
        <v>-4.1545090459328504</v>
      </c>
      <c r="M7046" s="58" t="s">
        <v>23</v>
      </c>
      <c r="N7046" s="7">
        <v>9.5</v>
      </c>
      <c r="O7046" s="7" t="s">
        <v>178</v>
      </c>
      <c r="P7046" s="7" t="s">
        <v>178</v>
      </c>
    </row>
    <row r="7047" spans="1:16" x14ac:dyDescent="0.25">
      <c r="A7047" t="s">
        <v>181</v>
      </c>
      <c r="B7047" t="s">
        <v>236</v>
      </c>
      <c r="C7047" s="7" t="s">
        <v>177</v>
      </c>
      <c r="D7047" t="s">
        <v>127</v>
      </c>
      <c r="F7047" s="35">
        <v>0</v>
      </c>
      <c r="G7047" s="35">
        <v>-24.415436444725618</v>
      </c>
      <c r="H7047" s="35">
        <v>20.79185142344804</v>
      </c>
      <c r="I7047" s="35">
        <v>-16.041916749060345</v>
      </c>
      <c r="J7047" s="35">
        <v>1.4094671264313704E-2</v>
      </c>
      <c r="K7047" s="35">
        <v>-38.852630571493421</v>
      </c>
      <c r="L7047" s="35">
        <v>39.863189122496742</v>
      </c>
      <c r="M7047" s="58" t="s">
        <v>22</v>
      </c>
      <c r="N7047" s="7">
        <v>9.5</v>
      </c>
      <c r="O7047" s="7" t="s">
        <v>178</v>
      </c>
      <c r="P7047" s="7" t="s">
        <v>178</v>
      </c>
    </row>
    <row r="7048" spans="1:16" x14ac:dyDescent="0.25">
      <c r="A7048" t="s">
        <v>181</v>
      </c>
      <c r="B7048" t="s">
        <v>236</v>
      </c>
      <c r="C7048" s="7" t="s">
        <v>177</v>
      </c>
      <c r="D7048" t="s">
        <v>127</v>
      </c>
      <c r="F7048" s="35">
        <v>2</v>
      </c>
      <c r="G7048" s="35">
        <v>-23.322806444725622</v>
      </c>
      <c r="H7048" s="35">
        <v>14.17685142344804</v>
      </c>
      <c r="I7048" s="35">
        <v>-10.665916749060342</v>
      </c>
      <c r="J7048" s="35">
        <v>1.4094671264313704E-2</v>
      </c>
      <c r="K7048" s="35">
        <v>-12.14479707337274</v>
      </c>
      <c r="L7048" s="35">
        <v>4.8944862756006646</v>
      </c>
      <c r="M7048" s="58" t="s">
        <v>22</v>
      </c>
      <c r="N7048" s="7">
        <v>9.5</v>
      </c>
      <c r="O7048" s="7" t="s">
        <v>178</v>
      </c>
      <c r="P7048" s="7" t="s">
        <v>178</v>
      </c>
    </row>
    <row r="7049" spans="1:16" x14ac:dyDescent="0.25">
      <c r="A7049" t="s">
        <v>181</v>
      </c>
      <c r="B7049" t="s">
        <v>236</v>
      </c>
      <c r="C7049" s="7" t="s">
        <v>177</v>
      </c>
      <c r="D7049" t="s">
        <v>127</v>
      </c>
      <c r="F7049" s="35">
        <v>2</v>
      </c>
      <c r="G7049" s="35">
        <v>-22.140832222311936</v>
      </c>
      <c r="H7049" s="35">
        <v>12.937089805977886</v>
      </c>
      <c r="I7049" s="35">
        <v>-10.66591328190446</v>
      </c>
      <c r="J7049" s="35">
        <v>1.4127451006966937E-2</v>
      </c>
      <c r="K7049" s="35">
        <v>-12.144762108313992</v>
      </c>
      <c r="L7049" s="35">
        <v>4.8944862756006735</v>
      </c>
      <c r="M7049" s="58" t="s">
        <v>22</v>
      </c>
      <c r="N7049" s="7">
        <v>9.5</v>
      </c>
      <c r="O7049" s="7" t="s">
        <v>178</v>
      </c>
      <c r="P7049" s="7" t="s">
        <v>178</v>
      </c>
    </row>
    <row r="7050" spans="1:16" x14ac:dyDescent="0.25">
      <c r="A7050" t="s">
        <v>181</v>
      </c>
      <c r="B7050" t="s">
        <v>236</v>
      </c>
      <c r="C7050" s="7" t="s">
        <v>177</v>
      </c>
      <c r="D7050" t="s">
        <v>127</v>
      </c>
      <c r="F7050" s="35">
        <v>4.5</v>
      </c>
      <c r="G7050" s="35">
        <v>-20.775044722311936</v>
      </c>
      <c r="H7050" s="35">
        <v>4.6683398059778849</v>
      </c>
      <c r="I7050" s="35">
        <v>-3.945913281904462</v>
      </c>
      <c r="J7050" s="35">
        <v>1.4127451006966937E-2</v>
      </c>
      <c r="K7050" s="35">
        <v>6.1200210964471591</v>
      </c>
      <c r="L7050" s="35">
        <v>-17.112300739344036</v>
      </c>
      <c r="M7050" s="58" t="s">
        <v>24</v>
      </c>
      <c r="N7050" s="7">
        <v>9.5</v>
      </c>
      <c r="O7050" s="7" t="s">
        <v>178</v>
      </c>
      <c r="P7050" s="7" t="s">
        <v>178</v>
      </c>
    </row>
    <row r="7051" spans="1:16" x14ac:dyDescent="0.25">
      <c r="A7051" t="s">
        <v>181</v>
      </c>
      <c r="B7051" t="s">
        <v>236</v>
      </c>
      <c r="C7051" s="7" t="s">
        <v>177</v>
      </c>
      <c r="D7051" t="s">
        <v>127</v>
      </c>
      <c r="F7051" s="35">
        <v>4.5</v>
      </c>
      <c r="G7051" s="35">
        <v>-19.988919181018801</v>
      </c>
      <c r="H7051" s="35">
        <v>4.6680880598170651</v>
      </c>
      <c r="I7051" s="35">
        <v>-3.9639984223998526</v>
      </c>
      <c r="J7051" s="35">
        <v>-8.5354710120782058E-3</v>
      </c>
      <c r="K7051" s="35">
        <v>6.1199726730337707</v>
      </c>
      <c r="L7051" s="35">
        <v>-18.095027699855773</v>
      </c>
      <c r="M7051" s="58" t="s">
        <v>24</v>
      </c>
      <c r="N7051" s="7">
        <v>9.5</v>
      </c>
      <c r="O7051" s="7" t="s">
        <v>178</v>
      </c>
      <c r="P7051" s="7" t="s">
        <v>178</v>
      </c>
    </row>
    <row r="7052" spans="1:16" x14ac:dyDescent="0.25">
      <c r="A7052" t="s">
        <v>181</v>
      </c>
      <c r="B7052" t="s">
        <v>236</v>
      </c>
      <c r="C7052" s="7" t="s">
        <v>177</v>
      </c>
      <c r="D7052" t="s">
        <v>127</v>
      </c>
      <c r="F7052" s="35">
        <v>4.6226557908820691</v>
      </c>
      <c r="G7052" s="35">
        <v>-19.921910482623066</v>
      </c>
      <c r="H7052" s="35">
        <v>4.2624040314746221</v>
      </c>
      <c r="I7052" s="35">
        <v>-3.6342996565088508</v>
      </c>
      <c r="J7052" s="35">
        <v>-8.5354710120782058E-3</v>
      </c>
      <c r="K7052" s="35">
        <v>6.585960303146897</v>
      </c>
      <c r="L7052" s="35">
        <v>-18.642715985067493</v>
      </c>
      <c r="M7052" s="58" t="s">
        <v>24</v>
      </c>
      <c r="N7052" s="7">
        <v>9.5</v>
      </c>
      <c r="O7052" s="7" t="s">
        <v>178</v>
      </c>
      <c r="P7052" s="7" t="s">
        <v>178</v>
      </c>
    </row>
    <row r="7053" spans="1:16" x14ac:dyDescent="0.25">
      <c r="A7053" t="s">
        <v>181</v>
      </c>
      <c r="B7053" t="s">
        <v>236</v>
      </c>
      <c r="C7053" s="7" t="s">
        <v>177</v>
      </c>
      <c r="D7053" t="s">
        <v>127</v>
      </c>
      <c r="F7053" s="35">
        <v>9.2453115817641383</v>
      </c>
      <c r="G7053" s="35">
        <v>-17.396484284227327</v>
      </c>
      <c r="H7053" s="35">
        <v>-11.027029996867823</v>
      </c>
      <c r="I7053" s="35">
        <v>8.7913991093821497</v>
      </c>
      <c r="J7053" s="35">
        <v>-8.5354710120782058E-3</v>
      </c>
      <c r="K7053" s="35">
        <v>-5.333787521842857</v>
      </c>
      <c r="L7053" s="35">
        <v>-3.0074472890294563</v>
      </c>
      <c r="M7053" s="58" t="s">
        <v>23</v>
      </c>
      <c r="N7053" s="7">
        <v>9.5</v>
      </c>
      <c r="O7053" s="7" t="s">
        <v>178</v>
      </c>
      <c r="P7053" s="7" t="s">
        <v>178</v>
      </c>
    </row>
  </sheetData>
  <mergeCells count="17">
    <mergeCell ref="AA1:AP1"/>
    <mergeCell ref="AA20:AA22"/>
    <mergeCell ref="AA23:AA25"/>
    <mergeCell ref="AC18:AC19"/>
    <mergeCell ref="AD18:AD19"/>
    <mergeCell ref="AB2:AB3"/>
    <mergeCell ref="AA2:AA3"/>
    <mergeCell ref="AC2:AC3"/>
    <mergeCell ref="AE2:AE3"/>
    <mergeCell ref="AF2:AF3"/>
    <mergeCell ref="AD2:AD3"/>
    <mergeCell ref="M2:M3"/>
    <mergeCell ref="A2:A3"/>
    <mergeCell ref="B2:B3"/>
    <mergeCell ref="C2:C3"/>
    <mergeCell ref="D2:D3"/>
    <mergeCell ref="E2:E3"/>
  </mergeCells>
  <conditionalFormatting sqref="M2:M3">
    <cfRule type="containsText" dxfId="6" priority="3" operator="containsText" text="End J">
      <formula>NOT(ISERROR(SEARCH("End J",M2)))</formula>
    </cfRule>
    <cfRule type="containsText" dxfId="5" priority="4" operator="containsText" text="Middle">
      <formula>NOT(ISERROR(SEARCH("Middle",M2)))</formula>
    </cfRule>
    <cfRule type="containsText" dxfId="4" priority="5" operator="containsText" text="End I">
      <formula>NOT(ISERROR(SEARCH("End I",M2)))</formula>
    </cfRule>
  </conditionalFormatting>
  <conditionalFormatting sqref="M1:M1048576">
    <cfRule type="containsText" dxfId="3" priority="1" operator="containsText" text="Middle">
      <formula>NOT(ISERROR(SEARCH("Middle",M1)))</formula>
    </cfRule>
    <cfRule type="containsText" dxfId="2" priority="2" operator="containsText" text="End">
      <formula>NOT(ISERROR(SEARCH("End",M1)))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AB264-ED36-4222-AA75-85F8175B2E6F}">
  <dimension ref="A1:BJ2103"/>
  <sheetViews>
    <sheetView topLeftCell="P1" workbookViewId="0">
      <pane ySplit="4" topLeftCell="A5" activePane="bottomLeft" state="frozen"/>
      <selection pane="bottomLeft" activeCell="AA1" sqref="AA1:AM15"/>
    </sheetView>
  </sheetViews>
  <sheetFormatPr defaultRowHeight="15" x14ac:dyDescent="0.25"/>
  <cols>
    <col min="4" max="4" width="27.7109375" bestFit="1" customWidth="1"/>
    <col min="12" max="25" width="9.140625" customWidth="1"/>
    <col min="26" max="26" width="4" style="1" customWidth="1"/>
    <col min="28" max="28" width="9.140625" style="38"/>
    <col min="32" max="32" width="27.7109375" bestFit="1" customWidth="1"/>
    <col min="40" max="51" width="0" hidden="1" customWidth="1"/>
    <col min="52" max="52" width="4" style="1" customWidth="1"/>
    <col min="53" max="61" width="0" hidden="1" customWidth="1"/>
    <col min="62" max="62" width="34.7109375" hidden="1" customWidth="1"/>
  </cols>
  <sheetData>
    <row r="1" spans="1:62" x14ac:dyDescent="0.25">
      <c r="A1" s="89" t="s">
        <v>28</v>
      </c>
      <c r="B1" s="89"/>
      <c r="C1" s="89"/>
      <c r="D1" s="89"/>
      <c r="E1" s="89"/>
      <c r="F1" s="89"/>
      <c r="G1" s="89"/>
      <c r="H1" s="89"/>
      <c r="I1" s="89"/>
      <c r="J1" s="89"/>
      <c r="K1" s="89"/>
      <c r="AA1" s="86" t="s">
        <v>52</v>
      </c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BA1" s="86" t="s">
        <v>77</v>
      </c>
      <c r="BB1" s="86"/>
      <c r="BC1" s="86"/>
      <c r="BD1" s="86"/>
      <c r="BE1" s="86"/>
      <c r="BF1" s="86"/>
      <c r="BG1" s="86"/>
      <c r="BH1" s="86"/>
      <c r="BI1" s="86"/>
      <c r="BJ1" s="86"/>
    </row>
    <row r="2" spans="1:62" x14ac:dyDescent="0.25">
      <c r="A2" s="87" t="s">
        <v>0</v>
      </c>
      <c r="B2" s="84" t="s">
        <v>29</v>
      </c>
      <c r="C2" s="88" t="s">
        <v>20</v>
      </c>
      <c r="D2" s="84" t="s">
        <v>2</v>
      </c>
      <c r="E2" s="36" t="s">
        <v>4</v>
      </c>
      <c r="F2" s="36" t="s">
        <v>5</v>
      </c>
      <c r="G2" s="36" t="s">
        <v>6</v>
      </c>
      <c r="H2" s="36" t="s">
        <v>7</v>
      </c>
      <c r="I2" s="36" t="s">
        <v>8</v>
      </c>
      <c r="J2" s="36" t="s">
        <v>9</v>
      </c>
      <c r="K2" s="36" t="s">
        <v>10</v>
      </c>
      <c r="AA2" s="84" t="s">
        <v>17</v>
      </c>
      <c r="AB2" s="85" t="s">
        <v>63</v>
      </c>
      <c r="AC2" s="87" t="s">
        <v>0</v>
      </c>
      <c r="AD2" s="84" t="s">
        <v>29</v>
      </c>
      <c r="AE2" s="88" t="s">
        <v>20</v>
      </c>
      <c r="AF2" s="84" t="s">
        <v>2</v>
      </c>
      <c r="AG2" s="43" t="s">
        <v>4</v>
      </c>
      <c r="AH2" s="43" t="s">
        <v>5</v>
      </c>
      <c r="AI2" s="43" t="s">
        <v>6</v>
      </c>
      <c r="AJ2" s="43" t="s">
        <v>7</v>
      </c>
      <c r="AK2" s="43" t="s">
        <v>8</v>
      </c>
      <c r="AL2" s="43" t="s">
        <v>9</v>
      </c>
      <c r="AM2" s="43" t="s">
        <v>10</v>
      </c>
      <c r="BA2" s="43" t="s">
        <v>66</v>
      </c>
      <c r="BB2" s="43" t="s">
        <v>8</v>
      </c>
      <c r="BC2" s="43" t="s">
        <v>67</v>
      </c>
      <c r="BD2" s="43" t="s">
        <v>68</v>
      </c>
      <c r="BE2" s="43" t="s">
        <v>69</v>
      </c>
      <c r="BF2" s="43" t="s">
        <v>71</v>
      </c>
      <c r="BG2" s="43" t="s">
        <v>72</v>
      </c>
      <c r="BH2" s="43" t="s">
        <v>69</v>
      </c>
      <c r="BI2" s="43" t="s">
        <v>74</v>
      </c>
      <c r="BJ2" s="87" t="s">
        <v>76</v>
      </c>
    </row>
    <row r="3" spans="1:62" x14ac:dyDescent="0.25">
      <c r="A3" s="87"/>
      <c r="B3" s="84"/>
      <c r="C3" s="84"/>
      <c r="D3" s="84"/>
      <c r="E3" s="37" t="s">
        <v>12</v>
      </c>
      <c r="F3" s="37" t="s">
        <v>13</v>
      </c>
      <c r="G3" s="37" t="s">
        <v>13</v>
      </c>
      <c r="H3" s="37" t="s">
        <v>13</v>
      </c>
      <c r="I3" s="37" t="s">
        <v>14</v>
      </c>
      <c r="J3" s="37" t="s">
        <v>14</v>
      </c>
      <c r="K3" s="37" t="s">
        <v>14</v>
      </c>
      <c r="AA3" s="84"/>
      <c r="AB3" s="85"/>
      <c r="AC3" s="87"/>
      <c r="AD3" s="84"/>
      <c r="AE3" s="84"/>
      <c r="AF3" s="84"/>
      <c r="AG3" s="44" t="s">
        <v>12</v>
      </c>
      <c r="AH3" s="44" t="s">
        <v>13</v>
      </c>
      <c r="AI3" s="44" t="s">
        <v>13</v>
      </c>
      <c r="AJ3" s="44" t="s">
        <v>13</v>
      </c>
      <c r="AK3" s="44" t="s">
        <v>14</v>
      </c>
      <c r="AL3" s="44" t="s">
        <v>14</v>
      </c>
      <c r="AM3" s="44" t="s">
        <v>14</v>
      </c>
      <c r="BA3" s="44" t="s">
        <v>13</v>
      </c>
      <c r="BB3" s="44" t="s">
        <v>14</v>
      </c>
      <c r="BC3" s="44" t="s">
        <v>13</v>
      </c>
      <c r="BD3" s="44" t="s">
        <v>14</v>
      </c>
      <c r="BE3" s="44" t="s">
        <v>70</v>
      </c>
      <c r="BF3" s="44" t="s">
        <v>13</v>
      </c>
      <c r="BG3" s="44" t="s">
        <v>14</v>
      </c>
      <c r="BH3" s="44" t="s">
        <v>73</v>
      </c>
      <c r="BI3" s="44" t="s">
        <v>75</v>
      </c>
      <c r="BJ3" s="87"/>
    </row>
    <row r="4" spans="1:62" x14ac:dyDescent="0.25">
      <c r="A4" s="2"/>
      <c r="B4" s="2"/>
      <c r="C4" s="2"/>
      <c r="D4" s="2"/>
      <c r="L4" s="2"/>
      <c r="AA4" s="45" t="s">
        <v>58</v>
      </c>
      <c r="AB4" s="42">
        <f>MATCH(AH4,$F$4:$F$9999,0)</f>
        <v>181</v>
      </c>
      <c r="AC4" s="7" t="str" cm="1">
        <f t="array" ref="AC4">INDEX($A$4:$A$9999,AB4)</f>
        <v>4F</v>
      </c>
      <c r="AD4" s="7" t="str" cm="1">
        <f t="array" ref="AD4">INDEX($B$4:$B$9999,AB4)</f>
        <v>C12</v>
      </c>
      <c r="AE4" s="7" t="str" cm="1">
        <f t="array" ref="AE4">INDEX($C$4:$C$9999,AB4)</f>
        <v>537</v>
      </c>
      <c r="AF4" s="46" t="str" cm="1">
        <f t="array" ref="AF4">INDEX($D$4:$D$9999,AB4)</f>
        <v>1_LRFD41 (1.2D+1.0W+L+0.5Lr)</v>
      </c>
      <c r="AG4" s="7" cm="1">
        <f t="array" ref="AG4">INDEX($E$4:$E$9999,AB4)</f>
        <v>0</v>
      </c>
      <c r="AH4" s="41">
        <f>MIN($F$4:$F$9999)</f>
        <v>-20789.7</v>
      </c>
      <c r="AI4" s="40" cm="1">
        <f t="array" ref="AI4">INDEX($G$4:$G$9999,AB4)</f>
        <v>7.2</v>
      </c>
      <c r="AJ4" s="40" cm="1">
        <f t="array" ref="AJ4">INDEX($H$4:$H$9999,AB4)</f>
        <v>-113.9</v>
      </c>
      <c r="AK4" s="40" cm="1">
        <f t="array" ref="AK4">INDEX($I$4:$I$9999,AB4)</f>
        <v>-91.4</v>
      </c>
      <c r="AL4" s="40" cm="1">
        <f t="array" ref="AL4">INDEX($J$4:$J$9999,AB4)</f>
        <v>-514.70000000000005</v>
      </c>
      <c r="AM4" s="40" cm="1">
        <f t="array" ref="AM4">INDEX($K$4:$K$9999,AB4)</f>
        <v>129.30000000000001</v>
      </c>
      <c r="BA4" s="39">
        <f>AH4</f>
        <v>-20789.7</v>
      </c>
      <c r="BB4" s="39">
        <f>AK4</f>
        <v>-91.4</v>
      </c>
      <c r="BC4" s="39">
        <f>AI4</f>
        <v>7.2</v>
      </c>
      <c r="BD4" s="39">
        <f>AM4</f>
        <v>129.30000000000001</v>
      </c>
      <c r="BE4">
        <v>1</v>
      </c>
      <c r="BF4" s="39">
        <f>AJ4</f>
        <v>-113.9</v>
      </c>
      <c r="BG4" s="39">
        <f>AL4</f>
        <v>-514.70000000000005</v>
      </c>
      <c r="BH4">
        <v>1</v>
      </c>
      <c r="BI4" t="b">
        <v>1</v>
      </c>
      <c r="BJ4" t="str">
        <f>AA4&amp;" - "&amp;AF4</f>
        <v>P,min - 1_LRFD41 (1.2D+1.0W+L+0.5Lr)</v>
      </c>
    </row>
    <row r="5" spans="1:62" x14ac:dyDescent="0.25">
      <c r="A5" s="2"/>
      <c r="B5" s="2"/>
      <c r="C5" s="2"/>
      <c r="D5" s="2"/>
      <c r="L5" s="2"/>
      <c r="AA5" s="45" t="s">
        <v>57</v>
      </c>
      <c r="AB5" s="42">
        <f>MATCH(AH5,$F$4:$F$9999,0)</f>
        <v>1891</v>
      </c>
      <c r="AC5" s="7" t="str" cm="1">
        <f t="array" ref="AC5">INDEX($A$4:$A$9999,AB5)</f>
        <v>4F</v>
      </c>
      <c r="AD5" s="7" t="str" cm="1">
        <f t="array" ref="AD5">INDEX($B$4:$B$9999,AB5)</f>
        <v>C18</v>
      </c>
      <c r="AE5" s="7" t="str" cm="1">
        <f t="array" ref="AE5">INDEX($C$4:$C$9999,AB5)</f>
        <v>538</v>
      </c>
      <c r="AF5" s="46" t="str" cm="1">
        <f t="array" ref="AF5">INDEX($D$4:$D$9999,AB5)</f>
        <v>3_LRFD52 (0.9D+1.0W)(SQ)</v>
      </c>
      <c r="AG5" s="7" cm="1">
        <f t="array" ref="AG5">INDEX($E$4:$E$9999,AB5)</f>
        <v>0</v>
      </c>
      <c r="AH5" s="41">
        <f>MAX($F$4:$F$9999)</f>
        <v>529.6</v>
      </c>
      <c r="AI5" s="40" cm="1">
        <f t="array" ref="AI5">INDEX($G$4:$G$9999,AB5)</f>
        <v>33.4</v>
      </c>
      <c r="AJ5" s="40" cm="1">
        <f t="array" ref="AJ5">INDEX($H$4:$H$9999,AB5)</f>
        <v>97.1</v>
      </c>
      <c r="AK5" s="40" cm="1">
        <f t="array" ref="AK5">INDEX($I$4:$I$9999,AB5)</f>
        <v>139.1</v>
      </c>
      <c r="AL5" s="40" cm="1">
        <f t="array" ref="AL5">INDEX($J$4:$J$9999,AB5)</f>
        <v>345.6</v>
      </c>
      <c r="AM5" s="40" cm="1">
        <f t="array" ref="AM5">INDEX($K$4:$K$9999,AB5)</f>
        <v>143</v>
      </c>
      <c r="BA5" s="39">
        <f t="shared" ref="BA5:BA15" si="0">AH5</f>
        <v>529.6</v>
      </c>
      <c r="BB5" s="39">
        <f t="shared" ref="BB5:BB15" si="1">AK5</f>
        <v>139.1</v>
      </c>
      <c r="BC5" s="39">
        <f t="shared" ref="BC5:BC15" si="2">AI5</f>
        <v>33.4</v>
      </c>
      <c r="BD5" s="39">
        <f t="shared" ref="BD5:BD15" si="3">AM5</f>
        <v>143</v>
      </c>
      <c r="BE5">
        <v>1</v>
      </c>
      <c r="BF5" s="39">
        <f t="shared" ref="BF5:BF15" si="4">AJ5</f>
        <v>97.1</v>
      </c>
      <c r="BG5" s="39">
        <f t="shared" ref="BG5:BG15" si="5">AL5</f>
        <v>345.6</v>
      </c>
      <c r="BH5">
        <v>1</v>
      </c>
      <c r="BI5" t="b">
        <v>1</v>
      </c>
      <c r="BJ5" t="str">
        <f t="shared" ref="BJ5:BJ15" si="6">AA5&amp;" - "&amp;AF5</f>
        <v>P,max - 3_LRFD52 (0.9D+1.0W)(SQ)</v>
      </c>
    </row>
    <row r="6" spans="1:62" x14ac:dyDescent="0.25">
      <c r="A6" s="2"/>
      <c r="B6" s="2"/>
      <c r="C6" s="2"/>
      <c r="D6" s="2"/>
      <c r="L6" s="2"/>
      <c r="AA6" s="45" t="s">
        <v>54</v>
      </c>
      <c r="AB6" s="42">
        <f>MATCH(AI6,$G$4:$G$9999,0)</f>
        <v>841</v>
      </c>
      <c r="AC6" s="7" t="str" cm="1">
        <f t="array" ref="AC6">INDEX($A$4:$A$9999,AB6)</f>
        <v>4F</v>
      </c>
      <c r="AD6" s="7" t="str" cm="1">
        <f t="array" ref="AD6">INDEX($B$4:$B$9999,AB6)</f>
        <v>C12</v>
      </c>
      <c r="AE6" s="7" t="str" cm="1">
        <f t="array" ref="AE6">INDEX($C$4:$C$9999,AB6)</f>
        <v>537</v>
      </c>
      <c r="AF6" s="46" t="str" cm="1">
        <f t="array" ref="AF6">INDEX($D$4:$D$9999,AB6)</f>
        <v>3_LRFD52 (0.9D+1.0W)(SQ)</v>
      </c>
      <c r="AG6" s="7" cm="1">
        <f t="array" ref="AG6">INDEX($E$4:$E$9999,AB6)</f>
        <v>0</v>
      </c>
      <c r="AH6" s="40" cm="1">
        <f t="array" ref="AH6">INDEX($F$4:$F$9999,AB6)</f>
        <v>-14832.3</v>
      </c>
      <c r="AI6" s="41">
        <f>MIN($G$4:$G$9999)</f>
        <v>-45.9</v>
      </c>
      <c r="AJ6" s="40" cm="1">
        <f t="array" ref="AJ6">INDEX($H$4:$H$9999,AB6)</f>
        <v>-161.1</v>
      </c>
      <c r="AK6" s="40" cm="1">
        <f t="array" ref="AK6">INDEX($I$4:$I$9999,AB6)</f>
        <v>-142.69999999999999</v>
      </c>
      <c r="AL6" s="40" cm="1">
        <f t="array" ref="AL6">INDEX($J$4:$J$9999,AB6)</f>
        <v>-594.4</v>
      </c>
      <c r="AM6" s="40" cm="1">
        <f t="array" ref="AM6">INDEX($K$4:$K$9999,AB6)</f>
        <v>-88.5</v>
      </c>
      <c r="BA6" s="39">
        <f t="shared" si="0"/>
        <v>-14832.3</v>
      </c>
      <c r="BB6" s="39">
        <f t="shared" si="1"/>
        <v>-142.69999999999999</v>
      </c>
      <c r="BC6" s="39">
        <f t="shared" si="2"/>
        <v>-45.9</v>
      </c>
      <c r="BD6" s="39">
        <f t="shared" si="3"/>
        <v>-88.5</v>
      </c>
      <c r="BE6">
        <v>1</v>
      </c>
      <c r="BF6" s="39">
        <f t="shared" si="4"/>
        <v>-161.1</v>
      </c>
      <c r="BG6" s="39">
        <f t="shared" si="5"/>
        <v>-594.4</v>
      </c>
      <c r="BH6">
        <v>1</v>
      </c>
      <c r="BI6" t="b">
        <v>1</v>
      </c>
      <c r="BJ6" t="str">
        <f t="shared" si="6"/>
        <v>V2,min - 3_LRFD52 (0.9D+1.0W)(SQ)</v>
      </c>
    </row>
    <row r="7" spans="1:62" x14ac:dyDescent="0.25">
      <c r="A7" s="2"/>
      <c r="B7" s="2"/>
      <c r="C7" s="2"/>
      <c r="D7" s="2"/>
      <c r="L7" s="2"/>
      <c r="AA7" s="45" t="s">
        <v>53</v>
      </c>
      <c r="AB7" s="42">
        <f>MATCH(AI7,$G$4:$G$9999,0)</f>
        <v>676</v>
      </c>
      <c r="AC7" s="7" t="str" cm="1">
        <f t="array" ref="AC7">INDEX($A$4:$A$9999,AB7)</f>
        <v>4F</v>
      </c>
      <c r="AD7" s="7" t="str" cm="1">
        <f t="array" ref="AD7">INDEX($B$4:$B$9999,AB7)</f>
        <v>C12</v>
      </c>
      <c r="AE7" s="7" t="str" cm="1">
        <f t="array" ref="AE7">INDEX($C$4:$C$9999,AB7)</f>
        <v>537</v>
      </c>
      <c r="AF7" s="46" t="str" cm="1">
        <f t="array" ref="AF7">INDEX($D$4:$D$9999,AB7)</f>
        <v>3_LRFD41 (1.2D+1.0W+L+0.5Lr)(SQ)</v>
      </c>
      <c r="AG7" s="7" cm="1">
        <f t="array" ref="AG7">INDEX($E$4:$E$9999,AB7)</f>
        <v>0</v>
      </c>
      <c r="AH7" s="40" cm="1">
        <f t="array" ref="AH7">INDEX($F$4:$F$9999,AB7)</f>
        <v>-4211.8</v>
      </c>
      <c r="AI7" s="41">
        <f>MAX($G$4:$G$9999)</f>
        <v>95.3</v>
      </c>
      <c r="AJ7" s="40" cm="1">
        <f t="array" ref="AJ7">INDEX($H$4:$H$9999,AB7)</f>
        <v>170.7</v>
      </c>
      <c r="AK7" s="40" cm="1">
        <f t="array" ref="AK7">INDEX($I$4:$I$9999,AB7)</f>
        <v>175.9</v>
      </c>
      <c r="AL7" s="40" cm="1">
        <f t="array" ref="AL7">INDEX($J$4:$J$9999,AB7)</f>
        <v>545.70000000000005</v>
      </c>
      <c r="AM7" s="40" cm="1">
        <f t="array" ref="AM7">INDEX($K$4:$K$9999,AB7)</f>
        <v>366.9</v>
      </c>
      <c r="BA7" s="39">
        <f t="shared" si="0"/>
        <v>-4211.8</v>
      </c>
      <c r="BB7" s="39">
        <f t="shared" si="1"/>
        <v>175.9</v>
      </c>
      <c r="BC7" s="39">
        <f t="shared" si="2"/>
        <v>95.3</v>
      </c>
      <c r="BD7" s="39">
        <f t="shared" si="3"/>
        <v>366.9</v>
      </c>
      <c r="BE7">
        <v>1</v>
      </c>
      <c r="BF7" s="39">
        <f t="shared" si="4"/>
        <v>170.7</v>
      </c>
      <c r="BG7" s="39">
        <f t="shared" si="5"/>
        <v>545.70000000000005</v>
      </c>
      <c r="BH7">
        <v>1</v>
      </c>
      <c r="BI7" t="b">
        <v>1</v>
      </c>
      <c r="BJ7" t="str">
        <f t="shared" si="6"/>
        <v>V2,max - 3_LRFD41 (1.2D+1.0W+L+0.5Lr)(SQ)</v>
      </c>
    </row>
    <row r="8" spans="1:62" x14ac:dyDescent="0.25">
      <c r="A8" s="2"/>
      <c r="B8" s="2"/>
      <c r="C8" s="2"/>
      <c r="D8" s="2"/>
      <c r="L8" s="2"/>
      <c r="AA8" s="45" t="s">
        <v>56</v>
      </c>
      <c r="AB8" s="42">
        <f>MATCH(AJ8,$H$4:$H$9999,0)</f>
        <v>1786</v>
      </c>
      <c r="AC8" s="7" t="str" cm="1">
        <f t="array" ref="AC8">INDEX($A$4:$A$9999,AB8)</f>
        <v>4F</v>
      </c>
      <c r="AD8" s="7" t="str" cm="1">
        <f t="array" ref="AD8">INDEX($B$4:$B$9999,AB8)</f>
        <v>C18</v>
      </c>
      <c r="AE8" s="7" t="str" cm="1">
        <f t="array" ref="AE8">INDEX($C$4:$C$9999,AB8)</f>
        <v>538</v>
      </c>
      <c r="AF8" s="46" t="str" cm="1">
        <f t="array" ref="AF8">INDEX($D$4:$D$9999,AB8)</f>
        <v>3_LRFD42 (1.2D+1.0W+L+0.5Lr)(SQ)</v>
      </c>
      <c r="AG8" s="7" cm="1">
        <f t="array" ref="AG8">INDEX($E$4:$E$9999,AB8)</f>
        <v>0</v>
      </c>
      <c r="AH8" s="40" cm="1">
        <f t="array" ref="AH8">INDEX($F$4:$F$9999,AB8)</f>
        <v>-16151.9</v>
      </c>
      <c r="AI8" s="40" cm="1">
        <f t="array" ref="AI8">INDEX($G$4:$G$9999,AB8)</f>
        <v>-16.600000000000001</v>
      </c>
      <c r="AJ8" s="41">
        <f>MIN($H$4:$H$9999)</f>
        <v>-185.8</v>
      </c>
      <c r="AK8" s="40" cm="1">
        <f t="array" ref="AK8">INDEX($I$4:$I$9999,AB8)</f>
        <v>-134.5</v>
      </c>
      <c r="AL8" s="40" cm="1">
        <f t="array" ref="AL8">INDEX($J$4:$J$9999,AB8)</f>
        <v>-664.9</v>
      </c>
      <c r="AM8" s="40" cm="1">
        <f t="array" ref="AM8">INDEX($K$4:$K$9999,AB8)</f>
        <v>18.7</v>
      </c>
      <c r="BA8" s="39">
        <f t="shared" si="0"/>
        <v>-16151.9</v>
      </c>
      <c r="BB8" s="39">
        <f t="shared" si="1"/>
        <v>-134.5</v>
      </c>
      <c r="BC8" s="39">
        <f t="shared" si="2"/>
        <v>-16.600000000000001</v>
      </c>
      <c r="BD8" s="39">
        <f t="shared" si="3"/>
        <v>18.7</v>
      </c>
      <c r="BE8">
        <v>1</v>
      </c>
      <c r="BF8" s="39">
        <f t="shared" si="4"/>
        <v>-185.8</v>
      </c>
      <c r="BG8" s="39">
        <f t="shared" si="5"/>
        <v>-664.9</v>
      </c>
      <c r="BH8">
        <v>1</v>
      </c>
      <c r="BI8" t="b">
        <v>1</v>
      </c>
      <c r="BJ8" t="str">
        <f t="shared" si="6"/>
        <v>V3,min - 3_LRFD42 (1.2D+1.0W+L+0.5Lr)(SQ)</v>
      </c>
    </row>
    <row r="9" spans="1:62" x14ac:dyDescent="0.25">
      <c r="A9" s="2"/>
      <c r="B9" s="2"/>
      <c r="C9" s="2"/>
      <c r="D9" s="2"/>
      <c r="L9" s="2"/>
      <c r="AA9" s="45" t="s">
        <v>55</v>
      </c>
      <c r="AB9" s="42">
        <f>MATCH(AJ9,$H$4:$H$9999,0)</f>
        <v>796</v>
      </c>
      <c r="AC9" s="7" t="str" cm="1">
        <f t="array" ref="AC9">INDEX($A$4:$A$9999,AB9)</f>
        <v>4F</v>
      </c>
      <c r="AD9" s="7" t="str" cm="1">
        <f t="array" ref="AD9">INDEX($B$4:$B$9999,AB9)</f>
        <v>C12</v>
      </c>
      <c r="AE9" s="7" t="str" cm="1">
        <f t="array" ref="AE9">INDEX($C$4:$C$9999,AB9)</f>
        <v>537</v>
      </c>
      <c r="AF9" s="46" t="str" cm="1">
        <f t="array" ref="AF9">INDEX($D$4:$D$9999,AB9)</f>
        <v>3_LRFD51 (0.9D+1.0W)(SQ)</v>
      </c>
      <c r="AG9" s="7" cm="1">
        <f t="array" ref="AG9">INDEX($E$4:$E$9999,AB9)</f>
        <v>0</v>
      </c>
      <c r="AH9" s="40" cm="1">
        <f t="array" ref="AH9">INDEX($F$4:$F$9999,AB9)</f>
        <v>-999.2</v>
      </c>
      <c r="AI9" s="40" cm="1">
        <f t="array" ref="AI9">INDEX($G$4:$G$9999,AB9)</f>
        <v>79.599999999999994</v>
      </c>
      <c r="AJ9" s="41">
        <f>MAX($H$4:$H$9999)</f>
        <v>171</v>
      </c>
      <c r="AK9" s="40" cm="1">
        <f t="array" ref="AK9">INDEX($I$4:$I$9999,AB9)</f>
        <v>164.3</v>
      </c>
      <c r="AL9" s="40" cm="1">
        <f t="array" ref="AL9">INDEX($J$4:$J$9999,AB9)</f>
        <v>582.79999999999995</v>
      </c>
      <c r="AM9" s="40" cm="1">
        <f t="array" ref="AM9">INDEX($K$4:$K$9999,AB9)</f>
        <v>274.7</v>
      </c>
      <c r="BA9" s="39">
        <f t="shared" si="0"/>
        <v>-999.2</v>
      </c>
      <c r="BB9" s="39">
        <f t="shared" si="1"/>
        <v>164.3</v>
      </c>
      <c r="BC9" s="39">
        <f t="shared" si="2"/>
        <v>79.599999999999994</v>
      </c>
      <c r="BD9" s="39">
        <f t="shared" si="3"/>
        <v>274.7</v>
      </c>
      <c r="BE9">
        <v>1</v>
      </c>
      <c r="BF9" s="39">
        <f t="shared" si="4"/>
        <v>171</v>
      </c>
      <c r="BG9" s="39">
        <f t="shared" si="5"/>
        <v>582.79999999999995</v>
      </c>
      <c r="BH9">
        <v>1</v>
      </c>
      <c r="BI9" t="b">
        <v>1</v>
      </c>
      <c r="BJ9" t="str">
        <f t="shared" si="6"/>
        <v>V3,max - 3_LRFD51 (0.9D+1.0W)(SQ)</v>
      </c>
    </row>
    <row r="10" spans="1:62" x14ac:dyDescent="0.25">
      <c r="A10" s="2"/>
      <c r="B10" s="2"/>
      <c r="C10" s="2"/>
      <c r="D10" s="2"/>
      <c r="L10" s="2"/>
      <c r="AA10" s="45" t="s">
        <v>64</v>
      </c>
      <c r="AB10" s="42">
        <f>MATCH(AK10,$I$4:$I$9999,0)</f>
        <v>841</v>
      </c>
      <c r="AC10" s="7" t="str" cm="1">
        <f t="array" ref="AC10">INDEX($A$4:$A$9999,AB10)</f>
        <v>4F</v>
      </c>
      <c r="AD10" s="7" t="str" cm="1">
        <f t="array" ref="AD10">INDEX($B$4:$B$9999,AB10)</f>
        <v>C12</v>
      </c>
      <c r="AE10" s="7" t="str" cm="1">
        <f t="array" ref="AE10">INDEX($C$4:$C$9999,AB10)</f>
        <v>537</v>
      </c>
      <c r="AF10" s="46" t="str" cm="1">
        <f t="array" ref="AF10">INDEX($D$4:$D$9999,AB10)</f>
        <v>3_LRFD52 (0.9D+1.0W)(SQ)</v>
      </c>
      <c r="AG10" s="7" cm="1">
        <f t="array" ref="AG10">INDEX($E$4:$E$9999,AB10)</f>
        <v>0</v>
      </c>
      <c r="AH10" s="40" cm="1">
        <f t="array" ref="AH10">INDEX($F$4:$F$9999,AB10)</f>
        <v>-14832.3</v>
      </c>
      <c r="AI10" s="40" cm="1">
        <f t="array" ref="AI10">INDEX($G$4:$G$9999,AB10)</f>
        <v>-45.9</v>
      </c>
      <c r="AJ10" s="40" cm="1">
        <f t="array" ref="AJ10">INDEX($H$4:$H$9999,AB10)</f>
        <v>-161.1</v>
      </c>
      <c r="AK10" s="41">
        <f>MIN($I$4:$I$9999)</f>
        <v>-142.69999999999999</v>
      </c>
      <c r="AL10" s="40" cm="1">
        <f t="array" ref="AL10">INDEX($J$4:$J$9999,AB10)</f>
        <v>-594.4</v>
      </c>
      <c r="AM10" s="40" cm="1">
        <f t="array" ref="AM10">INDEX($K$4:$K$9999,AB10)</f>
        <v>-88.5</v>
      </c>
      <c r="BA10" s="39">
        <f t="shared" si="0"/>
        <v>-14832.3</v>
      </c>
      <c r="BB10" s="39">
        <f t="shared" si="1"/>
        <v>-142.69999999999999</v>
      </c>
      <c r="BC10" s="39">
        <f t="shared" si="2"/>
        <v>-45.9</v>
      </c>
      <c r="BD10" s="39">
        <f t="shared" si="3"/>
        <v>-88.5</v>
      </c>
      <c r="BE10">
        <v>1</v>
      </c>
      <c r="BF10" s="39">
        <f t="shared" si="4"/>
        <v>-161.1</v>
      </c>
      <c r="BG10" s="39">
        <f t="shared" si="5"/>
        <v>-594.4</v>
      </c>
      <c r="BH10">
        <v>1</v>
      </c>
      <c r="BI10" t="b">
        <v>1</v>
      </c>
      <c r="BJ10" t="str">
        <f t="shared" si="6"/>
        <v>T,min - 3_LRFD52 (0.9D+1.0W)(SQ)</v>
      </c>
    </row>
    <row r="11" spans="1:62" x14ac:dyDescent="0.25">
      <c r="A11" s="2"/>
      <c r="B11" s="2"/>
      <c r="C11" s="2"/>
      <c r="D11" s="2"/>
      <c r="L11" s="2"/>
      <c r="AA11" s="45" t="s">
        <v>65</v>
      </c>
      <c r="AB11" s="42">
        <f>MATCH(AK11,$I$4:$I$9999,0)</f>
        <v>166</v>
      </c>
      <c r="AC11" s="7" t="str" cm="1">
        <f t="array" ref="AC11">INDEX($A$4:$A$9999,AB11)</f>
        <v>4F</v>
      </c>
      <c r="AD11" s="7" t="str" cm="1">
        <f t="array" ref="AD11">INDEX($B$4:$B$9999,AB11)</f>
        <v>C12</v>
      </c>
      <c r="AE11" s="7" t="str" cm="1">
        <f t="array" ref="AE11">INDEX($C$4:$C$9999,AB11)</f>
        <v>537</v>
      </c>
      <c r="AF11" s="46" t="str" cm="1">
        <f t="array" ref="AF11">INDEX($D$4:$D$9999,AB11)</f>
        <v>1_LRFD41 (1.2D+1.0W+L+0.5Lr)</v>
      </c>
      <c r="AG11" s="7" cm="1">
        <f t="array" ref="AG11">INDEX($E$4:$E$9999,AB11)</f>
        <v>0</v>
      </c>
      <c r="AH11" s="40" cm="1">
        <f t="array" ref="AH11">INDEX($F$4:$F$9999,AB11)</f>
        <v>-14429.3</v>
      </c>
      <c r="AI11" s="40" cm="1">
        <f t="array" ref="AI11">INDEX($G$4:$G$9999,AB11)</f>
        <v>67</v>
      </c>
      <c r="AJ11" s="40" cm="1">
        <f t="array" ref="AJ11">INDEX($H$4:$H$9999,AB11)</f>
        <v>139.6</v>
      </c>
      <c r="AK11" s="41">
        <f>MAX($I$4:$I$9999)</f>
        <v>180.1</v>
      </c>
      <c r="AL11" s="40" cm="1">
        <f t="array" ref="AL11">INDEX($J$4:$J$9999,AB11)</f>
        <v>380.2</v>
      </c>
      <c r="AM11" s="40" cm="1">
        <f t="array" ref="AM11">INDEX($K$4:$K$9999,AB11)</f>
        <v>270.8</v>
      </c>
      <c r="BA11" s="39">
        <f t="shared" si="0"/>
        <v>-14429.3</v>
      </c>
      <c r="BB11" s="39">
        <f t="shared" si="1"/>
        <v>180.1</v>
      </c>
      <c r="BC11" s="39">
        <f t="shared" si="2"/>
        <v>67</v>
      </c>
      <c r="BD11" s="39">
        <f t="shared" si="3"/>
        <v>270.8</v>
      </c>
      <c r="BE11">
        <v>1</v>
      </c>
      <c r="BF11" s="39">
        <f t="shared" si="4"/>
        <v>139.6</v>
      </c>
      <c r="BG11" s="39">
        <f t="shared" si="5"/>
        <v>380.2</v>
      </c>
      <c r="BH11">
        <v>1</v>
      </c>
      <c r="BI11" t="b">
        <v>1</v>
      </c>
      <c r="BJ11" t="str">
        <f t="shared" si="6"/>
        <v>T,max - 1_LRFD41 (1.2D+1.0W+L+0.5Lr)</v>
      </c>
    </row>
    <row r="12" spans="1:62" x14ac:dyDescent="0.25">
      <c r="A12" s="2"/>
      <c r="B12" s="2"/>
      <c r="C12" s="2"/>
      <c r="D12" s="2"/>
      <c r="L12" s="2"/>
      <c r="AA12" s="45" t="s">
        <v>60</v>
      </c>
      <c r="AB12" s="42">
        <f>MATCH(AL12,$J$4:$J$9999,0)</f>
        <v>705</v>
      </c>
      <c r="AC12" s="7" t="str" cm="1">
        <f t="array" ref="AC12">INDEX($A$4:$A$9999,AB12)</f>
        <v>4F</v>
      </c>
      <c r="AD12" s="7" t="str" cm="1">
        <f t="array" ref="AD12">INDEX($B$4:$B$9999,AB12)</f>
        <v>C12</v>
      </c>
      <c r="AE12" s="7" t="str" cm="1">
        <f t="array" ref="AE12">INDEX($C$4:$C$9999,AB12)</f>
        <v>537</v>
      </c>
      <c r="AF12" s="46" t="str" cm="1">
        <f t="array" ref="AF12">INDEX($D$4:$D$9999,AB12)</f>
        <v>3_LRFD41 (1.2D+1.0W+L+0.5Lr)(SQ)</v>
      </c>
      <c r="AG12" s="7" cm="1">
        <f t="array" ref="AG12">INDEX($E$4:$E$9999,AB12)</f>
        <v>13</v>
      </c>
      <c r="AH12" s="40" cm="1">
        <f t="array" ref="AH12">INDEX($F$4:$F$9999,AB12)</f>
        <v>-20096.599999999999</v>
      </c>
      <c r="AI12" s="40" cm="1">
        <f t="array" ref="AI12">INDEX($G$4:$G$9999,AB12)</f>
        <v>0.1</v>
      </c>
      <c r="AJ12" s="40" cm="1">
        <f t="array" ref="AJ12">INDEX($H$4:$H$9999,AB12)</f>
        <v>-106.9</v>
      </c>
      <c r="AK12" s="40" cm="1">
        <f t="array" ref="AK12">INDEX($I$4:$I$9999,AB12)</f>
        <v>-109.2</v>
      </c>
      <c r="AL12" s="41">
        <f>MIN($J$4:$J$9999)</f>
        <v>-1657.3</v>
      </c>
      <c r="AM12" s="40" cm="1">
        <f t="array" ref="AM12">INDEX($K$4:$K$9999,AB12)</f>
        <v>-886</v>
      </c>
      <c r="BA12" s="39">
        <f t="shared" si="0"/>
        <v>-20096.599999999999</v>
      </c>
      <c r="BB12" s="39">
        <f t="shared" si="1"/>
        <v>-109.2</v>
      </c>
      <c r="BC12" s="39">
        <f t="shared" si="2"/>
        <v>0.1</v>
      </c>
      <c r="BD12" s="39">
        <f t="shared" si="3"/>
        <v>-886</v>
      </c>
      <c r="BE12">
        <v>1</v>
      </c>
      <c r="BF12" s="39">
        <f t="shared" si="4"/>
        <v>-106.9</v>
      </c>
      <c r="BG12" s="39">
        <f t="shared" si="5"/>
        <v>-1657.3</v>
      </c>
      <c r="BH12">
        <v>1</v>
      </c>
      <c r="BI12" t="b">
        <v>1</v>
      </c>
      <c r="BJ12" t="str">
        <f t="shared" si="6"/>
        <v>M2,min - 3_LRFD41 (1.2D+1.0W+L+0.5Lr)(SQ)</v>
      </c>
    </row>
    <row r="13" spans="1:62" x14ac:dyDescent="0.25">
      <c r="A13" s="2"/>
      <c r="B13" s="2"/>
      <c r="C13" s="2"/>
      <c r="D13" s="2"/>
      <c r="L13" s="2"/>
      <c r="AA13" s="45" t="s">
        <v>59</v>
      </c>
      <c r="AB13" s="42">
        <f>MATCH(AL13,$J$4:$J$9999,0)</f>
        <v>1785</v>
      </c>
      <c r="AC13" s="7" t="str" cm="1">
        <f t="array" ref="AC13">INDEX($A$4:$A$9999,AB13)</f>
        <v>4F</v>
      </c>
      <c r="AD13" s="7" t="str" cm="1">
        <f t="array" ref="AD13">INDEX($B$4:$B$9999,AB13)</f>
        <v>C18</v>
      </c>
      <c r="AE13" s="7" t="str" cm="1">
        <f t="array" ref="AE13">INDEX($C$4:$C$9999,AB13)</f>
        <v>538</v>
      </c>
      <c r="AF13" s="46" t="str" cm="1">
        <f t="array" ref="AF13">INDEX($D$4:$D$9999,AB13)</f>
        <v>3_LRFD42 (1.2D+1.0W+L+0.5Lr)(SQ)</v>
      </c>
      <c r="AG13" s="7" cm="1">
        <f t="array" ref="AG13">INDEX($E$4:$E$9999,AB13)</f>
        <v>13</v>
      </c>
      <c r="AH13" s="40" cm="1">
        <f t="array" ref="AH13">INDEX($F$4:$F$9999,AB13)</f>
        <v>-2210.6</v>
      </c>
      <c r="AI13" s="40" cm="1">
        <f t="array" ref="AI13">INDEX($G$4:$G$9999,AB13)</f>
        <v>49.7</v>
      </c>
      <c r="AJ13" s="40" cm="1">
        <f t="array" ref="AJ13">INDEX($H$4:$H$9999,AB13)</f>
        <v>99.2</v>
      </c>
      <c r="AK13" s="40" cm="1">
        <f t="array" ref="AK13">INDEX($I$4:$I$9999,AB13)</f>
        <v>150.69999999999999</v>
      </c>
      <c r="AL13" s="41">
        <f>MAX($J$4:$J$9999)</f>
        <v>1776.2</v>
      </c>
      <c r="AM13" s="40" cm="1">
        <f t="array" ref="AM13">INDEX($K$4:$K$9999,AB13)</f>
        <v>234.8</v>
      </c>
      <c r="BA13" s="39">
        <f t="shared" si="0"/>
        <v>-2210.6</v>
      </c>
      <c r="BB13" s="39">
        <f t="shared" si="1"/>
        <v>150.69999999999999</v>
      </c>
      <c r="BC13" s="39">
        <f t="shared" si="2"/>
        <v>49.7</v>
      </c>
      <c r="BD13" s="39">
        <f t="shared" si="3"/>
        <v>234.8</v>
      </c>
      <c r="BE13">
        <v>1</v>
      </c>
      <c r="BF13" s="39">
        <f t="shared" si="4"/>
        <v>99.2</v>
      </c>
      <c r="BG13" s="39">
        <f t="shared" si="5"/>
        <v>1776.2</v>
      </c>
      <c r="BH13">
        <v>1</v>
      </c>
      <c r="BI13" t="b">
        <v>1</v>
      </c>
      <c r="BJ13" t="str">
        <f t="shared" si="6"/>
        <v>M2,max - 3_LRFD42 (1.2D+1.0W+L+0.5Lr)(SQ)</v>
      </c>
    </row>
    <row r="14" spans="1:62" x14ac:dyDescent="0.25">
      <c r="A14" s="2"/>
      <c r="B14" s="2"/>
      <c r="C14" s="2"/>
      <c r="D14" s="2"/>
      <c r="L14" s="2"/>
      <c r="AA14" s="45" t="s">
        <v>62</v>
      </c>
      <c r="AB14" s="42">
        <f>MATCH(AM14,$K$4:$K$9999,0)</f>
        <v>705</v>
      </c>
      <c r="AC14" s="7" t="str" cm="1">
        <f t="array" ref="AC14">INDEX($A$4:$A$9999,AB14)</f>
        <v>4F</v>
      </c>
      <c r="AD14" s="7" t="str" cm="1">
        <f t="array" ref="AD14">INDEX($B$4:$B$9999,AB14)</f>
        <v>C12</v>
      </c>
      <c r="AE14" s="7" t="str" cm="1">
        <f t="array" ref="AE14">INDEX($C$4:$C$9999,AB14)</f>
        <v>537</v>
      </c>
      <c r="AF14" s="46" t="str" cm="1">
        <f t="array" ref="AF14">INDEX($D$4:$D$9999,AB14)</f>
        <v>3_LRFD41 (1.2D+1.0W+L+0.5Lr)(SQ)</v>
      </c>
      <c r="AG14" s="7" cm="1">
        <f t="array" ref="AG14">INDEX($E$4:$E$9999,AB14)</f>
        <v>13</v>
      </c>
      <c r="AH14" s="40" cm="1">
        <f t="array" ref="AH14">INDEX($F$4:$F$9999,AB14)</f>
        <v>-20096.599999999999</v>
      </c>
      <c r="AI14" s="40" cm="1">
        <f t="array" ref="AI14">INDEX($G$4:$G$9999,AB14)</f>
        <v>0.1</v>
      </c>
      <c r="AJ14" s="40" cm="1">
        <f t="array" ref="AJ14">INDEX($H$4:$H$9999,AB14)</f>
        <v>-106.9</v>
      </c>
      <c r="AK14" s="40" cm="1">
        <f t="array" ref="AK14">INDEX($I$4:$I$9999,AB14)</f>
        <v>-109.2</v>
      </c>
      <c r="AL14" s="40" cm="1">
        <f t="array" ref="AL14">INDEX($J$4:$J$9999,AB14)</f>
        <v>-1657.3</v>
      </c>
      <c r="AM14" s="41">
        <f>MIN($K$4:$K$9999)</f>
        <v>-886</v>
      </c>
      <c r="BA14" s="39">
        <f t="shared" si="0"/>
        <v>-20096.599999999999</v>
      </c>
      <c r="BB14" s="39">
        <f t="shared" si="1"/>
        <v>-109.2</v>
      </c>
      <c r="BC14" s="39">
        <f t="shared" si="2"/>
        <v>0.1</v>
      </c>
      <c r="BD14" s="39">
        <f t="shared" si="3"/>
        <v>-886</v>
      </c>
      <c r="BE14">
        <v>1</v>
      </c>
      <c r="BF14" s="39">
        <f t="shared" si="4"/>
        <v>-106.9</v>
      </c>
      <c r="BG14" s="39">
        <f t="shared" si="5"/>
        <v>-1657.3</v>
      </c>
      <c r="BH14">
        <v>1</v>
      </c>
      <c r="BI14" t="b">
        <v>1</v>
      </c>
      <c r="BJ14" t="str">
        <f t="shared" si="6"/>
        <v>M3,min - 3_LRFD41 (1.2D+1.0W+L+0.5Lr)(SQ)</v>
      </c>
    </row>
    <row r="15" spans="1:62" x14ac:dyDescent="0.25">
      <c r="A15" s="2"/>
      <c r="B15" s="2"/>
      <c r="C15" s="2"/>
      <c r="D15" s="2"/>
      <c r="L15" s="2"/>
      <c r="AA15" s="45" t="s">
        <v>61</v>
      </c>
      <c r="AB15" s="42">
        <f>MATCH(AM15,$K$4:$K$9999,0)</f>
        <v>840</v>
      </c>
      <c r="AC15" s="7" t="str" cm="1">
        <f t="array" ref="AC15">INDEX($A$4:$A$9999,AB15)</f>
        <v>4F</v>
      </c>
      <c r="AD15" s="7" t="str" cm="1">
        <f t="array" ref="AD15">INDEX($B$4:$B$9999,AB15)</f>
        <v>C12</v>
      </c>
      <c r="AE15" s="7" t="str" cm="1">
        <f t="array" ref="AE15">INDEX($C$4:$C$9999,AB15)</f>
        <v>537</v>
      </c>
      <c r="AF15" s="46" t="str" cm="1">
        <f t="array" ref="AF15">INDEX($D$4:$D$9999,AB15)</f>
        <v>3_LRFD52 (0.9D+1.0W)(SQ)</v>
      </c>
      <c r="AG15" s="7" cm="1">
        <f t="array" ref="AG15">INDEX($E$4:$E$9999,AB15)</f>
        <v>13</v>
      </c>
      <c r="AH15" s="40" cm="1">
        <f t="array" ref="AH15">INDEX($F$4:$F$9999,AB15)</f>
        <v>-878.3</v>
      </c>
      <c r="AI15" s="40" cm="1">
        <f t="array" ref="AI15">INDEX($G$4:$G$9999,AB15)</f>
        <v>40.4</v>
      </c>
      <c r="AJ15" s="40" cm="1">
        <f t="array" ref="AJ15">INDEX($H$4:$H$9999,AB15)</f>
        <v>110.5</v>
      </c>
      <c r="AK15" s="40" cm="1">
        <f t="array" ref="AK15">INDEX($I$4:$I$9999,AB15)</f>
        <v>139.1</v>
      </c>
      <c r="AL15" s="40" cm="1">
        <f t="array" ref="AL15">INDEX($J$4:$J$9999,AB15)</f>
        <v>1509.5</v>
      </c>
      <c r="AM15" s="41">
        <f>MAX($K$4:$K$9999)</f>
        <v>503.6</v>
      </c>
      <c r="BA15" s="39">
        <f t="shared" si="0"/>
        <v>-878.3</v>
      </c>
      <c r="BB15" s="39">
        <f t="shared" si="1"/>
        <v>139.1</v>
      </c>
      <c r="BC15" s="39">
        <f t="shared" si="2"/>
        <v>40.4</v>
      </c>
      <c r="BD15" s="39">
        <f t="shared" si="3"/>
        <v>503.6</v>
      </c>
      <c r="BE15">
        <v>1</v>
      </c>
      <c r="BF15" s="39">
        <f t="shared" si="4"/>
        <v>110.5</v>
      </c>
      <c r="BG15" s="39">
        <f t="shared" si="5"/>
        <v>1509.5</v>
      </c>
      <c r="BH15">
        <v>1</v>
      </c>
      <c r="BI15" t="b">
        <v>1</v>
      </c>
      <c r="BJ15" t="str">
        <f t="shared" si="6"/>
        <v>M3,max - 3_LRFD52 (0.9D+1.0W)(SQ)</v>
      </c>
    </row>
    <row r="16" spans="1:62" x14ac:dyDescent="0.25">
      <c r="A16" s="2"/>
      <c r="B16" s="2"/>
      <c r="C16" s="2"/>
      <c r="D16" s="2"/>
      <c r="L16" s="2"/>
    </row>
    <row r="17" spans="1:12" x14ac:dyDescent="0.25">
      <c r="A17" s="2"/>
      <c r="B17" s="2"/>
      <c r="C17" s="2"/>
      <c r="D17" s="2"/>
      <c r="L17" s="2"/>
    </row>
    <row r="18" spans="1:12" x14ac:dyDescent="0.25">
      <c r="A18" s="2"/>
      <c r="B18" s="2"/>
      <c r="C18" s="2"/>
      <c r="D18" s="2"/>
      <c r="L18" s="2"/>
    </row>
    <row r="19" spans="1:12" x14ac:dyDescent="0.25">
      <c r="A19" s="2"/>
      <c r="B19" s="2"/>
      <c r="C19" s="2"/>
      <c r="D19" s="2"/>
      <c r="L19" s="2"/>
    </row>
    <row r="20" spans="1:12" x14ac:dyDescent="0.25">
      <c r="A20" s="2"/>
      <c r="B20" s="2"/>
      <c r="C20" s="2"/>
      <c r="D20" s="2"/>
      <c r="L20" s="2"/>
    </row>
    <row r="21" spans="1:12" x14ac:dyDescent="0.25">
      <c r="A21" s="2"/>
      <c r="B21" s="2"/>
      <c r="C21" s="2"/>
      <c r="D21" s="2"/>
      <c r="L21" s="2"/>
    </row>
    <row r="22" spans="1:12" x14ac:dyDescent="0.25">
      <c r="A22" s="2"/>
      <c r="B22" s="2"/>
      <c r="C22" s="2"/>
      <c r="D22" s="2"/>
      <c r="L22" s="2"/>
    </row>
    <row r="23" spans="1:12" x14ac:dyDescent="0.25">
      <c r="A23" s="2"/>
      <c r="B23" s="2"/>
      <c r="C23" s="2"/>
      <c r="D23" s="2"/>
      <c r="L23" s="2"/>
    </row>
    <row r="24" spans="1:12" x14ac:dyDescent="0.25">
      <c r="A24" s="2"/>
      <c r="B24" s="2"/>
      <c r="C24" s="2"/>
      <c r="D24" s="2"/>
      <c r="L24" s="2"/>
    </row>
    <row r="25" spans="1:12" x14ac:dyDescent="0.25">
      <c r="A25" s="2"/>
      <c r="B25" s="2"/>
      <c r="C25" s="2"/>
      <c r="D25" s="2"/>
      <c r="L25" s="2"/>
    </row>
    <row r="26" spans="1:12" x14ac:dyDescent="0.25">
      <c r="A26" s="2"/>
      <c r="B26" s="2"/>
      <c r="C26" s="2"/>
      <c r="D26" s="2"/>
      <c r="L26" s="2"/>
    </row>
    <row r="27" spans="1:12" x14ac:dyDescent="0.25">
      <c r="A27" s="2"/>
      <c r="B27" s="2"/>
      <c r="C27" s="2"/>
      <c r="D27" s="2"/>
      <c r="L27" s="2"/>
    </row>
    <row r="28" spans="1:12" x14ac:dyDescent="0.25">
      <c r="A28" s="2"/>
      <c r="B28" s="2"/>
      <c r="C28" s="2"/>
      <c r="D28" s="2"/>
      <c r="L28" s="2"/>
    </row>
    <row r="29" spans="1:12" x14ac:dyDescent="0.25">
      <c r="A29" s="2"/>
      <c r="B29" s="2"/>
      <c r="C29" s="2"/>
      <c r="D29" s="2"/>
      <c r="L29" s="2"/>
    </row>
    <row r="30" spans="1:12" x14ac:dyDescent="0.25">
      <c r="A30" s="2"/>
      <c r="B30" s="2"/>
      <c r="C30" s="2"/>
      <c r="D30" s="2"/>
      <c r="L30" s="2"/>
    </row>
    <row r="31" spans="1:12" x14ac:dyDescent="0.25">
      <c r="A31" s="2"/>
      <c r="B31" s="2"/>
      <c r="C31" s="2"/>
      <c r="D31" s="2"/>
      <c r="L31" s="2"/>
    </row>
    <row r="32" spans="1:12" x14ac:dyDescent="0.25">
      <c r="A32" s="2" t="s">
        <v>30</v>
      </c>
      <c r="B32" s="2" t="s">
        <v>78</v>
      </c>
      <c r="C32" s="2" t="s">
        <v>79</v>
      </c>
      <c r="D32" s="2" t="s">
        <v>34</v>
      </c>
      <c r="E32">
        <v>12.071400000000001</v>
      </c>
      <c r="F32">
        <v>-18095.3</v>
      </c>
      <c r="G32">
        <v>20.9</v>
      </c>
      <c r="H32">
        <v>-20.399999999999999</v>
      </c>
      <c r="I32">
        <v>35.5</v>
      </c>
      <c r="J32">
        <v>76.8</v>
      </c>
      <c r="K32">
        <v>-92.8</v>
      </c>
      <c r="L32" s="2"/>
    </row>
    <row r="33" spans="1:12" x14ac:dyDescent="0.25">
      <c r="A33" s="2" t="s">
        <v>30</v>
      </c>
      <c r="B33" s="2" t="s">
        <v>78</v>
      </c>
      <c r="C33" s="2" t="s">
        <v>79</v>
      </c>
      <c r="D33" s="2" t="s">
        <v>34</v>
      </c>
      <c r="E33">
        <v>13</v>
      </c>
      <c r="F33">
        <v>-18052.400000000001</v>
      </c>
      <c r="G33">
        <v>20.9</v>
      </c>
      <c r="H33">
        <v>-20.399999999999999</v>
      </c>
      <c r="I33">
        <v>35.5</v>
      </c>
      <c r="J33">
        <v>98.4</v>
      </c>
      <c r="K33">
        <v>-112.9</v>
      </c>
      <c r="L33" s="2"/>
    </row>
    <row r="34" spans="1:12" x14ac:dyDescent="0.25">
      <c r="A34" s="2" t="s">
        <v>30</v>
      </c>
      <c r="B34" s="2" t="s">
        <v>78</v>
      </c>
      <c r="C34" s="2" t="s">
        <v>79</v>
      </c>
      <c r="D34" s="2" t="s">
        <v>35</v>
      </c>
      <c r="E34">
        <v>0</v>
      </c>
      <c r="F34">
        <v>-17549</v>
      </c>
      <c r="G34">
        <v>17.5</v>
      </c>
      <c r="H34">
        <v>-17.399999999999999</v>
      </c>
      <c r="I34">
        <v>31.7</v>
      </c>
      <c r="J34">
        <v>-171.6</v>
      </c>
      <c r="K34">
        <v>147.19999999999999</v>
      </c>
      <c r="L34" s="2"/>
    </row>
    <row r="35" spans="1:12" x14ac:dyDescent="0.25">
      <c r="A35" s="2" t="s">
        <v>30</v>
      </c>
      <c r="B35" s="2" t="s">
        <v>78</v>
      </c>
      <c r="C35" s="2" t="s">
        <v>79</v>
      </c>
      <c r="D35" s="2" t="s">
        <v>35</v>
      </c>
      <c r="E35">
        <v>0.92859999999999998</v>
      </c>
      <c r="F35">
        <v>-17506.099999999999</v>
      </c>
      <c r="G35">
        <v>17.5</v>
      </c>
      <c r="H35">
        <v>-17.399999999999999</v>
      </c>
      <c r="I35">
        <v>31.7</v>
      </c>
      <c r="J35">
        <v>-155.1</v>
      </c>
      <c r="K35">
        <v>131.4</v>
      </c>
      <c r="L35" s="2"/>
    </row>
    <row r="36" spans="1:12" x14ac:dyDescent="0.25">
      <c r="A36" s="2" t="s">
        <v>30</v>
      </c>
      <c r="B36" s="2" t="s">
        <v>78</v>
      </c>
      <c r="C36" s="2" t="s">
        <v>79</v>
      </c>
      <c r="D36" s="2" t="s">
        <v>35</v>
      </c>
      <c r="E36">
        <v>1.8571</v>
      </c>
      <c r="F36">
        <v>-17463.3</v>
      </c>
      <c r="G36">
        <v>17.5</v>
      </c>
      <c r="H36">
        <v>-17.399999999999999</v>
      </c>
      <c r="I36">
        <v>31.7</v>
      </c>
      <c r="J36">
        <v>-138</v>
      </c>
      <c r="K36">
        <v>115</v>
      </c>
      <c r="L36" s="2"/>
    </row>
    <row r="37" spans="1:12" x14ac:dyDescent="0.25">
      <c r="A37" s="2" t="s">
        <v>30</v>
      </c>
      <c r="B37" s="2" t="s">
        <v>78</v>
      </c>
      <c r="C37" s="2" t="s">
        <v>79</v>
      </c>
      <c r="D37" s="2" t="s">
        <v>35</v>
      </c>
      <c r="E37">
        <v>2.7856999999999998</v>
      </c>
      <c r="F37">
        <v>-17420.400000000001</v>
      </c>
      <c r="G37">
        <v>17.5</v>
      </c>
      <c r="H37">
        <v>-17.399999999999999</v>
      </c>
      <c r="I37">
        <v>31.7</v>
      </c>
      <c r="J37">
        <v>-120.5</v>
      </c>
      <c r="K37">
        <v>98.3</v>
      </c>
      <c r="L37" s="2"/>
    </row>
    <row r="38" spans="1:12" x14ac:dyDescent="0.25">
      <c r="A38" s="2" t="s">
        <v>30</v>
      </c>
      <c r="B38" s="2" t="s">
        <v>78</v>
      </c>
      <c r="C38" s="2" t="s">
        <v>79</v>
      </c>
      <c r="D38" s="2" t="s">
        <v>35</v>
      </c>
      <c r="E38">
        <v>3.7143000000000002</v>
      </c>
      <c r="F38">
        <v>-17377.5</v>
      </c>
      <c r="G38">
        <v>17.5</v>
      </c>
      <c r="H38">
        <v>-17.399999999999999</v>
      </c>
      <c r="I38">
        <v>31.7</v>
      </c>
      <c r="J38">
        <v>-102.5</v>
      </c>
      <c r="K38">
        <v>81.2</v>
      </c>
      <c r="L38" s="2"/>
    </row>
    <row r="39" spans="1:12" x14ac:dyDescent="0.25">
      <c r="A39" s="2" t="s">
        <v>30</v>
      </c>
      <c r="B39" s="2" t="s">
        <v>78</v>
      </c>
      <c r="C39" s="2" t="s">
        <v>79</v>
      </c>
      <c r="D39" s="2" t="s">
        <v>35</v>
      </c>
      <c r="E39">
        <v>4.6429</v>
      </c>
      <c r="F39">
        <v>-17334.599999999999</v>
      </c>
      <c r="G39">
        <v>17.5</v>
      </c>
      <c r="H39">
        <v>-17.399999999999999</v>
      </c>
      <c r="I39">
        <v>31.7</v>
      </c>
      <c r="J39">
        <v>-84.2</v>
      </c>
      <c r="K39">
        <v>63.9</v>
      </c>
      <c r="L39" s="2"/>
    </row>
    <row r="40" spans="1:12" x14ac:dyDescent="0.25">
      <c r="A40" s="2" t="s">
        <v>30</v>
      </c>
      <c r="B40" s="2" t="s">
        <v>78</v>
      </c>
      <c r="C40" s="2" t="s">
        <v>79</v>
      </c>
      <c r="D40" s="2" t="s">
        <v>35</v>
      </c>
      <c r="E40">
        <v>5.5713999999999997</v>
      </c>
      <c r="F40">
        <v>-17291.7</v>
      </c>
      <c r="G40">
        <v>17.5</v>
      </c>
      <c r="H40">
        <v>-17.399999999999999</v>
      </c>
      <c r="I40">
        <v>31.7</v>
      </c>
      <c r="J40">
        <v>-65.599999999999994</v>
      </c>
      <c r="K40">
        <v>46.3</v>
      </c>
      <c r="L40" s="2"/>
    </row>
    <row r="41" spans="1:12" x14ac:dyDescent="0.25">
      <c r="A41" s="2" t="s">
        <v>30</v>
      </c>
      <c r="B41" s="2" t="s">
        <v>78</v>
      </c>
      <c r="C41" s="2" t="s">
        <v>79</v>
      </c>
      <c r="D41" s="2" t="s">
        <v>35</v>
      </c>
      <c r="E41">
        <v>6.5</v>
      </c>
      <c r="F41">
        <v>-17248.900000000001</v>
      </c>
      <c r="G41">
        <v>17.5</v>
      </c>
      <c r="H41">
        <v>-17.399999999999999</v>
      </c>
      <c r="I41">
        <v>31.7</v>
      </c>
      <c r="J41">
        <v>-46.7</v>
      </c>
      <c r="K41">
        <v>28.5</v>
      </c>
      <c r="L41" s="2"/>
    </row>
    <row r="42" spans="1:12" x14ac:dyDescent="0.25">
      <c r="A42" s="2" t="s">
        <v>30</v>
      </c>
      <c r="B42" s="2" t="s">
        <v>78</v>
      </c>
      <c r="C42" s="2" t="s">
        <v>79</v>
      </c>
      <c r="D42" s="2" t="s">
        <v>35</v>
      </c>
      <c r="E42">
        <v>7.4286000000000003</v>
      </c>
      <c r="F42">
        <v>-17206</v>
      </c>
      <c r="G42">
        <v>17.5</v>
      </c>
      <c r="H42">
        <v>-17.399999999999999</v>
      </c>
      <c r="I42">
        <v>31.7</v>
      </c>
      <c r="J42">
        <v>-27.7</v>
      </c>
      <c r="K42">
        <v>10.7</v>
      </c>
      <c r="L42" s="2"/>
    </row>
    <row r="43" spans="1:12" x14ac:dyDescent="0.25">
      <c r="A43" s="2" t="s">
        <v>30</v>
      </c>
      <c r="B43" s="2" t="s">
        <v>78</v>
      </c>
      <c r="C43" s="2" t="s">
        <v>79</v>
      </c>
      <c r="D43" s="2" t="s">
        <v>35</v>
      </c>
      <c r="E43">
        <v>8.3571000000000009</v>
      </c>
      <c r="F43">
        <v>-17163.099999999999</v>
      </c>
      <c r="G43">
        <v>17.5</v>
      </c>
      <c r="H43">
        <v>-17.399999999999999</v>
      </c>
      <c r="I43">
        <v>31.7</v>
      </c>
      <c r="J43">
        <v>-8.6</v>
      </c>
      <c r="K43">
        <v>-7.2</v>
      </c>
      <c r="L43" s="2"/>
    </row>
    <row r="44" spans="1:12" x14ac:dyDescent="0.25">
      <c r="A44" s="2" t="s">
        <v>30</v>
      </c>
      <c r="B44" s="2" t="s">
        <v>78</v>
      </c>
      <c r="C44" s="2" t="s">
        <v>79</v>
      </c>
      <c r="D44" s="2" t="s">
        <v>35</v>
      </c>
      <c r="E44">
        <v>9.2857000000000003</v>
      </c>
      <c r="F44">
        <v>-17120.2</v>
      </c>
      <c r="G44">
        <v>17.5</v>
      </c>
      <c r="H44">
        <v>-17.399999999999999</v>
      </c>
      <c r="I44">
        <v>31.7</v>
      </c>
      <c r="J44">
        <v>10.5</v>
      </c>
      <c r="K44">
        <v>-25.1</v>
      </c>
      <c r="L44" s="2"/>
    </row>
    <row r="45" spans="1:12" x14ac:dyDescent="0.25">
      <c r="A45" s="2" t="s">
        <v>30</v>
      </c>
      <c r="B45" s="2" t="s">
        <v>78</v>
      </c>
      <c r="C45" s="2" t="s">
        <v>79</v>
      </c>
      <c r="D45" s="2" t="s">
        <v>35</v>
      </c>
      <c r="E45">
        <v>10.2143</v>
      </c>
      <c r="F45">
        <v>-17077.3</v>
      </c>
      <c r="G45">
        <v>17.5</v>
      </c>
      <c r="H45">
        <v>-17.399999999999999</v>
      </c>
      <c r="I45">
        <v>31.7</v>
      </c>
      <c r="J45">
        <v>29.6</v>
      </c>
      <c r="K45">
        <v>-42.9</v>
      </c>
      <c r="L45" s="2"/>
    </row>
    <row r="46" spans="1:12" x14ac:dyDescent="0.25">
      <c r="A46" s="2" t="s">
        <v>30</v>
      </c>
      <c r="B46" s="2" t="s">
        <v>78</v>
      </c>
      <c r="C46" s="2" t="s">
        <v>79</v>
      </c>
      <c r="D46" s="2" t="s">
        <v>35</v>
      </c>
      <c r="E46">
        <v>11.142899999999999</v>
      </c>
      <c r="F46">
        <v>-17034.400000000001</v>
      </c>
      <c r="G46">
        <v>17.5</v>
      </c>
      <c r="H46">
        <v>-17.399999999999999</v>
      </c>
      <c r="I46">
        <v>31.7</v>
      </c>
      <c r="J46">
        <v>48.6</v>
      </c>
      <c r="K46">
        <v>-60.5</v>
      </c>
      <c r="L46" s="2"/>
    </row>
    <row r="47" spans="1:12" x14ac:dyDescent="0.25">
      <c r="A47" s="2" t="s">
        <v>30</v>
      </c>
      <c r="B47" s="2" t="s">
        <v>78</v>
      </c>
      <c r="C47" s="2" t="s">
        <v>79</v>
      </c>
      <c r="D47" s="2" t="s">
        <v>35</v>
      </c>
      <c r="E47">
        <v>12.071400000000001</v>
      </c>
      <c r="F47">
        <v>-16991.599999999999</v>
      </c>
      <c r="G47">
        <v>17.5</v>
      </c>
      <c r="H47">
        <v>-17.399999999999999</v>
      </c>
      <c r="I47">
        <v>31.7</v>
      </c>
      <c r="J47">
        <v>67.5</v>
      </c>
      <c r="K47">
        <v>-77.900000000000006</v>
      </c>
      <c r="L47" s="2"/>
    </row>
    <row r="48" spans="1:12" x14ac:dyDescent="0.25">
      <c r="A48" s="2" t="s">
        <v>30</v>
      </c>
      <c r="B48" s="2" t="s">
        <v>78</v>
      </c>
      <c r="C48" s="2" t="s">
        <v>79</v>
      </c>
      <c r="D48" s="2" t="s">
        <v>35</v>
      </c>
      <c r="E48">
        <v>13</v>
      </c>
      <c r="F48">
        <v>-16948.7</v>
      </c>
      <c r="G48">
        <v>17.5</v>
      </c>
      <c r="H48">
        <v>-17.399999999999999</v>
      </c>
      <c r="I48">
        <v>31.7</v>
      </c>
      <c r="J48">
        <v>86.1</v>
      </c>
      <c r="K48">
        <v>-95</v>
      </c>
      <c r="L48" s="2"/>
    </row>
    <row r="49" spans="1:12" x14ac:dyDescent="0.25">
      <c r="A49" s="2" t="s">
        <v>30</v>
      </c>
      <c r="B49" s="2" t="s">
        <v>78</v>
      </c>
      <c r="C49" s="2" t="s">
        <v>79</v>
      </c>
      <c r="D49" s="2" t="s">
        <v>36</v>
      </c>
      <c r="E49">
        <v>0</v>
      </c>
      <c r="F49">
        <v>-14149.6</v>
      </c>
      <c r="G49">
        <v>36.6</v>
      </c>
      <c r="H49">
        <v>66.099999999999994</v>
      </c>
      <c r="I49">
        <v>99.6</v>
      </c>
      <c r="J49">
        <v>151.69999999999999</v>
      </c>
      <c r="K49">
        <v>167.2</v>
      </c>
      <c r="L49" s="2"/>
    </row>
    <row r="50" spans="1:12" x14ac:dyDescent="0.25">
      <c r="A50" s="2" t="s">
        <v>30</v>
      </c>
      <c r="B50" s="2" t="s">
        <v>78</v>
      </c>
      <c r="C50" s="2" t="s">
        <v>79</v>
      </c>
      <c r="D50" s="2" t="s">
        <v>36</v>
      </c>
      <c r="E50">
        <v>0.92859999999999998</v>
      </c>
      <c r="F50">
        <v>-14106.7</v>
      </c>
      <c r="G50">
        <v>36.6</v>
      </c>
      <c r="H50">
        <v>66.099999999999994</v>
      </c>
      <c r="I50">
        <v>99.6</v>
      </c>
      <c r="J50">
        <v>91</v>
      </c>
      <c r="K50">
        <v>133.19999999999999</v>
      </c>
      <c r="L50" s="2"/>
    </row>
    <row r="51" spans="1:12" x14ac:dyDescent="0.25">
      <c r="A51" s="2" t="s">
        <v>30</v>
      </c>
      <c r="B51" s="2" t="s">
        <v>78</v>
      </c>
      <c r="C51" s="2" t="s">
        <v>79</v>
      </c>
      <c r="D51" s="2" t="s">
        <v>36</v>
      </c>
      <c r="E51">
        <v>1.8571</v>
      </c>
      <c r="F51">
        <v>-14063.8</v>
      </c>
      <c r="G51">
        <v>36.6</v>
      </c>
      <c r="H51">
        <v>66.099999999999994</v>
      </c>
      <c r="I51">
        <v>99.6</v>
      </c>
      <c r="J51">
        <v>30.7</v>
      </c>
      <c r="K51">
        <v>99.2</v>
      </c>
      <c r="L51" s="2"/>
    </row>
    <row r="52" spans="1:12" x14ac:dyDescent="0.25">
      <c r="A52" s="2" t="s">
        <v>30</v>
      </c>
      <c r="B52" s="2" t="s">
        <v>78</v>
      </c>
      <c r="C52" s="2" t="s">
        <v>79</v>
      </c>
      <c r="D52" s="2" t="s">
        <v>36</v>
      </c>
      <c r="E52">
        <v>2.7856999999999998</v>
      </c>
      <c r="F52">
        <v>-14020.9</v>
      </c>
      <c r="G52">
        <v>36.6</v>
      </c>
      <c r="H52">
        <v>66.099999999999994</v>
      </c>
      <c r="I52">
        <v>99.6</v>
      </c>
      <c r="J52">
        <v>-8</v>
      </c>
      <c r="K52">
        <v>80.599999999999994</v>
      </c>
      <c r="L52" s="2"/>
    </row>
    <row r="53" spans="1:12" x14ac:dyDescent="0.25">
      <c r="A53" s="2" t="s">
        <v>30</v>
      </c>
      <c r="B53" s="2" t="s">
        <v>78</v>
      </c>
      <c r="C53" s="2" t="s">
        <v>79</v>
      </c>
      <c r="D53" s="2" t="s">
        <v>36</v>
      </c>
      <c r="E53">
        <v>3.7143000000000002</v>
      </c>
      <c r="F53">
        <v>-13978.1</v>
      </c>
      <c r="G53">
        <v>36.6</v>
      </c>
      <c r="H53">
        <v>66.099999999999994</v>
      </c>
      <c r="I53">
        <v>99.6</v>
      </c>
      <c r="J53">
        <v>-16.8</v>
      </c>
      <c r="K53">
        <v>73.3</v>
      </c>
      <c r="L53" s="2"/>
    </row>
    <row r="54" spans="1:12" x14ac:dyDescent="0.25">
      <c r="A54" s="2" t="s">
        <v>30</v>
      </c>
      <c r="B54" s="2" t="s">
        <v>78</v>
      </c>
      <c r="C54" s="2" t="s">
        <v>79</v>
      </c>
      <c r="D54" s="2" t="s">
        <v>36</v>
      </c>
      <c r="E54">
        <v>4.6429</v>
      </c>
      <c r="F54">
        <v>-13935.2</v>
      </c>
      <c r="G54">
        <v>36.6</v>
      </c>
      <c r="H54">
        <v>66.099999999999994</v>
      </c>
      <c r="I54">
        <v>99.6</v>
      </c>
      <c r="J54">
        <v>-7.1</v>
      </c>
      <c r="K54">
        <v>65.900000000000006</v>
      </c>
      <c r="L54" s="2"/>
    </row>
    <row r="55" spans="1:12" x14ac:dyDescent="0.25">
      <c r="A55" s="2" t="s">
        <v>30</v>
      </c>
      <c r="B55" s="2" t="s">
        <v>78</v>
      </c>
      <c r="C55" s="2" t="s">
        <v>79</v>
      </c>
      <c r="D55" s="2" t="s">
        <v>36</v>
      </c>
      <c r="E55">
        <v>5.5713999999999997</v>
      </c>
      <c r="F55">
        <v>-13892.3</v>
      </c>
      <c r="G55">
        <v>36.6</v>
      </c>
      <c r="H55">
        <v>66.099999999999994</v>
      </c>
      <c r="I55">
        <v>99.6</v>
      </c>
      <c r="J55">
        <v>51.4</v>
      </c>
      <c r="K55">
        <v>58.2</v>
      </c>
      <c r="L55" s="2"/>
    </row>
    <row r="56" spans="1:12" x14ac:dyDescent="0.25">
      <c r="A56" s="2" t="s">
        <v>30</v>
      </c>
      <c r="B56" s="2" t="s">
        <v>78</v>
      </c>
      <c r="C56" s="2" t="s">
        <v>79</v>
      </c>
      <c r="D56" s="2" t="s">
        <v>36</v>
      </c>
      <c r="E56">
        <v>6.5</v>
      </c>
      <c r="F56">
        <v>-13849.4</v>
      </c>
      <c r="G56">
        <v>36.6</v>
      </c>
      <c r="H56">
        <v>66.099999999999994</v>
      </c>
      <c r="I56">
        <v>99.6</v>
      </c>
      <c r="J56">
        <v>110.1</v>
      </c>
      <c r="K56">
        <v>50.5</v>
      </c>
      <c r="L56" s="2"/>
    </row>
    <row r="57" spans="1:12" x14ac:dyDescent="0.25">
      <c r="A57" s="2" t="s">
        <v>30</v>
      </c>
      <c r="B57" s="2" t="s">
        <v>78</v>
      </c>
      <c r="C57" s="2" t="s">
        <v>79</v>
      </c>
      <c r="D57" s="2" t="s">
        <v>36</v>
      </c>
      <c r="E57">
        <v>7.4286000000000003</v>
      </c>
      <c r="F57">
        <v>-13806.5</v>
      </c>
      <c r="G57">
        <v>36.6</v>
      </c>
      <c r="H57">
        <v>66.099999999999994</v>
      </c>
      <c r="I57">
        <v>99.6</v>
      </c>
      <c r="J57">
        <v>169</v>
      </c>
      <c r="K57">
        <v>42.7</v>
      </c>
      <c r="L57" s="2"/>
    </row>
    <row r="58" spans="1:12" x14ac:dyDescent="0.25">
      <c r="A58" s="2" t="s">
        <v>30</v>
      </c>
      <c r="B58" s="2" t="s">
        <v>78</v>
      </c>
      <c r="C58" s="2" t="s">
        <v>79</v>
      </c>
      <c r="D58" s="2" t="s">
        <v>36</v>
      </c>
      <c r="E58">
        <v>8.3571000000000009</v>
      </c>
      <c r="F58">
        <v>-13763.6</v>
      </c>
      <c r="G58">
        <v>36.6</v>
      </c>
      <c r="H58">
        <v>66.099999999999994</v>
      </c>
      <c r="I58">
        <v>99.6</v>
      </c>
      <c r="J58">
        <v>227.8</v>
      </c>
      <c r="K58">
        <v>34.799999999999997</v>
      </c>
      <c r="L58" s="2"/>
    </row>
    <row r="59" spans="1:12" x14ac:dyDescent="0.25">
      <c r="A59" s="2" t="s">
        <v>30</v>
      </c>
      <c r="B59" s="2" t="s">
        <v>78</v>
      </c>
      <c r="C59" s="2" t="s">
        <v>79</v>
      </c>
      <c r="D59" s="2" t="s">
        <v>36</v>
      </c>
      <c r="E59">
        <v>9.2857000000000003</v>
      </c>
      <c r="F59">
        <v>-13720.8</v>
      </c>
      <c r="G59">
        <v>36.6</v>
      </c>
      <c r="H59">
        <v>66.099999999999994</v>
      </c>
      <c r="I59">
        <v>99.6</v>
      </c>
      <c r="J59">
        <v>286.7</v>
      </c>
      <c r="K59">
        <v>27</v>
      </c>
      <c r="L59" s="2"/>
    </row>
    <row r="60" spans="1:12" x14ac:dyDescent="0.25">
      <c r="A60" s="2" t="s">
        <v>30</v>
      </c>
      <c r="B60" s="2" t="s">
        <v>78</v>
      </c>
      <c r="C60" s="2" t="s">
        <v>79</v>
      </c>
      <c r="D60" s="2" t="s">
        <v>36</v>
      </c>
      <c r="E60">
        <v>10.2143</v>
      </c>
      <c r="F60">
        <v>-13677.9</v>
      </c>
      <c r="G60">
        <v>36.6</v>
      </c>
      <c r="H60">
        <v>66.099999999999994</v>
      </c>
      <c r="I60">
        <v>99.6</v>
      </c>
      <c r="J60">
        <v>345.6</v>
      </c>
      <c r="K60">
        <v>19.2</v>
      </c>
      <c r="L60" s="2"/>
    </row>
    <row r="61" spans="1:12" x14ac:dyDescent="0.25">
      <c r="A61" s="2" t="s">
        <v>30</v>
      </c>
      <c r="B61" s="2" t="s">
        <v>78</v>
      </c>
      <c r="C61" s="2" t="s">
        <v>79</v>
      </c>
      <c r="D61" s="2" t="s">
        <v>36</v>
      </c>
      <c r="E61">
        <v>11.142899999999999</v>
      </c>
      <c r="F61">
        <v>-13635</v>
      </c>
      <c r="G61">
        <v>36.6</v>
      </c>
      <c r="H61">
        <v>66.099999999999994</v>
      </c>
      <c r="I61">
        <v>99.6</v>
      </c>
      <c r="J61">
        <v>404.3</v>
      </c>
      <c r="K61">
        <v>11.5</v>
      </c>
      <c r="L61" s="2"/>
    </row>
    <row r="62" spans="1:12" x14ac:dyDescent="0.25">
      <c r="A62" s="2" t="s">
        <v>30</v>
      </c>
      <c r="B62" s="2" t="s">
        <v>78</v>
      </c>
      <c r="C62" s="2" t="s">
        <v>79</v>
      </c>
      <c r="D62" s="2" t="s">
        <v>36</v>
      </c>
      <c r="E62">
        <v>12.071400000000001</v>
      </c>
      <c r="F62">
        <v>-13592.1</v>
      </c>
      <c r="G62">
        <v>36.6</v>
      </c>
      <c r="H62">
        <v>66.099999999999994</v>
      </c>
      <c r="I62">
        <v>99.6</v>
      </c>
      <c r="J62">
        <v>463</v>
      </c>
      <c r="K62">
        <v>4</v>
      </c>
      <c r="L62" s="2"/>
    </row>
    <row r="63" spans="1:12" x14ac:dyDescent="0.25">
      <c r="A63" s="2" t="s">
        <v>30</v>
      </c>
      <c r="B63" s="2" t="s">
        <v>78</v>
      </c>
      <c r="C63" s="2" t="s">
        <v>79</v>
      </c>
      <c r="D63" s="2" t="s">
        <v>36</v>
      </c>
      <c r="E63">
        <v>13</v>
      </c>
      <c r="F63">
        <v>-13549.2</v>
      </c>
      <c r="G63">
        <v>36.6</v>
      </c>
      <c r="H63">
        <v>66.099999999999994</v>
      </c>
      <c r="I63">
        <v>99.6</v>
      </c>
      <c r="J63">
        <v>521.4</v>
      </c>
      <c r="K63">
        <v>-3.4</v>
      </c>
      <c r="L63" s="2"/>
    </row>
    <row r="64" spans="1:12" x14ac:dyDescent="0.25">
      <c r="A64" s="2" t="s">
        <v>30</v>
      </c>
      <c r="B64" s="2" t="s">
        <v>78</v>
      </c>
      <c r="C64" s="2" t="s">
        <v>79</v>
      </c>
      <c r="D64" s="2" t="s">
        <v>36</v>
      </c>
      <c r="E64">
        <v>0</v>
      </c>
      <c r="F64">
        <v>-17329.8</v>
      </c>
      <c r="G64">
        <v>6.7</v>
      </c>
      <c r="H64">
        <v>-60.7</v>
      </c>
      <c r="I64">
        <v>-36.200000000000003</v>
      </c>
      <c r="J64">
        <v>-295.7</v>
      </c>
      <c r="K64">
        <v>96.5</v>
      </c>
      <c r="L64" s="2"/>
    </row>
    <row r="65" spans="1:12" x14ac:dyDescent="0.25">
      <c r="A65" s="2" t="s">
        <v>30</v>
      </c>
      <c r="B65" s="2" t="s">
        <v>78</v>
      </c>
      <c r="C65" s="2" t="s">
        <v>79</v>
      </c>
      <c r="D65" s="2" t="s">
        <v>36</v>
      </c>
      <c r="E65">
        <v>0.92859999999999998</v>
      </c>
      <c r="F65">
        <v>-17286.900000000001</v>
      </c>
      <c r="G65">
        <v>6.7</v>
      </c>
      <c r="H65">
        <v>-60.7</v>
      </c>
      <c r="I65">
        <v>-36.200000000000003</v>
      </c>
      <c r="J65">
        <v>-238.7</v>
      </c>
      <c r="K65">
        <v>87.8</v>
      </c>
      <c r="L65" s="2"/>
    </row>
    <row r="66" spans="1:12" x14ac:dyDescent="0.25">
      <c r="A66" s="2" t="s">
        <v>30</v>
      </c>
      <c r="B66" s="2" t="s">
        <v>78</v>
      </c>
      <c r="C66" s="2" t="s">
        <v>79</v>
      </c>
      <c r="D66" s="2" t="s">
        <v>36</v>
      </c>
      <c r="E66">
        <v>1.8571</v>
      </c>
      <c r="F66">
        <v>-17244</v>
      </c>
      <c r="G66">
        <v>6.7</v>
      </c>
      <c r="H66">
        <v>-60.7</v>
      </c>
      <c r="I66">
        <v>-36.200000000000003</v>
      </c>
      <c r="J66">
        <v>-181.3</v>
      </c>
      <c r="K66">
        <v>78.8</v>
      </c>
      <c r="L66" s="2"/>
    </row>
    <row r="67" spans="1:12" x14ac:dyDescent="0.25">
      <c r="A67" s="2" t="s">
        <v>30</v>
      </c>
      <c r="B67" s="2" t="s">
        <v>78</v>
      </c>
      <c r="C67" s="2" t="s">
        <v>79</v>
      </c>
      <c r="D67" s="2" t="s">
        <v>36</v>
      </c>
      <c r="E67">
        <v>2.7856999999999998</v>
      </c>
      <c r="F67">
        <v>-17201.099999999999</v>
      </c>
      <c r="G67">
        <v>6.7</v>
      </c>
      <c r="H67">
        <v>-60.7</v>
      </c>
      <c r="I67">
        <v>-36.200000000000003</v>
      </c>
      <c r="J67">
        <v>-137.4</v>
      </c>
      <c r="K67">
        <v>61.2</v>
      </c>
      <c r="L67" s="2"/>
    </row>
    <row r="68" spans="1:12" x14ac:dyDescent="0.25">
      <c r="A68" s="2" t="s">
        <v>30</v>
      </c>
      <c r="B68" s="2" t="s">
        <v>78</v>
      </c>
      <c r="C68" s="2" t="s">
        <v>79</v>
      </c>
      <c r="D68" s="2" t="s">
        <v>36</v>
      </c>
      <c r="E68">
        <v>3.7143000000000002</v>
      </c>
      <c r="F68">
        <v>-17158.2</v>
      </c>
      <c r="G68">
        <v>6.7</v>
      </c>
      <c r="H68">
        <v>-60.7</v>
      </c>
      <c r="I68">
        <v>-36.200000000000003</v>
      </c>
      <c r="J68">
        <v>-116.4</v>
      </c>
      <c r="K68">
        <v>29</v>
      </c>
      <c r="L68" s="2"/>
    </row>
    <row r="69" spans="1:12" x14ac:dyDescent="0.25">
      <c r="A69" s="2" t="s">
        <v>30</v>
      </c>
      <c r="B69" s="2" t="s">
        <v>78</v>
      </c>
      <c r="C69" s="2" t="s">
        <v>79</v>
      </c>
      <c r="D69" s="2" t="s">
        <v>36</v>
      </c>
      <c r="E69">
        <v>4.6429</v>
      </c>
      <c r="F69">
        <v>-17115.400000000001</v>
      </c>
      <c r="G69">
        <v>6.7</v>
      </c>
      <c r="H69">
        <v>-60.7</v>
      </c>
      <c r="I69">
        <v>-36.200000000000003</v>
      </c>
      <c r="J69">
        <v>-148.30000000000001</v>
      </c>
      <c r="K69">
        <v>-6.2</v>
      </c>
      <c r="L69" s="2"/>
    </row>
    <row r="70" spans="1:12" x14ac:dyDescent="0.25">
      <c r="A70" s="2" t="s">
        <v>30</v>
      </c>
      <c r="B70" s="2" t="s">
        <v>78</v>
      </c>
      <c r="C70" s="2" t="s">
        <v>79</v>
      </c>
      <c r="D70" s="2" t="s">
        <v>36</v>
      </c>
      <c r="E70">
        <v>5.5713999999999997</v>
      </c>
      <c r="F70">
        <v>-17072.5</v>
      </c>
      <c r="G70">
        <v>6.7</v>
      </c>
      <c r="H70">
        <v>-60.7</v>
      </c>
      <c r="I70">
        <v>-36.200000000000003</v>
      </c>
      <c r="J70">
        <v>-207.5</v>
      </c>
      <c r="K70">
        <v>-41.5</v>
      </c>
      <c r="L70" s="2"/>
    </row>
    <row r="71" spans="1:12" x14ac:dyDescent="0.25">
      <c r="A71" s="2" t="s">
        <v>30</v>
      </c>
      <c r="B71" s="2" t="s">
        <v>78</v>
      </c>
      <c r="C71" s="2" t="s">
        <v>79</v>
      </c>
      <c r="D71" s="2" t="s">
        <v>36</v>
      </c>
      <c r="E71">
        <v>6.5</v>
      </c>
      <c r="F71">
        <v>-17029.599999999999</v>
      </c>
      <c r="G71">
        <v>6.7</v>
      </c>
      <c r="H71">
        <v>-60.7</v>
      </c>
      <c r="I71">
        <v>-36.200000000000003</v>
      </c>
      <c r="J71">
        <v>-266.5</v>
      </c>
      <c r="K71">
        <v>-77</v>
      </c>
      <c r="L71" s="2"/>
    </row>
    <row r="72" spans="1:12" x14ac:dyDescent="0.25">
      <c r="A72" s="2" t="s">
        <v>30</v>
      </c>
      <c r="B72" s="2" t="s">
        <v>78</v>
      </c>
      <c r="C72" s="2" t="s">
        <v>79</v>
      </c>
      <c r="D72" s="2" t="s">
        <v>36</v>
      </c>
      <c r="E72">
        <v>7.4286000000000003</v>
      </c>
      <c r="F72">
        <v>-16986.7</v>
      </c>
      <c r="G72">
        <v>6.7</v>
      </c>
      <c r="H72">
        <v>-60.7</v>
      </c>
      <c r="I72">
        <v>-36.200000000000003</v>
      </c>
      <c r="J72">
        <v>-325.39999999999998</v>
      </c>
      <c r="K72">
        <v>-112.6</v>
      </c>
      <c r="L72" s="2"/>
    </row>
    <row r="73" spans="1:12" x14ac:dyDescent="0.25">
      <c r="A73" s="2" t="s">
        <v>30</v>
      </c>
      <c r="B73" s="2" t="s">
        <v>78</v>
      </c>
      <c r="C73" s="2" t="s">
        <v>79</v>
      </c>
      <c r="D73" s="2" t="s">
        <v>36</v>
      </c>
      <c r="E73">
        <v>8.3571000000000009</v>
      </c>
      <c r="F73">
        <v>-16943.8</v>
      </c>
      <c r="G73">
        <v>6.7</v>
      </c>
      <c r="H73">
        <v>-60.7</v>
      </c>
      <c r="I73">
        <v>-36.200000000000003</v>
      </c>
      <c r="J73">
        <v>-384.3</v>
      </c>
      <c r="K73">
        <v>-148.19999999999999</v>
      </c>
      <c r="L73" s="2"/>
    </row>
    <row r="74" spans="1:12" x14ac:dyDescent="0.25">
      <c r="A74" s="2" t="s">
        <v>30</v>
      </c>
      <c r="B74" s="2" t="s">
        <v>78</v>
      </c>
      <c r="C74" s="2" t="s">
        <v>79</v>
      </c>
      <c r="D74" s="2" t="s">
        <v>36</v>
      </c>
      <c r="E74">
        <v>9.2857000000000003</v>
      </c>
      <c r="F74">
        <v>-16901</v>
      </c>
      <c r="G74">
        <v>6.7</v>
      </c>
      <c r="H74">
        <v>-60.7</v>
      </c>
      <c r="I74">
        <v>-36.200000000000003</v>
      </c>
      <c r="J74">
        <v>-443.1</v>
      </c>
      <c r="K74">
        <v>-183.7</v>
      </c>
      <c r="L74" s="2"/>
    </row>
    <row r="75" spans="1:12" x14ac:dyDescent="0.25">
      <c r="A75" s="2" t="s">
        <v>30</v>
      </c>
      <c r="B75" s="2" t="s">
        <v>78</v>
      </c>
      <c r="C75" s="2" t="s">
        <v>79</v>
      </c>
      <c r="D75" s="2" t="s">
        <v>36</v>
      </c>
      <c r="E75">
        <v>10.2143</v>
      </c>
      <c r="F75">
        <v>-16858.099999999999</v>
      </c>
      <c r="G75">
        <v>6.7</v>
      </c>
      <c r="H75">
        <v>-60.7</v>
      </c>
      <c r="I75">
        <v>-36.200000000000003</v>
      </c>
      <c r="J75">
        <v>-502</v>
      </c>
      <c r="K75">
        <v>-219.2</v>
      </c>
      <c r="L75" s="2"/>
    </row>
    <row r="76" spans="1:12" x14ac:dyDescent="0.25">
      <c r="A76" s="2" t="s">
        <v>30</v>
      </c>
      <c r="B76" s="2" t="s">
        <v>78</v>
      </c>
      <c r="C76" s="2" t="s">
        <v>79</v>
      </c>
      <c r="D76" s="2" t="s">
        <v>36</v>
      </c>
      <c r="E76">
        <v>11.142899999999999</v>
      </c>
      <c r="F76">
        <v>-16815.2</v>
      </c>
      <c r="G76">
        <v>6.7</v>
      </c>
      <c r="H76">
        <v>-60.7</v>
      </c>
      <c r="I76">
        <v>-36.200000000000003</v>
      </c>
      <c r="J76">
        <v>-561</v>
      </c>
      <c r="K76">
        <v>-254.7</v>
      </c>
      <c r="L76" s="2"/>
    </row>
    <row r="77" spans="1:12" x14ac:dyDescent="0.25">
      <c r="A77" s="2" t="s">
        <v>30</v>
      </c>
      <c r="B77" s="2" t="s">
        <v>78</v>
      </c>
      <c r="C77" s="2" t="s">
        <v>79</v>
      </c>
      <c r="D77" s="2" t="s">
        <v>36</v>
      </c>
      <c r="E77">
        <v>12.071400000000001</v>
      </c>
      <c r="F77">
        <v>-16772.3</v>
      </c>
      <c r="G77">
        <v>6.7</v>
      </c>
      <c r="H77">
        <v>-60.7</v>
      </c>
      <c r="I77">
        <v>-36.200000000000003</v>
      </c>
      <c r="J77">
        <v>-620</v>
      </c>
      <c r="K77">
        <v>-289.89999999999998</v>
      </c>
      <c r="L77" s="2"/>
    </row>
    <row r="78" spans="1:12" x14ac:dyDescent="0.25">
      <c r="A78" s="2" t="s">
        <v>30</v>
      </c>
      <c r="B78" s="2" t="s">
        <v>78</v>
      </c>
      <c r="C78" s="2" t="s">
        <v>79</v>
      </c>
      <c r="D78" s="2" t="s">
        <v>36</v>
      </c>
      <c r="E78">
        <v>13</v>
      </c>
      <c r="F78">
        <v>-16729.400000000001</v>
      </c>
      <c r="G78">
        <v>6.7</v>
      </c>
      <c r="H78">
        <v>-60.7</v>
      </c>
      <c r="I78">
        <v>-36.200000000000003</v>
      </c>
      <c r="J78">
        <v>-679.3</v>
      </c>
      <c r="K78">
        <v>-325</v>
      </c>
      <c r="L78" s="2"/>
    </row>
    <row r="79" spans="1:12" x14ac:dyDescent="0.25">
      <c r="A79" s="2" t="s">
        <v>30</v>
      </c>
      <c r="B79" s="2" t="s">
        <v>78</v>
      </c>
      <c r="C79" s="2" t="s">
        <v>79</v>
      </c>
      <c r="D79" s="2" t="s">
        <v>37</v>
      </c>
      <c r="E79">
        <v>0</v>
      </c>
      <c r="F79">
        <v>-14089.1</v>
      </c>
      <c r="G79">
        <v>17</v>
      </c>
      <c r="H79">
        <v>35.799999999999997</v>
      </c>
      <c r="I79">
        <v>86.9</v>
      </c>
      <c r="J79">
        <v>47.4</v>
      </c>
      <c r="K79">
        <v>114.4</v>
      </c>
      <c r="L79" s="2"/>
    </row>
    <row r="80" spans="1:12" x14ac:dyDescent="0.25">
      <c r="A80" s="2" t="s">
        <v>30</v>
      </c>
      <c r="B80" s="2" t="s">
        <v>78</v>
      </c>
      <c r="C80" s="2" t="s">
        <v>79</v>
      </c>
      <c r="D80" s="2" t="s">
        <v>37</v>
      </c>
      <c r="E80">
        <v>0.92859999999999998</v>
      </c>
      <c r="F80">
        <v>-14046.3</v>
      </c>
      <c r="G80">
        <v>17</v>
      </c>
      <c r="H80">
        <v>35.799999999999997</v>
      </c>
      <c r="I80">
        <v>86.9</v>
      </c>
      <c r="J80">
        <v>14.8</v>
      </c>
      <c r="K80">
        <v>100.8</v>
      </c>
      <c r="L80" s="2"/>
    </row>
    <row r="81" spans="1:12" x14ac:dyDescent="0.25">
      <c r="A81" s="2" t="s">
        <v>30</v>
      </c>
      <c r="B81" s="2" t="s">
        <v>78</v>
      </c>
      <c r="C81" s="2" t="s">
        <v>79</v>
      </c>
      <c r="D81" s="2" t="s">
        <v>37</v>
      </c>
      <c r="E81">
        <v>1.8571</v>
      </c>
      <c r="F81">
        <v>-14003.4</v>
      </c>
      <c r="G81">
        <v>17</v>
      </c>
      <c r="H81">
        <v>35.799999999999997</v>
      </c>
      <c r="I81">
        <v>86.9</v>
      </c>
      <c r="J81">
        <v>-17.5</v>
      </c>
      <c r="K81">
        <v>86.9</v>
      </c>
      <c r="L81" s="2"/>
    </row>
    <row r="82" spans="1:12" x14ac:dyDescent="0.25">
      <c r="A82" s="2" t="s">
        <v>30</v>
      </c>
      <c r="B82" s="2" t="s">
        <v>78</v>
      </c>
      <c r="C82" s="2" t="s">
        <v>79</v>
      </c>
      <c r="D82" s="2" t="s">
        <v>37</v>
      </c>
      <c r="E82">
        <v>2.7856999999999998</v>
      </c>
      <c r="F82">
        <v>-13960.5</v>
      </c>
      <c r="G82">
        <v>17</v>
      </c>
      <c r="H82">
        <v>35.799999999999997</v>
      </c>
      <c r="I82">
        <v>86.9</v>
      </c>
      <c r="J82">
        <v>-35.4</v>
      </c>
      <c r="K82">
        <v>81</v>
      </c>
      <c r="L82" s="2"/>
    </row>
    <row r="83" spans="1:12" x14ac:dyDescent="0.25">
      <c r="A83" s="2" t="s">
        <v>30</v>
      </c>
      <c r="B83" s="2" t="s">
        <v>78</v>
      </c>
      <c r="C83" s="2" t="s">
        <v>79</v>
      </c>
      <c r="D83" s="2" t="s">
        <v>37</v>
      </c>
      <c r="E83">
        <v>3.7143000000000002</v>
      </c>
      <c r="F83">
        <v>-13917.6</v>
      </c>
      <c r="G83">
        <v>17</v>
      </c>
      <c r="H83">
        <v>35.799999999999997</v>
      </c>
      <c r="I83">
        <v>86.9</v>
      </c>
      <c r="J83">
        <v>-29.9</v>
      </c>
      <c r="K83">
        <v>89.2</v>
      </c>
      <c r="L83" s="2"/>
    </row>
    <row r="84" spans="1:12" x14ac:dyDescent="0.25">
      <c r="A84" s="2" t="s">
        <v>30</v>
      </c>
      <c r="B84" s="2" t="s">
        <v>78</v>
      </c>
      <c r="C84" s="2" t="s">
        <v>79</v>
      </c>
      <c r="D84" s="2" t="s">
        <v>37</v>
      </c>
      <c r="E84">
        <v>4.6429</v>
      </c>
      <c r="F84">
        <v>-13874.7</v>
      </c>
      <c r="G84">
        <v>17</v>
      </c>
      <c r="H84">
        <v>35.799999999999997</v>
      </c>
      <c r="I84">
        <v>86.9</v>
      </c>
      <c r="J84">
        <v>29</v>
      </c>
      <c r="K84">
        <v>100</v>
      </c>
      <c r="L84" s="2"/>
    </row>
    <row r="85" spans="1:12" x14ac:dyDescent="0.25">
      <c r="A85" s="2" t="s">
        <v>30</v>
      </c>
      <c r="B85" s="2" t="s">
        <v>78</v>
      </c>
      <c r="C85" s="2" t="s">
        <v>79</v>
      </c>
      <c r="D85" s="2" t="s">
        <v>37</v>
      </c>
      <c r="E85">
        <v>5.5713999999999997</v>
      </c>
      <c r="F85">
        <v>-13831.8</v>
      </c>
      <c r="G85">
        <v>17</v>
      </c>
      <c r="H85">
        <v>35.799999999999997</v>
      </c>
      <c r="I85">
        <v>86.9</v>
      </c>
      <c r="J85">
        <v>115.7</v>
      </c>
      <c r="K85">
        <v>110.6</v>
      </c>
      <c r="L85" s="2"/>
    </row>
    <row r="86" spans="1:12" x14ac:dyDescent="0.25">
      <c r="A86" s="2" t="s">
        <v>30</v>
      </c>
      <c r="B86" s="2" t="s">
        <v>78</v>
      </c>
      <c r="C86" s="2" t="s">
        <v>79</v>
      </c>
      <c r="D86" s="2" t="s">
        <v>37</v>
      </c>
      <c r="E86">
        <v>6.5</v>
      </c>
      <c r="F86">
        <v>-13789</v>
      </c>
      <c r="G86">
        <v>17</v>
      </c>
      <c r="H86">
        <v>35.799999999999997</v>
      </c>
      <c r="I86">
        <v>86.9</v>
      </c>
      <c r="J86">
        <v>202.5</v>
      </c>
      <c r="K86">
        <v>121</v>
      </c>
      <c r="L86" s="2"/>
    </row>
    <row r="87" spans="1:12" x14ac:dyDescent="0.25">
      <c r="A87" s="2" t="s">
        <v>30</v>
      </c>
      <c r="B87" s="2" t="s">
        <v>78</v>
      </c>
      <c r="C87" s="2" t="s">
        <v>79</v>
      </c>
      <c r="D87" s="2" t="s">
        <v>37</v>
      </c>
      <c r="E87">
        <v>7.4286000000000003</v>
      </c>
      <c r="F87">
        <v>-13746.1</v>
      </c>
      <c r="G87">
        <v>17</v>
      </c>
      <c r="H87">
        <v>35.799999999999997</v>
      </c>
      <c r="I87">
        <v>86.9</v>
      </c>
      <c r="J87">
        <v>289.39999999999998</v>
      </c>
      <c r="K87">
        <v>131.4</v>
      </c>
      <c r="L87" s="2"/>
    </row>
    <row r="88" spans="1:12" x14ac:dyDescent="0.25">
      <c r="A88" s="2" t="s">
        <v>30</v>
      </c>
      <c r="B88" s="2" t="s">
        <v>78</v>
      </c>
      <c r="C88" s="2" t="s">
        <v>79</v>
      </c>
      <c r="D88" s="2" t="s">
        <v>37</v>
      </c>
      <c r="E88">
        <v>8.3571000000000009</v>
      </c>
      <c r="F88">
        <v>-13703.2</v>
      </c>
      <c r="G88">
        <v>17</v>
      </c>
      <c r="H88">
        <v>35.799999999999997</v>
      </c>
      <c r="I88">
        <v>86.9</v>
      </c>
      <c r="J88">
        <v>376.3</v>
      </c>
      <c r="K88">
        <v>141.80000000000001</v>
      </c>
      <c r="L88" s="2"/>
    </row>
    <row r="89" spans="1:12" x14ac:dyDescent="0.25">
      <c r="A89" s="2" t="s">
        <v>30</v>
      </c>
      <c r="B89" s="2" t="s">
        <v>78</v>
      </c>
      <c r="C89" s="2" t="s">
        <v>79</v>
      </c>
      <c r="D89" s="2" t="s">
        <v>37</v>
      </c>
      <c r="E89">
        <v>9.2857000000000003</v>
      </c>
      <c r="F89">
        <v>-13660.3</v>
      </c>
      <c r="G89">
        <v>17</v>
      </c>
      <c r="H89">
        <v>35.799999999999997</v>
      </c>
      <c r="I89">
        <v>86.9</v>
      </c>
      <c r="J89">
        <v>463.3</v>
      </c>
      <c r="K89">
        <v>152.19999999999999</v>
      </c>
      <c r="L89" s="2"/>
    </row>
    <row r="90" spans="1:12" x14ac:dyDescent="0.25">
      <c r="A90" s="2" t="s">
        <v>30</v>
      </c>
      <c r="B90" s="2" t="s">
        <v>78</v>
      </c>
      <c r="C90" s="2" t="s">
        <v>79</v>
      </c>
      <c r="D90" s="2" t="s">
        <v>37</v>
      </c>
      <c r="E90">
        <v>10.2143</v>
      </c>
      <c r="F90">
        <v>-13617.4</v>
      </c>
      <c r="G90">
        <v>17</v>
      </c>
      <c r="H90">
        <v>35.799999999999997</v>
      </c>
      <c r="I90">
        <v>86.9</v>
      </c>
      <c r="J90">
        <v>550.29999999999995</v>
      </c>
      <c r="K90">
        <v>162.6</v>
      </c>
      <c r="L90" s="2"/>
    </row>
    <row r="91" spans="1:12" x14ac:dyDescent="0.25">
      <c r="A91" s="2" t="s">
        <v>30</v>
      </c>
      <c r="B91" s="2" t="s">
        <v>78</v>
      </c>
      <c r="C91" s="2" t="s">
        <v>79</v>
      </c>
      <c r="D91" s="2" t="s">
        <v>37</v>
      </c>
      <c r="E91">
        <v>11.142899999999999</v>
      </c>
      <c r="F91">
        <v>-13574.5</v>
      </c>
      <c r="G91">
        <v>17</v>
      </c>
      <c r="H91">
        <v>35.799999999999997</v>
      </c>
      <c r="I91">
        <v>86.9</v>
      </c>
      <c r="J91">
        <v>637.1</v>
      </c>
      <c r="K91">
        <v>173.1</v>
      </c>
      <c r="L91" s="2"/>
    </row>
    <row r="92" spans="1:12" x14ac:dyDescent="0.25">
      <c r="A92" s="2" t="s">
        <v>30</v>
      </c>
      <c r="B92" s="2" t="s">
        <v>78</v>
      </c>
      <c r="C92" s="2" t="s">
        <v>79</v>
      </c>
      <c r="D92" s="2" t="s">
        <v>37</v>
      </c>
      <c r="E92">
        <v>12.071400000000001</v>
      </c>
      <c r="F92">
        <v>-13531.7</v>
      </c>
      <c r="G92">
        <v>17</v>
      </c>
      <c r="H92">
        <v>35.799999999999997</v>
      </c>
      <c r="I92">
        <v>86.9</v>
      </c>
      <c r="J92">
        <v>723.9</v>
      </c>
      <c r="K92">
        <v>183.8</v>
      </c>
      <c r="L92" s="2"/>
    </row>
    <row r="93" spans="1:12" x14ac:dyDescent="0.25">
      <c r="A93" s="2" t="s">
        <v>30</v>
      </c>
      <c r="B93" s="2" t="s">
        <v>78</v>
      </c>
      <c r="C93" s="2" t="s">
        <v>79</v>
      </c>
      <c r="D93" s="2" t="s">
        <v>37</v>
      </c>
      <c r="E93">
        <v>13</v>
      </c>
      <c r="F93">
        <v>-13488.8</v>
      </c>
      <c r="G93">
        <v>17</v>
      </c>
      <c r="H93">
        <v>35.799999999999997</v>
      </c>
      <c r="I93">
        <v>86.9</v>
      </c>
      <c r="J93">
        <v>810.4</v>
      </c>
      <c r="K93">
        <v>194.7</v>
      </c>
      <c r="L93" s="2"/>
    </row>
    <row r="94" spans="1:12" x14ac:dyDescent="0.25">
      <c r="A94" s="2" t="s">
        <v>30</v>
      </c>
      <c r="B94" s="2" t="s">
        <v>78</v>
      </c>
      <c r="C94" s="2" t="s">
        <v>79</v>
      </c>
      <c r="D94" s="2" t="s">
        <v>37</v>
      </c>
      <c r="E94">
        <v>0</v>
      </c>
      <c r="F94">
        <v>-17269.3</v>
      </c>
      <c r="G94">
        <v>-12.9</v>
      </c>
      <c r="H94">
        <v>-90.9</v>
      </c>
      <c r="I94">
        <v>-48.8</v>
      </c>
      <c r="J94">
        <v>-400</v>
      </c>
      <c r="K94">
        <v>43.6</v>
      </c>
      <c r="L94" s="2"/>
    </row>
    <row r="95" spans="1:12" x14ac:dyDescent="0.25">
      <c r="A95" s="2" t="s">
        <v>30</v>
      </c>
      <c r="B95" s="2" t="s">
        <v>78</v>
      </c>
      <c r="C95" s="2" t="s">
        <v>79</v>
      </c>
      <c r="D95" s="2" t="s">
        <v>37</v>
      </c>
      <c r="E95">
        <v>0.92859999999999998</v>
      </c>
      <c r="F95">
        <v>-17226.400000000001</v>
      </c>
      <c r="G95">
        <v>-12.9</v>
      </c>
      <c r="H95">
        <v>-90.9</v>
      </c>
      <c r="I95">
        <v>-48.8</v>
      </c>
      <c r="J95">
        <v>-314.89999999999998</v>
      </c>
      <c r="K95">
        <v>55.5</v>
      </c>
      <c r="L95" s="2"/>
    </row>
    <row r="96" spans="1:12" x14ac:dyDescent="0.25">
      <c r="A96" s="2" t="s">
        <v>30</v>
      </c>
      <c r="B96" s="2" t="s">
        <v>78</v>
      </c>
      <c r="C96" s="2" t="s">
        <v>79</v>
      </c>
      <c r="D96" s="2" t="s">
        <v>37</v>
      </c>
      <c r="E96">
        <v>1.8571</v>
      </c>
      <c r="F96">
        <v>-17183.599999999999</v>
      </c>
      <c r="G96">
        <v>-12.9</v>
      </c>
      <c r="H96">
        <v>-90.9</v>
      </c>
      <c r="I96">
        <v>-48.8</v>
      </c>
      <c r="J96">
        <v>-229.4</v>
      </c>
      <c r="K96">
        <v>66.5</v>
      </c>
      <c r="L96" s="2"/>
    </row>
    <row r="97" spans="1:12" x14ac:dyDescent="0.25">
      <c r="A97" s="2" t="s">
        <v>30</v>
      </c>
      <c r="B97" s="2" t="s">
        <v>78</v>
      </c>
      <c r="C97" s="2" t="s">
        <v>79</v>
      </c>
      <c r="D97" s="2" t="s">
        <v>37</v>
      </c>
      <c r="E97">
        <v>2.7856999999999998</v>
      </c>
      <c r="F97">
        <v>-17140.7</v>
      </c>
      <c r="G97">
        <v>-12.9</v>
      </c>
      <c r="H97">
        <v>-90.9</v>
      </c>
      <c r="I97">
        <v>-48.8</v>
      </c>
      <c r="J97">
        <v>-164.8</v>
      </c>
      <c r="K97">
        <v>61.7</v>
      </c>
      <c r="L97" s="2"/>
    </row>
    <row r="98" spans="1:12" x14ac:dyDescent="0.25">
      <c r="A98" s="2" t="s">
        <v>30</v>
      </c>
      <c r="B98" s="2" t="s">
        <v>78</v>
      </c>
      <c r="C98" s="2" t="s">
        <v>79</v>
      </c>
      <c r="D98" s="2" t="s">
        <v>37</v>
      </c>
      <c r="E98">
        <v>3.7143000000000002</v>
      </c>
      <c r="F98">
        <v>-17097.8</v>
      </c>
      <c r="G98">
        <v>-12.9</v>
      </c>
      <c r="H98">
        <v>-90.9</v>
      </c>
      <c r="I98">
        <v>-48.8</v>
      </c>
      <c r="J98">
        <v>-129.6</v>
      </c>
      <c r="K98">
        <v>44.9</v>
      </c>
      <c r="L98" s="2"/>
    </row>
    <row r="99" spans="1:12" x14ac:dyDescent="0.25">
      <c r="A99" s="2" t="s">
        <v>30</v>
      </c>
      <c r="B99" s="2" t="s">
        <v>78</v>
      </c>
      <c r="C99" s="2" t="s">
        <v>79</v>
      </c>
      <c r="D99" s="2" t="s">
        <v>37</v>
      </c>
      <c r="E99">
        <v>4.6429</v>
      </c>
      <c r="F99">
        <v>-17054.900000000001</v>
      </c>
      <c r="G99">
        <v>-12.9</v>
      </c>
      <c r="H99">
        <v>-90.9</v>
      </c>
      <c r="I99">
        <v>-48.8</v>
      </c>
      <c r="J99">
        <v>-112.2</v>
      </c>
      <c r="K99">
        <v>27.9</v>
      </c>
      <c r="L99" s="2"/>
    </row>
    <row r="100" spans="1:12" x14ac:dyDescent="0.25">
      <c r="A100" s="2" t="s">
        <v>30</v>
      </c>
      <c r="B100" s="2" t="s">
        <v>78</v>
      </c>
      <c r="C100" s="2" t="s">
        <v>79</v>
      </c>
      <c r="D100" s="2" t="s">
        <v>37</v>
      </c>
      <c r="E100">
        <v>5.5713999999999997</v>
      </c>
      <c r="F100">
        <v>-17012</v>
      </c>
      <c r="G100">
        <v>-12.9</v>
      </c>
      <c r="H100">
        <v>-90.9</v>
      </c>
      <c r="I100">
        <v>-48.8</v>
      </c>
      <c r="J100">
        <v>-143.30000000000001</v>
      </c>
      <c r="K100">
        <v>10.8</v>
      </c>
      <c r="L100" s="2"/>
    </row>
    <row r="101" spans="1:12" x14ac:dyDescent="0.25">
      <c r="A101" s="2" t="s">
        <v>30</v>
      </c>
      <c r="B101" s="2" t="s">
        <v>78</v>
      </c>
      <c r="C101" s="2" t="s">
        <v>79</v>
      </c>
      <c r="D101" s="2" t="s">
        <v>37</v>
      </c>
      <c r="E101">
        <v>6.5</v>
      </c>
      <c r="F101">
        <v>-16969.099999999999</v>
      </c>
      <c r="G101">
        <v>-12.9</v>
      </c>
      <c r="H101">
        <v>-90.9</v>
      </c>
      <c r="I101">
        <v>-48.8</v>
      </c>
      <c r="J101">
        <v>-174.2</v>
      </c>
      <c r="K101">
        <v>-6.5</v>
      </c>
      <c r="L101" s="2"/>
    </row>
    <row r="102" spans="1:12" x14ac:dyDescent="0.25">
      <c r="A102" s="2" t="s">
        <v>30</v>
      </c>
      <c r="B102" s="2" t="s">
        <v>78</v>
      </c>
      <c r="C102" s="2" t="s">
        <v>79</v>
      </c>
      <c r="D102" s="2" t="s">
        <v>37</v>
      </c>
      <c r="E102">
        <v>7.4286000000000003</v>
      </c>
      <c r="F102">
        <v>-16926.3</v>
      </c>
      <c r="G102">
        <v>-12.9</v>
      </c>
      <c r="H102">
        <v>-90.9</v>
      </c>
      <c r="I102">
        <v>-48.8</v>
      </c>
      <c r="J102">
        <v>-205</v>
      </c>
      <c r="K102">
        <v>-23.8</v>
      </c>
      <c r="L102" s="2"/>
    </row>
    <row r="103" spans="1:12" x14ac:dyDescent="0.25">
      <c r="A103" s="2" t="s">
        <v>30</v>
      </c>
      <c r="B103" s="2" t="s">
        <v>78</v>
      </c>
      <c r="C103" s="2" t="s">
        <v>79</v>
      </c>
      <c r="D103" s="2" t="s">
        <v>37</v>
      </c>
      <c r="E103">
        <v>8.3571000000000009</v>
      </c>
      <c r="F103">
        <v>-16883.400000000001</v>
      </c>
      <c r="G103">
        <v>-12.9</v>
      </c>
      <c r="H103">
        <v>-90.9</v>
      </c>
      <c r="I103">
        <v>-48.8</v>
      </c>
      <c r="J103">
        <v>-235.8</v>
      </c>
      <c r="K103">
        <v>-41.2</v>
      </c>
      <c r="L103" s="2"/>
    </row>
    <row r="104" spans="1:12" x14ac:dyDescent="0.25">
      <c r="A104" s="2" t="s">
        <v>30</v>
      </c>
      <c r="B104" s="2" t="s">
        <v>78</v>
      </c>
      <c r="C104" s="2" t="s">
        <v>79</v>
      </c>
      <c r="D104" s="2" t="s">
        <v>37</v>
      </c>
      <c r="E104">
        <v>9.2857000000000003</v>
      </c>
      <c r="F104">
        <v>-16840.5</v>
      </c>
      <c r="G104">
        <v>-12.9</v>
      </c>
      <c r="H104">
        <v>-90.9</v>
      </c>
      <c r="I104">
        <v>-48.8</v>
      </c>
      <c r="J104">
        <v>-266.5</v>
      </c>
      <c r="K104">
        <v>-58.5</v>
      </c>
      <c r="L104" s="2"/>
    </row>
    <row r="105" spans="1:12" x14ac:dyDescent="0.25">
      <c r="A105" s="2" t="s">
        <v>30</v>
      </c>
      <c r="B105" s="2" t="s">
        <v>78</v>
      </c>
      <c r="C105" s="2" t="s">
        <v>79</v>
      </c>
      <c r="D105" s="2" t="s">
        <v>37</v>
      </c>
      <c r="E105">
        <v>10.2143</v>
      </c>
      <c r="F105">
        <v>-16797.599999999999</v>
      </c>
      <c r="G105">
        <v>-12.9</v>
      </c>
      <c r="H105">
        <v>-90.9</v>
      </c>
      <c r="I105">
        <v>-48.8</v>
      </c>
      <c r="J105">
        <v>-297.3</v>
      </c>
      <c r="K105">
        <v>-75.8</v>
      </c>
      <c r="L105" s="2"/>
    </row>
    <row r="106" spans="1:12" x14ac:dyDescent="0.25">
      <c r="A106" s="2" t="s">
        <v>30</v>
      </c>
      <c r="B106" s="2" t="s">
        <v>78</v>
      </c>
      <c r="C106" s="2" t="s">
        <v>79</v>
      </c>
      <c r="D106" s="2" t="s">
        <v>37</v>
      </c>
      <c r="E106">
        <v>11.142899999999999</v>
      </c>
      <c r="F106">
        <v>-16754.7</v>
      </c>
      <c r="G106">
        <v>-12.9</v>
      </c>
      <c r="H106">
        <v>-90.9</v>
      </c>
      <c r="I106">
        <v>-48.8</v>
      </c>
      <c r="J106">
        <v>-328.2</v>
      </c>
      <c r="K106">
        <v>-93.1</v>
      </c>
      <c r="L106" s="2"/>
    </row>
    <row r="107" spans="1:12" x14ac:dyDescent="0.25">
      <c r="A107" s="2" t="s">
        <v>30</v>
      </c>
      <c r="B107" s="2" t="s">
        <v>78</v>
      </c>
      <c r="C107" s="2" t="s">
        <v>79</v>
      </c>
      <c r="D107" s="2" t="s">
        <v>37</v>
      </c>
      <c r="E107">
        <v>12.071400000000001</v>
      </c>
      <c r="F107">
        <v>-16711.8</v>
      </c>
      <c r="G107">
        <v>-12.9</v>
      </c>
      <c r="H107">
        <v>-90.9</v>
      </c>
      <c r="I107">
        <v>-48.8</v>
      </c>
      <c r="J107">
        <v>-359.2</v>
      </c>
      <c r="K107">
        <v>-110.1</v>
      </c>
      <c r="L107" s="2"/>
    </row>
    <row r="108" spans="1:12" x14ac:dyDescent="0.25">
      <c r="A108" s="2" t="s">
        <v>30</v>
      </c>
      <c r="B108" s="2" t="s">
        <v>78</v>
      </c>
      <c r="C108" s="2" t="s">
        <v>79</v>
      </c>
      <c r="D108" s="2" t="s">
        <v>37</v>
      </c>
      <c r="E108">
        <v>13</v>
      </c>
      <c r="F108">
        <v>-16669</v>
      </c>
      <c r="G108">
        <v>-12.9</v>
      </c>
      <c r="H108">
        <v>-90.9</v>
      </c>
      <c r="I108">
        <v>-48.8</v>
      </c>
      <c r="J108">
        <v>-390.3</v>
      </c>
      <c r="K108">
        <v>-127</v>
      </c>
      <c r="L108" s="2"/>
    </row>
    <row r="109" spans="1:12" x14ac:dyDescent="0.25">
      <c r="A109" s="2" t="s">
        <v>30</v>
      </c>
      <c r="B109" s="2" t="s">
        <v>78</v>
      </c>
      <c r="C109" s="2" t="s">
        <v>79</v>
      </c>
      <c r="D109" s="2" t="s">
        <v>38</v>
      </c>
      <c r="E109">
        <v>0</v>
      </c>
      <c r="F109">
        <v>-14108.4</v>
      </c>
      <c r="G109">
        <v>36</v>
      </c>
      <c r="H109">
        <v>63.1</v>
      </c>
      <c r="I109">
        <v>95.2</v>
      </c>
      <c r="J109">
        <v>141.5</v>
      </c>
      <c r="K109">
        <v>165.5</v>
      </c>
      <c r="L109" s="2"/>
    </row>
    <row r="110" spans="1:12" x14ac:dyDescent="0.25">
      <c r="A110" s="2" t="s">
        <v>30</v>
      </c>
      <c r="B110" s="2" t="s">
        <v>78</v>
      </c>
      <c r="C110" s="2" t="s">
        <v>79</v>
      </c>
      <c r="D110" s="2" t="s">
        <v>38</v>
      </c>
      <c r="E110">
        <v>0.92859999999999998</v>
      </c>
      <c r="F110">
        <v>-14065.5</v>
      </c>
      <c r="G110">
        <v>36</v>
      </c>
      <c r="H110">
        <v>63.1</v>
      </c>
      <c r="I110">
        <v>95.2</v>
      </c>
      <c r="J110">
        <v>83.5</v>
      </c>
      <c r="K110">
        <v>132</v>
      </c>
      <c r="L110" s="2"/>
    </row>
    <row r="111" spans="1:12" x14ac:dyDescent="0.25">
      <c r="A111" s="2" t="s">
        <v>30</v>
      </c>
      <c r="B111" s="2" t="s">
        <v>78</v>
      </c>
      <c r="C111" s="2" t="s">
        <v>79</v>
      </c>
      <c r="D111" s="2" t="s">
        <v>38</v>
      </c>
      <c r="E111">
        <v>1.8571</v>
      </c>
      <c r="F111">
        <v>-14022.7</v>
      </c>
      <c r="G111">
        <v>36</v>
      </c>
      <c r="H111">
        <v>63.1</v>
      </c>
      <c r="I111">
        <v>95.2</v>
      </c>
      <c r="J111">
        <v>26</v>
      </c>
      <c r="K111">
        <v>98.7</v>
      </c>
      <c r="L111" s="2"/>
    </row>
    <row r="112" spans="1:12" x14ac:dyDescent="0.25">
      <c r="A112" s="2" t="s">
        <v>30</v>
      </c>
      <c r="B112" s="2" t="s">
        <v>78</v>
      </c>
      <c r="C112" s="2" t="s">
        <v>79</v>
      </c>
      <c r="D112" s="2" t="s">
        <v>38</v>
      </c>
      <c r="E112">
        <v>2.7856999999999998</v>
      </c>
      <c r="F112">
        <v>-13979.8</v>
      </c>
      <c r="G112">
        <v>36</v>
      </c>
      <c r="H112">
        <v>63.1</v>
      </c>
      <c r="I112">
        <v>95.2</v>
      </c>
      <c r="J112">
        <v>-10</v>
      </c>
      <c r="K112">
        <v>81</v>
      </c>
      <c r="L112" s="2"/>
    </row>
    <row r="113" spans="1:12" x14ac:dyDescent="0.25">
      <c r="A113" s="2" t="s">
        <v>30</v>
      </c>
      <c r="B113" s="2" t="s">
        <v>78</v>
      </c>
      <c r="C113" s="2" t="s">
        <v>79</v>
      </c>
      <c r="D113" s="2" t="s">
        <v>38</v>
      </c>
      <c r="E113">
        <v>3.7143000000000002</v>
      </c>
      <c r="F113">
        <v>-13936.9</v>
      </c>
      <c r="G113">
        <v>36</v>
      </c>
      <c r="H113">
        <v>63.1</v>
      </c>
      <c r="I113">
        <v>95.2</v>
      </c>
      <c r="J113">
        <v>-16.7</v>
      </c>
      <c r="K113">
        <v>81.2</v>
      </c>
      <c r="L113" s="2"/>
    </row>
    <row r="114" spans="1:12" x14ac:dyDescent="0.25">
      <c r="A114" s="2" t="s">
        <v>30</v>
      </c>
      <c r="B114" s="2" t="s">
        <v>78</v>
      </c>
      <c r="C114" s="2" t="s">
        <v>79</v>
      </c>
      <c r="D114" s="2" t="s">
        <v>38</v>
      </c>
      <c r="E114">
        <v>4.6429</v>
      </c>
      <c r="F114">
        <v>-13894</v>
      </c>
      <c r="G114">
        <v>36</v>
      </c>
      <c r="H114">
        <v>63.1</v>
      </c>
      <c r="I114">
        <v>95.2</v>
      </c>
      <c r="J114">
        <v>-6.2</v>
      </c>
      <c r="K114">
        <v>82.6</v>
      </c>
      <c r="L114" s="2"/>
    </row>
    <row r="115" spans="1:12" x14ac:dyDescent="0.25">
      <c r="A115" s="2" t="s">
        <v>30</v>
      </c>
      <c r="B115" s="2" t="s">
        <v>78</v>
      </c>
      <c r="C115" s="2" t="s">
        <v>79</v>
      </c>
      <c r="D115" s="2" t="s">
        <v>38</v>
      </c>
      <c r="E115">
        <v>5.5713999999999997</v>
      </c>
      <c r="F115">
        <v>-13851.1</v>
      </c>
      <c r="G115">
        <v>36</v>
      </c>
      <c r="H115">
        <v>63.1</v>
      </c>
      <c r="I115">
        <v>95.2</v>
      </c>
      <c r="J115">
        <v>6.2</v>
      </c>
      <c r="K115">
        <v>84.9</v>
      </c>
      <c r="L115" s="2"/>
    </row>
    <row r="116" spans="1:12" x14ac:dyDescent="0.25">
      <c r="A116" s="2" t="s">
        <v>30</v>
      </c>
      <c r="B116" s="2" t="s">
        <v>78</v>
      </c>
      <c r="C116" s="2" t="s">
        <v>79</v>
      </c>
      <c r="D116" s="2" t="s">
        <v>38</v>
      </c>
      <c r="E116">
        <v>6.5</v>
      </c>
      <c r="F116">
        <v>-13808.2</v>
      </c>
      <c r="G116">
        <v>36</v>
      </c>
      <c r="H116">
        <v>63.1</v>
      </c>
      <c r="I116">
        <v>95.2</v>
      </c>
      <c r="J116">
        <v>24.5</v>
      </c>
      <c r="K116">
        <v>87.2</v>
      </c>
      <c r="L116" s="2"/>
    </row>
    <row r="117" spans="1:12" x14ac:dyDescent="0.25">
      <c r="A117" s="2" t="s">
        <v>30</v>
      </c>
      <c r="B117" s="2" t="s">
        <v>78</v>
      </c>
      <c r="C117" s="2" t="s">
        <v>79</v>
      </c>
      <c r="D117" s="2" t="s">
        <v>38</v>
      </c>
      <c r="E117">
        <v>7.4286000000000003</v>
      </c>
      <c r="F117">
        <v>-13765.4</v>
      </c>
      <c r="G117">
        <v>36</v>
      </c>
      <c r="H117">
        <v>63.1</v>
      </c>
      <c r="I117">
        <v>95.2</v>
      </c>
      <c r="J117">
        <v>43</v>
      </c>
      <c r="K117">
        <v>89.3</v>
      </c>
      <c r="L117" s="2"/>
    </row>
    <row r="118" spans="1:12" x14ac:dyDescent="0.25">
      <c r="A118" s="2" t="s">
        <v>30</v>
      </c>
      <c r="B118" s="2" t="s">
        <v>78</v>
      </c>
      <c r="C118" s="2" t="s">
        <v>79</v>
      </c>
      <c r="D118" s="2" t="s">
        <v>38</v>
      </c>
      <c r="E118">
        <v>8.3571000000000009</v>
      </c>
      <c r="F118">
        <v>-13722.5</v>
      </c>
      <c r="G118">
        <v>36</v>
      </c>
      <c r="H118">
        <v>63.1</v>
      </c>
      <c r="I118">
        <v>95.2</v>
      </c>
      <c r="J118">
        <v>61.5</v>
      </c>
      <c r="K118">
        <v>91.4</v>
      </c>
      <c r="L118" s="2"/>
    </row>
    <row r="119" spans="1:12" x14ac:dyDescent="0.25">
      <c r="A119" s="2" t="s">
        <v>30</v>
      </c>
      <c r="B119" s="2" t="s">
        <v>78</v>
      </c>
      <c r="C119" s="2" t="s">
        <v>79</v>
      </c>
      <c r="D119" s="2" t="s">
        <v>38</v>
      </c>
      <c r="E119">
        <v>9.2857000000000003</v>
      </c>
      <c r="F119">
        <v>-13679.6</v>
      </c>
      <c r="G119">
        <v>36</v>
      </c>
      <c r="H119">
        <v>63.1</v>
      </c>
      <c r="I119">
        <v>95.2</v>
      </c>
      <c r="J119">
        <v>80</v>
      </c>
      <c r="K119">
        <v>93.5</v>
      </c>
      <c r="L119" s="2"/>
    </row>
    <row r="120" spans="1:12" x14ac:dyDescent="0.25">
      <c r="A120" s="2" t="s">
        <v>30</v>
      </c>
      <c r="B120" s="2" t="s">
        <v>78</v>
      </c>
      <c r="C120" s="2" t="s">
        <v>79</v>
      </c>
      <c r="D120" s="2" t="s">
        <v>38</v>
      </c>
      <c r="E120">
        <v>10.2143</v>
      </c>
      <c r="F120">
        <v>-13636.7</v>
      </c>
      <c r="G120">
        <v>36</v>
      </c>
      <c r="H120">
        <v>63.1</v>
      </c>
      <c r="I120">
        <v>95.2</v>
      </c>
      <c r="J120">
        <v>98.5</v>
      </c>
      <c r="K120">
        <v>95.6</v>
      </c>
      <c r="L120" s="2"/>
    </row>
    <row r="121" spans="1:12" x14ac:dyDescent="0.25">
      <c r="A121" s="2" t="s">
        <v>30</v>
      </c>
      <c r="B121" s="2" t="s">
        <v>78</v>
      </c>
      <c r="C121" s="2" t="s">
        <v>79</v>
      </c>
      <c r="D121" s="2" t="s">
        <v>38</v>
      </c>
      <c r="E121">
        <v>11.142899999999999</v>
      </c>
      <c r="F121">
        <v>-13593.8</v>
      </c>
      <c r="G121">
        <v>36</v>
      </c>
      <c r="H121">
        <v>63.1</v>
      </c>
      <c r="I121">
        <v>95.2</v>
      </c>
      <c r="J121">
        <v>117.2</v>
      </c>
      <c r="K121">
        <v>97.9</v>
      </c>
      <c r="L121" s="2"/>
    </row>
    <row r="122" spans="1:12" x14ac:dyDescent="0.25">
      <c r="A122" s="2" t="s">
        <v>30</v>
      </c>
      <c r="B122" s="2" t="s">
        <v>78</v>
      </c>
      <c r="C122" s="2" t="s">
        <v>79</v>
      </c>
      <c r="D122" s="2" t="s">
        <v>38</v>
      </c>
      <c r="E122">
        <v>12.071400000000001</v>
      </c>
      <c r="F122">
        <v>-13550.9</v>
      </c>
      <c r="G122">
        <v>36</v>
      </c>
      <c r="H122">
        <v>63.1</v>
      </c>
      <c r="I122">
        <v>95.2</v>
      </c>
      <c r="J122">
        <v>139.4</v>
      </c>
      <c r="K122">
        <v>100.3</v>
      </c>
      <c r="L122" s="2"/>
    </row>
    <row r="123" spans="1:12" x14ac:dyDescent="0.25">
      <c r="A123" s="2" t="s">
        <v>30</v>
      </c>
      <c r="B123" s="2" t="s">
        <v>78</v>
      </c>
      <c r="C123" s="2" t="s">
        <v>79</v>
      </c>
      <c r="D123" s="2" t="s">
        <v>38</v>
      </c>
      <c r="E123">
        <v>13</v>
      </c>
      <c r="F123">
        <v>-13508.1</v>
      </c>
      <c r="G123">
        <v>36</v>
      </c>
      <c r="H123">
        <v>63.1</v>
      </c>
      <c r="I123">
        <v>95.2</v>
      </c>
      <c r="J123">
        <v>161.5</v>
      </c>
      <c r="K123">
        <v>102.9</v>
      </c>
      <c r="L123" s="2"/>
    </row>
    <row r="124" spans="1:12" x14ac:dyDescent="0.25">
      <c r="A124" s="2" t="s">
        <v>30</v>
      </c>
      <c r="B124" s="2" t="s">
        <v>78</v>
      </c>
      <c r="C124" s="2" t="s">
        <v>79</v>
      </c>
      <c r="D124" s="2" t="s">
        <v>38</v>
      </c>
      <c r="E124">
        <v>0</v>
      </c>
      <c r="F124">
        <v>-15589.2</v>
      </c>
      <c r="G124">
        <v>-4</v>
      </c>
      <c r="H124">
        <v>-21.5</v>
      </c>
      <c r="I124">
        <v>-37.4</v>
      </c>
      <c r="J124">
        <v>-146.69999999999999</v>
      </c>
      <c r="K124">
        <v>67.599999999999994</v>
      </c>
      <c r="L124" s="2"/>
    </row>
    <row r="125" spans="1:12" x14ac:dyDescent="0.25">
      <c r="A125" s="2" t="s">
        <v>30</v>
      </c>
      <c r="B125" s="2" t="s">
        <v>78</v>
      </c>
      <c r="C125" s="2" t="s">
        <v>79</v>
      </c>
      <c r="D125" s="2" t="s">
        <v>38</v>
      </c>
      <c r="E125">
        <v>0.92859999999999998</v>
      </c>
      <c r="F125">
        <v>-15546.3</v>
      </c>
      <c r="G125">
        <v>-4</v>
      </c>
      <c r="H125">
        <v>-21.5</v>
      </c>
      <c r="I125">
        <v>-37.4</v>
      </c>
      <c r="J125">
        <v>-126</v>
      </c>
      <c r="K125">
        <v>71.2</v>
      </c>
      <c r="L125" s="2"/>
    </row>
    <row r="126" spans="1:12" x14ac:dyDescent="0.25">
      <c r="A126" s="2" t="s">
        <v>30</v>
      </c>
      <c r="B126" s="2" t="s">
        <v>78</v>
      </c>
      <c r="C126" s="2" t="s">
        <v>79</v>
      </c>
      <c r="D126" s="2" t="s">
        <v>38</v>
      </c>
      <c r="E126">
        <v>1.8571</v>
      </c>
      <c r="F126">
        <v>-15503.4</v>
      </c>
      <c r="G126">
        <v>-4</v>
      </c>
      <c r="H126">
        <v>-21.5</v>
      </c>
      <c r="I126">
        <v>-37.4</v>
      </c>
      <c r="J126">
        <v>-105</v>
      </c>
      <c r="K126">
        <v>74.5</v>
      </c>
      <c r="L126" s="2"/>
    </row>
    <row r="127" spans="1:12" x14ac:dyDescent="0.25">
      <c r="A127" s="2" t="s">
        <v>30</v>
      </c>
      <c r="B127" s="2" t="s">
        <v>78</v>
      </c>
      <c r="C127" s="2" t="s">
        <v>79</v>
      </c>
      <c r="D127" s="2" t="s">
        <v>38</v>
      </c>
      <c r="E127">
        <v>2.7856999999999998</v>
      </c>
      <c r="F127">
        <v>-15460.5</v>
      </c>
      <c r="G127">
        <v>-4</v>
      </c>
      <c r="H127">
        <v>-21.5</v>
      </c>
      <c r="I127">
        <v>-37.4</v>
      </c>
      <c r="J127">
        <v>-85</v>
      </c>
      <c r="K127">
        <v>63.9</v>
      </c>
      <c r="L127" s="2"/>
    </row>
    <row r="128" spans="1:12" x14ac:dyDescent="0.25">
      <c r="A128" s="2" t="s">
        <v>30</v>
      </c>
      <c r="B128" s="2" t="s">
        <v>78</v>
      </c>
      <c r="C128" s="2" t="s">
        <v>79</v>
      </c>
      <c r="D128" s="2" t="s">
        <v>38</v>
      </c>
      <c r="E128">
        <v>3.7143000000000002</v>
      </c>
      <c r="F128">
        <v>-15417.7</v>
      </c>
      <c r="G128">
        <v>-4</v>
      </c>
      <c r="H128">
        <v>-21.5</v>
      </c>
      <c r="I128">
        <v>-37.4</v>
      </c>
      <c r="J128">
        <v>-94.8</v>
      </c>
      <c r="K128">
        <v>29.5</v>
      </c>
      <c r="L128" s="2"/>
    </row>
    <row r="129" spans="1:12" x14ac:dyDescent="0.25">
      <c r="A129" s="2" t="s">
        <v>30</v>
      </c>
      <c r="B129" s="2" t="s">
        <v>78</v>
      </c>
      <c r="C129" s="2" t="s">
        <v>79</v>
      </c>
      <c r="D129" s="2" t="s">
        <v>38</v>
      </c>
      <c r="E129">
        <v>4.6429</v>
      </c>
      <c r="F129">
        <v>-15374.8</v>
      </c>
      <c r="G129">
        <v>-4</v>
      </c>
      <c r="H129">
        <v>-21.5</v>
      </c>
      <c r="I129">
        <v>-37.4</v>
      </c>
      <c r="J129">
        <v>-144.69999999999999</v>
      </c>
      <c r="K129">
        <v>-5.0999999999999996</v>
      </c>
      <c r="L129" s="2"/>
    </row>
    <row r="130" spans="1:12" x14ac:dyDescent="0.25">
      <c r="A130" s="2" t="s">
        <v>30</v>
      </c>
      <c r="B130" s="2" t="s">
        <v>78</v>
      </c>
      <c r="C130" s="2" t="s">
        <v>79</v>
      </c>
      <c r="D130" s="2" t="s">
        <v>38</v>
      </c>
      <c r="E130">
        <v>5.5713999999999997</v>
      </c>
      <c r="F130">
        <v>-15331.9</v>
      </c>
      <c r="G130">
        <v>-4</v>
      </c>
      <c r="H130">
        <v>-21.5</v>
      </c>
      <c r="I130">
        <v>-37.4</v>
      </c>
      <c r="J130">
        <v>-201.1</v>
      </c>
      <c r="K130">
        <v>-39.9</v>
      </c>
      <c r="L130" s="2"/>
    </row>
    <row r="131" spans="1:12" x14ac:dyDescent="0.25">
      <c r="A131" s="2" t="s">
        <v>30</v>
      </c>
      <c r="B131" s="2" t="s">
        <v>78</v>
      </c>
      <c r="C131" s="2" t="s">
        <v>79</v>
      </c>
      <c r="D131" s="2" t="s">
        <v>38</v>
      </c>
      <c r="E131">
        <v>6.5</v>
      </c>
      <c r="F131">
        <v>-15289</v>
      </c>
      <c r="G131">
        <v>-4</v>
      </c>
      <c r="H131">
        <v>-21.5</v>
      </c>
      <c r="I131">
        <v>-37.4</v>
      </c>
      <c r="J131">
        <v>-257.39999999999998</v>
      </c>
      <c r="K131">
        <v>-74.8</v>
      </c>
      <c r="L131" s="2"/>
    </row>
    <row r="132" spans="1:12" x14ac:dyDescent="0.25">
      <c r="A132" s="2" t="s">
        <v>30</v>
      </c>
      <c r="B132" s="2" t="s">
        <v>78</v>
      </c>
      <c r="C132" s="2" t="s">
        <v>79</v>
      </c>
      <c r="D132" s="2" t="s">
        <v>38</v>
      </c>
      <c r="E132">
        <v>7.4286000000000003</v>
      </c>
      <c r="F132">
        <v>-15246.1</v>
      </c>
      <c r="G132">
        <v>-4</v>
      </c>
      <c r="H132">
        <v>-21.5</v>
      </c>
      <c r="I132">
        <v>-37.4</v>
      </c>
      <c r="J132">
        <v>-313.5</v>
      </c>
      <c r="K132">
        <v>-109.8</v>
      </c>
      <c r="L132" s="2"/>
    </row>
    <row r="133" spans="1:12" x14ac:dyDescent="0.25">
      <c r="A133" s="2" t="s">
        <v>30</v>
      </c>
      <c r="B133" s="2" t="s">
        <v>78</v>
      </c>
      <c r="C133" s="2" t="s">
        <v>79</v>
      </c>
      <c r="D133" s="2" t="s">
        <v>38</v>
      </c>
      <c r="E133">
        <v>8.3571000000000009</v>
      </c>
      <c r="F133">
        <v>-15203.2</v>
      </c>
      <c r="G133">
        <v>-4</v>
      </c>
      <c r="H133">
        <v>-21.5</v>
      </c>
      <c r="I133">
        <v>-37.4</v>
      </c>
      <c r="J133">
        <v>-369.6</v>
      </c>
      <c r="K133">
        <v>-144.80000000000001</v>
      </c>
      <c r="L133" s="2"/>
    </row>
    <row r="134" spans="1:12" x14ac:dyDescent="0.25">
      <c r="A134" s="2" t="s">
        <v>30</v>
      </c>
      <c r="B134" s="2" t="s">
        <v>78</v>
      </c>
      <c r="C134" s="2" t="s">
        <v>79</v>
      </c>
      <c r="D134" s="2" t="s">
        <v>38</v>
      </c>
      <c r="E134">
        <v>9.2857000000000003</v>
      </c>
      <c r="F134">
        <v>-15160.4</v>
      </c>
      <c r="G134">
        <v>-4</v>
      </c>
      <c r="H134">
        <v>-21.5</v>
      </c>
      <c r="I134">
        <v>-37.4</v>
      </c>
      <c r="J134">
        <v>-425.6</v>
      </c>
      <c r="K134">
        <v>-179.8</v>
      </c>
      <c r="L134" s="2"/>
    </row>
    <row r="135" spans="1:12" x14ac:dyDescent="0.25">
      <c r="A135" s="2" t="s">
        <v>30</v>
      </c>
      <c r="B135" s="2" t="s">
        <v>78</v>
      </c>
      <c r="C135" s="2" t="s">
        <v>79</v>
      </c>
      <c r="D135" s="2" t="s">
        <v>38</v>
      </c>
      <c r="E135">
        <v>10.2143</v>
      </c>
      <c r="F135">
        <v>-15117.5</v>
      </c>
      <c r="G135">
        <v>-4</v>
      </c>
      <c r="H135">
        <v>-21.5</v>
      </c>
      <c r="I135">
        <v>-37.4</v>
      </c>
      <c r="J135">
        <v>-481.7</v>
      </c>
      <c r="K135">
        <v>-214.7</v>
      </c>
      <c r="L135" s="2"/>
    </row>
    <row r="136" spans="1:12" x14ac:dyDescent="0.25">
      <c r="A136" s="2" t="s">
        <v>30</v>
      </c>
      <c r="B136" s="2" t="s">
        <v>78</v>
      </c>
      <c r="C136" s="2" t="s">
        <v>79</v>
      </c>
      <c r="D136" s="2" t="s">
        <v>38</v>
      </c>
      <c r="E136">
        <v>11.142899999999999</v>
      </c>
      <c r="F136">
        <v>-15074.6</v>
      </c>
      <c r="G136">
        <v>-4</v>
      </c>
      <c r="H136">
        <v>-21.5</v>
      </c>
      <c r="I136">
        <v>-37.4</v>
      </c>
      <c r="J136">
        <v>-537.9</v>
      </c>
      <c r="K136">
        <v>-249.6</v>
      </c>
      <c r="L136" s="2"/>
    </row>
    <row r="137" spans="1:12" x14ac:dyDescent="0.25">
      <c r="A137" s="2" t="s">
        <v>30</v>
      </c>
      <c r="B137" s="2" t="s">
        <v>78</v>
      </c>
      <c r="C137" s="2" t="s">
        <v>79</v>
      </c>
      <c r="D137" s="2" t="s">
        <v>38</v>
      </c>
      <c r="E137">
        <v>12.071400000000001</v>
      </c>
      <c r="F137">
        <v>-15031.7</v>
      </c>
      <c r="G137">
        <v>-4</v>
      </c>
      <c r="H137">
        <v>-21.5</v>
      </c>
      <c r="I137">
        <v>-37.4</v>
      </c>
      <c r="J137">
        <v>-594.29999999999995</v>
      </c>
      <c r="K137">
        <v>-284.3</v>
      </c>
      <c r="L137" s="2"/>
    </row>
    <row r="138" spans="1:12" x14ac:dyDescent="0.25">
      <c r="A138" s="2" t="s">
        <v>30</v>
      </c>
      <c r="B138" s="2" t="s">
        <v>78</v>
      </c>
      <c r="C138" s="2" t="s">
        <v>79</v>
      </c>
      <c r="D138" s="2" t="s">
        <v>38</v>
      </c>
      <c r="E138">
        <v>13</v>
      </c>
      <c r="F138">
        <v>-14988.8</v>
      </c>
      <c r="G138">
        <v>-4</v>
      </c>
      <c r="H138">
        <v>-21.5</v>
      </c>
      <c r="I138">
        <v>-37.4</v>
      </c>
      <c r="J138">
        <v>-650.79999999999995</v>
      </c>
      <c r="K138">
        <v>-318.8</v>
      </c>
      <c r="L138" s="2"/>
    </row>
    <row r="139" spans="1:12" x14ac:dyDescent="0.25">
      <c r="A139" s="2" t="s">
        <v>30</v>
      </c>
      <c r="B139" s="2" t="s">
        <v>78</v>
      </c>
      <c r="C139" s="2" t="s">
        <v>79</v>
      </c>
      <c r="D139" s="2" t="s">
        <v>39</v>
      </c>
      <c r="E139">
        <v>0</v>
      </c>
      <c r="F139">
        <v>-15829.7</v>
      </c>
      <c r="G139">
        <v>27.7</v>
      </c>
      <c r="H139">
        <v>-3.3</v>
      </c>
      <c r="I139">
        <v>88.2</v>
      </c>
      <c r="J139">
        <v>-101.6</v>
      </c>
      <c r="K139">
        <v>143.19999999999999</v>
      </c>
      <c r="L139" s="2"/>
    </row>
    <row r="140" spans="1:12" x14ac:dyDescent="0.25">
      <c r="A140" s="2" t="s">
        <v>30</v>
      </c>
      <c r="B140" s="2" t="s">
        <v>78</v>
      </c>
      <c r="C140" s="2" t="s">
        <v>79</v>
      </c>
      <c r="D140" s="2" t="s">
        <v>39</v>
      </c>
      <c r="E140">
        <v>0.92859999999999998</v>
      </c>
      <c r="F140">
        <v>-15786.8</v>
      </c>
      <c r="G140">
        <v>27.7</v>
      </c>
      <c r="H140">
        <v>-3.3</v>
      </c>
      <c r="I140">
        <v>88.2</v>
      </c>
      <c r="J140">
        <v>-97.9</v>
      </c>
      <c r="K140">
        <v>117.4</v>
      </c>
      <c r="L140" s="2"/>
    </row>
    <row r="141" spans="1:12" x14ac:dyDescent="0.25">
      <c r="A141" s="2" t="s">
        <v>30</v>
      </c>
      <c r="B141" s="2" t="s">
        <v>78</v>
      </c>
      <c r="C141" s="2" t="s">
        <v>79</v>
      </c>
      <c r="D141" s="2" t="s">
        <v>39</v>
      </c>
      <c r="E141">
        <v>1.8571</v>
      </c>
      <c r="F141">
        <v>-15744</v>
      </c>
      <c r="G141">
        <v>27.7</v>
      </c>
      <c r="H141">
        <v>-3.3</v>
      </c>
      <c r="I141">
        <v>88.2</v>
      </c>
      <c r="J141">
        <v>-93.8</v>
      </c>
      <c r="K141">
        <v>91.3</v>
      </c>
      <c r="L141" s="2"/>
    </row>
    <row r="142" spans="1:12" x14ac:dyDescent="0.25">
      <c r="A142" s="2" t="s">
        <v>30</v>
      </c>
      <c r="B142" s="2" t="s">
        <v>78</v>
      </c>
      <c r="C142" s="2" t="s">
        <v>79</v>
      </c>
      <c r="D142" s="2" t="s">
        <v>39</v>
      </c>
      <c r="E142">
        <v>2.7856999999999998</v>
      </c>
      <c r="F142">
        <v>-15701.1</v>
      </c>
      <c r="G142">
        <v>27.7</v>
      </c>
      <c r="H142">
        <v>-3.3</v>
      </c>
      <c r="I142">
        <v>88.2</v>
      </c>
      <c r="J142">
        <v>-87.8</v>
      </c>
      <c r="K142">
        <v>78.3</v>
      </c>
      <c r="L142" s="2"/>
    </row>
    <row r="143" spans="1:12" x14ac:dyDescent="0.25">
      <c r="A143" s="2" t="s">
        <v>30</v>
      </c>
      <c r="B143" s="2" t="s">
        <v>78</v>
      </c>
      <c r="C143" s="2" t="s">
        <v>79</v>
      </c>
      <c r="D143" s="2" t="s">
        <v>39</v>
      </c>
      <c r="E143">
        <v>3.7143000000000002</v>
      </c>
      <c r="F143">
        <v>-15658.2</v>
      </c>
      <c r="G143">
        <v>27.7</v>
      </c>
      <c r="H143">
        <v>-3.3</v>
      </c>
      <c r="I143">
        <v>88.2</v>
      </c>
      <c r="J143">
        <v>-51.5</v>
      </c>
      <c r="K143">
        <v>88.7</v>
      </c>
      <c r="L143" s="2"/>
    </row>
    <row r="144" spans="1:12" x14ac:dyDescent="0.25">
      <c r="A144" s="2" t="s">
        <v>30</v>
      </c>
      <c r="B144" s="2" t="s">
        <v>78</v>
      </c>
      <c r="C144" s="2" t="s">
        <v>79</v>
      </c>
      <c r="D144" s="2" t="s">
        <v>39</v>
      </c>
      <c r="E144">
        <v>4.6429</v>
      </c>
      <c r="F144">
        <v>-15615.3</v>
      </c>
      <c r="G144">
        <v>27.7</v>
      </c>
      <c r="H144">
        <v>-3.3</v>
      </c>
      <c r="I144">
        <v>88.2</v>
      </c>
      <c r="J144">
        <v>25.4</v>
      </c>
      <c r="K144">
        <v>98.9</v>
      </c>
      <c r="L144" s="2"/>
    </row>
    <row r="145" spans="1:12" x14ac:dyDescent="0.25">
      <c r="A145" s="2" t="s">
        <v>30</v>
      </c>
      <c r="B145" s="2" t="s">
        <v>78</v>
      </c>
      <c r="C145" s="2" t="s">
        <v>79</v>
      </c>
      <c r="D145" s="2" t="s">
        <v>39</v>
      </c>
      <c r="E145">
        <v>5.5713999999999997</v>
      </c>
      <c r="F145">
        <v>-15572.4</v>
      </c>
      <c r="G145">
        <v>27.7</v>
      </c>
      <c r="H145">
        <v>-3.3</v>
      </c>
      <c r="I145">
        <v>88.2</v>
      </c>
      <c r="J145">
        <v>109.3</v>
      </c>
      <c r="K145">
        <v>108.9</v>
      </c>
      <c r="L145" s="2"/>
    </row>
    <row r="146" spans="1:12" x14ac:dyDescent="0.25">
      <c r="A146" s="2" t="s">
        <v>30</v>
      </c>
      <c r="B146" s="2" t="s">
        <v>78</v>
      </c>
      <c r="C146" s="2" t="s">
        <v>79</v>
      </c>
      <c r="D146" s="2" t="s">
        <v>39</v>
      </c>
      <c r="E146">
        <v>6.5</v>
      </c>
      <c r="F146">
        <v>-15529.5</v>
      </c>
      <c r="G146">
        <v>27.7</v>
      </c>
      <c r="H146">
        <v>-3.3</v>
      </c>
      <c r="I146">
        <v>88.2</v>
      </c>
      <c r="J146">
        <v>193.3</v>
      </c>
      <c r="K146">
        <v>118.8</v>
      </c>
      <c r="L146" s="2"/>
    </row>
    <row r="147" spans="1:12" x14ac:dyDescent="0.25">
      <c r="A147" s="2" t="s">
        <v>30</v>
      </c>
      <c r="B147" s="2" t="s">
        <v>78</v>
      </c>
      <c r="C147" s="2" t="s">
        <v>79</v>
      </c>
      <c r="D147" s="2" t="s">
        <v>39</v>
      </c>
      <c r="E147">
        <v>7.4286000000000003</v>
      </c>
      <c r="F147">
        <v>-15486.7</v>
      </c>
      <c r="G147">
        <v>27.7</v>
      </c>
      <c r="H147">
        <v>-3.3</v>
      </c>
      <c r="I147">
        <v>88.2</v>
      </c>
      <c r="J147">
        <v>277.39999999999998</v>
      </c>
      <c r="K147">
        <v>128.6</v>
      </c>
      <c r="L147" s="2"/>
    </row>
    <row r="148" spans="1:12" x14ac:dyDescent="0.25">
      <c r="A148" s="2" t="s">
        <v>30</v>
      </c>
      <c r="B148" s="2" t="s">
        <v>78</v>
      </c>
      <c r="C148" s="2" t="s">
        <v>79</v>
      </c>
      <c r="D148" s="2" t="s">
        <v>39</v>
      </c>
      <c r="E148">
        <v>8.3571000000000009</v>
      </c>
      <c r="F148">
        <v>-15443.8</v>
      </c>
      <c r="G148">
        <v>27.7</v>
      </c>
      <c r="H148">
        <v>-3.3</v>
      </c>
      <c r="I148">
        <v>88.2</v>
      </c>
      <c r="J148">
        <v>361.6</v>
      </c>
      <c r="K148">
        <v>138.4</v>
      </c>
      <c r="L148" s="2"/>
    </row>
    <row r="149" spans="1:12" x14ac:dyDescent="0.25">
      <c r="A149" s="2" t="s">
        <v>30</v>
      </c>
      <c r="B149" s="2" t="s">
        <v>78</v>
      </c>
      <c r="C149" s="2" t="s">
        <v>79</v>
      </c>
      <c r="D149" s="2" t="s">
        <v>39</v>
      </c>
      <c r="E149">
        <v>9.2857000000000003</v>
      </c>
      <c r="F149">
        <v>-15400.9</v>
      </c>
      <c r="G149">
        <v>27.7</v>
      </c>
      <c r="H149">
        <v>-3.3</v>
      </c>
      <c r="I149">
        <v>88.2</v>
      </c>
      <c r="J149">
        <v>445.8</v>
      </c>
      <c r="K149">
        <v>148.19999999999999</v>
      </c>
      <c r="L149" s="2"/>
    </row>
    <row r="150" spans="1:12" x14ac:dyDescent="0.25">
      <c r="A150" s="2" t="s">
        <v>30</v>
      </c>
      <c r="B150" s="2" t="s">
        <v>78</v>
      </c>
      <c r="C150" s="2" t="s">
        <v>79</v>
      </c>
      <c r="D150" s="2" t="s">
        <v>39</v>
      </c>
      <c r="E150">
        <v>10.2143</v>
      </c>
      <c r="F150">
        <v>-15358</v>
      </c>
      <c r="G150">
        <v>27.7</v>
      </c>
      <c r="H150">
        <v>-3.3</v>
      </c>
      <c r="I150">
        <v>88.2</v>
      </c>
      <c r="J150">
        <v>530</v>
      </c>
      <c r="K150">
        <v>158.1</v>
      </c>
      <c r="L150" s="2"/>
    </row>
    <row r="151" spans="1:12" x14ac:dyDescent="0.25">
      <c r="A151" s="2" t="s">
        <v>30</v>
      </c>
      <c r="B151" s="2" t="s">
        <v>78</v>
      </c>
      <c r="C151" s="2" t="s">
        <v>79</v>
      </c>
      <c r="D151" s="2" t="s">
        <v>39</v>
      </c>
      <c r="E151">
        <v>11.142899999999999</v>
      </c>
      <c r="F151">
        <v>-15315.1</v>
      </c>
      <c r="G151">
        <v>27.7</v>
      </c>
      <c r="H151">
        <v>-3.3</v>
      </c>
      <c r="I151">
        <v>88.2</v>
      </c>
      <c r="J151">
        <v>614.1</v>
      </c>
      <c r="K151">
        <v>168.1</v>
      </c>
      <c r="L151" s="2"/>
    </row>
    <row r="152" spans="1:12" x14ac:dyDescent="0.25">
      <c r="A152" s="2" t="s">
        <v>30</v>
      </c>
      <c r="B152" s="2" t="s">
        <v>78</v>
      </c>
      <c r="C152" s="2" t="s">
        <v>79</v>
      </c>
      <c r="D152" s="2" t="s">
        <v>39</v>
      </c>
      <c r="E152">
        <v>12.071400000000001</v>
      </c>
      <c r="F152">
        <v>-15272.2</v>
      </c>
      <c r="G152">
        <v>27.7</v>
      </c>
      <c r="H152">
        <v>-3.3</v>
      </c>
      <c r="I152">
        <v>88.2</v>
      </c>
      <c r="J152">
        <v>698.1</v>
      </c>
      <c r="K152">
        <v>178.2</v>
      </c>
      <c r="L152" s="2"/>
    </row>
    <row r="153" spans="1:12" x14ac:dyDescent="0.25">
      <c r="A153" s="2" t="s">
        <v>30</v>
      </c>
      <c r="B153" s="2" t="s">
        <v>78</v>
      </c>
      <c r="C153" s="2" t="s">
        <v>79</v>
      </c>
      <c r="D153" s="2" t="s">
        <v>39</v>
      </c>
      <c r="E153">
        <v>13</v>
      </c>
      <c r="F153">
        <v>-15229.4</v>
      </c>
      <c r="G153">
        <v>27.7</v>
      </c>
      <c r="H153">
        <v>-3.3</v>
      </c>
      <c r="I153">
        <v>88.2</v>
      </c>
      <c r="J153">
        <v>781.8</v>
      </c>
      <c r="K153">
        <v>188.5</v>
      </c>
      <c r="L153" s="2"/>
    </row>
    <row r="154" spans="1:12" x14ac:dyDescent="0.25">
      <c r="A154" s="2" t="s">
        <v>30</v>
      </c>
      <c r="B154" s="2" t="s">
        <v>78</v>
      </c>
      <c r="C154" s="2" t="s">
        <v>79</v>
      </c>
      <c r="D154" s="2" t="s">
        <v>39</v>
      </c>
      <c r="E154">
        <v>0</v>
      </c>
      <c r="F154">
        <v>-17310.5</v>
      </c>
      <c r="G154">
        <v>-12.3</v>
      </c>
      <c r="H154">
        <v>-87.9</v>
      </c>
      <c r="I154">
        <v>-44.4</v>
      </c>
      <c r="J154">
        <v>-389.8</v>
      </c>
      <c r="K154">
        <v>45.4</v>
      </c>
      <c r="L154" s="2"/>
    </row>
    <row r="155" spans="1:12" x14ac:dyDescent="0.25">
      <c r="A155" s="2" t="s">
        <v>30</v>
      </c>
      <c r="B155" s="2" t="s">
        <v>78</v>
      </c>
      <c r="C155" s="2" t="s">
        <v>79</v>
      </c>
      <c r="D155" s="2" t="s">
        <v>39</v>
      </c>
      <c r="E155">
        <v>0.92859999999999998</v>
      </c>
      <c r="F155">
        <v>-17267.599999999999</v>
      </c>
      <c r="G155">
        <v>-12.3</v>
      </c>
      <c r="H155">
        <v>-87.9</v>
      </c>
      <c r="I155">
        <v>-44.4</v>
      </c>
      <c r="J155">
        <v>-307.5</v>
      </c>
      <c r="K155">
        <v>56.7</v>
      </c>
      <c r="L155" s="2"/>
    </row>
    <row r="156" spans="1:12" x14ac:dyDescent="0.25">
      <c r="A156" s="2" t="s">
        <v>30</v>
      </c>
      <c r="B156" s="2" t="s">
        <v>78</v>
      </c>
      <c r="C156" s="2" t="s">
        <v>79</v>
      </c>
      <c r="D156" s="2" t="s">
        <v>39</v>
      </c>
      <c r="E156">
        <v>1.8571</v>
      </c>
      <c r="F156">
        <v>-17224.7</v>
      </c>
      <c r="G156">
        <v>-12.3</v>
      </c>
      <c r="H156">
        <v>-87.9</v>
      </c>
      <c r="I156">
        <v>-44.4</v>
      </c>
      <c r="J156">
        <v>-224.7</v>
      </c>
      <c r="K156">
        <v>67</v>
      </c>
      <c r="L156" s="2"/>
    </row>
    <row r="157" spans="1:12" x14ac:dyDescent="0.25">
      <c r="A157" s="2" t="s">
        <v>30</v>
      </c>
      <c r="B157" s="2" t="s">
        <v>78</v>
      </c>
      <c r="C157" s="2" t="s">
        <v>79</v>
      </c>
      <c r="D157" s="2" t="s">
        <v>39</v>
      </c>
      <c r="E157">
        <v>2.7856999999999998</v>
      </c>
      <c r="F157">
        <v>-17181.8</v>
      </c>
      <c r="G157">
        <v>-12.3</v>
      </c>
      <c r="H157">
        <v>-87.9</v>
      </c>
      <c r="I157">
        <v>-44.4</v>
      </c>
      <c r="J157">
        <v>-162.80000000000001</v>
      </c>
      <c r="K157">
        <v>61.2</v>
      </c>
      <c r="L157" s="2"/>
    </row>
    <row r="158" spans="1:12" x14ac:dyDescent="0.25">
      <c r="A158" s="2" t="s">
        <v>30</v>
      </c>
      <c r="B158" s="2" t="s">
        <v>78</v>
      </c>
      <c r="C158" s="2" t="s">
        <v>79</v>
      </c>
      <c r="D158" s="2" t="s">
        <v>39</v>
      </c>
      <c r="E158">
        <v>3.7143000000000002</v>
      </c>
      <c r="F158">
        <v>-17139</v>
      </c>
      <c r="G158">
        <v>-12.3</v>
      </c>
      <c r="H158">
        <v>-87.9</v>
      </c>
      <c r="I158">
        <v>-44.4</v>
      </c>
      <c r="J158">
        <v>-129.6</v>
      </c>
      <c r="K158">
        <v>37</v>
      </c>
      <c r="L158" s="2"/>
    </row>
    <row r="159" spans="1:12" x14ac:dyDescent="0.25">
      <c r="A159" s="2" t="s">
        <v>30</v>
      </c>
      <c r="B159" s="2" t="s">
        <v>78</v>
      </c>
      <c r="C159" s="2" t="s">
        <v>79</v>
      </c>
      <c r="D159" s="2" t="s">
        <v>39</v>
      </c>
      <c r="E159">
        <v>4.6429</v>
      </c>
      <c r="F159">
        <v>-17096.099999999999</v>
      </c>
      <c r="G159">
        <v>-12.3</v>
      </c>
      <c r="H159">
        <v>-87.9</v>
      </c>
      <c r="I159">
        <v>-44.4</v>
      </c>
      <c r="J159">
        <v>-113.1</v>
      </c>
      <c r="K159">
        <v>11.2</v>
      </c>
      <c r="L159" s="2"/>
    </row>
    <row r="160" spans="1:12" x14ac:dyDescent="0.25">
      <c r="A160" s="2" t="s">
        <v>30</v>
      </c>
      <c r="B160" s="2" t="s">
        <v>78</v>
      </c>
      <c r="C160" s="2" t="s">
        <v>79</v>
      </c>
      <c r="D160" s="2" t="s">
        <v>39</v>
      </c>
      <c r="E160">
        <v>5.5713999999999997</v>
      </c>
      <c r="F160">
        <v>-17053.2</v>
      </c>
      <c r="G160">
        <v>-12.3</v>
      </c>
      <c r="H160">
        <v>-87.9</v>
      </c>
      <c r="I160">
        <v>-44.4</v>
      </c>
      <c r="J160">
        <v>-98.1</v>
      </c>
      <c r="K160">
        <v>-15.9</v>
      </c>
      <c r="L160" s="2"/>
    </row>
    <row r="161" spans="1:12" x14ac:dyDescent="0.25">
      <c r="A161" s="2" t="s">
        <v>30</v>
      </c>
      <c r="B161" s="2" t="s">
        <v>78</v>
      </c>
      <c r="C161" s="2" t="s">
        <v>79</v>
      </c>
      <c r="D161" s="2" t="s">
        <v>39</v>
      </c>
      <c r="E161">
        <v>6.5</v>
      </c>
      <c r="F161">
        <v>-17010.3</v>
      </c>
      <c r="G161">
        <v>-12.3</v>
      </c>
      <c r="H161">
        <v>-87.9</v>
      </c>
      <c r="I161">
        <v>-44.4</v>
      </c>
      <c r="J161">
        <v>-88.6</v>
      </c>
      <c r="K161">
        <v>-43.1</v>
      </c>
      <c r="L161" s="2"/>
    </row>
    <row r="162" spans="1:12" x14ac:dyDescent="0.25">
      <c r="A162" s="2" t="s">
        <v>30</v>
      </c>
      <c r="B162" s="2" t="s">
        <v>78</v>
      </c>
      <c r="C162" s="2" t="s">
        <v>79</v>
      </c>
      <c r="D162" s="2" t="s">
        <v>39</v>
      </c>
      <c r="E162">
        <v>7.4286000000000003</v>
      </c>
      <c r="F162">
        <v>-16967.400000000001</v>
      </c>
      <c r="G162">
        <v>-12.3</v>
      </c>
      <c r="H162">
        <v>-87.9</v>
      </c>
      <c r="I162">
        <v>-44.4</v>
      </c>
      <c r="J162">
        <v>-79</v>
      </c>
      <c r="K162">
        <v>-70.400000000000006</v>
      </c>
      <c r="L162" s="2"/>
    </row>
    <row r="163" spans="1:12" x14ac:dyDescent="0.25">
      <c r="A163" s="2" t="s">
        <v>30</v>
      </c>
      <c r="B163" s="2" t="s">
        <v>78</v>
      </c>
      <c r="C163" s="2" t="s">
        <v>79</v>
      </c>
      <c r="D163" s="2" t="s">
        <v>39</v>
      </c>
      <c r="E163">
        <v>8.3571000000000009</v>
      </c>
      <c r="F163">
        <v>-16924.599999999999</v>
      </c>
      <c r="G163">
        <v>-12.3</v>
      </c>
      <c r="H163">
        <v>-87.9</v>
      </c>
      <c r="I163">
        <v>-44.4</v>
      </c>
      <c r="J163">
        <v>-69.400000000000006</v>
      </c>
      <c r="K163">
        <v>-97.7</v>
      </c>
      <c r="L163" s="2"/>
    </row>
    <row r="164" spans="1:12" x14ac:dyDescent="0.25">
      <c r="A164" s="2" t="s">
        <v>30</v>
      </c>
      <c r="B164" s="2" t="s">
        <v>78</v>
      </c>
      <c r="C164" s="2" t="s">
        <v>79</v>
      </c>
      <c r="D164" s="2" t="s">
        <v>39</v>
      </c>
      <c r="E164">
        <v>9.2857000000000003</v>
      </c>
      <c r="F164">
        <v>-16881.7</v>
      </c>
      <c r="G164">
        <v>-12.3</v>
      </c>
      <c r="H164">
        <v>-87.9</v>
      </c>
      <c r="I164">
        <v>-44.4</v>
      </c>
      <c r="J164">
        <v>-59.8</v>
      </c>
      <c r="K164">
        <v>-125</v>
      </c>
      <c r="L164" s="2"/>
    </row>
    <row r="165" spans="1:12" x14ac:dyDescent="0.25">
      <c r="A165" s="2" t="s">
        <v>30</v>
      </c>
      <c r="B165" s="2" t="s">
        <v>78</v>
      </c>
      <c r="C165" s="2" t="s">
        <v>79</v>
      </c>
      <c r="D165" s="2" t="s">
        <v>39</v>
      </c>
      <c r="E165">
        <v>10.2143</v>
      </c>
      <c r="F165">
        <v>-16838.8</v>
      </c>
      <c r="G165">
        <v>-12.3</v>
      </c>
      <c r="H165">
        <v>-87.9</v>
      </c>
      <c r="I165">
        <v>-44.4</v>
      </c>
      <c r="J165">
        <v>-50.2</v>
      </c>
      <c r="K165">
        <v>-152.30000000000001</v>
      </c>
      <c r="L165" s="2"/>
    </row>
    <row r="166" spans="1:12" x14ac:dyDescent="0.25">
      <c r="A166" s="2" t="s">
        <v>30</v>
      </c>
      <c r="B166" s="2" t="s">
        <v>78</v>
      </c>
      <c r="C166" s="2" t="s">
        <v>79</v>
      </c>
      <c r="D166" s="2" t="s">
        <v>39</v>
      </c>
      <c r="E166">
        <v>11.142899999999999</v>
      </c>
      <c r="F166">
        <v>-16795.900000000001</v>
      </c>
      <c r="G166">
        <v>-12.3</v>
      </c>
      <c r="H166">
        <v>-87.9</v>
      </c>
      <c r="I166">
        <v>-44.4</v>
      </c>
      <c r="J166">
        <v>-41</v>
      </c>
      <c r="K166">
        <v>-179.4</v>
      </c>
      <c r="L166" s="2"/>
    </row>
    <row r="167" spans="1:12" x14ac:dyDescent="0.25">
      <c r="A167" s="2" t="s">
        <v>30</v>
      </c>
      <c r="B167" s="2" t="s">
        <v>78</v>
      </c>
      <c r="C167" s="2" t="s">
        <v>79</v>
      </c>
      <c r="D167" s="2" t="s">
        <v>39</v>
      </c>
      <c r="E167">
        <v>12.071400000000001</v>
      </c>
      <c r="F167">
        <v>-16753</v>
      </c>
      <c r="G167">
        <v>-12.3</v>
      </c>
      <c r="H167">
        <v>-87.9</v>
      </c>
      <c r="I167">
        <v>-44.4</v>
      </c>
      <c r="J167">
        <v>-35.6</v>
      </c>
      <c r="K167">
        <v>-206.4</v>
      </c>
      <c r="L167" s="2"/>
    </row>
    <row r="168" spans="1:12" x14ac:dyDescent="0.25">
      <c r="A168" s="2" t="s">
        <v>30</v>
      </c>
      <c r="B168" s="2" t="s">
        <v>78</v>
      </c>
      <c r="C168" s="2" t="s">
        <v>79</v>
      </c>
      <c r="D168" s="2" t="s">
        <v>39</v>
      </c>
      <c r="E168">
        <v>13</v>
      </c>
      <c r="F168">
        <v>-16710.099999999999</v>
      </c>
      <c r="G168">
        <v>-12.3</v>
      </c>
      <c r="H168">
        <v>-87.9</v>
      </c>
      <c r="I168">
        <v>-44.4</v>
      </c>
      <c r="J168">
        <v>-30.5</v>
      </c>
      <c r="K168">
        <v>-233.3</v>
      </c>
      <c r="L168" s="2"/>
    </row>
    <row r="169" spans="1:12" x14ac:dyDescent="0.25">
      <c r="A169" s="2" t="s">
        <v>30</v>
      </c>
      <c r="B169" s="2" t="s">
        <v>78</v>
      </c>
      <c r="C169" s="2" t="s">
        <v>79</v>
      </c>
      <c r="D169" s="2" t="s">
        <v>40</v>
      </c>
      <c r="E169">
        <v>0</v>
      </c>
      <c r="F169">
        <v>-14429.3</v>
      </c>
      <c r="G169">
        <v>67</v>
      </c>
      <c r="H169">
        <v>139.6</v>
      </c>
      <c r="I169">
        <v>180.1</v>
      </c>
      <c r="J169">
        <v>380.2</v>
      </c>
      <c r="K169">
        <v>270.8</v>
      </c>
      <c r="L169" s="2"/>
    </row>
    <row r="170" spans="1:12" x14ac:dyDescent="0.25">
      <c r="A170" s="2" t="s">
        <v>30</v>
      </c>
      <c r="B170" s="2" t="s">
        <v>78</v>
      </c>
      <c r="C170" s="2" t="s">
        <v>79</v>
      </c>
      <c r="D170" s="2" t="s">
        <v>40</v>
      </c>
      <c r="E170">
        <v>0.92859999999999998</v>
      </c>
      <c r="F170">
        <v>-14386.4</v>
      </c>
      <c r="G170">
        <v>67</v>
      </c>
      <c r="H170">
        <v>139.6</v>
      </c>
      <c r="I170">
        <v>180.1</v>
      </c>
      <c r="J170">
        <v>250.8</v>
      </c>
      <c r="K170">
        <v>209</v>
      </c>
      <c r="L170" s="2"/>
    </row>
    <row r="171" spans="1:12" x14ac:dyDescent="0.25">
      <c r="A171" s="2" t="s">
        <v>30</v>
      </c>
      <c r="B171" s="2" t="s">
        <v>78</v>
      </c>
      <c r="C171" s="2" t="s">
        <v>79</v>
      </c>
      <c r="D171" s="2" t="s">
        <v>40</v>
      </c>
      <c r="E171">
        <v>1.8571</v>
      </c>
      <c r="F171">
        <v>-14343.5</v>
      </c>
      <c r="G171">
        <v>67</v>
      </c>
      <c r="H171">
        <v>139.6</v>
      </c>
      <c r="I171">
        <v>180.1</v>
      </c>
      <c r="J171">
        <v>122</v>
      </c>
      <c r="K171">
        <v>147.80000000000001</v>
      </c>
      <c r="L171" s="2"/>
    </row>
    <row r="172" spans="1:12" x14ac:dyDescent="0.25">
      <c r="A172" s="2" t="s">
        <v>30</v>
      </c>
      <c r="B172" s="2" t="s">
        <v>78</v>
      </c>
      <c r="C172" s="2" t="s">
        <v>79</v>
      </c>
      <c r="D172" s="2" t="s">
        <v>40</v>
      </c>
      <c r="E172">
        <v>2.7856999999999998</v>
      </c>
      <c r="F172">
        <v>-14300.7</v>
      </c>
      <c r="G172">
        <v>67</v>
      </c>
      <c r="H172">
        <v>139.6</v>
      </c>
      <c r="I172">
        <v>180.1</v>
      </c>
      <c r="J172">
        <v>36.299999999999997</v>
      </c>
      <c r="K172">
        <v>117.2</v>
      </c>
      <c r="L172" s="2"/>
    </row>
    <row r="173" spans="1:12" x14ac:dyDescent="0.25">
      <c r="A173" s="2" t="s">
        <v>30</v>
      </c>
      <c r="B173" s="2" t="s">
        <v>78</v>
      </c>
      <c r="C173" s="2" t="s">
        <v>79</v>
      </c>
      <c r="D173" s="2" t="s">
        <v>40</v>
      </c>
      <c r="E173">
        <v>3.7143000000000002</v>
      </c>
      <c r="F173">
        <v>-14257.8</v>
      </c>
      <c r="G173">
        <v>67</v>
      </c>
      <c r="H173">
        <v>139.6</v>
      </c>
      <c r="I173">
        <v>180.1</v>
      </c>
      <c r="J173">
        <v>10.3</v>
      </c>
      <c r="K173">
        <v>109.7</v>
      </c>
      <c r="L173" s="2"/>
    </row>
    <row r="174" spans="1:12" x14ac:dyDescent="0.25">
      <c r="A174" s="2" t="s">
        <v>30</v>
      </c>
      <c r="B174" s="2" t="s">
        <v>78</v>
      </c>
      <c r="C174" s="2" t="s">
        <v>79</v>
      </c>
      <c r="D174" s="2" t="s">
        <v>40</v>
      </c>
      <c r="E174">
        <v>4.6429</v>
      </c>
      <c r="F174">
        <v>-14214.9</v>
      </c>
      <c r="G174">
        <v>67</v>
      </c>
      <c r="H174">
        <v>139.6</v>
      </c>
      <c r="I174">
        <v>180.1</v>
      </c>
      <c r="J174">
        <v>20.9</v>
      </c>
      <c r="K174">
        <v>101.8</v>
      </c>
      <c r="L174" s="2"/>
    </row>
    <row r="175" spans="1:12" x14ac:dyDescent="0.25">
      <c r="A175" s="2" t="s">
        <v>30</v>
      </c>
      <c r="B175" s="2" t="s">
        <v>78</v>
      </c>
      <c r="C175" s="2" t="s">
        <v>79</v>
      </c>
      <c r="D175" s="2" t="s">
        <v>40</v>
      </c>
      <c r="E175">
        <v>5.5713999999999997</v>
      </c>
      <c r="F175">
        <v>-14172</v>
      </c>
      <c r="G175">
        <v>67</v>
      </c>
      <c r="H175">
        <v>139.6</v>
      </c>
      <c r="I175">
        <v>180.1</v>
      </c>
      <c r="J175">
        <v>129.1</v>
      </c>
      <c r="K175">
        <v>93.7</v>
      </c>
      <c r="L175" s="2"/>
    </row>
    <row r="176" spans="1:12" x14ac:dyDescent="0.25">
      <c r="A176" s="2" t="s">
        <v>30</v>
      </c>
      <c r="B176" s="2" t="s">
        <v>78</v>
      </c>
      <c r="C176" s="2" t="s">
        <v>79</v>
      </c>
      <c r="D176" s="2" t="s">
        <v>40</v>
      </c>
      <c r="E176">
        <v>6.5</v>
      </c>
      <c r="F176">
        <v>-14129.1</v>
      </c>
      <c r="G176">
        <v>67</v>
      </c>
      <c r="H176">
        <v>139.6</v>
      </c>
      <c r="I176">
        <v>180.1</v>
      </c>
      <c r="J176">
        <v>237.6</v>
      </c>
      <c r="K176">
        <v>85.5</v>
      </c>
      <c r="L176" s="2"/>
    </row>
    <row r="177" spans="1:12" x14ac:dyDescent="0.25">
      <c r="A177" s="2" t="s">
        <v>30</v>
      </c>
      <c r="B177" s="2" t="s">
        <v>78</v>
      </c>
      <c r="C177" s="2" t="s">
        <v>79</v>
      </c>
      <c r="D177" s="2" t="s">
        <v>40</v>
      </c>
      <c r="E177">
        <v>7.4286000000000003</v>
      </c>
      <c r="F177">
        <v>-14086.2</v>
      </c>
      <c r="G177">
        <v>67</v>
      </c>
      <c r="H177">
        <v>139.6</v>
      </c>
      <c r="I177">
        <v>180.1</v>
      </c>
      <c r="J177">
        <v>346.3</v>
      </c>
      <c r="K177">
        <v>77.2</v>
      </c>
      <c r="L177" s="2"/>
    </row>
    <row r="178" spans="1:12" x14ac:dyDescent="0.25">
      <c r="A178" s="2" t="s">
        <v>30</v>
      </c>
      <c r="B178" s="2" t="s">
        <v>78</v>
      </c>
      <c r="C178" s="2" t="s">
        <v>79</v>
      </c>
      <c r="D178" s="2" t="s">
        <v>40</v>
      </c>
      <c r="E178">
        <v>8.3571000000000009</v>
      </c>
      <c r="F178">
        <v>-14043.4</v>
      </c>
      <c r="G178">
        <v>67</v>
      </c>
      <c r="H178">
        <v>139.6</v>
      </c>
      <c r="I178">
        <v>180.1</v>
      </c>
      <c r="J178">
        <v>455</v>
      </c>
      <c r="K178">
        <v>68.8</v>
      </c>
      <c r="L178" s="2"/>
    </row>
    <row r="179" spans="1:12" x14ac:dyDescent="0.25">
      <c r="A179" s="2" t="s">
        <v>30</v>
      </c>
      <c r="B179" s="2" t="s">
        <v>78</v>
      </c>
      <c r="C179" s="2" t="s">
        <v>79</v>
      </c>
      <c r="D179" s="2" t="s">
        <v>40</v>
      </c>
      <c r="E179">
        <v>9.2857000000000003</v>
      </c>
      <c r="F179">
        <v>-14000.5</v>
      </c>
      <c r="G179">
        <v>67</v>
      </c>
      <c r="H179">
        <v>139.6</v>
      </c>
      <c r="I179">
        <v>180.1</v>
      </c>
      <c r="J179">
        <v>563.79999999999995</v>
      </c>
      <c r="K179">
        <v>60.5</v>
      </c>
      <c r="L179" s="2"/>
    </row>
    <row r="180" spans="1:12" x14ac:dyDescent="0.25">
      <c r="A180" s="2" t="s">
        <v>30</v>
      </c>
      <c r="B180" s="2" t="s">
        <v>78</v>
      </c>
      <c r="C180" s="2" t="s">
        <v>79</v>
      </c>
      <c r="D180" s="2" t="s">
        <v>40</v>
      </c>
      <c r="E180">
        <v>10.2143</v>
      </c>
      <c r="F180">
        <v>-13957.6</v>
      </c>
      <c r="G180">
        <v>67</v>
      </c>
      <c r="H180">
        <v>139.6</v>
      </c>
      <c r="I180">
        <v>180.1</v>
      </c>
      <c r="J180">
        <v>672.5</v>
      </c>
      <c r="K180">
        <v>52.2</v>
      </c>
      <c r="L180" s="2"/>
    </row>
    <row r="181" spans="1:12" x14ac:dyDescent="0.25">
      <c r="A181" s="2" t="s">
        <v>30</v>
      </c>
      <c r="B181" s="2" t="s">
        <v>78</v>
      </c>
      <c r="C181" s="2" t="s">
        <v>79</v>
      </c>
      <c r="D181" s="2" t="s">
        <v>40</v>
      </c>
      <c r="E181">
        <v>11.142899999999999</v>
      </c>
      <c r="F181">
        <v>-13914.7</v>
      </c>
      <c r="G181">
        <v>67</v>
      </c>
      <c r="H181">
        <v>139.6</v>
      </c>
      <c r="I181">
        <v>180.1</v>
      </c>
      <c r="J181">
        <v>781.1</v>
      </c>
      <c r="K181">
        <v>44.1</v>
      </c>
      <c r="L181" s="2"/>
    </row>
    <row r="182" spans="1:12" x14ac:dyDescent="0.25">
      <c r="A182" s="2" t="s">
        <v>30</v>
      </c>
      <c r="B182" s="2" t="s">
        <v>78</v>
      </c>
      <c r="C182" s="2" t="s">
        <v>79</v>
      </c>
      <c r="D182" s="2" t="s">
        <v>40</v>
      </c>
      <c r="E182">
        <v>12.071400000000001</v>
      </c>
      <c r="F182">
        <v>-13871.8</v>
      </c>
      <c r="G182">
        <v>67</v>
      </c>
      <c r="H182">
        <v>139.6</v>
      </c>
      <c r="I182">
        <v>180.1</v>
      </c>
      <c r="J182">
        <v>889.6</v>
      </c>
      <c r="K182">
        <v>36.200000000000003</v>
      </c>
      <c r="L182" s="2"/>
    </row>
    <row r="183" spans="1:12" x14ac:dyDescent="0.25">
      <c r="A183" s="2" t="s">
        <v>30</v>
      </c>
      <c r="B183" s="2" t="s">
        <v>78</v>
      </c>
      <c r="C183" s="2" t="s">
        <v>79</v>
      </c>
      <c r="D183" s="2" t="s">
        <v>40</v>
      </c>
      <c r="E183">
        <v>13</v>
      </c>
      <c r="F183">
        <v>-13828.9</v>
      </c>
      <c r="G183">
        <v>67</v>
      </c>
      <c r="H183">
        <v>139.6</v>
      </c>
      <c r="I183">
        <v>180.1</v>
      </c>
      <c r="J183">
        <v>997.8</v>
      </c>
      <c r="K183">
        <v>28.6</v>
      </c>
      <c r="L183" s="2"/>
    </row>
    <row r="184" spans="1:12" x14ac:dyDescent="0.25">
      <c r="A184" s="2" t="s">
        <v>30</v>
      </c>
      <c r="B184" s="2" t="s">
        <v>78</v>
      </c>
      <c r="C184" s="2" t="s">
        <v>79</v>
      </c>
      <c r="D184" s="2" t="s">
        <v>40</v>
      </c>
      <c r="E184">
        <v>0</v>
      </c>
      <c r="F184">
        <v>-20789.7</v>
      </c>
      <c r="G184">
        <v>7.2</v>
      </c>
      <c r="H184">
        <v>-113.9</v>
      </c>
      <c r="I184">
        <v>-91.4</v>
      </c>
      <c r="J184">
        <v>-514.70000000000005</v>
      </c>
      <c r="K184">
        <v>129.30000000000001</v>
      </c>
      <c r="L184" s="2"/>
    </row>
    <row r="185" spans="1:12" x14ac:dyDescent="0.25">
      <c r="A185" s="2" t="s">
        <v>30</v>
      </c>
      <c r="B185" s="2" t="s">
        <v>78</v>
      </c>
      <c r="C185" s="2" t="s">
        <v>79</v>
      </c>
      <c r="D185" s="2" t="s">
        <v>40</v>
      </c>
      <c r="E185">
        <v>0.92859999999999998</v>
      </c>
      <c r="F185">
        <v>-20746.8</v>
      </c>
      <c r="G185">
        <v>7.2</v>
      </c>
      <c r="H185">
        <v>-113.9</v>
      </c>
      <c r="I185">
        <v>-91.4</v>
      </c>
      <c r="J185">
        <v>-408.6</v>
      </c>
      <c r="K185">
        <v>118.4</v>
      </c>
      <c r="L185" s="2"/>
    </row>
    <row r="186" spans="1:12" x14ac:dyDescent="0.25">
      <c r="A186" s="2" t="s">
        <v>30</v>
      </c>
      <c r="B186" s="2" t="s">
        <v>78</v>
      </c>
      <c r="C186" s="2" t="s">
        <v>79</v>
      </c>
      <c r="D186" s="2" t="s">
        <v>40</v>
      </c>
      <c r="E186">
        <v>1.8571</v>
      </c>
      <c r="F186">
        <v>-20703.900000000001</v>
      </c>
      <c r="G186">
        <v>7.2</v>
      </c>
      <c r="H186">
        <v>-113.9</v>
      </c>
      <c r="I186">
        <v>-91.4</v>
      </c>
      <c r="J186">
        <v>-301.89999999999998</v>
      </c>
      <c r="K186">
        <v>107</v>
      </c>
      <c r="L186" s="2"/>
    </row>
    <row r="187" spans="1:12" x14ac:dyDescent="0.25">
      <c r="A187" s="2" t="s">
        <v>30</v>
      </c>
      <c r="B187" s="2" t="s">
        <v>78</v>
      </c>
      <c r="C187" s="2" t="s">
        <v>79</v>
      </c>
      <c r="D187" s="2" t="s">
        <v>40</v>
      </c>
      <c r="E187">
        <v>2.7856999999999998</v>
      </c>
      <c r="F187">
        <v>-20661</v>
      </c>
      <c r="G187">
        <v>7.2</v>
      </c>
      <c r="H187">
        <v>-113.9</v>
      </c>
      <c r="I187">
        <v>-91.4</v>
      </c>
      <c r="J187">
        <v>-222.5</v>
      </c>
      <c r="K187">
        <v>78.599999999999994</v>
      </c>
      <c r="L187" s="2"/>
    </row>
    <row r="188" spans="1:12" x14ac:dyDescent="0.25">
      <c r="A188" s="2" t="s">
        <v>30</v>
      </c>
      <c r="B188" s="2" t="s">
        <v>78</v>
      </c>
      <c r="C188" s="2" t="s">
        <v>79</v>
      </c>
      <c r="D188" s="2" t="s">
        <v>40</v>
      </c>
      <c r="E188">
        <v>3.7143000000000002</v>
      </c>
      <c r="F188">
        <v>-20618.099999999999</v>
      </c>
      <c r="G188">
        <v>7.2</v>
      </c>
      <c r="H188">
        <v>-113.9</v>
      </c>
      <c r="I188">
        <v>-91.4</v>
      </c>
      <c r="J188">
        <v>-189</v>
      </c>
      <c r="K188">
        <v>21.1</v>
      </c>
      <c r="L188" s="2"/>
    </row>
    <row r="189" spans="1:12" x14ac:dyDescent="0.25">
      <c r="A189" s="2" t="s">
        <v>30</v>
      </c>
      <c r="B189" s="2" t="s">
        <v>78</v>
      </c>
      <c r="C189" s="2" t="s">
        <v>79</v>
      </c>
      <c r="D189" s="2" t="s">
        <v>40</v>
      </c>
      <c r="E189">
        <v>4.6429</v>
      </c>
      <c r="F189">
        <v>-20575.3</v>
      </c>
      <c r="G189">
        <v>7.2</v>
      </c>
      <c r="H189">
        <v>-113.9</v>
      </c>
      <c r="I189">
        <v>-91.4</v>
      </c>
      <c r="J189">
        <v>-261.60000000000002</v>
      </c>
      <c r="K189">
        <v>-42.3</v>
      </c>
      <c r="L189" s="2"/>
    </row>
    <row r="190" spans="1:12" x14ac:dyDescent="0.25">
      <c r="A190" s="2" t="s">
        <v>30</v>
      </c>
      <c r="B190" s="2" t="s">
        <v>78</v>
      </c>
      <c r="C190" s="2" t="s">
        <v>79</v>
      </c>
      <c r="D190" s="2" t="s">
        <v>40</v>
      </c>
      <c r="E190">
        <v>5.5713999999999997</v>
      </c>
      <c r="F190">
        <v>-20532.400000000001</v>
      </c>
      <c r="G190">
        <v>7.2</v>
      </c>
      <c r="H190">
        <v>-113.9</v>
      </c>
      <c r="I190">
        <v>-91.4</v>
      </c>
      <c r="J190">
        <v>-388.8</v>
      </c>
      <c r="K190">
        <v>-105.8</v>
      </c>
      <c r="L190" s="2"/>
    </row>
    <row r="191" spans="1:12" x14ac:dyDescent="0.25">
      <c r="A191" s="2" t="s">
        <v>30</v>
      </c>
      <c r="B191" s="2" t="s">
        <v>78</v>
      </c>
      <c r="C191" s="2" t="s">
        <v>79</v>
      </c>
      <c r="D191" s="2" t="s">
        <v>40</v>
      </c>
      <c r="E191">
        <v>6.5</v>
      </c>
      <c r="F191">
        <v>-20489.5</v>
      </c>
      <c r="G191">
        <v>7.2</v>
      </c>
      <c r="H191">
        <v>-113.9</v>
      </c>
      <c r="I191">
        <v>-91.4</v>
      </c>
      <c r="J191">
        <v>-515.70000000000005</v>
      </c>
      <c r="K191">
        <v>-169.5</v>
      </c>
      <c r="L191" s="2"/>
    </row>
    <row r="192" spans="1:12" x14ac:dyDescent="0.25">
      <c r="A192" s="2" t="s">
        <v>30</v>
      </c>
      <c r="B192" s="2" t="s">
        <v>78</v>
      </c>
      <c r="C192" s="2" t="s">
        <v>79</v>
      </c>
      <c r="D192" s="2" t="s">
        <v>40</v>
      </c>
      <c r="E192">
        <v>7.4286000000000003</v>
      </c>
      <c r="F192">
        <v>-20446.599999999999</v>
      </c>
      <c r="G192">
        <v>7.2</v>
      </c>
      <c r="H192">
        <v>-113.9</v>
      </c>
      <c r="I192">
        <v>-91.4</v>
      </c>
      <c r="J192">
        <v>-642.5</v>
      </c>
      <c r="K192">
        <v>-233.3</v>
      </c>
      <c r="L192" s="2"/>
    </row>
    <row r="193" spans="1:12" x14ac:dyDescent="0.25">
      <c r="A193" s="2" t="s">
        <v>30</v>
      </c>
      <c r="B193" s="2" t="s">
        <v>78</v>
      </c>
      <c r="C193" s="2" t="s">
        <v>79</v>
      </c>
      <c r="D193" s="2" t="s">
        <v>40</v>
      </c>
      <c r="E193">
        <v>8.3571000000000009</v>
      </c>
      <c r="F193">
        <v>-20403.7</v>
      </c>
      <c r="G193">
        <v>7.2</v>
      </c>
      <c r="H193">
        <v>-113.9</v>
      </c>
      <c r="I193">
        <v>-91.4</v>
      </c>
      <c r="J193">
        <v>-769.2</v>
      </c>
      <c r="K193">
        <v>-297.2</v>
      </c>
      <c r="L193" s="2"/>
    </row>
    <row r="194" spans="1:12" x14ac:dyDescent="0.25">
      <c r="A194" s="2" t="s">
        <v>30</v>
      </c>
      <c r="B194" s="2" t="s">
        <v>78</v>
      </c>
      <c r="C194" s="2" t="s">
        <v>79</v>
      </c>
      <c r="D194" s="2" t="s">
        <v>40</v>
      </c>
      <c r="E194">
        <v>9.2857000000000003</v>
      </c>
      <c r="F194">
        <v>-20360.8</v>
      </c>
      <c r="G194">
        <v>7.2</v>
      </c>
      <c r="H194">
        <v>-113.9</v>
      </c>
      <c r="I194">
        <v>-91.4</v>
      </c>
      <c r="J194">
        <v>-895.9</v>
      </c>
      <c r="K194">
        <v>-361</v>
      </c>
      <c r="L194" s="2"/>
    </row>
    <row r="195" spans="1:12" x14ac:dyDescent="0.25">
      <c r="A195" s="2" t="s">
        <v>30</v>
      </c>
      <c r="B195" s="2" t="s">
        <v>78</v>
      </c>
      <c r="C195" s="2" t="s">
        <v>79</v>
      </c>
      <c r="D195" s="2" t="s">
        <v>40</v>
      </c>
      <c r="E195">
        <v>10.2143</v>
      </c>
      <c r="F195">
        <v>-20318</v>
      </c>
      <c r="G195">
        <v>7.2</v>
      </c>
      <c r="H195">
        <v>-113.9</v>
      </c>
      <c r="I195">
        <v>-91.4</v>
      </c>
      <c r="J195">
        <v>-1022.6</v>
      </c>
      <c r="K195">
        <v>-424.7</v>
      </c>
      <c r="L195" s="2"/>
    </row>
    <row r="196" spans="1:12" x14ac:dyDescent="0.25">
      <c r="A196" s="2" t="s">
        <v>30</v>
      </c>
      <c r="B196" s="2" t="s">
        <v>78</v>
      </c>
      <c r="C196" s="2" t="s">
        <v>79</v>
      </c>
      <c r="D196" s="2" t="s">
        <v>40</v>
      </c>
      <c r="E196">
        <v>11.142899999999999</v>
      </c>
      <c r="F196">
        <v>-20275.099999999999</v>
      </c>
      <c r="G196">
        <v>7.2</v>
      </c>
      <c r="H196">
        <v>-113.9</v>
      </c>
      <c r="I196">
        <v>-91.4</v>
      </c>
      <c r="J196">
        <v>-1149.5</v>
      </c>
      <c r="K196">
        <v>-488.3</v>
      </c>
      <c r="L196" s="2"/>
    </row>
    <row r="197" spans="1:12" x14ac:dyDescent="0.25">
      <c r="A197" s="2" t="s">
        <v>30</v>
      </c>
      <c r="B197" s="2" t="s">
        <v>78</v>
      </c>
      <c r="C197" s="2" t="s">
        <v>79</v>
      </c>
      <c r="D197" s="2" t="s">
        <v>40</v>
      </c>
      <c r="E197">
        <v>12.071400000000001</v>
      </c>
      <c r="F197">
        <v>-20232.2</v>
      </c>
      <c r="G197">
        <v>7.2</v>
      </c>
      <c r="H197">
        <v>-113.9</v>
      </c>
      <c r="I197">
        <v>-91.4</v>
      </c>
      <c r="J197">
        <v>-1276.4000000000001</v>
      </c>
      <c r="K197">
        <v>-551.70000000000005</v>
      </c>
      <c r="L197" s="2"/>
    </row>
    <row r="198" spans="1:12" x14ac:dyDescent="0.25">
      <c r="A198" s="2" t="s">
        <v>30</v>
      </c>
      <c r="B198" s="2" t="s">
        <v>78</v>
      </c>
      <c r="C198" s="2" t="s">
        <v>79</v>
      </c>
      <c r="D198" s="2" t="s">
        <v>40</v>
      </c>
      <c r="E198">
        <v>13</v>
      </c>
      <c r="F198">
        <v>-20189.3</v>
      </c>
      <c r="G198">
        <v>7.2</v>
      </c>
      <c r="H198">
        <v>-113.9</v>
      </c>
      <c r="I198">
        <v>-91.4</v>
      </c>
      <c r="J198">
        <v>-1403.7</v>
      </c>
      <c r="K198">
        <v>-614.70000000000005</v>
      </c>
      <c r="L198" s="2"/>
    </row>
    <row r="199" spans="1:12" x14ac:dyDescent="0.25">
      <c r="A199" s="2" t="s">
        <v>30</v>
      </c>
      <c r="B199" s="2" t="s">
        <v>78</v>
      </c>
      <c r="C199" s="2" t="s">
        <v>79</v>
      </c>
      <c r="D199" s="2" t="s">
        <v>41</v>
      </c>
      <c r="E199">
        <v>0</v>
      </c>
      <c r="F199">
        <v>-14308.4</v>
      </c>
      <c r="G199">
        <v>27.7</v>
      </c>
      <c r="H199">
        <v>79.099999999999994</v>
      </c>
      <c r="I199">
        <v>154.80000000000001</v>
      </c>
      <c r="J199">
        <v>171.5</v>
      </c>
      <c r="K199">
        <v>165.1</v>
      </c>
      <c r="L199" s="2"/>
    </row>
    <row r="200" spans="1:12" x14ac:dyDescent="0.25">
      <c r="A200" s="2" t="s">
        <v>30</v>
      </c>
      <c r="B200" s="2" t="s">
        <v>78</v>
      </c>
      <c r="C200" s="2" t="s">
        <v>79</v>
      </c>
      <c r="D200" s="2" t="s">
        <v>41</v>
      </c>
      <c r="E200">
        <v>0.92859999999999998</v>
      </c>
      <c r="F200">
        <v>-14265.5</v>
      </c>
      <c r="G200">
        <v>27.7</v>
      </c>
      <c r="H200">
        <v>79.099999999999994</v>
      </c>
      <c r="I200">
        <v>154.80000000000001</v>
      </c>
      <c r="J200">
        <v>98.4</v>
      </c>
      <c r="K200">
        <v>144.30000000000001</v>
      </c>
      <c r="L200" s="2"/>
    </row>
    <row r="201" spans="1:12" x14ac:dyDescent="0.25">
      <c r="A201" s="2" t="s">
        <v>30</v>
      </c>
      <c r="B201" s="2" t="s">
        <v>78</v>
      </c>
      <c r="C201" s="2" t="s">
        <v>79</v>
      </c>
      <c r="D201" s="2" t="s">
        <v>41</v>
      </c>
      <c r="E201">
        <v>1.8571</v>
      </c>
      <c r="F201">
        <v>-14222.6</v>
      </c>
      <c r="G201">
        <v>27.7</v>
      </c>
      <c r="H201">
        <v>79.099999999999994</v>
      </c>
      <c r="I201">
        <v>154.80000000000001</v>
      </c>
      <c r="J201">
        <v>25.8</v>
      </c>
      <c r="K201">
        <v>123.1</v>
      </c>
      <c r="L201" s="2"/>
    </row>
    <row r="202" spans="1:12" x14ac:dyDescent="0.25">
      <c r="A202" s="2" t="s">
        <v>30</v>
      </c>
      <c r="B202" s="2" t="s">
        <v>78</v>
      </c>
      <c r="C202" s="2" t="s">
        <v>79</v>
      </c>
      <c r="D202" s="2" t="s">
        <v>41</v>
      </c>
      <c r="E202">
        <v>2.7856999999999998</v>
      </c>
      <c r="F202">
        <v>-14179.7</v>
      </c>
      <c r="G202">
        <v>27.7</v>
      </c>
      <c r="H202">
        <v>79.099999999999994</v>
      </c>
      <c r="I202">
        <v>154.80000000000001</v>
      </c>
      <c r="J202">
        <v>-18.5</v>
      </c>
      <c r="K202">
        <v>118.1</v>
      </c>
      <c r="L202" s="2"/>
    </row>
    <row r="203" spans="1:12" x14ac:dyDescent="0.25">
      <c r="A203" s="2" t="s">
        <v>30</v>
      </c>
      <c r="B203" s="2" t="s">
        <v>78</v>
      </c>
      <c r="C203" s="2" t="s">
        <v>79</v>
      </c>
      <c r="D203" s="2" t="s">
        <v>41</v>
      </c>
      <c r="E203">
        <v>3.7143000000000002</v>
      </c>
      <c r="F203">
        <v>-14136.9</v>
      </c>
      <c r="G203">
        <v>27.7</v>
      </c>
      <c r="H203">
        <v>79.099999999999994</v>
      </c>
      <c r="I203">
        <v>154.80000000000001</v>
      </c>
      <c r="J203">
        <v>-16.100000000000001</v>
      </c>
      <c r="K203">
        <v>141.4</v>
      </c>
      <c r="L203" s="2"/>
    </row>
    <row r="204" spans="1:12" x14ac:dyDescent="0.25">
      <c r="A204" s="2" t="s">
        <v>30</v>
      </c>
      <c r="B204" s="2" t="s">
        <v>78</v>
      </c>
      <c r="C204" s="2" t="s">
        <v>79</v>
      </c>
      <c r="D204" s="2" t="s">
        <v>41</v>
      </c>
      <c r="E204">
        <v>4.6429</v>
      </c>
      <c r="F204">
        <v>-14094</v>
      </c>
      <c r="G204">
        <v>27.7</v>
      </c>
      <c r="H204">
        <v>79.099999999999994</v>
      </c>
      <c r="I204">
        <v>154.80000000000001</v>
      </c>
      <c r="J204">
        <v>93.1</v>
      </c>
      <c r="K204">
        <v>170</v>
      </c>
      <c r="L204" s="2"/>
    </row>
    <row r="205" spans="1:12" x14ac:dyDescent="0.25">
      <c r="A205" s="2" t="s">
        <v>30</v>
      </c>
      <c r="B205" s="2" t="s">
        <v>78</v>
      </c>
      <c r="C205" s="2" t="s">
        <v>79</v>
      </c>
      <c r="D205" s="2" t="s">
        <v>41</v>
      </c>
      <c r="E205">
        <v>5.5713999999999997</v>
      </c>
      <c r="F205">
        <v>-14051.1</v>
      </c>
      <c r="G205">
        <v>27.7</v>
      </c>
      <c r="H205">
        <v>79.099999999999994</v>
      </c>
      <c r="I205">
        <v>154.80000000000001</v>
      </c>
      <c r="J205">
        <v>257.60000000000002</v>
      </c>
      <c r="K205">
        <v>198.4</v>
      </c>
      <c r="L205" s="2"/>
    </row>
    <row r="206" spans="1:12" x14ac:dyDescent="0.25">
      <c r="A206" s="2" t="s">
        <v>30</v>
      </c>
      <c r="B206" s="2" t="s">
        <v>78</v>
      </c>
      <c r="C206" s="2" t="s">
        <v>79</v>
      </c>
      <c r="D206" s="2" t="s">
        <v>41</v>
      </c>
      <c r="E206">
        <v>6.5</v>
      </c>
      <c r="F206">
        <v>-14008.2</v>
      </c>
      <c r="G206">
        <v>27.7</v>
      </c>
      <c r="H206">
        <v>79.099999999999994</v>
      </c>
      <c r="I206">
        <v>154.80000000000001</v>
      </c>
      <c r="J206">
        <v>422.3</v>
      </c>
      <c r="K206">
        <v>226.6</v>
      </c>
      <c r="L206" s="2"/>
    </row>
    <row r="207" spans="1:12" x14ac:dyDescent="0.25">
      <c r="A207" s="2" t="s">
        <v>30</v>
      </c>
      <c r="B207" s="2" t="s">
        <v>78</v>
      </c>
      <c r="C207" s="2" t="s">
        <v>79</v>
      </c>
      <c r="D207" s="2" t="s">
        <v>41</v>
      </c>
      <c r="E207">
        <v>7.4286000000000003</v>
      </c>
      <c r="F207">
        <v>-13965.3</v>
      </c>
      <c r="G207">
        <v>27.7</v>
      </c>
      <c r="H207">
        <v>79.099999999999994</v>
      </c>
      <c r="I207">
        <v>154.80000000000001</v>
      </c>
      <c r="J207">
        <v>587.1</v>
      </c>
      <c r="K207">
        <v>254.7</v>
      </c>
      <c r="L207" s="2"/>
    </row>
    <row r="208" spans="1:12" x14ac:dyDescent="0.25">
      <c r="A208" s="2" t="s">
        <v>30</v>
      </c>
      <c r="B208" s="2" t="s">
        <v>78</v>
      </c>
      <c r="C208" s="2" t="s">
        <v>79</v>
      </c>
      <c r="D208" s="2" t="s">
        <v>41</v>
      </c>
      <c r="E208">
        <v>8.3571000000000009</v>
      </c>
      <c r="F208">
        <v>-13922.4</v>
      </c>
      <c r="G208">
        <v>27.7</v>
      </c>
      <c r="H208">
        <v>79.099999999999994</v>
      </c>
      <c r="I208">
        <v>154.80000000000001</v>
      </c>
      <c r="J208">
        <v>752</v>
      </c>
      <c r="K208">
        <v>282.7</v>
      </c>
      <c r="L208" s="2"/>
    </row>
    <row r="209" spans="1:12" x14ac:dyDescent="0.25">
      <c r="A209" s="2" t="s">
        <v>30</v>
      </c>
      <c r="B209" s="2" t="s">
        <v>78</v>
      </c>
      <c r="C209" s="2" t="s">
        <v>79</v>
      </c>
      <c r="D209" s="2" t="s">
        <v>41</v>
      </c>
      <c r="E209">
        <v>9.2857000000000003</v>
      </c>
      <c r="F209">
        <v>-13879.6</v>
      </c>
      <c r="G209">
        <v>27.7</v>
      </c>
      <c r="H209">
        <v>79.099999999999994</v>
      </c>
      <c r="I209">
        <v>154.80000000000001</v>
      </c>
      <c r="J209">
        <v>917</v>
      </c>
      <c r="K209">
        <v>310.8</v>
      </c>
      <c r="L209" s="2"/>
    </row>
    <row r="210" spans="1:12" x14ac:dyDescent="0.25">
      <c r="A210" s="2" t="s">
        <v>30</v>
      </c>
      <c r="B210" s="2" t="s">
        <v>78</v>
      </c>
      <c r="C210" s="2" t="s">
        <v>79</v>
      </c>
      <c r="D210" s="2" t="s">
        <v>41</v>
      </c>
      <c r="E210">
        <v>10.2143</v>
      </c>
      <c r="F210">
        <v>-13836.7</v>
      </c>
      <c r="G210">
        <v>27.7</v>
      </c>
      <c r="H210">
        <v>79.099999999999994</v>
      </c>
      <c r="I210">
        <v>154.80000000000001</v>
      </c>
      <c r="J210">
        <v>1081.9000000000001</v>
      </c>
      <c r="K210">
        <v>339</v>
      </c>
      <c r="L210" s="2"/>
    </row>
    <row r="211" spans="1:12" x14ac:dyDescent="0.25">
      <c r="A211" s="2" t="s">
        <v>30</v>
      </c>
      <c r="B211" s="2" t="s">
        <v>78</v>
      </c>
      <c r="C211" s="2" t="s">
        <v>79</v>
      </c>
      <c r="D211" s="2" t="s">
        <v>41</v>
      </c>
      <c r="E211">
        <v>11.142899999999999</v>
      </c>
      <c r="F211">
        <v>-13793.8</v>
      </c>
      <c r="G211">
        <v>27.7</v>
      </c>
      <c r="H211">
        <v>79.099999999999994</v>
      </c>
      <c r="I211">
        <v>154.80000000000001</v>
      </c>
      <c r="J211">
        <v>1246.7</v>
      </c>
      <c r="K211">
        <v>367.3</v>
      </c>
      <c r="L211" s="2"/>
    </row>
    <row r="212" spans="1:12" x14ac:dyDescent="0.25">
      <c r="A212" s="2" t="s">
        <v>30</v>
      </c>
      <c r="B212" s="2" t="s">
        <v>78</v>
      </c>
      <c r="C212" s="2" t="s">
        <v>79</v>
      </c>
      <c r="D212" s="2" t="s">
        <v>41</v>
      </c>
      <c r="E212">
        <v>12.071400000000001</v>
      </c>
      <c r="F212">
        <v>-13750.9</v>
      </c>
      <c r="G212">
        <v>27.7</v>
      </c>
      <c r="H212">
        <v>79.099999999999994</v>
      </c>
      <c r="I212">
        <v>154.80000000000001</v>
      </c>
      <c r="J212">
        <v>1411.4</v>
      </c>
      <c r="K212">
        <v>395.9</v>
      </c>
      <c r="L212" s="2"/>
    </row>
    <row r="213" spans="1:12" x14ac:dyDescent="0.25">
      <c r="A213" s="2" t="s">
        <v>30</v>
      </c>
      <c r="B213" s="2" t="s">
        <v>78</v>
      </c>
      <c r="C213" s="2" t="s">
        <v>79</v>
      </c>
      <c r="D213" s="2" t="s">
        <v>41</v>
      </c>
      <c r="E213">
        <v>13</v>
      </c>
      <c r="F213">
        <v>-13708</v>
      </c>
      <c r="G213">
        <v>27.7</v>
      </c>
      <c r="H213">
        <v>79.099999999999994</v>
      </c>
      <c r="I213">
        <v>154.80000000000001</v>
      </c>
      <c r="J213">
        <v>1575.8</v>
      </c>
      <c r="K213">
        <v>424.7</v>
      </c>
      <c r="L213" s="2"/>
    </row>
    <row r="214" spans="1:12" x14ac:dyDescent="0.25">
      <c r="A214" s="2" t="s">
        <v>30</v>
      </c>
      <c r="B214" s="2" t="s">
        <v>78</v>
      </c>
      <c r="C214" s="2" t="s">
        <v>79</v>
      </c>
      <c r="D214" s="2" t="s">
        <v>41</v>
      </c>
      <c r="E214">
        <v>0</v>
      </c>
      <c r="F214">
        <v>-20668.8</v>
      </c>
      <c r="G214">
        <v>-32</v>
      </c>
      <c r="H214">
        <v>-174.4</v>
      </c>
      <c r="I214">
        <v>-116.7</v>
      </c>
      <c r="J214">
        <v>-723.3</v>
      </c>
      <c r="K214">
        <v>23.6</v>
      </c>
      <c r="L214" s="2"/>
    </row>
    <row r="215" spans="1:12" x14ac:dyDescent="0.25">
      <c r="A215" s="2" t="s">
        <v>30</v>
      </c>
      <c r="B215" s="2" t="s">
        <v>78</v>
      </c>
      <c r="C215" s="2" t="s">
        <v>79</v>
      </c>
      <c r="D215" s="2" t="s">
        <v>41</v>
      </c>
      <c r="E215">
        <v>0.92859999999999998</v>
      </c>
      <c r="F215">
        <v>-20625.900000000001</v>
      </c>
      <c r="G215">
        <v>-32</v>
      </c>
      <c r="H215">
        <v>-174.4</v>
      </c>
      <c r="I215">
        <v>-116.7</v>
      </c>
      <c r="J215">
        <v>-561</v>
      </c>
      <c r="K215">
        <v>53.7</v>
      </c>
      <c r="L215" s="2"/>
    </row>
    <row r="216" spans="1:12" x14ac:dyDescent="0.25">
      <c r="A216" s="2" t="s">
        <v>30</v>
      </c>
      <c r="B216" s="2" t="s">
        <v>78</v>
      </c>
      <c r="C216" s="2" t="s">
        <v>79</v>
      </c>
      <c r="D216" s="2" t="s">
        <v>41</v>
      </c>
      <c r="E216">
        <v>1.8571</v>
      </c>
      <c r="F216">
        <v>-20583</v>
      </c>
      <c r="G216">
        <v>-32</v>
      </c>
      <c r="H216">
        <v>-174.4</v>
      </c>
      <c r="I216">
        <v>-116.7</v>
      </c>
      <c r="J216">
        <v>-398.1</v>
      </c>
      <c r="K216">
        <v>82.3</v>
      </c>
      <c r="L216" s="2"/>
    </row>
    <row r="217" spans="1:12" x14ac:dyDescent="0.25">
      <c r="A217" s="2" t="s">
        <v>30</v>
      </c>
      <c r="B217" s="2" t="s">
        <v>78</v>
      </c>
      <c r="C217" s="2" t="s">
        <v>79</v>
      </c>
      <c r="D217" s="2" t="s">
        <v>41</v>
      </c>
      <c r="E217">
        <v>2.7856999999999998</v>
      </c>
      <c r="F217">
        <v>-20540.099999999999</v>
      </c>
      <c r="G217">
        <v>-32</v>
      </c>
      <c r="H217">
        <v>-174.4</v>
      </c>
      <c r="I217">
        <v>-116.7</v>
      </c>
      <c r="J217">
        <v>-277.3</v>
      </c>
      <c r="K217">
        <v>79.400000000000006</v>
      </c>
      <c r="L217" s="2"/>
    </row>
    <row r="218" spans="1:12" x14ac:dyDescent="0.25">
      <c r="A218" s="2" t="s">
        <v>30</v>
      </c>
      <c r="B218" s="2" t="s">
        <v>78</v>
      </c>
      <c r="C218" s="2" t="s">
        <v>79</v>
      </c>
      <c r="D218" s="2" t="s">
        <v>41</v>
      </c>
      <c r="E218">
        <v>3.7143000000000002</v>
      </c>
      <c r="F218">
        <v>-20497.2</v>
      </c>
      <c r="G218">
        <v>-32</v>
      </c>
      <c r="H218">
        <v>-174.4</v>
      </c>
      <c r="I218">
        <v>-116.7</v>
      </c>
      <c r="J218">
        <v>-215.4</v>
      </c>
      <c r="K218">
        <v>52.8</v>
      </c>
      <c r="L218" s="2"/>
    </row>
    <row r="219" spans="1:12" x14ac:dyDescent="0.25">
      <c r="A219" s="2" t="s">
        <v>30</v>
      </c>
      <c r="B219" s="2" t="s">
        <v>78</v>
      </c>
      <c r="C219" s="2" t="s">
        <v>79</v>
      </c>
      <c r="D219" s="2" t="s">
        <v>41</v>
      </c>
      <c r="E219">
        <v>4.6429</v>
      </c>
      <c r="F219">
        <v>-20454.3</v>
      </c>
      <c r="G219">
        <v>-32</v>
      </c>
      <c r="H219">
        <v>-174.4</v>
      </c>
      <c r="I219">
        <v>-116.7</v>
      </c>
      <c r="J219">
        <v>-189.3</v>
      </c>
      <c r="K219">
        <v>25.9</v>
      </c>
      <c r="L219" s="2"/>
    </row>
    <row r="220" spans="1:12" x14ac:dyDescent="0.25">
      <c r="A220" s="2" t="s">
        <v>30</v>
      </c>
      <c r="B220" s="2" t="s">
        <v>78</v>
      </c>
      <c r="C220" s="2" t="s">
        <v>79</v>
      </c>
      <c r="D220" s="2" t="s">
        <v>41</v>
      </c>
      <c r="E220">
        <v>5.5713999999999997</v>
      </c>
      <c r="F220">
        <v>-20411.5</v>
      </c>
      <c r="G220">
        <v>-32</v>
      </c>
      <c r="H220">
        <v>-174.4</v>
      </c>
      <c r="I220">
        <v>-116.7</v>
      </c>
      <c r="J220">
        <v>-260.3</v>
      </c>
      <c r="K220">
        <v>-1.2</v>
      </c>
      <c r="L220" s="2"/>
    </row>
    <row r="221" spans="1:12" x14ac:dyDescent="0.25">
      <c r="A221" s="2" t="s">
        <v>30</v>
      </c>
      <c r="B221" s="2" t="s">
        <v>78</v>
      </c>
      <c r="C221" s="2" t="s">
        <v>79</v>
      </c>
      <c r="D221" s="2" t="s">
        <v>41</v>
      </c>
      <c r="E221">
        <v>6.5</v>
      </c>
      <c r="F221">
        <v>-20368.599999999999</v>
      </c>
      <c r="G221">
        <v>-32</v>
      </c>
      <c r="H221">
        <v>-174.4</v>
      </c>
      <c r="I221">
        <v>-116.7</v>
      </c>
      <c r="J221">
        <v>-331.1</v>
      </c>
      <c r="K221">
        <v>-28.5</v>
      </c>
      <c r="L221" s="2"/>
    </row>
    <row r="222" spans="1:12" x14ac:dyDescent="0.25">
      <c r="A222" s="2" t="s">
        <v>30</v>
      </c>
      <c r="B222" s="2" t="s">
        <v>78</v>
      </c>
      <c r="C222" s="2" t="s">
        <v>79</v>
      </c>
      <c r="D222" s="2" t="s">
        <v>41</v>
      </c>
      <c r="E222">
        <v>7.4286000000000003</v>
      </c>
      <c r="F222">
        <v>-20325.7</v>
      </c>
      <c r="G222">
        <v>-32</v>
      </c>
      <c r="H222">
        <v>-174.4</v>
      </c>
      <c r="I222">
        <v>-116.7</v>
      </c>
      <c r="J222">
        <v>-401.7</v>
      </c>
      <c r="K222">
        <v>-55.8</v>
      </c>
      <c r="L222" s="2"/>
    </row>
    <row r="223" spans="1:12" x14ac:dyDescent="0.25">
      <c r="A223" s="2" t="s">
        <v>30</v>
      </c>
      <c r="B223" s="2" t="s">
        <v>78</v>
      </c>
      <c r="C223" s="2" t="s">
        <v>79</v>
      </c>
      <c r="D223" s="2" t="s">
        <v>41</v>
      </c>
      <c r="E223">
        <v>8.3571000000000009</v>
      </c>
      <c r="F223">
        <v>-20282.8</v>
      </c>
      <c r="G223">
        <v>-32</v>
      </c>
      <c r="H223">
        <v>-174.4</v>
      </c>
      <c r="I223">
        <v>-116.7</v>
      </c>
      <c r="J223">
        <v>-472.2</v>
      </c>
      <c r="K223">
        <v>-83.2</v>
      </c>
      <c r="L223" s="2"/>
    </row>
    <row r="224" spans="1:12" x14ac:dyDescent="0.25">
      <c r="A224" s="2" t="s">
        <v>30</v>
      </c>
      <c r="B224" s="2" t="s">
        <v>78</v>
      </c>
      <c r="C224" s="2" t="s">
        <v>79</v>
      </c>
      <c r="D224" s="2" t="s">
        <v>41</v>
      </c>
      <c r="E224">
        <v>9.2857000000000003</v>
      </c>
      <c r="F224">
        <v>-20239.900000000001</v>
      </c>
      <c r="G224">
        <v>-32</v>
      </c>
      <c r="H224">
        <v>-174.4</v>
      </c>
      <c r="I224">
        <v>-116.7</v>
      </c>
      <c r="J224">
        <v>-542.70000000000005</v>
      </c>
      <c r="K224">
        <v>-110.6</v>
      </c>
      <c r="L224" s="2"/>
    </row>
    <row r="225" spans="1:12" x14ac:dyDescent="0.25">
      <c r="A225" s="2" t="s">
        <v>30</v>
      </c>
      <c r="B225" s="2" t="s">
        <v>78</v>
      </c>
      <c r="C225" s="2" t="s">
        <v>79</v>
      </c>
      <c r="D225" s="2" t="s">
        <v>41</v>
      </c>
      <c r="E225">
        <v>10.2143</v>
      </c>
      <c r="F225">
        <v>-20197.099999999999</v>
      </c>
      <c r="G225">
        <v>-32</v>
      </c>
      <c r="H225">
        <v>-174.4</v>
      </c>
      <c r="I225">
        <v>-116.7</v>
      </c>
      <c r="J225">
        <v>-613.20000000000005</v>
      </c>
      <c r="K225">
        <v>-137.9</v>
      </c>
      <c r="L225" s="2"/>
    </row>
    <row r="226" spans="1:12" x14ac:dyDescent="0.25">
      <c r="A226" s="2" t="s">
        <v>30</v>
      </c>
      <c r="B226" s="2" t="s">
        <v>78</v>
      </c>
      <c r="C226" s="2" t="s">
        <v>79</v>
      </c>
      <c r="D226" s="2" t="s">
        <v>41</v>
      </c>
      <c r="E226">
        <v>11.142899999999999</v>
      </c>
      <c r="F226">
        <v>-20154.2</v>
      </c>
      <c r="G226">
        <v>-32</v>
      </c>
      <c r="H226">
        <v>-174.4</v>
      </c>
      <c r="I226">
        <v>-116.7</v>
      </c>
      <c r="J226">
        <v>-683.9</v>
      </c>
      <c r="K226">
        <v>-165.1</v>
      </c>
      <c r="L226" s="2"/>
    </row>
    <row r="227" spans="1:12" x14ac:dyDescent="0.25">
      <c r="A227" s="2" t="s">
        <v>30</v>
      </c>
      <c r="B227" s="2" t="s">
        <v>78</v>
      </c>
      <c r="C227" s="2" t="s">
        <v>79</v>
      </c>
      <c r="D227" s="2" t="s">
        <v>41</v>
      </c>
      <c r="E227">
        <v>12.071400000000001</v>
      </c>
      <c r="F227">
        <v>-20111.3</v>
      </c>
      <c r="G227">
        <v>-32</v>
      </c>
      <c r="H227">
        <v>-174.4</v>
      </c>
      <c r="I227">
        <v>-116.7</v>
      </c>
      <c r="J227">
        <v>-754.7</v>
      </c>
      <c r="K227">
        <v>-192</v>
      </c>
      <c r="L227" s="2"/>
    </row>
    <row r="228" spans="1:12" x14ac:dyDescent="0.25">
      <c r="A228" s="2" t="s">
        <v>30</v>
      </c>
      <c r="B228" s="2" t="s">
        <v>78</v>
      </c>
      <c r="C228" s="2" t="s">
        <v>79</v>
      </c>
      <c r="D228" s="2" t="s">
        <v>41</v>
      </c>
      <c r="E228">
        <v>13</v>
      </c>
      <c r="F228">
        <v>-20068.400000000001</v>
      </c>
      <c r="G228">
        <v>-32</v>
      </c>
      <c r="H228">
        <v>-174.4</v>
      </c>
      <c r="I228">
        <v>-116.7</v>
      </c>
      <c r="J228">
        <v>-825.7</v>
      </c>
      <c r="K228">
        <v>-218.6</v>
      </c>
      <c r="L228" s="2"/>
    </row>
    <row r="229" spans="1:12" x14ac:dyDescent="0.25">
      <c r="A229" s="2" t="s">
        <v>30</v>
      </c>
      <c r="B229" s="2" t="s">
        <v>78</v>
      </c>
      <c r="C229" s="2" t="s">
        <v>79</v>
      </c>
      <c r="D229" s="2" t="s">
        <v>42</v>
      </c>
      <c r="E229">
        <v>0</v>
      </c>
      <c r="F229">
        <v>-14347</v>
      </c>
      <c r="G229">
        <v>65.7</v>
      </c>
      <c r="H229">
        <v>133.69999999999999</v>
      </c>
      <c r="I229">
        <v>171.3</v>
      </c>
      <c r="J229">
        <v>359.7</v>
      </c>
      <c r="K229">
        <v>267.3</v>
      </c>
      <c r="L229" s="2"/>
    </row>
    <row r="230" spans="1:12" x14ac:dyDescent="0.25">
      <c r="A230" s="2" t="s">
        <v>30</v>
      </c>
      <c r="B230" s="2" t="s">
        <v>78</v>
      </c>
      <c r="C230" s="2" t="s">
        <v>79</v>
      </c>
      <c r="D230" s="2" t="s">
        <v>42</v>
      </c>
      <c r="E230">
        <v>0.92859999999999998</v>
      </c>
      <c r="F230">
        <v>-14304.1</v>
      </c>
      <c r="G230">
        <v>65.7</v>
      </c>
      <c r="H230">
        <v>133.69999999999999</v>
      </c>
      <c r="I230">
        <v>171.3</v>
      </c>
      <c r="J230">
        <v>235.9</v>
      </c>
      <c r="K230">
        <v>206.7</v>
      </c>
      <c r="L230" s="2"/>
    </row>
    <row r="231" spans="1:12" x14ac:dyDescent="0.25">
      <c r="A231" s="2" t="s">
        <v>30</v>
      </c>
      <c r="B231" s="2" t="s">
        <v>78</v>
      </c>
      <c r="C231" s="2" t="s">
        <v>79</v>
      </c>
      <c r="D231" s="2" t="s">
        <v>42</v>
      </c>
      <c r="E231">
        <v>1.8571</v>
      </c>
      <c r="F231">
        <v>-14261.2</v>
      </c>
      <c r="G231">
        <v>65.7</v>
      </c>
      <c r="H231">
        <v>133.69999999999999</v>
      </c>
      <c r="I231">
        <v>171.3</v>
      </c>
      <c r="J231">
        <v>112.7</v>
      </c>
      <c r="K231">
        <v>146.69999999999999</v>
      </c>
      <c r="L231" s="2"/>
    </row>
    <row r="232" spans="1:12" x14ac:dyDescent="0.25">
      <c r="A232" s="2" t="s">
        <v>30</v>
      </c>
      <c r="B232" s="2" t="s">
        <v>78</v>
      </c>
      <c r="C232" s="2" t="s">
        <v>79</v>
      </c>
      <c r="D232" s="2" t="s">
        <v>42</v>
      </c>
      <c r="E232">
        <v>2.7856999999999998</v>
      </c>
      <c r="F232">
        <v>-14218.3</v>
      </c>
      <c r="G232">
        <v>65.7</v>
      </c>
      <c r="H232">
        <v>133.69999999999999</v>
      </c>
      <c r="I232">
        <v>171.3</v>
      </c>
      <c r="J232">
        <v>32.299999999999997</v>
      </c>
      <c r="K232">
        <v>118</v>
      </c>
      <c r="L232" s="2"/>
    </row>
    <row r="233" spans="1:12" x14ac:dyDescent="0.25">
      <c r="A233" s="2" t="s">
        <v>30</v>
      </c>
      <c r="B233" s="2" t="s">
        <v>78</v>
      </c>
      <c r="C233" s="2" t="s">
        <v>79</v>
      </c>
      <c r="D233" s="2" t="s">
        <v>42</v>
      </c>
      <c r="E233">
        <v>3.7143000000000002</v>
      </c>
      <c r="F233">
        <v>-14175.4</v>
      </c>
      <c r="G233">
        <v>65.7</v>
      </c>
      <c r="H233">
        <v>133.69999999999999</v>
      </c>
      <c r="I233">
        <v>171.3</v>
      </c>
      <c r="J233">
        <v>10.3</v>
      </c>
      <c r="K233">
        <v>125.5</v>
      </c>
      <c r="L233" s="2"/>
    </row>
    <row r="234" spans="1:12" x14ac:dyDescent="0.25">
      <c r="A234" s="2" t="s">
        <v>30</v>
      </c>
      <c r="B234" s="2" t="s">
        <v>78</v>
      </c>
      <c r="C234" s="2" t="s">
        <v>79</v>
      </c>
      <c r="D234" s="2" t="s">
        <v>42</v>
      </c>
      <c r="E234">
        <v>4.6429</v>
      </c>
      <c r="F234">
        <v>-14132.5</v>
      </c>
      <c r="G234">
        <v>65.7</v>
      </c>
      <c r="H234">
        <v>133.69999999999999</v>
      </c>
      <c r="I234">
        <v>171.3</v>
      </c>
      <c r="J234">
        <v>22.7</v>
      </c>
      <c r="K234">
        <v>135.30000000000001</v>
      </c>
      <c r="L234" s="2"/>
    </row>
    <row r="235" spans="1:12" x14ac:dyDescent="0.25">
      <c r="A235" s="2" t="s">
        <v>30</v>
      </c>
      <c r="B235" s="2" t="s">
        <v>78</v>
      </c>
      <c r="C235" s="2" t="s">
        <v>79</v>
      </c>
      <c r="D235" s="2" t="s">
        <v>42</v>
      </c>
      <c r="E235">
        <v>5.5713999999999997</v>
      </c>
      <c r="F235">
        <v>-14089.7</v>
      </c>
      <c r="G235">
        <v>65.7</v>
      </c>
      <c r="H235">
        <v>133.69999999999999</v>
      </c>
      <c r="I235">
        <v>171.3</v>
      </c>
      <c r="J235">
        <v>38.700000000000003</v>
      </c>
      <c r="K235">
        <v>147.1</v>
      </c>
      <c r="L235" s="2"/>
    </row>
    <row r="236" spans="1:12" x14ac:dyDescent="0.25">
      <c r="A236" s="2" t="s">
        <v>30</v>
      </c>
      <c r="B236" s="2" t="s">
        <v>78</v>
      </c>
      <c r="C236" s="2" t="s">
        <v>79</v>
      </c>
      <c r="D236" s="2" t="s">
        <v>42</v>
      </c>
      <c r="E236">
        <v>6.5</v>
      </c>
      <c r="F236">
        <v>-14046.8</v>
      </c>
      <c r="G236">
        <v>65.7</v>
      </c>
      <c r="H236">
        <v>133.69999999999999</v>
      </c>
      <c r="I236">
        <v>171.3</v>
      </c>
      <c r="J236">
        <v>66.400000000000006</v>
      </c>
      <c r="K236">
        <v>158.80000000000001</v>
      </c>
      <c r="L236" s="2"/>
    </row>
    <row r="237" spans="1:12" x14ac:dyDescent="0.25">
      <c r="A237" s="2" t="s">
        <v>30</v>
      </c>
      <c r="B237" s="2" t="s">
        <v>78</v>
      </c>
      <c r="C237" s="2" t="s">
        <v>79</v>
      </c>
      <c r="D237" s="2" t="s">
        <v>42</v>
      </c>
      <c r="E237">
        <v>7.4286000000000003</v>
      </c>
      <c r="F237">
        <v>-14003.9</v>
      </c>
      <c r="G237">
        <v>65.7</v>
      </c>
      <c r="H237">
        <v>133.69999999999999</v>
      </c>
      <c r="I237">
        <v>171.3</v>
      </c>
      <c r="J237">
        <v>94.3</v>
      </c>
      <c r="K237">
        <v>170.4</v>
      </c>
      <c r="L237" s="2"/>
    </row>
    <row r="238" spans="1:12" x14ac:dyDescent="0.25">
      <c r="A238" s="2" t="s">
        <v>30</v>
      </c>
      <c r="B238" s="2" t="s">
        <v>78</v>
      </c>
      <c r="C238" s="2" t="s">
        <v>79</v>
      </c>
      <c r="D238" s="2" t="s">
        <v>42</v>
      </c>
      <c r="E238">
        <v>8.3571000000000009</v>
      </c>
      <c r="F238">
        <v>-13961</v>
      </c>
      <c r="G238">
        <v>65.7</v>
      </c>
      <c r="H238">
        <v>133.69999999999999</v>
      </c>
      <c r="I238">
        <v>171.3</v>
      </c>
      <c r="J238">
        <v>122.3</v>
      </c>
      <c r="K238">
        <v>181.9</v>
      </c>
      <c r="L238" s="2"/>
    </row>
    <row r="239" spans="1:12" x14ac:dyDescent="0.25">
      <c r="A239" s="2" t="s">
        <v>30</v>
      </c>
      <c r="B239" s="2" t="s">
        <v>78</v>
      </c>
      <c r="C239" s="2" t="s">
        <v>79</v>
      </c>
      <c r="D239" s="2" t="s">
        <v>42</v>
      </c>
      <c r="E239">
        <v>9.2857000000000003</v>
      </c>
      <c r="F239">
        <v>-13918.1</v>
      </c>
      <c r="G239">
        <v>65.7</v>
      </c>
      <c r="H239">
        <v>133.69999999999999</v>
      </c>
      <c r="I239">
        <v>171.3</v>
      </c>
      <c r="J239">
        <v>150.30000000000001</v>
      </c>
      <c r="K239">
        <v>193.4</v>
      </c>
      <c r="L239" s="2"/>
    </row>
    <row r="240" spans="1:12" x14ac:dyDescent="0.25">
      <c r="A240" s="2" t="s">
        <v>30</v>
      </c>
      <c r="B240" s="2" t="s">
        <v>78</v>
      </c>
      <c r="C240" s="2" t="s">
        <v>79</v>
      </c>
      <c r="D240" s="2" t="s">
        <v>42</v>
      </c>
      <c r="E240">
        <v>10.2143</v>
      </c>
      <c r="F240">
        <v>-13875.2</v>
      </c>
      <c r="G240">
        <v>65.7</v>
      </c>
      <c r="H240">
        <v>133.69999999999999</v>
      </c>
      <c r="I240">
        <v>171.3</v>
      </c>
      <c r="J240">
        <v>178.3</v>
      </c>
      <c r="K240">
        <v>205.1</v>
      </c>
      <c r="L240" s="2"/>
    </row>
    <row r="241" spans="1:12" x14ac:dyDescent="0.25">
      <c r="A241" s="2" t="s">
        <v>30</v>
      </c>
      <c r="B241" s="2" t="s">
        <v>78</v>
      </c>
      <c r="C241" s="2" t="s">
        <v>79</v>
      </c>
      <c r="D241" s="2" t="s">
        <v>42</v>
      </c>
      <c r="E241">
        <v>11.142899999999999</v>
      </c>
      <c r="F241">
        <v>-13832.4</v>
      </c>
      <c r="G241">
        <v>65.7</v>
      </c>
      <c r="H241">
        <v>133.69999999999999</v>
      </c>
      <c r="I241">
        <v>171.3</v>
      </c>
      <c r="J241">
        <v>206.8</v>
      </c>
      <c r="K241">
        <v>216.9</v>
      </c>
      <c r="L241" s="2"/>
    </row>
    <row r="242" spans="1:12" x14ac:dyDescent="0.25">
      <c r="A242" s="2" t="s">
        <v>30</v>
      </c>
      <c r="B242" s="2" t="s">
        <v>78</v>
      </c>
      <c r="C242" s="2" t="s">
        <v>79</v>
      </c>
      <c r="D242" s="2" t="s">
        <v>42</v>
      </c>
      <c r="E242">
        <v>12.071400000000001</v>
      </c>
      <c r="F242">
        <v>-13789.5</v>
      </c>
      <c r="G242">
        <v>65.7</v>
      </c>
      <c r="H242">
        <v>133.69999999999999</v>
      </c>
      <c r="I242">
        <v>171.3</v>
      </c>
      <c r="J242">
        <v>242.5</v>
      </c>
      <c r="K242">
        <v>228.9</v>
      </c>
      <c r="L242" s="2"/>
    </row>
    <row r="243" spans="1:12" x14ac:dyDescent="0.25">
      <c r="A243" s="2" t="s">
        <v>30</v>
      </c>
      <c r="B243" s="2" t="s">
        <v>78</v>
      </c>
      <c r="C243" s="2" t="s">
        <v>79</v>
      </c>
      <c r="D243" s="2" t="s">
        <v>42</v>
      </c>
      <c r="E243">
        <v>13</v>
      </c>
      <c r="F243">
        <v>-13746.6</v>
      </c>
      <c r="G243">
        <v>65.7</v>
      </c>
      <c r="H243">
        <v>133.69999999999999</v>
      </c>
      <c r="I243">
        <v>171.3</v>
      </c>
      <c r="J243">
        <v>278.10000000000002</v>
      </c>
      <c r="K243">
        <v>241.2</v>
      </c>
      <c r="L243" s="2"/>
    </row>
    <row r="244" spans="1:12" x14ac:dyDescent="0.25">
      <c r="A244" s="2" t="s">
        <v>30</v>
      </c>
      <c r="B244" s="2" t="s">
        <v>78</v>
      </c>
      <c r="C244" s="2" t="s">
        <v>79</v>
      </c>
      <c r="D244" s="2" t="s">
        <v>42</v>
      </c>
      <c r="E244">
        <v>0</v>
      </c>
      <c r="F244">
        <v>-17308.5</v>
      </c>
      <c r="G244">
        <v>-14.2</v>
      </c>
      <c r="H244">
        <v>-35.6</v>
      </c>
      <c r="I244">
        <v>-93.9</v>
      </c>
      <c r="J244">
        <v>-216.6</v>
      </c>
      <c r="K244">
        <v>71.599999999999994</v>
      </c>
      <c r="L244" s="2"/>
    </row>
    <row r="245" spans="1:12" x14ac:dyDescent="0.25">
      <c r="A245" s="2" t="s">
        <v>30</v>
      </c>
      <c r="B245" s="2" t="s">
        <v>78</v>
      </c>
      <c r="C245" s="2" t="s">
        <v>79</v>
      </c>
      <c r="D245" s="2" t="s">
        <v>42</v>
      </c>
      <c r="E245">
        <v>0.92859999999999998</v>
      </c>
      <c r="F245">
        <v>-17265.599999999999</v>
      </c>
      <c r="G245">
        <v>-14.2</v>
      </c>
      <c r="H245">
        <v>-35.6</v>
      </c>
      <c r="I245">
        <v>-93.9</v>
      </c>
      <c r="J245">
        <v>-183.2</v>
      </c>
      <c r="K245">
        <v>85.2</v>
      </c>
      <c r="L245" s="2"/>
    </row>
    <row r="246" spans="1:12" x14ac:dyDescent="0.25">
      <c r="A246" s="2" t="s">
        <v>30</v>
      </c>
      <c r="B246" s="2" t="s">
        <v>78</v>
      </c>
      <c r="C246" s="2" t="s">
        <v>79</v>
      </c>
      <c r="D246" s="2" t="s">
        <v>42</v>
      </c>
      <c r="E246">
        <v>1.8571</v>
      </c>
      <c r="F246">
        <v>-17222.7</v>
      </c>
      <c r="G246">
        <v>-14.2</v>
      </c>
      <c r="H246">
        <v>-35.6</v>
      </c>
      <c r="I246">
        <v>-93.9</v>
      </c>
      <c r="J246">
        <v>-149.19999999999999</v>
      </c>
      <c r="K246">
        <v>98.3</v>
      </c>
      <c r="L246" s="2"/>
    </row>
    <row r="247" spans="1:12" x14ac:dyDescent="0.25">
      <c r="A247" s="2" t="s">
        <v>30</v>
      </c>
      <c r="B247" s="2" t="s">
        <v>78</v>
      </c>
      <c r="C247" s="2" t="s">
        <v>79</v>
      </c>
      <c r="D247" s="2" t="s">
        <v>42</v>
      </c>
      <c r="E247">
        <v>2.7856999999999998</v>
      </c>
      <c r="F247">
        <v>-17179.8</v>
      </c>
      <c r="G247">
        <v>-14.2</v>
      </c>
      <c r="H247">
        <v>-35.6</v>
      </c>
      <c r="I247">
        <v>-93.9</v>
      </c>
      <c r="J247">
        <v>-117.7</v>
      </c>
      <c r="K247">
        <v>84</v>
      </c>
      <c r="L247" s="2"/>
    </row>
    <row r="248" spans="1:12" x14ac:dyDescent="0.25">
      <c r="A248" s="2" t="s">
        <v>30</v>
      </c>
      <c r="B248" s="2" t="s">
        <v>78</v>
      </c>
      <c r="C248" s="2" t="s">
        <v>79</v>
      </c>
      <c r="D248" s="2" t="s">
        <v>42</v>
      </c>
      <c r="E248">
        <v>3.7143000000000002</v>
      </c>
      <c r="F248">
        <v>-17137</v>
      </c>
      <c r="G248">
        <v>-14.2</v>
      </c>
      <c r="H248">
        <v>-35.6</v>
      </c>
      <c r="I248">
        <v>-93.9</v>
      </c>
      <c r="J248">
        <v>-145.80000000000001</v>
      </c>
      <c r="K248">
        <v>22.1</v>
      </c>
      <c r="L248" s="2"/>
    </row>
    <row r="249" spans="1:12" x14ac:dyDescent="0.25">
      <c r="A249" s="2" t="s">
        <v>30</v>
      </c>
      <c r="B249" s="2" t="s">
        <v>78</v>
      </c>
      <c r="C249" s="2" t="s">
        <v>79</v>
      </c>
      <c r="D249" s="2" t="s">
        <v>42</v>
      </c>
      <c r="E249">
        <v>4.6429</v>
      </c>
      <c r="F249">
        <v>-17094.099999999999</v>
      </c>
      <c r="G249">
        <v>-14.2</v>
      </c>
      <c r="H249">
        <v>-35.6</v>
      </c>
      <c r="I249">
        <v>-93.9</v>
      </c>
      <c r="J249">
        <v>-254.3</v>
      </c>
      <c r="K249">
        <v>-40.1</v>
      </c>
      <c r="L249" s="2"/>
    </row>
    <row r="250" spans="1:12" x14ac:dyDescent="0.25">
      <c r="A250" s="2" t="s">
        <v>30</v>
      </c>
      <c r="B250" s="2" t="s">
        <v>78</v>
      </c>
      <c r="C250" s="2" t="s">
        <v>79</v>
      </c>
      <c r="D250" s="2" t="s">
        <v>42</v>
      </c>
      <c r="E250">
        <v>5.5713999999999997</v>
      </c>
      <c r="F250">
        <v>-17051.2</v>
      </c>
      <c r="G250">
        <v>-14.2</v>
      </c>
      <c r="H250">
        <v>-35.6</v>
      </c>
      <c r="I250">
        <v>-93.9</v>
      </c>
      <c r="J250">
        <v>-376</v>
      </c>
      <c r="K250">
        <v>-102.5</v>
      </c>
      <c r="L250" s="2"/>
    </row>
    <row r="251" spans="1:12" x14ac:dyDescent="0.25">
      <c r="A251" s="2" t="s">
        <v>30</v>
      </c>
      <c r="B251" s="2" t="s">
        <v>78</v>
      </c>
      <c r="C251" s="2" t="s">
        <v>79</v>
      </c>
      <c r="D251" s="2" t="s">
        <v>42</v>
      </c>
      <c r="E251">
        <v>6.5</v>
      </c>
      <c r="F251">
        <v>-17008.3</v>
      </c>
      <c r="G251">
        <v>-14.2</v>
      </c>
      <c r="H251">
        <v>-35.6</v>
      </c>
      <c r="I251">
        <v>-93.9</v>
      </c>
      <c r="J251">
        <v>-497.4</v>
      </c>
      <c r="K251">
        <v>-165</v>
      </c>
      <c r="L251" s="2"/>
    </row>
    <row r="252" spans="1:12" x14ac:dyDescent="0.25">
      <c r="A252" s="2" t="s">
        <v>30</v>
      </c>
      <c r="B252" s="2" t="s">
        <v>78</v>
      </c>
      <c r="C252" s="2" t="s">
        <v>79</v>
      </c>
      <c r="D252" s="2" t="s">
        <v>42</v>
      </c>
      <c r="E252">
        <v>7.4286000000000003</v>
      </c>
      <c r="F252">
        <v>-16965.400000000001</v>
      </c>
      <c r="G252">
        <v>-14.2</v>
      </c>
      <c r="H252">
        <v>-35.6</v>
      </c>
      <c r="I252">
        <v>-93.9</v>
      </c>
      <c r="J252">
        <v>-618.70000000000005</v>
      </c>
      <c r="K252">
        <v>-227.7</v>
      </c>
      <c r="L252" s="2"/>
    </row>
    <row r="253" spans="1:12" x14ac:dyDescent="0.25">
      <c r="A253" s="2" t="s">
        <v>30</v>
      </c>
      <c r="B253" s="2" t="s">
        <v>78</v>
      </c>
      <c r="C253" s="2" t="s">
        <v>79</v>
      </c>
      <c r="D253" s="2" t="s">
        <v>42</v>
      </c>
      <c r="E253">
        <v>8.3571000000000009</v>
      </c>
      <c r="F253">
        <v>-16922.599999999999</v>
      </c>
      <c r="G253">
        <v>-14.2</v>
      </c>
      <c r="H253">
        <v>-35.6</v>
      </c>
      <c r="I253">
        <v>-93.9</v>
      </c>
      <c r="J253">
        <v>-739.8</v>
      </c>
      <c r="K253">
        <v>-290.39999999999998</v>
      </c>
      <c r="L253" s="2"/>
    </row>
    <row r="254" spans="1:12" x14ac:dyDescent="0.25">
      <c r="A254" s="2" t="s">
        <v>30</v>
      </c>
      <c r="B254" s="2" t="s">
        <v>78</v>
      </c>
      <c r="C254" s="2" t="s">
        <v>79</v>
      </c>
      <c r="D254" s="2" t="s">
        <v>42</v>
      </c>
      <c r="E254">
        <v>9.2857000000000003</v>
      </c>
      <c r="F254">
        <v>-16879.7</v>
      </c>
      <c r="G254">
        <v>-14.2</v>
      </c>
      <c r="H254">
        <v>-35.6</v>
      </c>
      <c r="I254">
        <v>-93.9</v>
      </c>
      <c r="J254">
        <v>-861</v>
      </c>
      <c r="K254">
        <v>-353.1</v>
      </c>
      <c r="L254" s="2"/>
    </row>
    <row r="255" spans="1:12" x14ac:dyDescent="0.25">
      <c r="A255" s="2" t="s">
        <v>30</v>
      </c>
      <c r="B255" s="2" t="s">
        <v>78</v>
      </c>
      <c r="C255" s="2" t="s">
        <v>79</v>
      </c>
      <c r="D255" s="2" t="s">
        <v>42</v>
      </c>
      <c r="E255">
        <v>10.2143</v>
      </c>
      <c r="F255">
        <v>-16836.8</v>
      </c>
      <c r="G255">
        <v>-14.2</v>
      </c>
      <c r="H255">
        <v>-35.6</v>
      </c>
      <c r="I255">
        <v>-93.9</v>
      </c>
      <c r="J255">
        <v>-982.1</v>
      </c>
      <c r="K255">
        <v>-415.7</v>
      </c>
      <c r="L255" s="2"/>
    </row>
    <row r="256" spans="1:12" x14ac:dyDescent="0.25">
      <c r="A256" s="2" t="s">
        <v>30</v>
      </c>
      <c r="B256" s="2" t="s">
        <v>78</v>
      </c>
      <c r="C256" s="2" t="s">
        <v>79</v>
      </c>
      <c r="D256" s="2" t="s">
        <v>42</v>
      </c>
      <c r="E256">
        <v>11.142899999999999</v>
      </c>
      <c r="F256">
        <v>-16793.900000000001</v>
      </c>
      <c r="G256">
        <v>-14.2</v>
      </c>
      <c r="H256">
        <v>-35.6</v>
      </c>
      <c r="I256">
        <v>-93.9</v>
      </c>
      <c r="J256">
        <v>-1103.4000000000001</v>
      </c>
      <c r="K256">
        <v>-478.1</v>
      </c>
      <c r="L256" s="2"/>
    </row>
    <row r="257" spans="1:12" x14ac:dyDescent="0.25">
      <c r="A257" s="2" t="s">
        <v>30</v>
      </c>
      <c r="B257" s="2" t="s">
        <v>78</v>
      </c>
      <c r="C257" s="2" t="s">
        <v>79</v>
      </c>
      <c r="D257" s="2" t="s">
        <v>42</v>
      </c>
      <c r="E257">
        <v>12.071400000000001</v>
      </c>
      <c r="F257">
        <v>-16751</v>
      </c>
      <c r="G257">
        <v>-14.2</v>
      </c>
      <c r="H257">
        <v>-35.6</v>
      </c>
      <c r="I257">
        <v>-93.9</v>
      </c>
      <c r="J257">
        <v>-1224.9000000000001</v>
      </c>
      <c r="K257">
        <v>-540.29999999999995</v>
      </c>
      <c r="L257" s="2"/>
    </row>
    <row r="258" spans="1:12" x14ac:dyDescent="0.25">
      <c r="A258" s="2" t="s">
        <v>30</v>
      </c>
      <c r="B258" s="2" t="s">
        <v>78</v>
      </c>
      <c r="C258" s="2" t="s">
        <v>79</v>
      </c>
      <c r="D258" s="2" t="s">
        <v>42</v>
      </c>
      <c r="E258">
        <v>13</v>
      </c>
      <c r="F258">
        <v>-16708.099999999999</v>
      </c>
      <c r="G258">
        <v>-14.2</v>
      </c>
      <c r="H258">
        <v>-35.6</v>
      </c>
      <c r="I258">
        <v>-93.9</v>
      </c>
      <c r="J258">
        <v>-1346.5</v>
      </c>
      <c r="K258">
        <v>-602.29999999999995</v>
      </c>
      <c r="L258" s="2"/>
    </row>
    <row r="259" spans="1:12" x14ac:dyDescent="0.25">
      <c r="A259" s="2" t="s">
        <v>30</v>
      </c>
      <c r="B259" s="2" t="s">
        <v>78</v>
      </c>
      <c r="C259" s="2" t="s">
        <v>79</v>
      </c>
      <c r="D259" s="2" t="s">
        <v>43</v>
      </c>
      <c r="E259">
        <v>0</v>
      </c>
      <c r="F259">
        <v>-17789.599999999999</v>
      </c>
      <c r="G259">
        <v>49.2</v>
      </c>
      <c r="H259">
        <v>0.8</v>
      </c>
      <c r="I259">
        <v>157.30000000000001</v>
      </c>
      <c r="J259">
        <v>-126.5</v>
      </c>
      <c r="K259">
        <v>222.8</v>
      </c>
      <c r="L259" s="2"/>
    </row>
    <row r="260" spans="1:12" x14ac:dyDescent="0.25">
      <c r="A260" s="2" t="s">
        <v>30</v>
      </c>
      <c r="B260" s="2" t="s">
        <v>78</v>
      </c>
      <c r="C260" s="2" t="s">
        <v>79</v>
      </c>
      <c r="D260" s="2" t="s">
        <v>43</v>
      </c>
      <c r="E260">
        <v>0.92859999999999998</v>
      </c>
      <c r="F260">
        <v>-17746.7</v>
      </c>
      <c r="G260">
        <v>49.2</v>
      </c>
      <c r="H260">
        <v>0.8</v>
      </c>
      <c r="I260">
        <v>157.30000000000001</v>
      </c>
      <c r="J260">
        <v>-127</v>
      </c>
      <c r="K260">
        <v>177.6</v>
      </c>
      <c r="L260" s="2"/>
    </row>
    <row r="261" spans="1:12" x14ac:dyDescent="0.25">
      <c r="A261" s="2" t="s">
        <v>30</v>
      </c>
      <c r="B261" s="2" t="s">
        <v>78</v>
      </c>
      <c r="C261" s="2" t="s">
        <v>79</v>
      </c>
      <c r="D261" s="2" t="s">
        <v>43</v>
      </c>
      <c r="E261">
        <v>1.8571</v>
      </c>
      <c r="F261">
        <v>-17703.8</v>
      </c>
      <c r="G261">
        <v>49.2</v>
      </c>
      <c r="H261">
        <v>0.8</v>
      </c>
      <c r="I261">
        <v>157.30000000000001</v>
      </c>
      <c r="J261">
        <v>-126.9</v>
      </c>
      <c r="K261">
        <v>131.80000000000001</v>
      </c>
      <c r="L261" s="2"/>
    </row>
    <row r="262" spans="1:12" x14ac:dyDescent="0.25">
      <c r="A262" s="2" t="s">
        <v>30</v>
      </c>
      <c r="B262" s="2" t="s">
        <v>78</v>
      </c>
      <c r="C262" s="2" t="s">
        <v>79</v>
      </c>
      <c r="D262" s="2" t="s">
        <v>43</v>
      </c>
      <c r="E262">
        <v>2.7856999999999998</v>
      </c>
      <c r="F262">
        <v>-17660.900000000001</v>
      </c>
      <c r="G262">
        <v>49.2</v>
      </c>
      <c r="H262">
        <v>0.8</v>
      </c>
      <c r="I262">
        <v>157.30000000000001</v>
      </c>
      <c r="J262">
        <v>-123.3</v>
      </c>
      <c r="K262">
        <v>112.6</v>
      </c>
      <c r="L262" s="2"/>
    </row>
    <row r="263" spans="1:12" x14ac:dyDescent="0.25">
      <c r="A263" s="2" t="s">
        <v>30</v>
      </c>
      <c r="B263" s="2" t="s">
        <v>78</v>
      </c>
      <c r="C263" s="2" t="s">
        <v>79</v>
      </c>
      <c r="D263" s="2" t="s">
        <v>43</v>
      </c>
      <c r="E263">
        <v>3.7143000000000002</v>
      </c>
      <c r="F263">
        <v>-17618</v>
      </c>
      <c r="G263">
        <v>49.2</v>
      </c>
      <c r="H263">
        <v>0.8</v>
      </c>
      <c r="I263">
        <v>157.30000000000001</v>
      </c>
      <c r="J263">
        <v>-59.3</v>
      </c>
      <c r="K263">
        <v>140.4</v>
      </c>
      <c r="L263" s="2"/>
    </row>
    <row r="264" spans="1:12" x14ac:dyDescent="0.25">
      <c r="A264" s="2" t="s">
        <v>30</v>
      </c>
      <c r="B264" s="2" t="s">
        <v>78</v>
      </c>
      <c r="C264" s="2" t="s">
        <v>79</v>
      </c>
      <c r="D264" s="2" t="s">
        <v>43</v>
      </c>
      <c r="E264">
        <v>4.6429</v>
      </c>
      <c r="F264">
        <v>-17575.099999999999</v>
      </c>
      <c r="G264">
        <v>49.2</v>
      </c>
      <c r="H264">
        <v>0.8</v>
      </c>
      <c r="I264">
        <v>157.30000000000001</v>
      </c>
      <c r="J264">
        <v>85.9</v>
      </c>
      <c r="K264">
        <v>167.8</v>
      </c>
      <c r="L264" s="2"/>
    </row>
    <row r="265" spans="1:12" x14ac:dyDescent="0.25">
      <c r="A265" s="2" t="s">
        <v>30</v>
      </c>
      <c r="B265" s="2" t="s">
        <v>78</v>
      </c>
      <c r="C265" s="2" t="s">
        <v>79</v>
      </c>
      <c r="D265" s="2" t="s">
        <v>43</v>
      </c>
      <c r="E265">
        <v>5.5713999999999997</v>
      </c>
      <c r="F265">
        <v>-17532.3</v>
      </c>
      <c r="G265">
        <v>49.2</v>
      </c>
      <c r="H265">
        <v>0.8</v>
      </c>
      <c r="I265">
        <v>157.30000000000001</v>
      </c>
      <c r="J265">
        <v>244.8</v>
      </c>
      <c r="K265">
        <v>195</v>
      </c>
      <c r="L265" s="2"/>
    </row>
    <row r="266" spans="1:12" x14ac:dyDescent="0.25">
      <c r="A266" s="2" t="s">
        <v>30</v>
      </c>
      <c r="B266" s="2" t="s">
        <v>78</v>
      </c>
      <c r="C266" s="2" t="s">
        <v>79</v>
      </c>
      <c r="D266" s="2" t="s">
        <v>43</v>
      </c>
      <c r="E266">
        <v>6.5</v>
      </c>
      <c r="F266">
        <v>-17489.400000000001</v>
      </c>
      <c r="G266">
        <v>49.2</v>
      </c>
      <c r="H266">
        <v>0.8</v>
      </c>
      <c r="I266">
        <v>157.30000000000001</v>
      </c>
      <c r="J266">
        <v>403.9</v>
      </c>
      <c r="K266">
        <v>222.1</v>
      </c>
      <c r="L266" s="2"/>
    </row>
    <row r="267" spans="1:12" x14ac:dyDescent="0.25">
      <c r="A267" s="2" t="s">
        <v>30</v>
      </c>
      <c r="B267" s="2" t="s">
        <v>78</v>
      </c>
      <c r="C267" s="2" t="s">
        <v>79</v>
      </c>
      <c r="D267" s="2" t="s">
        <v>43</v>
      </c>
      <c r="E267">
        <v>7.4286000000000003</v>
      </c>
      <c r="F267">
        <v>-17446.5</v>
      </c>
      <c r="G267">
        <v>49.2</v>
      </c>
      <c r="H267">
        <v>0.8</v>
      </c>
      <c r="I267">
        <v>157.30000000000001</v>
      </c>
      <c r="J267">
        <v>563.20000000000005</v>
      </c>
      <c r="K267">
        <v>249</v>
      </c>
      <c r="L267" s="2"/>
    </row>
    <row r="268" spans="1:12" x14ac:dyDescent="0.25">
      <c r="A268" s="2" t="s">
        <v>30</v>
      </c>
      <c r="B268" s="2" t="s">
        <v>78</v>
      </c>
      <c r="C268" s="2" t="s">
        <v>79</v>
      </c>
      <c r="D268" s="2" t="s">
        <v>43</v>
      </c>
      <c r="E268">
        <v>8.3571000000000009</v>
      </c>
      <c r="F268">
        <v>-17403.599999999999</v>
      </c>
      <c r="G268">
        <v>49.2</v>
      </c>
      <c r="H268">
        <v>0.8</v>
      </c>
      <c r="I268">
        <v>157.30000000000001</v>
      </c>
      <c r="J268">
        <v>722.6</v>
      </c>
      <c r="K268">
        <v>276</v>
      </c>
      <c r="L268" s="2"/>
    </row>
    <row r="269" spans="1:12" x14ac:dyDescent="0.25">
      <c r="A269" s="2" t="s">
        <v>30</v>
      </c>
      <c r="B269" s="2" t="s">
        <v>78</v>
      </c>
      <c r="C269" s="2" t="s">
        <v>79</v>
      </c>
      <c r="D269" s="2" t="s">
        <v>43</v>
      </c>
      <c r="E269">
        <v>9.2857000000000003</v>
      </c>
      <c r="F269">
        <v>-17360.7</v>
      </c>
      <c r="G269">
        <v>49.2</v>
      </c>
      <c r="H269">
        <v>0.8</v>
      </c>
      <c r="I269">
        <v>157.30000000000001</v>
      </c>
      <c r="J269">
        <v>882</v>
      </c>
      <c r="K269">
        <v>302.89999999999998</v>
      </c>
      <c r="L269" s="2"/>
    </row>
    <row r="270" spans="1:12" x14ac:dyDescent="0.25">
      <c r="A270" s="2" t="s">
        <v>30</v>
      </c>
      <c r="B270" s="2" t="s">
        <v>78</v>
      </c>
      <c r="C270" s="2" t="s">
        <v>79</v>
      </c>
      <c r="D270" s="2" t="s">
        <v>43</v>
      </c>
      <c r="E270">
        <v>10.2143</v>
      </c>
      <c r="F270">
        <v>-17317.900000000001</v>
      </c>
      <c r="G270">
        <v>49.2</v>
      </c>
      <c r="H270">
        <v>0.8</v>
      </c>
      <c r="I270">
        <v>157.30000000000001</v>
      </c>
      <c r="J270">
        <v>1041.4000000000001</v>
      </c>
      <c r="K270">
        <v>330</v>
      </c>
      <c r="L270" s="2"/>
    </row>
    <row r="271" spans="1:12" x14ac:dyDescent="0.25">
      <c r="A271" s="2" t="s">
        <v>30</v>
      </c>
      <c r="B271" s="2" t="s">
        <v>78</v>
      </c>
      <c r="C271" s="2" t="s">
        <v>79</v>
      </c>
      <c r="D271" s="2" t="s">
        <v>43</v>
      </c>
      <c r="E271">
        <v>11.142899999999999</v>
      </c>
      <c r="F271">
        <v>-17275</v>
      </c>
      <c r="G271">
        <v>49.2</v>
      </c>
      <c r="H271">
        <v>0.8</v>
      </c>
      <c r="I271">
        <v>157.30000000000001</v>
      </c>
      <c r="J271">
        <v>1200.7</v>
      </c>
      <c r="K271">
        <v>357.1</v>
      </c>
      <c r="L271" s="2"/>
    </row>
    <row r="272" spans="1:12" x14ac:dyDescent="0.25">
      <c r="A272" s="2" t="s">
        <v>30</v>
      </c>
      <c r="B272" s="2" t="s">
        <v>78</v>
      </c>
      <c r="C272" s="2" t="s">
        <v>79</v>
      </c>
      <c r="D272" s="2" t="s">
        <v>43</v>
      </c>
      <c r="E272">
        <v>12.071400000000001</v>
      </c>
      <c r="F272">
        <v>-17232.099999999999</v>
      </c>
      <c r="G272">
        <v>49.2</v>
      </c>
      <c r="H272">
        <v>0.8</v>
      </c>
      <c r="I272">
        <v>157.30000000000001</v>
      </c>
      <c r="J272">
        <v>1359.8</v>
      </c>
      <c r="K272">
        <v>384.5</v>
      </c>
      <c r="L272" s="2"/>
    </row>
    <row r="273" spans="1:12" x14ac:dyDescent="0.25">
      <c r="A273" s="2" t="s">
        <v>30</v>
      </c>
      <c r="B273" s="2" t="s">
        <v>78</v>
      </c>
      <c r="C273" s="2" t="s">
        <v>79</v>
      </c>
      <c r="D273" s="2" t="s">
        <v>43</v>
      </c>
      <c r="E273">
        <v>13</v>
      </c>
      <c r="F273">
        <v>-17189.2</v>
      </c>
      <c r="G273">
        <v>49.2</v>
      </c>
      <c r="H273">
        <v>0.8</v>
      </c>
      <c r="I273">
        <v>157.30000000000001</v>
      </c>
      <c r="J273">
        <v>1518.6</v>
      </c>
      <c r="K273">
        <v>412.2</v>
      </c>
      <c r="L273" s="2"/>
    </row>
    <row r="274" spans="1:12" x14ac:dyDescent="0.25">
      <c r="A274" s="2" t="s">
        <v>30</v>
      </c>
      <c r="B274" s="2" t="s">
        <v>78</v>
      </c>
      <c r="C274" s="2" t="s">
        <v>79</v>
      </c>
      <c r="D274" s="2" t="s">
        <v>43</v>
      </c>
      <c r="E274">
        <v>0</v>
      </c>
      <c r="F274">
        <v>-20751.099999999999</v>
      </c>
      <c r="G274">
        <v>-30.8</v>
      </c>
      <c r="H274">
        <v>-168.5</v>
      </c>
      <c r="I274">
        <v>-107.9</v>
      </c>
      <c r="J274">
        <v>-702.8</v>
      </c>
      <c r="K274">
        <v>27.1</v>
      </c>
      <c r="L274" s="2"/>
    </row>
    <row r="275" spans="1:12" x14ac:dyDescent="0.25">
      <c r="A275" s="2" t="s">
        <v>30</v>
      </c>
      <c r="B275" s="2" t="s">
        <v>78</v>
      </c>
      <c r="C275" s="2" t="s">
        <v>79</v>
      </c>
      <c r="D275" s="2" t="s">
        <v>43</v>
      </c>
      <c r="E275">
        <v>0.92859999999999998</v>
      </c>
      <c r="F275">
        <v>-20708.2</v>
      </c>
      <c r="G275">
        <v>-30.8</v>
      </c>
      <c r="H275">
        <v>-168.5</v>
      </c>
      <c r="I275">
        <v>-107.9</v>
      </c>
      <c r="J275">
        <v>-546.1</v>
      </c>
      <c r="K275">
        <v>56.1</v>
      </c>
      <c r="L275" s="2"/>
    </row>
    <row r="276" spans="1:12" x14ac:dyDescent="0.25">
      <c r="A276" s="2" t="s">
        <v>30</v>
      </c>
      <c r="B276" s="2" t="s">
        <v>78</v>
      </c>
      <c r="C276" s="2" t="s">
        <v>79</v>
      </c>
      <c r="D276" s="2" t="s">
        <v>43</v>
      </c>
      <c r="E276">
        <v>1.8571</v>
      </c>
      <c r="F276">
        <v>-20665.3</v>
      </c>
      <c r="G276">
        <v>-30.8</v>
      </c>
      <c r="H276">
        <v>-168.5</v>
      </c>
      <c r="I276">
        <v>-107.9</v>
      </c>
      <c r="J276">
        <v>-388.8</v>
      </c>
      <c r="K276">
        <v>83.4</v>
      </c>
      <c r="L276" s="2"/>
    </row>
    <row r="277" spans="1:12" x14ac:dyDescent="0.25">
      <c r="A277" s="2" t="s">
        <v>30</v>
      </c>
      <c r="B277" s="2" t="s">
        <v>78</v>
      </c>
      <c r="C277" s="2" t="s">
        <v>79</v>
      </c>
      <c r="D277" s="2" t="s">
        <v>43</v>
      </c>
      <c r="E277">
        <v>2.7856999999999998</v>
      </c>
      <c r="F277">
        <v>-20622.5</v>
      </c>
      <c r="G277">
        <v>-30.8</v>
      </c>
      <c r="H277">
        <v>-168.5</v>
      </c>
      <c r="I277">
        <v>-107.9</v>
      </c>
      <c r="J277">
        <v>-273.39999999999998</v>
      </c>
      <c r="K277">
        <v>78.599999999999994</v>
      </c>
      <c r="L277" s="2"/>
    </row>
    <row r="278" spans="1:12" x14ac:dyDescent="0.25">
      <c r="A278" s="2" t="s">
        <v>30</v>
      </c>
      <c r="B278" s="2" t="s">
        <v>78</v>
      </c>
      <c r="C278" s="2" t="s">
        <v>79</v>
      </c>
      <c r="D278" s="2" t="s">
        <v>43</v>
      </c>
      <c r="E278">
        <v>3.7143000000000002</v>
      </c>
      <c r="F278">
        <v>-20579.599999999999</v>
      </c>
      <c r="G278">
        <v>-30.8</v>
      </c>
      <c r="H278">
        <v>-168.5</v>
      </c>
      <c r="I278">
        <v>-107.9</v>
      </c>
      <c r="J278">
        <v>-215.4</v>
      </c>
      <c r="K278">
        <v>37</v>
      </c>
      <c r="L278" s="2"/>
    </row>
    <row r="279" spans="1:12" x14ac:dyDescent="0.25">
      <c r="A279" s="2" t="s">
        <v>30</v>
      </c>
      <c r="B279" s="2" t="s">
        <v>78</v>
      </c>
      <c r="C279" s="2" t="s">
        <v>79</v>
      </c>
      <c r="D279" s="2" t="s">
        <v>43</v>
      </c>
      <c r="E279">
        <v>4.6429</v>
      </c>
      <c r="F279">
        <v>-20536.7</v>
      </c>
      <c r="G279">
        <v>-30.8</v>
      </c>
      <c r="H279">
        <v>-168.5</v>
      </c>
      <c r="I279">
        <v>-107.9</v>
      </c>
      <c r="J279">
        <v>-191.2</v>
      </c>
      <c r="K279">
        <v>-7.6</v>
      </c>
      <c r="L279" s="2"/>
    </row>
    <row r="280" spans="1:12" x14ac:dyDescent="0.25">
      <c r="A280" s="2" t="s">
        <v>30</v>
      </c>
      <c r="B280" s="2" t="s">
        <v>78</v>
      </c>
      <c r="C280" s="2" t="s">
        <v>79</v>
      </c>
      <c r="D280" s="2" t="s">
        <v>43</v>
      </c>
      <c r="E280">
        <v>5.5713999999999997</v>
      </c>
      <c r="F280">
        <v>-20493.8</v>
      </c>
      <c r="G280">
        <v>-30.8</v>
      </c>
      <c r="H280">
        <v>-168.5</v>
      </c>
      <c r="I280">
        <v>-107.9</v>
      </c>
      <c r="J280">
        <v>-169.9</v>
      </c>
      <c r="K280">
        <v>-54.6</v>
      </c>
      <c r="L280" s="2"/>
    </row>
    <row r="281" spans="1:12" x14ac:dyDescent="0.25">
      <c r="A281" s="2" t="s">
        <v>30</v>
      </c>
      <c r="B281" s="2" t="s">
        <v>78</v>
      </c>
      <c r="C281" s="2" t="s">
        <v>79</v>
      </c>
      <c r="D281" s="2" t="s">
        <v>43</v>
      </c>
      <c r="E281">
        <v>6.5</v>
      </c>
      <c r="F281">
        <v>-20450.900000000001</v>
      </c>
      <c r="G281">
        <v>-30.8</v>
      </c>
      <c r="H281">
        <v>-168.5</v>
      </c>
      <c r="I281">
        <v>-107.9</v>
      </c>
      <c r="J281">
        <v>-159.9</v>
      </c>
      <c r="K281">
        <v>-101.8</v>
      </c>
      <c r="L281" s="2"/>
    </row>
    <row r="282" spans="1:12" x14ac:dyDescent="0.25">
      <c r="A282" s="2" t="s">
        <v>30</v>
      </c>
      <c r="B282" s="2" t="s">
        <v>78</v>
      </c>
      <c r="C282" s="2" t="s">
        <v>79</v>
      </c>
      <c r="D282" s="2" t="s">
        <v>43</v>
      </c>
      <c r="E282">
        <v>7.4286000000000003</v>
      </c>
      <c r="F282">
        <v>-20408</v>
      </c>
      <c r="G282">
        <v>-30.8</v>
      </c>
      <c r="H282">
        <v>-168.5</v>
      </c>
      <c r="I282">
        <v>-107.9</v>
      </c>
      <c r="J282">
        <v>-149.69999999999999</v>
      </c>
      <c r="K282">
        <v>-149</v>
      </c>
      <c r="L282" s="2"/>
    </row>
    <row r="283" spans="1:12" x14ac:dyDescent="0.25">
      <c r="A283" s="2" t="s">
        <v>30</v>
      </c>
      <c r="B283" s="2" t="s">
        <v>78</v>
      </c>
      <c r="C283" s="2" t="s">
        <v>79</v>
      </c>
      <c r="D283" s="2" t="s">
        <v>43</v>
      </c>
      <c r="E283">
        <v>8.3571000000000009</v>
      </c>
      <c r="F283">
        <v>-20365.2</v>
      </c>
      <c r="G283">
        <v>-30.8</v>
      </c>
      <c r="H283">
        <v>-168.5</v>
      </c>
      <c r="I283">
        <v>-107.9</v>
      </c>
      <c r="J283">
        <v>-139.5</v>
      </c>
      <c r="K283">
        <v>-196.3</v>
      </c>
      <c r="L283" s="2"/>
    </row>
    <row r="284" spans="1:12" x14ac:dyDescent="0.25">
      <c r="A284" s="2" t="s">
        <v>30</v>
      </c>
      <c r="B284" s="2" t="s">
        <v>78</v>
      </c>
      <c r="C284" s="2" t="s">
        <v>79</v>
      </c>
      <c r="D284" s="2" t="s">
        <v>43</v>
      </c>
      <c r="E284">
        <v>9.2857000000000003</v>
      </c>
      <c r="F284">
        <v>-20322.3</v>
      </c>
      <c r="G284">
        <v>-30.8</v>
      </c>
      <c r="H284">
        <v>-168.5</v>
      </c>
      <c r="I284">
        <v>-107.9</v>
      </c>
      <c r="J284">
        <v>-129.19999999999999</v>
      </c>
      <c r="K284">
        <v>-243.6</v>
      </c>
      <c r="L284" s="2"/>
    </row>
    <row r="285" spans="1:12" x14ac:dyDescent="0.25">
      <c r="A285" s="2" t="s">
        <v>30</v>
      </c>
      <c r="B285" s="2" t="s">
        <v>78</v>
      </c>
      <c r="C285" s="2" t="s">
        <v>79</v>
      </c>
      <c r="D285" s="2" t="s">
        <v>43</v>
      </c>
      <c r="E285">
        <v>10.2143</v>
      </c>
      <c r="F285">
        <v>-20279.400000000001</v>
      </c>
      <c r="G285">
        <v>-30.8</v>
      </c>
      <c r="H285">
        <v>-168.5</v>
      </c>
      <c r="I285">
        <v>-107.9</v>
      </c>
      <c r="J285">
        <v>-119</v>
      </c>
      <c r="K285">
        <v>-290.8</v>
      </c>
      <c r="L285" s="2"/>
    </row>
    <row r="286" spans="1:12" x14ac:dyDescent="0.25">
      <c r="A286" s="2" t="s">
        <v>30</v>
      </c>
      <c r="B286" s="2" t="s">
        <v>78</v>
      </c>
      <c r="C286" s="2" t="s">
        <v>79</v>
      </c>
      <c r="D286" s="2" t="s">
        <v>43</v>
      </c>
      <c r="E286">
        <v>11.142899999999999</v>
      </c>
      <c r="F286">
        <v>-20236.5</v>
      </c>
      <c r="G286">
        <v>-30.8</v>
      </c>
      <c r="H286">
        <v>-168.5</v>
      </c>
      <c r="I286">
        <v>-107.9</v>
      </c>
      <c r="J286">
        <v>-109.5</v>
      </c>
      <c r="K286">
        <v>-337.8</v>
      </c>
      <c r="L286" s="2"/>
    </row>
    <row r="287" spans="1:12" x14ac:dyDescent="0.25">
      <c r="A287" s="2" t="s">
        <v>30</v>
      </c>
      <c r="B287" s="2" t="s">
        <v>78</v>
      </c>
      <c r="C287" s="2" t="s">
        <v>79</v>
      </c>
      <c r="D287" s="2" t="s">
        <v>43</v>
      </c>
      <c r="E287">
        <v>12.071400000000001</v>
      </c>
      <c r="F287">
        <v>-20193.599999999999</v>
      </c>
      <c r="G287">
        <v>-30.8</v>
      </c>
      <c r="H287">
        <v>-168.5</v>
      </c>
      <c r="I287">
        <v>-107.9</v>
      </c>
      <c r="J287">
        <v>-107.6</v>
      </c>
      <c r="K287">
        <v>-384.7</v>
      </c>
      <c r="L287" s="2"/>
    </row>
    <row r="288" spans="1:12" x14ac:dyDescent="0.25">
      <c r="A288" s="2" t="s">
        <v>30</v>
      </c>
      <c r="B288" s="2" t="s">
        <v>78</v>
      </c>
      <c r="C288" s="2" t="s">
        <v>79</v>
      </c>
      <c r="D288" s="2" t="s">
        <v>43</v>
      </c>
      <c r="E288">
        <v>13</v>
      </c>
      <c r="F288">
        <v>-20150.8</v>
      </c>
      <c r="G288">
        <v>-30.8</v>
      </c>
      <c r="H288">
        <v>-168.5</v>
      </c>
      <c r="I288">
        <v>-107.9</v>
      </c>
      <c r="J288">
        <v>-106</v>
      </c>
      <c r="K288">
        <v>-431.2</v>
      </c>
      <c r="L288" s="2"/>
    </row>
    <row r="289" spans="1:12" x14ac:dyDescent="0.25">
      <c r="A289" s="2" t="s">
        <v>30</v>
      </c>
      <c r="B289" s="2" t="s">
        <v>78</v>
      </c>
      <c r="C289" s="2" t="s">
        <v>79</v>
      </c>
      <c r="D289" s="2" t="s">
        <v>44</v>
      </c>
      <c r="E289">
        <v>0</v>
      </c>
      <c r="F289">
        <v>-8662.4</v>
      </c>
      <c r="G289">
        <v>58.4</v>
      </c>
      <c r="H289">
        <v>147.69999999999999</v>
      </c>
      <c r="I289">
        <v>167.4</v>
      </c>
      <c r="J289">
        <v>458.6</v>
      </c>
      <c r="K289">
        <v>202.7</v>
      </c>
      <c r="L289" s="2"/>
    </row>
    <row r="290" spans="1:12" x14ac:dyDescent="0.25">
      <c r="A290" s="2" t="s">
        <v>30</v>
      </c>
      <c r="B290" s="2" t="s">
        <v>78</v>
      </c>
      <c r="C290" s="2" t="s">
        <v>79</v>
      </c>
      <c r="D290" s="2" t="s">
        <v>44</v>
      </c>
      <c r="E290">
        <v>0.92859999999999998</v>
      </c>
      <c r="F290">
        <v>-8630.2000000000007</v>
      </c>
      <c r="G290">
        <v>58.4</v>
      </c>
      <c r="H290">
        <v>147.69999999999999</v>
      </c>
      <c r="I290">
        <v>167.4</v>
      </c>
      <c r="J290">
        <v>321.89999999999998</v>
      </c>
      <c r="K290">
        <v>148.4</v>
      </c>
      <c r="L290" s="2"/>
    </row>
    <row r="291" spans="1:12" x14ac:dyDescent="0.25">
      <c r="A291" s="2" t="s">
        <v>30</v>
      </c>
      <c r="B291" s="2" t="s">
        <v>78</v>
      </c>
      <c r="C291" s="2" t="s">
        <v>79</v>
      </c>
      <c r="D291" s="2" t="s">
        <v>44</v>
      </c>
      <c r="E291">
        <v>1.8571</v>
      </c>
      <c r="F291">
        <v>-8598</v>
      </c>
      <c r="G291">
        <v>58.4</v>
      </c>
      <c r="H291">
        <v>147.69999999999999</v>
      </c>
      <c r="I291">
        <v>167.4</v>
      </c>
      <c r="J291">
        <v>185.6</v>
      </c>
      <c r="K291">
        <v>94.9</v>
      </c>
      <c r="L291" s="2"/>
    </row>
    <row r="292" spans="1:12" x14ac:dyDescent="0.25">
      <c r="A292" s="2" t="s">
        <v>30</v>
      </c>
      <c r="B292" s="2" t="s">
        <v>78</v>
      </c>
      <c r="C292" s="2" t="s">
        <v>79</v>
      </c>
      <c r="D292" s="2" t="s">
        <v>44</v>
      </c>
      <c r="E292">
        <v>2.7856999999999998</v>
      </c>
      <c r="F292">
        <v>-8565.9</v>
      </c>
      <c r="G292">
        <v>58.4</v>
      </c>
      <c r="H292">
        <v>147.69999999999999</v>
      </c>
      <c r="I292">
        <v>167.4</v>
      </c>
      <c r="J292">
        <v>92</v>
      </c>
      <c r="K292">
        <v>72.2</v>
      </c>
      <c r="L292" s="2"/>
    </row>
    <row r="293" spans="1:12" x14ac:dyDescent="0.25">
      <c r="A293" s="2" t="s">
        <v>30</v>
      </c>
      <c r="B293" s="2" t="s">
        <v>78</v>
      </c>
      <c r="C293" s="2" t="s">
        <v>79</v>
      </c>
      <c r="D293" s="2" t="s">
        <v>44</v>
      </c>
      <c r="E293">
        <v>3.7143000000000002</v>
      </c>
      <c r="F293">
        <v>-8533.7000000000007</v>
      </c>
      <c r="G293">
        <v>58.4</v>
      </c>
      <c r="H293">
        <v>147.69999999999999</v>
      </c>
      <c r="I293">
        <v>167.4</v>
      </c>
      <c r="J293">
        <v>57.9</v>
      </c>
      <c r="K293">
        <v>72.8</v>
      </c>
      <c r="L293" s="2"/>
    </row>
    <row r="294" spans="1:12" x14ac:dyDescent="0.25">
      <c r="A294" s="2" t="s">
        <v>30</v>
      </c>
      <c r="B294" s="2" t="s">
        <v>78</v>
      </c>
      <c r="C294" s="2" t="s">
        <v>79</v>
      </c>
      <c r="D294" s="2" t="s">
        <v>44</v>
      </c>
      <c r="E294">
        <v>4.6429</v>
      </c>
      <c r="F294">
        <v>-8501.6</v>
      </c>
      <c r="G294">
        <v>58.4</v>
      </c>
      <c r="H294">
        <v>147.69999999999999</v>
      </c>
      <c r="I294">
        <v>167.4</v>
      </c>
      <c r="J294">
        <v>60.3</v>
      </c>
      <c r="K294">
        <v>73.099999999999994</v>
      </c>
      <c r="L294" s="2"/>
    </row>
    <row r="295" spans="1:12" x14ac:dyDescent="0.25">
      <c r="A295" s="2" t="s">
        <v>30</v>
      </c>
      <c r="B295" s="2" t="s">
        <v>78</v>
      </c>
      <c r="C295" s="2" t="s">
        <v>79</v>
      </c>
      <c r="D295" s="2" t="s">
        <v>44</v>
      </c>
      <c r="E295">
        <v>5.5713999999999997</v>
      </c>
      <c r="F295">
        <v>-8469.4</v>
      </c>
      <c r="G295">
        <v>58.4</v>
      </c>
      <c r="H295">
        <v>147.69999999999999</v>
      </c>
      <c r="I295">
        <v>167.4</v>
      </c>
      <c r="J295">
        <v>160.30000000000001</v>
      </c>
      <c r="K295">
        <v>73.3</v>
      </c>
      <c r="L295" s="2"/>
    </row>
    <row r="296" spans="1:12" x14ac:dyDescent="0.25">
      <c r="A296" s="2" t="s">
        <v>30</v>
      </c>
      <c r="B296" s="2" t="s">
        <v>78</v>
      </c>
      <c r="C296" s="2" t="s">
        <v>79</v>
      </c>
      <c r="D296" s="2" t="s">
        <v>44</v>
      </c>
      <c r="E296">
        <v>6.5</v>
      </c>
      <c r="F296">
        <v>-8437.2000000000007</v>
      </c>
      <c r="G296">
        <v>58.4</v>
      </c>
      <c r="H296">
        <v>147.69999999999999</v>
      </c>
      <c r="I296">
        <v>167.4</v>
      </c>
      <c r="J296">
        <v>260.3</v>
      </c>
      <c r="K296">
        <v>73.5</v>
      </c>
      <c r="L296" s="2"/>
    </row>
    <row r="297" spans="1:12" x14ac:dyDescent="0.25">
      <c r="A297" s="2" t="s">
        <v>30</v>
      </c>
      <c r="B297" s="2" t="s">
        <v>78</v>
      </c>
      <c r="C297" s="2" t="s">
        <v>79</v>
      </c>
      <c r="D297" s="2" t="s">
        <v>44</v>
      </c>
      <c r="E297">
        <v>7.4286000000000003</v>
      </c>
      <c r="F297">
        <v>-8405.1</v>
      </c>
      <c r="G297">
        <v>58.4</v>
      </c>
      <c r="H297">
        <v>147.69999999999999</v>
      </c>
      <c r="I297">
        <v>167.4</v>
      </c>
      <c r="J297">
        <v>360.4</v>
      </c>
      <c r="K297">
        <v>73.599999999999994</v>
      </c>
      <c r="L297" s="2"/>
    </row>
    <row r="298" spans="1:12" x14ac:dyDescent="0.25">
      <c r="A298" s="2" t="s">
        <v>30</v>
      </c>
      <c r="B298" s="2" t="s">
        <v>78</v>
      </c>
      <c r="C298" s="2" t="s">
        <v>79</v>
      </c>
      <c r="D298" s="2" t="s">
        <v>44</v>
      </c>
      <c r="E298">
        <v>8.3571000000000009</v>
      </c>
      <c r="F298">
        <v>-8372.9</v>
      </c>
      <c r="G298">
        <v>58.4</v>
      </c>
      <c r="H298">
        <v>147.69999999999999</v>
      </c>
      <c r="I298">
        <v>167.4</v>
      </c>
      <c r="J298">
        <v>460.6</v>
      </c>
      <c r="K298">
        <v>73.599999999999994</v>
      </c>
      <c r="L298" s="2"/>
    </row>
    <row r="299" spans="1:12" x14ac:dyDescent="0.25">
      <c r="A299" s="2" t="s">
        <v>30</v>
      </c>
      <c r="B299" s="2" t="s">
        <v>78</v>
      </c>
      <c r="C299" s="2" t="s">
        <v>79</v>
      </c>
      <c r="D299" s="2" t="s">
        <v>44</v>
      </c>
      <c r="E299">
        <v>9.2857000000000003</v>
      </c>
      <c r="F299">
        <v>-8340.7000000000007</v>
      </c>
      <c r="G299">
        <v>58.4</v>
      </c>
      <c r="H299">
        <v>147.69999999999999</v>
      </c>
      <c r="I299">
        <v>167.4</v>
      </c>
      <c r="J299">
        <v>560.79999999999995</v>
      </c>
      <c r="K299">
        <v>73.7</v>
      </c>
      <c r="L299" s="2"/>
    </row>
    <row r="300" spans="1:12" x14ac:dyDescent="0.25">
      <c r="A300" s="2" t="s">
        <v>30</v>
      </c>
      <c r="B300" s="2" t="s">
        <v>78</v>
      </c>
      <c r="C300" s="2" t="s">
        <v>79</v>
      </c>
      <c r="D300" s="2" t="s">
        <v>44</v>
      </c>
      <c r="E300">
        <v>10.2143</v>
      </c>
      <c r="F300">
        <v>-8308.6</v>
      </c>
      <c r="G300">
        <v>58.4</v>
      </c>
      <c r="H300">
        <v>147.69999999999999</v>
      </c>
      <c r="I300">
        <v>167.4</v>
      </c>
      <c r="J300">
        <v>661</v>
      </c>
      <c r="K300">
        <v>73.8</v>
      </c>
      <c r="L300" s="2"/>
    </row>
    <row r="301" spans="1:12" x14ac:dyDescent="0.25">
      <c r="A301" s="2" t="s">
        <v>30</v>
      </c>
      <c r="B301" s="2" t="s">
        <v>78</v>
      </c>
      <c r="C301" s="2" t="s">
        <v>79</v>
      </c>
      <c r="D301" s="2" t="s">
        <v>44</v>
      </c>
      <c r="E301">
        <v>11.142899999999999</v>
      </c>
      <c r="F301">
        <v>-8276.4</v>
      </c>
      <c r="G301">
        <v>58.4</v>
      </c>
      <c r="H301">
        <v>147.69999999999999</v>
      </c>
      <c r="I301">
        <v>167.4</v>
      </c>
      <c r="J301">
        <v>761.1</v>
      </c>
      <c r="K301">
        <v>74</v>
      </c>
      <c r="L301" s="2"/>
    </row>
    <row r="302" spans="1:12" x14ac:dyDescent="0.25">
      <c r="A302" s="2" t="s">
        <v>30</v>
      </c>
      <c r="B302" s="2" t="s">
        <v>78</v>
      </c>
      <c r="C302" s="2" t="s">
        <v>79</v>
      </c>
      <c r="D302" s="2" t="s">
        <v>44</v>
      </c>
      <c r="E302">
        <v>12.071400000000001</v>
      </c>
      <c r="F302">
        <v>-8244.2999999999993</v>
      </c>
      <c r="G302">
        <v>58.4</v>
      </c>
      <c r="H302">
        <v>147.69999999999999</v>
      </c>
      <c r="I302">
        <v>167.4</v>
      </c>
      <c r="J302">
        <v>861.1</v>
      </c>
      <c r="K302">
        <v>74.3</v>
      </c>
      <c r="L302" s="2"/>
    </row>
    <row r="303" spans="1:12" x14ac:dyDescent="0.25">
      <c r="A303" s="2" t="s">
        <v>30</v>
      </c>
      <c r="B303" s="2" t="s">
        <v>78</v>
      </c>
      <c r="C303" s="2" t="s">
        <v>79</v>
      </c>
      <c r="D303" s="2" t="s">
        <v>44</v>
      </c>
      <c r="E303">
        <v>13</v>
      </c>
      <c r="F303">
        <v>-8212.1</v>
      </c>
      <c r="G303">
        <v>58.4</v>
      </c>
      <c r="H303">
        <v>147.69999999999999</v>
      </c>
      <c r="I303">
        <v>167.4</v>
      </c>
      <c r="J303">
        <v>960.9</v>
      </c>
      <c r="K303">
        <v>74.7</v>
      </c>
      <c r="L303" s="2"/>
    </row>
    <row r="304" spans="1:12" x14ac:dyDescent="0.25">
      <c r="A304" s="2" t="s">
        <v>30</v>
      </c>
      <c r="B304" s="2" t="s">
        <v>78</v>
      </c>
      <c r="C304" s="2" t="s">
        <v>79</v>
      </c>
      <c r="D304" s="2" t="s">
        <v>44</v>
      </c>
      <c r="E304">
        <v>0</v>
      </c>
      <c r="F304">
        <v>-15022.7</v>
      </c>
      <c r="G304">
        <v>-1.4</v>
      </c>
      <c r="H304">
        <v>-105.8</v>
      </c>
      <c r="I304">
        <v>-104.1</v>
      </c>
      <c r="J304">
        <v>-436.2</v>
      </c>
      <c r="K304">
        <v>61.1</v>
      </c>
      <c r="L304" s="2"/>
    </row>
    <row r="305" spans="1:12" x14ac:dyDescent="0.25">
      <c r="A305" s="2" t="s">
        <v>30</v>
      </c>
      <c r="B305" s="2" t="s">
        <v>78</v>
      </c>
      <c r="C305" s="2" t="s">
        <v>79</v>
      </c>
      <c r="D305" s="2" t="s">
        <v>44</v>
      </c>
      <c r="E305">
        <v>0.92859999999999998</v>
      </c>
      <c r="F305">
        <v>-14990.6</v>
      </c>
      <c r="G305">
        <v>-1.4</v>
      </c>
      <c r="H305">
        <v>-105.8</v>
      </c>
      <c r="I305">
        <v>-104.1</v>
      </c>
      <c r="J305">
        <v>-337.4</v>
      </c>
      <c r="K305">
        <v>57.7</v>
      </c>
      <c r="L305" s="2"/>
    </row>
    <row r="306" spans="1:12" x14ac:dyDescent="0.25">
      <c r="A306" s="2" t="s">
        <v>30</v>
      </c>
      <c r="B306" s="2" t="s">
        <v>78</v>
      </c>
      <c r="C306" s="2" t="s">
        <v>79</v>
      </c>
      <c r="D306" s="2" t="s">
        <v>44</v>
      </c>
      <c r="E306">
        <v>1.8571</v>
      </c>
      <c r="F306">
        <v>-14958.4</v>
      </c>
      <c r="G306">
        <v>-1.4</v>
      </c>
      <c r="H306">
        <v>-105.8</v>
      </c>
      <c r="I306">
        <v>-104.1</v>
      </c>
      <c r="J306">
        <v>-238.4</v>
      </c>
      <c r="K306">
        <v>54.1</v>
      </c>
      <c r="L306" s="2"/>
    </row>
    <row r="307" spans="1:12" x14ac:dyDescent="0.25">
      <c r="A307" s="2" t="s">
        <v>30</v>
      </c>
      <c r="B307" s="2" t="s">
        <v>78</v>
      </c>
      <c r="C307" s="2" t="s">
        <v>79</v>
      </c>
      <c r="D307" s="2" t="s">
        <v>44</v>
      </c>
      <c r="E307">
        <v>2.7856999999999998</v>
      </c>
      <c r="F307">
        <v>-14926.2</v>
      </c>
      <c r="G307">
        <v>-1.4</v>
      </c>
      <c r="H307">
        <v>-105.8</v>
      </c>
      <c r="I307">
        <v>-104.1</v>
      </c>
      <c r="J307">
        <v>-166.8</v>
      </c>
      <c r="K307">
        <v>33.6</v>
      </c>
      <c r="L307" s="2"/>
    </row>
    <row r="308" spans="1:12" x14ac:dyDescent="0.25">
      <c r="A308" s="2" t="s">
        <v>30</v>
      </c>
      <c r="B308" s="2" t="s">
        <v>78</v>
      </c>
      <c r="C308" s="2" t="s">
        <v>79</v>
      </c>
      <c r="D308" s="2" t="s">
        <v>44</v>
      </c>
      <c r="E308">
        <v>3.7143000000000002</v>
      </c>
      <c r="F308">
        <v>-14894.1</v>
      </c>
      <c r="G308">
        <v>-1.4</v>
      </c>
      <c r="H308">
        <v>-105.8</v>
      </c>
      <c r="I308">
        <v>-104.1</v>
      </c>
      <c r="J308">
        <v>-141.30000000000001</v>
      </c>
      <c r="K308">
        <v>-15.9</v>
      </c>
      <c r="L308" s="2"/>
    </row>
    <row r="309" spans="1:12" x14ac:dyDescent="0.25">
      <c r="A309" s="2" t="s">
        <v>30</v>
      </c>
      <c r="B309" s="2" t="s">
        <v>78</v>
      </c>
      <c r="C309" s="2" t="s">
        <v>79</v>
      </c>
      <c r="D309" s="2" t="s">
        <v>44</v>
      </c>
      <c r="E309">
        <v>4.6429</v>
      </c>
      <c r="F309">
        <v>-14861.9</v>
      </c>
      <c r="G309">
        <v>-1.4</v>
      </c>
      <c r="H309">
        <v>-105.8</v>
      </c>
      <c r="I309">
        <v>-104.1</v>
      </c>
      <c r="J309">
        <v>-222.1</v>
      </c>
      <c r="K309">
        <v>-71</v>
      </c>
      <c r="L309" s="2"/>
    </row>
    <row r="310" spans="1:12" x14ac:dyDescent="0.25">
      <c r="A310" s="2" t="s">
        <v>30</v>
      </c>
      <c r="B310" s="2" t="s">
        <v>78</v>
      </c>
      <c r="C310" s="2" t="s">
        <v>79</v>
      </c>
      <c r="D310" s="2" t="s">
        <v>44</v>
      </c>
      <c r="E310">
        <v>5.5713999999999997</v>
      </c>
      <c r="F310">
        <v>-14829.8</v>
      </c>
      <c r="G310">
        <v>-1.4</v>
      </c>
      <c r="H310">
        <v>-105.8</v>
      </c>
      <c r="I310">
        <v>-104.1</v>
      </c>
      <c r="J310">
        <v>-357.6</v>
      </c>
      <c r="K310">
        <v>-126.2</v>
      </c>
      <c r="L310" s="2"/>
    </row>
    <row r="311" spans="1:12" x14ac:dyDescent="0.25">
      <c r="A311" s="2" t="s">
        <v>30</v>
      </c>
      <c r="B311" s="2" t="s">
        <v>78</v>
      </c>
      <c r="C311" s="2" t="s">
        <v>79</v>
      </c>
      <c r="D311" s="2" t="s">
        <v>44</v>
      </c>
      <c r="E311">
        <v>6.5</v>
      </c>
      <c r="F311">
        <v>-14797.6</v>
      </c>
      <c r="G311">
        <v>-1.4</v>
      </c>
      <c r="H311">
        <v>-105.8</v>
      </c>
      <c r="I311">
        <v>-104.1</v>
      </c>
      <c r="J311">
        <v>-493</v>
      </c>
      <c r="K311">
        <v>-181.5</v>
      </c>
      <c r="L311" s="2"/>
    </row>
    <row r="312" spans="1:12" x14ac:dyDescent="0.25">
      <c r="A312" s="2" t="s">
        <v>30</v>
      </c>
      <c r="B312" s="2" t="s">
        <v>78</v>
      </c>
      <c r="C312" s="2" t="s">
        <v>79</v>
      </c>
      <c r="D312" s="2" t="s">
        <v>44</v>
      </c>
      <c r="E312">
        <v>7.4286000000000003</v>
      </c>
      <c r="F312">
        <v>-14765.4</v>
      </c>
      <c r="G312">
        <v>-1.4</v>
      </c>
      <c r="H312">
        <v>-105.8</v>
      </c>
      <c r="I312">
        <v>-104.1</v>
      </c>
      <c r="J312">
        <v>-628.29999999999995</v>
      </c>
      <c r="K312">
        <v>-236.9</v>
      </c>
      <c r="L312" s="2"/>
    </row>
    <row r="313" spans="1:12" x14ac:dyDescent="0.25">
      <c r="A313" s="2" t="s">
        <v>30</v>
      </c>
      <c r="B313" s="2" t="s">
        <v>78</v>
      </c>
      <c r="C313" s="2" t="s">
        <v>79</v>
      </c>
      <c r="D313" s="2" t="s">
        <v>44</v>
      </c>
      <c r="E313">
        <v>8.3571000000000009</v>
      </c>
      <c r="F313">
        <v>-14733.3</v>
      </c>
      <c r="G313">
        <v>-1.4</v>
      </c>
      <c r="H313">
        <v>-105.8</v>
      </c>
      <c r="I313">
        <v>-104.1</v>
      </c>
      <c r="J313">
        <v>-763.6</v>
      </c>
      <c r="K313">
        <v>-292.3</v>
      </c>
      <c r="L313" s="2"/>
    </row>
    <row r="314" spans="1:12" x14ac:dyDescent="0.25">
      <c r="A314" s="2" t="s">
        <v>30</v>
      </c>
      <c r="B314" s="2" t="s">
        <v>78</v>
      </c>
      <c r="C314" s="2" t="s">
        <v>79</v>
      </c>
      <c r="D314" s="2" t="s">
        <v>44</v>
      </c>
      <c r="E314">
        <v>9.2857000000000003</v>
      </c>
      <c r="F314">
        <v>-14701.1</v>
      </c>
      <c r="G314">
        <v>-1.4</v>
      </c>
      <c r="H314">
        <v>-105.8</v>
      </c>
      <c r="I314">
        <v>-104.1</v>
      </c>
      <c r="J314">
        <v>-898.9</v>
      </c>
      <c r="K314">
        <v>-347.7</v>
      </c>
      <c r="L314" s="2"/>
    </row>
    <row r="315" spans="1:12" x14ac:dyDescent="0.25">
      <c r="A315" s="2" t="s">
        <v>30</v>
      </c>
      <c r="B315" s="2" t="s">
        <v>78</v>
      </c>
      <c r="C315" s="2" t="s">
        <v>79</v>
      </c>
      <c r="D315" s="2" t="s">
        <v>44</v>
      </c>
      <c r="E315">
        <v>10.2143</v>
      </c>
      <c r="F315">
        <v>-14669</v>
      </c>
      <c r="G315">
        <v>-1.4</v>
      </c>
      <c r="H315">
        <v>-105.8</v>
      </c>
      <c r="I315">
        <v>-104.1</v>
      </c>
      <c r="J315">
        <v>-1034.2</v>
      </c>
      <c r="K315">
        <v>-403.1</v>
      </c>
      <c r="L315" s="2"/>
    </row>
    <row r="316" spans="1:12" x14ac:dyDescent="0.25">
      <c r="A316" s="2" t="s">
        <v>30</v>
      </c>
      <c r="B316" s="2" t="s">
        <v>78</v>
      </c>
      <c r="C316" s="2" t="s">
        <v>79</v>
      </c>
      <c r="D316" s="2" t="s">
        <v>44</v>
      </c>
      <c r="E316">
        <v>11.142899999999999</v>
      </c>
      <c r="F316">
        <v>-14636.8</v>
      </c>
      <c r="G316">
        <v>-1.4</v>
      </c>
      <c r="H316">
        <v>-105.8</v>
      </c>
      <c r="I316">
        <v>-104.1</v>
      </c>
      <c r="J316">
        <v>-1169.5</v>
      </c>
      <c r="K316">
        <v>-458.4</v>
      </c>
      <c r="L316" s="2"/>
    </row>
    <row r="317" spans="1:12" x14ac:dyDescent="0.25">
      <c r="A317" s="2" t="s">
        <v>30</v>
      </c>
      <c r="B317" s="2" t="s">
        <v>78</v>
      </c>
      <c r="C317" s="2" t="s">
        <v>79</v>
      </c>
      <c r="D317" s="2" t="s">
        <v>44</v>
      </c>
      <c r="E317">
        <v>12.071400000000001</v>
      </c>
      <c r="F317">
        <v>-14604.6</v>
      </c>
      <c r="G317">
        <v>-1.4</v>
      </c>
      <c r="H317">
        <v>-105.8</v>
      </c>
      <c r="I317">
        <v>-104.1</v>
      </c>
      <c r="J317">
        <v>-1305</v>
      </c>
      <c r="K317">
        <v>-513.6</v>
      </c>
      <c r="L317" s="2"/>
    </row>
    <row r="318" spans="1:12" x14ac:dyDescent="0.25">
      <c r="A318" s="2" t="s">
        <v>30</v>
      </c>
      <c r="B318" s="2" t="s">
        <v>78</v>
      </c>
      <c r="C318" s="2" t="s">
        <v>79</v>
      </c>
      <c r="D318" s="2" t="s">
        <v>44</v>
      </c>
      <c r="E318">
        <v>13</v>
      </c>
      <c r="F318">
        <v>-14572.5</v>
      </c>
      <c r="G318">
        <v>-1.4</v>
      </c>
      <c r="H318">
        <v>-105.8</v>
      </c>
      <c r="I318">
        <v>-104.1</v>
      </c>
      <c r="J318">
        <v>-1440.6</v>
      </c>
      <c r="K318">
        <v>-568.6</v>
      </c>
      <c r="L318" s="2"/>
    </row>
    <row r="319" spans="1:12" x14ac:dyDescent="0.25">
      <c r="A319" s="2" t="s">
        <v>30</v>
      </c>
      <c r="B319" s="2" t="s">
        <v>78</v>
      </c>
      <c r="C319" s="2" t="s">
        <v>79</v>
      </c>
      <c r="D319" s="2" t="s">
        <v>45</v>
      </c>
      <c r="E319">
        <v>0</v>
      </c>
      <c r="F319">
        <v>-8541.5</v>
      </c>
      <c r="G319">
        <v>19.100000000000001</v>
      </c>
      <c r="H319">
        <v>87.2</v>
      </c>
      <c r="I319">
        <v>142.19999999999999</v>
      </c>
      <c r="J319">
        <v>250</v>
      </c>
      <c r="K319">
        <v>97</v>
      </c>
      <c r="L319" s="2"/>
    </row>
    <row r="320" spans="1:12" x14ac:dyDescent="0.25">
      <c r="A320" s="2" t="s">
        <v>30</v>
      </c>
      <c r="B320" s="2" t="s">
        <v>78</v>
      </c>
      <c r="C320" s="2" t="s">
        <v>79</v>
      </c>
      <c r="D320" s="2" t="s">
        <v>45</v>
      </c>
      <c r="E320">
        <v>0.92859999999999998</v>
      </c>
      <c r="F320">
        <v>-8509.2999999999993</v>
      </c>
      <c r="G320">
        <v>19.100000000000001</v>
      </c>
      <c r="H320">
        <v>87.2</v>
      </c>
      <c r="I320">
        <v>142.19999999999999</v>
      </c>
      <c r="J320">
        <v>169.5</v>
      </c>
      <c r="K320">
        <v>83.7</v>
      </c>
      <c r="L320" s="2"/>
    </row>
    <row r="321" spans="1:12" x14ac:dyDescent="0.25">
      <c r="A321" s="2" t="s">
        <v>30</v>
      </c>
      <c r="B321" s="2" t="s">
        <v>78</v>
      </c>
      <c r="C321" s="2" t="s">
        <v>79</v>
      </c>
      <c r="D321" s="2" t="s">
        <v>45</v>
      </c>
      <c r="E321">
        <v>1.8571</v>
      </c>
      <c r="F321">
        <v>-8477.1</v>
      </c>
      <c r="G321">
        <v>19.100000000000001</v>
      </c>
      <c r="H321">
        <v>87.2</v>
      </c>
      <c r="I321">
        <v>142.19999999999999</v>
      </c>
      <c r="J321">
        <v>89.3</v>
      </c>
      <c r="K321">
        <v>70.2</v>
      </c>
      <c r="L321" s="2"/>
    </row>
    <row r="322" spans="1:12" x14ac:dyDescent="0.25">
      <c r="A322" s="2" t="s">
        <v>30</v>
      </c>
      <c r="B322" s="2" t="s">
        <v>78</v>
      </c>
      <c r="C322" s="2" t="s">
        <v>79</v>
      </c>
      <c r="D322" s="2" t="s">
        <v>45</v>
      </c>
      <c r="E322">
        <v>2.7856999999999998</v>
      </c>
      <c r="F322">
        <v>-8445</v>
      </c>
      <c r="G322">
        <v>19.100000000000001</v>
      </c>
      <c r="H322">
        <v>87.2</v>
      </c>
      <c r="I322">
        <v>142.19999999999999</v>
      </c>
      <c r="J322">
        <v>37.200000000000003</v>
      </c>
      <c r="K322">
        <v>73.099999999999994</v>
      </c>
      <c r="L322" s="2"/>
    </row>
    <row r="323" spans="1:12" x14ac:dyDescent="0.25">
      <c r="A323" s="2" t="s">
        <v>30</v>
      </c>
      <c r="B323" s="2" t="s">
        <v>78</v>
      </c>
      <c r="C323" s="2" t="s">
        <v>79</v>
      </c>
      <c r="D323" s="2" t="s">
        <v>45</v>
      </c>
      <c r="E323">
        <v>3.7143000000000002</v>
      </c>
      <c r="F323">
        <v>-8412.7999999999993</v>
      </c>
      <c r="G323">
        <v>19.100000000000001</v>
      </c>
      <c r="H323">
        <v>87.2</v>
      </c>
      <c r="I323">
        <v>142.19999999999999</v>
      </c>
      <c r="J323">
        <v>31.6</v>
      </c>
      <c r="K323">
        <v>104.5</v>
      </c>
      <c r="L323" s="2"/>
    </row>
    <row r="324" spans="1:12" x14ac:dyDescent="0.25">
      <c r="A324" s="2" t="s">
        <v>30</v>
      </c>
      <c r="B324" s="2" t="s">
        <v>78</v>
      </c>
      <c r="C324" s="2" t="s">
        <v>79</v>
      </c>
      <c r="D324" s="2" t="s">
        <v>45</v>
      </c>
      <c r="E324">
        <v>4.6429</v>
      </c>
      <c r="F324">
        <v>-8380.6</v>
      </c>
      <c r="G324">
        <v>19.100000000000001</v>
      </c>
      <c r="H324">
        <v>87.2</v>
      </c>
      <c r="I324">
        <v>142.19999999999999</v>
      </c>
      <c r="J324">
        <v>132.6</v>
      </c>
      <c r="K324">
        <v>141.30000000000001</v>
      </c>
      <c r="L324" s="2"/>
    </row>
    <row r="325" spans="1:12" x14ac:dyDescent="0.25">
      <c r="A325" s="2" t="s">
        <v>30</v>
      </c>
      <c r="B325" s="2" t="s">
        <v>78</v>
      </c>
      <c r="C325" s="2" t="s">
        <v>79</v>
      </c>
      <c r="D325" s="2" t="s">
        <v>45</v>
      </c>
      <c r="E325">
        <v>5.5713999999999997</v>
      </c>
      <c r="F325">
        <v>-8348.5</v>
      </c>
      <c r="G325">
        <v>19.100000000000001</v>
      </c>
      <c r="H325">
        <v>87.2</v>
      </c>
      <c r="I325">
        <v>142.19999999999999</v>
      </c>
      <c r="J325">
        <v>288.7</v>
      </c>
      <c r="K325">
        <v>178</v>
      </c>
      <c r="L325" s="2"/>
    </row>
    <row r="326" spans="1:12" x14ac:dyDescent="0.25">
      <c r="A326" s="2" t="s">
        <v>30</v>
      </c>
      <c r="B326" s="2" t="s">
        <v>78</v>
      </c>
      <c r="C326" s="2" t="s">
        <v>79</v>
      </c>
      <c r="D326" s="2" t="s">
        <v>45</v>
      </c>
      <c r="E326">
        <v>6.5</v>
      </c>
      <c r="F326">
        <v>-8316.2999999999993</v>
      </c>
      <c r="G326">
        <v>19.100000000000001</v>
      </c>
      <c r="H326">
        <v>87.2</v>
      </c>
      <c r="I326">
        <v>142.19999999999999</v>
      </c>
      <c r="J326">
        <v>445</v>
      </c>
      <c r="K326">
        <v>214.5</v>
      </c>
      <c r="L326" s="2"/>
    </row>
    <row r="327" spans="1:12" x14ac:dyDescent="0.25">
      <c r="A327" s="2" t="s">
        <v>30</v>
      </c>
      <c r="B327" s="2" t="s">
        <v>78</v>
      </c>
      <c r="C327" s="2" t="s">
        <v>79</v>
      </c>
      <c r="D327" s="2" t="s">
        <v>45</v>
      </c>
      <c r="E327">
        <v>7.4286000000000003</v>
      </c>
      <c r="F327">
        <v>-8284.2000000000007</v>
      </c>
      <c r="G327">
        <v>19.100000000000001</v>
      </c>
      <c r="H327">
        <v>87.2</v>
      </c>
      <c r="I327">
        <v>142.19999999999999</v>
      </c>
      <c r="J327">
        <v>601.29999999999995</v>
      </c>
      <c r="K327">
        <v>251.1</v>
      </c>
      <c r="L327" s="2"/>
    </row>
    <row r="328" spans="1:12" x14ac:dyDescent="0.25">
      <c r="A328" s="2" t="s">
        <v>30</v>
      </c>
      <c r="B328" s="2" t="s">
        <v>78</v>
      </c>
      <c r="C328" s="2" t="s">
        <v>79</v>
      </c>
      <c r="D328" s="2" t="s">
        <v>45</v>
      </c>
      <c r="E328">
        <v>8.3571000000000009</v>
      </c>
      <c r="F328">
        <v>-8252</v>
      </c>
      <c r="G328">
        <v>19.100000000000001</v>
      </c>
      <c r="H328">
        <v>87.2</v>
      </c>
      <c r="I328">
        <v>142.19999999999999</v>
      </c>
      <c r="J328">
        <v>757.7</v>
      </c>
      <c r="K328">
        <v>287.60000000000002</v>
      </c>
      <c r="L328" s="2"/>
    </row>
    <row r="329" spans="1:12" x14ac:dyDescent="0.25">
      <c r="A329" s="2" t="s">
        <v>30</v>
      </c>
      <c r="B329" s="2" t="s">
        <v>78</v>
      </c>
      <c r="C329" s="2" t="s">
        <v>79</v>
      </c>
      <c r="D329" s="2" t="s">
        <v>45</v>
      </c>
      <c r="E329">
        <v>9.2857000000000003</v>
      </c>
      <c r="F329">
        <v>-8219.7999999999993</v>
      </c>
      <c r="G329">
        <v>19.100000000000001</v>
      </c>
      <c r="H329">
        <v>87.2</v>
      </c>
      <c r="I329">
        <v>142.19999999999999</v>
      </c>
      <c r="J329">
        <v>914</v>
      </c>
      <c r="K329">
        <v>324.10000000000002</v>
      </c>
      <c r="L329" s="2"/>
    </row>
    <row r="330" spans="1:12" x14ac:dyDescent="0.25">
      <c r="A330" s="2" t="s">
        <v>30</v>
      </c>
      <c r="B330" s="2" t="s">
        <v>78</v>
      </c>
      <c r="C330" s="2" t="s">
        <v>79</v>
      </c>
      <c r="D330" s="2" t="s">
        <v>45</v>
      </c>
      <c r="E330">
        <v>10.2143</v>
      </c>
      <c r="F330">
        <v>-8187.7</v>
      </c>
      <c r="G330">
        <v>19.100000000000001</v>
      </c>
      <c r="H330">
        <v>87.2</v>
      </c>
      <c r="I330">
        <v>142.19999999999999</v>
      </c>
      <c r="J330">
        <v>1070.4000000000001</v>
      </c>
      <c r="K330">
        <v>360.6</v>
      </c>
      <c r="L330" s="2"/>
    </row>
    <row r="331" spans="1:12" x14ac:dyDescent="0.25">
      <c r="A331" s="2" t="s">
        <v>30</v>
      </c>
      <c r="B331" s="2" t="s">
        <v>78</v>
      </c>
      <c r="C331" s="2" t="s">
        <v>79</v>
      </c>
      <c r="D331" s="2" t="s">
        <v>45</v>
      </c>
      <c r="E331">
        <v>11.142899999999999</v>
      </c>
      <c r="F331">
        <v>-8155.5</v>
      </c>
      <c r="G331">
        <v>19.100000000000001</v>
      </c>
      <c r="H331">
        <v>87.2</v>
      </c>
      <c r="I331">
        <v>142.19999999999999</v>
      </c>
      <c r="J331">
        <v>1226.5999999999999</v>
      </c>
      <c r="K331">
        <v>397.2</v>
      </c>
      <c r="L331" s="2"/>
    </row>
    <row r="332" spans="1:12" x14ac:dyDescent="0.25">
      <c r="A332" s="2" t="s">
        <v>30</v>
      </c>
      <c r="B332" s="2" t="s">
        <v>78</v>
      </c>
      <c r="C332" s="2" t="s">
        <v>79</v>
      </c>
      <c r="D332" s="2" t="s">
        <v>45</v>
      </c>
      <c r="E332">
        <v>12.071400000000001</v>
      </c>
      <c r="F332">
        <v>-8123.3</v>
      </c>
      <c r="G332">
        <v>19.100000000000001</v>
      </c>
      <c r="H332">
        <v>87.2</v>
      </c>
      <c r="I332">
        <v>142.19999999999999</v>
      </c>
      <c r="J332">
        <v>1382.8</v>
      </c>
      <c r="K332">
        <v>434</v>
      </c>
      <c r="L332" s="2"/>
    </row>
    <row r="333" spans="1:12" x14ac:dyDescent="0.25">
      <c r="A333" s="2" t="s">
        <v>30</v>
      </c>
      <c r="B333" s="2" t="s">
        <v>78</v>
      </c>
      <c r="C333" s="2" t="s">
        <v>79</v>
      </c>
      <c r="D333" s="2" t="s">
        <v>45</v>
      </c>
      <c r="E333">
        <v>13</v>
      </c>
      <c r="F333">
        <v>-8091.2</v>
      </c>
      <c r="G333">
        <v>19.100000000000001</v>
      </c>
      <c r="H333">
        <v>87.2</v>
      </c>
      <c r="I333">
        <v>142.19999999999999</v>
      </c>
      <c r="J333">
        <v>1538.9</v>
      </c>
      <c r="K333">
        <v>470.8</v>
      </c>
      <c r="L333" s="2"/>
    </row>
    <row r="334" spans="1:12" x14ac:dyDescent="0.25">
      <c r="A334" s="2" t="s">
        <v>30</v>
      </c>
      <c r="B334" s="2" t="s">
        <v>78</v>
      </c>
      <c r="C334" s="2" t="s">
        <v>79</v>
      </c>
      <c r="D334" s="2" t="s">
        <v>45</v>
      </c>
      <c r="E334">
        <v>0</v>
      </c>
      <c r="F334">
        <v>-14901.8</v>
      </c>
      <c r="G334">
        <v>-40.6</v>
      </c>
      <c r="H334">
        <v>-166.3</v>
      </c>
      <c r="I334">
        <v>-129.30000000000001</v>
      </c>
      <c r="J334">
        <v>-644.79999999999995</v>
      </c>
      <c r="K334">
        <v>-44.6</v>
      </c>
      <c r="L334" s="2"/>
    </row>
    <row r="335" spans="1:12" x14ac:dyDescent="0.25">
      <c r="A335" s="2" t="s">
        <v>30</v>
      </c>
      <c r="B335" s="2" t="s">
        <v>78</v>
      </c>
      <c r="C335" s="2" t="s">
        <v>79</v>
      </c>
      <c r="D335" s="2" t="s">
        <v>45</v>
      </c>
      <c r="E335">
        <v>0.92859999999999998</v>
      </c>
      <c r="F335">
        <v>-14869.7</v>
      </c>
      <c r="G335">
        <v>-40.6</v>
      </c>
      <c r="H335">
        <v>-166.3</v>
      </c>
      <c r="I335">
        <v>-129.30000000000001</v>
      </c>
      <c r="J335">
        <v>-489.9</v>
      </c>
      <c r="K335">
        <v>-6.9</v>
      </c>
      <c r="L335" s="2"/>
    </row>
    <row r="336" spans="1:12" x14ac:dyDescent="0.25">
      <c r="A336" s="2" t="s">
        <v>30</v>
      </c>
      <c r="B336" s="2" t="s">
        <v>78</v>
      </c>
      <c r="C336" s="2" t="s">
        <v>79</v>
      </c>
      <c r="D336" s="2" t="s">
        <v>45</v>
      </c>
      <c r="E336">
        <v>1.8571</v>
      </c>
      <c r="F336">
        <v>-14837.5</v>
      </c>
      <c r="G336">
        <v>-40.6</v>
      </c>
      <c r="H336">
        <v>-166.3</v>
      </c>
      <c r="I336">
        <v>-129.30000000000001</v>
      </c>
      <c r="J336">
        <v>-334.6</v>
      </c>
      <c r="K336">
        <v>29.4</v>
      </c>
      <c r="L336" s="2"/>
    </row>
    <row r="337" spans="1:12" x14ac:dyDescent="0.25">
      <c r="A337" s="2" t="s">
        <v>30</v>
      </c>
      <c r="B337" s="2" t="s">
        <v>78</v>
      </c>
      <c r="C337" s="2" t="s">
        <v>79</v>
      </c>
      <c r="D337" s="2" t="s">
        <v>45</v>
      </c>
      <c r="E337">
        <v>2.7856999999999998</v>
      </c>
      <c r="F337">
        <v>-14805.3</v>
      </c>
      <c r="G337">
        <v>-40.6</v>
      </c>
      <c r="H337">
        <v>-166.3</v>
      </c>
      <c r="I337">
        <v>-129.30000000000001</v>
      </c>
      <c r="J337">
        <v>-221.6</v>
      </c>
      <c r="K337">
        <v>34.4</v>
      </c>
      <c r="L337" s="2"/>
    </row>
    <row r="338" spans="1:12" x14ac:dyDescent="0.25">
      <c r="A338" s="2" t="s">
        <v>30</v>
      </c>
      <c r="B338" s="2" t="s">
        <v>78</v>
      </c>
      <c r="C338" s="2" t="s">
        <v>79</v>
      </c>
      <c r="D338" s="2" t="s">
        <v>45</v>
      </c>
      <c r="E338">
        <v>3.7143000000000002</v>
      </c>
      <c r="F338">
        <v>-14773.2</v>
      </c>
      <c r="G338">
        <v>-40.6</v>
      </c>
      <c r="H338">
        <v>-166.3</v>
      </c>
      <c r="I338">
        <v>-129.30000000000001</v>
      </c>
      <c r="J338">
        <v>-167.7</v>
      </c>
      <c r="K338">
        <v>15.9</v>
      </c>
      <c r="L338" s="2"/>
    </row>
    <row r="339" spans="1:12" x14ac:dyDescent="0.25">
      <c r="A339" s="2" t="s">
        <v>30</v>
      </c>
      <c r="B339" s="2" t="s">
        <v>78</v>
      </c>
      <c r="C339" s="2" t="s">
        <v>79</v>
      </c>
      <c r="D339" s="2" t="s">
        <v>45</v>
      </c>
      <c r="E339">
        <v>4.6429</v>
      </c>
      <c r="F339">
        <v>-14741</v>
      </c>
      <c r="G339">
        <v>-40.6</v>
      </c>
      <c r="H339">
        <v>-166.3</v>
      </c>
      <c r="I339">
        <v>-129.30000000000001</v>
      </c>
      <c r="J339">
        <v>-149.80000000000001</v>
      </c>
      <c r="K339">
        <v>-2.8</v>
      </c>
      <c r="L339" s="2"/>
    </row>
    <row r="340" spans="1:12" x14ac:dyDescent="0.25">
      <c r="A340" s="2" t="s">
        <v>30</v>
      </c>
      <c r="B340" s="2" t="s">
        <v>78</v>
      </c>
      <c r="C340" s="2" t="s">
        <v>79</v>
      </c>
      <c r="D340" s="2" t="s">
        <v>45</v>
      </c>
      <c r="E340">
        <v>5.5713999999999997</v>
      </c>
      <c r="F340">
        <v>-14708.9</v>
      </c>
      <c r="G340">
        <v>-40.6</v>
      </c>
      <c r="H340">
        <v>-166.3</v>
      </c>
      <c r="I340">
        <v>-129.30000000000001</v>
      </c>
      <c r="J340">
        <v>-229.1</v>
      </c>
      <c r="K340">
        <v>-21.6</v>
      </c>
      <c r="L340" s="2"/>
    </row>
    <row r="341" spans="1:12" x14ac:dyDescent="0.25">
      <c r="A341" s="2" t="s">
        <v>30</v>
      </c>
      <c r="B341" s="2" t="s">
        <v>78</v>
      </c>
      <c r="C341" s="2" t="s">
        <v>79</v>
      </c>
      <c r="D341" s="2" t="s">
        <v>45</v>
      </c>
      <c r="E341">
        <v>6.5</v>
      </c>
      <c r="F341">
        <v>-14676.7</v>
      </c>
      <c r="G341">
        <v>-40.6</v>
      </c>
      <c r="H341">
        <v>-166.3</v>
      </c>
      <c r="I341">
        <v>-129.30000000000001</v>
      </c>
      <c r="J341">
        <v>-308.39999999999998</v>
      </c>
      <c r="K341">
        <v>-40.5</v>
      </c>
      <c r="L341" s="2"/>
    </row>
    <row r="342" spans="1:12" x14ac:dyDescent="0.25">
      <c r="A342" s="2" t="s">
        <v>30</v>
      </c>
      <c r="B342" s="2" t="s">
        <v>78</v>
      </c>
      <c r="C342" s="2" t="s">
        <v>79</v>
      </c>
      <c r="D342" s="2" t="s">
        <v>45</v>
      </c>
      <c r="E342">
        <v>7.4286000000000003</v>
      </c>
      <c r="F342">
        <v>-14644.5</v>
      </c>
      <c r="G342">
        <v>-40.6</v>
      </c>
      <c r="H342">
        <v>-166.3</v>
      </c>
      <c r="I342">
        <v>-129.30000000000001</v>
      </c>
      <c r="J342">
        <v>-387.5</v>
      </c>
      <c r="K342">
        <v>-59.4</v>
      </c>
      <c r="L342" s="2"/>
    </row>
    <row r="343" spans="1:12" x14ac:dyDescent="0.25">
      <c r="A343" s="2" t="s">
        <v>30</v>
      </c>
      <c r="B343" s="2" t="s">
        <v>78</v>
      </c>
      <c r="C343" s="2" t="s">
        <v>79</v>
      </c>
      <c r="D343" s="2" t="s">
        <v>45</v>
      </c>
      <c r="E343">
        <v>8.3571000000000009</v>
      </c>
      <c r="F343">
        <v>-14612.4</v>
      </c>
      <c r="G343">
        <v>-40.6</v>
      </c>
      <c r="H343">
        <v>-166.3</v>
      </c>
      <c r="I343">
        <v>-129.30000000000001</v>
      </c>
      <c r="J343">
        <v>-466.6</v>
      </c>
      <c r="K343">
        <v>-78.400000000000006</v>
      </c>
      <c r="L343" s="2"/>
    </row>
    <row r="344" spans="1:12" x14ac:dyDescent="0.25">
      <c r="A344" s="2" t="s">
        <v>30</v>
      </c>
      <c r="B344" s="2" t="s">
        <v>78</v>
      </c>
      <c r="C344" s="2" t="s">
        <v>79</v>
      </c>
      <c r="D344" s="2" t="s">
        <v>45</v>
      </c>
      <c r="E344">
        <v>9.2857000000000003</v>
      </c>
      <c r="F344">
        <v>-14580.2</v>
      </c>
      <c r="G344">
        <v>-40.6</v>
      </c>
      <c r="H344">
        <v>-166.3</v>
      </c>
      <c r="I344">
        <v>-129.30000000000001</v>
      </c>
      <c r="J344">
        <v>-545.70000000000005</v>
      </c>
      <c r="K344">
        <v>-97.4</v>
      </c>
      <c r="L344" s="2"/>
    </row>
    <row r="345" spans="1:12" x14ac:dyDescent="0.25">
      <c r="A345" s="2" t="s">
        <v>30</v>
      </c>
      <c r="B345" s="2" t="s">
        <v>78</v>
      </c>
      <c r="C345" s="2" t="s">
        <v>79</v>
      </c>
      <c r="D345" s="2" t="s">
        <v>45</v>
      </c>
      <c r="E345">
        <v>10.2143</v>
      </c>
      <c r="F345">
        <v>-14548</v>
      </c>
      <c r="G345">
        <v>-40.6</v>
      </c>
      <c r="H345">
        <v>-166.3</v>
      </c>
      <c r="I345">
        <v>-129.30000000000001</v>
      </c>
      <c r="J345">
        <v>-624.79999999999995</v>
      </c>
      <c r="K345">
        <v>-116.3</v>
      </c>
      <c r="L345" s="2"/>
    </row>
    <row r="346" spans="1:12" x14ac:dyDescent="0.25">
      <c r="A346" s="2" t="s">
        <v>30</v>
      </c>
      <c r="B346" s="2" t="s">
        <v>78</v>
      </c>
      <c r="C346" s="2" t="s">
        <v>79</v>
      </c>
      <c r="D346" s="2" t="s">
        <v>45</v>
      </c>
      <c r="E346">
        <v>11.142899999999999</v>
      </c>
      <c r="F346">
        <v>-14515.9</v>
      </c>
      <c r="G346">
        <v>-40.6</v>
      </c>
      <c r="H346">
        <v>-166.3</v>
      </c>
      <c r="I346">
        <v>-129.30000000000001</v>
      </c>
      <c r="J346">
        <v>-703.9</v>
      </c>
      <c r="K346">
        <v>-135.1</v>
      </c>
      <c r="L346" s="2"/>
    </row>
    <row r="347" spans="1:12" x14ac:dyDescent="0.25">
      <c r="A347" s="2" t="s">
        <v>30</v>
      </c>
      <c r="B347" s="2" t="s">
        <v>78</v>
      </c>
      <c r="C347" s="2" t="s">
        <v>79</v>
      </c>
      <c r="D347" s="2" t="s">
        <v>45</v>
      </c>
      <c r="E347">
        <v>12.071400000000001</v>
      </c>
      <c r="F347">
        <v>-14483.7</v>
      </c>
      <c r="G347">
        <v>-40.6</v>
      </c>
      <c r="H347">
        <v>-166.3</v>
      </c>
      <c r="I347">
        <v>-129.30000000000001</v>
      </c>
      <c r="J347">
        <v>-783.2</v>
      </c>
      <c r="K347">
        <v>-153.9</v>
      </c>
      <c r="L347" s="2"/>
    </row>
    <row r="348" spans="1:12" x14ac:dyDescent="0.25">
      <c r="A348" s="2" t="s">
        <v>30</v>
      </c>
      <c r="B348" s="2" t="s">
        <v>78</v>
      </c>
      <c r="C348" s="2" t="s">
        <v>79</v>
      </c>
      <c r="D348" s="2" t="s">
        <v>45</v>
      </c>
      <c r="E348">
        <v>13</v>
      </c>
      <c r="F348">
        <v>-14451.6</v>
      </c>
      <c r="G348">
        <v>-40.6</v>
      </c>
      <c r="H348">
        <v>-166.3</v>
      </c>
      <c r="I348">
        <v>-129.30000000000001</v>
      </c>
      <c r="J348">
        <v>-862.6</v>
      </c>
      <c r="K348">
        <v>-172.5</v>
      </c>
      <c r="L348" s="2"/>
    </row>
    <row r="349" spans="1:12" x14ac:dyDescent="0.25">
      <c r="A349" s="2" t="s">
        <v>30</v>
      </c>
      <c r="B349" s="2" t="s">
        <v>78</v>
      </c>
      <c r="C349" s="2" t="s">
        <v>79</v>
      </c>
      <c r="D349" s="2" t="s">
        <v>46</v>
      </c>
      <c r="E349">
        <v>0</v>
      </c>
      <c r="F349">
        <v>-8580</v>
      </c>
      <c r="G349">
        <v>57.1</v>
      </c>
      <c r="H349">
        <v>141.80000000000001</v>
      </c>
      <c r="I349">
        <v>158.6</v>
      </c>
      <c r="J349">
        <v>438.2</v>
      </c>
      <c r="K349">
        <v>199.2</v>
      </c>
      <c r="L349" s="2"/>
    </row>
    <row r="350" spans="1:12" x14ac:dyDescent="0.25">
      <c r="A350" s="2" t="s">
        <v>30</v>
      </c>
      <c r="B350" s="2" t="s">
        <v>78</v>
      </c>
      <c r="C350" s="2" t="s">
        <v>79</v>
      </c>
      <c r="D350" s="2" t="s">
        <v>46</v>
      </c>
      <c r="E350">
        <v>0.92859999999999998</v>
      </c>
      <c r="F350">
        <v>-8547.9</v>
      </c>
      <c r="G350">
        <v>57.1</v>
      </c>
      <c r="H350">
        <v>141.80000000000001</v>
      </c>
      <c r="I350">
        <v>158.6</v>
      </c>
      <c r="J350">
        <v>307</v>
      </c>
      <c r="K350">
        <v>146</v>
      </c>
      <c r="L350" s="2"/>
    </row>
    <row r="351" spans="1:12" x14ac:dyDescent="0.25">
      <c r="A351" s="2" t="s">
        <v>30</v>
      </c>
      <c r="B351" s="2" t="s">
        <v>78</v>
      </c>
      <c r="C351" s="2" t="s">
        <v>79</v>
      </c>
      <c r="D351" s="2" t="s">
        <v>46</v>
      </c>
      <c r="E351">
        <v>1.8571</v>
      </c>
      <c r="F351">
        <v>-8515.7000000000007</v>
      </c>
      <c r="G351">
        <v>57.1</v>
      </c>
      <c r="H351">
        <v>141.80000000000001</v>
      </c>
      <c r="I351">
        <v>158.6</v>
      </c>
      <c r="J351">
        <v>176.2</v>
      </c>
      <c r="K351">
        <v>93.8</v>
      </c>
      <c r="L351" s="2"/>
    </row>
    <row r="352" spans="1:12" x14ac:dyDescent="0.25">
      <c r="A352" s="2" t="s">
        <v>30</v>
      </c>
      <c r="B352" s="2" t="s">
        <v>78</v>
      </c>
      <c r="C352" s="2" t="s">
        <v>79</v>
      </c>
      <c r="D352" s="2" t="s">
        <v>46</v>
      </c>
      <c r="E352">
        <v>2.7856999999999998</v>
      </c>
      <c r="F352">
        <v>-8483.5</v>
      </c>
      <c r="G352">
        <v>57.1</v>
      </c>
      <c r="H352">
        <v>141.80000000000001</v>
      </c>
      <c r="I352">
        <v>158.6</v>
      </c>
      <c r="J352">
        <v>88</v>
      </c>
      <c r="K352">
        <v>73.099999999999994</v>
      </c>
      <c r="L352" s="2"/>
    </row>
    <row r="353" spans="1:12" x14ac:dyDescent="0.25">
      <c r="A353" s="2" t="s">
        <v>30</v>
      </c>
      <c r="B353" s="2" t="s">
        <v>78</v>
      </c>
      <c r="C353" s="2" t="s">
        <v>79</v>
      </c>
      <c r="D353" s="2" t="s">
        <v>46</v>
      </c>
      <c r="E353">
        <v>3.7143000000000002</v>
      </c>
      <c r="F353">
        <v>-8451.4</v>
      </c>
      <c r="G353">
        <v>57.1</v>
      </c>
      <c r="H353">
        <v>141.80000000000001</v>
      </c>
      <c r="I353">
        <v>158.6</v>
      </c>
      <c r="J353">
        <v>58</v>
      </c>
      <c r="K353">
        <v>88.5</v>
      </c>
      <c r="L353" s="2"/>
    </row>
    <row r="354" spans="1:12" x14ac:dyDescent="0.25">
      <c r="A354" s="2" t="s">
        <v>30</v>
      </c>
      <c r="B354" s="2" t="s">
        <v>78</v>
      </c>
      <c r="C354" s="2" t="s">
        <v>79</v>
      </c>
      <c r="D354" s="2" t="s">
        <v>46</v>
      </c>
      <c r="E354">
        <v>4.6429</v>
      </c>
      <c r="F354">
        <v>-8419.2000000000007</v>
      </c>
      <c r="G354">
        <v>57.1</v>
      </c>
      <c r="H354">
        <v>141.80000000000001</v>
      </c>
      <c r="I354">
        <v>158.6</v>
      </c>
      <c r="J354">
        <v>62.2</v>
      </c>
      <c r="K354">
        <v>106.6</v>
      </c>
      <c r="L354" s="2"/>
    </row>
    <row r="355" spans="1:12" x14ac:dyDescent="0.25">
      <c r="A355" s="2" t="s">
        <v>30</v>
      </c>
      <c r="B355" s="2" t="s">
        <v>78</v>
      </c>
      <c r="C355" s="2" t="s">
        <v>79</v>
      </c>
      <c r="D355" s="2" t="s">
        <v>46</v>
      </c>
      <c r="E355">
        <v>5.5713999999999997</v>
      </c>
      <c r="F355">
        <v>-8387</v>
      </c>
      <c r="G355">
        <v>57.1</v>
      </c>
      <c r="H355">
        <v>141.80000000000001</v>
      </c>
      <c r="I355">
        <v>158.6</v>
      </c>
      <c r="J355">
        <v>69.8</v>
      </c>
      <c r="K355">
        <v>126.8</v>
      </c>
      <c r="L355" s="2"/>
    </row>
    <row r="356" spans="1:12" x14ac:dyDescent="0.25">
      <c r="A356" s="2" t="s">
        <v>30</v>
      </c>
      <c r="B356" s="2" t="s">
        <v>78</v>
      </c>
      <c r="C356" s="2" t="s">
        <v>79</v>
      </c>
      <c r="D356" s="2" t="s">
        <v>46</v>
      </c>
      <c r="E356">
        <v>6.5</v>
      </c>
      <c r="F356">
        <v>-8354.9</v>
      </c>
      <c r="G356">
        <v>57.1</v>
      </c>
      <c r="H356">
        <v>141.80000000000001</v>
      </c>
      <c r="I356">
        <v>158.6</v>
      </c>
      <c r="J356">
        <v>89.1</v>
      </c>
      <c r="K356">
        <v>146.80000000000001</v>
      </c>
      <c r="L356" s="2"/>
    </row>
    <row r="357" spans="1:12" x14ac:dyDescent="0.25">
      <c r="A357" s="2" t="s">
        <v>30</v>
      </c>
      <c r="B357" s="2" t="s">
        <v>78</v>
      </c>
      <c r="C357" s="2" t="s">
        <v>79</v>
      </c>
      <c r="D357" s="2" t="s">
        <v>46</v>
      </c>
      <c r="E357">
        <v>7.4286000000000003</v>
      </c>
      <c r="F357">
        <v>-8322.7000000000007</v>
      </c>
      <c r="G357">
        <v>57.1</v>
      </c>
      <c r="H357">
        <v>141.80000000000001</v>
      </c>
      <c r="I357">
        <v>158.6</v>
      </c>
      <c r="J357">
        <v>108.5</v>
      </c>
      <c r="K357">
        <v>166.8</v>
      </c>
      <c r="L357" s="2"/>
    </row>
    <row r="358" spans="1:12" x14ac:dyDescent="0.25">
      <c r="A358" s="2" t="s">
        <v>30</v>
      </c>
      <c r="B358" s="2" t="s">
        <v>78</v>
      </c>
      <c r="C358" s="2" t="s">
        <v>79</v>
      </c>
      <c r="D358" s="2" t="s">
        <v>46</v>
      </c>
      <c r="E358">
        <v>8.3571000000000009</v>
      </c>
      <c r="F358">
        <v>-8290.6</v>
      </c>
      <c r="G358">
        <v>57.1</v>
      </c>
      <c r="H358">
        <v>141.80000000000001</v>
      </c>
      <c r="I358">
        <v>158.6</v>
      </c>
      <c r="J358">
        <v>127.9</v>
      </c>
      <c r="K358">
        <v>186.7</v>
      </c>
      <c r="L358" s="2"/>
    </row>
    <row r="359" spans="1:12" x14ac:dyDescent="0.25">
      <c r="A359" s="2" t="s">
        <v>30</v>
      </c>
      <c r="B359" s="2" t="s">
        <v>78</v>
      </c>
      <c r="C359" s="2" t="s">
        <v>79</v>
      </c>
      <c r="D359" s="2" t="s">
        <v>46</v>
      </c>
      <c r="E359">
        <v>9.2857000000000003</v>
      </c>
      <c r="F359">
        <v>-8258.4</v>
      </c>
      <c r="G359">
        <v>57.1</v>
      </c>
      <c r="H359">
        <v>141.80000000000001</v>
      </c>
      <c r="I359">
        <v>158.6</v>
      </c>
      <c r="J359">
        <v>147.30000000000001</v>
      </c>
      <c r="K359">
        <v>206.7</v>
      </c>
      <c r="L359" s="2"/>
    </row>
    <row r="360" spans="1:12" x14ac:dyDescent="0.25">
      <c r="A360" s="2" t="s">
        <v>30</v>
      </c>
      <c r="B360" s="2" t="s">
        <v>78</v>
      </c>
      <c r="C360" s="2" t="s">
        <v>79</v>
      </c>
      <c r="D360" s="2" t="s">
        <v>46</v>
      </c>
      <c r="E360">
        <v>10.2143</v>
      </c>
      <c r="F360">
        <v>-8226.2000000000007</v>
      </c>
      <c r="G360">
        <v>57.1</v>
      </c>
      <c r="H360">
        <v>141.80000000000001</v>
      </c>
      <c r="I360">
        <v>158.6</v>
      </c>
      <c r="J360">
        <v>166.7</v>
      </c>
      <c r="K360">
        <v>226.7</v>
      </c>
      <c r="L360" s="2"/>
    </row>
    <row r="361" spans="1:12" x14ac:dyDescent="0.25">
      <c r="A361" s="2" t="s">
        <v>30</v>
      </c>
      <c r="B361" s="2" t="s">
        <v>78</v>
      </c>
      <c r="C361" s="2" t="s">
        <v>79</v>
      </c>
      <c r="D361" s="2" t="s">
        <v>46</v>
      </c>
      <c r="E361">
        <v>11.142899999999999</v>
      </c>
      <c r="F361">
        <v>-8194.1</v>
      </c>
      <c r="G361">
        <v>57.1</v>
      </c>
      <c r="H361">
        <v>141.80000000000001</v>
      </c>
      <c r="I361">
        <v>158.6</v>
      </c>
      <c r="J361">
        <v>186.7</v>
      </c>
      <c r="K361">
        <v>246.8</v>
      </c>
      <c r="L361" s="2"/>
    </row>
    <row r="362" spans="1:12" x14ac:dyDescent="0.25">
      <c r="A362" s="2" t="s">
        <v>30</v>
      </c>
      <c r="B362" s="2" t="s">
        <v>78</v>
      </c>
      <c r="C362" s="2" t="s">
        <v>79</v>
      </c>
      <c r="D362" s="2" t="s">
        <v>46</v>
      </c>
      <c r="E362">
        <v>12.071400000000001</v>
      </c>
      <c r="F362">
        <v>-8161.9</v>
      </c>
      <c r="G362">
        <v>57.1</v>
      </c>
      <c r="H362">
        <v>141.80000000000001</v>
      </c>
      <c r="I362">
        <v>158.6</v>
      </c>
      <c r="J362">
        <v>214</v>
      </c>
      <c r="K362">
        <v>267</v>
      </c>
      <c r="L362" s="2"/>
    </row>
    <row r="363" spans="1:12" x14ac:dyDescent="0.25">
      <c r="A363" s="2" t="s">
        <v>30</v>
      </c>
      <c r="B363" s="2" t="s">
        <v>78</v>
      </c>
      <c r="C363" s="2" t="s">
        <v>79</v>
      </c>
      <c r="D363" s="2" t="s">
        <v>46</v>
      </c>
      <c r="E363">
        <v>13</v>
      </c>
      <c r="F363">
        <v>-8129.7</v>
      </c>
      <c r="G363">
        <v>57.1</v>
      </c>
      <c r="H363">
        <v>141.80000000000001</v>
      </c>
      <c r="I363">
        <v>158.6</v>
      </c>
      <c r="J363">
        <v>241.2</v>
      </c>
      <c r="K363">
        <v>287.3</v>
      </c>
      <c r="L363" s="2"/>
    </row>
    <row r="364" spans="1:12" x14ac:dyDescent="0.25">
      <c r="A364" s="2" t="s">
        <v>30</v>
      </c>
      <c r="B364" s="2" t="s">
        <v>78</v>
      </c>
      <c r="C364" s="2" t="s">
        <v>79</v>
      </c>
      <c r="D364" s="2" t="s">
        <v>46</v>
      </c>
      <c r="E364">
        <v>0</v>
      </c>
      <c r="F364">
        <v>-11541.6</v>
      </c>
      <c r="G364">
        <v>-22.8</v>
      </c>
      <c r="H364">
        <v>-27.5</v>
      </c>
      <c r="I364">
        <v>-106.5</v>
      </c>
      <c r="J364">
        <v>-138.1</v>
      </c>
      <c r="K364">
        <v>3.5</v>
      </c>
      <c r="L364" s="2"/>
    </row>
    <row r="365" spans="1:12" x14ac:dyDescent="0.25">
      <c r="A365" s="2" t="s">
        <v>30</v>
      </c>
      <c r="B365" s="2" t="s">
        <v>78</v>
      </c>
      <c r="C365" s="2" t="s">
        <v>79</v>
      </c>
      <c r="D365" s="2" t="s">
        <v>46</v>
      </c>
      <c r="E365">
        <v>0.92859999999999998</v>
      </c>
      <c r="F365">
        <v>-11509.4</v>
      </c>
      <c r="G365">
        <v>-22.8</v>
      </c>
      <c r="H365">
        <v>-27.5</v>
      </c>
      <c r="I365">
        <v>-106.5</v>
      </c>
      <c r="J365">
        <v>-112.1</v>
      </c>
      <c r="K365">
        <v>24.5</v>
      </c>
      <c r="L365" s="2"/>
    </row>
    <row r="366" spans="1:12" x14ac:dyDescent="0.25">
      <c r="A366" s="2" t="s">
        <v>30</v>
      </c>
      <c r="B366" s="2" t="s">
        <v>78</v>
      </c>
      <c r="C366" s="2" t="s">
        <v>79</v>
      </c>
      <c r="D366" s="2" t="s">
        <v>46</v>
      </c>
      <c r="E366">
        <v>1.8571</v>
      </c>
      <c r="F366">
        <v>-11477.2</v>
      </c>
      <c r="G366">
        <v>-22.8</v>
      </c>
      <c r="H366">
        <v>-27.5</v>
      </c>
      <c r="I366">
        <v>-106.5</v>
      </c>
      <c r="J366">
        <v>-85.7</v>
      </c>
      <c r="K366">
        <v>45.4</v>
      </c>
      <c r="L366" s="2"/>
    </row>
    <row r="367" spans="1:12" x14ac:dyDescent="0.25">
      <c r="A367" s="2" t="s">
        <v>30</v>
      </c>
      <c r="B367" s="2" t="s">
        <v>78</v>
      </c>
      <c r="C367" s="2" t="s">
        <v>79</v>
      </c>
      <c r="D367" s="2" t="s">
        <v>46</v>
      </c>
      <c r="E367">
        <v>2.7856999999999998</v>
      </c>
      <c r="F367">
        <v>-11445.1</v>
      </c>
      <c r="G367">
        <v>-22.8</v>
      </c>
      <c r="H367">
        <v>-27.5</v>
      </c>
      <c r="I367">
        <v>-106.5</v>
      </c>
      <c r="J367">
        <v>-62</v>
      </c>
      <c r="K367">
        <v>39</v>
      </c>
      <c r="L367" s="2"/>
    </row>
    <row r="368" spans="1:12" x14ac:dyDescent="0.25">
      <c r="A368" s="2" t="s">
        <v>30</v>
      </c>
      <c r="B368" s="2" t="s">
        <v>78</v>
      </c>
      <c r="C368" s="2" t="s">
        <v>79</v>
      </c>
      <c r="D368" s="2" t="s">
        <v>46</v>
      </c>
      <c r="E368">
        <v>3.7143000000000002</v>
      </c>
      <c r="F368">
        <v>-11412.9</v>
      </c>
      <c r="G368">
        <v>-22.8</v>
      </c>
      <c r="H368">
        <v>-27.5</v>
      </c>
      <c r="I368">
        <v>-106.5</v>
      </c>
      <c r="J368">
        <v>-98.1</v>
      </c>
      <c r="K368">
        <v>-14.8</v>
      </c>
      <c r="L368" s="2"/>
    </row>
    <row r="369" spans="1:12" x14ac:dyDescent="0.25">
      <c r="A369" s="2" t="s">
        <v>30</v>
      </c>
      <c r="B369" s="2" t="s">
        <v>78</v>
      </c>
      <c r="C369" s="2" t="s">
        <v>79</v>
      </c>
      <c r="D369" s="2" t="s">
        <v>46</v>
      </c>
      <c r="E369">
        <v>4.6429</v>
      </c>
      <c r="F369">
        <v>-11380.7</v>
      </c>
      <c r="G369">
        <v>-22.8</v>
      </c>
      <c r="H369">
        <v>-27.5</v>
      </c>
      <c r="I369">
        <v>-106.5</v>
      </c>
      <c r="J369">
        <v>-214.8</v>
      </c>
      <c r="K369">
        <v>-68.8</v>
      </c>
      <c r="L369" s="2"/>
    </row>
    <row r="370" spans="1:12" x14ac:dyDescent="0.25">
      <c r="A370" s="2" t="s">
        <v>30</v>
      </c>
      <c r="B370" s="2" t="s">
        <v>78</v>
      </c>
      <c r="C370" s="2" t="s">
        <v>79</v>
      </c>
      <c r="D370" s="2" t="s">
        <v>46</v>
      </c>
      <c r="E370">
        <v>5.5713999999999997</v>
      </c>
      <c r="F370">
        <v>-11348.6</v>
      </c>
      <c r="G370">
        <v>-22.8</v>
      </c>
      <c r="H370">
        <v>-27.5</v>
      </c>
      <c r="I370">
        <v>-106.5</v>
      </c>
      <c r="J370">
        <v>-344.8</v>
      </c>
      <c r="K370">
        <v>-122.9</v>
      </c>
      <c r="L370" s="2"/>
    </row>
    <row r="371" spans="1:12" x14ac:dyDescent="0.25">
      <c r="A371" s="2" t="s">
        <v>30</v>
      </c>
      <c r="B371" s="2" t="s">
        <v>78</v>
      </c>
      <c r="C371" s="2" t="s">
        <v>79</v>
      </c>
      <c r="D371" s="2" t="s">
        <v>46</v>
      </c>
      <c r="E371">
        <v>6.5</v>
      </c>
      <c r="F371">
        <v>-11316.4</v>
      </c>
      <c r="G371">
        <v>-22.8</v>
      </c>
      <c r="H371">
        <v>-27.5</v>
      </c>
      <c r="I371">
        <v>-106.5</v>
      </c>
      <c r="J371">
        <v>-474.7</v>
      </c>
      <c r="K371">
        <v>-177.1</v>
      </c>
      <c r="L371" s="2"/>
    </row>
    <row r="372" spans="1:12" x14ac:dyDescent="0.25">
      <c r="A372" s="2" t="s">
        <v>30</v>
      </c>
      <c r="B372" s="2" t="s">
        <v>78</v>
      </c>
      <c r="C372" s="2" t="s">
        <v>79</v>
      </c>
      <c r="D372" s="2" t="s">
        <v>46</v>
      </c>
      <c r="E372">
        <v>7.4286000000000003</v>
      </c>
      <c r="F372">
        <v>-11284.3</v>
      </c>
      <c r="G372">
        <v>-22.8</v>
      </c>
      <c r="H372">
        <v>-27.5</v>
      </c>
      <c r="I372">
        <v>-106.5</v>
      </c>
      <c r="J372">
        <v>-604.5</v>
      </c>
      <c r="K372">
        <v>-231.3</v>
      </c>
      <c r="L372" s="2"/>
    </row>
    <row r="373" spans="1:12" x14ac:dyDescent="0.25">
      <c r="A373" s="2" t="s">
        <v>30</v>
      </c>
      <c r="B373" s="2" t="s">
        <v>78</v>
      </c>
      <c r="C373" s="2" t="s">
        <v>79</v>
      </c>
      <c r="D373" s="2" t="s">
        <v>46</v>
      </c>
      <c r="E373">
        <v>8.3571000000000009</v>
      </c>
      <c r="F373">
        <v>-11252.1</v>
      </c>
      <c r="G373">
        <v>-22.8</v>
      </c>
      <c r="H373">
        <v>-27.5</v>
      </c>
      <c r="I373">
        <v>-106.5</v>
      </c>
      <c r="J373">
        <v>-734.2</v>
      </c>
      <c r="K373">
        <v>-285.60000000000002</v>
      </c>
      <c r="L373" s="2"/>
    </row>
    <row r="374" spans="1:12" x14ac:dyDescent="0.25">
      <c r="A374" s="2" t="s">
        <v>30</v>
      </c>
      <c r="B374" s="2" t="s">
        <v>78</v>
      </c>
      <c r="C374" s="2" t="s">
        <v>79</v>
      </c>
      <c r="D374" s="2" t="s">
        <v>46</v>
      </c>
      <c r="E374">
        <v>9.2857000000000003</v>
      </c>
      <c r="F374">
        <v>-11219.9</v>
      </c>
      <c r="G374">
        <v>-22.8</v>
      </c>
      <c r="H374">
        <v>-27.5</v>
      </c>
      <c r="I374">
        <v>-106.5</v>
      </c>
      <c r="J374">
        <v>-863.9</v>
      </c>
      <c r="K374">
        <v>-339.8</v>
      </c>
      <c r="L374" s="2"/>
    </row>
    <row r="375" spans="1:12" x14ac:dyDescent="0.25">
      <c r="A375" s="2" t="s">
        <v>30</v>
      </c>
      <c r="B375" s="2" t="s">
        <v>78</v>
      </c>
      <c r="C375" s="2" t="s">
        <v>79</v>
      </c>
      <c r="D375" s="2" t="s">
        <v>46</v>
      </c>
      <c r="E375">
        <v>10.2143</v>
      </c>
      <c r="F375">
        <v>-11187.8</v>
      </c>
      <c r="G375">
        <v>-22.8</v>
      </c>
      <c r="H375">
        <v>-27.5</v>
      </c>
      <c r="I375">
        <v>-106.5</v>
      </c>
      <c r="J375">
        <v>-993.7</v>
      </c>
      <c r="K375">
        <v>-394.1</v>
      </c>
      <c r="L375" s="2"/>
    </row>
    <row r="376" spans="1:12" x14ac:dyDescent="0.25">
      <c r="A376" s="2" t="s">
        <v>30</v>
      </c>
      <c r="B376" s="2" t="s">
        <v>78</v>
      </c>
      <c r="C376" s="2" t="s">
        <v>79</v>
      </c>
      <c r="D376" s="2" t="s">
        <v>46</v>
      </c>
      <c r="E376">
        <v>11.142899999999999</v>
      </c>
      <c r="F376">
        <v>-11155.6</v>
      </c>
      <c r="G376">
        <v>-22.8</v>
      </c>
      <c r="H376">
        <v>-27.5</v>
      </c>
      <c r="I376">
        <v>-106.5</v>
      </c>
      <c r="J376">
        <v>-1123.5</v>
      </c>
      <c r="K376">
        <v>-448.2</v>
      </c>
      <c r="L376" s="2"/>
    </row>
    <row r="377" spans="1:12" x14ac:dyDescent="0.25">
      <c r="A377" s="2" t="s">
        <v>30</v>
      </c>
      <c r="B377" s="2" t="s">
        <v>78</v>
      </c>
      <c r="C377" s="2" t="s">
        <v>79</v>
      </c>
      <c r="D377" s="2" t="s">
        <v>46</v>
      </c>
      <c r="E377">
        <v>12.071400000000001</v>
      </c>
      <c r="F377">
        <v>-11123.5</v>
      </c>
      <c r="G377">
        <v>-22.8</v>
      </c>
      <c r="H377">
        <v>-27.5</v>
      </c>
      <c r="I377">
        <v>-106.5</v>
      </c>
      <c r="J377">
        <v>-1253.4000000000001</v>
      </c>
      <c r="K377">
        <v>-502.2</v>
      </c>
      <c r="L377" s="2"/>
    </row>
    <row r="378" spans="1:12" x14ac:dyDescent="0.25">
      <c r="A378" s="2" t="s">
        <v>30</v>
      </c>
      <c r="B378" s="2" t="s">
        <v>78</v>
      </c>
      <c r="C378" s="2" t="s">
        <v>79</v>
      </c>
      <c r="D378" s="2" t="s">
        <v>46</v>
      </c>
      <c r="E378">
        <v>13</v>
      </c>
      <c r="F378">
        <v>-11091.3</v>
      </c>
      <c r="G378">
        <v>-22.8</v>
      </c>
      <c r="H378">
        <v>-27.5</v>
      </c>
      <c r="I378">
        <v>-106.5</v>
      </c>
      <c r="J378">
        <v>-1383.4</v>
      </c>
      <c r="K378">
        <v>-556.1</v>
      </c>
      <c r="L378" s="2"/>
    </row>
    <row r="379" spans="1:12" x14ac:dyDescent="0.25">
      <c r="A379" s="2" t="s">
        <v>30</v>
      </c>
      <c r="B379" s="2" t="s">
        <v>78</v>
      </c>
      <c r="C379" s="2" t="s">
        <v>79</v>
      </c>
      <c r="D379" s="2" t="s">
        <v>47</v>
      </c>
      <c r="E379">
        <v>0</v>
      </c>
      <c r="F379">
        <v>-12022.6</v>
      </c>
      <c r="G379">
        <v>40.6</v>
      </c>
      <c r="H379">
        <v>8.9</v>
      </c>
      <c r="I379">
        <v>144.6</v>
      </c>
      <c r="J379">
        <v>-48.1</v>
      </c>
      <c r="K379">
        <v>154.69999999999999</v>
      </c>
      <c r="L379" s="2"/>
    </row>
    <row r="380" spans="1:12" x14ac:dyDescent="0.25">
      <c r="A380" s="2" t="s">
        <v>30</v>
      </c>
      <c r="B380" s="2" t="s">
        <v>78</v>
      </c>
      <c r="C380" s="2" t="s">
        <v>79</v>
      </c>
      <c r="D380" s="2" t="s">
        <v>47</v>
      </c>
      <c r="E380">
        <v>0.92859999999999998</v>
      </c>
      <c r="F380">
        <v>-11990.5</v>
      </c>
      <c r="G380">
        <v>40.6</v>
      </c>
      <c r="H380">
        <v>8.9</v>
      </c>
      <c r="I380">
        <v>144.6</v>
      </c>
      <c r="J380">
        <v>-55.9</v>
      </c>
      <c r="K380">
        <v>116.9</v>
      </c>
      <c r="L380" s="2"/>
    </row>
    <row r="381" spans="1:12" x14ac:dyDescent="0.25">
      <c r="A381" s="2" t="s">
        <v>30</v>
      </c>
      <c r="B381" s="2" t="s">
        <v>78</v>
      </c>
      <c r="C381" s="2" t="s">
        <v>79</v>
      </c>
      <c r="D381" s="2" t="s">
        <v>47</v>
      </c>
      <c r="E381">
        <v>1.8571</v>
      </c>
      <c r="F381">
        <v>-11958.3</v>
      </c>
      <c r="G381">
        <v>40.6</v>
      </c>
      <c r="H381">
        <v>8.9</v>
      </c>
      <c r="I381">
        <v>144.6</v>
      </c>
      <c r="J381">
        <v>-63.4</v>
      </c>
      <c r="K381">
        <v>78.900000000000006</v>
      </c>
      <c r="L381" s="2"/>
    </row>
    <row r="382" spans="1:12" x14ac:dyDescent="0.25">
      <c r="A382" s="2" t="s">
        <v>30</v>
      </c>
      <c r="B382" s="2" t="s">
        <v>78</v>
      </c>
      <c r="C382" s="2" t="s">
        <v>79</v>
      </c>
      <c r="D382" s="2" t="s">
        <v>47</v>
      </c>
      <c r="E382">
        <v>2.7856999999999998</v>
      </c>
      <c r="F382">
        <v>-11926.1</v>
      </c>
      <c r="G382">
        <v>40.6</v>
      </c>
      <c r="H382">
        <v>8.9</v>
      </c>
      <c r="I382">
        <v>144.6</v>
      </c>
      <c r="J382">
        <v>-67.599999999999994</v>
      </c>
      <c r="K382">
        <v>67.7</v>
      </c>
      <c r="L382" s="2"/>
    </row>
    <row r="383" spans="1:12" x14ac:dyDescent="0.25">
      <c r="A383" s="2" t="s">
        <v>30</v>
      </c>
      <c r="B383" s="2" t="s">
        <v>78</v>
      </c>
      <c r="C383" s="2" t="s">
        <v>79</v>
      </c>
      <c r="D383" s="2" t="s">
        <v>47</v>
      </c>
      <c r="E383">
        <v>3.7143000000000002</v>
      </c>
      <c r="F383">
        <v>-11894</v>
      </c>
      <c r="G383">
        <v>40.6</v>
      </c>
      <c r="H383">
        <v>8.9</v>
      </c>
      <c r="I383">
        <v>144.6</v>
      </c>
      <c r="J383">
        <v>-11.6</v>
      </c>
      <c r="K383">
        <v>103.5</v>
      </c>
      <c r="L383" s="2"/>
    </row>
    <row r="384" spans="1:12" x14ac:dyDescent="0.25">
      <c r="A384" s="2" t="s">
        <v>30</v>
      </c>
      <c r="B384" s="2" t="s">
        <v>78</v>
      </c>
      <c r="C384" s="2" t="s">
        <v>79</v>
      </c>
      <c r="D384" s="2" t="s">
        <v>47</v>
      </c>
      <c r="E384">
        <v>4.6429</v>
      </c>
      <c r="F384">
        <v>-11861.8</v>
      </c>
      <c r="G384">
        <v>40.6</v>
      </c>
      <c r="H384">
        <v>8.9</v>
      </c>
      <c r="I384">
        <v>144.6</v>
      </c>
      <c r="J384">
        <v>125.4</v>
      </c>
      <c r="K384">
        <v>139.1</v>
      </c>
      <c r="L384" s="2"/>
    </row>
    <row r="385" spans="1:12" x14ac:dyDescent="0.25">
      <c r="A385" s="2" t="s">
        <v>30</v>
      </c>
      <c r="B385" s="2" t="s">
        <v>78</v>
      </c>
      <c r="C385" s="2" t="s">
        <v>79</v>
      </c>
      <c r="D385" s="2" t="s">
        <v>47</v>
      </c>
      <c r="E385">
        <v>5.5713999999999997</v>
      </c>
      <c r="F385">
        <v>-11829.7</v>
      </c>
      <c r="G385">
        <v>40.6</v>
      </c>
      <c r="H385">
        <v>8.9</v>
      </c>
      <c r="I385">
        <v>144.6</v>
      </c>
      <c r="J385">
        <v>275.89999999999998</v>
      </c>
      <c r="K385">
        <v>174.6</v>
      </c>
      <c r="L385" s="2"/>
    </row>
    <row r="386" spans="1:12" x14ac:dyDescent="0.25">
      <c r="A386" s="2" t="s">
        <v>30</v>
      </c>
      <c r="B386" s="2" t="s">
        <v>78</v>
      </c>
      <c r="C386" s="2" t="s">
        <v>79</v>
      </c>
      <c r="D386" s="2" t="s">
        <v>47</v>
      </c>
      <c r="E386">
        <v>6.5</v>
      </c>
      <c r="F386">
        <v>-11797.5</v>
      </c>
      <c r="G386">
        <v>40.6</v>
      </c>
      <c r="H386">
        <v>8.9</v>
      </c>
      <c r="I386">
        <v>144.6</v>
      </c>
      <c r="J386">
        <v>426.6</v>
      </c>
      <c r="K386">
        <v>210.1</v>
      </c>
      <c r="L386" s="2"/>
    </row>
    <row r="387" spans="1:12" x14ac:dyDescent="0.25">
      <c r="A387" s="2" t="s">
        <v>30</v>
      </c>
      <c r="B387" s="2" t="s">
        <v>78</v>
      </c>
      <c r="C387" s="2" t="s">
        <v>79</v>
      </c>
      <c r="D387" s="2" t="s">
        <v>47</v>
      </c>
      <c r="E387">
        <v>7.4286000000000003</v>
      </c>
      <c r="F387">
        <v>-11765.3</v>
      </c>
      <c r="G387">
        <v>40.6</v>
      </c>
      <c r="H387">
        <v>8.9</v>
      </c>
      <c r="I387">
        <v>144.6</v>
      </c>
      <c r="J387">
        <v>577.4</v>
      </c>
      <c r="K387">
        <v>245.5</v>
      </c>
      <c r="L387" s="2"/>
    </row>
    <row r="388" spans="1:12" x14ac:dyDescent="0.25">
      <c r="A388" s="2" t="s">
        <v>30</v>
      </c>
      <c r="B388" s="2" t="s">
        <v>78</v>
      </c>
      <c r="C388" s="2" t="s">
        <v>79</v>
      </c>
      <c r="D388" s="2" t="s">
        <v>47</v>
      </c>
      <c r="E388">
        <v>8.3571000000000009</v>
      </c>
      <c r="F388">
        <v>-11733.2</v>
      </c>
      <c r="G388">
        <v>40.6</v>
      </c>
      <c r="H388">
        <v>8.9</v>
      </c>
      <c r="I388">
        <v>144.6</v>
      </c>
      <c r="J388">
        <v>728.2</v>
      </c>
      <c r="K388">
        <v>280.8</v>
      </c>
      <c r="L388" s="2"/>
    </row>
    <row r="389" spans="1:12" x14ac:dyDescent="0.25">
      <c r="A389" s="2" t="s">
        <v>30</v>
      </c>
      <c r="B389" s="2" t="s">
        <v>78</v>
      </c>
      <c r="C389" s="2" t="s">
        <v>79</v>
      </c>
      <c r="D389" s="2" t="s">
        <v>47</v>
      </c>
      <c r="E389">
        <v>9.2857000000000003</v>
      </c>
      <c r="F389">
        <v>-11701</v>
      </c>
      <c r="G389">
        <v>40.6</v>
      </c>
      <c r="H389">
        <v>8.9</v>
      </c>
      <c r="I389">
        <v>144.6</v>
      </c>
      <c r="J389">
        <v>879.1</v>
      </c>
      <c r="K389">
        <v>316.2</v>
      </c>
      <c r="L389" s="2"/>
    </row>
    <row r="390" spans="1:12" x14ac:dyDescent="0.25">
      <c r="A390" s="2" t="s">
        <v>30</v>
      </c>
      <c r="B390" s="2" t="s">
        <v>78</v>
      </c>
      <c r="C390" s="2" t="s">
        <v>79</v>
      </c>
      <c r="D390" s="2" t="s">
        <v>47</v>
      </c>
      <c r="E390">
        <v>10.2143</v>
      </c>
      <c r="F390">
        <v>-11668.8</v>
      </c>
      <c r="G390">
        <v>40.6</v>
      </c>
      <c r="H390">
        <v>8.9</v>
      </c>
      <c r="I390">
        <v>144.6</v>
      </c>
      <c r="J390">
        <v>1029.9000000000001</v>
      </c>
      <c r="K390">
        <v>351.6</v>
      </c>
      <c r="L390" s="2"/>
    </row>
    <row r="391" spans="1:12" x14ac:dyDescent="0.25">
      <c r="A391" s="2" t="s">
        <v>30</v>
      </c>
      <c r="B391" s="2" t="s">
        <v>78</v>
      </c>
      <c r="C391" s="2" t="s">
        <v>79</v>
      </c>
      <c r="D391" s="2" t="s">
        <v>47</v>
      </c>
      <c r="E391">
        <v>11.142899999999999</v>
      </c>
      <c r="F391">
        <v>-11636.7</v>
      </c>
      <c r="G391">
        <v>40.6</v>
      </c>
      <c r="H391">
        <v>8.9</v>
      </c>
      <c r="I391">
        <v>144.6</v>
      </c>
      <c r="J391">
        <v>1180.5999999999999</v>
      </c>
      <c r="K391">
        <v>387.1</v>
      </c>
      <c r="L391" s="2"/>
    </row>
    <row r="392" spans="1:12" x14ac:dyDescent="0.25">
      <c r="A392" s="2" t="s">
        <v>30</v>
      </c>
      <c r="B392" s="2" t="s">
        <v>78</v>
      </c>
      <c r="C392" s="2" t="s">
        <v>79</v>
      </c>
      <c r="D392" s="2" t="s">
        <v>47</v>
      </c>
      <c r="E392">
        <v>12.071400000000001</v>
      </c>
      <c r="F392">
        <v>-11604.5</v>
      </c>
      <c r="G392">
        <v>40.6</v>
      </c>
      <c r="H392">
        <v>8.9</v>
      </c>
      <c r="I392">
        <v>144.6</v>
      </c>
      <c r="J392">
        <v>1331.2</v>
      </c>
      <c r="K392">
        <v>422.6</v>
      </c>
      <c r="L392" s="2"/>
    </row>
    <row r="393" spans="1:12" x14ac:dyDescent="0.25">
      <c r="A393" s="2" t="s">
        <v>30</v>
      </c>
      <c r="B393" s="2" t="s">
        <v>78</v>
      </c>
      <c r="C393" s="2" t="s">
        <v>79</v>
      </c>
      <c r="D393" s="2" t="s">
        <v>47</v>
      </c>
      <c r="E393">
        <v>13</v>
      </c>
      <c r="F393">
        <v>-11572.4</v>
      </c>
      <c r="G393">
        <v>40.6</v>
      </c>
      <c r="H393">
        <v>8.9</v>
      </c>
      <c r="I393">
        <v>144.6</v>
      </c>
      <c r="J393">
        <v>1481.7</v>
      </c>
      <c r="K393">
        <v>458.4</v>
      </c>
      <c r="L393" s="2"/>
    </row>
    <row r="394" spans="1:12" x14ac:dyDescent="0.25">
      <c r="A394" s="2" t="s">
        <v>30</v>
      </c>
      <c r="B394" s="2" t="s">
        <v>78</v>
      </c>
      <c r="C394" s="2" t="s">
        <v>79</v>
      </c>
      <c r="D394" s="2" t="s">
        <v>47</v>
      </c>
      <c r="E394">
        <v>0</v>
      </c>
      <c r="F394">
        <v>-14984.2</v>
      </c>
      <c r="G394">
        <v>-39.4</v>
      </c>
      <c r="H394">
        <v>-160.4</v>
      </c>
      <c r="I394">
        <v>-120.6</v>
      </c>
      <c r="J394">
        <v>-624.4</v>
      </c>
      <c r="K394">
        <v>-41</v>
      </c>
      <c r="L394" s="2"/>
    </row>
    <row r="395" spans="1:12" x14ac:dyDescent="0.25">
      <c r="A395" s="2" t="s">
        <v>30</v>
      </c>
      <c r="B395" s="2" t="s">
        <v>78</v>
      </c>
      <c r="C395" s="2" t="s">
        <v>79</v>
      </c>
      <c r="D395" s="2" t="s">
        <v>47</v>
      </c>
      <c r="E395">
        <v>0.92859999999999998</v>
      </c>
      <c r="F395">
        <v>-14952</v>
      </c>
      <c r="G395">
        <v>-39.4</v>
      </c>
      <c r="H395">
        <v>-160.4</v>
      </c>
      <c r="I395">
        <v>-120.6</v>
      </c>
      <c r="J395">
        <v>-475</v>
      </c>
      <c r="K395">
        <v>-4.5999999999999996</v>
      </c>
      <c r="L395" s="2"/>
    </row>
    <row r="396" spans="1:12" x14ac:dyDescent="0.25">
      <c r="A396" s="2" t="s">
        <v>30</v>
      </c>
      <c r="B396" s="2" t="s">
        <v>78</v>
      </c>
      <c r="C396" s="2" t="s">
        <v>79</v>
      </c>
      <c r="D396" s="2" t="s">
        <v>47</v>
      </c>
      <c r="E396">
        <v>1.8571</v>
      </c>
      <c r="F396">
        <v>-14919.8</v>
      </c>
      <c r="G396">
        <v>-39.4</v>
      </c>
      <c r="H396">
        <v>-160.4</v>
      </c>
      <c r="I396">
        <v>-120.6</v>
      </c>
      <c r="J396">
        <v>-325.2</v>
      </c>
      <c r="K396">
        <v>30.5</v>
      </c>
      <c r="L396" s="2"/>
    </row>
    <row r="397" spans="1:12" x14ac:dyDescent="0.25">
      <c r="A397" s="2" t="s">
        <v>30</v>
      </c>
      <c r="B397" s="2" t="s">
        <v>78</v>
      </c>
      <c r="C397" s="2" t="s">
        <v>79</v>
      </c>
      <c r="D397" s="2" t="s">
        <v>47</v>
      </c>
      <c r="E397">
        <v>2.7856999999999998</v>
      </c>
      <c r="F397">
        <v>-14887.7</v>
      </c>
      <c r="G397">
        <v>-39.4</v>
      </c>
      <c r="H397">
        <v>-160.4</v>
      </c>
      <c r="I397">
        <v>-120.6</v>
      </c>
      <c r="J397">
        <v>-217.7</v>
      </c>
      <c r="K397">
        <v>33.6</v>
      </c>
      <c r="L397" s="2"/>
    </row>
    <row r="398" spans="1:12" x14ac:dyDescent="0.25">
      <c r="A398" s="2" t="s">
        <v>30</v>
      </c>
      <c r="B398" s="2" t="s">
        <v>78</v>
      </c>
      <c r="C398" s="2" t="s">
        <v>79</v>
      </c>
      <c r="D398" s="2" t="s">
        <v>47</v>
      </c>
      <c r="E398">
        <v>3.7143000000000002</v>
      </c>
      <c r="F398">
        <v>-14855.5</v>
      </c>
      <c r="G398">
        <v>-39.4</v>
      </c>
      <c r="H398">
        <v>-160.4</v>
      </c>
      <c r="I398">
        <v>-120.6</v>
      </c>
      <c r="J398">
        <v>-167.8</v>
      </c>
      <c r="K398">
        <v>0.1</v>
      </c>
      <c r="L398" s="2"/>
    </row>
    <row r="399" spans="1:12" x14ac:dyDescent="0.25">
      <c r="A399" s="2" t="s">
        <v>30</v>
      </c>
      <c r="B399" s="2" t="s">
        <v>78</v>
      </c>
      <c r="C399" s="2" t="s">
        <v>79</v>
      </c>
      <c r="D399" s="2" t="s">
        <v>47</v>
      </c>
      <c r="E399">
        <v>4.6429</v>
      </c>
      <c r="F399">
        <v>-14823.4</v>
      </c>
      <c r="G399">
        <v>-39.4</v>
      </c>
      <c r="H399">
        <v>-160.4</v>
      </c>
      <c r="I399">
        <v>-120.6</v>
      </c>
      <c r="J399">
        <v>-151.69999999999999</v>
      </c>
      <c r="K399">
        <v>-36.299999999999997</v>
      </c>
      <c r="L399" s="2"/>
    </row>
    <row r="400" spans="1:12" x14ac:dyDescent="0.25">
      <c r="A400" s="2" t="s">
        <v>30</v>
      </c>
      <c r="B400" s="2" t="s">
        <v>78</v>
      </c>
      <c r="C400" s="2" t="s">
        <v>79</v>
      </c>
      <c r="D400" s="2" t="s">
        <v>47</v>
      </c>
      <c r="E400">
        <v>5.5713999999999997</v>
      </c>
      <c r="F400">
        <v>-14791.2</v>
      </c>
      <c r="G400">
        <v>-39.4</v>
      </c>
      <c r="H400">
        <v>-160.4</v>
      </c>
      <c r="I400">
        <v>-120.6</v>
      </c>
      <c r="J400">
        <v>-138.69999999999999</v>
      </c>
      <c r="K400">
        <v>-75</v>
      </c>
      <c r="L400" s="2"/>
    </row>
    <row r="401" spans="1:12" x14ac:dyDescent="0.25">
      <c r="A401" s="2" t="s">
        <v>30</v>
      </c>
      <c r="B401" s="2" t="s">
        <v>78</v>
      </c>
      <c r="C401" s="2" t="s">
        <v>79</v>
      </c>
      <c r="D401" s="2" t="s">
        <v>47</v>
      </c>
      <c r="E401">
        <v>6.5</v>
      </c>
      <c r="F401">
        <v>-14759</v>
      </c>
      <c r="G401">
        <v>-39.4</v>
      </c>
      <c r="H401">
        <v>-160.4</v>
      </c>
      <c r="I401">
        <v>-120.6</v>
      </c>
      <c r="J401">
        <v>-137.19999999999999</v>
      </c>
      <c r="K401">
        <v>-113.8</v>
      </c>
      <c r="L401" s="2"/>
    </row>
    <row r="402" spans="1:12" x14ac:dyDescent="0.25">
      <c r="A402" s="2" t="s">
        <v>30</v>
      </c>
      <c r="B402" s="2" t="s">
        <v>78</v>
      </c>
      <c r="C402" s="2" t="s">
        <v>79</v>
      </c>
      <c r="D402" s="2" t="s">
        <v>47</v>
      </c>
      <c r="E402">
        <v>7.4286000000000003</v>
      </c>
      <c r="F402">
        <v>-14726.9</v>
      </c>
      <c r="G402">
        <v>-39.4</v>
      </c>
      <c r="H402">
        <v>-160.4</v>
      </c>
      <c r="I402">
        <v>-120.6</v>
      </c>
      <c r="J402">
        <v>-135.5</v>
      </c>
      <c r="K402">
        <v>-152.6</v>
      </c>
      <c r="L402" s="2"/>
    </row>
    <row r="403" spans="1:12" x14ac:dyDescent="0.25">
      <c r="A403" s="2" t="s">
        <v>30</v>
      </c>
      <c r="B403" s="2" t="s">
        <v>78</v>
      </c>
      <c r="C403" s="2" t="s">
        <v>79</v>
      </c>
      <c r="D403" s="2" t="s">
        <v>47</v>
      </c>
      <c r="E403">
        <v>8.3571000000000009</v>
      </c>
      <c r="F403">
        <v>-14694.7</v>
      </c>
      <c r="G403">
        <v>-39.4</v>
      </c>
      <c r="H403">
        <v>-160.4</v>
      </c>
      <c r="I403">
        <v>-120.6</v>
      </c>
      <c r="J403">
        <v>-133.9</v>
      </c>
      <c r="K403">
        <v>-191.5</v>
      </c>
      <c r="L403" s="2"/>
    </row>
    <row r="404" spans="1:12" x14ac:dyDescent="0.25">
      <c r="A404" s="2" t="s">
        <v>30</v>
      </c>
      <c r="B404" s="2" t="s">
        <v>78</v>
      </c>
      <c r="C404" s="2" t="s">
        <v>79</v>
      </c>
      <c r="D404" s="2" t="s">
        <v>47</v>
      </c>
      <c r="E404">
        <v>9.2857000000000003</v>
      </c>
      <c r="F404">
        <v>-14662.6</v>
      </c>
      <c r="G404">
        <v>-39.4</v>
      </c>
      <c r="H404">
        <v>-160.4</v>
      </c>
      <c r="I404">
        <v>-120.6</v>
      </c>
      <c r="J404">
        <v>-132.19999999999999</v>
      </c>
      <c r="K404">
        <v>-230.4</v>
      </c>
      <c r="L404" s="2"/>
    </row>
    <row r="405" spans="1:12" x14ac:dyDescent="0.25">
      <c r="A405" s="2" t="s">
        <v>30</v>
      </c>
      <c r="B405" s="2" t="s">
        <v>78</v>
      </c>
      <c r="C405" s="2" t="s">
        <v>79</v>
      </c>
      <c r="D405" s="2" t="s">
        <v>47</v>
      </c>
      <c r="E405">
        <v>10.2143</v>
      </c>
      <c r="F405">
        <v>-14630.4</v>
      </c>
      <c r="G405">
        <v>-39.4</v>
      </c>
      <c r="H405">
        <v>-160.4</v>
      </c>
      <c r="I405">
        <v>-120.6</v>
      </c>
      <c r="J405">
        <v>-130.5</v>
      </c>
      <c r="K405">
        <v>-269.2</v>
      </c>
      <c r="L405" s="2"/>
    </row>
    <row r="406" spans="1:12" x14ac:dyDescent="0.25">
      <c r="A406" s="2" t="s">
        <v>30</v>
      </c>
      <c r="B406" s="2" t="s">
        <v>78</v>
      </c>
      <c r="C406" s="2" t="s">
        <v>79</v>
      </c>
      <c r="D406" s="2" t="s">
        <v>47</v>
      </c>
      <c r="E406">
        <v>11.142899999999999</v>
      </c>
      <c r="F406">
        <v>-14598.2</v>
      </c>
      <c r="G406">
        <v>-39.4</v>
      </c>
      <c r="H406">
        <v>-160.4</v>
      </c>
      <c r="I406">
        <v>-120.6</v>
      </c>
      <c r="J406">
        <v>-129.6</v>
      </c>
      <c r="K406">
        <v>-307.89999999999998</v>
      </c>
      <c r="L406" s="2"/>
    </row>
    <row r="407" spans="1:12" x14ac:dyDescent="0.25">
      <c r="A407" s="2" t="s">
        <v>30</v>
      </c>
      <c r="B407" s="2" t="s">
        <v>78</v>
      </c>
      <c r="C407" s="2" t="s">
        <v>79</v>
      </c>
      <c r="D407" s="2" t="s">
        <v>47</v>
      </c>
      <c r="E407">
        <v>12.071400000000001</v>
      </c>
      <c r="F407">
        <v>-14566.1</v>
      </c>
      <c r="G407">
        <v>-39.4</v>
      </c>
      <c r="H407">
        <v>-160.4</v>
      </c>
      <c r="I407">
        <v>-120.6</v>
      </c>
      <c r="J407">
        <v>-136.19999999999999</v>
      </c>
      <c r="K407">
        <v>-346.6</v>
      </c>
      <c r="L407" s="2"/>
    </row>
    <row r="408" spans="1:12" x14ac:dyDescent="0.25">
      <c r="A408" s="2" t="s">
        <v>30</v>
      </c>
      <c r="B408" s="2" t="s">
        <v>78</v>
      </c>
      <c r="C408" s="2" t="s">
        <v>79</v>
      </c>
      <c r="D408" s="2" t="s">
        <v>47</v>
      </c>
      <c r="E408">
        <v>13</v>
      </c>
      <c r="F408">
        <v>-14533.9</v>
      </c>
      <c r="G408">
        <v>-39.4</v>
      </c>
      <c r="H408">
        <v>-160.4</v>
      </c>
      <c r="I408">
        <v>-120.6</v>
      </c>
      <c r="J408">
        <v>-142.9</v>
      </c>
      <c r="K408">
        <v>-385.1</v>
      </c>
      <c r="L408" s="2"/>
    </row>
    <row r="409" spans="1:12" x14ac:dyDescent="0.25">
      <c r="A409" s="2" t="s">
        <v>30</v>
      </c>
      <c r="B409" s="2" t="s">
        <v>78</v>
      </c>
      <c r="C409" s="2" t="s">
        <v>79</v>
      </c>
      <c r="D409" s="2" t="s">
        <v>48</v>
      </c>
      <c r="E409">
        <v>0</v>
      </c>
      <c r="F409">
        <v>-19184.8</v>
      </c>
      <c r="G409">
        <v>41.1</v>
      </c>
      <c r="H409">
        <v>-4.7</v>
      </c>
      <c r="I409">
        <v>58.8</v>
      </c>
      <c r="J409">
        <v>-127.4</v>
      </c>
      <c r="K409">
        <v>234.4</v>
      </c>
      <c r="L409" s="2"/>
    </row>
    <row r="410" spans="1:12" x14ac:dyDescent="0.25">
      <c r="A410" s="2" t="s">
        <v>30</v>
      </c>
      <c r="B410" s="2" t="s">
        <v>78</v>
      </c>
      <c r="C410" s="2" t="s">
        <v>79</v>
      </c>
      <c r="D410" s="2" t="s">
        <v>48</v>
      </c>
      <c r="E410">
        <v>0.92859999999999998</v>
      </c>
      <c r="F410">
        <v>-19141.900000000001</v>
      </c>
      <c r="G410">
        <v>40.700000000000003</v>
      </c>
      <c r="H410">
        <v>-4.7</v>
      </c>
      <c r="I410">
        <v>58.8</v>
      </c>
      <c r="J410">
        <v>-126.9</v>
      </c>
      <c r="K410">
        <v>184.7</v>
      </c>
      <c r="L410" s="2"/>
    </row>
    <row r="411" spans="1:12" x14ac:dyDescent="0.25">
      <c r="A411" s="2" t="s">
        <v>30</v>
      </c>
      <c r="B411" s="2" t="s">
        <v>78</v>
      </c>
      <c r="C411" s="2" t="s">
        <v>79</v>
      </c>
      <c r="D411" s="2" t="s">
        <v>48</v>
      </c>
      <c r="E411">
        <v>1.8571</v>
      </c>
      <c r="F411">
        <v>-19099</v>
      </c>
      <c r="G411">
        <v>40.299999999999997</v>
      </c>
      <c r="H411">
        <v>-4.7</v>
      </c>
      <c r="I411">
        <v>58.8</v>
      </c>
      <c r="J411">
        <v>-126</v>
      </c>
      <c r="K411">
        <v>134.69999999999999</v>
      </c>
      <c r="L411" s="2"/>
    </row>
    <row r="412" spans="1:12" x14ac:dyDescent="0.25">
      <c r="A412" s="2" t="s">
        <v>30</v>
      </c>
      <c r="B412" s="2" t="s">
        <v>78</v>
      </c>
      <c r="C412" s="2" t="s">
        <v>79</v>
      </c>
      <c r="D412" s="2" t="s">
        <v>48</v>
      </c>
      <c r="E412">
        <v>2.7856999999999998</v>
      </c>
      <c r="F412">
        <v>-19056.099999999999</v>
      </c>
      <c r="G412">
        <v>40</v>
      </c>
      <c r="H412">
        <v>-4.7</v>
      </c>
      <c r="I412">
        <v>58.8</v>
      </c>
      <c r="J412">
        <v>-124.7</v>
      </c>
      <c r="K412">
        <v>84.5</v>
      </c>
      <c r="L412" s="2"/>
    </row>
    <row r="413" spans="1:12" x14ac:dyDescent="0.25">
      <c r="A413" s="2" t="s">
        <v>30</v>
      </c>
      <c r="B413" s="2" t="s">
        <v>78</v>
      </c>
      <c r="C413" s="2" t="s">
        <v>79</v>
      </c>
      <c r="D413" s="2" t="s">
        <v>48</v>
      </c>
      <c r="E413">
        <v>3.7143000000000002</v>
      </c>
      <c r="F413">
        <v>-19013.3</v>
      </c>
      <c r="G413">
        <v>39.6</v>
      </c>
      <c r="H413">
        <v>-4.7</v>
      </c>
      <c r="I413">
        <v>58.8</v>
      </c>
      <c r="J413">
        <v>-122.8</v>
      </c>
      <c r="K413">
        <v>34.4</v>
      </c>
      <c r="L413" s="2"/>
    </row>
    <row r="414" spans="1:12" x14ac:dyDescent="0.25">
      <c r="A414" s="2" t="s">
        <v>30</v>
      </c>
      <c r="B414" s="2" t="s">
        <v>78</v>
      </c>
      <c r="C414" s="2" t="s">
        <v>79</v>
      </c>
      <c r="D414" s="2" t="s">
        <v>48</v>
      </c>
      <c r="E414">
        <v>4.6429</v>
      </c>
      <c r="F414">
        <v>-18970.400000000001</v>
      </c>
      <c r="G414">
        <v>39.299999999999997</v>
      </c>
      <c r="H414">
        <v>-4.7</v>
      </c>
      <c r="I414">
        <v>58.8</v>
      </c>
      <c r="J414">
        <v>-120.6</v>
      </c>
      <c r="K414">
        <v>-15.5</v>
      </c>
      <c r="L414" s="2"/>
    </row>
    <row r="415" spans="1:12" x14ac:dyDescent="0.25">
      <c r="A415" s="2" t="s">
        <v>30</v>
      </c>
      <c r="B415" s="2" t="s">
        <v>78</v>
      </c>
      <c r="C415" s="2" t="s">
        <v>79</v>
      </c>
      <c r="D415" s="2" t="s">
        <v>48</v>
      </c>
      <c r="E415">
        <v>5.5713999999999997</v>
      </c>
      <c r="F415">
        <v>-18927.5</v>
      </c>
      <c r="G415">
        <v>38.9</v>
      </c>
      <c r="H415">
        <v>-4.7</v>
      </c>
      <c r="I415">
        <v>58.8</v>
      </c>
      <c r="J415">
        <v>-117.9</v>
      </c>
      <c r="K415">
        <v>-65.099999999999994</v>
      </c>
      <c r="L415" s="2"/>
    </row>
    <row r="416" spans="1:12" x14ac:dyDescent="0.25">
      <c r="A416" s="2" t="s">
        <v>30</v>
      </c>
      <c r="B416" s="2" t="s">
        <v>78</v>
      </c>
      <c r="C416" s="2" t="s">
        <v>79</v>
      </c>
      <c r="D416" s="2" t="s">
        <v>48</v>
      </c>
      <c r="E416">
        <v>6.5</v>
      </c>
      <c r="F416">
        <v>-18884.599999999999</v>
      </c>
      <c r="G416">
        <v>38.6</v>
      </c>
      <c r="H416">
        <v>-4.7</v>
      </c>
      <c r="I416">
        <v>58.8</v>
      </c>
      <c r="J416">
        <v>-114.8</v>
      </c>
      <c r="K416">
        <v>-114</v>
      </c>
      <c r="L416" s="2"/>
    </row>
    <row r="417" spans="1:12" x14ac:dyDescent="0.25">
      <c r="A417" s="2" t="s">
        <v>30</v>
      </c>
      <c r="B417" s="2" t="s">
        <v>78</v>
      </c>
      <c r="C417" s="2" t="s">
        <v>79</v>
      </c>
      <c r="D417" s="2" t="s">
        <v>48</v>
      </c>
      <c r="E417">
        <v>7.4286000000000003</v>
      </c>
      <c r="F417">
        <v>-18841.7</v>
      </c>
      <c r="G417">
        <v>38.200000000000003</v>
      </c>
      <c r="H417">
        <v>-4.7</v>
      </c>
      <c r="I417">
        <v>58.8</v>
      </c>
      <c r="J417">
        <v>-111.3</v>
      </c>
      <c r="K417">
        <v>-162.30000000000001</v>
      </c>
      <c r="L417" s="2"/>
    </row>
    <row r="418" spans="1:12" x14ac:dyDescent="0.25">
      <c r="A418" s="2" t="s">
        <v>30</v>
      </c>
      <c r="B418" s="2" t="s">
        <v>78</v>
      </c>
      <c r="C418" s="2" t="s">
        <v>79</v>
      </c>
      <c r="D418" s="2" t="s">
        <v>48</v>
      </c>
      <c r="E418">
        <v>8.3571000000000009</v>
      </c>
      <c r="F418">
        <v>-18798.8</v>
      </c>
      <c r="G418">
        <v>37.799999999999997</v>
      </c>
      <c r="H418">
        <v>-4.7</v>
      </c>
      <c r="I418">
        <v>58.8</v>
      </c>
      <c r="J418">
        <v>-107.5</v>
      </c>
      <c r="K418">
        <v>-209.7</v>
      </c>
      <c r="L418" s="2"/>
    </row>
    <row r="419" spans="1:12" x14ac:dyDescent="0.25">
      <c r="A419" s="2" t="s">
        <v>30</v>
      </c>
      <c r="B419" s="2" t="s">
        <v>78</v>
      </c>
      <c r="C419" s="2" t="s">
        <v>79</v>
      </c>
      <c r="D419" s="2" t="s">
        <v>48</v>
      </c>
      <c r="E419">
        <v>9.2857000000000003</v>
      </c>
      <c r="F419">
        <v>-18756</v>
      </c>
      <c r="G419">
        <v>37.5</v>
      </c>
      <c r="H419">
        <v>-4.7</v>
      </c>
      <c r="I419">
        <v>58.8</v>
      </c>
      <c r="J419">
        <v>-103.2</v>
      </c>
      <c r="K419">
        <v>-256</v>
      </c>
      <c r="L419" s="2"/>
    </row>
    <row r="420" spans="1:12" x14ac:dyDescent="0.25">
      <c r="A420" s="2" t="s">
        <v>30</v>
      </c>
      <c r="B420" s="2" t="s">
        <v>78</v>
      </c>
      <c r="C420" s="2" t="s">
        <v>79</v>
      </c>
      <c r="D420" s="2" t="s">
        <v>48</v>
      </c>
      <c r="E420">
        <v>10.2143</v>
      </c>
      <c r="F420">
        <v>-18713.099999999999</v>
      </c>
      <c r="G420">
        <v>37.1</v>
      </c>
      <c r="H420">
        <v>-4.7</v>
      </c>
      <c r="I420">
        <v>58.8</v>
      </c>
      <c r="J420">
        <v>-98.6</v>
      </c>
      <c r="K420">
        <v>-301.10000000000002</v>
      </c>
      <c r="L420" s="2"/>
    </row>
    <row r="421" spans="1:12" x14ac:dyDescent="0.25">
      <c r="A421" s="2" t="s">
        <v>30</v>
      </c>
      <c r="B421" s="2" t="s">
        <v>78</v>
      </c>
      <c r="C421" s="2" t="s">
        <v>79</v>
      </c>
      <c r="D421" s="2" t="s">
        <v>48</v>
      </c>
      <c r="E421">
        <v>11.142899999999999</v>
      </c>
      <c r="F421">
        <v>-18670.2</v>
      </c>
      <c r="G421">
        <v>36.799999999999997</v>
      </c>
      <c r="H421">
        <v>-4.7</v>
      </c>
      <c r="I421">
        <v>58.8</v>
      </c>
      <c r="J421">
        <v>-93.7</v>
      </c>
      <c r="K421">
        <v>-344.8</v>
      </c>
      <c r="L421" s="2"/>
    </row>
    <row r="422" spans="1:12" x14ac:dyDescent="0.25">
      <c r="A422" s="2" t="s">
        <v>30</v>
      </c>
      <c r="B422" s="2" t="s">
        <v>78</v>
      </c>
      <c r="C422" s="2" t="s">
        <v>79</v>
      </c>
      <c r="D422" s="2" t="s">
        <v>48</v>
      </c>
      <c r="E422">
        <v>12.071400000000001</v>
      </c>
      <c r="F422">
        <v>-18627.3</v>
      </c>
      <c r="G422">
        <v>36.4</v>
      </c>
      <c r="H422">
        <v>-4.7</v>
      </c>
      <c r="I422">
        <v>58.8</v>
      </c>
      <c r="J422">
        <v>-88.4</v>
      </c>
      <c r="K422">
        <v>-387</v>
      </c>
      <c r="L422" s="2"/>
    </row>
    <row r="423" spans="1:12" x14ac:dyDescent="0.25">
      <c r="A423" s="2" t="s">
        <v>30</v>
      </c>
      <c r="B423" s="2" t="s">
        <v>78</v>
      </c>
      <c r="C423" s="2" t="s">
        <v>79</v>
      </c>
      <c r="D423" s="2" t="s">
        <v>48</v>
      </c>
      <c r="E423">
        <v>13</v>
      </c>
      <c r="F423">
        <v>-18584.400000000001</v>
      </c>
      <c r="G423">
        <v>36.1</v>
      </c>
      <c r="H423">
        <v>-4.7</v>
      </c>
      <c r="I423">
        <v>58.8</v>
      </c>
      <c r="J423">
        <v>-82.7</v>
      </c>
      <c r="K423">
        <v>-427.4</v>
      </c>
      <c r="L423" s="2"/>
    </row>
    <row r="424" spans="1:12" x14ac:dyDescent="0.25">
      <c r="A424" s="2" t="s">
        <v>30</v>
      </c>
      <c r="B424" s="2" t="s">
        <v>78</v>
      </c>
      <c r="C424" s="2" t="s">
        <v>79</v>
      </c>
      <c r="D424" s="2" t="s">
        <v>49</v>
      </c>
      <c r="E424">
        <v>0</v>
      </c>
      <c r="F424">
        <v>-16698.400000000001</v>
      </c>
      <c r="G424">
        <v>22.5</v>
      </c>
      <c r="H424">
        <v>12.1</v>
      </c>
      <c r="I424">
        <v>44.3</v>
      </c>
      <c r="J424">
        <v>-24.9</v>
      </c>
      <c r="K424">
        <v>165.7</v>
      </c>
      <c r="L424" s="2"/>
    </row>
    <row r="425" spans="1:12" x14ac:dyDescent="0.25">
      <c r="A425" s="2" t="s">
        <v>30</v>
      </c>
      <c r="B425" s="2" t="s">
        <v>78</v>
      </c>
      <c r="C425" s="2" t="s">
        <v>79</v>
      </c>
      <c r="D425" s="2" t="s">
        <v>49</v>
      </c>
      <c r="E425">
        <v>0.92859999999999998</v>
      </c>
      <c r="F425">
        <v>-16655.5</v>
      </c>
      <c r="G425">
        <v>22.5</v>
      </c>
      <c r="H425">
        <v>11.8</v>
      </c>
      <c r="I425">
        <v>44.3</v>
      </c>
      <c r="J425">
        <v>-43.9</v>
      </c>
      <c r="K425">
        <v>144.19999999999999</v>
      </c>
      <c r="L425" s="2"/>
    </row>
    <row r="426" spans="1:12" x14ac:dyDescent="0.25">
      <c r="A426" s="2" t="s">
        <v>30</v>
      </c>
      <c r="B426" s="2" t="s">
        <v>78</v>
      </c>
      <c r="C426" s="2" t="s">
        <v>79</v>
      </c>
      <c r="D426" s="2" t="s">
        <v>49</v>
      </c>
      <c r="E426">
        <v>1.8571</v>
      </c>
      <c r="F426">
        <v>-16612.599999999999</v>
      </c>
      <c r="G426">
        <v>22.5</v>
      </c>
      <c r="H426">
        <v>11.4</v>
      </c>
      <c r="I426">
        <v>44.3</v>
      </c>
      <c r="J426">
        <v>-62.4</v>
      </c>
      <c r="K426">
        <v>122.2</v>
      </c>
      <c r="L426" s="2"/>
    </row>
    <row r="427" spans="1:12" x14ac:dyDescent="0.25">
      <c r="A427" s="2" t="s">
        <v>30</v>
      </c>
      <c r="B427" s="2" t="s">
        <v>78</v>
      </c>
      <c r="C427" s="2" t="s">
        <v>79</v>
      </c>
      <c r="D427" s="2" t="s">
        <v>49</v>
      </c>
      <c r="E427">
        <v>2.7856999999999998</v>
      </c>
      <c r="F427">
        <v>-16569.7</v>
      </c>
      <c r="G427">
        <v>22.5</v>
      </c>
      <c r="H427">
        <v>11</v>
      </c>
      <c r="I427">
        <v>44.3</v>
      </c>
      <c r="J427">
        <v>-80.3</v>
      </c>
      <c r="K427">
        <v>99.8</v>
      </c>
      <c r="L427" s="2"/>
    </row>
    <row r="428" spans="1:12" x14ac:dyDescent="0.25">
      <c r="A428" s="2" t="s">
        <v>30</v>
      </c>
      <c r="B428" s="2" t="s">
        <v>78</v>
      </c>
      <c r="C428" s="2" t="s">
        <v>79</v>
      </c>
      <c r="D428" s="2" t="s">
        <v>49</v>
      </c>
      <c r="E428">
        <v>3.7143000000000002</v>
      </c>
      <c r="F428">
        <v>-16526.8</v>
      </c>
      <c r="G428">
        <v>22.5</v>
      </c>
      <c r="H428">
        <v>10.7</v>
      </c>
      <c r="I428">
        <v>44.3</v>
      </c>
      <c r="J428">
        <v>-97.5</v>
      </c>
      <c r="K428">
        <v>77</v>
      </c>
      <c r="L428" s="2"/>
    </row>
    <row r="429" spans="1:12" x14ac:dyDescent="0.25">
      <c r="A429" s="2" t="s">
        <v>30</v>
      </c>
      <c r="B429" s="2" t="s">
        <v>78</v>
      </c>
      <c r="C429" s="2" t="s">
        <v>79</v>
      </c>
      <c r="D429" s="2" t="s">
        <v>49</v>
      </c>
      <c r="E429">
        <v>4.6429</v>
      </c>
      <c r="F429">
        <v>-16484</v>
      </c>
      <c r="G429">
        <v>22.5</v>
      </c>
      <c r="H429">
        <v>10.3</v>
      </c>
      <c r="I429">
        <v>44.3</v>
      </c>
      <c r="J429">
        <v>-114.2</v>
      </c>
      <c r="K429">
        <v>53.9</v>
      </c>
      <c r="L429" s="2"/>
    </row>
    <row r="430" spans="1:12" x14ac:dyDescent="0.25">
      <c r="A430" s="2" t="s">
        <v>30</v>
      </c>
      <c r="B430" s="2" t="s">
        <v>78</v>
      </c>
      <c r="C430" s="2" t="s">
        <v>79</v>
      </c>
      <c r="D430" s="2" t="s">
        <v>49</v>
      </c>
      <c r="E430">
        <v>5.5713999999999997</v>
      </c>
      <c r="F430">
        <v>-16441.099999999999</v>
      </c>
      <c r="G430">
        <v>22.5</v>
      </c>
      <c r="H430">
        <v>10</v>
      </c>
      <c r="I430">
        <v>44.3</v>
      </c>
      <c r="J430">
        <v>-130.1</v>
      </c>
      <c r="K430">
        <v>30.7</v>
      </c>
      <c r="L430" s="2"/>
    </row>
    <row r="431" spans="1:12" x14ac:dyDescent="0.25">
      <c r="A431" s="2" t="s">
        <v>30</v>
      </c>
      <c r="B431" s="2" t="s">
        <v>78</v>
      </c>
      <c r="C431" s="2" t="s">
        <v>79</v>
      </c>
      <c r="D431" s="2" t="s">
        <v>49</v>
      </c>
      <c r="E431">
        <v>6.5</v>
      </c>
      <c r="F431">
        <v>-16398.2</v>
      </c>
      <c r="G431">
        <v>22.5</v>
      </c>
      <c r="H431">
        <v>9.6</v>
      </c>
      <c r="I431">
        <v>44.3</v>
      </c>
      <c r="J431">
        <v>-145.19999999999999</v>
      </c>
      <c r="K431">
        <v>7.3</v>
      </c>
      <c r="L431" s="2"/>
    </row>
    <row r="432" spans="1:12" x14ac:dyDescent="0.25">
      <c r="A432" s="2" t="s">
        <v>30</v>
      </c>
      <c r="B432" s="2" t="s">
        <v>78</v>
      </c>
      <c r="C432" s="2" t="s">
        <v>79</v>
      </c>
      <c r="D432" s="2" t="s">
        <v>49</v>
      </c>
      <c r="E432">
        <v>7.4286000000000003</v>
      </c>
      <c r="F432">
        <v>-16355.3</v>
      </c>
      <c r="G432">
        <v>22.5</v>
      </c>
      <c r="H432">
        <v>9.3000000000000007</v>
      </c>
      <c r="I432">
        <v>44.3</v>
      </c>
      <c r="J432">
        <v>-159.5</v>
      </c>
      <c r="K432">
        <v>-16.100000000000001</v>
      </c>
      <c r="L432" s="2"/>
    </row>
    <row r="433" spans="1:12" x14ac:dyDescent="0.25">
      <c r="A433" s="2" t="s">
        <v>30</v>
      </c>
      <c r="B433" s="2" t="s">
        <v>78</v>
      </c>
      <c r="C433" s="2" t="s">
        <v>79</v>
      </c>
      <c r="D433" s="2" t="s">
        <v>49</v>
      </c>
      <c r="E433">
        <v>8.3571000000000009</v>
      </c>
      <c r="F433">
        <v>-16312.4</v>
      </c>
      <c r="G433">
        <v>22.5</v>
      </c>
      <c r="H433">
        <v>8.9</v>
      </c>
      <c r="I433">
        <v>44.3</v>
      </c>
      <c r="J433">
        <v>-172.9</v>
      </c>
      <c r="K433">
        <v>-39.4</v>
      </c>
      <c r="L433" s="2"/>
    </row>
    <row r="434" spans="1:12" x14ac:dyDescent="0.25">
      <c r="A434" s="2" t="s">
        <v>30</v>
      </c>
      <c r="B434" s="2" t="s">
        <v>78</v>
      </c>
      <c r="C434" s="2" t="s">
        <v>79</v>
      </c>
      <c r="D434" s="2" t="s">
        <v>49</v>
      </c>
      <c r="E434">
        <v>9.2857000000000003</v>
      </c>
      <c r="F434">
        <v>-16269.5</v>
      </c>
      <c r="G434">
        <v>22.5</v>
      </c>
      <c r="H434">
        <v>8.5</v>
      </c>
      <c r="I434">
        <v>44.3</v>
      </c>
      <c r="J434">
        <v>-185.4</v>
      </c>
      <c r="K434">
        <v>-62.6</v>
      </c>
      <c r="L434" s="2"/>
    </row>
    <row r="435" spans="1:12" x14ac:dyDescent="0.25">
      <c r="A435" s="2" t="s">
        <v>30</v>
      </c>
      <c r="B435" s="2" t="s">
        <v>78</v>
      </c>
      <c r="C435" s="2" t="s">
        <v>79</v>
      </c>
      <c r="D435" s="2" t="s">
        <v>49</v>
      </c>
      <c r="E435">
        <v>10.2143</v>
      </c>
      <c r="F435">
        <v>-16226.7</v>
      </c>
      <c r="G435">
        <v>22.5</v>
      </c>
      <c r="H435">
        <v>8.1999999999999993</v>
      </c>
      <c r="I435">
        <v>44.3</v>
      </c>
      <c r="J435">
        <v>-196.9</v>
      </c>
      <c r="K435">
        <v>-85.6</v>
      </c>
      <c r="L435" s="2"/>
    </row>
    <row r="436" spans="1:12" x14ac:dyDescent="0.25">
      <c r="A436" s="2" t="s">
        <v>30</v>
      </c>
      <c r="B436" s="2" t="s">
        <v>78</v>
      </c>
      <c r="C436" s="2" t="s">
        <v>79</v>
      </c>
      <c r="D436" s="2" t="s">
        <v>49</v>
      </c>
      <c r="E436">
        <v>11.142899999999999</v>
      </c>
      <c r="F436">
        <v>-16183.8</v>
      </c>
      <c r="G436">
        <v>22.5</v>
      </c>
      <c r="H436">
        <v>7.8</v>
      </c>
      <c r="I436">
        <v>44.3</v>
      </c>
      <c r="J436">
        <v>-207.3</v>
      </c>
      <c r="K436">
        <v>-108.2</v>
      </c>
      <c r="L436" s="2"/>
    </row>
    <row r="437" spans="1:12" x14ac:dyDescent="0.25">
      <c r="A437" s="2" t="s">
        <v>30</v>
      </c>
      <c r="B437" s="2" t="s">
        <v>78</v>
      </c>
      <c r="C437" s="2" t="s">
        <v>79</v>
      </c>
      <c r="D437" s="2" t="s">
        <v>49</v>
      </c>
      <c r="E437">
        <v>12.071400000000001</v>
      </c>
      <c r="F437">
        <v>-16140.9</v>
      </c>
      <c r="G437">
        <v>22.5</v>
      </c>
      <c r="H437">
        <v>7.5</v>
      </c>
      <c r="I437">
        <v>44.3</v>
      </c>
      <c r="J437">
        <v>-216.7</v>
      </c>
      <c r="K437">
        <v>-130.5</v>
      </c>
      <c r="L437" s="2"/>
    </row>
    <row r="438" spans="1:12" x14ac:dyDescent="0.25">
      <c r="A438" s="2" t="s">
        <v>30</v>
      </c>
      <c r="B438" s="2" t="s">
        <v>78</v>
      </c>
      <c r="C438" s="2" t="s">
        <v>79</v>
      </c>
      <c r="D438" s="2" t="s">
        <v>49</v>
      </c>
      <c r="E438">
        <v>13</v>
      </c>
      <c r="F438">
        <v>-16098</v>
      </c>
      <c r="G438">
        <v>22.5</v>
      </c>
      <c r="H438">
        <v>7.1</v>
      </c>
      <c r="I438">
        <v>44.3</v>
      </c>
      <c r="J438">
        <v>-225</v>
      </c>
      <c r="K438">
        <v>-152.30000000000001</v>
      </c>
      <c r="L438" s="2"/>
    </row>
    <row r="439" spans="1:12" x14ac:dyDescent="0.25">
      <c r="A439" s="2" t="s">
        <v>30</v>
      </c>
      <c r="B439" s="2" t="s">
        <v>78</v>
      </c>
      <c r="C439" s="2" t="s">
        <v>79</v>
      </c>
      <c r="D439" s="2" t="s">
        <v>50</v>
      </c>
      <c r="E439">
        <v>0</v>
      </c>
      <c r="F439">
        <v>-13417.9</v>
      </c>
      <c r="G439">
        <v>32.5</v>
      </c>
      <c r="H439">
        <v>3.3</v>
      </c>
      <c r="I439">
        <v>46.1</v>
      </c>
      <c r="J439">
        <v>-48.9</v>
      </c>
      <c r="K439">
        <v>166.3</v>
      </c>
      <c r="L439" s="2"/>
    </row>
    <row r="440" spans="1:12" x14ac:dyDescent="0.25">
      <c r="A440" s="2" t="s">
        <v>30</v>
      </c>
      <c r="B440" s="2" t="s">
        <v>78</v>
      </c>
      <c r="C440" s="2" t="s">
        <v>79</v>
      </c>
      <c r="D440" s="2" t="s">
        <v>50</v>
      </c>
      <c r="E440">
        <v>0.92859999999999998</v>
      </c>
      <c r="F440">
        <v>-13385.7</v>
      </c>
      <c r="G440">
        <v>32.1</v>
      </c>
      <c r="H440">
        <v>3.3</v>
      </c>
      <c r="I440">
        <v>46.1</v>
      </c>
      <c r="J440">
        <v>-55.8</v>
      </c>
      <c r="K440">
        <v>124.1</v>
      </c>
      <c r="L440" s="2"/>
    </row>
    <row r="441" spans="1:12" x14ac:dyDescent="0.25">
      <c r="A441" s="2" t="s">
        <v>30</v>
      </c>
      <c r="B441" s="2" t="s">
        <v>78</v>
      </c>
      <c r="C441" s="2" t="s">
        <v>79</v>
      </c>
      <c r="D441" s="2" t="s">
        <v>50</v>
      </c>
      <c r="E441">
        <v>1.8571</v>
      </c>
      <c r="F441">
        <v>-13353.5</v>
      </c>
      <c r="G441">
        <v>31.7</v>
      </c>
      <c r="H441">
        <v>3.3</v>
      </c>
      <c r="I441">
        <v>46.1</v>
      </c>
      <c r="J441">
        <v>-62.5</v>
      </c>
      <c r="K441">
        <v>81.8</v>
      </c>
      <c r="L441" s="2"/>
    </row>
    <row r="442" spans="1:12" x14ac:dyDescent="0.25">
      <c r="A442" s="2" t="s">
        <v>30</v>
      </c>
      <c r="B442" s="2" t="s">
        <v>78</v>
      </c>
      <c r="C442" s="2" t="s">
        <v>79</v>
      </c>
      <c r="D442" s="2" t="s">
        <v>50</v>
      </c>
      <c r="E442">
        <v>2.7856999999999998</v>
      </c>
      <c r="F442">
        <v>-13321.4</v>
      </c>
      <c r="G442">
        <v>31.4</v>
      </c>
      <c r="H442">
        <v>3.3</v>
      </c>
      <c r="I442">
        <v>46.1</v>
      </c>
      <c r="J442">
        <v>-69</v>
      </c>
      <c r="K442">
        <v>39.5</v>
      </c>
      <c r="L442" s="2"/>
    </row>
    <row r="443" spans="1:12" x14ac:dyDescent="0.25">
      <c r="A443" s="2" t="s">
        <v>30</v>
      </c>
      <c r="B443" s="2" t="s">
        <v>78</v>
      </c>
      <c r="C443" s="2" t="s">
        <v>79</v>
      </c>
      <c r="D443" s="2" t="s">
        <v>50</v>
      </c>
      <c r="E443">
        <v>3.7143000000000002</v>
      </c>
      <c r="F443">
        <v>-13289.2</v>
      </c>
      <c r="G443">
        <v>31</v>
      </c>
      <c r="H443">
        <v>3.3</v>
      </c>
      <c r="I443">
        <v>46.1</v>
      </c>
      <c r="J443">
        <v>-75.2</v>
      </c>
      <c r="K443">
        <v>-2.5</v>
      </c>
      <c r="L443" s="2"/>
    </row>
    <row r="444" spans="1:12" x14ac:dyDescent="0.25">
      <c r="A444" s="2" t="s">
        <v>30</v>
      </c>
      <c r="B444" s="2" t="s">
        <v>78</v>
      </c>
      <c r="C444" s="2" t="s">
        <v>79</v>
      </c>
      <c r="D444" s="2" t="s">
        <v>50</v>
      </c>
      <c r="E444">
        <v>4.6429</v>
      </c>
      <c r="F444">
        <v>-13257</v>
      </c>
      <c r="G444">
        <v>30.7</v>
      </c>
      <c r="H444">
        <v>3.3</v>
      </c>
      <c r="I444">
        <v>46.1</v>
      </c>
      <c r="J444">
        <v>-81.099999999999994</v>
      </c>
      <c r="K444">
        <v>-44.2</v>
      </c>
      <c r="L444" s="2"/>
    </row>
    <row r="445" spans="1:12" x14ac:dyDescent="0.25">
      <c r="A445" s="2" t="s">
        <v>30</v>
      </c>
      <c r="B445" s="2" t="s">
        <v>78</v>
      </c>
      <c r="C445" s="2" t="s">
        <v>79</v>
      </c>
      <c r="D445" s="2" t="s">
        <v>50</v>
      </c>
      <c r="E445">
        <v>5.5713999999999997</v>
      </c>
      <c r="F445">
        <v>-13224.9</v>
      </c>
      <c r="G445">
        <v>30.3</v>
      </c>
      <c r="H445">
        <v>3.3</v>
      </c>
      <c r="I445">
        <v>46.1</v>
      </c>
      <c r="J445">
        <v>-86.8</v>
      </c>
      <c r="K445">
        <v>-85.4</v>
      </c>
      <c r="L445" s="2"/>
    </row>
    <row r="446" spans="1:12" x14ac:dyDescent="0.25">
      <c r="A446" s="2" t="s">
        <v>30</v>
      </c>
      <c r="B446" s="2" t="s">
        <v>78</v>
      </c>
      <c r="C446" s="2" t="s">
        <v>79</v>
      </c>
      <c r="D446" s="2" t="s">
        <v>50</v>
      </c>
      <c r="E446">
        <v>6.5</v>
      </c>
      <c r="F446">
        <v>-13192.7</v>
      </c>
      <c r="G446">
        <v>30</v>
      </c>
      <c r="H446">
        <v>3.3</v>
      </c>
      <c r="I446">
        <v>46.1</v>
      </c>
      <c r="J446">
        <v>-92.1</v>
      </c>
      <c r="K446">
        <v>-126.1</v>
      </c>
      <c r="L446" s="2"/>
    </row>
    <row r="447" spans="1:12" x14ac:dyDescent="0.25">
      <c r="A447" s="2" t="s">
        <v>30</v>
      </c>
      <c r="B447" s="2" t="s">
        <v>78</v>
      </c>
      <c r="C447" s="2" t="s">
        <v>79</v>
      </c>
      <c r="D447" s="2" t="s">
        <v>50</v>
      </c>
      <c r="E447">
        <v>7.4286000000000003</v>
      </c>
      <c r="F447">
        <v>-13160.6</v>
      </c>
      <c r="G447">
        <v>29.6</v>
      </c>
      <c r="H447">
        <v>3.3</v>
      </c>
      <c r="I447">
        <v>46.1</v>
      </c>
      <c r="J447">
        <v>-97.2</v>
      </c>
      <c r="K447">
        <v>-165.9</v>
      </c>
      <c r="L447" s="2"/>
    </row>
    <row r="448" spans="1:12" x14ac:dyDescent="0.25">
      <c r="A448" s="2" t="s">
        <v>30</v>
      </c>
      <c r="B448" s="2" t="s">
        <v>78</v>
      </c>
      <c r="C448" s="2" t="s">
        <v>79</v>
      </c>
      <c r="D448" s="2" t="s">
        <v>50</v>
      </c>
      <c r="E448">
        <v>8.3571000000000009</v>
      </c>
      <c r="F448">
        <v>-13128.4</v>
      </c>
      <c r="G448">
        <v>29.2</v>
      </c>
      <c r="H448">
        <v>3.3</v>
      </c>
      <c r="I448">
        <v>46.1</v>
      </c>
      <c r="J448">
        <v>-101.8</v>
      </c>
      <c r="K448">
        <v>-204.9</v>
      </c>
      <c r="L448" s="2"/>
    </row>
    <row r="449" spans="1:12" x14ac:dyDescent="0.25">
      <c r="A449" s="2" t="s">
        <v>30</v>
      </c>
      <c r="B449" s="2" t="s">
        <v>78</v>
      </c>
      <c r="C449" s="2" t="s">
        <v>79</v>
      </c>
      <c r="D449" s="2" t="s">
        <v>50</v>
      </c>
      <c r="E449">
        <v>9.2857000000000003</v>
      </c>
      <c r="F449">
        <v>-13096.2</v>
      </c>
      <c r="G449">
        <v>28.9</v>
      </c>
      <c r="H449">
        <v>3.3</v>
      </c>
      <c r="I449">
        <v>46.1</v>
      </c>
      <c r="J449">
        <v>-106.2</v>
      </c>
      <c r="K449">
        <v>-242.8</v>
      </c>
      <c r="L449" s="2"/>
    </row>
    <row r="450" spans="1:12" x14ac:dyDescent="0.25">
      <c r="A450" s="2" t="s">
        <v>30</v>
      </c>
      <c r="B450" s="2" t="s">
        <v>78</v>
      </c>
      <c r="C450" s="2" t="s">
        <v>79</v>
      </c>
      <c r="D450" s="2" t="s">
        <v>50</v>
      </c>
      <c r="E450">
        <v>10.2143</v>
      </c>
      <c r="F450">
        <v>-13064.1</v>
      </c>
      <c r="G450">
        <v>28.5</v>
      </c>
      <c r="H450">
        <v>3.3</v>
      </c>
      <c r="I450">
        <v>46.1</v>
      </c>
      <c r="J450">
        <v>-110.2</v>
      </c>
      <c r="K450">
        <v>-279.5</v>
      </c>
      <c r="L450" s="2"/>
    </row>
    <row r="451" spans="1:12" x14ac:dyDescent="0.25">
      <c r="A451" s="2" t="s">
        <v>30</v>
      </c>
      <c r="B451" s="2" t="s">
        <v>78</v>
      </c>
      <c r="C451" s="2" t="s">
        <v>79</v>
      </c>
      <c r="D451" s="2" t="s">
        <v>50</v>
      </c>
      <c r="E451">
        <v>11.142899999999999</v>
      </c>
      <c r="F451">
        <v>-13031.9</v>
      </c>
      <c r="G451">
        <v>28.2</v>
      </c>
      <c r="H451">
        <v>3.3</v>
      </c>
      <c r="I451">
        <v>46.1</v>
      </c>
      <c r="J451">
        <v>-113.7</v>
      </c>
      <c r="K451">
        <v>-314.89999999999998</v>
      </c>
      <c r="L451" s="2"/>
    </row>
    <row r="452" spans="1:12" x14ac:dyDescent="0.25">
      <c r="A452" s="2" t="s">
        <v>30</v>
      </c>
      <c r="B452" s="2" t="s">
        <v>78</v>
      </c>
      <c r="C452" s="2" t="s">
        <v>79</v>
      </c>
      <c r="D452" s="2" t="s">
        <v>50</v>
      </c>
      <c r="E452">
        <v>12.071400000000001</v>
      </c>
      <c r="F452">
        <v>-12999.7</v>
      </c>
      <c r="G452">
        <v>27.8</v>
      </c>
      <c r="H452">
        <v>3.3</v>
      </c>
      <c r="I452">
        <v>46.1</v>
      </c>
      <c r="J452">
        <v>-116.9</v>
      </c>
      <c r="K452">
        <v>-348.9</v>
      </c>
      <c r="L452" s="2"/>
    </row>
    <row r="453" spans="1:12" x14ac:dyDescent="0.25">
      <c r="A453" s="2" t="s">
        <v>30</v>
      </c>
      <c r="B453" s="2" t="s">
        <v>78</v>
      </c>
      <c r="C453" s="2" t="s">
        <v>79</v>
      </c>
      <c r="D453" s="2" t="s">
        <v>50</v>
      </c>
      <c r="E453">
        <v>13</v>
      </c>
      <c r="F453">
        <v>-12967.6</v>
      </c>
      <c r="G453">
        <v>27.5</v>
      </c>
      <c r="H453">
        <v>3.3</v>
      </c>
      <c r="I453">
        <v>46.1</v>
      </c>
      <c r="J453">
        <v>-119.6</v>
      </c>
      <c r="K453">
        <v>-381.2</v>
      </c>
      <c r="L453" s="2"/>
    </row>
    <row r="454" spans="1:12" x14ac:dyDescent="0.25">
      <c r="A454" s="2" t="s">
        <v>30</v>
      </c>
      <c r="B454" s="2" t="s">
        <v>78</v>
      </c>
      <c r="C454" s="2" t="s">
        <v>79</v>
      </c>
      <c r="D454" s="2" t="s">
        <v>51</v>
      </c>
      <c r="E454">
        <v>0</v>
      </c>
      <c r="F454">
        <v>-10931.4</v>
      </c>
      <c r="G454">
        <v>13.9</v>
      </c>
      <c r="H454">
        <v>20.2</v>
      </c>
      <c r="I454">
        <v>31.6</v>
      </c>
      <c r="J454">
        <v>53.6</v>
      </c>
      <c r="K454">
        <v>97.6</v>
      </c>
      <c r="L454" s="2"/>
    </row>
    <row r="455" spans="1:12" x14ac:dyDescent="0.25">
      <c r="A455" s="2" t="s">
        <v>30</v>
      </c>
      <c r="B455" s="2" t="s">
        <v>78</v>
      </c>
      <c r="C455" s="2" t="s">
        <v>79</v>
      </c>
      <c r="D455" s="2" t="s">
        <v>51</v>
      </c>
      <c r="E455">
        <v>0.92859999999999998</v>
      </c>
      <c r="F455">
        <v>-10899.3</v>
      </c>
      <c r="G455">
        <v>13.9</v>
      </c>
      <c r="H455">
        <v>19.8</v>
      </c>
      <c r="I455">
        <v>31.6</v>
      </c>
      <c r="J455">
        <v>27.2</v>
      </c>
      <c r="K455">
        <v>83.6</v>
      </c>
      <c r="L455" s="2"/>
    </row>
    <row r="456" spans="1:12" x14ac:dyDescent="0.25">
      <c r="A456" s="2" t="s">
        <v>30</v>
      </c>
      <c r="B456" s="2" t="s">
        <v>78</v>
      </c>
      <c r="C456" s="2" t="s">
        <v>79</v>
      </c>
      <c r="D456" s="2" t="s">
        <v>51</v>
      </c>
      <c r="E456">
        <v>1.8571</v>
      </c>
      <c r="F456">
        <v>-10867.1</v>
      </c>
      <c r="G456">
        <v>13.9</v>
      </c>
      <c r="H456">
        <v>19.5</v>
      </c>
      <c r="I456">
        <v>31.6</v>
      </c>
      <c r="J456">
        <v>1.2</v>
      </c>
      <c r="K456">
        <v>69.3</v>
      </c>
      <c r="L456" s="2"/>
    </row>
    <row r="457" spans="1:12" x14ac:dyDescent="0.25">
      <c r="A457" s="2" t="s">
        <v>30</v>
      </c>
      <c r="B457" s="2" t="s">
        <v>78</v>
      </c>
      <c r="C457" s="2" t="s">
        <v>79</v>
      </c>
      <c r="D457" s="2" t="s">
        <v>51</v>
      </c>
      <c r="E457">
        <v>2.7856999999999998</v>
      </c>
      <c r="F457">
        <v>-10835</v>
      </c>
      <c r="G457">
        <v>13.9</v>
      </c>
      <c r="H457">
        <v>19.100000000000001</v>
      </c>
      <c r="I457">
        <v>31.6</v>
      </c>
      <c r="J457">
        <v>-24.6</v>
      </c>
      <c r="K457">
        <v>54.8</v>
      </c>
      <c r="L457" s="2"/>
    </row>
    <row r="458" spans="1:12" x14ac:dyDescent="0.25">
      <c r="A458" s="2" t="s">
        <v>30</v>
      </c>
      <c r="B458" s="2" t="s">
        <v>78</v>
      </c>
      <c r="C458" s="2" t="s">
        <v>79</v>
      </c>
      <c r="D458" s="2" t="s">
        <v>51</v>
      </c>
      <c r="E458">
        <v>3.7143000000000002</v>
      </c>
      <c r="F458">
        <v>-10802.8</v>
      </c>
      <c r="G458">
        <v>13.9</v>
      </c>
      <c r="H458">
        <v>18.8</v>
      </c>
      <c r="I458">
        <v>31.6</v>
      </c>
      <c r="J458">
        <v>-49.9</v>
      </c>
      <c r="K458">
        <v>40.1</v>
      </c>
      <c r="L458" s="2"/>
    </row>
    <row r="459" spans="1:12" x14ac:dyDescent="0.25">
      <c r="A459" s="2" t="s">
        <v>30</v>
      </c>
      <c r="B459" s="2" t="s">
        <v>78</v>
      </c>
      <c r="C459" s="2" t="s">
        <v>79</v>
      </c>
      <c r="D459" s="2" t="s">
        <v>51</v>
      </c>
      <c r="E459">
        <v>4.6429</v>
      </c>
      <c r="F459">
        <v>-10770.6</v>
      </c>
      <c r="G459">
        <v>13.9</v>
      </c>
      <c r="H459">
        <v>18.399999999999999</v>
      </c>
      <c r="I459">
        <v>31.6</v>
      </c>
      <c r="J459">
        <v>-74.7</v>
      </c>
      <c r="K459">
        <v>25.2</v>
      </c>
      <c r="L459" s="2"/>
    </row>
    <row r="460" spans="1:12" x14ac:dyDescent="0.25">
      <c r="A460" s="2" t="s">
        <v>30</v>
      </c>
      <c r="B460" s="2" t="s">
        <v>78</v>
      </c>
      <c r="C460" s="2" t="s">
        <v>79</v>
      </c>
      <c r="D460" s="2" t="s">
        <v>51</v>
      </c>
      <c r="E460">
        <v>5.5713999999999997</v>
      </c>
      <c r="F460">
        <v>-10738.5</v>
      </c>
      <c r="G460">
        <v>13.9</v>
      </c>
      <c r="H460">
        <v>18.100000000000001</v>
      </c>
      <c r="I460">
        <v>31.6</v>
      </c>
      <c r="J460">
        <v>-98.9</v>
      </c>
      <c r="K460">
        <v>10.3</v>
      </c>
      <c r="L460" s="2"/>
    </row>
    <row r="461" spans="1:12" x14ac:dyDescent="0.25">
      <c r="A461" s="2" t="s">
        <v>30</v>
      </c>
      <c r="B461" s="2" t="s">
        <v>78</v>
      </c>
      <c r="C461" s="2" t="s">
        <v>79</v>
      </c>
      <c r="D461" s="2" t="s">
        <v>51</v>
      </c>
      <c r="E461">
        <v>6.5</v>
      </c>
      <c r="F461">
        <v>-10706.3</v>
      </c>
      <c r="G461">
        <v>13.9</v>
      </c>
      <c r="H461">
        <v>17.7</v>
      </c>
      <c r="I461">
        <v>31.6</v>
      </c>
      <c r="J461">
        <v>-122.5</v>
      </c>
      <c r="K461">
        <v>-4.7</v>
      </c>
      <c r="L461" s="2"/>
    </row>
    <row r="462" spans="1:12" x14ac:dyDescent="0.25">
      <c r="A462" s="2" t="s">
        <v>30</v>
      </c>
      <c r="B462" s="2" t="s">
        <v>78</v>
      </c>
      <c r="C462" s="2" t="s">
        <v>79</v>
      </c>
      <c r="D462" s="2" t="s">
        <v>51</v>
      </c>
      <c r="E462">
        <v>7.4286000000000003</v>
      </c>
      <c r="F462">
        <v>-10674.1</v>
      </c>
      <c r="G462">
        <v>13.9</v>
      </c>
      <c r="H462">
        <v>17.3</v>
      </c>
      <c r="I462">
        <v>31.6</v>
      </c>
      <c r="J462">
        <v>-145.30000000000001</v>
      </c>
      <c r="K462">
        <v>-19.7</v>
      </c>
      <c r="L462" s="2"/>
    </row>
    <row r="463" spans="1:12" x14ac:dyDescent="0.25">
      <c r="A463" s="2" t="s">
        <v>30</v>
      </c>
      <c r="B463" s="2" t="s">
        <v>78</v>
      </c>
      <c r="C463" s="2" t="s">
        <v>79</v>
      </c>
      <c r="D463" s="2" t="s">
        <v>51</v>
      </c>
      <c r="E463">
        <v>8.3571000000000009</v>
      </c>
      <c r="F463">
        <v>-10642</v>
      </c>
      <c r="G463">
        <v>13.9</v>
      </c>
      <c r="H463">
        <v>17</v>
      </c>
      <c r="I463">
        <v>31.6</v>
      </c>
      <c r="J463">
        <v>-167.2</v>
      </c>
      <c r="K463">
        <v>-34.6</v>
      </c>
      <c r="L463" s="2"/>
    </row>
    <row r="464" spans="1:12" x14ac:dyDescent="0.25">
      <c r="A464" s="2" t="s">
        <v>30</v>
      </c>
      <c r="B464" s="2" t="s">
        <v>78</v>
      </c>
      <c r="C464" s="2" t="s">
        <v>79</v>
      </c>
      <c r="D464" s="2" t="s">
        <v>51</v>
      </c>
      <c r="E464">
        <v>9.2857000000000003</v>
      </c>
      <c r="F464">
        <v>-10609.8</v>
      </c>
      <c r="G464">
        <v>13.9</v>
      </c>
      <c r="H464">
        <v>16.600000000000001</v>
      </c>
      <c r="I464">
        <v>31.6</v>
      </c>
      <c r="J464">
        <v>-188.3</v>
      </c>
      <c r="K464">
        <v>-49.3</v>
      </c>
      <c r="L464" s="2"/>
    </row>
    <row r="465" spans="1:12" x14ac:dyDescent="0.25">
      <c r="A465" s="2" t="s">
        <v>30</v>
      </c>
      <c r="B465" s="2" t="s">
        <v>78</v>
      </c>
      <c r="C465" s="2" t="s">
        <v>79</v>
      </c>
      <c r="D465" s="2" t="s">
        <v>51</v>
      </c>
      <c r="E465">
        <v>10.2143</v>
      </c>
      <c r="F465">
        <v>-10577.7</v>
      </c>
      <c r="G465">
        <v>13.9</v>
      </c>
      <c r="H465">
        <v>16.3</v>
      </c>
      <c r="I465">
        <v>31.6</v>
      </c>
      <c r="J465">
        <v>-208.4</v>
      </c>
      <c r="K465">
        <v>-63.9</v>
      </c>
      <c r="L465" s="2"/>
    </row>
    <row r="466" spans="1:12" x14ac:dyDescent="0.25">
      <c r="A466" s="2" t="s">
        <v>30</v>
      </c>
      <c r="B466" s="2" t="s">
        <v>78</v>
      </c>
      <c r="C466" s="2" t="s">
        <v>79</v>
      </c>
      <c r="D466" s="2" t="s">
        <v>51</v>
      </c>
      <c r="E466">
        <v>11.142899999999999</v>
      </c>
      <c r="F466">
        <v>-10545.5</v>
      </c>
      <c r="G466">
        <v>13.9</v>
      </c>
      <c r="H466">
        <v>15.9</v>
      </c>
      <c r="I466">
        <v>31.6</v>
      </c>
      <c r="J466">
        <v>-227.4</v>
      </c>
      <c r="K466">
        <v>-78.3</v>
      </c>
      <c r="L466" s="2"/>
    </row>
    <row r="467" spans="1:12" x14ac:dyDescent="0.25">
      <c r="A467" s="2" t="s">
        <v>30</v>
      </c>
      <c r="B467" s="2" t="s">
        <v>78</v>
      </c>
      <c r="C467" s="2" t="s">
        <v>79</v>
      </c>
      <c r="D467" s="2" t="s">
        <v>51</v>
      </c>
      <c r="E467">
        <v>12.071400000000001</v>
      </c>
      <c r="F467">
        <v>-10513.3</v>
      </c>
      <c r="G467">
        <v>13.9</v>
      </c>
      <c r="H467">
        <v>15.5</v>
      </c>
      <c r="I467">
        <v>31.6</v>
      </c>
      <c r="J467">
        <v>-245.3</v>
      </c>
      <c r="K467">
        <v>-92.4</v>
      </c>
      <c r="L467" s="2"/>
    </row>
    <row r="468" spans="1:12" x14ac:dyDescent="0.25">
      <c r="A468" s="2" t="s">
        <v>30</v>
      </c>
      <c r="B468" s="2" t="s">
        <v>78</v>
      </c>
      <c r="C468" s="2" t="s">
        <v>79</v>
      </c>
      <c r="D468" s="2" t="s">
        <v>51</v>
      </c>
      <c r="E468">
        <v>13</v>
      </c>
      <c r="F468">
        <v>-10481.200000000001</v>
      </c>
      <c r="G468">
        <v>13.9</v>
      </c>
      <c r="H468">
        <v>15.2</v>
      </c>
      <c r="I468">
        <v>31.6</v>
      </c>
      <c r="J468">
        <v>-261.89999999999998</v>
      </c>
      <c r="K468">
        <v>-106.2</v>
      </c>
      <c r="L468" s="2"/>
    </row>
    <row r="469" spans="1:12" x14ac:dyDescent="0.25">
      <c r="A469" s="2" t="s">
        <v>30</v>
      </c>
      <c r="B469" s="2" t="s">
        <v>78</v>
      </c>
      <c r="C469" s="2" t="s">
        <v>79</v>
      </c>
      <c r="D469" s="2" t="s">
        <v>80</v>
      </c>
      <c r="E469">
        <v>0</v>
      </c>
      <c r="F469">
        <v>-6407.3</v>
      </c>
      <c r="G469">
        <v>46.8</v>
      </c>
      <c r="H469">
        <v>21.7</v>
      </c>
      <c r="I469">
        <v>24.8</v>
      </c>
      <c r="J469">
        <v>48.3</v>
      </c>
      <c r="K469">
        <v>235</v>
      </c>
      <c r="L469" s="2"/>
    </row>
    <row r="470" spans="1:12" x14ac:dyDescent="0.25">
      <c r="A470" s="2" t="s">
        <v>30</v>
      </c>
      <c r="B470" s="2" t="s">
        <v>78</v>
      </c>
      <c r="C470" s="2" t="s">
        <v>79</v>
      </c>
      <c r="D470" s="2" t="s">
        <v>80</v>
      </c>
      <c r="E470">
        <v>0.92859999999999998</v>
      </c>
      <c r="F470">
        <v>-6407.3</v>
      </c>
      <c r="G470">
        <v>46.8</v>
      </c>
      <c r="H470">
        <v>21.7</v>
      </c>
      <c r="I470">
        <v>24.8</v>
      </c>
      <c r="J470">
        <v>28.6</v>
      </c>
      <c r="K470">
        <v>190.5</v>
      </c>
      <c r="L470" s="2"/>
    </row>
    <row r="471" spans="1:12" x14ac:dyDescent="0.25">
      <c r="A471" s="2" t="s">
        <v>30</v>
      </c>
      <c r="B471" s="2" t="s">
        <v>78</v>
      </c>
      <c r="C471" s="2" t="s">
        <v>79</v>
      </c>
      <c r="D471" s="2" t="s">
        <v>80</v>
      </c>
      <c r="E471">
        <v>1.8571</v>
      </c>
      <c r="F471">
        <v>-6407.3</v>
      </c>
      <c r="G471">
        <v>46.8</v>
      </c>
      <c r="H471">
        <v>21.7</v>
      </c>
      <c r="I471">
        <v>24.8</v>
      </c>
      <c r="J471">
        <v>9</v>
      </c>
      <c r="K471">
        <v>145.6</v>
      </c>
      <c r="L471" s="2"/>
    </row>
    <row r="472" spans="1:12" x14ac:dyDescent="0.25">
      <c r="A472" s="2" t="s">
        <v>30</v>
      </c>
      <c r="B472" s="2" t="s">
        <v>78</v>
      </c>
      <c r="C472" s="2" t="s">
        <v>79</v>
      </c>
      <c r="D472" s="2" t="s">
        <v>80</v>
      </c>
      <c r="E472">
        <v>2.7856999999999998</v>
      </c>
      <c r="F472">
        <v>-6407.3</v>
      </c>
      <c r="G472">
        <v>46.8</v>
      </c>
      <c r="H472">
        <v>21.7</v>
      </c>
      <c r="I472">
        <v>24.8</v>
      </c>
      <c r="J472">
        <v>-10.5</v>
      </c>
      <c r="K472">
        <v>100.7</v>
      </c>
      <c r="L472" s="2"/>
    </row>
    <row r="473" spans="1:12" x14ac:dyDescent="0.25">
      <c r="A473" s="2" t="s">
        <v>30</v>
      </c>
      <c r="B473" s="2" t="s">
        <v>78</v>
      </c>
      <c r="C473" s="2" t="s">
        <v>79</v>
      </c>
      <c r="D473" s="2" t="s">
        <v>80</v>
      </c>
      <c r="E473">
        <v>3.7143000000000002</v>
      </c>
      <c r="F473">
        <v>-6407.3</v>
      </c>
      <c r="G473">
        <v>46.8</v>
      </c>
      <c r="H473">
        <v>21.7</v>
      </c>
      <c r="I473">
        <v>24.8</v>
      </c>
      <c r="J473">
        <v>-30</v>
      </c>
      <c r="K473">
        <v>55.7</v>
      </c>
      <c r="L473" s="2"/>
    </row>
    <row r="474" spans="1:12" x14ac:dyDescent="0.25">
      <c r="A474" s="2" t="s">
        <v>30</v>
      </c>
      <c r="B474" s="2" t="s">
        <v>78</v>
      </c>
      <c r="C474" s="2" t="s">
        <v>79</v>
      </c>
      <c r="D474" s="2" t="s">
        <v>80</v>
      </c>
      <c r="E474">
        <v>4.6429</v>
      </c>
      <c r="F474">
        <v>-6407.3</v>
      </c>
      <c r="G474">
        <v>46.8</v>
      </c>
      <c r="H474">
        <v>21.7</v>
      </c>
      <c r="I474">
        <v>24.8</v>
      </c>
      <c r="J474">
        <v>-33</v>
      </c>
      <c r="K474">
        <v>27.6</v>
      </c>
      <c r="L474" s="2"/>
    </row>
    <row r="475" spans="1:12" x14ac:dyDescent="0.25">
      <c r="A475" s="2" t="s">
        <v>30</v>
      </c>
      <c r="B475" s="2" t="s">
        <v>78</v>
      </c>
      <c r="C475" s="2" t="s">
        <v>79</v>
      </c>
      <c r="D475" s="2" t="s">
        <v>80</v>
      </c>
      <c r="E475">
        <v>5.5713999999999997</v>
      </c>
      <c r="F475">
        <v>-6407.3</v>
      </c>
      <c r="G475">
        <v>46.8</v>
      </c>
      <c r="H475">
        <v>21.7</v>
      </c>
      <c r="I475">
        <v>24.8</v>
      </c>
      <c r="J475">
        <v>-26</v>
      </c>
      <c r="K475">
        <v>21.9</v>
      </c>
      <c r="L475" s="2"/>
    </row>
    <row r="476" spans="1:12" x14ac:dyDescent="0.25">
      <c r="A476" s="2" t="s">
        <v>30</v>
      </c>
      <c r="B476" s="2" t="s">
        <v>78</v>
      </c>
      <c r="C476" s="2" t="s">
        <v>79</v>
      </c>
      <c r="D476" s="2" t="s">
        <v>80</v>
      </c>
      <c r="E476">
        <v>6.5</v>
      </c>
      <c r="F476">
        <v>-6407.3</v>
      </c>
      <c r="G476">
        <v>46.8</v>
      </c>
      <c r="H476">
        <v>21.7</v>
      </c>
      <c r="I476">
        <v>24.8</v>
      </c>
      <c r="J476">
        <v>-19</v>
      </c>
      <c r="K476">
        <v>16.100000000000001</v>
      </c>
      <c r="L476" s="2"/>
    </row>
    <row r="477" spans="1:12" x14ac:dyDescent="0.25">
      <c r="A477" s="2" t="s">
        <v>30</v>
      </c>
      <c r="B477" s="2" t="s">
        <v>78</v>
      </c>
      <c r="C477" s="2" t="s">
        <v>79</v>
      </c>
      <c r="D477" s="2" t="s">
        <v>80</v>
      </c>
      <c r="E477">
        <v>7.4286000000000003</v>
      </c>
      <c r="F477">
        <v>-6407.3</v>
      </c>
      <c r="G477">
        <v>46.8</v>
      </c>
      <c r="H477">
        <v>21.7</v>
      </c>
      <c r="I477">
        <v>24.8</v>
      </c>
      <c r="J477">
        <v>-11.9</v>
      </c>
      <c r="K477">
        <v>10.3</v>
      </c>
      <c r="L477" s="2"/>
    </row>
    <row r="478" spans="1:12" x14ac:dyDescent="0.25">
      <c r="A478" s="2" t="s">
        <v>30</v>
      </c>
      <c r="B478" s="2" t="s">
        <v>78</v>
      </c>
      <c r="C478" s="2" t="s">
        <v>79</v>
      </c>
      <c r="D478" s="2" t="s">
        <v>80</v>
      </c>
      <c r="E478">
        <v>8.3571000000000009</v>
      </c>
      <c r="F478">
        <v>-6407.3</v>
      </c>
      <c r="G478">
        <v>46.8</v>
      </c>
      <c r="H478">
        <v>21.7</v>
      </c>
      <c r="I478">
        <v>24.8</v>
      </c>
      <c r="J478">
        <v>-4.8</v>
      </c>
      <c r="K478">
        <v>4.4000000000000004</v>
      </c>
      <c r="L478" s="2"/>
    </row>
    <row r="479" spans="1:12" x14ac:dyDescent="0.25">
      <c r="A479" s="2" t="s">
        <v>30</v>
      </c>
      <c r="B479" s="2" t="s">
        <v>78</v>
      </c>
      <c r="C479" s="2" t="s">
        <v>79</v>
      </c>
      <c r="D479" s="2" t="s">
        <v>80</v>
      </c>
      <c r="E479">
        <v>9.2857000000000003</v>
      </c>
      <c r="F479">
        <v>-6407.3</v>
      </c>
      <c r="G479">
        <v>46.8</v>
      </c>
      <c r="H479">
        <v>21.7</v>
      </c>
      <c r="I479">
        <v>24.8</v>
      </c>
      <c r="J479">
        <v>2.4</v>
      </c>
      <c r="K479">
        <v>-1.5</v>
      </c>
      <c r="L479" s="2"/>
    </row>
    <row r="480" spans="1:12" x14ac:dyDescent="0.25">
      <c r="A480" s="2" t="s">
        <v>30</v>
      </c>
      <c r="B480" s="2" t="s">
        <v>78</v>
      </c>
      <c r="C480" s="2" t="s">
        <v>79</v>
      </c>
      <c r="D480" s="2" t="s">
        <v>80</v>
      </c>
      <c r="E480">
        <v>10.2143</v>
      </c>
      <c r="F480">
        <v>-6407.3</v>
      </c>
      <c r="G480">
        <v>46.8</v>
      </c>
      <c r="H480">
        <v>21.7</v>
      </c>
      <c r="I480">
        <v>24.8</v>
      </c>
      <c r="J480">
        <v>9.5</v>
      </c>
      <c r="K480">
        <v>-7.4</v>
      </c>
      <c r="L480" s="2"/>
    </row>
    <row r="481" spans="1:12" x14ac:dyDescent="0.25">
      <c r="A481" s="2" t="s">
        <v>30</v>
      </c>
      <c r="B481" s="2" t="s">
        <v>78</v>
      </c>
      <c r="C481" s="2" t="s">
        <v>79</v>
      </c>
      <c r="D481" s="2" t="s">
        <v>80</v>
      </c>
      <c r="E481">
        <v>11.142899999999999</v>
      </c>
      <c r="F481">
        <v>-6407.3</v>
      </c>
      <c r="G481">
        <v>46.8</v>
      </c>
      <c r="H481">
        <v>21.7</v>
      </c>
      <c r="I481">
        <v>24.8</v>
      </c>
      <c r="J481">
        <v>16.7</v>
      </c>
      <c r="K481">
        <v>-13.3</v>
      </c>
      <c r="L481" s="2"/>
    </row>
    <row r="482" spans="1:12" x14ac:dyDescent="0.25">
      <c r="A482" s="2" t="s">
        <v>30</v>
      </c>
      <c r="B482" s="2" t="s">
        <v>78</v>
      </c>
      <c r="C482" s="2" t="s">
        <v>79</v>
      </c>
      <c r="D482" s="2" t="s">
        <v>80</v>
      </c>
      <c r="E482">
        <v>12.071400000000001</v>
      </c>
      <c r="F482">
        <v>-6407.3</v>
      </c>
      <c r="G482">
        <v>46.8</v>
      </c>
      <c r="H482">
        <v>21.7</v>
      </c>
      <c r="I482">
        <v>24.8</v>
      </c>
      <c r="J482">
        <v>23.8</v>
      </c>
      <c r="K482">
        <v>-19.2</v>
      </c>
      <c r="L482" s="2"/>
    </row>
    <row r="483" spans="1:12" x14ac:dyDescent="0.25">
      <c r="A483" s="2" t="s">
        <v>30</v>
      </c>
      <c r="B483" s="2" t="s">
        <v>78</v>
      </c>
      <c r="C483" s="2" t="s">
        <v>79</v>
      </c>
      <c r="D483" s="2" t="s">
        <v>80</v>
      </c>
      <c r="E483">
        <v>13</v>
      </c>
      <c r="F483">
        <v>-6407.3</v>
      </c>
      <c r="G483">
        <v>46.8</v>
      </c>
      <c r="H483">
        <v>21.7</v>
      </c>
      <c r="I483">
        <v>24.8</v>
      </c>
      <c r="J483">
        <v>30.8</v>
      </c>
      <c r="K483">
        <v>-25</v>
      </c>
      <c r="L483" s="2"/>
    </row>
    <row r="484" spans="1:12" x14ac:dyDescent="0.25">
      <c r="A484" s="2" t="s">
        <v>30</v>
      </c>
      <c r="B484" s="2" t="s">
        <v>78</v>
      </c>
      <c r="C484" s="2" t="s">
        <v>79</v>
      </c>
      <c r="D484" s="2" t="s">
        <v>80</v>
      </c>
      <c r="E484">
        <v>0</v>
      </c>
      <c r="F484">
        <v>-18219.5</v>
      </c>
      <c r="G484">
        <v>5.5</v>
      </c>
      <c r="H484">
        <v>-6.3</v>
      </c>
      <c r="I484">
        <v>8.8000000000000007</v>
      </c>
      <c r="J484">
        <v>-66.400000000000006</v>
      </c>
      <c r="K484">
        <v>54.6</v>
      </c>
      <c r="L484" s="2"/>
    </row>
    <row r="485" spans="1:12" x14ac:dyDescent="0.25">
      <c r="A485" s="2" t="s">
        <v>30</v>
      </c>
      <c r="B485" s="2" t="s">
        <v>78</v>
      </c>
      <c r="C485" s="2" t="s">
        <v>79</v>
      </c>
      <c r="D485" s="2" t="s">
        <v>80</v>
      </c>
      <c r="E485">
        <v>0.92859999999999998</v>
      </c>
      <c r="F485">
        <v>-18169.5</v>
      </c>
      <c r="G485">
        <v>5.5</v>
      </c>
      <c r="H485">
        <v>-6.3</v>
      </c>
      <c r="I485">
        <v>8.8000000000000007</v>
      </c>
      <c r="J485">
        <v>-60</v>
      </c>
      <c r="K485">
        <v>49.4</v>
      </c>
      <c r="L485" s="2"/>
    </row>
    <row r="486" spans="1:12" x14ac:dyDescent="0.25">
      <c r="A486" s="2" t="s">
        <v>30</v>
      </c>
      <c r="B486" s="2" t="s">
        <v>78</v>
      </c>
      <c r="C486" s="2" t="s">
        <v>79</v>
      </c>
      <c r="D486" s="2" t="s">
        <v>80</v>
      </c>
      <c r="E486">
        <v>1.8571</v>
      </c>
      <c r="F486">
        <v>-18119.5</v>
      </c>
      <c r="G486">
        <v>5.5</v>
      </c>
      <c r="H486">
        <v>-6.3</v>
      </c>
      <c r="I486">
        <v>8.8000000000000007</v>
      </c>
      <c r="J486">
        <v>-53.4</v>
      </c>
      <c r="K486">
        <v>44.1</v>
      </c>
      <c r="L486" s="2"/>
    </row>
    <row r="487" spans="1:12" x14ac:dyDescent="0.25">
      <c r="A487" s="2" t="s">
        <v>30</v>
      </c>
      <c r="B487" s="2" t="s">
        <v>78</v>
      </c>
      <c r="C487" s="2" t="s">
        <v>79</v>
      </c>
      <c r="D487" s="2" t="s">
        <v>80</v>
      </c>
      <c r="E487">
        <v>2.7856999999999998</v>
      </c>
      <c r="F487">
        <v>-18069.400000000001</v>
      </c>
      <c r="G487">
        <v>5.5</v>
      </c>
      <c r="H487">
        <v>-6.3</v>
      </c>
      <c r="I487">
        <v>8.8000000000000007</v>
      </c>
      <c r="J487">
        <v>-46.7</v>
      </c>
      <c r="K487">
        <v>38.700000000000003</v>
      </c>
      <c r="L487" s="2"/>
    </row>
    <row r="488" spans="1:12" x14ac:dyDescent="0.25">
      <c r="A488" s="2" t="s">
        <v>30</v>
      </c>
      <c r="B488" s="2" t="s">
        <v>78</v>
      </c>
      <c r="C488" s="2" t="s">
        <v>79</v>
      </c>
      <c r="D488" s="2" t="s">
        <v>80</v>
      </c>
      <c r="E488">
        <v>3.7143000000000002</v>
      </c>
      <c r="F488">
        <v>-18019.400000000001</v>
      </c>
      <c r="G488">
        <v>5.5</v>
      </c>
      <c r="H488">
        <v>-6.3</v>
      </c>
      <c r="I488">
        <v>8.8000000000000007</v>
      </c>
      <c r="J488">
        <v>-48.5</v>
      </c>
      <c r="K488">
        <v>33.200000000000003</v>
      </c>
      <c r="L488" s="2"/>
    </row>
    <row r="489" spans="1:12" x14ac:dyDescent="0.25">
      <c r="A489" s="2" t="s">
        <v>30</v>
      </c>
      <c r="B489" s="2" t="s">
        <v>78</v>
      </c>
      <c r="C489" s="2" t="s">
        <v>79</v>
      </c>
      <c r="D489" s="2" t="s">
        <v>80</v>
      </c>
      <c r="E489">
        <v>4.6429</v>
      </c>
      <c r="F489">
        <v>-17969.400000000001</v>
      </c>
      <c r="G489">
        <v>5.5</v>
      </c>
      <c r="H489">
        <v>-6.3</v>
      </c>
      <c r="I489">
        <v>8.8000000000000007</v>
      </c>
      <c r="J489">
        <v>-59.4</v>
      </c>
      <c r="K489">
        <v>3.3</v>
      </c>
      <c r="L489" s="2"/>
    </row>
    <row r="490" spans="1:12" x14ac:dyDescent="0.25">
      <c r="A490" s="2" t="s">
        <v>30</v>
      </c>
      <c r="B490" s="2" t="s">
        <v>78</v>
      </c>
      <c r="C490" s="2" t="s">
        <v>79</v>
      </c>
      <c r="D490" s="2" t="s">
        <v>80</v>
      </c>
      <c r="E490">
        <v>5.5713999999999997</v>
      </c>
      <c r="F490">
        <v>-17919.400000000001</v>
      </c>
      <c r="G490">
        <v>5.5</v>
      </c>
      <c r="H490">
        <v>-6.3</v>
      </c>
      <c r="I490">
        <v>8.8000000000000007</v>
      </c>
      <c r="J490">
        <v>-70.099999999999994</v>
      </c>
      <c r="K490">
        <v>-38.700000000000003</v>
      </c>
      <c r="L490" s="2"/>
    </row>
    <row r="491" spans="1:12" x14ac:dyDescent="0.25">
      <c r="A491" s="2" t="s">
        <v>30</v>
      </c>
      <c r="B491" s="2" t="s">
        <v>78</v>
      </c>
      <c r="C491" s="2" t="s">
        <v>79</v>
      </c>
      <c r="D491" s="2" t="s">
        <v>80</v>
      </c>
      <c r="E491">
        <v>6.5</v>
      </c>
      <c r="F491">
        <v>-17869.3</v>
      </c>
      <c r="G491">
        <v>5.5</v>
      </c>
      <c r="H491">
        <v>-6.3</v>
      </c>
      <c r="I491">
        <v>8.8000000000000007</v>
      </c>
      <c r="J491">
        <v>-87.7</v>
      </c>
      <c r="K491">
        <v>-81.7</v>
      </c>
      <c r="L491" s="2"/>
    </row>
    <row r="492" spans="1:12" x14ac:dyDescent="0.25">
      <c r="A492" s="2" t="s">
        <v>30</v>
      </c>
      <c r="B492" s="2" t="s">
        <v>78</v>
      </c>
      <c r="C492" s="2" t="s">
        <v>79</v>
      </c>
      <c r="D492" s="2" t="s">
        <v>80</v>
      </c>
      <c r="E492">
        <v>7.4286000000000003</v>
      </c>
      <c r="F492">
        <v>-17819.3</v>
      </c>
      <c r="G492">
        <v>5.5</v>
      </c>
      <c r="H492">
        <v>-6.3</v>
      </c>
      <c r="I492">
        <v>8.8000000000000007</v>
      </c>
      <c r="J492">
        <v>-106.8</v>
      </c>
      <c r="K492">
        <v>-127.1</v>
      </c>
      <c r="L492" s="2"/>
    </row>
    <row r="493" spans="1:12" x14ac:dyDescent="0.25">
      <c r="A493" s="2" t="s">
        <v>30</v>
      </c>
      <c r="B493" s="2" t="s">
        <v>78</v>
      </c>
      <c r="C493" s="2" t="s">
        <v>79</v>
      </c>
      <c r="D493" s="2" t="s">
        <v>80</v>
      </c>
      <c r="E493">
        <v>8.3571000000000009</v>
      </c>
      <c r="F493">
        <v>-17769.3</v>
      </c>
      <c r="G493">
        <v>5.5</v>
      </c>
      <c r="H493">
        <v>-6.3</v>
      </c>
      <c r="I493">
        <v>8.8000000000000007</v>
      </c>
      <c r="J493">
        <v>-125.8</v>
      </c>
      <c r="K493">
        <v>-172.4</v>
      </c>
      <c r="L493" s="2"/>
    </row>
    <row r="494" spans="1:12" x14ac:dyDescent="0.25">
      <c r="A494" s="2" t="s">
        <v>30</v>
      </c>
      <c r="B494" s="2" t="s">
        <v>78</v>
      </c>
      <c r="C494" s="2" t="s">
        <v>79</v>
      </c>
      <c r="D494" s="2" t="s">
        <v>80</v>
      </c>
      <c r="E494">
        <v>9.2857000000000003</v>
      </c>
      <c r="F494">
        <v>-17719.2</v>
      </c>
      <c r="G494">
        <v>5.5</v>
      </c>
      <c r="H494">
        <v>-6.3</v>
      </c>
      <c r="I494">
        <v>8.8000000000000007</v>
      </c>
      <c r="J494">
        <v>-144.69999999999999</v>
      </c>
      <c r="K494">
        <v>-217.3</v>
      </c>
      <c r="L494" s="2"/>
    </row>
    <row r="495" spans="1:12" x14ac:dyDescent="0.25">
      <c r="A495" s="2" t="s">
        <v>30</v>
      </c>
      <c r="B495" s="2" t="s">
        <v>78</v>
      </c>
      <c r="C495" s="2" t="s">
        <v>79</v>
      </c>
      <c r="D495" s="2" t="s">
        <v>80</v>
      </c>
      <c r="E495">
        <v>10.2143</v>
      </c>
      <c r="F495">
        <v>-17669.2</v>
      </c>
      <c r="G495">
        <v>5.5</v>
      </c>
      <c r="H495">
        <v>-6.3</v>
      </c>
      <c r="I495">
        <v>8.8000000000000007</v>
      </c>
      <c r="J495">
        <v>-163.5</v>
      </c>
      <c r="K495">
        <v>-261.89999999999998</v>
      </c>
      <c r="L495" s="2"/>
    </row>
    <row r="496" spans="1:12" x14ac:dyDescent="0.25">
      <c r="A496" s="2" t="s">
        <v>30</v>
      </c>
      <c r="B496" s="2" t="s">
        <v>78</v>
      </c>
      <c r="C496" s="2" t="s">
        <v>79</v>
      </c>
      <c r="D496" s="2" t="s">
        <v>80</v>
      </c>
      <c r="E496">
        <v>11.142899999999999</v>
      </c>
      <c r="F496">
        <v>-17619.2</v>
      </c>
      <c r="G496">
        <v>5.5</v>
      </c>
      <c r="H496">
        <v>-6.3</v>
      </c>
      <c r="I496">
        <v>8.8000000000000007</v>
      </c>
      <c r="J496">
        <v>-182.3</v>
      </c>
      <c r="K496">
        <v>-306</v>
      </c>
      <c r="L496" s="2"/>
    </row>
    <row r="497" spans="1:12" x14ac:dyDescent="0.25">
      <c r="A497" s="2" t="s">
        <v>30</v>
      </c>
      <c r="B497" s="2" t="s">
        <v>78</v>
      </c>
      <c r="C497" s="2" t="s">
        <v>79</v>
      </c>
      <c r="D497" s="2" t="s">
        <v>80</v>
      </c>
      <c r="E497">
        <v>12.071400000000001</v>
      </c>
      <c r="F497">
        <v>-17569.2</v>
      </c>
      <c r="G497">
        <v>5.5</v>
      </c>
      <c r="H497">
        <v>-6.3</v>
      </c>
      <c r="I497">
        <v>8.8000000000000007</v>
      </c>
      <c r="J497">
        <v>-200.9</v>
      </c>
      <c r="K497">
        <v>-349.6</v>
      </c>
      <c r="L497" s="2"/>
    </row>
    <row r="498" spans="1:12" x14ac:dyDescent="0.25">
      <c r="A498" s="2" t="s">
        <v>30</v>
      </c>
      <c r="B498" s="2" t="s">
        <v>78</v>
      </c>
      <c r="C498" s="2" t="s">
        <v>79</v>
      </c>
      <c r="D498" s="2" t="s">
        <v>80</v>
      </c>
      <c r="E498">
        <v>13</v>
      </c>
      <c r="F498">
        <v>-17519.099999999999</v>
      </c>
      <c r="G498">
        <v>5.5</v>
      </c>
      <c r="H498">
        <v>-6.3</v>
      </c>
      <c r="I498">
        <v>8.8000000000000007</v>
      </c>
      <c r="J498">
        <v>-219.5</v>
      </c>
      <c r="K498">
        <v>-392.5</v>
      </c>
      <c r="L498" s="2"/>
    </row>
    <row r="499" spans="1:12" x14ac:dyDescent="0.25">
      <c r="A499" s="2" t="s">
        <v>30</v>
      </c>
      <c r="B499" s="2" t="s">
        <v>78</v>
      </c>
      <c r="C499" s="2" t="s">
        <v>79</v>
      </c>
      <c r="D499" s="2" t="s">
        <v>81</v>
      </c>
      <c r="E499">
        <v>0</v>
      </c>
      <c r="F499">
        <v>-8435.2999999999993</v>
      </c>
      <c r="G499">
        <v>49.1</v>
      </c>
      <c r="H499">
        <v>10.7</v>
      </c>
      <c r="I499">
        <v>31.4</v>
      </c>
      <c r="J499">
        <v>-34.4</v>
      </c>
      <c r="K499">
        <v>268.3</v>
      </c>
      <c r="L499" s="2"/>
    </row>
    <row r="500" spans="1:12" x14ac:dyDescent="0.25">
      <c r="A500" s="2" t="s">
        <v>30</v>
      </c>
      <c r="B500" s="2" t="s">
        <v>78</v>
      </c>
      <c r="C500" s="2" t="s">
        <v>79</v>
      </c>
      <c r="D500" s="2" t="s">
        <v>81</v>
      </c>
      <c r="E500">
        <v>0.92859999999999998</v>
      </c>
      <c r="F500">
        <v>-8435.2999999999993</v>
      </c>
      <c r="G500">
        <v>49.1</v>
      </c>
      <c r="H500">
        <v>10.7</v>
      </c>
      <c r="I500">
        <v>31.4</v>
      </c>
      <c r="J500">
        <v>-44.5</v>
      </c>
      <c r="K500">
        <v>222.6</v>
      </c>
      <c r="L500" s="2"/>
    </row>
    <row r="501" spans="1:12" x14ac:dyDescent="0.25">
      <c r="A501" s="2" t="s">
        <v>30</v>
      </c>
      <c r="B501" s="2" t="s">
        <v>78</v>
      </c>
      <c r="C501" s="2" t="s">
        <v>79</v>
      </c>
      <c r="D501" s="2" t="s">
        <v>81</v>
      </c>
      <c r="E501">
        <v>1.8571</v>
      </c>
      <c r="F501">
        <v>-8435.2999999999993</v>
      </c>
      <c r="G501">
        <v>49.1</v>
      </c>
      <c r="H501">
        <v>10.7</v>
      </c>
      <c r="I501">
        <v>31.4</v>
      </c>
      <c r="J501">
        <v>-54.2</v>
      </c>
      <c r="K501">
        <v>176.3</v>
      </c>
      <c r="L501" s="2"/>
    </row>
    <row r="502" spans="1:12" x14ac:dyDescent="0.25">
      <c r="A502" s="2" t="s">
        <v>30</v>
      </c>
      <c r="B502" s="2" t="s">
        <v>78</v>
      </c>
      <c r="C502" s="2" t="s">
        <v>79</v>
      </c>
      <c r="D502" s="2" t="s">
        <v>81</v>
      </c>
      <c r="E502">
        <v>2.7856999999999998</v>
      </c>
      <c r="F502">
        <v>-8435.2999999999993</v>
      </c>
      <c r="G502">
        <v>49.1</v>
      </c>
      <c r="H502">
        <v>10.7</v>
      </c>
      <c r="I502">
        <v>31.4</v>
      </c>
      <c r="J502">
        <v>-63.6</v>
      </c>
      <c r="K502">
        <v>129.80000000000001</v>
      </c>
      <c r="L502" s="2"/>
    </row>
    <row r="503" spans="1:12" x14ac:dyDescent="0.25">
      <c r="A503" s="2" t="s">
        <v>30</v>
      </c>
      <c r="B503" s="2" t="s">
        <v>78</v>
      </c>
      <c r="C503" s="2" t="s">
        <v>79</v>
      </c>
      <c r="D503" s="2" t="s">
        <v>81</v>
      </c>
      <c r="E503">
        <v>3.7143000000000002</v>
      </c>
      <c r="F503">
        <v>-8435.2999999999993</v>
      </c>
      <c r="G503">
        <v>49.1</v>
      </c>
      <c r="H503">
        <v>10.7</v>
      </c>
      <c r="I503">
        <v>31.4</v>
      </c>
      <c r="J503">
        <v>-72.7</v>
      </c>
      <c r="K503">
        <v>83.2</v>
      </c>
      <c r="L503" s="2"/>
    </row>
    <row r="504" spans="1:12" x14ac:dyDescent="0.25">
      <c r="A504" s="2" t="s">
        <v>30</v>
      </c>
      <c r="B504" s="2" t="s">
        <v>78</v>
      </c>
      <c r="C504" s="2" t="s">
        <v>79</v>
      </c>
      <c r="D504" s="2" t="s">
        <v>81</v>
      </c>
      <c r="E504">
        <v>4.6429</v>
      </c>
      <c r="F504">
        <v>-8435.2999999999993</v>
      </c>
      <c r="G504">
        <v>49.1</v>
      </c>
      <c r="H504">
        <v>10.7</v>
      </c>
      <c r="I504">
        <v>31.4</v>
      </c>
      <c r="J504">
        <v>-67.599999999999994</v>
      </c>
      <c r="K504">
        <v>50.8</v>
      </c>
      <c r="L504" s="2"/>
    </row>
    <row r="505" spans="1:12" x14ac:dyDescent="0.25">
      <c r="A505" s="2" t="s">
        <v>30</v>
      </c>
      <c r="B505" s="2" t="s">
        <v>78</v>
      </c>
      <c r="C505" s="2" t="s">
        <v>79</v>
      </c>
      <c r="D505" s="2" t="s">
        <v>81</v>
      </c>
      <c r="E505">
        <v>5.5713999999999997</v>
      </c>
      <c r="F505">
        <v>-8435.2999999999993</v>
      </c>
      <c r="G505">
        <v>49.1</v>
      </c>
      <c r="H505">
        <v>10.7</v>
      </c>
      <c r="I505">
        <v>31.4</v>
      </c>
      <c r="J505">
        <v>-53.8</v>
      </c>
      <c r="K505">
        <v>37.6</v>
      </c>
      <c r="L505" s="2"/>
    </row>
    <row r="506" spans="1:12" x14ac:dyDescent="0.25">
      <c r="A506" s="2" t="s">
        <v>30</v>
      </c>
      <c r="B506" s="2" t="s">
        <v>78</v>
      </c>
      <c r="C506" s="2" t="s">
        <v>79</v>
      </c>
      <c r="D506" s="2" t="s">
        <v>81</v>
      </c>
      <c r="E506">
        <v>6.5</v>
      </c>
      <c r="F506">
        <v>-8435.2999999999993</v>
      </c>
      <c r="G506">
        <v>49.1</v>
      </c>
      <c r="H506">
        <v>10.7</v>
      </c>
      <c r="I506">
        <v>31.4</v>
      </c>
      <c r="J506">
        <v>-39.799999999999997</v>
      </c>
      <c r="K506">
        <v>24.2</v>
      </c>
      <c r="L506" s="2"/>
    </row>
    <row r="507" spans="1:12" x14ac:dyDescent="0.25">
      <c r="A507" s="2" t="s">
        <v>30</v>
      </c>
      <c r="B507" s="2" t="s">
        <v>78</v>
      </c>
      <c r="C507" s="2" t="s">
        <v>79</v>
      </c>
      <c r="D507" s="2" t="s">
        <v>81</v>
      </c>
      <c r="E507">
        <v>7.4286000000000003</v>
      </c>
      <c r="F507">
        <v>-8435.2999999999993</v>
      </c>
      <c r="G507">
        <v>49.1</v>
      </c>
      <c r="H507">
        <v>10.7</v>
      </c>
      <c r="I507">
        <v>31.4</v>
      </c>
      <c r="J507">
        <v>-25.7</v>
      </c>
      <c r="K507">
        <v>10.8</v>
      </c>
      <c r="L507" s="2"/>
    </row>
    <row r="508" spans="1:12" x14ac:dyDescent="0.25">
      <c r="A508" s="2" t="s">
        <v>30</v>
      </c>
      <c r="B508" s="2" t="s">
        <v>78</v>
      </c>
      <c r="C508" s="2" t="s">
        <v>79</v>
      </c>
      <c r="D508" s="2" t="s">
        <v>81</v>
      </c>
      <c r="E508">
        <v>8.3571000000000009</v>
      </c>
      <c r="F508">
        <v>-8435.2999999999993</v>
      </c>
      <c r="G508">
        <v>49.1</v>
      </c>
      <c r="H508">
        <v>10.7</v>
      </c>
      <c r="I508">
        <v>31.4</v>
      </c>
      <c r="J508">
        <v>-11.5</v>
      </c>
      <c r="K508">
        <v>-2.7</v>
      </c>
      <c r="L508" s="2"/>
    </row>
    <row r="509" spans="1:12" x14ac:dyDescent="0.25">
      <c r="A509" s="2" t="s">
        <v>30</v>
      </c>
      <c r="B509" s="2" t="s">
        <v>78</v>
      </c>
      <c r="C509" s="2" t="s">
        <v>79</v>
      </c>
      <c r="D509" s="2" t="s">
        <v>81</v>
      </c>
      <c r="E509">
        <v>9.2857000000000003</v>
      </c>
      <c r="F509">
        <v>-8435.2999999999993</v>
      </c>
      <c r="G509">
        <v>49.1</v>
      </c>
      <c r="H509">
        <v>10.7</v>
      </c>
      <c r="I509">
        <v>31.4</v>
      </c>
      <c r="J509">
        <v>2.7</v>
      </c>
      <c r="K509">
        <v>-16.2</v>
      </c>
      <c r="L509" s="2"/>
    </row>
    <row r="510" spans="1:12" x14ac:dyDescent="0.25">
      <c r="A510" s="2" t="s">
        <v>30</v>
      </c>
      <c r="B510" s="2" t="s">
        <v>78</v>
      </c>
      <c r="C510" s="2" t="s">
        <v>79</v>
      </c>
      <c r="D510" s="2" t="s">
        <v>81</v>
      </c>
      <c r="E510">
        <v>10.2143</v>
      </c>
      <c r="F510">
        <v>-8435.2999999999993</v>
      </c>
      <c r="G510">
        <v>49.1</v>
      </c>
      <c r="H510">
        <v>10.7</v>
      </c>
      <c r="I510">
        <v>31.4</v>
      </c>
      <c r="J510">
        <v>17</v>
      </c>
      <c r="K510">
        <v>-29.6</v>
      </c>
      <c r="L510" s="2"/>
    </row>
    <row r="511" spans="1:12" x14ac:dyDescent="0.25">
      <c r="A511" s="2" t="s">
        <v>30</v>
      </c>
      <c r="B511" s="2" t="s">
        <v>78</v>
      </c>
      <c r="C511" s="2" t="s">
        <v>79</v>
      </c>
      <c r="D511" s="2" t="s">
        <v>81</v>
      </c>
      <c r="E511">
        <v>11.142899999999999</v>
      </c>
      <c r="F511">
        <v>-8435.2999999999993</v>
      </c>
      <c r="G511">
        <v>49.1</v>
      </c>
      <c r="H511">
        <v>10.7</v>
      </c>
      <c r="I511">
        <v>31.4</v>
      </c>
      <c r="J511">
        <v>31.2</v>
      </c>
      <c r="K511">
        <v>-42.9</v>
      </c>
      <c r="L511" s="2"/>
    </row>
    <row r="512" spans="1:12" x14ac:dyDescent="0.25">
      <c r="A512" s="2" t="s">
        <v>30</v>
      </c>
      <c r="B512" s="2" t="s">
        <v>78</v>
      </c>
      <c r="C512" s="2" t="s">
        <v>79</v>
      </c>
      <c r="D512" s="2" t="s">
        <v>81</v>
      </c>
      <c r="E512">
        <v>12.071400000000001</v>
      </c>
      <c r="F512">
        <v>-8435.2999999999993</v>
      </c>
      <c r="G512">
        <v>49.1</v>
      </c>
      <c r="H512">
        <v>10.7</v>
      </c>
      <c r="I512">
        <v>31.4</v>
      </c>
      <c r="J512">
        <v>45.3</v>
      </c>
      <c r="K512">
        <v>-56.2</v>
      </c>
      <c r="L512" s="2"/>
    </row>
    <row r="513" spans="1:12" x14ac:dyDescent="0.25">
      <c r="A513" s="2" t="s">
        <v>30</v>
      </c>
      <c r="B513" s="2" t="s">
        <v>78</v>
      </c>
      <c r="C513" s="2" t="s">
        <v>79</v>
      </c>
      <c r="D513" s="2" t="s">
        <v>81</v>
      </c>
      <c r="E513">
        <v>13</v>
      </c>
      <c r="F513">
        <v>-8435.2999999999993</v>
      </c>
      <c r="G513">
        <v>49.1</v>
      </c>
      <c r="H513">
        <v>10.7</v>
      </c>
      <c r="I513">
        <v>31.4</v>
      </c>
      <c r="J513">
        <v>59.2</v>
      </c>
      <c r="K513">
        <v>-69.2</v>
      </c>
      <c r="L513" s="2"/>
    </row>
    <row r="514" spans="1:12" x14ac:dyDescent="0.25">
      <c r="A514" s="2" t="s">
        <v>30</v>
      </c>
      <c r="B514" s="2" t="s">
        <v>78</v>
      </c>
      <c r="C514" s="2" t="s">
        <v>79</v>
      </c>
      <c r="D514" s="2" t="s">
        <v>81</v>
      </c>
      <c r="E514">
        <v>0</v>
      </c>
      <c r="F514">
        <v>-18560.099999999999</v>
      </c>
      <c r="G514">
        <v>13.7</v>
      </c>
      <c r="H514">
        <v>-13.3</v>
      </c>
      <c r="I514">
        <v>17.7</v>
      </c>
      <c r="J514">
        <v>-132.80000000000001</v>
      </c>
      <c r="K514">
        <v>113.6</v>
      </c>
      <c r="L514" s="2"/>
    </row>
    <row r="515" spans="1:12" x14ac:dyDescent="0.25">
      <c r="A515" s="2" t="s">
        <v>30</v>
      </c>
      <c r="B515" s="2" t="s">
        <v>78</v>
      </c>
      <c r="C515" s="2" t="s">
        <v>79</v>
      </c>
      <c r="D515" s="2" t="s">
        <v>81</v>
      </c>
      <c r="E515">
        <v>0.92859999999999998</v>
      </c>
      <c r="F515">
        <v>-18517.2</v>
      </c>
      <c r="G515">
        <v>13.7</v>
      </c>
      <c r="H515">
        <v>-13.3</v>
      </c>
      <c r="I515">
        <v>17.7</v>
      </c>
      <c r="J515">
        <v>-120.4</v>
      </c>
      <c r="K515">
        <v>101.6</v>
      </c>
      <c r="L515" s="2"/>
    </row>
    <row r="516" spans="1:12" x14ac:dyDescent="0.25">
      <c r="A516" s="2" t="s">
        <v>30</v>
      </c>
      <c r="B516" s="2" t="s">
        <v>78</v>
      </c>
      <c r="C516" s="2" t="s">
        <v>79</v>
      </c>
      <c r="D516" s="2" t="s">
        <v>81</v>
      </c>
      <c r="E516">
        <v>1.8571</v>
      </c>
      <c r="F516">
        <v>-18474.3</v>
      </c>
      <c r="G516">
        <v>13.7</v>
      </c>
      <c r="H516">
        <v>-13.3</v>
      </c>
      <c r="I516">
        <v>17.7</v>
      </c>
      <c r="J516">
        <v>-107.6</v>
      </c>
      <c r="K516">
        <v>89.3</v>
      </c>
      <c r="L516" s="2"/>
    </row>
    <row r="517" spans="1:12" x14ac:dyDescent="0.25">
      <c r="A517" s="2" t="s">
        <v>30</v>
      </c>
      <c r="B517" s="2" t="s">
        <v>78</v>
      </c>
      <c r="C517" s="2" t="s">
        <v>79</v>
      </c>
      <c r="D517" s="2" t="s">
        <v>81</v>
      </c>
      <c r="E517">
        <v>2.7856999999999998</v>
      </c>
      <c r="F517">
        <v>-18431.400000000001</v>
      </c>
      <c r="G517">
        <v>13.7</v>
      </c>
      <c r="H517">
        <v>-13.3</v>
      </c>
      <c r="I517">
        <v>17.7</v>
      </c>
      <c r="J517">
        <v>-94.6</v>
      </c>
      <c r="K517">
        <v>76.7</v>
      </c>
      <c r="L517" s="2"/>
    </row>
    <row r="518" spans="1:12" x14ac:dyDescent="0.25">
      <c r="A518" s="2" t="s">
        <v>30</v>
      </c>
      <c r="B518" s="2" t="s">
        <v>78</v>
      </c>
      <c r="C518" s="2" t="s">
        <v>79</v>
      </c>
      <c r="D518" s="2" t="s">
        <v>81</v>
      </c>
      <c r="E518">
        <v>3.7143000000000002</v>
      </c>
      <c r="F518">
        <v>-18388.5</v>
      </c>
      <c r="G518">
        <v>13.7</v>
      </c>
      <c r="H518">
        <v>-13.3</v>
      </c>
      <c r="I518">
        <v>17.7</v>
      </c>
      <c r="J518">
        <v>-88.6</v>
      </c>
      <c r="K518">
        <v>63.8</v>
      </c>
      <c r="L518" s="2"/>
    </row>
    <row r="519" spans="1:12" x14ac:dyDescent="0.25">
      <c r="A519" s="2" t="s">
        <v>30</v>
      </c>
      <c r="B519" s="2" t="s">
        <v>78</v>
      </c>
      <c r="C519" s="2" t="s">
        <v>79</v>
      </c>
      <c r="D519" s="2" t="s">
        <v>81</v>
      </c>
      <c r="E519">
        <v>4.6429</v>
      </c>
      <c r="F519">
        <v>-18345.7</v>
      </c>
      <c r="G519">
        <v>13.7</v>
      </c>
      <c r="H519">
        <v>-13.3</v>
      </c>
      <c r="I519">
        <v>17.7</v>
      </c>
      <c r="J519">
        <v>-90.2</v>
      </c>
      <c r="K519">
        <v>30</v>
      </c>
      <c r="L519" s="2"/>
    </row>
    <row r="520" spans="1:12" x14ac:dyDescent="0.25">
      <c r="A520" s="2" t="s">
        <v>30</v>
      </c>
      <c r="B520" s="2" t="s">
        <v>78</v>
      </c>
      <c r="C520" s="2" t="s">
        <v>79</v>
      </c>
      <c r="D520" s="2" t="s">
        <v>81</v>
      </c>
      <c r="E520">
        <v>5.5713999999999997</v>
      </c>
      <c r="F520">
        <v>-18302.8</v>
      </c>
      <c r="G520">
        <v>13.7</v>
      </c>
      <c r="H520">
        <v>-13.3</v>
      </c>
      <c r="I520">
        <v>17.7</v>
      </c>
      <c r="J520">
        <v>-91.6</v>
      </c>
      <c r="K520">
        <v>-14.3</v>
      </c>
      <c r="L520" s="2"/>
    </row>
    <row r="521" spans="1:12" x14ac:dyDescent="0.25">
      <c r="A521" s="2" t="s">
        <v>30</v>
      </c>
      <c r="B521" s="2" t="s">
        <v>78</v>
      </c>
      <c r="C521" s="2" t="s">
        <v>79</v>
      </c>
      <c r="D521" s="2" t="s">
        <v>81</v>
      </c>
      <c r="E521">
        <v>6.5</v>
      </c>
      <c r="F521">
        <v>-18259.900000000001</v>
      </c>
      <c r="G521">
        <v>13.7</v>
      </c>
      <c r="H521">
        <v>-13.3</v>
      </c>
      <c r="I521">
        <v>17.7</v>
      </c>
      <c r="J521">
        <v>-98.7</v>
      </c>
      <c r="K521">
        <v>-59.6</v>
      </c>
      <c r="L521" s="2"/>
    </row>
    <row r="522" spans="1:12" x14ac:dyDescent="0.25">
      <c r="A522" s="2" t="s">
        <v>30</v>
      </c>
      <c r="B522" s="2" t="s">
        <v>78</v>
      </c>
      <c r="C522" s="2" t="s">
        <v>79</v>
      </c>
      <c r="D522" s="2" t="s">
        <v>81</v>
      </c>
      <c r="E522">
        <v>7.4286000000000003</v>
      </c>
      <c r="F522">
        <v>-18217</v>
      </c>
      <c r="G522">
        <v>13.7</v>
      </c>
      <c r="H522">
        <v>-13.3</v>
      </c>
      <c r="I522">
        <v>17.7</v>
      </c>
      <c r="J522">
        <v>-107.1</v>
      </c>
      <c r="K522">
        <v>-107</v>
      </c>
      <c r="L522" s="2"/>
    </row>
    <row r="523" spans="1:12" x14ac:dyDescent="0.25">
      <c r="A523" s="2" t="s">
        <v>30</v>
      </c>
      <c r="B523" s="2" t="s">
        <v>78</v>
      </c>
      <c r="C523" s="2" t="s">
        <v>79</v>
      </c>
      <c r="D523" s="2" t="s">
        <v>81</v>
      </c>
      <c r="E523">
        <v>8.3571000000000009</v>
      </c>
      <c r="F523">
        <v>-18174.099999999999</v>
      </c>
      <c r="G523">
        <v>13.7</v>
      </c>
      <c r="H523">
        <v>-13.3</v>
      </c>
      <c r="I523">
        <v>17.7</v>
      </c>
      <c r="J523">
        <v>-115.3</v>
      </c>
      <c r="K523">
        <v>-154.19999999999999</v>
      </c>
      <c r="L523" s="2"/>
    </row>
    <row r="524" spans="1:12" x14ac:dyDescent="0.25">
      <c r="A524" s="2" t="s">
        <v>30</v>
      </c>
      <c r="B524" s="2" t="s">
        <v>78</v>
      </c>
      <c r="C524" s="2" t="s">
        <v>79</v>
      </c>
      <c r="D524" s="2" t="s">
        <v>81</v>
      </c>
      <c r="E524">
        <v>9.2857000000000003</v>
      </c>
      <c r="F524">
        <v>-18131.2</v>
      </c>
      <c r="G524">
        <v>13.7</v>
      </c>
      <c r="H524">
        <v>-13.3</v>
      </c>
      <c r="I524">
        <v>17.7</v>
      </c>
      <c r="J524">
        <v>-123.3</v>
      </c>
      <c r="K524">
        <v>-201.2</v>
      </c>
      <c r="L524" s="2"/>
    </row>
    <row r="525" spans="1:12" x14ac:dyDescent="0.25">
      <c r="A525" s="2" t="s">
        <v>30</v>
      </c>
      <c r="B525" s="2" t="s">
        <v>78</v>
      </c>
      <c r="C525" s="2" t="s">
        <v>79</v>
      </c>
      <c r="D525" s="2" t="s">
        <v>81</v>
      </c>
      <c r="E525">
        <v>10.2143</v>
      </c>
      <c r="F525">
        <v>-18088.400000000001</v>
      </c>
      <c r="G525">
        <v>13.7</v>
      </c>
      <c r="H525">
        <v>-13.3</v>
      </c>
      <c r="I525">
        <v>17.7</v>
      </c>
      <c r="J525">
        <v>-131.4</v>
      </c>
      <c r="K525">
        <v>-247.7</v>
      </c>
      <c r="L525" s="2"/>
    </row>
    <row r="526" spans="1:12" x14ac:dyDescent="0.25">
      <c r="A526" s="2" t="s">
        <v>30</v>
      </c>
      <c r="B526" s="2" t="s">
        <v>78</v>
      </c>
      <c r="C526" s="2" t="s">
        <v>79</v>
      </c>
      <c r="D526" s="2" t="s">
        <v>81</v>
      </c>
      <c r="E526">
        <v>11.142899999999999</v>
      </c>
      <c r="F526">
        <v>-18045.5</v>
      </c>
      <c r="G526">
        <v>13.7</v>
      </c>
      <c r="H526">
        <v>-13.3</v>
      </c>
      <c r="I526">
        <v>17.7</v>
      </c>
      <c r="J526">
        <v>-139.30000000000001</v>
      </c>
      <c r="K526">
        <v>-293.8</v>
      </c>
      <c r="L526" s="2"/>
    </row>
    <row r="527" spans="1:12" x14ac:dyDescent="0.25">
      <c r="A527" s="2" t="s">
        <v>30</v>
      </c>
      <c r="B527" s="2" t="s">
        <v>78</v>
      </c>
      <c r="C527" s="2" t="s">
        <v>79</v>
      </c>
      <c r="D527" s="2" t="s">
        <v>81</v>
      </c>
      <c r="E527">
        <v>12.071400000000001</v>
      </c>
      <c r="F527">
        <v>-18002.599999999999</v>
      </c>
      <c r="G527">
        <v>13.7</v>
      </c>
      <c r="H527">
        <v>-13.3</v>
      </c>
      <c r="I527">
        <v>17.7</v>
      </c>
      <c r="J527">
        <v>-147.30000000000001</v>
      </c>
      <c r="K527">
        <v>-339.4</v>
      </c>
      <c r="L527" s="2"/>
    </row>
    <row r="528" spans="1:12" x14ac:dyDescent="0.25">
      <c r="A528" s="2" t="s">
        <v>30</v>
      </c>
      <c r="B528" s="2" t="s">
        <v>78</v>
      </c>
      <c r="C528" s="2" t="s">
        <v>79</v>
      </c>
      <c r="D528" s="2" t="s">
        <v>81</v>
      </c>
      <c r="E528">
        <v>13</v>
      </c>
      <c r="F528">
        <v>-17959.7</v>
      </c>
      <c r="G528">
        <v>13.7</v>
      </c>
      <c r="H528">
        <v>-13.3</v>
      </c>
      <c r="I528">
        <v>17.7</v>
      </c>
      <c r="J528">
        <v>-155.30000000000001</v>
      </c>
      <c r="K528">
        <v>-384.2</v>
      </c>
      <c r="L528" s="2"/>
    </row>
    <row r="529" spans="1:12" x14ac:dyDescent="0.25">
      <c r="A529" s="2" t="s">
        <v>30</v>
      </c>
      <c r="B529" s="2" t="s">
        <v>78</v>
      </c>
      <c r="C529" s="2" t="s">
        <v>79</v>
      </c>
      <c r="D529" s="2" t="s">
        <v>82</v>
      </c>
      <c r="E529">
        <v>0</v>
      </c>
      <c r="F529">
        <v>-7331.5</v>
      </c>
      <c r="G529">
        <v>45.8</v>
      </c>
      <c r="H529">
        <v>13.6</v>
      </c>
      <c r="I529">
        <v>27.6</v>
      </c>
      <c r="J529">
        <v>-6</v>
      </c>
      <c r="K529">
        <v>243.2</v>
      </c>
      <c r="L529" s="2"/>
    </row>
    <row r="530" spans="1:12" x14ac:dyDescent="0.25">
      <c r="A530" s="2" t="s">
        <v>30</v>
      </c>
      <c r="B530" s="2" t="s">
        <v>78</v>
      </c>
      <c r="C530" s="2" t="s">
        <v>79</v>
      </c>
      <c r="D530" s="2" t="s">
        <v>82</v>
      </c>
      <c r="E530">
        <v>0.92859999999999998</v>
      </c>
      <c r="F530">
        <v>-7331.5</v>
      </c>
      <c r="G530">
        <v>45.8</v>
      </c>
      <c r="H530">
        <v>13.6</v>
      </c>
      <c r="I530">
        <v>27.6</v>
      </c>
      <c r="J530">
        <v>-18.600000000000001</v>
      </c>
      <c r="K530">
        <v>200.3</v>
      </c>
      <c r="L530" s="2"/>
    </row>
    <row r="531" spans="1:12" x14ac:dyDescent="0.25">
      <c r="A531" s="2" t="s">
        <v>30</v>
      </c>
      <c r="B531" s="2" t="s">
        <v>78</v>
      </c>
      <c r="C531" s="2" t="s">
        <v>79</v>
      </c>
      <c r="D531" s="2" t="s">
        <v>82</v>
      </c>
      <c r="E531">
        <v>1.8571</v>
      </c>
      <c r="F531">
        <v>-7331.5</v>
      </c>
      <c r="G531">
        <v>45.8</v>
      </c>
      <c r="H531">
        <v>13.6</v>
      </c>
      <c r="I531">
        <v>27.6</v>
      </c>
      <c r="J531">
        <v>-31</v>
      </c>
      <c r="K531">
        <v>157</v>
      </c>
      <c r="L531" s="2"/>
    </row>
    <row r="532" spans="1:12" x14ac:dyDescent="0.25">
      <c r="A532" s="2" t="s">
        <v>30</v>
      </c>
      <c r="B532" s="2" t="s">
        <v>78</v>
      </c>
      <c r="C532" s="2" t="s">
        <v>79</v>
      </c>
      <c r="D532" s="2" t="s">
        <v>82</v>
      </c>
      <c r="E532">
        <v>2.7856999999999998</v>
      </c>
      <c r="F532">
        <v>-7331.5</v>
      </c>
      <c r="G532">
        <v>45.8</v>
      </c>
      <c r="H532">
        <v>13.6</v>
      </c>
      <c r="I532">
        <v>27.6</v>
      </c>
      <c r="J532">
        <v>-43.1</v>
      </c>
      <c r="K532">
        <v>113.5</v>
      </c>
      <c r="L532" s="2"/>
    </row>
    <row r="533" spans="1:12" x14ac:dyDescent="0.25">
      <c r="A533" s="2" t="s">
        <v>30</v>
      </c>
      <c r="B533" s="2" t="s">
        <v>78</v>
      </c>
      <c r="C533" s="2" t="s">
        <v>79</v>
      </c>
      <c r="D533" s="2" t="s">
        <v>82</v>
      </c>
      <c r="E533">
        <v>3.7143000000000002</v>
      </c>
      <c r="F533">
        <v>-7331.5</v>
      </c>
      <c r="G533">
        <v>45.8</v>
      </c>
      <c r="H533">
        <v>13.6</v>
      </c>
      <c r="I533">
        <v>27.6</v>
      </c>
      <c r="J533">
        <v>-55.1</v>
      </c>
      <c r="K533">
        <v>69.900000000000006</v>
      </c>
      <c r="L533" s="2"/>
    </row>
    <row r="534" spans="1:12" x14ac:dyDescent="0.25">
      <c r="A534" s="2" t="s">
        <v>30</v>
      </c>
      <c r="B534" s="2" t="s">
        <v>78</v>
      </c>
      <c r="C534" s="2" t="s">
        <v>79</v>
      </c>
      <c r="D534" s="2" t="s">
        <v>82</v>
      </c>
      <c r="E534">
        <v>4.6429</v>
      </c>
      <c r="F534">
        <v>-7331.5</v>
      </c>
      <c r="G534">
        <v>45.8</v>
      </c>
      <c r="H534">
        <v>13.6</v>
      </c>
      <c r="I534">
        <v>27.6</v>
      </c>
      <c r="J534">
        <v>-52.9</v>
      </c>
      <c r="K534">
        <v>40.6</v>
      </c>
      <c r="L534" s="2"/>
    </row>
    <row r="535" spans="1:12" x14ac:dyDescent="0.25">
      <c r="A535" s="2" t="s">
        <v>30</v>
      </c>
      <c r="B535" s="2" t="s">
        <v>78</v>
      </c>
      <c r="C535" s="2" t="s">
        <v>79</v>
      </c>
      <c r="D535" s="2" t="s">
        <v>82</v>
      </c>
      <c r="E535">
        <v>5.5713999999999997</v>
      </c>
      <c r="F535">
        <v>-7331.5</v>
      </c>
      <c r="G535">
        <v>45.8</v>
      </c>
      <c r="H535">
        <v>13.6</v>
      </c>
      <c r="I535">
        <v>27.6</v>
      </c>
      <c r="J535">
        <v>-42</v>
      </c>
      <c r="K535">
        <v>30.5</v>
      </c>
      <c r="L535" s="2"/>
    </row>
    <row r="536" spans="1:12" x14ac:dyDescent="0.25">
      <c r="A536" s="2" t="s">
        <v>30</v>
      </c>
      <c r="B536" s="2" t="s">
        <v>78</v>
      </c>
      <c r="C536" s="2" t="s">
        <v>79</v>
      </c>
      <c r="D536" s="2" t="s">
        <v>82</v>
      </c>
      <c r="E536">
        <v>6.5</v>
      </c>
      <c r="F536">
        <v>-7331.5</v>
      </c>
      <c r="G536">
        <v>45.8</v>
      </c>
      <c r="H536">
        <v>13.6</v>
      </c>
      <c r="I536">
        <v>27.6</v>
      </c>
      <c r="J536">
        <v>-31</v>
      </c>
      <c r="K536">
        <v>20.3</v>
      </c>
      <c r="L536" s="2"/>
    </row>
    <row r="537" spans="1:12" x14ac:dyDescent="0.25">
      <c r="A537" s="2" t="s">
        <v>30</v>
      </c>
      <c r="B537" s="2" t="s">
        <v>78</v>
      </c>
      <c r="C537" s="2" t="s">
        <v>79</v>
      </c>
      <c r="D537" s="2" t="s">
        <v>82</v>
      </c>
      <c r="E537">
        <v>7.4286000000000003</v>
      </c>
      <c r="F537">
        <v>-7331.5</v>
      </c>
      <c r="G537">
        <v>45.8</v>
      </c>
      <c r="H537">
        <v>13.6</v>
      </c>
      <c r="I537">
        <v>27.6</v>
      </c>
      <c r="J537">
        <v>-19.899999999999999</v>
      </c>
      <c r="K537">
        <v>10</v>
      </c>
      <c r="L537" s="2"/>
    </row>
    <row r="538" spans="1:12" x14ac:dyDescent="0.25">
      <c r="A538" s="2" t="s">
        <v>30</v>
      </c>
      <c r="B538" s="2" t="s">
        <v>78</v>
      </c>
      <c r="C538" s="2" t="s">
        <v>79</v>
      </c>
      <c r="D538" s="2" t="s">
        <v>82</v>
      </c>
      <c r="E538">
        <v>8.3571000000000009</v>
      </c>
      <c r="F538">
        <v>-7331.5</v>
      </c>
      <c r="G538">
        <v>45.8</v>
      </c>
      <c r="H538">
        <v>13.6</v>
      </c>
      <c r="I538">
        <v>27.6</v>
      </c>
      <c r="J538">
        <v>-8.6999999999999993</v>
      </c>
      <c r="K538">
        <v>-0.3</v>
      </c>
      <c r="L538" s="2"/>
    </row>
    <row r="539" spans="1:12" x14ac:dyDescent="0.25">
      <c r="A539" s="2" t="s">
        <v>30</v>
      </c>
      <c r="B539" s="2" t="s">
        <v>78</v>
      </c>
      <c r="C539" s="2" t="s">
        <v>79</v>
      </c>
      <c r="D539" s="2" t="s">
        <v>82</v>
      </c>
      <c r="E539">
        <v>9.2857000000000003</v>
      </c>
      <c r="F539">
        <v>-7331.5</v>
      </c>
      <c r="G539">
        <v>45.8</v>
      </c>
      <c r="H539">
        <v>13.6</v>
      </c>
      <c r="I539">
        <v>27.6</v>
      </c>
      <c r="J539">
        <v>2.5</v>
      </c>
      <c r="K539">
        <v>-10.6</v>
      </c>
      <c r="L539" s="2"/>
    </row>
    <row r="540" spans="1:12" x14ac:dyDescent="0.25">
      <c r="A540" s="2" t="s">
        <v>30</v>
      </c>
      <c r="B540" s="2" t="s">
        <v>78</v>
      </c>
      <c r="C540" s="2" t="s">
        <v>79</v>
      </c>
      <c r="D540" s="2" t="s">
        <v>82</v>
      </c>
      <c r="E540">
        <v>10.2143</v>
      </c>
      <c r="F540">
        <v>-7331.5</v>
      </c>
      <c r="G540">
        <v>45.8</v>
      </c>
      <c r="H540">
        <v>13.6</v>
      </c>
      <c r="I540">
        <v>27.6</v>
      </c>
      <c r="J540">
        <v>13.7</v>
      </c>
      <c r="K540">
        <v>-20.9</v>
      </c>
      <c r="L540" s="2"/>
    </row>
    <row r="541" spans="1:12" x14ac:dyDescent="0.25">
      <c r="A541" s="2" t="s">
        <v>30</v>
      </c>
      <c r="B541" s="2" t="s">
        <v>78</v>
      </c>
      <c r="C541" s="2" t="s">
        <v>79</v>
      </c>
      <c r="D541" s="2" t="s">
        <v>82</v>
      </c>
      <c r="E541">
        <v>11.142899999999999</v>
      </c>
      <c r="F541">
        <v>-7331.5</v>
      </c>
      <c r="G541">
        <v>45.8</v>
      </c>
      <c r="H541">
        <v>13.6</v>
      </c>
      <c r="I541">
        <v>27.6</v>
      </c>
      <c r="J541">
        <v>24.8</v>
      </c>
      <c r="K541">
        <v>-31.1</v>
      </c>
      <c r="L541" s="2"/>
    </row>
    <row r="542" spans="1:12" x14ac:dyDescent="0.25">
      <c r="A542" s="2" t="s">
        <v>30</v>
      </c>
      <c r="B542" s="2" t="s">
        <v>78</v>
      </c>
      <c r="C542" s="2" t="s">
        <v>79</v>
      </c>
      <c r="D542" s="2" t="s">
        <v>82</v>
      </c>
      <c r="E542">
        <v>12.071400000000001</v>
      </c>
      <c r="F542">
        <v>-7331.5</v>
      </c>
      <c r="G542">
        <v>45.8</v>
      </c>
      <c r="H542">
        <v>13.6</v>
      </c>
      <c r="I542">
        <v>27.6</v>
      </c>
      <c r="J542">
        <v>35.9</v>
      </c>
      <c r="K542">
        <v>-41.3</v>
      </c>
      <c r="L542" s="2"/>
    </row>
    <row r="543" spans="1:12" x14ac:dyDescent="0.25">
      <c r="A543" s="2" t="s">
        <v>30</v>
      </c>
      <c r="B543" s="2" t="s">
        <v>78</v>
      </c>
      <c r="C543" s="2" t="s">
        <v>79</v>
      </c>
      <c r="D543" s="2" t="s">
        <v>82</v>
      </c>
      <c r="E543">
        <v>13</v>
      </c>
      <c r="F543">
        <v>-7331.5</v>
      </c>
      <c r="G543">
        <v>45.8</v>
      </c>
      <c r="H543">
        <v>13.6</v>
      </c>
      <c r="I543">
        <v>27.6</v>
      </c>
      <c r="J543">
        <v>46.9</v>
      </c>
      <c r="K543">
        <v>-51.3</v>
      </c>
      <c r="L543" s="2"/>
    </row>
    <row r="544" spans="1:12" x14ac:dyDescent="0.25">
      <c r="A544" s="2" t="s">
        <v>30</v>
      </c>
      <c r="B544" s="2" t="s">
        <v>78</v>
      </c>
      <c r="C544" s="2" t="s">
        <v>79</v>
      </c>
      <c r="D544" s="2" t="s">
        <v>82</v>
      </c>
      <c r="E544">
        <v>0</v>
      </c>
      <c r="F544">
        <v>-17456.3</v>
      </c>
      <c r="G544">
        <v>10.4</v>
      </c>
      <c r="H544">
        <v>-10.4</v>
      </c>
      <c r="I544">
        <v>13.9</v>
      </c>
      <c r="J544">
        <v>-104.3</v>
      </c>
      <c r="K544">
        <v>88.6</v>
      </c>
      <c r="L544" s="2"/>
    </row>
    <row r="545" spans="1:12" x14ac:dyDescent="0.25">
      <c r="A545" s="2" t="s">
        <v>30</v>
      </c>
      <c r="B545" s="2" t="s">
        <v>78</v>
      </c>
      <c r="C545" s="2" t="s">
        <v>79</v>
      </c>
      <c r="D545" s="2" t="s">
        <v>82</v>
      </c>
      <c r="E545">
        <v>0.92859999999999998</v>
      </c>
      <c r="F545">
        <v>-17413.400000000001</v>
      </c>
      <c r="G545">
        <v>10.4</v>
      </c>
      <c r="H545">
        <v>-10.4</v>
      </c>
      <c r="I545">
        <v>13.9</v>
      </c>
      <c r="J545">
        <v>-94.5</v>
      </c>
      <c r="K545">
        <v>79.400000000000006</v>
      </c>
      <c r="L545" s="2"/>
    </row>
    <row r="546" spans="1:12" x14ac:dyDescent="0.25">
      <c r="A546" s="2" t="s">
        <v>30</v>
      </c>
      <c r="B546" s="2" t="s">
        <v>78</v>
      </c>
      <c r="C546" s="2" t="s">
        <v>79</v>
      </c>
      <c r="D546" s="2" t="s">
        <v>82</v>
      </c>
      <c r="E546">
        <v>1.8571</v>
      </c>
      <c r="F546">
        <v>-17370.599999999999</v>
      </c>
      <c r="G546">
        <v>10.4</v>
      </c>
      <c r="H546">
        <v>-10.4</v>
      </c>
      <c r="I546">
        <v>13.9</v>
      </c>
      <c r="J546">
        <v>-84.4</v>
      </c>
      <c r="K546">
        <v>70</v>
      </c>
      <c r="L546" s="2"/>
    </row>
    <row r="547" spans="1:12" x14ac:dyDescent="0.25">
      <c r="A547" s="2" t="s">
        <v>30</v>
      </c>
      <c r="B547" s="2" t="s">
        <v>78</v>
      </c>
      <c r="C547" s="2" t="s">
        <v>79</v>
      </c>
      <c r="D547" s="2" t="s">
        <v>82</v>
      </c>
      <c r="E547">
        <v>2.7856999999999998</v>
      </c>
      <c r="F547">
        <v>-17327.7</v>
      </c>
      <c r="G547">
        <v>10.4</v>
      </c>
      <c r="H547">
        <v>-10.4</v>
      </c>
      <c r="I547">
        <v>13.9</v>
      </c>
      <c r="J547">
        <v>-74.099999999999994</v>
      </c>
      <c r="K547">
        <v>60.4</v>
      </c>
      <c r="L547" s="2"/>
    </row>
    <row r="548" spans="1:12" x14ac:dyDescent="0.25">
      <c r="A548" s="2" t="s">
        <v>30</v>
      </c>
      <c r="B548" s="2" t="s">
        <v>78</v>
      </c>
      <c r="C548" s="2" t="s">
        <v>79</v>
      </c>
      <c r="D548" s="2" t="s">
        <v>82</v>
      </c>
      <c r="E548">
        <v>3.7143000000000002</v>
      </c>
      <c r="F548">
        <v>-17284.8</v>
      </c>
      <c r="G548">
        <v>10.4</v>
      </c>
      <c r="H548">
        <v>-10.4</v>
      </c>
      <c r="I548">
        <v>13.9</v>
      </c>
      <c r="J548">
        <v>-70.900000000000006</v>
      </c>
      <c r="K548">
        <v>50.6</v>
      </c>
      <c r="L548" s="2"/>
    </row>
    <row r="549" spans="1:12" x14ac:dyDescent="0.25">
      <c r="A549" s="2" t="s">
        <v>30</v>
      </c>
      <c r="B549" s="2" t="s">
        <v>78</v>
      </c>
      <c r="C549" s="2" t="s">
        <v>79</v>
      </c>
      <c r="D549" s="2" t="s">
        <v>82</v>
      </c>
      <c r="E549">
        <v>4.6429</v>
      </c>
      <c r="F549">
        <v>-17241.900000000001</v>
      </c>
      <c r="G549">
        <v>10.4</v>
      </c>
      <c r="H549">
        <v>-10.4</v>
      </c>
      <c r="I549">
        <v>13.9</v>
      </c>
      <c r="J549">
        <v>-75.5</v>
      </c>
      <c r="K549">
        <v>19.8</v>
      </c>
      <c r="L549" s="2"/>
    </row>
    <row r="550" spans="1:12" x14ac:dyDescent="0.25">
      <c r="A550" s="2" t="s">
        <v>30</v>
      </c>
      <c r="B550" s="2" t="s">
        <v>78</v>
      </c>
      <c r="C550" s="2" t="s">
        <v>79</v>
      </c>
      <c r="D550" s="2" t="s">
        <v>82</v>
      </c>
      <c r="E550">
        <v>5.5713999999999997</v>
      </c>
      <c r="F550">
        <v>-17199</v>
      </c>
      <c r="G550">
        <v>10.4</v>
      </c>
      <c r="H550">
        <v>-10.4</v>
      </c>
      <c r="I550">
        <v>13.9</v>
      </c>
      <c r="J550">
        <v>-79.8</v>
      </c>
      <c r="K550">
        <v>-21.4</v>
      </c>
      <c r="L550" s="2"/>
    </row>
    <row r="551" spans="1:12" x14ac:dyDescent="0.25">
      <c r="A551" s="2" t="s">
        <v>30</v>
      </c>
      <c r="B551" s="2" t="s">
        <v>78</v>
      </c>
      <c r="C551" s="2" t="s">
        <v>79</v>
      </c>
      <c r="D551" s="2" t="s">
        <v>82</v>
      </c>
      <c r="E551">
        <v>6.5</v>
      </c>
      <c r="F551">
        <v>-17156.099999999999</v>
      </c>
      <c r="G551">
        <v>10.4</v>
      </c>
      <c r="H551">
        <v>-10.4</v>
      </c>
      <c r="I551">
        <v>13.9</v>
      </c>
      <c r="J551">
        <v>-89.9</v>
      </c>
      <c r="K551">
        <v>-63.5</v>
      </c>
      <c r="L551" s="2"/>
    </row>
    <row r="552" spans="1:12" x14ac:dyDescent="0.25">
      <c r="A552" s="2" t="s">
        <v>30</v>
      </c>
      <c r="B552" s="2" t="s">
        <v>78</v>
      </c>
      <c r="C552" s="2" t="s">
        <v>79</v>
      </c>
      <c r="D552" s="2" t="s">
        <v>82</v>
      </c>
      <c r="E552">
        <v>7.4286000000000003</v>
      </c>
      <c r="F552">
        <v>-17113.3</v>
      </c>
      <c r="G552">
        <v>10.4</v>
      </c>
      <c r="H552">
        <v>-10.4</v>
      </c>
      <c r="I552">
        <v>13.9</v>
      </c>
      <c r="J552">
        <v>-101.2</v>
      </c>
      <c r="K552">
        <v>-107.7</v>
      </c>
      <c r="L552" s="2"/>
    </row>
    <row r="553" spans="1:12" x14ac:dyDescent="0.25">
      <c r="A553" s="2" t="s">
        <v>30</v>
      </c>
      <c r="B553" s="2" t="s">
        <v>78</v>
      </c>
      <c r="C553" s="2" t="s">
        <v>79</v>
      </c>
      <c r="D553" s="2" t="s">
        <v>82</v>
      </c>
      <c r="E553">
        <v>8.3571000000000009</v>
      </c>
      <c r="F553">
        <v>-17070.400000000001</v>
      </c>
      <c r="G553">
        <v>10.4</v>
      </c>
      <c r="H553">
        <v>-10.4</v>
      </c>
      <c r="I553">
        <v>13.9</v>
      </c>
      <c r="J553">
        <v>-112.5</v>
      </c>
      <c r="K553">
        <v>-151.80000000000001</v>
      </c>
      <c r="L553" s="2"/>
    </row>
    <row r="554" spans="1:12" x14ac:dyDescent="0.25">
      <c r="A554" s="2" t="s">
        <v>30</v>
      </c>
      <c r="B554" s="2" t="s">
        <v>78</v>
      </c>
      <c r="C554" s="2" t="s">
        <v>79</v>
      </c>
      <c r="D554" s="2" t="s">
        <v>82</v>
      </c>
      <c r="E554">
        <v>9.2857000000000003</v>
      </c>
      <c r="F554">
        <v>-17027.5</v>
      </c>
      <c r="G554">
        <v>10.4</v>
      </c>
      <c r="H554">
        <v>-10.4</v>
      </c>
      <c r="I554">
        <v>13.9</v>
      </c>
      <c r="J554">
        <v>-123.6</v>
      </c>
      <c r="K554">
        <v>-195.6</v>
      </c>
      <c r="L554" s="2"/>
    </row>
    <row r="555" spans="1:12" x14ac:dyDescent="0.25">
      <c r="A555" s="2" t="s">
        <v>30</v>
      </c>
      <c r="B555" s="2" t="s">
        <v>78</v>
      </c>
      <c r="C555" s="2" t="s">
        <v>79</v>
      </c>
      <c r="D555" s="2" t="s">
        <v>82</v>
      </c>
      <c r="E555">
        <v>10.2143</v>
      </c>
      <c r="F555">
        <v>-16984.599999999999</v>
      </c>
      <c r="G555">
        <v>10.4</v>
      </c>
      <c r="H555">
        <v>-10.4</v>
      </c>
      <c r="I555">
        <v>13.9</v>
      </c>
      <c r="J555">
        <v>-134.69999999999999</v>
      </c>
      <c r="K555">
        <v>-239</v>
      </c>
      <c r="L555" s="2"/>
    </row>
    <row r="556" spans="1:12" x14ac:dyDescent="0.25">
      <c r="A556" s="2" t="s">
        <v>30</v>
      </c>
      <c r="B556" s="2" t="s">
        <v>78</v>
      </c>
      <c r="C556" s="2" t="s">
        <v>79</v>
      </c>
      <c r="D556" s="2" t="s">
        <v>82</v>
      </c>
      <c r="E556">
        <v>11.142899999999999</v>
      </c>
      <c r="F556">
        <v>-16941.7</v>
      </c>
      <c r="G556">
        <v>10.4</v>
      </c>
      <c r="H556">
        <v>-10.4</v>
      </c>
      <c r="I556">
        <v>13.9</v>
      </c>
      <c r="J556">
        <v>-145.69999999999999</v>
      </c>
      <c r="K556">
        <v>-282</v>
      </c>
      <c r="L556" s="2"/>
    </row>
    <row r="557" spans="1:12" x14ac:dyDescent="0.25">
      <c r="A557" s="2" t="s">
        <v>30</v>
      </c>
      <c r="B557" s="2" t="s">
        <v>78</v>
      </c>
      <c r="C557" s="2" t="s">
        <v>79</v>
      </c>
      <c r="D557" s="2" t="s">
        <v>82</v>
      </c>
      <c r="E557">
        <v>12.071400000000001</v>
      </c>
      <c r="F557">
        <v>-16898.8</v>
      </c>
      <c r="G557">
        <v>10.4</v>
      </c>
      <c r="H557">
        <v>-10.4</v>
      </c>
      <c r="I557">
        <v>13.9</v>
      </c>
      <c r="J557">
        <v>-156.6</v>
      </c>
      <c r="K557">
        <v>-324.5</v>
      </c>
      <c r="L557" s="2"/>
    </row>
    <row r="558" spans="1:12" x14ac:dyDescent="0.25">
      <c r="A558" s="2" t="s">
        <v>30</v>
      </c>
      <c r="B558" s="2" t="s">
        <v>78</v>
      </c>
      <c r="C558" s="2" t="s">
        <v>79</v>
      </c>
      <c r="D558" s="2" t="s">
        <v>82</v>
      </c>
      <c r="E558">
        <v>13</v>
      </c>
      <c r="F558">
        <v>-16856</v>
      </c>
      <c r="G558">
        <v>10.4</v>
      </c>
      <c r="H558">
        <v>-10.4</v>
      </c>
      <c r="I558">
        <v>13.9</v>
      </c>
      <c r="J558">
        <v>-167.6</v>
      </c>
      <c r="K558">
        <v>-366.3</v>
      </c>
      <c r="L558" s="2"/>
    </row>
    <row r="559" spans="1:12" x14ac:dyDescent="0.25">
      <c r="A559" s="2" t="s">
        <v>30</v>
      </c>
      <c r="B559" s="2" t="s">
        <v>78</v>
      </c>
      <c r="C559" s="2" t="s">
        <v>79</v>
      </c>
      <c r="D559" s="2" t="s">
        <v>83</v>
      </c>
      <c r="E559">
        <v>0</v>
      </c>
      <c r="F559">
        <v>-3932.1</v>
      </c>
      <c r="G559">
        <v>64.900000000000006</v>
      </c>
      <c r="H559">
        <v>97.1</v>
      </c>
      <c r="I559">
        <v>95.4</v>
      </c>
      <c r="J559">
        <v>317.3</v>
      </c>
      <c r="K559">
        <v>263.3</v>
      </c>
      <c r="L559" s="2"/>
    </row>
    <row r="560" spans="1:12" x14ac:dyDescent="0.25">
      <c r="A560" s="2" t="s">
        <v>30</v>
      </c>
      <c r="B560" s="2" t="s">
        <v>78</v>
      </c>
      <c r="C560" s="2" t="s">
        <v>79</v>
      </c>
      <c r="D560" s="2" t="s">
        <v>83</v>
      </c>
      <c r="E560">
        <v>0.92859999999999998</v>
      </c>
      <c r="F560">
        <v>-3932.1</v>
      </c>
      <c r="G560">
        <v>64.900000000000006</v>
      </c>
      <c r="H560">
        <v>97.1</v>
      </c>
      <c r="I560">
        <v>95.4</v>
      </c>
      <c r="J560">
        <v>227.5</v>
      </c>
      <c r="K560">
        <v>202.1</v>
      </c>
      <c r="L560" s="2"/>
    </row>
    <row r="561" spans="1:12" x14ac:dyDescent="0.25">
      <c r="A561" s="2" t="s">
        <v>30</v>
      </c>
      <c r="B561" s="2" t="s">
        <v>78</v>
      </c>
      <c r="C561" s="2" t="s">
        <v>79</v>
      </c>
      <c r="D561" s="2" t="s">
        <v>83</v>
      </c>
      <c r="E561">
        <v>1.8571</v>
      </c>
      <c r="F561">
        <v>-3932.1</v>
      </c>
      <c r="G561">
        <v>64.900000000000006</v>
      </c>
      <c r="H561">
        <v>97.1</v>
      </c>
      <c r="I561">
        <v>95.4</v>
      </c>
      <c r="J561">
        <v>137.80000000000001</v>
      </c>
      <c r="K561">
        <v>141.19999999999999</v>
      </c>
      <c r="L561" s="2"/>
    </row>
    <row r="562" spans="1:12" x14ac:dyDescent="0.25">
      <c r="A562" s="2" t="s">
        <v>30</v>
      </c>
      <c r="B562" s="2" t="s">
        <v>78</v>
      </c>
      <c r="C562" s="2" t="s">
        <v>79</v>
      </c>
      <c r="D562" s="2" t="s">
        <v>83</v>
      </c>
      <c r="E562">
        <v>2.7856999999999998</v>
      </c>
      <c r="F562">
        <v>-3932.1</v>
      </c>
      <c r="G562">
        <v>64.900000000000006</v>
      </c>
      <c r="H562">
        <v>97.1</v>
      </c>
      <c r="I562">
        <v>95.4</v>
      </c>
      <c r="J562">
        <v>69.400000000000006</v>
      </c>
      <c r="K562">
        <v>95.8</v>
      </c>
      <c r="L562" s="2"/>
    </row>
    <row r="563" spans="1:12" x14ac:dyDescent="0.25">
      <c r="A563" s="2" t="s">
        <v>30</v>
      </c>
      <c r="B563" s="2" t="s">
        <v>78</v>
      </c>
      <c r="C563" s="2" t="s">
        <v>79</v>
      </c>
      <c r="D563" s="2" t="s">
        <v>83</v>
      </c>
      <c r="E563">
        <v>3.7143000000000002</v>
      </c>
      <c r="F563">
        <v>-3932.1</v>
      </c>
      <c r="G563">
        <v>64.900000000000006</v>
      </c>
      <c r="H563">
        <v>97.1</v>
      </c>
      <c r="I563">
        <v>95.4</v>
      </c>
      <c r="J563">
        <v>30.7</v>
      </c>
      <c r="K563">
        <v>62</v>
      </c>
      <c r="L563" s="2"/>
    </row>
    <row r="564" spans="1:12" x14ac:dyDescent="0.25">
      <c r="A564" s="2" t="s">
        <v>30</v>
      </c>
      <c r="B564" s="2" t="s">
        <v>78</v>
      </c>
      <c r="C564" s="2" t="s">
        <v>79</v>
      </c>
      <c r="D564" s="2" t="s">
        <v>83</v>
      </c>
      <c r="E564">
        <v>4.6429</v>
      </c>
      <c r="F564">
        <v>-3932.1</v>
      </c>
      <c r="G564">
        <v>64.900000000000006</v>
      </c>
      <c r="H564">
        <v>97.1</v>
      </c>
      <c r="I564">
        <v>95.4</v>
      </c>
      <c r="J564">
        <v>24.3</v>
      </c>
      <c r="K564">
        <v>42.6</v>
      </c>
      <c r="L564" s="2"/>
    </row>
    <row r="565" spans="1:12" x14ac:dyDescent="0.25">
      <c r="A565" s="2" t="s">
        <v>30</v>
      </c>
      <c r="B565" s="2" t="s">
        <v>78</v>
      </c>
      <c r="C565" s="2" t="s">
        <v>79</v>
      </c>
      <c r="D565" s="2" t="s">
        <v>83</v>
      </c>
      <c r="E565">
        <v>5.5713999999999997</v>
      </c>
      <c r="F565">
        <v>-3932.1</v>
      </c>
      <c r="G565">
        <v>64.900000000000006</v>
      </c>
      <c r="H565">
        <v>97.1</v>
      </c>
      <c r="I565">
        <v>95.4</v>
      </c>
      <c r="J565">
        <v>75.099999999999994</v>
      </c>
      <c r="K565">
        <v>42.5</v>
      </c>
      <c r="L565" s="2"/>
    </row>
    <row r="566" spans="1:12" x14ac:dyDescent="0.25">
      <c r="A566" s="2" t="s">
        <v>30</v>
      </c>
      <c r="B566" s="2" t="s">
        <v>78</v>
      </c>
      <c r="C566" s="2" t="s">
        <v>79</v>
      </c>
      <c r="D566" s="2" t="s">
        <v>83</v>
      </c>
      <c r="E566">
        <v>6.5</v>
      </c>
      <c r="F566">
        <v>-3932.1</v>
      </c>
      <c r="G566">
        <v>64.900000000000006</v>
      </c>
      <c r="H566">
        <v>97.1</v>
      </c>
      <c r="I566">
        <v>95.4</v>
      </c>
      <c r="J566">
        <v>125.9</v>
      </c>
      <c r="K566">
        <v>42.3</v>
      </c>
      <c r="L566" s="2"/>
    </row>
    <row r="567" spans="1:12" x14ac:dyDescent="0.25">
      <c r="A567" s="2" t="s">
        <v>30</v>
      </c>
      <c r="B567" s="2" t="s">
        <v>78</v>
      </c>
      <c r="C567" s="2" t="s">
        <v>79</v>
      </c>
      <c r="D567" s="2" t="s">
        <v>83</v>
      </c>
      <c r="E567">
        <v>7.4286000000000003</v>
      </c>
      <c r="F567">
        <v>-3932.1</v>
      </c>
      <c r="G567">
        <v>64.900000000000006</v>
      </c>
      <c r="H567">
        <v>97.1</v>
      </c>
      <c r="I567">
        <v>95.4</v>
      </c>
      <c r="J567">
        <v>176.8</v>
      </c>
      <c r="K567">
        <v>42</v>
      </c>
      <c r="L567" s="2"/>
    </row>
    <row r="568" spans="1:12" x14ac:dyDescent="0.25">
      <c r="A568" s="2" t="s">
        <v>30</v>
      </c>
      <c r="B568" s="2" t="s">
        <v>78</v>
      </c>
      <c r="C568" s="2" t="s">
        <v>79</v>
      </c>
      <c r="D568" s="2" t="s">
        <v>83</v>
      </c>
      <c r="E568">
        <v>8.3571000000000009</v>
      </c>
      <c r="F568">
        <v>-3932.1</v>
      </c>
      <c r="G568">
        <v>64.900000000000006</v>
      </c>
      <c r="H568">
        <v>97.1</v>
      </c>
      <c r="I568">
        <v>95.4</v>
      </c>
      <c r="J568">
        <v>227.7</v>
      </c>
      <c r="K568">
        <v>41.8</v>
      </c>
      <c r="L568" s="2"/>
    </row>
    <row r="569" spans="1:12" x14ac:dyDescent="0.25">
      <c r="A569" s="2" t="s">
        <v>30</v>
      </c>
      <c r="B569" s="2" t="s">
        <v>78</v>
      </c>
      <c r="C569" s="2" t="s">
        <v>79</v>
      </c>
      <c r="D569" s="2" t="s">
        <v>83</v>
      </c>
      <c r="E569">
        <v>9.2857000000000003</v>
      </c>
      <c r="F569">
        <v>-3932.1</v>
      </c>
      <c r="G569">
        <v>64.900000000000006</v>
      </c>
      <c r="H569">
        <v>97.1</v>
      </c>
      <c r="I569">
        <v>95.4</v>
      </c>
      <c r="J569">
        <v>278.7</v>
      </c>
      <c r="K569">
        <v>41.5</v>
      </c>
      <c r="L569" s="2"/>
    </row>
    <row r="570" spans="1:12" x14ac:dyDescent="0.25">
      <c r="A570" s="2" t="s">
        <v>30</v>
      </c>
      <c r="B570" s="2" t="s">
        <v>78</v>
      </c>
      <c r="C570" s="2" t="s">
        <v>79</v>
      </c>
      <c r="D570" s="2" t="s">
        <v>83</v>
      </c>
      <c r="E570">
        <v>10.2143</v>
      </c>
      <c r="F570">
        <v>-3932.1</v>
      </c>
      <c r="G570">
        <v>64.900000000000006</v>
      </c>
      <c r="H570">
        <v>97.1</v>
      </c>
      <c r="I570">
        <v>95.4</v>
      </c>
      <c r="J570">
        <v>329.6</v>
      </c>
      <c r="K570">
        <v>41.2</v>
      </c>
      <c r="L570" s="2"/>
    </row>
    <row r="571" spans="1:12" x14ac:dyDescent="0.25">
      <c r="A571" s="2" t="s">
        <v>30</v>
      </c>
      <c r="B571" s="2" t="s">
        <v>78</v>
      </c>
      <c r="C571" s="2" t="s">
        <v>79</v>
      </c>
      <c r="D571" s="2" t="s">
        <v>83</v>
      </c>
      <c r="E571">
        <v>11.142899999999999</v>
      </c>
      <c r="F571">
        <v>-3932.1</v>
      </c>
      <c r="G571">
        <v>64.900000000000006</v>
      </c>
      <c r="H571">
        <v>97.1</v>
      </c>
      <c r="I571">
        <v>95.4</v>
      </c>
      <c r="J571">
        <v>380.5</v>
      </c>
      <c r="K571">
        <v>40.9</v>
      </c>
      <c r="L571" s="2"/>
    </row>
    <row r="572" spans="1:12" x14ac:dyDescent="0.25">
      <c r="A572" s="2" t="s">
        <v>30</v>
      </c>
      <c r="B572" s="2" t="s">
        <v>78</v>
      </c>
      <c r="C572" s="2" t="s">
        <v>79</v>
      </c>
      <c r="D572" s="2" t="s">
        <v>83</v>
      </c>
      <c r="E572">
        <v>12.071400000000001</v>
      </c>
      <c r="F572">
        <v>-3932.1</v>
      </c>
      <c r="G572">
        <v>64.900000000000006</v>
      </c>
      <c r="H572">
        <v>97.1</v>
      </c>
      <c r="I572">
        <v>95.4</v>
      </c>
      <c r="J572">
        <v>431.4</v>
      </c>
      <c r="K572">
        <v>40.6</v>
      </c>
      <c r="L572" s="2"/>
    </row>
    <row r="573" spans="1:12" x14ac:dyDescent="0.25">
      <c r="A573" s="2" t="s">
        <v>30</v>
      </c>
      <c r="B573" s="2" t="s">
        <v>78</v>
      </c>
      <c r="C573" s="2" t="s">
        <v>79</v>
      </c>
      <c r="D573" s="2" t="s">
        <v>83</v>
      </c>
      <c r="E573">
        <v>13</v>
      </c>
      <c r="F573">
        <v>-3932.1</v>
      </c>
      <c r="G573">
        <v>64.900000000000006</v>
      </c>
      <c r="H573">
        <v>97.1</v>
      </c>
      <c r="I573">
        <v>95.4</v>
      </c>
      <c r="J573">
        <v>482.3</v>
      </c>
      <c r="K573">
        <v>40.4</v>
      </c>
      <c r="L573" s="2"/>
    </row>
    <row r="574" spans="1:12" x14ac:dyDescent="0.25">
      <c r="A574" s="2" t="s">
        <v>30</v>
      </c>
      <c r="B574" s="2" t="s">
        <v>78</v>
      </c>
      <c r="C574" s="2" t="s">
        <v>79</v>
      </c>
      <c r="D574" s="2" t="s">
        <v>83</v>
      </c>
      <c r="E574">
        <v>0</v>
      </c>
      <c r="F574">
        <v>-17237.099999999999</v>
      </c>
      <c r="G574">
        <v>-0.4</v>
      </c>
      <c r="H574">
        <v>-53.6</v>
      </c>
      <c r="I574">
        <v>-54</v>
      </c>
      <c r="J574">
        <v>-228.4</v>
      </c>
      <c r="K574">
        <v>37.799999999999997</v>
      </c>
      <c r="L574" s="2"/>
    </row>
    <row r="575" spans="1:12" x14ac:dyDescent="0.25">
      <c r="A575" s="2" t="s">
        <v>30</v>
      </c>
      <c r="B575" s="2" t="s">
        <v>78</v>
      </c>
      <c r="C575" s="2" t="s">
        <v>79</v>
      </c>
      <c r="D575" s="2" t="s">
        <v>83</v>
      </c>
      <c r="E575">
        <v>0.92859999999999998</v>
      </c>
      <c r="F575">
        <v>-17194.2</v>
      </c>
      <c r="G575">
        <v>-0.4</v>
      </c>
      <c r="H575">
        <v>-53.6</v>
      </c>
      <c r="I575">
        <v>-54</v>
      </c>
      <c r="J575">
        <v>-178.1</v>
      </c>
      <c r="K575">
        <v>35.9</v>
      </c>
      <c r="L575" s="2"/>
    </row>
    <row r="576" spans="1:12" x14ac:dyDescent="0.25">
      <c r="A576" s="2" t="s">
        <v>30</v>
      </c>
      <c r="B576" s="2" t="s">
        <v>78</v>
      </c>
      <c r="C576" s="2" t="s">
        <v>79</v>
      </c>
      <c r="D576" s="2" t="s">
        <v>83</v>
      </c>
      <c r="E576">
        <v>1.8571</v>
      </c>
      <c r="F576">
        <v>-17151.3</v>
      </c>
      <c r="G576">
        <v>-0.4</v>
      </c>
      <c r="H576">
        <v>-53.6</v>
      </c>
      <c r="I576">
        <v>-54</v>
      </c>
      <c r="J576">
        <v>-127.7</v>
      </c>
      <c r="K576">
        <v>33.799999999999997</v>
      </c>
      <c r="L576" s="2"/>
    </row>
    <row r="577" spans="1:12" x14ac:dyDescent="0.25">
      <c r="A577" s="2" t="s">
        <v>30</v>
      </c>
      <c r="B577" s="2" t="s">
        <v>78</v>
      </c>
      <c r="C577" s="2" t="s">
        <v>79</v>
      </c>
      <c r="D577" s="2" t="s">
        <v>83</v>
      </c>
      <c r="E577">
        <v>2.7856999999999998</v>
      </c>
      <c r="F577">
        <v>-17108.400000000001</v>
      </c>
      <c r="G577">
        <v>-0.4</v>
      </c>
      <c r="H577">
        <v>-53.6</v>
      </c>
      <c r="I577">
        <v>-54</v>
      </c>
      <c r="J577">
        <v>-91</v>
      </c>
      <c r="K577">
        <v>23.3</v>
      </c>
      <c r="L577" s="2"/>
    </row>
    <row r="578" spans="1:12" x14ac:dyDescent="0.25">
      <c r="A578" s="2" t="s">
        <v>30</v>
      </c>
      <c r="B578" s="2" t="s">
        <v>78</v>
      </c>
      <c r="C578" s="2" t="s">
        <v>79</v>
      </c>
      <c r="D578" s="2" t="s">
        <v>83</v>
      </c>
      <c r="E578">
        <v>3.7143000000000002</v>
      </c>
      <c r="F578">
        <v>-17065.5</v>
      </c>
      <c r="G578">
        <v>-0.4</v>
      </c>
      <c r="H578">
        <v>-53.6</v>
      </c>
      <c r="I578">
        <v>-54</v>
      </c>
      <c r="J578">
        <v>-84.8</v>
      </c>
      <c r="K578">
        <v>-1.7</v>
      </c>
      <c r="L578" s="2"/>
    </row>
    <row r="579" spans="1:12" x14ac:dyDescent="0.25">
      <c r="A579" s="2" t="s">
        <v>30</v>
      </c>
      <c r="B579" s="2" t="s">
        <v>78</v>
      </c>
      <c r="C579" s="2" t="s">
        <v>79</v>
      </c>
      <c r="D579" s="2" t="s">
        <v>83</v>
      </c>
      <c r="E579">
        <v>4.6429</v>
      </c>
      <c r="F579">
        <v>-17022.7</v>
      </c>
      <c r="G579">
        <v>-0.4</v>
      </c>
      <c r="H579">
        <v>-53.6</v>
      </c>
      <c r="I579">
        <v>-54</v>
      </c>
      <c r="J579">
        <v>-139.6</v>
      </c>
      <c r="K579">
        <v>-50.3</v>
      </c>
      <c r="L579" s="2"/>
    </row>
    <row r="580" spans="1:12" x14ac:dyDescent="0.25">
      <c r="A580" s="2" t="s">
        <v>30</v>
      </c>
      <c r="B580" s="2" t="s">
        <v>78</v>
      </c>
      <c r="C580" s="2" t="s">
        <v>79</v>
      </c>
      <c r="D580" s="2" t="s">
        <v>83</v>
      </c>
      <c r="E580">
        <v>5.5713999999999997</v>
      </c>
      <c r="F580">
        <v>-16979.8</v>
      </c>
      <c r="G580">
        <v>-0.4</v>
      </c>
      <c r="H580">
        <v>-53.6</v>
      </c>
      <c r="I580">
        <v>-54</v>
      </c>
      <c r="J580">
        <v>-221.7</v>
      </c>
      <c r="K580">
        <v>-109.2</v>
      </c>
      <c r="L580" s="2"/>
    </row>
    <row r="581" spans="1:12" x14ac:dyDescent="0.25">
      <c r="A581" s="2" t="s">
        <v>30</v>
      </c>
      <c r="B581" s="2" t="s">
        <v>78</v>
      </c>
      <c r="C581" s="2" t="s">
        <v>79</v>
      </c>
      <c r="D581" s="2" t="s">
        <v>83</v>
      </c>
      <c r="E581">
        <v>6.5</v>
      </c>
      <c r="F581">
        <v>-16936.900000000001</v>
      </c>
      <c r="G581">
        <v>-0.4</v>
      </c>
      <c r="H581">
        <v>-53.6</v>
      </c>
      <c r="I581">
        <v>-54</v>
      </c>
      <c r="J581">
        <v>-309.7</v>
      </c>
      <c r="K581">
        <v>-169</v>
      </c>
      <c r="L581" s="2"/>
    </row>
    <row r="582" spans="1:12" x14ac:dyDescent="0.25">
      <c r="A582" s="2" t="s">
        <v>30</v>
      </c>
      <c r="B582" s="2" t="s">
        <v>78</v>
      </c>
      <c r="C582" s="2" t="s">
        <v>79</v>
      </c>
      <c r="D582" s="2" t="s">
        <v>83</v>
      </c>
      <c r="E582">
        <v>7.4286000000000003</v>
      </c>
      <c r="F582">
        <v>-16894</v>
      </c>
      <c r="G582">
        <v>-0.4</v>
      </c>
      <c r="H582">
        <v>-53.6</v>
      </c>
      <c r="I582">
        <v>-54</v>
      </c>
      <c r="J582">
        <v>-399</v>
      </c>
      <c r="K582">
        <v>-231</v>
      </c>
      <c r="L582" s="2"/>
    </row>
    <row r="583" spans="1:12" x14ac:dyDescent="0.25">
      <c r="A583" s="2" t="s">
        <v>30</v>
      </c>
      <c r="B583" s="2" t="s">
        <v>78</v>
      </c>
      <c r="C583" s="2" t="s">
        <v>79</v>
      </c>
      <c r="D583" s="2" t="s">
        <v>83</v>
      </c>
      <c r="E583">
        <v>8.3571000000000009</v>
      </c>
      <c r="F583">
        <v>-16851.099999999999</v>
      </c>
      <c r="G583">
        <v>-0.4</v>
      </c>
      <c r="H583">
        <v>-53.6</v>
      </c>
      <c r="I583">
        <v>-54</v>
      </c>
      <c r="J583">
        <v>-488.2</v>
      </c>
      <c r="K583">
        <v>-292.7</v>
      </c>
      <c r="L583" s="2"/>
    </row>
    <row r="584" spans="1:12" x14ac:dyDescent="0.25">
      <c r="A584" s="2" t="s">
        <v>30</v>
      </c>
      <c r="B584" s="2" t="s">
        <v>78</v>
      </c>
      <c r="C584" s="2" t="s">
        <v>79</v>
      </c>
      <c r="D584" s="2" t="s">
        <v>83</v>
      </c>
      <c r="E584">
        <v>9.2857000000000003</v>
      </c>
      <c r="F584">
        <v>-16808.2</v>
      </c>
      <c r="G584">
        <v>-0.4</v>
      </c>
      <c r="H584">
        <v>-53.6</v>
      </c>
      <c r="I584">
        <v>-54</v>
      </c>
      <c r="J584">
        <v>-577.29999999999995</v>
      </c>
      <c r="K584">
        <v>-354.2</v>
      </c>
      <c r="L584" s="2"/>
    </row>
    <row r="585" spans="1:12" x14ac:dyDescent="0.25">
      <c r="A585" s="2" t="s">
        <v>30</v>
      </c>
      <c r="B585" s="2" t="s">
        <v>78</v>
      </c>
      <c r="C585" s="2" t="s">
        <v>79</v>
      </c>
      <c r="D585" s="2" t="s">
        <v>83</v>
      </c>
      <c r="E585">
        <v>10.2143</v>
      </c>
      <c r="F585">
        <v>-16765.400000000001</v>
      </c>
      <c r="G585">
        <v>-0.4</v>
      </c>
      <c r="H585">
        <v>-53.6</v>
      </c>
      <c r="I585">
        <v>-54</v>
      </c>
      <c r="J585">
        <v>-666.3</v>
      </c>
      <c r="K585">
        <v>-415.4</v>
      </c>
      <c r="L585" s="2"/>
    </row>
    <row r="586" spans="1:12" x14ac:dyDescent="0.25">
      <c r="A586" s="2" t="s">
        <v>30</v>
      </c>
      <c r="B586" s="2" t="s">
        <v>78</v>
      </c>
      <c r="C586" s="2" t="s">
        <v>79</v>
      </c>
      <c r="D586" s="2" t="s">
        <v>83</v>
      </c>
      <c r="E586">
        <v>11.142899999999999</v>
      </c>
      <c r="F586">
        <v>-16722.5</v>
      </c>
      <c r="G586">
        <v>-0.4</v>
      </c>
      <c r="H586">
        <v>-53.6</v>
      </c>
      <c r="I586">
        <v>-54</v>
      </c>
      <c r="J586">
        <v>-755.3</v>
      </c>
      <c r="K586">
        <v>-476.2</v>
      </c>
      <c r="L586" s="2"/>
    </row>
    <row r="587" spans="1:12" x14ac:dyDescent="0.25">
      <c r="A587" s="2" t="s">
        <v>30</v>
      </c>
      <c r="B587" s="2" t="s">
        <v>78</v>
      </c>
      <c r="C587" s="2" t="s">
        <v>79</v>
      </c>
      <c r="D587" s="2" t="s">
        <v>83</v>
      </c>
      <c r="E587">
        <v>12.071400000000001</v>
      </c>
      <c r="F587">
        <v>-16679.599999999999</v>
      </c>
      <c r="G587">
        <v>-0.4</v>
      </c>
      <c r="H587">
        <v>-53.6</v>
      </c>
      <c r="I587">
        <v>-54</v>
      </c>
      <c r="J587">
        <v>-844.2</v>
      </c>
      <c r="K587">
        <v>-536.5</v>
      </c>
      <c r="L587" s="2"/>
    </row>
    <row r="588" spans="1:12" x14ac:dyDescent="0.25">
      <c r="A588" s="2" t="s">
        <v>30</v>
      </c>
      <c r="B588" s="2" t="s">
        <v>78</v>
      </c>
      <c r="C588" s="2" t="s">
        <v>79</v>
      </c>
      <c r="D588" s="2" t="s">
        <v>83</v>
      </c>
      <c r="E588">
        <v>13</v>
      </c>
      <c r="F588">
        <v>-16636.7</v>
      </c>
      <c r="G588">
        <v>-0.4</v>
      </c>
      <c r="H588">
        <v>-53.6</v>
      </c>
      <c r="I588">
        <v>-54</v>
      </c>
      <c r="J588">
        <v>-933</v>
      </c>
      <c r="K588">
        <v>-596.29999999999995</v>
      </c>
      <c r="L588" s="2"/>
    </row>
    <row r="589" spans="1:12" x14ac:dyDescent="0.25">
      <c r="A589" s="2" t="s">
        <v>30</v>
      </c>
      <c r="B589" s="2" t="s">
        <v>78</v>
      </c>
      <c r="C589" s="2" t="s">
        <v>79</v>
      </c>
      <c r="D589" s="2" t="s">
        <v>84</v>
      </c>
      <c r="E589">
        <v>0</v>
      </c>
      <c r="F589">
        <v>-3871.6</v>
      </c>
      <c r="G589">
        <v>45.3</v>
      </c>
      <c r="H589">
        <v>66.900000000000006</v>
      </c>
      <c r="I589">
        <v>82.8</v>
      </c>
      <c r="J589">
        <v>213</v>
      </c>
      <c r="K589">
        <v>210.4</v>
      </c>
      <c r="L589" s="2"/>
    </row>
    <row r="590" spans="1:12" x14ac:dyDescent="0.25">
      <c r="A590" s="2" t="s">
        <v>30</v>
      </c>
      <c r="B590" s="2" t="s">
        <v>78</v>
      </c>
      <c r="C590" s="2" t="s">
        <v>79</v>
      </c>
      <c r="D590" s="2" t="s">
        <v>84</v>
      </c>
      <c r="E590">
        <v>0.92859999999999998</v>
      </c>
      <c r="F590">
        <v>-3871.6</v>
      </c>
      <c r="G590">
        <v>45.3</v>
      </c>
      <c r="H590">
        <v>66.900000000000006</v>
      </c>
      <c r="I590">
        <v>82.8</v>
      </c>
      <c r="J590">
        <v>151.30000000000001</v>
      </c>
      <c r="K590">
        <v>169.8</v>
      </c>
      <c r="L590" s="2"/>
    </row>
    <row r="591" spans="1:12" x14ac:dyDescent="0.25">
      <c r="A591" s="2" t="s">
        <v>30</v>
      </c>
      <c r="B591" s="2" t="s">
        <v>78</v>
      </c>
      <c r="C591" s="2" t="s">
        <v>79</v>
      </c>
      <c r="D591" s="2" t="s">
        <v>84</v>
      </c>
      <c r="E591">
        <v>1.8571</v>
      </c>
      <c r="F591">
        <v>-3871.6</v>
      </c>
      <c r="G591">
        <v>45.3</v>
      </c>
      <c r="H591">
        <v>66.900000000000006</v>
      </c>
      <c r="I591">
        <v>82.8</v>
      </c>
      <c r="J591">
        <v>89.6</v>
      </c>
      <c r="K591">
        <v>128.80000000000001</v>
      </c>
      <c r="L591" s="2"/>
    </row>
    <row r="592" spans="1:12" x14ac:dyDescent="0.25">
      <c r="A592" s="2" t="s">
        <v>30</v>
      </c>
      <c r="B592" s="2" t="s">
        <v>78</v>
      </c>
      <c r="C592" s="2" t="s">
        <v>79</v>
      </c>
      <c r="D592" s="2" t="s">
        <v>84</v>
      </c>
      <c r="E592">
        <v>2.7856999999999998</v>
      </c>
      <c r="F592">
        <v>-3871.6</v>
      </c>
      <c r="G592">
        <v>45.3</v>
      </c>
      <c r="H592">
        <v>66.900000000000006</v>
      </c>
      <c r="I592">
        <v>82.8</v>
      </c>
      <c r="J592">
        <v>42</v>
      </c>
      <c r="K592">
        <v>96.2</v>
      </c>
      <c r="L592" s="2"/>
    </row>
    <row r="593" spans="1:12" x14ac:dyDescent="0.25">
      <c r="A593" s="2" t="s">
        <v>30</v>
      </c>
      <c r="B593" s="2" t="s">
        <v>78</v>
      </c>
      <c r="C593" s="2" t="s">
        <v>79</v>
      </c>
      <c r="D593" s="2" t="s">
        <v>84</v>
      </c>
      <c r="E593">
        <v>3.7143000000000002</v>
      </c>
      <c r="F593">
        <v>-3871.6</v>
      </c>
      <c r="G593">
        <v>45.3</v>
      </c>
      <c r="H593">
        <v>66.900000000000006</v>
      </c>
      <c r="I593">
        <v>82.8</v>
      </c>
      <c r="J593">
        <v>17.5</v>
      </c>
      <c r="K593">
        <v>77.8</v>
      </c>
      <c r="L593" s="2"/>
    </row>
    <row r="594" spans="1:12" x14ac:dyDescent="0.25">
      <c r="A594" s="2" t="s">
        <v>30</v>
      </c>
      <c r="B594" s="2" t="s">
        <v>78</v>
      </c>
      <c r="C594" s="2" t="s">
        <v>79</v>
      </c>
      <c r="D594" s="2" t="s">
        <v>84</v>
      </c>
      <c r="E594">
        <v>4.6429</v>
      </c>
      <c r="F594">
        <v>-3871.6</v>
      </c>
      <c r="G594">
        <v>45.3</v>
      </c>
      <c r="H594">
        <v>66.900000000000006</v>
      </c>
      <c r="I594">
        <v>82.8</v>
      </c>
      <c r="J594">
        <v>60.4</v>
      </c>
      <c r="K594">
        <v>76.7</v>
      </c>
      <c r="L594" s="2"/>
    </row>
    <row r="595" spans="1:12" x14ac:dyDescent="0.25">
      <c r="A595" s="2" t="s">
        <v>30</v>
      </c>
      <c r="B595" s="2" t="s">
        <v>78</v>
      </c>
      <c r="C595" s="2" t="s">
        <v>79</v>
      </c>
      <c r="D595" s="2" t="s">
        <v>84</v>
      </c>
      <c r="E595">
        <v>5.5713999999999997</v>
      </c>
      <c r="F595">
        <v>-3871.6</v>
      </c>
      <c r="G595">
        <v>45.3</v>
      </c>
      <c r="H595">
        <v>66.900000000000006</v>
      </c>
      <c r="I595">
        <v>82.8</v>
      </c>
      <c r="J595">
        <v>139.30000000000001</v>
      </c>
      <c r="K595">
        <v>94.8</v>
      </c>
      <c r="L595" s="2"/>
    </row>
    <row r="596" spans="1:12" x14ac:dyDescent="0.25">
      <c r="A596" s="2" t="s">
        <v>30</v>
      </c>
      <c r="B596" s="2" t="s">
        <v>78</v>
      </c>
      <c r="C596" s="2" t="s">
        <v>79</v>
      </c>
      <c r="D596" s="2" t="s">
        <v>84</v>
      </c>
      <c r="E596">
        <v>6.5</v>
      </c>
      <c r="F596">
        <v>-3871.6</v>
      </c>
      <c r="G596">
        <v>45.3</v>
      </c>
      <c r="H596">
        <v>66.900000000000006</v>
      </c>
      <c r="I596">
        <v>82.8</v>
      </c>
      <c r="J596">
        <v>218.2</v>
      </c>
      <c r="K596">
        <v>112.8</v>
      </c>
      <c r="L596" s="2"/>
    </row>
    <row r="597" spans="1:12" x14ac:dyDescent="0.25">
      <c r="A597" s="2" t="s">
        <v>30</v>
      </c>
      <c r="B597" s="2" t="s">
        <v>78</v>
      </c>
      <c r="C597" s="2" t="s">
        <v>79</v>
      </c>
      <c r="D597" s="2" t="s">
        <v>84</v>
      </c>
      <c r="E597">
        <v>7.4286000000000003</v>
      </c>
      <c r="F597">
        <v>-3871.6</v>
      </c>
      <c r="G597">
        <v>45.3</v>
      </c>
      <c r="H597">
        <v>66.900000000000006</v>
      </c>
      <c r="I597">
        <v>82.8</v>
      </c>
      <c r="J597">
        <v>297.2</v>
      </c>
      <c r="K597">
        <v>130.80000000000001</v>
      </c>
      <c r="L597" s="2"/>
    </row>
    <row r="598" spans="1:12" x14ac:dyDescent="0.25">
      <c r="A598" s="2" t="s">
        <v>30</v>
      </c>
      <c r="B598" s="2" t="s">
        <v>78</v>
      </c>
      <c r="C598" s="2" t="s">
        <v>79</v>
      </c>
      <c r="D598" s="2" t="s">
        <v>84</v>
      </c>
      <c r="E598">
        <v>8.3571000000000009</v>
      </c>
      <c r="F598">
        <v>-3871.6</v>
      </c>
      <c r="G598">
        <v>45.3</v>
      </c>
      <c r="H598">
        <v>66.900000000000006</v>
      </c>
      <c r="I598">
        <v>82.8</v>
      </c>
      <c r="J598">
        <v>376.2</v>
      </c>
      <c r="K598">
        <v>148.69999999999999</v>
      </c>
      <c r="L598" s="2"/>
    </row>
    <row r="599" spans="1:12" x14ac:dyDescent="0.25">
      <c r="A599" s="2" t="s">
        <v>30</v>
      </c>
      <c r="B599" s="2" t="s">
        <v>78</v>
      </c>
      <c r="C599" s="2" t="s">
        <v>79</v>
      </c>
      <c r="D599" s="2" t="s">
        <v>84</v>
      </c>
      <c r="E599">
        <v>9.2857000000000003</v>
      </c>
      <c r="F599">
        <v>-3871.6</v>
      </c>
      <c r="G599">
        <v>45.3</v>
      </c>
      <c r="H599">
        <v>66.900000000000006</v>
      </c>
      <c r="I599">
        <v>82.8</v>
      </c>
      <c r="J599">
        <v>455.3</v>
      </c>
      <c r="K599">
        <v>166.7</v>
      </c>
      <c r="L599" s="2"/>
    </row>
    <row r="600" spans="1:12" x14ac:dyDescent="0.25">
      <c r="A600" s="2" t="s">
        <v>30</v>
      </c>
      <c r="B600" s="2" t="s">
        <v>78</v>
      </c>
      <c r="C600" s="2" t="s">
        <v>79</v>
      </c>
      <c r="D600" s="2" t="s">
        <v>84</v>
      </c>
      <c r="E600">
        <v>10.2143</v>
      </c>
      <c r="F600">
        <v>-3871.6</v>
      </c>
      <c r="G600">
        <v>45.3</v>
      </c>
      <c r="H600">
        <v>66.900000000000006</v>
      </c>
      <c r="I600">
        <v>82.8</v>
      </c>
      <c r="J600">
        <v>534.29999999999995</v>
      </c>
      <c r="K600">
        <v>184.6</v>
      </c>
      <c r="L600" s="2"/>
    </row>
    <row r="601" spans="1:12" x14ac:dyDescent="0.25">
      <c r="A601" s="2" t="s">
        <v>30</v>
      </c>
      <c r="B601" s="2" t="s">
        <v>78</v>
      </c>
      <c r="C601" s="2" t="s">
        <v>79</v>
      </c>
      <c r="D601" s="2" t="s">
        <v>84</v>
      </c>
      <c r="E601">
        <v>11.142899999999999</v>
      </c>
      <c r="F601">
        <v>-3871.6</v>
      </c>
      <c r="G601">
        <v>45.3</v>
      </c>
      <c r="H601">
        <v>66.900000000000006</v>
      </c>
      <c r="I601">
        <v>82.8</v>
      </c>
      <c r="J601">
        <v>613.29999999999995</v>
      </c>
      <c r="K601">
        <v>202.5</v>
      </c>
      <c r="L601" s="2"/>
    </row>
    <row r="602" spans="1:12" x14ac:dyDescent="0.25">
      <c r="A602" s="2" t="s">
        <v>30</v>
      </c>
      <c r="B602" s="2" t="s">
        <v>78</v>
      </c>
      <c r="C602" s="2" t="s">
        <v>79</v>
      </c>
      <c r="D602" s="2" t="s">
        <v>84</v>
      </c>
      <c r="E602">
        <v>12.071400000000001</v>
      </c>
      <c r="F602">
        <v>-3871.6</v>
      </c>
      <c r="G602">
        <v>45.3</v>
      </c>
      <c r="H602">
        <v>66.900000000000006</v>
      </c>
      <c r="I602">
        <v>82.8</v>
      </c>
      <c r="J602">
        <v>692.3</v>
      </c>
      <c r="K602">
        <v>220.5</v>
      </c>
      <c r="L602" s="2"/>
    </row>
    <row r="603" spans="1:12" x14ac:dyDescent="0.25">
      <c r="A603" s="2" t="s">
        <v>30</v>
      </c>
      <c r="B603" s="2" t="s">
        <v>78</v>
      </c>
      <c r="C603" s="2" t="s">
        <v>79</v>
      </c>
      <c r="D603" s="2" t="s">
        <v>84</v>
      </c>
      <c r="E603">
        <v>13</v>
      </c>
      <c r="F603">
        <v>-3871.6</v>
      </c>
      <c r="G603">
        <v>45.3</v>
      </c>
      <c r="H603">
        <v>66.900000000000006</v>
      </c>
      <c r="I603">
        <v>82.8</v>
      </c>
      <c r="J603">
        <v>771.3</v>
      </c>
      <c r="K603">
        <v>238.4</v>
      </c>
      <c r="L603" s="2"/>
    </row>
    <row r="604" spans="1:12" x14ac:dyDescent="0.25">
      <c r="A604" s="2" t="s">
        <v>30</v>
      </c>
      <c r="B604" s="2" t="s">
        <v>78</v>
      </c>
      <c r="C604" s="2" t="s">
        <v>79</v>
      </c>
      <c r="D604" s="2" t="s">
        <v>84</v>
      </c>
      <c r="E604">
        <v>0</v>
      </c>
      <c r="F604">
        <v>-17176.599999999999</v>
      </c>
      <c r="G604">
        <v>-20</v>
      </c>
      <c r="H604">
        <v>-83.9</v>
      </c>
      <c r="I604">
        <v>-66.599999999999994</v>
      </c>
      <c r="J604">
        <v>-332.7</v>
      </c>
      <c r="K604">
        <v>-15</v>
      </c>
      <c r="L604" s="2"/>
    </row>
    <row r="605" spans="1:12" x14ac:dyDescent="0.25">
      <c r="A605" s="2" t="s">
        <v>30</v>
      </c>
      <c r="B605" s="2" t="s">
        <v>78</v>
      </c>
      <c r="C605" s="2" t="s">
        <v>79</v>
      </c>
      <c r="D605" s="2" t="s">
        <v>84</v>
      </c>
      <c r="E605">
        <v>0.92859999999999998</v>
      </c>
      <c r="F605">
        <v>-17133.7</v>
      </c>
      <c r="G605">
        <v>-20</v>
      </c>
      <c r="H605">
        <v>-83.9</v>
      </c>
      <c r="I605">
        <v>-66.599999999999994</v>
      </c>
      <c r="J605">
        <v>-254.3</v>
      </c>
      <c r="K605">
        <v>3.5</v>
      </c>
      <c r="L605" s="2"/>
    </row>
    <row r="606" spans="1:12" x14ac:dyDescent="0.25">
      <c r="A606" s="2" t="s">
        <v>30</v>
      </c>
      <c r="B606" s="2" t="s">
        <v>78</v>
      </c>
      <c r="C606" s="2" t="s">
        <v>79</v>
      </c>
      <c r="D606" s="2" t="s">
        <v>84</v>
      </c>
      <c r="E606">
        <v>1.8571</v>
      </c>
      <c r="F606">
        <v>-17090.8</v>
      </c>
      <c r="G606">
        <v>-20</v>
      </c>
      <c r="H606">
        <v>-83.9</v>
      </c>
      <c r="I606">
        <v>-66.599999999999994</v>
      </c>
      <c r="J606">
        <v>-175.8</v>
      </c>
      <c r="K606">
        <v>21.5</v>
      </c>
      <c r="L606" s="2"/>
    </row>
    <row r="607" spans="1:12" x14ac:dyDescent="0.25">
      <c r="A607" s="2" t="s">
        <v>30</v>
      </c>
      <c r="B607" s="2" t="s">
        <v>78</v>
      </c>
      <c r="C607" s="2" t="s">
        <v>79</v>
      </c>
      <c r="D607" s="2" t="s">
        <v>84</v>
      </c>
      <c r="E607">
        <v>2.7856999999999998</v>
      </c>
      <c r="F607">
        <v>-17048</v>
      </c>
      <c r="G607">
        <v>-20</v>
      </c>
      <c r="H607">
        <v>-83.9</v>
      </c>
      <c r="I607">
        <v>-66.599999999999994</v>
      </c>
      <c r="J607">
        <v>-118.4</v>
      </c>
      <c r="K607">
        <v>23.7</v>
      </c>
      <c r="L607" s="2"/>
    </row>
    <row r="608" spans="1:12" x14ac:dyDescent="0.25">
      <c r="A608" s="2" t="s">
        <v>30</v>
      </c>
      <c r="B608" s="2" t="s">
        <v>78</v>
      </c>
      <c r="C608" s="2" t="s">
        <v>79</v>
      </c>
      <c r="D608" s="2" t="s">
        <v>84</v>
      </c>
      <c r="E608">
        <v>3.7143000000000002</v>
      </c>
      <c r="F608">
        <v>-17005.099999999999</v>
      </c>
      <c r="G608">
        <v>-20</v>
      </c>
      <c r="H608">
        <v>-83.9</v>
      </c>
      <c r="I608">
        <v>-66.599999999999994</v>
      </c>
      <c r="J608">
        <v>-97.9</v>
      </c>
      <c r="K608">
        <v>14.2</v>
      </c>
      <c r="L608" s="2"/>
    </row>
    <row r="609" spans="1:12" x14ac:dyDescent="0.25">
      <c r="A609" s="2" t="s">
        <v>30</v>
      </c>
      <c r="B609" s="2" t="s">
        <v>78</v>
      </c>
      <c r="C609" s="2" t="s">
        <v>79</v>
      </c>
      <c r="D609" s="2" t="s">
        <v>84</v>
      </c>
      <c r="E609">
        <v>4.6429</v>
      </c>
      <c r="F609">
        <v>-16962.2</v>
      </c>
      <c r="G609">
        <v>-20</v>
      </c>
      <c r="H609">
        <v>-83.9</v>
      </c>
      <c r="I609">
        <v>-66.599999999999994</v>
      </c>
      <c r="J609">
        <v>-103.4</v>
      </c>
      <c r="K609">
        <v>-16.2</v>
      </c>
      <c r="L609" s="2"/>
    </row>
    <row r="610" spans="1:12" x14ac:dyDescent="0.25">
      <c r="A610" s="2" t="s">
        <v>30</v>
      </c>
      <c r="B610" s="2" t="s">
        <v>78</v>
      </c>
      <c r="C610" s="2" t="s">
        <v>79</v>
      </c>
      <c r="D610" s="2" t="s">
        <v>84</v>
      </c>
      <c r="E610">
        <v>5.5713999999999997</v>
      </c>
      <c r="F610">
        <v>-16919.3</v>
      </c>
      <c r="G610">
        <v>-20</v>
      </c>
      <c r="H610">
        <v>-83.9</v>
      </c>
      <c r="I610">
        <v>-66.599999999999994</v>
      </c>
      <c r="J610">
        <v>-157.5</v>
      </c>
      <c r="K610">
        <v>-56.9</v>
      </c>
      <c r="L610" s="2"/>
    </row>
    <row r="611" spans="1:12" x14ac:dyDescent="0.25">
      <c r="A611" s="2" t="s">
        <v>30</v>
      </c>
      <c r="B611" s="2" t="s">
        <v>78</v>
      </c>
      <c r="C611" s="2" t="s">
        <v>79</v>
      </c>
      <c r="D611" s="2" t="s">
        <v>84</v>
      </c>
      <c r="E611">
        <v>6.5</v>
      </c>
      <c r="F611">
        <v>-16876.400000000001</v>
      </c>
      <c r="G611">
        <v>-20</v>
      </c>
      <c r="H611">
        <v>-83.9</v>
      </c>
      <c r="I611">
        <v>-66.599999999999994</v>
      </c>
      <c r="J611">
        <v>-217.4</v>
      </c>
      <c r="K611">
        <v>-98.5</v>
      </c>
      <c r="L611" s="2"/>
    </row>
    <row r="612" spans="1:12" x14ac:dyDescent="0.25">
      <c r="A612" s="2" t="s">
        <v>30</v>
      </c>
      <c r="B612" s="2" t="s">
        <v>78</v>
      </c>
      <c r="C612" s="2" t="s">
        <v>79</v>
      </c>
      <c r="D612" s="2" t="s">
        <v>84</v>
      </c>
      <c r="E612">
        <v>7.4286000000000003</v>
      </c>
      <c r="F612">
        <v>-16833.599999999999</v>
      </c>
      <c r="G612">
        <v>-20</v>
      </c>
      <c r="H612">
        <v>-83.9</v>
      </c>
      <c r="I612">
        <v>-66.599999999999994</v>
      </c>
      <c r="J612">
        <v>-278.5</v>
      </c>
      <c r="K612">
        <v>-142.19999999999999</v>
      </c>
      <c r="L612" s="2"/>
    </row>
    <row r="613" spans="1:12" x14ac:dyDescent="0.25">
      <c r="A613" s="2" t="s">
        <v>30</v>
      </c>
      <c r="B613" s="2" t="s">
        <v>78</v>
      </c>
      <c r="C613" s="2" t="s">
        <v>79</v>
      </c>
      <c r="D613" s="2" t="s">
        <v>84</v>
      </c>
      <c r="E613">
        <v>8.3571000000000009</v>
      </c>
      <c r="F613">
        <v>-16790.7</v>
      </c>
      <c r="G613">
        <v>-20</v>
      </c>
      <c r="H613">
        <v>-83.9</v>
      </c>
      <c r="I613">
        <v>-66.599999999999994</v>
      </c>
      <c r="J613">
        <v>-339.6</v>
      </c>
      <c r="K613">
        <v>-185.7</v>
      </c>
      <c r="L613" s="2"/>
    </row>
    <row r="614" spans="1:12" x14ac:dyDescent="0.25">
      <c r="A614" s="2" t="s">
        <v>30</v>
      </c>
      <c r="B614" s="2" t="s">
        <v>78</v>
      </c>
      <c r="C614" s="2" t="s">
        <v>79</v>
      </c>
      <c r="D614" s="2" t="s">
        <v>84</v>
      </c>
      <c r="E614">
        <v>9.2857000000000003</v>
      </c>
      <c r="F614">
        <v>-16747.8</v>
      </c>
      <c r="G614">
        <v>-20</v>
      </c>
      <c r="H614">
        <v>-83.9</v>
      </c>
      <c r="I614">
        <v>-66.599999999999994</v>
      </c>
      <c r="J614">
        <v>-400.7</v>
      </c>
      <c r="K614">
        <v>-229</v>
      </c>
      <c r="L614" s="2"/>
    </row>
    <row r="615" spans="1:12" x14ac:dyDescent="0.25">
      <c r="A615" s="2" t="s">
        <v>30</v>
      </c>
      <c r="B615" s="2" t="s">
        <v>78</v>
      </c>
      <c r="C615" s="2" t="s">
        <v>79</v>
      </c>
      <c r="D615" s="2" t="s">
        <v>84</v>
      </c>
      <c r="E615">
        <v>10.2143</v>
      </c>
      <c r="F615">
        <v>-16704.900000000001</v>
      </c>
      <c r="G615">
        <v>-20</v>
      </c>
      <c r="H615">
        <v>-83.9</v>
      </c>
      <c r="I615">
        <v>-66.599999999999994</v>
      </c>
      <c r="J615">
        <v>-461.6</v>
      </c>
      <c r="K615">
        <v>-272</v>
      </c>
      <c r="L615" s="2"/>
    </row>
    <row r="616" spans="1:12" x14ac:dyDescent="0.25">
      <c r="A616" s="2" t="s">
        <v>30</v>
      </c>
      <c r="B616" s="2" t="s">
        <v>78</v>
      </c>
      <c r="C616" s="2" t="s">
        <v>79</v>
      </c>
      <c r="D616" s="2" t="s">
        <v>84</v>
      </c>
      <c r="E616">
        <v>11.142899999999999</v>
      </c>
      <c r="F616">
        <v>-16662</v>
      </c>
      <c r="G616">
        <v>-20</v>
      </c>
      <c r="H616">
        <v>-83.9</v>
      </c>
      <c r="I616">
        <v>-66.599999999999994</v>
      </c>
      <c r="J616">
        <v>-522.5</v>
      </c>
      <c r="K616">
        <v>-314.60000000000002</v>
      </c>
      <c r="L616" s="2"/>
    </row>
    <row r="617" spans="1:12" x14ac:dyDescent="0.25">
      <c r="A617" s="2" t="s">
        <v>30</v>
      </c>
      <c r="B617" s="2" t="s">
        <v>78</v>
      </c>
      <c r="C617" s="2" t="s">
        <v>79</v>
      </c>
      <c r="D617" s="2" t="s">
        <v>84</v>
      </c>
      <c r="E617">
        <v>12.071400000000001</v>
      </c>
      <c r="F617">
        <v>-16619.099999999999</v>
      </c>
      <c r="G617">
        <v>-20</v>
      </c>
      <c r="H617">
        <v>-83.9</v>
      </c>
      <c r="I617">
        <v>-66.599999999999994</v>
      </c>
      <c r="J617">
        <v>-583.29999999999995</v>
      </c>
      <c r="K617">
        <v>-356.7</v>
      </c>
      <c r="L617" s="2"/>
    </row>
    <row r="618" spans="1:12" x14ac:dyDescent="0.25">
      <c r="A618" s="2" t="s">
        <v>30</v>
      </c>
      <c r="B618" s="2" t="s">
        <v>78</v>
      </c>
      <c r="C618" s="2" t="s">
        <v>79</v>
      </c>
      <c r="D618" s="2" t="s">
        <v>84</v>
      </c>
      <c r="E618">
        <v>13</v>
      </c>
      <c r="F618">
        <v>-16576.3</v>
      </c>
      <c r="G618">
        <v>-20</v>
      </c>
      <c r="H618">
        <v>-83.9</v>
      </c>
      <c r="I618">
        <v>-66.599999999999994</v>
      </c>
      <c r="J618">
        <v>-644</v>
      </c>
      <c r="K618">
        <v>-398.3</v>
      </c>
      <c r="L618" s="2"/>
    </row>
    <row r="619" spans="1:12" x14ac:dyDescent="0.25">
      <c r="A619" s="2" t="s">
        <v>30</v>
      </c>
      <c r="B619" s="2" t="s">
        <v>78</v>
      </c>
      <c r="C619" s="2" t="s">
        <v>79</v>
      </c>
      <c r="D619" s="2" t="s">
        <v>85</v>
      </c>
      <c r="E619">
        <v>0</v>
      </c>
      <c r="F619">
        <v>-3890.9</v>
      </c>
      <c r="G619">
        <v>64.3</v>
      </c>
      <c r="H619">
        <v>94.1</v>
      </c>
      <c r="I619">
        <v>91</v>
      </c>
      <c r="J619">
        <v>307.10000000000002</v>
      </c>
      <c r="K619">
        <v>261.5</v>
      </c>
      <c r="L619" s="2"/>
    </row>
    <row r="620" spans="1:12" x14ac:dyDescent="0.25">
      <c r="A620" s="2" t="s">
        <v>30</v>
      </c>
      <c r="B620" s="2" t="s">
        <v>78</v>
      </c>
      <c r="C620" s="2" t="s">
        <v>79</v>
      </c>
      <c r="D620" s="2" t="s">
        <v>85</v>
      </c>
      <c r="E620">
        <v>0.92859999999999998</v>
      </c>
      <c r="F620">
        <v>-3890.9</v>
      </c>
      <c r="G620">
        <v>64.3</v>
      </c>
      <c r="H620">
        <v>94.1</v>
      </c>
      <c r="I620">
        <v>91</v>
      </c>
      <c r="J620">
        <v>220</v>
      </c>
      <c r="K620">
        <v>201</v>
      </c>
      <c r="L620" s="2"/>
    </row>
    <row r="621" spans="1:12" x14ac:dyDescent="0.25">
      <c r="A621" s="2" t="s">
        <v>30</v>
      </c>
      <c r="B621" s="2" t="s">
        <v>78</v>
      </c>
      <c r="C621" s="2" t="s">
        <v>79</v>
      </c>
      <c r="D621" s="2" t="s">
        <v>85</v>
      </c>
      <c r="E621">
        <v>1.8571</v>
      </c>
      <c r="F621">
        <v>-3890.9</v>
      </c>
      <c r="G621">
        <v>64.3</v>
      </c>
      <c r="H621">
        <v>94.1</v>
      </c>
      <c r="I621">
        <v>91</v>
      </c>
      <c r="J621">
        <v>133.1</v>
      </c>
      <c r="K621">
        <v>140.6</v>
      </c>
      <c r="L621" s="2"/>
    </row>
    <row r="622" spans="1:12" x14ac:dyDescent="0.25">
      <c r="A622" s="2" t="s">
        <v>30</v>
      </c>
      <c r="B622" s="2" t="s">
        <v>78</v>
      </c>
      <c r="C622" s="2" t="s">
        <v>79</v>
      </c>
      <c r="D622" s="2" t="s">
        <v>85</v>
      </c>
      <c r="E622">
        <v>2.7856999999999998</v>
      </c>
      <c r="F622">
        <v>-3890.9</v>
      </c>
      <c r="G622">
        <v>64.3</v>
      </c>
      <c r="H622">
        <v>94.1</v>
      </c>
      <c r="I622">
        <v>91</v>
      </c>
      <c r="J622">
        <v>67.400000000000006</v>
      </c>
      <c r="K622">
        <v>96.2</v>
      </c>
      <c r="L622" s="2"/>
    </row>
    <row r="623" spans="1:12" x14ac:dyDescent="0.25">
      <c r="A623" s="2" t="s">
        <v>30</v>
      </c>
      <c r="B623" s="2" t="s">
        <v>78</v>
      </c>
      <c r="C623" s="2" t="s">
        <v>79</v>
      </c>
      <c r="D623" s="2" t="s">
        <v>85</v>
      </c>
      <c r="E623">
        <v>3.7143000000000002</v>
      </c>
      <c r="F623">
        <v>-3890.9</v>
      </c>
      <c r="G623">
        <v>64.3</v>
      </c>
      <c r="H623">
        <v>94.1</v>
      </c>
      <c r="I623">
        <v>91</v>
      </c>
      <c r="J623">
        <v>30.8</v>
      </c>
      <c r="K623">
        <v>69.900000000000006</v>
      </c>
      <c r="L623" s="2"/>
    </row>
    <row r="624" spans="1:12" x14ac:dyDescent="0.25">
      <c r="A624" s="2" t="s">
        <v>30</v>
      </c>
      <c r="B624" s="2" t="s">
        <v>78</v>
      </c>
      <c r="C624" s="2" t="s">
        <v>79</v>
      </c>
      <c r="D624" s="2" t="s">
        <v>85</v>
      </c>
      <c r="E624">
        <v>4.6429</v>
      </c>
      <c r="F624">
        <v>-3890.9</v>
      </c>
      <c r="G624">
        <v>64.3</v>
      </c>
      <c r="H624">
        <v>94.1</v>
      </c>
      <c r="I624">
        <v>91</v>
      </c>
      <c r="J624">
        <v>25.2</v>
      </c>
      <c r="K624">
        <v>59.3</v>
      </c>
      <c r="L624" s="2"/>
    </row>
    <row r="625" spans="1:12" x14ac:dyDescent="0.25">
      <c r="A625" s="2" t="s">
        <v>30</v>
      </c>
      <c r="B625" s="2" t="s">
        <v>78</v>
      </c>
      <c r="C625" s="2" t="s">
        <v>79</v>
      </c>
      <c r="D625" s="2" t="s">
        <v>85</v>
      </c>
      <c r="E625">
        <v>5.5713999999999997</v>
      </c>
      <c r="F625">
        <v>-3890.9</v>
      </c>
      <c r="G625">
        <v>64.3</v>
      </c>
      <c r="H625">
        <v>94.1</v>
      </c>
      <c r="I625">
        <v>91</v>
      </c>
      <c r="J625">
        <v>29.8</v>
      </c>
      <c r="K625">
        <v>69.2</v>
      </c>
      <c r="L625" s="2"/>
    </row>
    <row r="626" spans="1:12" x14ac:dyDescent="0.25">
      <c r="A626" s="2" t="s">
        <v>30</v>
      </c>
      <c r="B626" s="2" t="s">
        <v>78</v>
      </c>
      <c r="C626" s="2" t="s">
        <v>79</v>
      </c>
      <c r="D626" s="2" t="s">
        <v>85</v>
      </c>
      <c r="E626">
        <v>6.5</v>
      </c>
      <c r="F626">
        <v>-3890.9</v>
      </c>
      <c r="G626">
        <v>64.3</v>
      </c>
      <c r="H626">
        <v>94.1</v>
      </c>
      <c r="I626">
        <v>91</v>
      </c>
      <c r="J626">
        <v>40.299999999999997</v>
      </c>
      <c r="K626">
        <v>78.900000000000006</v>
      </c>
      <c r="L626" s="2"/>
    </row>
    <row r="627" spans="1:12" x14ac:dyDescent="0.25">
      <c r="A627" s="2" t="s">
        <v>30</v>
      </c>
      <c r="B627" s="2" t="s">
        <v>78</v>
      </c>
      <c r="C627" s="2" t="s">
        <v>79</v>
      </c>
      <c r="D627" s="2" t="s">
        <v>85</v>
      </c>
      <c r="E627">
        <v>7.4286000000000003</v>
      </c>
      <c r="F627">
        <v>-3890.9</v>
      </c>
      <c r="G627">
        <v>64.3</v>
      </c>
      <c r="H627">
        <v>94.1</v>
      </c>
      <c r="I627">
        <v>91</v>
      </c>
      <c r="J627">
        <v>50.8</v>
      </c>
      <c r="K627">
        <v>88.6</v>
      </c>
      <c r="L627" s="2"/>
    </row>
    <row r="628" spans="1:12" x14ac:dyDescent="0.25">
      <c r="A628" s="2" t="s">
        <v>30</v>
      </c>
      <c r="B628" s="2" t="s">
        <v>78</v>
      </c>
      <c r="C628" s="2" t="s">
        <v>79</v>
      </c>
      <c r="D628" s="2" t="s">
        <v>85</v>
      </c>
      <c r="E628">
        <v>8.3571000000000009</v>
      </c>
      <c r="F628">
        <v>-3890.9</v>
      </c>
      <c r="G628">
        <v>64.3</v>
      </c>
      <c r="H628">
        <v>94.1</v>
      </c>
      <c r="I628">
        <v>91</v>
      </c>
      <c r="J628">
        <v>61.4</v>
      </c>
      <c r="K628">
        <v>98.3</v>
      </c>
      <c r="L628" s="2"/>
    </row>
    <row r="629" spans="1:12" x14ac:dyDescent="0.25">
      <c r="A629" s="2" t="s">
        <v>30</v>
      </c>
      <c r="B629" s="2" t="s">
        <v>78</v>
      </c>
      <c r="C629" s="2" t="s">
        <v>79</v>
      </c>
      <c r="D629" s="2" t="s">
        <v>85</v>
      </c>
      <c r="E629">
        <v>9.2857000000000003</v>
      </c>
      <c r="F629">
        <v>-3890.9</v>
      </c>
      <c r="G629">
        <v>64.3</v>
      </c>
      <c r="H629">
        <v>94.1</v>
      </c>
      <c r="I629">
        <v>91</v>
      </c>
      <c r="J629">
        <v>71.900000000000006</v>
      </c>
      <c r="K629">
        <v>108</v>
      </c>
      <c r="L629" s="2"/>
    </row>
    <row r="630" spans="1:12" x14ac:dyDescent="0.25">
      <c r="A630" s="2" t="s">
        <v>30</v>
      </c>
      <c r="B630" s="2" t="s">
        <v>78</v>
      </c>
      <c r="C630" s="2" t="s">
        <v>79</v>
      </c>
      <c r="D630" s="2" t="s">
        <v>85</v>
      </c>
      <c r="E630">
        <v>10.2143</v>
      </c>
      <c r="F630">
        <v>-3890.9</v>
      </c>
      <c r="G630">
        <v>64.3</v>
      </c>
      <c r="H630">
        <v>94.1</v>
      </c>
      <c r="I630">
        <v>91</v>
      </c>
      <c r="J630">
        <v>82.5</v>
      </c>
      <c r="K630">
        <v>117.6</v>
      </c>
      <c r="L630" s="2"/>
    </row>
    <row r="631" spans="1:12" x14ac:dyDescent="0.25">
      <c r="A631" s="2" t="s">
        <v>30</v>
      </c>
      <c r="B631" s="2" t="s">
        <v>78</v>
      </c>
      <c r="C631" s="2" t="s">
        <v>79</v>
      </c>
      <c r="D631" s="2" t="s">
        <v>85</v>
      </c>
      <c r="E631">
        <v>11.142899999999999</v>
      </c>
      <c r="F631">
        <v>-3890.9</v>
      </c>
      <c r="G631">
        <v>64.3</v>
      </c>
      <c r="H631">
        <v>94.1</v>
      </c>
      <c r="I631">
        <v>91</v>
      </c>
      <c r="J631">
        <v>93.4</v>
      </c>
      <c r="K631">
        <v>127.3</v>
      </c>
      <c r="L631" s="2"/>
    </row>
    <row r="632" spans="1:12" x14ac:dyDescent="0.25">
      <c r="A632" s="2" t="s">
        <v>30</v>
      </c>
      <c r="B632" s="2" t="s">
        <v>78</v>
      </c>
      <c r="C632" s="2" t="s">
        <v>79</v>
      </c>
      <c r="D632" s="2" t="s">
        <v>85</v>
      </c>
      <c r="E632">
        <v>12.071400000000001</v>
      </c>
      <c r="F632">
        <v>-3890.9</v>
      </c>
      <c r="G632">
        <v>64.3</v>
      </c>
      <c r="H632">
        <v>94.1</v>
      </c>
      <c r="I632">
        <v>91</v>
      </c>
      <c r="J632">
        <v>107.9</v>
      </c>
      <c r="K632">
        <v>137</v>
      </c>
      <c r="L632" s="2"/>
    </row>
    <row r="633" spans="1:12" x14ac:dyDescent="0.25">
      <c r="A633" s="2" t="s">
        <v>30</v>
      </c>
      <c r="B633" s="2" t="s">
        <v>78</v>
      </c>
      <c r="C633" s="2" t="s">
        <v>79</v>
      </c>
      <c r="D633" s="2" t="s">
        <v>85</v>
      </c>
      <c r="E633">
        <v>13</v>
      </c>
      <c r="F633">
        <v>-3890.9</v>
      </c>
      <c r="G633">
        <v>64.3</v>
      </c>
      <c r="H633">
        <v>94.1</v>
      </c>
      <c r="I633">
        <v>91</v>
      </c>
      <c r="J633">
        <v>122.4</v>
      </c>
      <c r="K633">
        <v>146.6</v>
      </c>
      <c r="L633" s="2"/>
    </row>
    <row r="634" spans="1:12" x14ac:dyDescent="0.25">
      <c r="A634" s="2" t="s">
        <v>30</v>
      </c>
      <c r="B634" s="2" t="s">
        <v>78</v>
      </c>
      <c r="C634" s="2" t="s">
        <v>79</v>
      </c>
      <c r="D634" s="2" t="s">
        <v>85</v>
      </c>
      <c r="E634">
        <v>0</v>
      </c>
      <c r="F634">
        <v>-15496.5</v>
      </c>
      <c r="G634">
        <v>-11.1</v>
      </c>
      <c r="H634">
        <v>-14.5</v>
      </c>
      <c r="I634">
        <v>-55.2</v>
      </c>
      <c r="J634">
        <v>-79.400000000000006</v>
      </c>
      <c r="K634">
        <v>9</v>
      </c>
      <c r="L634" s="2"/>
    </row>
    <row r="635" spans="1:12" x14ac:dyDescent="0.25">
      <c r="A635" s="2" t="s">
        <v>30</v>
      </c>
      <c r="B635" s="2" t="s">
        <v>78</v>
      </c>
      <c r="C635" s="2" t="s">
        <v>79</v>
      </c>
      <c r="D635" s="2" t="s">
        <v>85</v>
      </c>
      <c r="E635">
        <v>0.92859999999999998</v>
      </c>
      <c r="F635">
        <v>-15453.6</v>
      </c>
      <c r="G635">
        <v>-11.1</v>
      </c>
      <c r="H635">
        <v>-14.5</v>
      </c>
      <c r="I635">
        <v>-55.2</v>
      </c>
      <c r="J635">
        <v>-65.400000000000006</v>
      </c>
      <c r="K635">
        <v>19.3</v>
      </c>
      <c r="L635" s="2"/>
    </row>
    <row r="636" spans="1:12" x14ac:dyDescent="0.25">
      <c r="A636" s="2" t="s">
        <v>30</v>
      </c>
      <c r="B636" s="2" t="s">
        <v>78</v>
      </c>
      <c r="C636" s="2" t="s">
        <v>79</v>
      </c>
      <c r="D636" s="2" t="s">
        <v>85</v>
      </c>
      <c r="E636">
        <v>1.8571</v>
      </c>
      <c r="F636">
        <v>-15410.7</v>
      </c>
      <c r="G636">
        <v>-11.1</v>
      </c>
      <c r="H636">
        <v>-14.5</v>
      </c>
      <c r="I636">
        <v>-55.2</v>
      </c>
      <c r="J636">
        <v>-51.3</v>
      </c>
      <c r="K636">
        <v>29.4</v>
      </c>
      <c r="L636" s="2"/>
    </row>
    <row r="637" spans="1:12" x14ac:dyDescent="0.25">
      <c r="A637" s="2" t="s">
        <v>30</v>
      </c>
      <c r="B637" s="2" t="s">
        <v>78</v>
      </c>
      <c r="C637" s="2" t="s">
        <v>79</v>
      </c>
      <c r="D637" s="2" t="s">
        <v>85</v>
      </c>
      <c r="E637">
        <v>2.7856999999999998</v>
      </c>
      <c r="F637">
        <v>-15367.8</v>
      </c>
      <c r="G637">
        <v>-11.1</v>
      </c>
      <c r="H637">
        <v>-14.5</v>
      </c>
      <c r="I637">
        <v>-55.2</v>
      </c>
      <c r="J637">
        <v>-38.6</v>
      </c>
      <c r="K637">
        <v>26</v>
      </c>
      <c r="L637" s="2"/>
    </row>
    <row r="638" spans="1:12" x14ac:dyDescent="0.25">
      <c r="A638" s="2" t="s">
        <v>30</v>
      </c>
      <c r="B638" s="2" t="s">
        <v>78</v>
      </c>
      <c r="C638" s="2" t="s">
        <v>79</v>
      </c>
      <c r="D638" s="2" t="s">
        <v>85</v>
      </c>
      <c r="E638">
        <v>3.7143000000000002</v>
      </c>
      <c r="F638">
        <v>-15325</v>
      </c>
      <c r="G638">
        <v>-11.1</v>
      </c>
      <c r="H638">
        <v>-14.5</v>
      </c>
      <c r="I638">
        <v>-55.2</v>
      </c>
      <c r="J638">
        <v>-63.2</v>
      </c>
      <c r="K638">
        <v>-1.1000000000000001</v>
      </c>
      <c r="L638" s="2"/>
    </row>
    <row r="639" spans="1:12" x14ac:dyDescent="0.25">
      <c r="A639" s="2" t="s">
        <v>30</v>
      </c>
      <c r="B639" s="2" t="s">
        <v>78</v>
      </c>
      <c r="C639" s="2" t="s">
        <v>79</v>
      </c>
      <c r="D639" s="2" t="s">
        <v>85</v>
      </c>
      <c r="E639">
        <v>4.6429</v>
      </c>
      <c r="F639">
        <v>-15282.1</v>
      </c>
      <c r="G639">
        <v>-11.1</v>
      </c>
      <c r="H639">
        <v>-14.5</v>
      </c>
      <c r="I639">
        <v>-55.2</v>
      </c>
      <c r="J639">
        <v>-135.9</v>
      </c>
      <c r="K639">
        <v>-49.2</v>
      </c>
      <c r="L639" s="2"/>
    </row>
    <row r="640" spans="1:12" x14ac:dyDescent="0.25">
      <c r="A640" s="2" t="s">
        <v>30</v>
      </c>
      <c r="B640" s="2" t="s">
        <v>78</v>
      </c>
      <c r="C640" s="2" t="s">
        <v>79</v>
      </c>
      <c r="D640" s="2" t="s">
        <v>85</v>
      </c>
      <c r="E640">
        <v>5.5713999999999997</v>
      </c>
      <c r="F640">
        <v>-15239.2</v>
      </c>
      <c r="G640">
        <v>-11.1</v>
      </c>
      <c r="H640">
        <v>-14.5</v>
      </c>
      <c r="I640">
        <v>-55.2</v>
      </c>
      <c r="J640">
        <v>-215.3</v>
      </c>
      <c r="K640">
        <v>-107.5</v>
      </c>
      <c r="L640" s="2"/>
    </row>
    <row r="641" spans="1:12" x14ac:dyDescent="0.25">
      <c r="A641" s="2" t="s">
        <v>30</v>
      </c>
      <c r="B641" s="2" t="s">
        <v>78</v>
      </c>
      <c r="C641" s="2" t="s">
        <v>79</v>
      </c>
      <c r="D641" s="2" t="s">
        <v>85</v>
      </c>
      <c r="E641">
        <v>6.5</v>
      </c>
      <c r="F641">
        <v>-15196.3</v>
      </c>
      <c r="G641">
        <v>-11.1</v>
      </c>
      <c r="H641">
        <v>-14.5</v>
      </c>
      <c r="I641">
        <v>-55.2</v>
      </c>
      <c r="J641">
        <v>-300.5</v>
      </c>
      <c r="K641">
        <v>-166.8</v>
      </c>
      <c r="L641" s="2"/>
    </row>
    <row r="642" spans="1:12" x14ac:dyDescent="0.25">
      <c r="A642" s="2" t="s">
        <v>30</v>
      </c>
      <c r="B642" s="2" t="s">
        <v>78</v>
      </c>
      <c r="C642" s="2" t="s">
        <v>79</v>
      </c>
      <c r="D642" s="2" t="s">
        <v>85</v>
      </c>
      <c r="E642">
        <v>7.4286000000000003</v>
      </c>
      <c r="F642">
        <v>-15153.4</v>
      </c>
      <c r="G642">
        <v>-11.1</v>
      </c>
      <c r="H642">
        <v>-14.5</v>
      </c>
      <c r="I642">
        <v>-55.2</v>
      </c>
      <c r="J642">
        <v>-387</v>
      </c>
      <c r="K642">
        <v>-228.1</v>
      </c>
      <c r="L642" s="2"/>
    </row>
    <row r="643" spans="1:12" x14ac:dyDescent="0.25">
      <c r="A643" s="2" t="s">
        <v>30</v>
      </c>
      <c r="B643" s="2" t="s">
        <v>78</v>
      </c>
      <c r="C643" s="2" t="s">
        <v>79</v>
      </c>
      <c r="D643" s="2" t="s">
        <v>85</v>
      </c>
      <c r="E643">
        <v>8.3571000000000009</v>
      </c>
      <c r="F643">
        <v>-15110.5</v>
      </c>
      <c r="G643">
        <v>-11.1</v>
      </c>
      <c r="H643">
        <v>-14.5</v>
      </c>
      <c r="I643">
        <v>-55.2</v>
      </c>
      <c r="J643">
        <v>-473.4</v>
      </c>
      <c r="K643">
        <v>-289.3</v>
      </c>
      <c r="L643" s="2"/>
    </row>
    <row r="644" spans="1:12" x14ac:dyDescent="0.25">
      <c r="A644" s="2" t="s">
        <v>30</v>
      </c>
      <c r="B644" s="2" t="s">
        <v>78</v>
      </c>
      <c r="C644" s="2" t="s">
        <v>79</v>
      </c>
      <c r="D644" s="2" t="s">
        <v>85</v>
      </c>
      <c r="E644">
        <v>9.2857000000000003</v>
      </c>
      <c r="F644">
        <v>-15067.7</v>
      </c>
      <c r="G644">
        <v>-11.1</v>
      </c>
      <c r="H644">
        <v>-14.5</v>
      </c>
      <c r="I644">
        <v>-55.2</v>
      </c>
      <c r="J644">
        <v>-559.79999999999995</v>
      </c>
      <c r="K644">
        <v>-350.3</v>
      </c>
      <c r="L644" s="2"/>
    </row>
    <row r="645" spans="1:12" x14ac:dyDescent="0.25">
      <c r="A645" s="2" t="s">
        <v>30</v>
      </c>
      <c r="B645" s="2" t="s">
        <v>78</v>
      </c>
      <c r="C645" s="2" t="s">
        <v>79</v>
      </c>
      <c r="D645" s="2" t="s">
        <v>85</v>
      </c>
      <c r="E645">
        <v>10.2143</v>
      </c>
      <c r="F645">
        <v>-15024.8</v>
      </c>
      <c r="G645">
        <v>-11.1</v>
      </c>
      <c r="H645">
        <v>-14.5</v>
      </c>
      <c r="I645">
        <v>-55.2</v>
      </c>
      <c r="J645">
        <v>-646</v>
      </c>
      <c r="K645">
        <v>-410.9</v>
      </c>
      <c r="L645" s="2"/>
    </row>
    <row r="646" spans="1:12" x14ac:dyDescent="0.25">
      <c r="A646" s="2" t="s">
        <v>30</v>
      </c>
      <c r="B646" s="2" t="s">
        <v>78</v>
      </c>
      <c r="C646" s="2" t="s">
        <v>79</v>
      </c>
      <c r="D646" s="2" t="s">
        <v>85</v>
      </c>
      <c r="E646">
        <v>11.142899999999999</v>
      </c>
      <c r="F646">
        <v>-14981.9</v>
      </c>
      <c r="G646">
        <v>-11.1</v>
      </c>
      <c r="H646">
        <v>-14.5</v>
      </c>
      <c r="I646">
        <v>-55.2</v>
      </c>
      <c r="J646">
        <v>-732.2</v>
      </c>
      <c r="K646">
        <v>-471.1</v>
      </c>
      <c r="L646" s="2"/>
    </row>
    <row r="647" spans="1:12" x14ac:dyDescent="0.25">
      <c r="A647" s="2" t="s">
        <v>30</v>
      </c>
      <c r="B647" s="2" t="s">
        <v>78</v>
      </c>
      <c r="C647" s="2" t="s">
        <v>79</v>
      </c>
      <c r="D647" s="2" t="s">
        <v>85</v>
      </c>
      <c r="E647">
        <v>12.071400000000001</v>
      </c>
      <c r="F647">
        <v>-14939</v>
      </c>
      <c r="G647">
        <v>-11.1</v>
      </c>
      <c r="H647">
        <v>-14.5</v>
      </c>
      <c r="I647">
        <v>-55.2</v>
      </c>
      <c r="J647">
        <v>-818.4</v>
      </c>
      <c r="K647">
        <v>-530.9</v>
      </c>
      <c r="L647" s="2"/>
    </row>
    <row r="648" spans="1:12" x14ac:dyDescent="0.25">
      <c r="A648" s="2" t="s">
        <v>30</v>
      </c>
      <c r="B648" s="2" t="s">
        <v>78</v>
      </c>
      <c r="C648" s="2" t="s">
        <v>79</v>
      </c>
      <c r="D648" s="2" t="s">
        <v>85</v>
      </c>
      <c r="E648">
        <v>13</v>
      </c>
      <c r="F648">
        <v>-14896.1</v>
      </c>
      <c r="G648">
        <v>-11.1</v>
      </c>
      <c r="H648">
        <v>-14.5</v>
      </c>
      <c r="I648">
        <v>-55.2</v>
      </c>
      <c r="J648">
        <v>-904.4</v>
      </c>
      <c r="K648">
        <v>-590.1</v>
      </c>
      <c r="L648" s="2"/>
    </row>
    <row r="649" spans="1:12" x14ac:dyDescent="0.25">
      <c r="A649" s="2" t="s">
        <v>30</v>
      </c>
      <c r="B649" s="2" t="s">
        <v>78</v>
      </c>
      <c r="C649" s="2" t="s">
        <v>79</v>
      </c>
      <c r="D649" s="2" t="s">
        <v>86</v>
      </c>
      <c r="E649">
        <v>0</v>
      </c>
      <c r="F649">
        <v>-5612.2</v>
      </c>
      <c r="G649">
        <v>56</v>
      </c>
      <c r="H649">
        <v>27.7</v>
      </c>
      <c r="I649">
        <v>84</v>
      </c>
      <c r="J649">
        <v>63.9</v>
      </c>
      <c r="K649">
        <v>239.3</v>
      </c>
      <c r="L649" s="2"/>
    </row>
    <row r="650" spans="1:12" x14ac:dyDescent="0.25">
      <c r="A650" s="2" t="s">
        <v>30</v>
      </c>
      <c r="B650" s="2" t="s">
        <v>78</v>
      </c>
      <c r="C650" s="2" t="s">
        <v>79</v>
      </c>
      <c r="D650" s="2" t="s">
        <v>86</v>
      </c>
      <c r="E650">
        <v>0.92859999999999998</v>
      </c>
      <c r="F650">
        <v>-5612.2</v>
      </c>
      <c r="G650">
        <v>56</v>
      </c>
      <c r="H650">
        <v>27.7</v>
      </c>
      <c r="I650">
        <v>84</v>
      </c>
      <c r="J650">
        <v>38.6</v>
      </c>
      <c r="K650">
        <v>186.4</v>
      </c>
      <c r="L650" s="2"/>
    </row>
    <row r="651" spans="1:12" x14ac:dyDescent="0.25">
      <c r="A651" s="2" t="s">
        <v>30</v>
      </c>
      <c r="B651" s="2" t="s">
        <v>78</v>
      </c>
      <c r="C651" s="2" t="s">
        <v>79</v>
      </c>
      <c r="D651" s="2" t="s">
        <v>86</v>
      </c>
      <c r="E651">
        <v>1.8571</v>
      </c>
      <c r="F651">
        <v>-5612.2</v>
      </c>
      <c r="G651">
        <v>56</v>
      </c>
      <c r="H651">
        <v>27.7</v>
      </c>
      <c r="I651">
        <v>84</v>
      </c>
      <c r="J651">
        <v>13.3</v>
      </c>
      <c r="K651">
        <v>133.19999999999999</v>
      </c>
      <c r="L651" s="2"/>
    </row>
    <row r="652" spans="1:12" x14ac:dyDescent="0.25">
      <c r="A652" s="2" t="s">
        <v>30</v>
      </c>
      <c r="B652" s="2" t="s">
        <v>78</v>
      </c>
      <c r="C652" s="2" t="s">
        <v>79</v>
      </c>
      <c r="D652" s="2" t="s">
        <v>86</v>
      </c>
      <c r="E652">
        <v>2.7856999999999998</v>
      </c>
      <c r="F652">
        <v>-5612.2</v>
      </c>
      <c r="G652">
        <v>56</v>
      </c>
      <c r="H652">
        <v>27.7</v>
      </c>
      <c r="I652">
        <v>84</v>
      </c>
      <c r="J652">
        <v>-10.4</v>
      </c>
      <c r="K652">
        <v>93.5</v>
      </c>
      <c r="L652" s="2"/>
    </row>
    <row r="653" spans="1:12" x14ac:dyDescent="0.25">
      <c r="A653" s="2" t="s">
        <v>30</v>
      </c>
      <c r="B653" s="2" t="s">
        <v>78</v>
      </c>
      <c r="C653" s="2" t="s">
        <v>79</v>
      </c>
      <c r="D653" s="2" t="s">
        <v>86</v>
      </c>
      <c r="E653">
        <v>3.7143000000000002</v>
      </c>
      <c r="F653">
        <v>-5612.2</v>
      </c>
      <c r="G653">
        <v>56</v>
      </c>
      <c r="H653">
        <v>27.7</v>
      </c>
      <c r="I653">
        <v>84</v>
      </c>
      <c r="J653">
        <v>-4.0999999999999996</v>
      </c>
      <c r="K653">
        <v>77.3</v>
      </c>
      <c r="L653" s="2"/>
    </row>
    <row r="654" spans="1:12" x14ac:dyDescent="0.25">
      <c r="A654" s="2" t="s">
        <v>30</v>
      </c>
      <c r="B654" s="2" t="s">
        <v>78</v>
      </c>
      <c r="C654" s="2" t="s">
        <v>79</v>
      </c>
      <c r="D654" s="2" t="s">
        <v>86</v>
      </c>
      <c r="E654">
        <v>4.6429</v>
      </c>
      <c r="F654">
        <v>-5612.2</v>
      </c>
      <c r="G654">
        <v>56</v>
      </c>
      <c r="H654">
        <v>27.7</v>
      </c>
      <c r="I654">
        <v>84</v>
      </c>
      <c r="J654">
        <v>56.8</v>
      </c>
      <c r="K654">
        <v>75.599999999999994</v>
      </c>
      <c r="L654" s="2"/>
    </row>
    <row r="655" spans="1:12" x14ac:dyDescent="0.25">
      <c r="A655" s="2" t="s">
        <v>30</v>
      </c>
      <c r="B655" s="2" t="s">
        <v>78</v>
      </c>
      <c r="C655" s="2" t="s">
        <v>79</v>
      </c>
      <c r="D655" s="2" t="s">
        <v>86</v>
      </c>
      <c r="E655">
        <v>5.5713999999999997</v>
      </c>
      <c r="F655">
        <v>-5612.2</v>
      </c>
      <c r="G655">
        <v>56</v>
      </c>
      <c r="H655">
        <v>27.7</v>
      </c>
      <c r="I655">
        <v>84</v>
      </c>
      <c r="J655">
        <v>132.9</v>
      </c>
      <c r="K655">
        <v>93.1</v>
      </c>
      <c r="L655" s="2"/>
    </row>
    <row r="656" spans="1:12" x14ac:dyDescent="0.25">
      <c r="A656" s="2" t="s">
        <v>30</v>
      </c>
      <c r="B656" s="2" t="s">
        <v>78</v>
      </c>
      <c r="C656" s="2" t="s">
        <v>79</v>
      </c>
      <c r="D656" s="2" t="s">
        <v>86</v>
      </c>
      <c r="E656">
        <v>6.5</v>
      </c>
      <c r="F656">
        <v>-5612.2</v>
      </c>
      <c r="G656">
        <v>56</v>
      </c>
      <c r="H656">
        <v>27.7</v>
      </c>
      <c r="I656">
        <v>84</v>
      </c>
      <c r="J656">
        <v>209.1</v>
      </c>
      <c r="K656">
        <v>110.6</v>
      </c>
      <c r="L656" s="2"/>
    </row>
    <row r="657" spans="1:12" x14ac:dyDescent="0.25">
      <c r="A657" s="2" t="s">
        <v>30</v>
      </c>
      <c r="B657" s="2" t="s">
        <v>78</v>
      </c>
      <c r="C657" s="2" t="s">
        <v>79</v>
      </c>
      <c r="D657" s="2" t="s">
        <v>86</v>
      </c>
      <c r="E657">
        <v>7.4286000000000003</v>
      </c>
      <c r="F657">
        <v>-5612.2</v>
      </c>
      <c r="G657">
        <v>56</v>
      </c>
      <c r="H657">
        <v>27.7</v>
      </c>
      <c r="I657">
        <v>84</v>
      </c>
      <c r="J657">
        <v>285.3</v>
      </c>
      <c r="K657">
        <v>128</v>
      </c>
      <c r="L657" s="2"/>
    </row>
    <row r="658" spans="1:12" x14ac:dyDescent="0.25">
      <c r="A658" s="2" t="s">
        <v>30</v>
      </c>
      <c r="B658" s="2" t="s">
        <v>78</v>
      </c>
      <c r="C658" s="2" t="s">
        <v>79</v>
      </c>
      <c r="D658" s="2" t="s">
        <v>86</v>
      </c>
      <c r="E658">
        <v>8.3571000000000009</v>
      </c>
      <c r="F658">
        <v>-5612.2</v>
      </c>
      <c r="G658">
        <v>56</v>
      </c>
      <c r="H658">
        <v>27.7</v>
      </c>
      <c r="I658">
        <v>84</v>
      </c>
      <c r="J658">
        <v>361.5</v>
      </c>
      <c r="K658">
        <v>145.4</v>
      </c>
      <c r="L658" s="2"/>
    </row>
    <row r="659" spans="1:12" x14ac:dyDescent="0.25">
      <c r="A659" s="2" t="s">
        <v>30</v>
      </c>
      <c r="B659" s="2" t="s">
        <v>78</v>
      </c>
      <c r="C659" s="2" t="s">
        <v>79</v>
      </c>
      <c r="D659" s="2" t="s">
        <v>86</v>
      </c>
      <c r="E659">
        <v>9.2857000000000003</v>
      </c>
      <c r="F659">
        <v>-5612.2</v>
      </c>
      <c r="G659">
        <v>56</v>
      </c>
      <c r="H659">
        <v>27.7</v>
      </c>
      <c r="I659">
        <v>84</v>
      </c>
      <c r="J659">
        <v>437.8</v>
      </c>
      <c r="K659">
        <v>162.69999999999999</v>
      </c>
      <c r="L659" s="2"/>
    </row>
    <row r="660" spans="1:12" x14ac:dyDescent="0.25">
      <c r="A660" s="2" t="s">
        <v>30</v>
      </c>
      <c r="B660" s="2" t="s">
        <v>78</v>
      </c>
      <c r="C660" s="2" t="s">
        <v>79</v>
      </c>
      <c r="D660" s="2" t="s">
        <v>86</v>
      </c>
      <c r="E660">
        <v>10.2143</v>
      </c>
      <c r="F660">
        <v>-5612.2</v>
      </c>
      <c r="G660">
        <v>56</v>
      </c>
      <c r="H660">
        <v>27.7</v>
      </c>
      <c r="I660">
        <v>84</v>
      </c>
      <c r="J660">
        <v>514.1</v>
      </c>
      <c r="K660">
        <v>180.1</v>
      </c>
      <c r="L660" s="2"/>
    </row>
    <row r="661" spans="1:12" x14ac:dyDescent="0.25">
      <c r="A661" s="2" t="s">
        <v>30</v>
      </c>
      <c r="B661" s="2" t="s">
        <v>78</v>
      </c>
      <c r="C661" s="2" t="s">
        <v>79</v>
      </c>
      <c r="D661" s="2" t="s">
        <v>86</v>
      </c>
      <c r="E661">
        <v>11.142899999999999</v>
      </c>
      <c r="F661">
        <v>-5612.2</v>
      </c>
      <c r="G661">
        <v>56</v>
      </c>
      <c r="H661">
        <v>27.7</v>
      </c>
      <c r="I661">
        <v>84</v>
      </c>
      <c r="J661">
        <v>590.29999999999995</v>
      </c>
      <c r="K661">
        <v>197.4</v>
      </c>
      <c r="L661" s="2"/>
    </row>
    <row r="662" spans="1:12" x14ac:dyDescent="0.25">
      <c r="A662" s="2" t="s">
        <v>30</v>
      </c>
      <c r="B662" s="2" t="s">
        <v>78</v>
      </c>
      <c r="C662" s="2" t="s">
        <v>79</v>
      </c>
      <c r="D662" s="2" t="s">
        <v>86</v>
      </c>
      <c r="E662">
        <v>12.071400000000001</v>
      </c>
      <c r="F662">
        <v>-5612.2</v>
      </c>
      <c r="G662">
        <v>56</v>
      </c>
      <c r="H662">
        <v>27.7</v>
      </c>
      <c r="I662">
        <v>84</v>
      </c>
      <c r="J662">
        <v>666.5</v>
      </c>
      <c r="K662">
        <v>214.8</v>
      </c>
      <c r="L662" s="2"/>
    </row>
    <row r="663" spans="1:12" x14ac:dyDescent="0.25">
      <c r="A663" s="2" t="s">
        <v>30</v>
      </c>
      <c r="B663" s="2" t="s">
        <v>78</v>
      </c>
      <c r="C663" s="2" t="s">
        <v>79</v>
      </c>
      <c r="D663" s="2" t="s">
        <v>86</v>
      </c>
      <c r="E663">
        <v>13</v>
      </c>
      <c r="F663">
        <v>-5612.2</v>
      </c>
      <c r="G663">
        <v>56</v>
      </c>
      <c r="H663">
        <v>27.7</v>
      </c>
      <c r="I663">
        <v>84</v>
      </c>
      <c r="J663">
        <v>742.7</v>
      </c>
      <c r="K663">
        <v>232.2</v>
      </c>
      <c r="L663" s="2"/>
    </row>
    <row r="664" spans="1:12" x14ac:dyDescent="0.25">
      <c r="A664" s="2" t="s">
        <v>30</v>
      </c>
      <c r="B664" s="2" t="s">
        <v>78</v>
      </c>
      <c r="C664" s="2" t="s">
        <v>79</v>
      </c>
      <c r="D664" s="2" t="s">
        <v>86</v>
      </c>
      <c r="E664">
        <v>0</v>
      </c>
      <c r="F664">
        <v>-17217.8</v>
      </c>
      <c r="G664">
        <v>-19.399999999999999</v>
      </c>
      <c r="H664">
        <v>-80.900000000000006</v>
      </c>
      <c r="I664">
        <v>-62.2</v>
      </c>
      <c r="J664">
        <v>-322.5</v>
      </c>
      <c r="K664">
        <v>-13.3</v>
      </c>
      <c r="L664" s="2"/>
    </row>
    <row r="665" spans="1:12" x14ac:dyDescent="0.25">
      <c r="A665" s="2" t="s">
        <v>30</v>
      </c>
      <c r="B665" s="2" t="s">
        <v>78</v>
      </c>
      <c r="C665" s="2" t="s">
        <v>79</v>
      </c>
      <c r="D665" s="2" t="s">
        <v>86</v>
      </c>
      <c r="E665">
        <v>0.92859999999999998</v>
      </c>
      <c r="F665">
        <v>-17174.900000000001</v>
      </c>
      <c r="G665">
        <v>-19.399999999999999</v>
      </c>
      <c r="H665">
        <v>-80.900000000000006</v>
      </c>
      <c r="I665">
        <v>-62.2</v>
      </c>
      <c r="J665">
        <v>-246.9</v>
      </c>
      <c r="K665">
        <v>4.7</v>
      </c>
      <c r="L665" s="2"/>
    </row>
    <row r="666" spans="1:12" x14ac:dyDescent="0.25">
      <c r="A666" s="2" t="s">
        <v>30</v>
      </c>
      <c r="B666" s="2" t="s">
        <v>78</v>
      </c>
      <c r="C666" s="2" t="s">
        <v>79</v>
      </c>
      <c r="D666" s="2" t="s">
        <v>86</v>
      </c>
      <c r="E666">
        <v>1.8571</v>
      </c>
      <c r="F666">
        <v>-17132</v>
      </c>
      <c r="G666">
        <v>-19.399999999999999</v>
      </c>
      <c r="H666">
        <v>-80.900000000000006</v>
      </c>
      <c r="I666">
        <v>-62.2</v>
      </c>
      <c r="J666">
        <v>-171.1</v>
      </c>
      <c r="K666">
        <v>22</v>
      </c>
      <c r="L666" s="2"/>
    </row>
    <row r="667" spans="1:12" x14ac:dyDescent="0.25">
      <c r="A667" s="2" t="s">
        <v>30</v>
      </c>
      <c r="B667" s="2" t="s">
        <v>78</v>
      </c>
      <c r="C667" s="2" t="s">
        <v>79</v>
      </c>
      <c r="D667" s="2" t="s">
        <v>86</v>
      </c>
      <c r="E667">
        <v>2.7856999999999998</v>
      </c>
      <c r="F667">
        <v>-17089.099999999999</v>
      </c>
      <c r="G667">
        <v>-19.399999999999999</v>
      </c>
      <c r="H667">
        <v>-80.900000000000006</v>
      </c>
      <c r="I667">
        <v>-62.2</v>
      </c>
      <c r="J667">
        <v>-116.5</v>
      </c>
      <c r="K667">
        <v>23.3</v>
      </c>
      <c r="L667" s="2"/>
    </row>
    <row r="668" spans="1:12" x14ac:dyDescent="0.25">
      <c r="A668" s="2" t="s">
        <v>30</v>
      </c>
      <c r="B668" s="2" t="s">
        <v>78</v>
      </c>
      <c r="C668" s="2" t="s">
        <v>79</v>
      </c>
      <c r="D668" s="2" t="s">
        <v>86</v>
      </c>
      <c r="E668">
        <v>3.7143000000000002</v>
      </c>
      <c r="F668">
        <v>-17046.3</v>
      </c>
      <c r="G668">
        <v>-19.399999999999999</v>
      </c>
      <c r="H668">
        <v>-80.900000000000006</v>
      </c>
      <c r="I668">
        <v>-62.2</v>
      </c>
      <c r="J668">
        <v>-98</v>
      </c>
      <c r="K668">
        <v>6.3</v>
      </c>
      <c r="L668" s="2"/>
    </row>
    <row r="669" spans="1:12" x14ac:dyDescent="0.25">
      <c r="A669" s="2" t="s">
        <v>30</v>
      </c>
      <c r="B669" s="2" t="s">
        <v>78</v>
      </c>
      <c r="C669" s="2" t="s">
        <v>79</v>
      </c>
      <c r="D669" s="2" t="s">
        <v>86</v>
      </c>
      <c r="E669">
        <v>4.6429</v>
      </c>
      <c r="F669">
        <v>-17003.400000000001</v>
      </c>
      <c r="G669">
        <v>-19.399999999999999</v>
      </c>
      <c r="H669">
        <v>-80.900000000000006</v>
      </c>
      <c r="I669">
        <v>-62.2</v>
      </c>
      <c r="J669">
        <v>-104.4</v>
      </c>
      <c r="K669">
        <v>-32.9</v>
      </c>
      <c r="L669" s="2"/>
    </row>
    <row r="670" spans="1:12" x14ac:dyDescent="0.25">
      <c r="A670" s="2" t="s">
        <v>30</v>
      </c>
      <c r="B670" s="2" t="s">
        <v>78</v>
      </c>
      <c r="C670" s="2" t="s">
        <v>79</v>
      </c>
      <c r="D670" s="2" t="s">
        <v>86</v>
      </c>
      <c r="E670">
        <v>5.5713999999999997</v>
      </c>
      <c r="F670">
        <v>-16960.5</v>
      </c>
      <c r="G670">
        <v>-19.399999999999999</v>
      </c>
      <c r="H670">
        <v>-80.900000000000006</v>
      </c>
      <c r="I670">
        <v>-62.2</v>
      </c>
      <c r="J670">
        <v>-112.2</v>
      </c>
      <c r="K670">
        <v>-83.6</v>
      </c>
      <c r="L670" s="2"/>
    </row>
    <row r="671" spans="1:12" x14ac:dyDescent="0.25">
      <c r="A671" s="2" t="s">
        <v>30</v>
      </c>
      <c r="B671" s="2" t="s">
        <v>78</v>
      </c>
      <c r="C671" s="2" t="s">
        <v>79</v>
      </c>
      <c r="D671" s="2" t="s">
        <v>86</v>
      </c>
      <c r="E671">
        <v>6.5</v>
      </c>
      <c r="F671">
        <v>-16917.599999999999</v>
      </c>
      <c r="G671">
        <v>-19.399999999999999</v>
      </c>
      <c r="H671">
        <v>-80.900000000000006</v>
      </c>
      <c r="I671">
        <v>-62.2</v>
      </c>
      <c r="J671">
        <v>-131.80000000000001</v>
      </c>
      <c r="K671">
        <v>-135.19999999999999</v>
      </c>
      <c r="L671" s="2"/>
    </row>
    <row r="672" spans="1:12" x14ac:dyDescent="0.25">
      <c r="A672" s="2" t="s">
        <v>30</v>
      </c>
      <c r="B672" s="2" t="s">
        <v>78</v>
      </c>
      <c r="C672" s="2" t="s">
        <v>79</v>
      </c>
      <c r="D672" s="2" t="s">
        <v>86</v>
      </c>
      <c r="E672">
        <v>7.4286000000000003</v>
      </c>
      <c r="F672">
        <v>-16874.7</v>
      </c>
      <c r="G672">
        <v>-19.399999999999999</v>
      </c>
      <c r="H672">
        <v>-80.900000000000006</v>
      </c>
      <c r="I672">
        <v>-62.2</v>
      </c>
      <c r="J672">
        <v>-152.6</v>
      </c>
      <c r="K672">
        <v>-188.8</v>
      </c>
      <c r="L672" s="2"/>
    </row>
    <row r="673" spans="1:12" x14ac:dyDescent="0.25">
      <c r="A673" s="2" t="s">
        <v>30</v>
      </c>
      <c r="B673" s="2" t="s">
        <v>78</v>
      </c>
      <c r="C673" s="2" t="s">
        <v>79</v>
      </c>
      <c r="D673" s="2" t="s">
        <v>86</v>
      </c>
      <c r="E673">
        <v>8.3571000000000009</v>
      </c>
      <c r="F673">
        <v>-16831.8</v>
      </c>
      <c r="G673">
        <v>-19.399999999999999</v>
      </c>
      <c r="H673">
        <v>-80.900000000000006</v>
      </c>
      <c r="I673">
        <v>-62.2</v>
      </c>
      <c r="J673">
        <v>-173.3</v>
      </c>
      <c r="K673">
        <v>-242.3</v>
      </c>
      <c r="L673" s="2"/>
    </row>
    <row r="674" spans="1:12" x14ac:dyDescent="0.25">
      <c r="A674" s="2" t="s">
        <v>30</v>
      </c>
      <c r="B674" s="2" t="s">
        <v>78</v>
      </c>
      <c r="C674" s="2" t="s">
        <v>79</v>
      </c>
      <c r="D674" s="2" t="s">
        <v>86</v>
      </c>
      <c r="E674">
        <v>9.2857000000000003</v>
      </c>
      <c r="F674">
        <v>-16789</v>
      </c>
      <c r="G674">
        <v>-19.399999999999999</v>
      </c>
      <c r="H674">
        <v>-80.900000000000006</v>
      </c>
      <c r="I674">
        <v>-62.2</v>
      </c>
      <c r="J674">
        <v>-193.9</v>
      </c>
      <c r="K674">
        <v>-295.5</v>
      </c>
      <c r="L674" s="2"/>
    </row>
    <row r="675" spans="1:12" x14ac:dyDescent="0.25">
      <c r="A675" s="2" t="s">
        <v>30</v>
      </c>
      <c r="B675" s="2" t="s">
        <v>78</v>
      </c>
      <c r="C675" s="2" t="s">
        <v>79</v>
      </c>
      <c r="D675" s="2" t="s">
        <v>86</v>
      </c>
      <c r="E675">
        <v>10.2143</v>
      </c>
      <c r="F675">
        <v>-16746.099999999999</v>
      </c>
      <c r="G675">
        <v>-19.399999999999999</v>
      </c>
      <c r="H675">
        <v>-80.900000000000006</v>
      </c>
      <c r="I675">
        <v>-62.2</v>
      </c>
      <c r="J675">
        <v>-214.5</v>
      </c>
      <c r="K675">
        <v>-348.4</v>
      </c>
      <c r="L675" s="2"/>
    </row>
    <row r="676" spans="1:12" x14ac:dyDescent="0.25">
      <c r="A676" s="2" t="s">
        <v>30</v>
      </c>
      <c r="B676" s="2" t="s">
        <v>78</v>
      </c>
      <c r="C676" s="2" t="s">
        <v>79</v>
      </c>
      <c r="D676" s="2" t="s">
        <v>86</v>
      </c>
      <c r="E676">
        <v>11.142899999999999</v>
      </c>
      <c r="F676">
        <v>-16703.2</v>
      </c>
      <c r="G676">
        <v>-19.399999999999999</v>
      </c>
      <c r="H676">
        <v>-80.900000000000006</v>
      </c>
      <c r="I676">
        <v>-62.2</v>
      </c>
      <c r="J676">
        <v>-235.3</v>
      </c>
      <c r="K676">
        <v>-401</v>
      </c>
      <c r="L676" s="2"/>
    </row>
    <row r="677" spans="1:12" x14ac:dyDescent="0.25">
      <c r="A677" s="2" t="s">
        <v>30</v>
      </c>
      <c r="B677" s="2" t="s">
        <v>78</v>
      </c>
      <c r="C677" s="2" t="s">
        <v>79</v>
      </c>
      <c r="D677" s="2" t="s">
        <v>86</v>
      </c>
      <c r="E677">
        <v>12.071400000000001</v>
      </c>
      <c r="F677">
        <v>-16660.3</v>
      </c>
      <c r="G677">
        <v>-19.399999999999999</v>
      </c>
      <c r="H677">
        <v>-80.900000000000006</v>
      </c>
      <c r="I677">
        <v>-62.2</v>
      </c>
      <c r="J677">
        <v>-259.7</v>
      </c>
      <c r="K677">
        <v>-453</v>
      </c>
      <c r="L677" s="2"/>
    </row>
    <row r="678" spans="1:12" x14ac:dyDescent="0.25">
      <c r="A678" s="2" t="s">
        <v>30</v>
      </c>
      <c r="B678" s="2" t="s">
        <v>78</v>
      </c>
      <c r="C678" s="2" t="s">
        <v>79</v>
      </c>
      <c r="D678" s="2" t="s">
        <v>86</v>
      </c>
      <c r="E678">
        <v>13</v>
      </c>
      <c r="F678">
        <v>-16617.400000000001</v>
      </c>
      <c r="G678">
        <v>-19.399999999999999</v>
      </c>
      <c r="H678">
        <v>-80.900000000000006</v>
      </c>
      <c r="I678">
        <v>-62.2</v>
      </c>
      <c r="J678">
        <v>-284.10000000000002</v>
      </c>
      <c r="K678">
        <v>-504.5</v>
      </c>
      <c r="L678" s="2"/>
    </row>
    <row r="679" spans="1:12" x14ac:dyDescent="0.25">
      <c r="A679" s="2" t="s">
        <v>30</v>
      </c>
      <c r="B679" s="2" t="s">
        <v>78</v>
      </c>
      <c r="C679" s="2" t="s">
        <v>79</v>
      </c>
      <c r="D679" s="2" t="s">
        <v>87</v>
      </c>
      <c r="E679">
        <v>0</v>
      </c>
      <c r="F679">
        <v>-4211.8</v>
      </c>
      <c r="G679">
        <v>95.3</v>
      </c>
      <c r="H679">
        <v>170.7</v>
      </c>
      <c r="I679">
        <v>175.9</v>
      </c>
      <c r="J679">
        <v>545.70000000000005</v>
      </c>
      <c r="K679">
        <v>366.9</v>
      </c>
      <c r="L679" s="2"/>
    </row>
    <row r="680" spans="1:12" x14ac:dyDescent="0.25">
      <c r="A680" s="2" t="s">
        <v>30</v>
      </c>
      <c r="B680" s="2" t="s">
        <v>78</v>
      </c>
      <c r="C680" s="2" t="s">
        <v>79</v>
      </c>
      <c r="D680" s="2" t="s">
        <v>87</v>
      </c>
      <c r="E680">
        <v>0.92859999999999998</v>
      </c>
      <c r="F680">
        <v>-4211.8</v>
      </c>
      <c r="G680">
        <v>95.3</v>
      </c>
      <c r="H680">
        <v>170.7</v>
      </c>
      <c r="I680">
        <v>175.9</v>
      </c>
      <c r="J680">
        <v>387.3</v>
      </c>
      <c r="K680">
        <v>278</v>
      </c>
      <c r="L680" s="2"/>
    </row>
    <row r="681" spans="1:12" x14ac:dyDescent="0.25">
      <c r="A681" s="2" t="s">
        <v>30</v>
      </c>
      <c r="B681" s="2" t="s">
        <v>78</v>
      </c>
      <c r="C681" s="2" t="s">
        <v>79</v>
      </c>
      <c r="D681" s="2" t="s">
        <v>87</v>
      </c>
      <c r="E681">
        <v>1.8571</v>
      </c>
      <c r="F681">
        <v>-4211.8</v>
      </c>
      <c r="G681">
        <v>95.3</v>
      </c>
      <c r="H681">
        <v>170.7</v>
      </c>
      <c r="I681">
        <v>175.9</v>
      </c>
      <c r="J681">
        <v>229.1</v>
      </c>
      <c r="K681">
        <v>189.7</v>
      </c>
      <c r="L681" s="2"/>
    </row>
    <row r="682" spans="1:12" x14ac:dyDescent="0.25">
      <c r="A682" s="2" t="s">
        <v>30</v>
      </c>
      <c r="B682" s="2" t="s">
        <v>78</v>
      </c>
      <c r="C682" s="2" t="s">
        <v>79</v>
      </c>
      <c r="D682" s="2" t="s">
        <v>87</v>
      </c>
      <c r="E682">
        <v>2.7856999999999998</v>
      </c>
      <c r="F682">
        <v>-4211.8</v>
      </c>
      <c r="G682">
        <v>95.3</v>
      </c>
      <c r="H682">
        <v>170.7</v>
      </c>
      <c r="I682">
        <v>175.9</v>
      </c>
      <c r="J682">
        <v>113.7</v>
      </c>
      <c r="K682">
        <v>132.4</v>
      </c>
      <c r="L682" s="2"/>
    </row>
    <row r="683" spans="1:12" x14ac:dyDescent="0.25">
      <c r="A683" s="2" t="s">
        <v>30</v>
      </c>
      <c r="B683" s="2" t="s">
        <v>78</v>
      </c>
      <c r="C683" s="2" t="s">
        <v>79</v>
      </c>
      <c r="D683" s="2" t="s">
        <v>87</v>
      </c>
      <c r="E683">
        <v>3.7143000000000002</v>
      </c>
      <c r="F683">
        <v>-4211.8</v>
      </c>
      <c r="G683">
        <v>95.3</v>
      </c>
      <c r="H683">
        <v>170.7</v>
      </c>
      <c r="I683">
        <v>175.9</v>
      </c>
      <c r="J683">
        <v>57.7</v>
      </c>
      <c r="K683">
        <v>98.3</v>
      </c>
      <c r="L683" s="2"/>
    </row>
    <row r="684" spans="1:12" x14ac:dyDescent="0.25">
      <c r="A684" s="2" t="s">
        <v>30</v>
      </c>
      <c r="B684" s="2" t="s">
        <v>78</v>
      </c>
      <c r="C684" s="2" t="s">
        <v>79</v>
      </c>
      <c r="D684" s="2" t="s">
        <v>87</v>
      </c>
      <c r="E684">
        <v>4.6429</v>
      </c>
      <c r="F684">
        <v>-4211.8</v>
      </c>
      <c r="G684">
        <v>95.3</v>
      </c>
      <c r="H684">
        <v>170.7</v>
      </c>
      <c r="I684">
        <v>175.9</v>
      </c>
      <c r="J684">
        <v>52.2</v>
      </c>
      <c r="K684">
        <v>78.5</v>
      </c>
      <c r="L684" s="2"/>
    </row>
    <row r="685" spans="1:12" x14ac:dyDescent="0.25">
      <c r="A685" s="2" t="s">
        <v>30</v>
      </c>
      <c r="B685" s="2" t="s">
        <v>78</v>
      </c>
      <c r="C685" s="2" t="s">
        <v>79</v>
      </c>
      <c r="D685" s="2" t="s">
        <v>87</v>
      </c>
      <c r="E685">
        <v>5.5713999999999997</v>
      </c>
      <c r="F685">
        <v>-4211.8</v>
      </c>
      <c r="G685">
        <v>95.3</v>
      </c>
      <c r="H685">
        <v>170.7</v>
      </c>
      <c r="I685">
        <v>175.9</v>
      </c>
      <c r="J685">
        <v>152.69999999999999</v>
      </c>
      <c r="K685">
        <v>78</v>
      </c>
      <c r="L685" s="2"/>
    </row>
    <row r="686" spans="1:12" x14ac:dyDescent="0.25">
      <c r="A686" s="2" t="s">
        <v>30</v>
      </c>
      <c r="B686" s="2" t="s">
        <v>78</v>
      </c>
      <c r="C686" s="2" t="s">
        <v>79</v>
      </c>
      <c r="D686" s="2" t="s">
        <v>87</v>
      </c>
      <c r="E686">
        <v>6.5</v>
      </c>
      <c r="F686">
        <v>-4211.8</v>
      </c>
      <c r="G686">
        <v>95.3</v>
      </c>
      <c r="H686">
        <v>170.7</v>
      </c>
      <c r="I686">
        <v>175.9</v>
      </c>
      <c r="J686">
        <v>253.4</v>
      </c>
      <c r="K686">
        <v>77.3</v>
      </c>
      <c r="L686" s="2"/>
    </row>
    <row r="687" spans="1:12" x14ac:dyDescent="0.25">
      <c r="A687" s="2" t="s">
        <v>30</v>
      </c>
      <c r="B687" s="2" t="s">
        <v>78</v>
      </c>
      <c r="C687" s="2" t="s">
        <v>79</v>
      </c>
      <c r="D687" s="2" t="s">
        <v>87</v>
      </c>
      <c r="E687">
        <v>7.4286000000000003</v>
      </c>
      <c r="F687">
        <v>-4211.8</v>
      </c>
      <c r="G687">
        <v>95.3</v>
      </c>
      <c r="H687">
        <v>170.7</v>
      </c>
      <c r="I687">
        <v>175.9</v>
      </c>
      <c r="J687">
        <v>354.1</v>
      </c>
      <c r="K687">
        <v>76.5</v>
      </c>
      <c r="L687" s="2"/>
    </row>
    <row r="688" spans="1:12" x14ac:dyDescent="0.25">
      <c r="A688" s="2" t="s">
        <v>30</v>
      </c>
      <c r="B688" s="2" t="s">
        <v>78</v>
      </c>
      <c r="C688" s="2" t="s">
        <v>79</v>
      </c>
      <c r="D688" s="2" t="s">
        <v>87</v>
      </c>
      <c r="E688">
        <v>8.3571000000000009</v>
      </c>
      <c r="F688">
        <v>-4211.8</v>
      </c>
      <c r="G688">
        <v>95.3</v>
      </c>
      <c r="H688">
        <v>170.7</v>
      </c>
      <c r="I688">
        <v>175.9</v>
      </c>
      <c r="J688">
        <v>454.9</v>
      </c>
      <c r="K688">
        <v>75.8</v>
      </c>
      <c r="L688" s="2"/>
    </row>
    <row r="689" spans="1:12" x14ac:dyDescent="0.25">
      <c r="A689" s="2" t="s">
        <v>30</v>
      </c>
      <c r="B689" s="2" t="s">
        <v>78</v>
      </c>
      <c r="C689" s="2" t="s">
        <v>79</v>
      </c>
      <c r="D689" s="2" t="s">
        <v>87</v>
      </c>
      <c r="E689">
        <v>9.2857000000000003</v>
      </c>
      <c r="F689">
        <v>-4211.8</v>
      </c>
      <c r="G689">
        <v>95.3</v>
      </c>
      <c r="H689">
        <v>170.7</v>
      </c>
      <c r="I689">
        <v>175.9</v>
      </c>
      <c r="J689">
        <v>555.70000000000005</v>
      </c>
      <c r="K689">
        <v>75</v>
      </c>
      <c r="L689" s="2"/>
    </row>
    <row r="690" spans="1:12" x14ac:dyDescent="0.25">
      <c r="A690" s="2" t="s">
        <v>30</v>
      </c>
      <c r="B690" s="2" t="s">
        <v>78</v>
      </c>
      <c r="C690" s="2" t="s">
        <v>79</v>
      </c>
      <c r="D690" s="2" t="s">
        <v>87</v>
      </c>
      <c r="E690">
        <v>10.2143</v>
      </c>
      <c r="F690">
        <v>-4211.8</v>
      </c>
      <c r="G690">
        <v>95.3</v>
      </c>
      <c r="H690">
        <v>170.7</v>
      </c>
      <c r="I690">
        <v>175.9</v>
      </c>
      <c r="J690">
        <v>656.5</v>
      </c>
      <c r="K690">
        <v>74.2</v>
      </c>
      <c r="L690" s="2"/>
    </row>
    <row r="691" spans="1:12" x14ac:dyDescent="0.25">
      <c r="A691" s="2" t="s">
        <v>30</v>
      </c>
      <c r="B691" s="2" t="s">
        <v>78</v>
      </c>
      <c r="C691" s="2" t="s">
        <v>79</v>
      </c>
      <c r="D691" s="2" t="s">
        <v>87</v>
      </c>
      <c r="E691">
        <v>11.142899999999999</v>
      </c>
      <c r="F691">
        <v>-4211.8</v>
      </c>
      <c r="G691">
        <v>95.3</v>
      </c>
      <c r="H691">
        <v>170.7</v>
      </c>
      <c r="I691">
        <v>175.9</v>
      </c>
      <c r="J691">
        <v>757.3</v>
      </c>
      <c r="K691">
        <v>73.5</v>
      </c>
      <c r="L691" s="2"/>
    </row>
    <row r="692" spans="1:12" x14ac:dyDescent="0.25">
      <c r="A692" s="2" t="s">
        <v>30</v>
      </c>
      <c r="B692" s="2" t="s">
        <v>78</v>
      </c>
      <c r="C692" s="2" t="s">
        <v>79</v>
      </c>
      <c r="D692" s="2" t="s">
        <v>87</v>
      </c>
      <c r="E692">
        <v>12.071400000000001</v>
      </c>
      <c r="F692">
        <v>-4211.8</v>
      </c>
      <c r="G692">
        <v>95.3</v>
      </c>
      <c r="H692">
        <v>170.7</v>
      </c>
      <c r="I692">
        <v>175.9</v>
      </c>
      <c r="J692">
        <v>858.1</v>
      </c>
      <c r="K692">
        <v>72.8</v>
      </c>
      <c r="L692" s="2"/>
    </row>
    <row r="693" spans="1:12" x14ac:dyDescent="0.25">
      <c r="A693" s="2" t="s">
        <v>30</v>
      </c>
      <c r="B693" s="2" t="s">
        <v>78</v>
      </c>
      <c r="C693" s="2" t="s">
        <v>79</v>
      </c>
      <c r="D693" s="2" t="s">
        <v>87</v>
      </c>
      <c r="E693">
        <v>13</v>
      </c>
      <c r="F693">
        <v>-4211.8</v>
      </c>
      <c r="G693">
        <v>95.3</v>
      </c>
      <c r="H693">
        <v>170.7</v>
      </c>
      <c r="I693">
        <v>175.9</v>
      </c>
      <c r="J693">
        <v>958.7</v>
      </c>
      <c r="K693">
        <v>72.3</v>
      </c>
      <c r="L693" s="2"/>
    </row>
    <row r="694" spans="1:12" x14ac:dyDescent="0.25">
      <c r="A694" s="2" t="s">
        <v>30</v>
      </c>
      <c r="B694" s="2" t="s">
        <v>78</v>
      </c>
      <c r="C694" s="2" t="s">
        <v>79</v>
      </c>
      <c r="D694" s="2" t="s">
        <v>87</v>
      </c>
      <c r="E694">
        <v>0</v>
      </c>
      <c r="F694">
        <v>-20697</v>
      </c>
      <c r="G694">
        <v>0.1</v>
      </c>
      <c r="H694">
        <v>-106.9</v>
      </c>
      <c r="I694">
        <v>-109.2</v>
      </c>
      <c r="J694">
        <v>-447.4</v>
      </c>
      <c r="K694">
        <v>70.599999999999994</v>
      </c>
      <c r="L694" s="2"/>
    </row>
    <row r="695" spans="1:12" x14ac:dyDescent="0.25">
      <c r="A695" s="2" t="s">
        <v>30</v>
      </c>
      <c r="B695" s="2" t="s">
        <v>78</v>
      </c>
      <c r="C695" s="2" t="s">
        <v>79</v>
      </c>
      <c r="D695" s="2" t="s">
        <v>87</v>
      </c>
      <c r="E695">
        <v>0.92859999999999998</v>
      </c>
      <c r="F695">
        <v>-20654.099999999999</v>
      </c>
      <c r="G695">
        <v>0.1</v>
      </c>
      <c r="H695">
        <v>-106.9</v>
      </c>
      <c r="I695">
        <v>-109.2</v>
      </c>
      <c r="J695">
        <v>-348</v>
      </c>
      <c r="K695">
        <v>66.400000000000006</v>
      </c>
      <c r="L695" s="2"/>
    </row>
    <row r="696" spans="1:12" x14ac:dyDescent="0.25">
      <c r="A696" s="2" t="s">
        <v>30</v>
      </c>
      <c r="B696" s="2" t="s">
        <v>78</v>
      </c>
      <c r="C696" s="2" t="s">
        <v>79</v>
      </c>
      <c r="D696" s="2" t="s">
        <v>87</v>
      </c>
      <c r="E696">
        <v>1.8571</v>
      </c>
      <c r="F696">
        <v>-20611.2</v>
      </c>
      <c r="G696">
        <v>0.1</v>
      </c>
      <c r="H696">
        <v>-106.9</v>
      </c>
      <c r="I696">
        <v>-109.2</v>
      </c>
      <c r="J696">
        <v>-248.3</v>
      </c>
      <c r="K696">
        <v>61.9</v>
      </c>
      <c r="L696" s="2"/>
    </row>
    <row r="697" spans="1:12" x14ac:dyDescent="0.25">
      <c r="A697" s="2" t="s">
        <v>30</v>
      </c>
      <c r="B697" s="2" t="s">
        <v>78</v>
      </c>
      <c r="C697" s="2" t="s">
        <v>79</v>
      </c>
      <c r="D697" s="2" t="s">
        <v>87</v>
      </c>
      <c r="E697">
        <v>2.7856999999999998</v>
      </c>
      <c r="F697">
        <v>-20568.3</v>
      </c>
      <c r="G697">
        <v>0.1</v>
      </c>
      <c r="H697">
        <v>-106.9</v>
      </c>
      <c r="I697">
        <v>-109.2</v>
      </c>
      <c r="J697">
        <v>-176.1</v>
      </c>
      <c r="K697">
        <v>40.6</v>
      </c>
      <c r="L697" s="2"/>
    </row>
    <row r="698" spans="1:12" x14ac:dyDescent="0.25">
      <c r="A698" s="2" t="s">
        <v>30</v>
      </c>
      <c r="B698" s="2" t="s">
        <v>78</v>
      </c>
      <c r="C698" s="2" t="s">
        <v>79</v>
      </c>
      <c r="D698" s="2" t="s">
        <v>87</v>
      </c>
      <c r="E698">
        <v>3.7143000000000002</v>
      </c>
      <c r="F698">
        <v>-20525.400000000001</v>
      </c>
      <c r="G698">
        <v>0.1</v>
      </c>
      <c r="H698">
        <v>-106.9</v>
      </c>
      <c r="I698">
        <v>-109.2</v>
      </c>
      <c r="J698">
        <v>-157.4</v>
      </c>
      <c r="K698">
        <v>-9.6</v>
      </c>
      <c r="L698" s="2"/>
    </row>
    <row r="699" spans="1:12" x14ac:dyDescent="0.25">
      <c r="A699" s="2" t="s">
        <v>30</v>
      </c>
      <c r="B699" s="2" t="s">
        <v>78</v>
      </c>
      <c r="C699" s="2" t="s">
        <v>79</v>
      </c>
      <c r="D699" s="2" t="s">
        <v>87</v>
      </c>
      <c r="E699">
        <v>4.6429</v>
      </c>
      <c r="F699">
        <v>-20482.5</v>
      </c>
      <c r="G699">
        <v>0.1</v>
      </c>
      <c r="H699">
        <v>-106.9</v>
      </c>
      <c r="I699">
        <v>-109.2</v>
      </c>
      <c r="J699">
        <v>-252.8</v>
      </c>
      <c r="K699">
        <v>-86.4</v>
      </c>
      <c r="L699" s="2"/>
    </row>
    <row r="700" spans="1:12" x14ac:dyDescent="0.25">
      <c r="A700" s="2" t="s">
        <v>30</v>
      </c>
      <c r="B700" s="2" t="s">
        <v>78</v>
      </c>
      <c r="C700" s="2" t="s">
        <v>79</v>
      </c>
      <c r="D700" s="2" t="s">
        <v>87</v>
      </c>
      <c r="E700">
        <v>5.5713999999999997</v>
      </c>
      <c r="F700">
        <v>-20439.7</v>
      </c>
      <c r="G700">
        <v>0.1</v>
      </c>
      <c r="H700">
        <v>-106.9</v>
      </c>
      <c r="I700">
        <v>-109.2</v>
      </c>
      <c r="J700">
        <v>-403</v>
      </c>
      <c r="K700">
        <v>-173.5</v>
      </c>
      <c r="L700" s="2"/>
    </row>
    <row r="701" spans="1:12" x14ac:dyDescent="0.25">
      <c r="A701" s="2" t="s">
        <v>30</v>
      </c>
      <c r="B701" s="2" t="s">
        <v>78</v>
      </c>
      <c r="C701" s="2" t="s">
        <v>79</v>
      </c>
      <c r="D701" s="2" t="s">
        <v>87</v>
      </c>
      <c r="E701">
        <v>6.5</v>
      </c>
      <c r="F701">
        <v>-20396.8</v>
      </c>
      <c r="G701">
        <v>0.1</v>
      </c>
      <c r="H701">
        <v>-106.9</v>
      </c>
      <c r="I701">
        <v>-109.2</v>
      </c>
      <c r="J701">
        <v>-558.9</v>
      </c>
      <c r="K701">
        <v>-261.5</v>
      </c>
      <c r="L701" s="2"/>
    </row>
    <row r="702" spans="1:12" x14ac:dyDescent="0.25">
      <c r="A702" s="2" t="s">
        <v>30</v>
      </c>
      <c r="B702" s="2" t="s">
        <v>78</v>
      </c>
      <c r="C702" s="2" t="s">
        <v>79</v>
      </c>
      <c r="D702" s="2" t="s">
        <v>87</v>
      </c>
      <c r="E702">
        <v>7.4286000000000003</v>
      </c>
      <c r="F702">
        <v>-20353.900000000001</v>
      </c>
      <c r="G702">
        <v>0.1</v>
      </c>
      <c r="H702">
        <v>-106.9</v>
      </c>
      <c r="I702">
        <v>-109.2</v>
      </c>
      <c r="J702">
        <v>-716.1</v>
      </c>
      <c r="K702">
        <v>-351.7</v>
      </c>
      <c r="L702" s="2"/>
    </row>
    <row r="703" spans="1:12" x14ac:dyDescent="0.25">
      <c r="A703" s="2" t="s">
        <v>30</v>
      </c>
      <c r="B703" s="2" t="s">
        <v>78</v>
      </c>
      <c r="C703" s="2" t="s">
        <v>79</v>
      </c>
      <c r="D703" s="2" t="s">
        <v>87</v>
      </c>
      <c r="E703">
        <v>8.3571000000000009</v>
      </c>
      <c r="F703">
        <v>-20311</v>
      </c>
      <c r="G703">
        <v>0.1</v>
      </c>
      <c r="H703">
        <v>-106.9</v>
      </c>
      <c r="I703">
        <v>-109.2</v>
      </c>
      <c r="J703">
        <v>-873.1</v>
      </c>
      <c r="K703">
        <v>-441.7</v>
      </c>
      <c r="L703" s="2"/>
    </row>
    <row r="704" spans="1:12" x14ac:dyDescent="0.25">
      <c r="A704" s="2" t="s">
        <v>30</v>
      </c>
      <c r="B704" s="2" t="s">
        <v>78</v>
      </c>
      <c r="C704" s="2" t="s">
        <v>79</v>
      </c>
      <c r="D704" s="2" t="s">
        <v>87</v>
      </c>
      <c r="E704">
        <v>9.2857000000000003</v>
      </c>
      <c r="F704">
        <v>-20268.099999999999</v>
      </c>
      <c r="G704">
        <v>0.1</v>
      </c>
      <c r="H704">
        <v>-106.9</v>
      </c>
      <c r="I704">
        <v>-109.2</v>
      </c>
      <c r="J704">
        <v>-1030.0999999999999</v>
      </c>
      <c r="K704">
        <v>-531.5</v>
      </c>
      <c r="L704" s="2"/>
    </row>
    <row r="705" spans="1:12" x14ac:dyDescent="0.25">
      <c r="A705" s="2" t="s">
        <v>30</v>
      </c>
      <c r="B705" s="2" t="s">
        <v>78</v>
      </c>
      <c r="C705" s="2" t="s">
        <v>79</v>
      </c>
      <c r="D705" s="2" t="s">
        <v>87</v>
      </c>
      <c r="E705">
        <v>10.2143</v>
      </c>
      <c r="F705">
        <v>-20225.3</v>
      </c>
      <c r="G705">
        <v>0.1</v>
      </c>
      <c r="H705">
        <v>-106.9</v>
      </c>
      <c r="I705">
        <v>-109.2</v>
      </c>
      <c r="J705">
        <v>-1186.9000000000001</v>
      </c>
      <c r="K705">
        <v>-620.9</v>
      </c>
      <c r="L705" s="2"/>
    </row>
    <row r="706" spans="1:12" x14ac:dyDescent="0.25">
      <c r="A706" s="2" t="s">
        <v>30</v>
      </c>
      <c r="B706" s="2" t="s">
        <v>78</v>
      </c>
      <c r="C706" s="2" t="s">
        <v>79</v>
      </c>
      <c r="D706" s="2" t="s">
        <v>87</v>
      </c>
      <c r="E706">
        <v>11.142899999999999</v>
      </c>
      <c r="F706">
        <v>-20182.400000000001</v>
      </c>
      <c r="G706">
        <v>0.1</v>
      </c>
      <c r="H706">
        <v>-106.9</v>
      </c>
      <c r="I706">
        <v>-109.2</v>
      </c>
      <c r="J706">
        <v>-1343.8</v>
      </c>
      <c r="K706">
        <v>-709.8</v>
      </c>
      <c r="L706" s="2"/>
    </row>
    <row r="707" spans="1:12" x14ac:dyDescent="0.25">
      <c r="A707" s="2" t="s">
        <v>30</v>
      </c>
      <c r="B707" s="2" t="s">
        <v>78</v>
      </c>
      <c r="C707" s="2" t="s">
        <v>79</v>
      </c>
      <c r="D707" s="2" t="s">
        <v>87</v>
      </c>
      <c r="E707">
        <v>12.071400000000001</v>
      </c>
      <c r="F707">
        <v>-20139.5</v>
      </c>
      <c r="G707">
        <v>0.1</v>
      </c>
      <c r="H707">
        <v>-106.9</v>
      </c>
      <c r="I707">
        <v>-109.2</v>
      </c>
      <c r="J707">
        <v>-1500.5</v>
      </c>
      <c r="K707">
        <v>-798.2</v>
      </c>
      <c r="L707" s="2"/>
    </row>
    <row r="708" spans="1:12" x14ac:dyDescent="0.25">
      <c r="A708" s="2" t="s">
        <v>30</v>
      </c>
      <c r="B708" s="2" t="s">
        <v>78</v>
      </c>
      <c r="C708" s="2" t="s">
        <v>79</v>
      </c>
      <c r="D708" s="2" t="s">
        <v>87</v>
      </c>
      <c r="E708">
        <v>13</v>
      </c>
      <c r="F708">
        <v>-20096.599999999999</v>
      </c>
      <c r="G708">
        <v>0.1</v>
      </c>
      <c r="H708">
        <v>-106.9</v>
      </c>
      <c r="I708">
        <v>-109.2</v>
      </c>
      <c r="J708">
        <v>-1657.3</v>
      </c>
      <c r="K708">
        <v>-886</v>
      </c>
      <c r="L708" s="2"/>
    </row>
    <row r="709" spans="1:12" x14ac:dyDescent="0.25">
      <c r="A709" s="2" t="s">
        <v>30</v>
      </c>
      <c r="B709" s="2" t="s">
        <v>78</v>
      </c>
      <c r="C709" s="2" t="s">
        <v>79</v>
      </c>
      <c r="D709" s="2" t="s">
        <v>88</v>
      </c>
      <c r="E709">
        <v>0</v>
      </c>
      <c r="F709">
        <v>-4090.9</v>
      </c>
      <c r="G709">
        <v>56</v>
      </c>
      <c r="H709">
        <v>110.2</v>
      </c>
      <c r="I709">
        <v>150.69999999999999</v>
      </c>
      <c r="J709">
        <v>337.1</v>
      </c>
      <c r="K709">
        <v>261.2</v>
      </c>
      <c r="L709" s="2"/>
    </row>
    <row r="710" spans="1:12" x14ac:dyDescent="0.25">
      <c r="A710" s="2" t="s">
        <v>30</v>
      </c>
      <c r="B710" s="2" t="s">
        <v>78</v>
      </c>
      <c r="C710" s="2" t="s">
        <v>79</v>
      </c>
      <c r="D710" s="2" t="s">
        <v>88</v>
      </c>
      <c r="E710">
        <v>0.92859999999999998</v>
      </c>
      <c r="F710">
        <v>-4090.9</v>
      </c>
      <c r="G710">
        <v>56</v>
      </c>
      <c r="H710">
        <v>110.2</v>
      </c>
      <c r="I710">
        <v>150.69999999999999</v>
      </c>
      <c r="J710">
        <v>234.9</v>
      </c>
      <c r="K710">
        <v>213.3</v>
      </c>
      <c r="L710" s="2"/>
    </row>
    <row r="711" spans="1:12" x14ac:dyDescent="0.25">
      <c r="A711" s="2" t="s">
        <v>30</v>
      </c>
      <c r="B711" s="2" t="s">
        <v>78</v>
      </c>
      <c r="C711" s="2" t="s">
        <v>79</v>
      </c>
      <c r="D711" s="2" t="s">
        <v>88</v>
      </c>
      <c r="E711">
        <v>1.8571</v>
      </c>
      <c r="F711">
        <v>-4090.9</v>
      </c>
      <c r="G711">
        <v>56</v>
      </c>
      <c r="H711">
        <v>110.2</v>
      </c>
      <c r="I711">
        <v>150.69999999999999</v>
      </c>
      <c r="J711">
        <v>132.9</v>
      </c>
      <c r="K711">
        <v>165.1</v>
      </c>
      <c r="L711" s="2"/>
    </row>
    <row r="712" spans="1:12" x14ac:dyDescent="0.25">
      <c r="A712" s="2" t="s">
        <v>30</v>
      </c>
      <c r="B712" s="2" t="s">
        <v>78</v>
      </c>
      <c r="C712" s="2" t="s">
        <v>79</v>
      </c>
      <c r="D712" s="2" t="s">
        <v>88</v>
      </c>
      <c r="E712">
        <v>2.7856999999999998</v>
      </c>
      <c r="F712">
        <v>-4090.9</v>
      </c>
      <c r="G712">
        <v>56</v>
      </c>
      <c r="H712">
        <v>110.2</v>
      </c>
      <c r="I712">
        <v>150.69999999999999</v>
      </c>
      <c r="J712">
        <v>58.9</v>
      </c>
      <c r="K712">
        <v>133.30000000000001</v>
      </c>
      <c r="L712" s="2"/>
    </row>
    <row r="713" spans="1:12" x14ac:dyDescent="0.25">
      <c r="A713" s="2" t="s">
        <v>30</v>
      </c>
      <c r="B713" s="2" t="s">
        <v>78</v>
      </c>
      <c r="C713" s="2" t="s">
        <v>79</v>
      </c>
      <c r="D713" s="2" t="s">
        <v>88</v>
      </c>
      <c r="E713">
        <v>3.7143000000000002</v>
      </c>
      <c r="F713">
        <v>-4090.9</v>
      </c>
      <c r="G713">
        <v>56</v>
      </c>
      <c r="H713">
        <v>110.2</v>
      </c>
      <c r="I713">
        <v>150.69999999999999</v>
      </c>
      <c r="J713">
        <v>31.4</v>
      </c>
      <c r="K713">
        <v>130.1</v>
      </c>
      <c r="L713" s="2"/>
    </row>
    <row r="714" spans="1:12" x14ac:dyDescent="0.25">
      <c r="A714" s="2" t="s">
        <v>30</v>
      </c>
      <c r="B714" s="2" t="s">
        <v>78</v>
      </c>
      <c r="C714" s="2" t="s">
        <v>79</v>
      </c>
      <c r="D714" s="2" t="s">
        <v>88</v>
      </c>
      <c r="E714">
        <v>4.6429</v>
      </c>
      <c r="F714">
        <v>-4090.9</v>
      </c>
      <c r="G714">
        <v>56</v>
      </c>
      <c r="H714">
        <v>110.2</v>
      </c>
      <c r="I714">
        <v>150.69999999999999</v>
      </c>
      <c r="J714">
        <v>124.5</v>
      </c>
      <c r="K714">
        <v>146.69999999999999</v>
      </c>
      <c r="L714" s="2"/>
    </row>
    <row r="715" spans="1:12" x14ac:dyDescent="0.25">
      <c r="A715" s="2" t="s">
        <v>30</v>
      </c>
      <c r="B715" s="2" t="s">
        <v>78</v>
      </c>
      <c r="C715" s="2" t="s">
        <v>79</v>
      </c>
      <c r="D715" s="2" t="s">
        <v>88</v>
      </c>
      <c r="E715">
        <v>5.5713999999999997</v>
      </c>
      <c r="F715">
        <v>-4090.9</v>
      </c>
      <c r="G715">
        <v>56</v>
      </c>
      <c r="H715">
        <v>110.2</v>
      </c>
      <c r="I715">
        <v>150.69999999999999</v>
      </c>
      <c r="J715">
        <v>281.2</v>
      </c>
      <c r="K715">
        <v>182.6</v>
      </c>
      <c r="L715" s="2"/>
    </row>
    <row r="716" spans="1:12" x14ac:dyDescent="0.25">
      <c r="A716" s="2" t="s">
        <v>30</v>
      </c>
      <c r="B716" s="2" t="s">
        <v>78</v>
      </c>
      <c r="C716" s="2" t="s">
        <v>79</v>
      </c>
      <c r="D716" s="2" t="s">
        <v>88</v>
      </c>
      <c r="E716">
        <v>6.5</v>
      </c>
      <c r="F716">
        <v>-4090.9</v>
      </c>
      <c r="G716">
        <v>56</v>
      </c>
      <c r="H716">
        <v>110.2</v>
      </c>
      <c r="I716">
        <v>150.69999999999999</v>
      </c>
      <c r="J716">
        <v>438</v>
      </c>
      <c r="K716">
        <v>218.3</v>
      </c>
      <c r="L716" s="2"/>
    </row>
    <row r="717" spans="1:12" x14ac:dyDescent="0.25">
      <c r="A717" s="2" t="s">
        <v>30</v>
      </c>
      <c r="B717" s="2" t="s">
        <v>78</v>
      </c>
      <c r="C717" s="2" t="s">
        <v>79</v>
      </c>
      <c r="D717" s="2" t="s">
        <v>88</v>
      </c>
      <c r="E717">
        <v>7.4286000000000003</v>
      </c>
      <c r="F717">
        <v>-4090.9</v>
      </c>
      <c r="G717">
        <v>56</v>
      </c>
      <c r="H717">
        <v>110.2</v>
      </c>
      <c r="I717">
        <v>150.69999999999999</v>
      </c>
      <c r="J717">
        <v>594.9</v>
      </c>
      <c r="K717">
        <v>254</v>
      </c>
      <c r="L717" s="2"/>
    </row>
    <row r="718" spans="1:12" x14ac:dyDescent="0.25">
      <c r="A718" s="2" t="s">
        <v>30</v>
      </c>
      <c r="B718" s="2" t="s">
        <v>78</v>
      </c>
      <c r="C718" s="2" t="s">
        <v>79</v>
      </c>
      <c r="D718" s="2" t="s">
        <v>88</v>
      </c>
      <c r="E718">
        <v>8.3571000000000009</v>
      </c>
      <c r="F718">
        <v>-4090.9</v>
      </c>
      <c r="G718">
        <v>56</v>
      </c>
      <c r="H718">
        <v>110.2</v>
      </c>
      <c r="I718">
        <v>150.69999999999999</v>
      </c>
      <c r="J718">
        <v>751.9</v>
      </c>
      <c r="K718">
        <v>289.7</v>
      </c>
      <c r="L718" s="2"/>
    </row>
    <row r="719" spans="1:12" x14ac:dyDescent="0.25">
      <c r="A719" s="2" t="s">
        <v>30</v>
      </c>
      <c r="B719" s="2" t="s">
        <v>78</v>
      </c>
      <c r="C719" s="2" t="s">
        <v>79</v>
      </c>
      <c r="D719" s="2" t="s">
        <v>88</v>
      </c>
      <c r="E719">
        <v>9.2857000000000003</v>
      </c>
      <c r="F719">
        <v>-4090.9</v>
      </c>
      <c r="G719">
        <v>56</v>
      </c>
      <c r="H719">
        <v>110.2</v>
      </c>
      <c r="I719">
        <v>150.69999999999999</v>
      </c>
      <c r="J719">
        <v>908.9</v>
      </c>
      <c r="K719">
        <v>325.3</v>
      </c>
      <c r="L719" s="2"/>
    </row>
    <row r="720" spans="1:12" x14ac:dyDescent="0.25">
      <c r="A720" s="2" t="s">
        <v>30</v>
      </c>
      <c r="B720" s="2" t="s">
        <v>78</v>
      </c>
      <c r="C720" s="2" t="s">
        <v>79</v>
      </c>
      <c r="D720" s="2" t="s">
        <v>88</v>
      </c>
      <c r="E720">
        <v>10.2143</v>
      </c>
      <c r="F720">
        <v>-4090.9</v>
      </c>
      <c r="G720">
        <v>56</v>
      </c>
      <c r="H720">
        <v>110.2</v>
      </c>
      <c r="I720">
        <v>150.69999999999999</v>
      </c>
      <c r="J720">
        <v>1065.9000000000001</v>
      </c>
      <c r="K720">
        <v>361</v>
      </c>
      <c r="L720" s="2"/>
    </row>
    <row r="721" spans="1:12" x14ac:dyDescent="0.25">
      <c r="A721" s="2" t="s">
        <v>30</v>
      </c>
      <c r="B721" s="2" t="s">
        <v>78</v>
      </c>
      <c r="C721" s="2" t="s">
        <v>79</v>
      </c>
      <c r="D721" s="2" t="s">
        <v>88</v>
      </c>
      <c r="E721">
        <v>11.142899999999999</v>
      </c>
      <c r="F721">
        <v>-4090.9</v>
      </c>
      <c r="G721">
        <v>56</v>
      </c>
      <c r="H721">
        <v>110.2</v>
      </c>
      <c r="I721">
        <v>150.69999999999999</v>
      </c>
      <c r="J721">
        <v>1222.9000000000001</v>
      </c>
      <c r="K721">
        <v>396.7</v>
      </c>
      <c r="L721" s="2"/>
    </row>
    <row r="722" spans="1:12" x14ac:dyDescent="0.25">
      <c r="A722" s="2" t="s">
        <v>30</v>
      </c>
      <c r="B722" s="2" t="s">
        <v>78</v>
      </c>
      <c r="C722" s="2" t="s">
        <v>79</v>
      </c>
      <c r="D722" s="2" t="s">
        <v>88</v>
      </c>
      <c r="E722">
        <v>12.071400000000001</v>
      </c>
      <c r="F722">
        <v>-4090.9</v>
      </c>
      <c r="G722">
        <v>56</v>
      </c>
      <c r="H722">
        <v>110.2</v>
      </c>
      <c r="I722">
        <v>150.69999999999999</v>
      </c>
      <c r="J722">
        <v>1379.8</v>
      </c>
      <c r="K722">
        <v>432.5</v>
      </c>
      <c r="L722" s="2"/>
    </row>
    <row r="723" spans="1:12" x14ac:dyDescent="0.25">
      <c r="A723" s="2" t="s">
        <v>30</v>
      </c>
      <c r="B723" s="2" t="s">
        <v>78</v>
      </c>
      <c r="C723" s="2" t="s">
        <v>79</v>
      </c>
      <c r="D723" s="2" t="s">
        <v>88</v>
      </c>
      <c r="E723">
        <v>13</v>
      </c>
      <c r="F723">
        <v>-4090.9</v>
      </c>
      <c r="G723">
        <v>56</v>
      </c>
      <c r="H723">
        <v>110.2</v>
      </c>
      <c r="I723">
        <v>150.69999999999999</v>
      </c>
      <c r="J723">
        <v>1536.6</v>
      </c>
      <c r="K723">
        <v>468.4</v>
      </c>
      <c r="L723" s="2"/>
    </row>
    <row r="724" spans="1:12" x14ac:dyDescent="0.25">
      <c r="A724" s="2" t="s">
        <v>30</v>
      </c>
      <c r="B724" s="2" t="s">
        <v>78</v>
      </c>
      <c r="C724" s="2" t="s">
        <v>79</v>
      </c>
      <c r="D724" s="2" t="s">
        <v>88</v>
      </c>
      <c r="E724">
        <v>0</v>
      </c>
      <c r="F724">
        <v>-20576.099999999999</v>
      </c>
      <c r="G724">
        <v>-39.1</v>
      </c>
      <c r="H724">
        <v>-167.4</v>
      </c>
      <c r="I724">
        <v>-134.5</v>
      </c>
      <c r="J724">
        <v>-656</v>
      </c>
      <c r="K724">
        <v>-35.1</v>
      </c>
      <c r="L724" s="2"/>
    </row>
    <row r="725" spans="1:12" x14ac:dyDescent="0.25">
      <c r="A725" s="2" t="s">
        <v>30</v>
      </c>
      <c r="B725" s="2" t="s">
        <v>78</v>
      </c>
      <c r="C725" s="2" t="s">
        <v>79</v>
      </c>
      <c r="D725" s="2" t="s">
        <v>88</v>
      </c>
      <c r="E725">
        <v>0.92859999999999998</v>
      </c>
      <c r="F725">
        <v>-20533.2</v>
      </c>
      <c r="G725">
        <v>-39.1</v>
      </c>
      <c r="H725">
        <v>-167.4</v>
      </c>
      <c r="I725">
        <v>-134.5</v>
      </c>
      <c r="J725">
        <v>-500.4</v>
      </c>
      <c r="K725">
        <v>1.7</v>
      </c>
      <c r="L725" s="2"/>
    </row>
    <row r="726" spans="1:12" x14ac:dyDescent="0.25">
      <c r="A726" s="2" t="s">
        <v>30</v>
      </c>
      <c r="B726" s="2" t="s">
        <v>78</v>
      </c>
      <c r="C726" s="2" t="s">
        <v>79</v>
      </c>
      <c r="D726" s="2" t="s">
        <v>88</v>
      </c>
      <c r="E726">
        <v>1.8571</v>
      </c>
      <c r="F726">
        <v>-20490.3</v>
      </c>
      <c r="G726">
        <v>-39.1</v>
      </c>
      <c r="H726">
        <v>-167.4</v>
      </c>
      <c r="I726">
        <v>-134.5</v>
      </c>
      <c r="J726">
        <v>-344.5</v>
      </c>
      <c r="K726">
        <v>37.299999999999997</v>
      </c>
      <c r="L726" s="2"/>
    </row>
    <row r="727" spans="1:12" x14ac:dyDescent="0.25">
      <c r="A727" s="2" t="s">
        <v>30</v>
      </c>
      <c r="B727" s="2" t="s">
        <v>78</v>
      </c>
      <c r="C727" s="2" t="s">
        <v>79</v>
      </c>
      <c r="D727" s="2" t="s">
        <v>88</v>
      </c>
      <c r="E727">
        <v>2.7856999999999998</v>
      </c>
      <c r="F727">
        <v>-20447.400000000001</v>
      </c>
      <c r="G727">
        <v>-39.1</v>
      </c>
      <c r="H727">
        <v>-167.4</v>
      </c>
      <c r="I727">
        <v>-134.5</v>
      </c>
      <c r="J727">
        <v>-230.9</v>
      </c>
      <c r="K727">
        <v>41.5</v>
      </c>
      <c r="L727" s="2"/>
    </row>
    <row r="728" spans="1:12" x14ac:dyDescent="0.25">
      <c r="A728" s="2" t="s">
        <v>30</v>
      </c>
      <c r="B728" s="2" t="s">
        <v>78</v>
      </c>
      <c r="C728" s="2" t="s">
        <v>79</v>
      </c>
      <c r="D728" s="2" t="s">
        <v>88</v>
      </c>
      <c r="E728">
        <v>3.7143000000000002</v>
      </c>
      <c r="F728">
        <v>-20404.5</v>
      </c>
      <c r="G728">
        <v>-39.1</v>
      </c>
      <c r="H728">
        <v>-167.4</v>
      </c>
      <c r="I728">
        <v>-134.5</v>
      </c>
      <c r="J728">
        <v>-183.7</v>
      </c>
      <c r="K728">
        <v>22.1</v>
      </c>
      <c r="L728" s="2"/>
    </row>
    <row r="729" spans="1:12" x14ac:dyDescent="0.25">
      <c r="A729" s="2" t="s">
        <v>30</v>
      </c>
      <c r="B729" s="2" t="s">
        <v>78</v>
      </c>
      <c r="C729" s="2" t="s">
        <v>79</v>
      </c>
      <c r="D729" s="2" t="s">
        <v>88</v>
      </c>
      <c r="E729">
        <v>4.6429</v>
      </c>
      <c r="F729">
        <v>-20361.599999999999</v>
      </c>
      <c r="G729">
        <v>-39.1</v>
      </c>
      <c r="H729">
        <v>-167.4</v>
      </c>
      <c r="I729">
        <v>-134.5</v>
      </c>
      <c r="J729">
        <v>-180.5</v>
      </c>
      <c r="K729">
        <v>-18.2</v>
      </c>
      <c r="L729" s="2"/>
    </row>
    <row r="730" spans="1:12" x14ac:dyDescent="0.25">
      <c r="A730" s="2" t="s">
        <v>30</v>
      </c>
      <c r="B730" s="2" t="s">
        <v>78</v>
      </c>
      <c r="C730" s="2" t="s">
        <v>79</v>
      </c>
      <c r="D730" s="2" t="s">
        <v>88</v>
      </c>
      <c r="E730">
        <v>5.5713999999999997</v>
      </c>
      <c r="F730">
        <v>-20318.8</v>
      </c>
      <c r="G730">
        <v>-39.1</v>
      </c>
      <c r="H730">
        <v>-167.4</v>
      </c>
      <c r="I730">
        <v>-134.5</v>
      </c>
      <c r="J730">
        <v>-274.5</v>
      </c>
      <c r="K730">
        <v>-68.900000000000006</v>
      </c>
      <c r="L730" s="2"/>
    </row>
    <row r="731" spans="1:12" x14ac:dyDescent="0.25">
      <c r="A731" s="2" t="s">
        <v>30</v>
      </c>
      <c r="B731" s="2" t="s">
        <v>78</v>
      </c>
      <c r="C731" s="2" t="s">
        <v>79</v>
      </c>
      <c r="D731" s="2" t="s">
        <v>88</v>
      </c>
      <c r="E731">
        <v>6.5</v>
      </c>
      <c r="F731">
        <v>-20275.900000000001</v>
      </c>
      <c r="G731">
        <v>-39.1</v>
      </c>
      <c r="H731">
        <v>-167.4</v>
      </c>
      <c r="I731">
        <v>-134.5</v>
      </c>
      <c r="J731">
        <v>-374.3</v>
      </c>
      <c r="K731">
        <v>-120.5</v>
      </c>
      <c r="L731" s="2"/>
    </row>
    <row r="732" spans="1:12" x14ac:dyDescent="0.25">
      <c r="A732" s="2" t="s">
        <v>30</v>
      </c>
      <c r="B732" s="2" t="s">
        <v>78</v>
      </c>
      <c r="C732" s="2" t="s">
        <v>79</v>
      </c>
      <c r="D732" s="2" t="s">
        <v>88</v>
      </c>
      <c r="E732">
        <v>7.4286000000000003</v>
      </c>
      <c r="F732">
        <v>-20233</v>
      </c>
      <c r="G732">
        <v>-39.1</v>
      </c>
      <c r="H732">
        <v>-167.4</v>
      </c>
      <c r="I732">
        <v>-134.5</v>
      </c>
      <c r="J732">
        <v>-475.2</v>
      </c>
      <c r="K732">
        <v>-174.2</v>
      </c>
      <c r="L732" s="2"/>
    </row>
    <row r="733" spans="1:12" x14ac:dyDescent="0.25">
      <c r="A733" s="2" t="s">
        <v>30</v>
      </c>
      <c r="B733" s="2" t="s">
        <v>78</v>
      </c>
      <c r="C733" s="2" t="s">
        <v>79</v>
      </c>
      <c r="D733" s="2" t="s">
        <v>88</v>
      </c>
      <c r="E733">
        <v>8.3571000000000009</v>
      </c>
      <c r="F733">
        <v>-20190.099999999999</v>
      </c>
      <c r="G733">
        <v>-39.1</v>
      </c>
      <c r="H733">
        <v>-167.4</v>
      </c>
      <c r="I733">
        <v>-134.5</v>
      </c>
      <c r="J733">
        <v>-576.1</v>
      </c>
      <c r="K733">
        <v>-227.8</v>
      </c>
      <c r="L733" s="2"/>
    </row>
    <row r="734" spans="1:12" x14ac:dyDescent="0.25">
      <c r="A734" s="2" t="s">
        <v>30</v>
      </c>
      <c r="B734" s="2" t="s">
        <v>78</v>
      </c>
      <c r="C734" s="2" t="s">
        <v>79</v>
      </c>
      <c r="D734" s="2" t="s">
        <v>88</v>
      </c>
      <c r="E734">
        <v>9.2857000000000003</v>
      </c>
      <c r="F734">
        <v>-20147.2</v>
      </c>
      <c r="G734">
        <v>-39.1</v>
      </c>
      <c r="H734">
        <v>-167.4</v>
      </c>
      <c r="I734">
        <v>-134.5</v>
      </c>
      <c r="J734">
        <v>-676.9</v>
      </c>
      <c r="K734">
        <v>-281.10000000000002</v>
      </c>
      <c r="L734" s="2"/>
    </row>
    <row r="735" spans="1:12" x14ac:dyDescent="0.25">
      <c r="A735" s="2" t="s">
        <v>30</v>
      </c>
      <c r="B735" s="2" t="s">
        <v>78</v>
      </c>
      <c r="C735" s="2" t="s">
        <v>79</v>
      </c>
      <c r="D735" s="2" t="s">
        <v>88</v>
      </c>
      <c r="E735">
        <v>10.2143</v>
      </c>
      <c r="F735">
        <v>-20104.3</v>
      </c>
      <c r="G735">
        <v>-39.1</v>
      </c>
      <c r="H735">
        <v>-167.4</v>
      </c>
      <c r="I735">
        <v>-134.5</v>
      </c>
      <c r="J735">
        <v>-777.5</v>
      </c>
      <c r="K735">
        <v>-334.1</v>
      </c>
      <c r="L735" s="2"/>
    </row>
    <row r="736" spans="1:12" x14ac:dyDescent="0.25">
      <c r="A736" s="2" t="s">
        <v>30</v>
      </c>
      <c r="B736" s="2" t="s">
        <v>78</v>
      </c>
      <c r="C736" s="2" t="s">
        <v>79</v>
      </c>
      <c r="D736" s="2" t="s">
        <v>88</v>
      </c>
      <c r="E736">
        <v>11.142899999999999</v>
      </c>
      <c r="F736">
        <v>-20061.5</v>
      </c>
      <c r="G736">
        <v>-39.1</v>
      </c>
      <c r="H736">
        <v>-167.4</v>
      </c>
      <c r="I736">
        <v>-134.5</v>
      </c>
      <c r="J736">
        <v>-878.2</v>
      </c>
      <c r="K736">
        <v>-386.6</v>
      </c>
      <c r="L736" s="2"/>
    </row>
    <row r="737" spans="1:12" x14ac:dyDescent="0.25">
      <c r="A737" s="2" t="s">
        <v>30</v>
      </c>
      <c r="B737" s="2" t="s">
        <v>78</v>
      </c>
      <c r="C737" s="2" t="s">
        <v>79</v>
      </c>
      <c r="D737" s="2" t="s">
        <v>88</v>
      </c>
      <c r="E737">
        <v>12.071400000000001</v>
      </c>
      <c r="F737">
        <v>-20018.599999999999</v>
      </c>
      <c r="G737">
        <v>-39.1</v>
      </c>
      <c r="H737">
        <v>-167.4</v>
      </c>
      <c r="I737">
        <v>-134.5</v>
      </c>
      <c r="J737">
        <v>-978.8</v>
      </c>
      <c r="K737">
        <v>-438.6</v>
      </c>
      <c r="L737" s="2"/>
    </row>
    <row r="738" spans="1:12" x14ac:dyDescent="0.25">
      <c r="A738" s="2" t="s">
        <v>30</v>
      </c>
      <c r="B738" s="2" t="s">
        <v>78</v>
      </c>
      <c r="C738" s="2" t="s">
        <v>79</v>
      </c>
      <c r="D738" s="2" t="s">
        <v>88</v>
      </c>
      <c r="E738">
        <v>13</v>
      </c>
      <c r="F738">
        <v>-19975.7</v>
      </c>
      <c r="G738">
        <v>-39.1</v>
      </c>
      <c r="H738">
        <v>-167.4</v>
      </c>
      <c r="I738">
        <v>-134.5</v>
      </c>
      <c r="J738">
        <v>-1079.4000000000001</v>
      </c>
      <c r="K738">
        <v>-489.9</v>
      </c>
      <c r="L738" s="2"/>
    </row>
    <row r="739" spans="1:12" x14ac:dyDescent="0.25">
      <c r="A739" s="2" t="s">
        <v>30</v>
      </c>
      <c r="B739" s="2" t="s">
        <v>78</v>
      </c>
      <c r="C739" s="2" t="s">
        <v>79</v>
      </c>
      <c r="D739" s="2" t="s">
        <v>89</v>
      </c>
      <c r="E739">
        <v>0</v>
      </c>
      <c r="F739">
        <v>-4129.5</v>
      </c>
      <c r="G739">
        <v>94</v>
      </c>
      <c r="H739">
        <v>164.7</v>
      </c>
      <c r="I739">
        <v>167.2</v>
      </c>
      <c r="J739">
        <v>525.29999999999995</v>
      </c>
      <c r="K739">
        <v>363.3</v>
      </c>
      <c r="L739" s="2"/>
    </row>
    <row r="740" spans="1:12" x14ac:dyDescent="0.25">
      <c r="A740" s="2" t="s">
        <v>30</v>
      </c>
      <c r="B740" s="2" t="s">
        <v>78</v>
      </c>
      <c r="C740" s="2" t="s">
        <v>79</v>
      </c>
      <c r="D740" s="2" t="s">
        <v>89</v>
      </c>
      <c r="E740">
        <v>0.92859999999999998</v>
      </c>
      <c r="F740">
        <v>-4129.5</v>
      </c>
      <c r="G740">
        <v>94</v>
      </c>
      <c r="H740">
        <v>164.7</v>
      </c>
      <c r="I740">
        <v>167.2</v>
      </c>
      <c r="J740">
        <v>372.4</v>
      </c>
      <c r="K740">
        <v>275.60000000000002</v>
      </c>
      <c r="L740" s="2"/>
    </row>
    <row r="741" spans="1:12" x14ac:dyDescent="0.25">
      <c r="A741" s="2" t="s">
        <v>30</v>
      </c>
      <c r="B741" s="2" t="s">
        <v>78</v>
      </c>
      <c r="C741" s="2" t="s">
        <v>79</v>
      </c>
      <c r="D741" s="2" t="s">
        <v>89</v>
      </c>
      <c r="E741">
        <v>1.8571</v>
      </c>
      <c r="F741">
        <v>-4129.5</v>
      </c>
      <c r="G741">
        <v>94</v>
      </c>
      <c r="H741">
        <v>164.7</v>
      </c>
      <c r="I741">
        <v>167.2</v>
      </c>
      <c r="J741">
        <v>219.8</v>
      </c>
      <c r="K741">
        <v>188.6</v>
      </c>
      <c r="L741" s="2"/>
    </row>
    <row r="742" spans="1:12" x14ac:dyDescent="0.25">
      <c r="A742" s="2" t="s">
        <v>30</v>
      </c>
      <c r="B742" s="2" t="s">
        <v>78</v>
      </c>
      <c r="C742" s="2" t="s">
        <v>79</v>
      </c>
      <c r="D742" s="2" t="s">
        <v>89</v>
      </c>
      <c r="E742">
        <v>2.7856999999999998</v>
      </c>
      <c r="F742">
        <v>-4129.5</v>
      </c>
      <c r="G742">
        <v>94</v>
      </c>
      <c r="H742">
        <v>164.7</v>
      </c>
      <c r="I742">
        <v>167.2</v>
      </c>
      <c r="J742">
        <v>109.7</v>
      </c>
      <c r="K742">
        <v>133.19999999999999</v>
      </c>
      <c r="L742" s="2"/>
    </row>
    <row r="743" spans="1:12" x14ac:dyDescent="0.25">
      <c r="A743" s="2" t="s">
        <v>30</v>
      </c>
      <c r="B743" s="2" t="s">
        <v>78</v>
      </c>
      <c r="C743" s="2" t="s">
        <v>79</v>
      </c>
      <c r="D743" s="2" t="s">
        <v>89</v>
      </c>
      <c r="E743">
        <v>3.7143000000000002</v>
      </c>
      <c r="F743">
        <v>-4129.5</v>
      </c>
      <c r="G743">
        <v>94</v>
      </c>
      <c r="H743">
        <v>164.7</v>
      </c>
      <c r="I743">
        <v>167.2</v>
      </c>
      <c r="J743">
        <v>57.8</v>
      </c>
      <c r="K743">
        <v>114.1</v>
      </c>
      <c r="L743" s="2"/>
    </row>
    <row r="744" spans="1:12" x14ac:dyDescent="0.25">
      <c r="A744" s="2" t="s">
        <v>30</v>
      </c>
      <c r="B744" s="2" t="s">
        <v>78</v>
      </c>
      <c r="C744" s="2" t="s">
        <v>79</v>
      </c>
      <c r="D744" s="2" t="s">
        <v>89</v>
      </c>
      <c r="E744">
        <v>4.6429</v>
      </c>
      <c r="F744">
        <v>-4129.5</v>
      </c>
      <c r="G744">
        <v>94</v>
      </c>
      <c r="H744">
        <v>164.7</v>
      </c>
      <c r="I744">
        <v>167.2</v>
      </c>
      <c r="J744">
        <v>54.1</v>
      </c>
      <c r="K744">
        <v>112.1</v>
      </c>
      <c r="L744" s="2"/>
    </row>
    <row r="745" spans="1:12" x14ac:dyDescent="0.25">
      <c r="A745" s="2" t="s">
        <v>30</v>
      </c>
      <c r="B745" s="2" t="s">
        <v>78</v>
      </c>
      <c r="C745" s="2" t="s">
        <v>79</v>
      </c>
      <c r="D745" s="2" t="s">
        <v>89</v>
      </c>
      <c r="E745">
        <v>5.5713999999999997</v>
      </c>
      <c r="F745">
        <v>-4129.5</v>
      </c>
      <c r="G745">
        <v>94</v>
      </c>
      <c r="H745">
        <v>164.7</v>
      </c>
      <c r="I745">
        <v>167.2</v>
      </c>
      <c r="J745">
        <v>62.3</v>
      </c>
      <c r="K745">
        <v>131.4</v>
      </c>
      <c r="L745" s="2"/>
    </row>
    <row r="746" spans="1:12" x14ac:dyDescent="0.25">
      <c r="A746" s="2" t="s">
        <v>30</v>
      </c>
      <c r="B746" s="2" t="s">
        <v>78</v>
      </c>
      <c r="C746" s="2" t="s">
        <v>79</v>
      </c>
      <c r="D746" s="2" t="s">
        <v>89</v>
      </c>
      <c r="E746">
        <v>6.5</v>
      </c>
      <c r="F746">
        <v>-4129.5</v>
      </c>
      <c r="G746">
        <v>94</v>
      </c>
      <c r="H746">
        <v>164.7</v>
      </c>
      <c r="I746">
        <v>167.2</v>
      </c>
      <c r="J746">
        <v>82.2</v>
      </c>
      <c r="K746">
        <v>150.6</v>
      </c>
      <c r="L746" s="2"/>
    </row>
    <row r="747" spans="1:12" x14ac:dyDescent="0.25">
      <c r="A747" s="2" t="s">
        <v>30</v>
      </c>
      <c r="B747" s="2" t="s">
        <v>78</v>
      </c>
      <c r="C747" s="2" t="s">
        <v>79</v>
      </c>
      <c r="D747" s="2" t="s">
        <v>89</v>
      </c>
      <c r="E747">
        <v>7.4286000000000003</v>
      </c>
      <c r="F747">
        <v>-4129.5</v>
      </c>
      <c r="G747">
        <v>94</v>
      </c>
      <c r="H747">
        <v>164.7</v>
      </c>
      <c r="I747">
        <v>167.2</v>
      </c>
      <c r="J747">
        <v>102.1</v>
      </c>
      <c r="K747">
        <v>169.7</v>
      </c>
      <c r="L747" s="2"/>
    </row>
    <row r="748" spans="1:12" x14ac:dyDescent="0.25">
      <c r="A748" s="2" t="s">
        <v>30</v>
      </c>
      <c r="B748" s="2" t="s">
        <v>78</v>
      </c>
      <c r="C748" s="2" t="s">
        <v>79</v>
      </c>
      <c r="D748" s="2" t="s">
        <v>89</v>
      </c>
      <c r="E748">
        <v>8.3571000000000009</v>
      </c>
      <c r="F748">
        <v>-4129.5</v>
      </c>
      <c r="G748">
        <v>94</v>
      </c>
      <c r="H748">
        <v>164.7</v>
      </c>
      <c r="I748">
        <v>167.2</v>
      </c>
      <c r="J748">
        <v>122.2</v>
      </c>
      <c r="K748">
        <v>188.8</v>
      </c>
      <c r="L748" s="2"/>
    </row>
    <row r="749" spans="1:12" x14ac:dyDescent="0.25">
      <c r="A749" s="2" t="s">
        <v>30</v>
      </c>
      <c r="B749" s="2" t="s">
        <v>78</v>
      </c>
      <c r="C749" s="2" t="s">
        <v>79</v>
      </c>
      <c r="D749" s="2" t="s">
        <v>89</v>
      </c>
      <c r="E749">
        <v>9.2857000000000003</v>
      </c>
      <c r="F749">
        <v>-4129.5</v>
      </c>
      <c r="G749">
        <v>94</v>
      </c>
      <c r="H749">
        <v>164.7</v>
      </c>
      <c r="I749">
        <v>167.2</v>
      </c>
      <c r="J749">
        <v>142.19999999999999</v>
      </c>
      <c r="K749">
        <v>207.9</v>
      </c>
      <c r="L749" s="2"/>
    </row>
    <row r="750" spans="1:12" x14ac:dyDescent="0.25">
      <c r="A750" s="2" t="s">
        <v>30</v>
      </c>
      <c r="B750" s="2" t="s">
        <v>78</v>
      </c>
      <c r="C750" s="2" t="s">
        <v>79</v>
      </c>
      <c r="D750" s="2" t="s">
        <v>89</v>
      </c>
      <c r="E750">
        <v>10.2143</v>
      </c>
      <c r="F750">
        <v>-4129.5</v>
      </c>
      <c r="G750">
        <v>94</v>
      </c>
      <c r="H750">
        <v>164.7</v>
      </c>
      <c r="I750">
        <v>167.2</v>
      </c>
      <c r="J750">
        <v>162.30000000000001</v>
      </c>
      <c r="K750">
        <v>227.1</v>
      </c>
      <c r="L750" s="2"/>
    </row>
    <row r="751" spans="1:12" x14ac:dyDescent="0.25">
      <c r="A751" s="2" t="s">
        <v>30</v>
      </c>
      <c r="B751" s="2" t="s">
        <v>78</v>
      </c>
      <c r="C751" s="2" t="s">
        <v>79</v>
      </c>
      <c r="D751" s="2" t="s">
        <v>89</v>
      </c>
      <c r="E751">
        <v>11.142899999999999</v>
      </c>
      <c r="F751">
        <v>-4129.5</v>
      </c>
      <c r="G751">
        <v>94</v>
      </c>
      <c r="H751">
        <v>164.7</v>
      </c>
      <c r="I751">
        <v>167.2</v>
      </c>
      <c r="J751">
        <v>183</v>
      </c>
      <c r="K751">
        <v>246.2</v>
      </c>
      <c r="L751" s="2"/>
    </row>
    <row r="752" spans="1:12" x14ac:dyDescent="0.25">
      <c r="A752" s="2" t="s">
        <v>30</v>
      </c>
      <c r="B752" s="2" t="s">
        <v>78</v>
      </c>
      <c r="C752" s="2" t="s">
        <v>79</v>
      </c>
      <c r="D752" s="2" t="s">
        <v>89</v>
      </c>
      <c r="E752">
        <v>12.071400000000001</v>
      </c>
      <c r="F752">
        <v>-4129.5</v>
      </c>
      <c r="G752">
        <v>94</v>
      </c>
      <c r="H752">
        <v>164.7</v>
      </c>
      <c r="I752">
        <v>167.2</v>
      </c>
      <c r="J752">
        <v>211</v>
      </c>
      <c r="K752">
        <v>265.5</v>
      </c>
      <c r="L752" s="2"/>
    </row>
    <row r="753" spans="1:12" x14ac:dyDescent="0.25">
      <c r="A753" s="2" t="s">
        <v>30</v>
      </c>
      <c r="B753" s="2" t="s">
        <v>78</v>
      </c>
      <c r="C753" s="2" t="s">
        <v>79</v>
      </c>
      <c r="D753" s="2" t="s">
        <v>89</v>
      </c>
      <c r="E753">
        <v>13</v>
      </c>
      <c r="F753">
        <v>-4129.5</v>
      </c>
      <c r="G753">
        <v>94</v>
      </c>
      <c r="H753">
        <v>164.7</v>
      </c>
      <c r="I753">
        <v>167.2</v>
      </c>
      <c r="J753">
        <v>238.9</v>
      </c>
      <c r="K753">
        <v>284.89999999999998</v>
      </c>
      <c r="L753" s="2"/>
    </row>
    <row r="754" spans="1:12" x14ac:dyDescent="0.25">
      <c r="A754" s="2" t="s">
        <v>30</v>
      </c>
      <c r="B754" s="2" t="s">
        <v>78</v>
      </c>
      <c r="C754" s="2" t="s">
        <v>79</v>
      </c>
      <c r="D754" s="2" t="s">
        <v>89</v>
      </c>
      <c r="E754">
        <v>0</v>
      </c>
      <c r="F754">
        <v>-17215.8</v>
      </c>
      <c r="G754">
        <v>-21.3</v>
      </c>
      <c r="H754">
        <v>-28.6</v>
      </c>
      <c r="I754">
        <v>-111.7</v>
      </c>
      <c r="J754">
        <v>-149.30000000000001</v>
      </c>
      <c r="K754">
        <v>13</v>
      </c>
      <c r="L754" s="2"/>
    </row>
    <row r="755" spans="1:12" x14ac:dyDescent="0.25">
      <c r="A755" s="2" t="s">
        <v>30</v>
      </c>
      <c r="B755" s="2" t="s">
        <v>78</v>
      </c>
      <c r="C755" s="2" t="s">
        <v>79</v>
      </c>
      <c r="D755" s="2" t="s">
        <v>89</v>
      </c>
      <c r="E755">
        <v>0.92859999999999998</v>
      </c>
      <c r="F755">
        <v>-17172.900000000001</v>
      </c>
      <c r="G755">
        <v>-21.3</v>
      </c>
      <c r="H755">
        <v>-28.6</v>
      </c>
      <c r="I755">
        <v>-111.7</v>
      </c>
      <c r="J755">
        <v>-122.6</v>
      </c>
      <c r="K755">
        <v>33.200000000000003</v>
      </c>
      <c r="L755" s="2"/>
    </row>
    <row r="756" spans="1:12" x14ac:dyDescent="0.25">
      <c r="A756" s="2" t="s">
        <v>30</v>
      </c>
      <c r="B756" s="2" t="s">
        <v>78</v>
      </c>
      <c r="C756" s="2" t="s">
        <v>79</v>
      </c>
      <c r="D756" s="2" t="s">
        <v>89</v>
      </c>
      <c r="E756">
        <v>1.8571</v>
      </c>
      <c r="F756">
        <v>-17130</v>
      </c>
      <c r="G756">
        <v>-21.3</v>
      </c>
      <c r="H756">
        <v>-28.6</v>
      </c>
      <c r="I756">
        <v>-111.7</v>
      </c>
      <c r="J756">
        <v>-95.6</v>
      </c>
      <c r="K756">
        <v>53.2</v>
      </c>
      <c r="L756" s="2"/>
    </row>
    <row r="757" spans="1:12" x14ac:dyDescent="0.25">
      <c r="A757" s="2" t="s">
        <v>30</v>
      </c>
      <c r="B757" s="2" t="s">
        <v>78</v>
      </c>
      <c r="C757" s="2" t="s">
        <v>79</v>
      </c>
      <c r="D757" s="2" t="s">
        <v>89</v>
      </c>
      <c r="E757">
        <v>2.7856999999999998</v>
      </c>
      <c r="F757">
        <v>-17087.099999999999</v>
      </c>
      <c r="G757">
        <v>-21.3</v>
      </c>
      <c r="H757">
        <v>-28.6</v>
      </c>
      <c r="I757">
        <v>-111.7</v>
      </c>
      <c r="J757">
        <v>-71.3</v>
      </c>
      <c r="K757">
        <v>46.1</v>
      </c>
      <c r="L757" s="2"/>
    </row>
    <row r="758" spans="1:12" x14ac:dyDescent="0.25">
      <c r="A758" s="2" t="s">
        <v>30</v>
      </c>
      <c r="B758" s="2" t="s">
        <v>78</v>
      </c>
      <c r="C758" s="2" t="s">
        <v>79</v>
      </c>
      <c r="D758" s="2" t="s">
        <v>89</v>
      </c>
      <c r="E758">
        <v>3.7143000000000002</v>
      </c>
      <c r="F758">
        <v>-17044.3</v>
      </c>
      <c r="G758">
        <v>-21.3</v>
      </c>
      <c r="H758">
        <v>-28.6</v>
      </c>
      <c r="I758">
        <v>-111.7</v>
      </c>
      <c r="J758">
        <v>-114.2</v>
      </c>
      <c r="K758">
        <v>-8.6</v>
      </c>
      <c r="L758" s="2"/>
    </row>
    <row r="759" spans="1:12" x14ac:dyDescent="0.25">
      <c r="A759" s="2" t="s">
        <v>30</v>
      </c>
      <c r="B759" s="2" t="s">
        <v>78</v>
      </c>
      <c r="C759" s="2" t="s">
        <v>79</v>
      </c>
      <c r="D759" s="2" t="s">
        <v>89</v>
      </c>
      <c r="E759">
        <v>4.6429</v>
      </c>
      <c r="F759">
        <v>-17001.400000000001</v>
      </c>
      <c r="G759">
        <v>-21.3</v>
      </c>
      <c r="H759">
        <v>-28.6</v>
      </c>
      <c r="I759">
        <v>-111.7</v>
      </c>
      <c r="J759">
        <v>-245.6</v>
      </c>
      <c r="K759">
        <v>-84.2</v>
      </c>
      <c r="L759" s="2"/>
    </row>
    <row r="760" spans="1:12" x14ac:dyDescent="0.25">
      <c r="A760" s="2" t="s">
        <v>30</v>
      </c>
      <c r="B760" s="2" t="s">
        <v>78</v>
      </c>
      <c r="C760" s="2" t="s">
        <v>79</v>
      </c>
      <c r="D760" s="2" t="s">
        <v>89</v>
      </c>
      <c r="E760">
        <v>5.5713999999999997</v>
      </c>
      <c r="F760">
        <v>-16958.5</v>
      </c>
      <c r="G760">
        <v>-21.3</v>
      </c>
      <c r="H760">
        <v>-28.6</v>
      </c>
      <c r="I760">
        <v>-111.7</v>
      </c>
      <c r="J760">
        <v>-390.2</v>
      </c>
      <c r="K760">
        <v>-170.2</v>
      </c>
      <c r="L760" s="2"/>
    </row>
    <row r="761" spans="1:12" x14ac:dyDescent="0.25">
      <c r="A761" s="2" t="s">
        <v>30</v>
      </c>
      <c r="B761" s="2" t="s">
        <v>78</v>
      </c>
      <c r="C761" s="2" t="s">
        <v>79</v>
      </c>
      <c r="D761" s="2" t="s">
        <v>89</v>
      </c>
      <c r="E761">
        <v>6.5</v>
      </c>
      <c r="F761">
        <v>-16915.599999999999</v>
      </c>
      <c r="G761">
        <v>-21.3</v>
      </c>
      <c r="H761">
        <v>-28.6</v>
      </c>
      <c r="I761">
        <v>-111.7</v>
      </c>
      <c r="J761">
        <v>-540.6</v>
      </c>
      <c r="K761">
        <v>-257.10000000000002</v>
      </c>
      <c r="L761" s="2"/>
    </row>
    <row r="762" spans="1:12" x14ac:dyDescent="0.25">
      <c r="A762" s="2" t="s">
        <v>30</v>
      </c>
      <c r="B762" s="2" t="s">
        <v>78</v>
      </c>
      <c r="C762" s="2" t="s">
        <v>79</v>
      </c>
      <c r="D762" s="2" t="s">
        <v>89</v>
      </c>
      <c r="E762">
        <v>7.4286000000000003</v>
      </c>
      <c r="F762">
        <v>-16872.7</v>
      </c>
      <c r="G762">
        <v>-21.3</v>
      </c>
      <c r="H762">
        <v>-28.6</v>
      </c>
      <c r="I762">
        <v>-111.7</v>
      </c>
      <c r="J762">
        <v>-692.2</v>
      </c>
      <c r="K762">
        <v>-346.1</v>
      </c>
      <c r="L762" s="2"/>
    </row>
    <row r="763" spans="1:12" x14ac:dyDescent="0.25">
      <c r="A763" s="2" t="s">
        <v>30</v>
      </c>
      <c r="B763" s="2" t="s">
        <v>78</v>
      </c>
      <c r="C763" s="2" t="s">
        <v>79</v>
      </c>
      <c r="D763" s="2" t="s">
        <v>89</v>
      </c>
      <c r="E763">
        <v>8.3571000000000009</v>
      </c>
      <c r="F763">
        <v>-16829.8</v>
      </c>
      <c r="G763">
        <v>-21.3</v>
      </c>
      <c r="H763">
        <v>-28.6</v>
      </c>
      <c r="I763">
        <v>-111.7</v>
      </c>
      <c r="J763">
        <v>-843.7</v>
      </c>
      <c r="K763">
        <v>-435</v>
      </c>
      <c r="L763" s="2"/>
    </row>
    <row r="764" spans="1:12" x14ac:dyDescent="0.25">
      <c r="A764" s="2" t="s">
        <v>30</v>
      </c>
      <c r="B764" s="2" t="s">
        <v>78</v>
      </c>
      <c r="C764" s="2" t="s">
        <v>79</v>
      </c>
      <c r="D764" s="2" t="s">
        <v>89</v>
      </c>
      <c r="E764">
        <v>9.2857000000000003</v>
      </c>
      <c r="F764">
        <v>-16787</v>
      </c>
      <c r="G764">
        <v>-21.3</v>
      </c>
      <c r="H764">
        <v>-28.6</v>
      </c>
      <c r="I764">
        <v>-111.7</v>
      </c>
      <c r="J764">
        <v>-995.1</v>
      </c>
      <c r="K764">
        <v>-523.6</v>
      </c>
      <c r="L764" s="2"/>
    </row>
    <row r="765" spans="1:12" x14ac:dyDescent="0.25">
      <c r="A765" s="2" t="s">
        <v>30</v>
      </c>
      <c r="B765" s="2" t="s">
        <v>78</v>
      </c>
      <c r="C765" s="2" t="s">
        <v>79</v>
      </c>
      <c r="D765" s="2" t="s">
        <v>89</v>
      </c>
      <c r="E765">
        <v>10.2143</v>
      </c>
      <c r="F765">
        <v>-16744.099999999999</v>
      </c>
      <c r="G765">
        <v>-21.3</v>
      </c>
      <c r="H765">
        <v>-28.6</v>
      </c>
      <c r="I765">
        <v>-111.7</v>
      </c>
      <c r="J765">
        <v>-1146.4000000000001</v>
      </c>
      <c r="K765">
        <v>-611.79999999999995</v>
      </c>
      <c r="L765" s="2"/>
    </row>
    <row r="766" spans="1:12" x14ac:dyDescent="0.25">
      <c r="A766" s="2" t="s">
        <v>30</v>
      </c>
      <c r="B766" s="2" t="s">
        <v>78</v>
      </c>
      <c r="C766" s="2" t="s">
        <v>79</v>
      </c>
      <c r="D766" s="2" t="s">
        <v>89</v>
      </c>
      <c r="E766">
        <v>11.142899999999999</v>
      </c>
      <c r="F766">
        <v>-16701.2</v>
      </c>
      <c r="G766">
        <v>-21.3</v>
      </c>
      <c r="H766">
        <v>-28.6</v>
      </c>
      <c r="I766">
        <v>-111.7</v>
      </c>
      <c r="J766">
        <v>-1297.7</v>
      </c>
      <c r="K766">
        <v>-699.6</v>
      </c>
      <c r="L766" s="2"/>
    </row>
    <row r="767" spans="1:12" x14ac:dyDescent="0.25">
      <c r="A767" s="2" t="s">
        <v>30</v>
      </c>
      <c r="B767" s="2" t="s">
        <v>78</v>
      </c>
      <c r="C767" s="2" t="s">
        <v>79</v>
      </c>
      <c r="D767" s="2" t="s">
        <v>89</v>
      </c>
      <c r="E767">
        <v>12.071400000000001</v>
      </c>
      <c r="F767">
        <v>-16658.3</v>
      </c>
      <c r="G767">
        <v>-21.3</v>
      </c>
      <c r="H767">
        <v>-28.6</v>
      </c>
      <c r="I767">
        <v>-111.7</v>
      </c>
      <c r="J767">
        <v>-1449</v>
      </c>
      <c r="K767">
        <v>-786.9</v>
      </c>
      <c r="L767" s="2"/>
    </row>
    <row r="768" spans="1:12" x14ac:dyDescent="0.25">
      <c r="A768" s="2" t="s">
        <v>30</v>
      </c>
      <c r="B768" s="2" t="s">
        <v>78</v>
      </c>
      <c r="C768" s="2" t="s">
        <v>79</v>
      </c>
      <c r="D768" s="2" t="s">
        <v>89</v>
      </c>
      <c r="E768">
        <v>13</v>
      </c>
      <c r="F768">
        <v>-16615.400000000001</v>
      </c>
      <c r="G768">
        <v>-21.3</v>
      </c>
      <c r="H768">
        <v>-28.6</v>
      </c>
      <c r="I768">
        <v>-111.7</v>
      </c>
      <c r="J768">
        <v>-1600.2</v>
      </c>
      <c r="K768">
        <v>-873.6</v>
      </c>
      <c r="L768" s="2"/>
    </row>
    <row r="769" spans="1:12" x14ac:dyDescent="0.25">
      <c r="A769" s="2" t="s">
        <v>30</v>
      </c>
      <c r="B769" s="2" t="s">
        <v>78</v>
      </c>
      <c r="C769" s="2" t="s">
        <v>79</v>
      </c>
      <c r="D769" s="2" t="s">
        <v>90</v>
      </c>
      <c r="E769">
        <v>0</v>
      </c>
      <c r="F769">
        <v>-7572.1</v>
      </c>
      <c r="G769">
        <v>77.400000000000006</v>
      </c>
      <c r="H769">
        <v>31.9</v>
      </c>
      <c r="I769">
        <v>153.19999999999999</v>
      </c>
      <c r="J769">
        <v>39</v>
      </c>
      <c r="K769">
        <v>318.8</v>
      </c>
      <c r="L769" s="2"/>
    </row>
    <row r="770" spans="1:12" x14ac:dyDescent="0.25">
      <c r="A770" s="2" t="s">
        <v>30</v>
      </c>
      <c r="B770" s="2" t="s">
        <v>78</v>
      </c>
      <c r="C770" s="2" t="s">
        <v>79</v>
      </c>
      <c r="D770" s="2" t="s">
        <v>90</v>
      </c>
      <c r="E770">
        <v>0.92859999999999998</v>
      </c>
      <c r="F770">
        <v>-7572.1</v>
      </c>
      <c r="G770">
        <v>77.400000000000006</v>
      </c>
      <c r="H770">
        <v>31.9</v>
      </c>
      <c r="I770">
        <v>153.19999999999999</v>
      </c>
      <c r="J770">
        <v>9.5</v>
      </c>
      <c r="K770">
        <v>246.5</v>
      </c>
      <c r="L770" s="2"/>
    </row>
    <row r="771" spans="1:12" x14ac:dyDescent="0.25">
      <c r="A771" s="2" t="s">
        <v>30</v>
      </c>
      <c r="B771" s="2" t="s">
        <v>78</v>
      </c>
      <c r="C771" s="2" t="s">
        <v>79</v>
      </c>
      <c r="D771" s="2" t="s">
        <v>90</v>
      </c>
      <c r="E771">
        <v>1.8571</v>
      </c>
      <c r="F771">
        <v>-7572.1</v>
      </c>
      <c r="G771">
        <v>77.400000000000006</v>
      </c>
      <c r="H771">
        <v>31.9</v>
      </c>
      <c r="I771">
        <v>153.19999999999999</v>
      </c>
      <c r="J771">
        <v>-19.8</v>
      </c>
      <c r="K771">
        <v>173.8</v>
      </c>
      <c r="L771" s="2"/>
    </row>
    <row r="772" spans="1:12" x14ac:dyDescent="0.25">
      <c r="A772" s="2" t="s">
        <v>30</v>
      </c>
      <c r="B772" s="2" t="s">
        <v>78</v>
      </c>
      <c r="C772" s="2" t="s">
        <v>79</v>
      </c>
      <c r="D772" s="2" t="s">
        <v>90</v>
      </c>
      <c r="E772">
        <v>2.7856999999999998</v>
      </c>
      <c r="F772">
        <v>-7572.1</v>
      </c>
      <c r="G772">
        <v>77.400000000000006</v>
      </c>
      <c r="H772">
        <v>31.9</v>
      </c>
      <c r="I772">
        <v>153.19999999999999</v>
      </c>
      <c r="J772">
        <v>-45.9</v>
      </c>
      <c r="K772">
        <v>127.8</v>
      </c>
      <c r="L772" s="2"/>
    </row>
    <row r="773" spans="1:12" x14ac:dyDescent="0.25">
      <c r="A773" s="2" t="s">
        <v>30</v>
      </c>
      <c r="B773" s="2" t="s">
        <v>78</v>
      </c>
      <c r="C773" s="2" t="s">
        <v>79</v>
      </c>
      <c r="D773" s="2" t="s">
        <v>90</v>
      </c>
      <c r="E773">
        <v>3.7143000000000002</v>
      </c>
      <c r="F773">
        <v>-7572.1</v>
      </c>
      <c r="G773">
        <v>77.400000000000006</v>
      </c>
      <c r="H773">
        <v>31.9</v>
      </c>
      <c r="I773">
        <v>153.19999999999999</v>
      </c>
      <c r="J773">
        <v>-11.8</v>
      </c>
      <c r="K773">
        <v>129</v>
      </c>
      <c r="L773" s="2"/>
    </row>
    <row r="774" spans="1:12" x14ac:dyDescent="0.25">
      <c r="A774" s="2" t="s">
        <v>30</v>
      </c>
      <c r="B774" s="2" t="s">
        <v>78</v>
      </c>
      <c r="C774" s="2" t="s">
        <v>79</v>
      </c>
      <c r="D774" s="2" t="s">
        <v>90</v>
      </c>
      <c r="E774">
        <v>4.6429</v>
      </c>
      <c r="F774">
        <v>-7572.1</v>
      </c>
      <c r="G774">
        <v>77.400000000000006</v>
      </c>
      <c r="H774">
        <v>31.9</v>
      </c>
      <c r="I774">
        <v>153.19999999999999</v>
      </c>
      <c r="J774">
        <v>117.3</v>
      </c>
      <c r="K774">
        <v>144.5</v>
      </c>
      <c r="L774" s="2"/>
    </row>
    <row r="775" spans="1:12" x14ac:dyDescent="0.25">
      <c r="A775" s="2" t="s">
        <v>30</v>
      </c>
      <c r="B775" s="2" t="s">
        <v>78</v>
      </c>
      <c r="C775" s="2" t="s">
        <v>79</v>
      </c>
      <c r="D775" s="2" t="s">
        <v>90</v>
      </c>
      <c r="E775">
        <v>5.5713999999999997</v>
      </c>
      <c r="F775">
        <v>-7572.1</v>
      </c>
      <c r="G775">
        <v>77.400000000000006</v>
      </c>
      <c r="H775">
        <v>31.9</v>
      </c>
      <c r="I775">
        <v>153.19999999999999</v>
      </c>
      <c r="J775">
        <v>268.39999999999998</v>
      </c>
      <c r="K775">
        <v>179.3</v>
      </c>
      <c r="L775" s="2"/>
    </row>
    <row r="776" spans="1:12" x14ac:dyDescent="0.25">
      <c r="A776" s="2" t="s">
        <v>30</v>
      </c>
      <c r="B776" s="2" t="s">
        <v>78</v>
      </c>
      <c r="C776" s="2" t="s">
        <v>79</v>
      </c>
      <c r="D776" s="2" t="s">
        <v>90</v>
      </c>
      <c r="E776">
        <v>6.5</v>
      </c>
      <c r="F776">
        <v>-7572.1</v>
      </c>
      <c r="G776">
        <v>77.400000000000006</v>
      </c>
      <c r="H776">
        <v>31.9</v>
      </c>
      <c r="I776">
        <v>153.19999999999999</v>
      </c>
      <c r="J776">
        <v>419.7</v>
      </c>
      <c r="K776">
        <v>213.9</v>
      </c>
      <c r="L776" s="2"/>
    </row>
    <row r="777" spans="1:12" x14ac:dyDescent="0.25">
      <c r="A777" s="2" t="s">
        <v>30</v>
      </c>
      <c r="B777" s="2" t="s">
        <v>78</v>
      </c>
      <c r="C777" s="2" t="s">
        <v>79</v>
      </c>
      <c r="D777" s="2" t="s">
        <v>90</v>
      </c>
      <c r="E777">
        <v>7.4286000000000003</v>
      </c>
      <c r="F777">
        <v>-7572.1</v>
      </c>
      <c r="G777">
        <v>77.400000000000006</v>
      </c>
      <c r="H777">
        <v>31.9</v>
      </c>
      <c r="I777">
        <v>153.19999999999999</v>
      </c>
      <c r="J777">
        <v>571.1</v>
      </c>
      <c r="K777">
        <v>248.4</v>
      </c>
      <c r="L777" s="2"/>
    </row>
    <row r="778" spans="1:12" x14ac:dyDescent="0.25">
      <c r="A778" s="2" t="s">
        <v>30</v>
      </c>
      <c r="B778" s="2" t="s">
        <v>78</v>
      </c>
      <c r="C778" s="2" t="s">
        <v>79</v>
      </c>
      <c r="D778" s="2" t="s">
        <v>90</v>
      </c>
      <c r="E778">
        <v>8.3571000000000009</v>
      </c>
      <c r="F778">
        <v>-7572.1</v>
      </c>
      <c r="G778">
        <v>77.400000000000006</v>
      </c>
      <c r="H778">
        <v>31.9</v>
      </c>
      <c r="I778">
        <v>153.19999999999999</v>
      </c>
      <c r="J778">
        <v>722.5</v>
      </c>
      <c r="K778">
        <v>282.89999999999998</v>
      </c>
      <c r="L778" s="2"/>
    </row>
    <row r="779" spans="1:12" x14ac:dyDescent="0.25">
      <c r="A779" s="2" t="s">
        <v>30</v>
      </c>
      <c r="B779" s="2" t="s">
        <v>78</v>
      </c>
      <c r="C779" s="2" t="s">
        <v>79</v>
      </c>
      <c r="D779" s="2" t="s">
        <v>90</v>
      </c>
      <c r="E779">
        <v>9.2857000000000003</v>
      </c>
      <c r="F779">
        <v>-7572.1</v>
      </c>
      <c r="G779">
        <v>77.400000000000006</v>
      </c>
      <c r="H779">
        <v>31.9</v>
      </c>
      <c r="I779">
        <v>153.19999999999999</v>
      </c>
      <c r="J779">
        <v>874</v>
      </c>
      <c r="K779">
        <v>317.39999999999998</v>
      </c>
      <c r="L779" s="2"/>
    </row>
    <row r="780" spans="1:12" x14ac:dyDescent="0.25">
      <c r="A780" s="2" t="s">
        <v>30</v>
      </c>
      <c r="B780" s="2" t="s">
        <v>78</v>
      </c>
      <c r="C780" s="2" t="s">
        <v>79</v>
      </c>
      <c r="D780" s="2" t="s">
        <v>90</v>
      </c>
      <c r="E780">
        <v>10.2143</v>
      </c>
      <c r="F780">
        <v>-7572.1</v>
      </c>
      <c r="G780">
        <v>77.400000000000006</v>
      </c>
      <c r="H780">
        <v>31.9</v>
      </c>
      <c r="I780">
        <v>153.19999999999999</v>
      </c>
      <c r="J780">
        <v>1025.4000000000001</v>
      </c>
      <c r="K780">
        <v>351.9</v>
      </c>
      <c r="L780" s="2"/>
    </row>
    <row r="781" spans="1:12" x14ac:dyDescent="0.25">
      <c r="A781" s="2" t="s">
        <v>30</v>
      </c>
      <c r="B781" s="2" t="s">
        <v>78</v>
      </c>
      <c r="C781" s="2" t="s">
        <v>79</v>
      </c>
      <c r="D781" s="2" t="s">
        <v>90</v>
      </c>
      <c r="E781">
        <v>11.142899999999999</v>
      </c>
      <c r="F781">
        <v>-7572.1</v>
      </c>
      <c r="G781">
        <v>77.400000000000006</v>
      </c>
      <c r="H781">
        <v>31.9</v>
      </c>
      <c r="I781">
        <v>153.19999999999999</v>
      </c>
      <c r="J781">
        <v>1176.9000000000001</v>
      </c>
      <c r="K781">
        <v>386.5</v>
      </c>
      <c r="L781" s="2"/>
    </row>
    <row r="782" spans="1:12" x14ac:dyDescent="0.25">
      <c r="A782" s="2" t="s">
        <v>30</v>
      </c>
      <c r="B782" s="2" t="s">
        <v>78</v>
      </c>
      <c r="C782" s="2" t="s">
        <v>79</v>
      </c>
      <c r="D782" s="2" t="s">
        <v>90</v>
      </c>
      <c r="E782">
        <v>12.071400000000001</v>
      </c>
      <c r="F782">
        <v>-7572.1</v>
      </c>
      <c r="G782">
        <v>77.400000000000006</v>
      </c>
      <c r="H782">
        <v>31.9</v>
      </c>
      <c r="I782">
        <v>153.19999999999999</v>
      </c>
      <c r="J782">
        <v>1328.2</v>
      </c>
      <c r="K782">
        <v>421.2</v>
      </c>
      <c r="L782" s="2"/>
    </row>
    <row r="783" spans="1:12" x14ac:dyDescent="0.25">
      <c r="A783" s="2" t="s">
        <v>30</v>
      </c>
      <c r="B783" s="2" t="s">
        <v>78</v>
      </c>
      <c r="C783" s="2" t="s">
        <v>79</v>
      </c>
      <c r="D783" s="2" t="s">
        <v>90</v>
      </c>
      <c r="E783">
        <v>13</v>
      </c>
      <c r="F783">
        <v>-7572.1</v>
      </c>
      <c r="G783">
        <v>77.400000000000006</v>
      </c>
      <c r="H783">
        <v>31.9</v>
      </c>
      <c r="I783">
        <v>153.19999999999999</v>
      </c>
      <c r="J783">
        <v>1479.5</v>
      </c>
      <c r="K783">
        <v>455.9</v>
      </c>
      <c r="L783" s="2"/>
    </row>
    <row r="784" spans="1:12" x14ac:dyDescent="0.25">
      <c r="A784" s="2" t="s">
        <v>30</v>
      </c>
      <c r="B784" s="2" t="s">
        <v>78</v>
      </c>
      <c r="C784" s="2" t="s">
        <v>79</v>
      </c>
      <c r="D784" s="2" t="s">
        <v>90</v>
      </c>
      <c r="E784">
        <v>0</v>
      </c>
      <c r="F784">
        <v>-20658.400000000001</v>
      </c>
      <c r="G784">
        <v>-37.9</v>
      </c>
      <c r="H784">
        <v>-161.4</v>
      </c>
      <c r="I784">
        <v>-125.7</v>
      </c>
      <c r="J784">
        <v>-635.6</v>
      </c>
      <c r="K784">
        <v>-31.5</v>
      </c>
      <c r="L784" s="2"/>
    </row>
    <row r="785" spans="1:12" x14ac:dyDescent="0.25">
      <c r="A785" s="2" t="s">
        <v>30</v>
      </c>
      <c r="B785" s="2" t="s">
        <v>78</v>
      </c>
      <c r="C785" s="2" t="s">
        <v>79</v>
      </c>
      <c r="D785" s="2" t="s">
        <v>90</v>
      </c>
      <c r="E785">
        <v>0.92859999999999998</v>
      </c>
      <c r="F785">
        <v>-20615.5</v>
      </c>
      <c r="G785">
        <v>-37.9</v>
      </c>
      <c r="H785">
        <v>-161.4</v>
      </c>
      <c r="I785">
        <v>-125.7</v>
      </c>
      <c r="J785">
        <v>-485.5</v>
      </c>
      <c r="K785">
        <v>4.0999999999999996</v>
      </c>
      <c r="L785" s="2"/>
    </row>
    <row r="786" spans="1:12" x14ac:dyDescent="0.25">
      <c r="A786" s="2" t="s">
        <v>30</v>
      </c>
      <c r="B786" s="2" t="s">
        <v>78</v>
      </c>
      <c r="C786" s="2" t="s">
        <v>79</v>
      </c>
      <c r="D786" s="2" t="s">
        <v>90</v>
      </c>
      <c r="E786">
        <v>1.8571</v>
      </c>
      <c r="F786">
        <v>-20572.599999999999</v>
      </c>
      <c r="G786">
        <v>-37.9</v>
      </c>
      <c r="H786">
        <v>-161.4</v>
      </c>
      <c r="I786">
        <v>-125.7</v>
      </c>
      <c r="J786">
        <v>-335.2</v>
      </c>
      <c r="K786">
        <v>38.4</v>
      </c>
      <c r="L786" s="2"/>
    </row>
    <row r="787" spans="1:12" x14ac:dyDescent="0.25">
      <c r="A787" s="2" t="s">
        <v>30</v>
      </c>
      <c r="B787" s="2" t="s">
        <v>78</v>
      </c>
      <c r="C787" s="2" t="s">
        <v>79</v>
      </c>
      <c r="D787" s="2" t="s">
        <v>90</v>
      </c>
      <c r="E787">
        <v>2.7856999999999998</v>
      </c>
      <c r="F787">
        <v>-20529.8</v>
      </c>
      <c r="G787">
        <v>-37.9</v>
      </c>
      <c r="H787">
        <v>-161.4</v>
      </c>
      <c r="I787">
        <v>-125.7</v>
      </c>
      <c r="J787">
        <v>-227</v>
      </c>
      <c r="K787">
        <v>40.700000000000003</v>
      </c>
      <c r="L787" s="2"/>
    </row>
    <row r="788" spans="1:12" x14ac:dyDescent="0.25">
      <c r="A788" s="2" t="s">
        <v>30</v>
      </c>
      <c r="B788" s="2" t="s">
        <v>78</v>
      </c>
      <c r="C788" s="2" t="s">
        <v>79</v>
      </c>
      <c r="D788" s="2" t="s">
        <v>90</v>
      </c>
      <c r="E788">
        <v>3.7143000000000002</v>
      </c>
      <c r="F788">
        <v>-20486.900000000001</v>
      </c>
      <c r="G788">
        <v>-37.9</v>
      </c>
      <c r="H788">
        <v>-161.4</v>
      </c>
      <c r="I788">
        <v>-125.7</v>
      </c>
      <c r="J788">
        <v>-183.8</v>
      </c>
      <c r="K788">
        <v>6.3</v>
      </c>
      <c r="L788" s="2"/>
    </row>
    <row r="789" spans="1:12" x14ac:dyDescent="0.25">
      <c r="A789" s="2" t="s">
        <v>30</v>
      </c>
      <c r="B789" s="2" t="s">
        <v>78</v>
      </c>
      <c r="C789" s="2" t="s">
        <v>79</v>
      </c>
      <c r="D789" s="2" t="s">
        <v>90</v>
      </c>
      <c r="E789">
        <v>4.6429</v>
      </c>
      <c r="F789">
        <v>-20444</v>
      </c>
      <c r="G789">
        <v>-37.9</v>
      </c>
      <c r="H789">
        <v>-161.4</v>
      </c>
      <c r="I789">
        <v>-125.7</v>
      </c>
      <c r="J789">
        <v>-182.4</v>
      </c>
      <c r="K789">
        <v>-51.7</v>
      </c>
      <c r="L789" s="2"/>
    </row>
    <row r="790" spans="1:12" x14ac:dyDescent="0.25">
      <c r="A790" s="2" t="s">
        <v>30</v>
      </c>
      <c r="B790" s="2" t="s">
        <v>78</v>
      </c>
      <c r="C790" s="2" t="s">
        <v>79</v>
      </c>
      <c r="D790" s="2" t="s">
        <v>90</v>
      </c>
      <c r="E790">
        <v>5.5713999999999997</v>
      </c>
      <c r="F790">
        <v>-20401.099999999999</v>
      </c>
      <c r="G790">
        <v>-37.9</v>
      </c>
      <c r="H790">
        <v>-161.4</v>
      </c>
      <c r="I790">
        <v>-125.7</v>
      </c>
      <c r="J790">
        <v>-184.1</v>
      </c>
      <c r="K790">
        <v>-122.3</v>
      </c>
      <c r="L790" s="2"/>
    </row>
    <row r="791" spans="1:12" x14ac:dyDescent="0.25">
      <c r="A791" s="2" t="s">
        <v>30</v>
      </c>
      <c r="B791" s="2" t="s">
        <v>78</v>
      </c>
      <c r="C791" s="2" t="s">
        <v>79</v>
      </c>
      <c r="D791" s="2" t="s">
        <v>90</v>
      </c>
      <c r="E791">
        <v>6.5</v>
      </c>
      <c r="F791">
        <v>-20358.2</v>
      </c>
      <c r="G791">
        <v>-37.9</v>
      </c>
      <c r="H791">
        <v>-161.4</v>
      </c>
      <c r="I791">
        <v>-125.7</v>
      </c>
      <c r="J791">
        <v>-203.1</v>
      </c>
      <c r="K791">
        <v>-193.8</v>
      </c>
      <c r="L791" s="2"/>
    </row>
    <row r="792" spans="1:12" x14ac:dyDescent="0.25">
      <c r="A792" s="2" t="s">
        <v>30</v>
      </c>
      <c r="B792" s="2" t="s">
        <v>78</v>
      </c>
      <c r="C792" s="2" t="s">
        <v>79</v>
      </c>
      <c r="D792" s="2" t="s">
        <v>90</v>
      </c>
      <c r="E792">
        <v>7.4286000000000003</v>
      </c>
      <c r="F792">
        <v>-20315.3</v>
      </c>
      <c r="G792">
        <v>-37.9</v>
      </c>
      <c r="H792">
        <v>-161.4</v>
      </c>
      <c r="I792">
        <v>-125.7</v>
      </c>
      <c r="J792">
        <v>-223.3</v>
      </c>
      <c r="K792">
        <v>-267.39999999999998</v>
      </c>
      <c r="L792" s="2"/>
    </row>
    <row r="793" spans="1:12" x14ac:dyDescent="0.25">
      <c r="A793" s="2" t="s">
        <v>30</v>
      </c>
      <c r="B793" s="2" t="s">
        <v>78</v>
      </c>
      <c r="C793" s="2" t="s">
        <v>79</v>
      </c>
      <c r="D793" s="2" t="s">
        <v>90</v>
      </c>
      <c r="E793">
        <v>8.3571000000000009</v>
      </c>
      <c r="F793">
        <v>-20272.5</v>
      </c>
      <c r="G793">
        <v>-37.9</v>
      </c>
      <c r="H793">
        <v>-161.4</v>
      </c>
      <c r="I793">
        <v>-125.7</v>
      </c>
      <c r="J793">
        <v>-243.4</v>
      </c>
      <c r="K793">
        <v>-340.9</v>
      </c>
      <c r="L793" s="2"/>
    </row>
    <row r="794" spans="1:12" x14ac:dyDescent="0.25">
      <c r="A794" s="2" t="s">
        <v>30</v>
      </c>
      <c r="B794" s="2" t="s">
        <v>78</v>
      </c>
      <c r="C794" s="2" t="s">
        <v>79</v>
      </c>
      <c r="D794" s="2" t="s">
        <v>90</v>
      </c>
      <c r="E794">
        <v>9.2857000000000003</v>
      </c>
      <c r="F794">
        <v>-20229.599999999999</v>
      </c>
      <c r="G794">
        <v>-37.9</v>
      </c>
      <c r="H794">
        <v>-161.4</v>
      </c>
      <c r="I794">
        <v>-125.7</v>
      </c>
      <c r="J794">
        <v>-263.39999999999998</v>
      </c>
      <c r="K794">
        <v>-414.1</v>
      </c>
      <c r="L794" s="2"/>
    </row>
    <row r="795" spans="1:12" x14ac:dyDescent="0.25">
      <c r="A795" s="2" t="s">
        <v>30</v>
      </c>
      <c r="B795" s="2" t="s">
        <v>78</v>
      </c>
      <c r="C795" s="2" t="s">
        <v>79</v>
      </c>
      <c r="D795" s="2" t="s">
        <v>90</v>
      </c>
      <c r="E795">
        <v>10.2143</v>
      </c>
      <c r="F795">
        <v>-20186.7</v>
      </c>
      <c r="G795">
        <v>-37.9</v>
      </c>
      <c r="H795">
        <v>-161.4</v>
      </c>
      <c r="I795">
        <v>-125.7</v>
      </c>
      <c r="J795">
        <v>-283.3</v>
      </c>
      <c r="K795">
        <v>-486.9</v>
      </c>
      <c r="L795" s="2"/>
    </row>
    <row r="796" spans="1:12" x14ac:dyDescent="0.25">
      <c r="A796" s="2" t="s">
        <v>30</v>
      </c>
      <c r="B796" s="2" t="s">
        <v>78</v>
      </c>
      <c r="C796" s="2" t="s">
        <v>79</v>
      </c>
      <c r="D796" s="2" t="s">
        <v>90</v>
      </c>
      <c r="E796">
        <v>11.142899999999999</v>
      </c>
      <c r="F796">
        <v>-20143.8</v>
      </c>
      <c r="G796">
        <v>-37.9</v>
      </c>
      <c r="H796">
        <v>-161.4</v>
      </c>
      <c r="I796">
        <v>-125.7</v>
      </c>
      <c r="J796">
        <v>-303.8</v>
      </c>
      <c r="K796">
        <v>-559.4</v>
      </c>
      <c r="L796" s="2"/>
    </row>
    <row r="797" spans="1:12" x14ac:dyDescent="0.25">
      <c r="A797" s="2" t="s">
        <v>30</v>
      </c>
      <c r="B797" s="2" t="s">
        <v>78</v>
      </c>
      <c r="C797" s="2" t="s">
        <v>79</v>
      </c>
      <c r="D797" s="2" t="s">
        <v>90</v>
      </c>
      <c r="E797">
        <v>12.071400000000001</v>
      </c>
      <c r="F797">
        <v>-20100.900000000001</v>
      </c>
      <c r="G797">
        <v>-37.9</v>
      </c>
      <c r="H797">
        <v>-161.4</v>
      </c>
      <c r="I797">
        <v>-125.7</v>
      </c>
      <c r="J797">
        <v>-331.7</v>
      </c>
      <c r="K797">
        <v>-631.20000000000005</v>
      </c>
      <c r="L797" s="2"/>
    </row>
    <row r="798" spans="1:12" x14ac:dyDescent="0.25">
      <c r="A798" s="2" t="s">
        <v>30</v>
      </c>
      <c r="B798" s="2" t="s">
        <v>78</v>
      </c>
      <c r="C798" s="2" t="s">
        <v>79</v>
      </c>
      <c r="D798" s="2" t="s">
        <v>90</v>
      </c>
      <c r="E798">
        <v>13</v>
      </c>
      <c r="F798">
        <v>-20058</v>
      </c>
      <c r="G798">
        <v>-37.9</v>
      </c>
      <c r="H798">
        <v>-161.4</v>
      </c>
      <c r="I798">
        <v>-125.7</v>
      </c>
      <c r="J798">
        <v>-359.6</v>
      </c>
      <c r="K798">
        <v>-702.5</v>
      </c>
      <c r="L798" s="2"/>
    </row>
    <row r="799" spans="1:12" x14ac:dyDescent="0.25">
      <c r="A799" s="2" t="s">
        <v>30</v>
      </c>
      <c r="B799" s="2" t="s">
        <v>78</v>
      </c>
      <c r="C799" s="2" t="s">
        <v>79</v>
      </c>
      <c r="D799" s="2" t="s">
        <v>91</v>
      </c>
      <c r="E799">
        <v>0</v>
      </c>
      <c r="F799">
        <v>-999.2</v>
      </c>
      <c r="G799">
        <v>79.599999999999994</v>
      </c>
      <c r="H799">
        <v>171</v>
      </c>
      <c r="I799">
        <v>164.3</v>
      </c>
      <c r="J799">
        <v>582.79999999999995</v>
      </c>
      <c r="K799">
        <v>274.7</v>
      </c>
      <c r="L799" s="2"/>
    </row>
    <row r="800" spans="1:12" x14ac:dyDescent="0.25">
      <c r="A800" s="2" t="s">
        <v>30</v>
      </c>
      <c r="B800" s="2" t="s">
        <v>78</v>
      </c>
      <c r="C800" s="2" t="s">
        <v>79</v>
      </c>
      <c r="D800" s="2" t="s">
        <v>91</v>
      </c>
      <c r="E800">
        <v>0.92859999999999998</v>
      </c>
      <c r="F800">
        <v>-999.2</v>
      </c>
      <c r="G800">
        <v>79.599999999999994</v>
      </c>
      <c r="H800">
        <v>171</v>
      </c>
      <c r="I800">
        <v>164.3</v>
      </c>
      <c r="J800">
        <v>424.3</v>
      </c>
      <c r="K800">
        <v>200.2</v>
      </c>
      <c r="L800" s="2"/>
    </row>
    <row r="801" spans="1:12" x14ac:dyDescent="0.25">
      <c r="A801" s="2" t="s">
        <v>30</v>
      </c>
      <c r="B801" s="2" t="s">
        <v>78</v>
      </c>
      <c r="C801" s="2" t="s">
        <v>79</v>
      </c>
      <c r="D801" s="2" t="s">
        <v>91</v>
      </c>
      <c r="E801">
        <v>1.8571</v>
      </c>
      <c r="F801">
        <v>-999.2</v>
      </c>
      <c r="G801">
        <v>79.599999999999994</v>
      </c>
      <c r="H801">
        <v>171</v>
      </c>
      <c r="I801">
        <v>164.3</v>
      </c>
      <c r="J801">
        <v>265.89999999999998</v>
      </c>
      <c r="K801">
        <v>126.4</v>
      </c>
      <c r="L801" s="2"/>
    </row>
    <row r="802" spans="1:12" x14ac:dyDescent="0.25">
      <c r="A802" s="2" t="s">
        <v>30</v>
      </c>
      <c r="B802" s="2" t="s">
        <v>78</v>
      </c>
      <c r="C802" s="2" t="s">
        <v>79</v>
      </c>
      <c r="D802" s="2" t="s">
        <v>91</v>
      </c>
      <c r="E802">
        <v>2.7856999999999998</v>
      </c>
      <c r="F802">
        <v>-999.2</v>
      </c>
      <c r="G802">
        <v>79.599999999999994</v>
      </c>
      <c r="H802">
        <v>171</v>
      </c>
      <c r="I802">
        <v>164.3</v>
      </c>
      <c r="J802">
        <v>150</v>
      </c>
      <c r="K802">
        <v>83.6</v>
      </c>
      <c r="L802" s="2"/>
    </row>
    <row r="803" spans="1:12" x14ac:dyDescent="0.25">
      <c r="A803" s="2" t="s">
        <v>30</v>
      </c>
      <c r="B803" s="2" t="s">
        <v>78</v>
      </c>
      <c r="C803" s="2" t="s">
        <v>79</v>
      </c>
      <c r="D803" s="2" t="s">
        <v>91</v>
      </c>
      <c r="E803">
        <v>3.7143000000000002</v>
      </c>
      <c r="F803">
        <v>-999.2</v>
      </c>
      <c r="G803">
        <v>79.599999999999994</v>
      </c>
      <c r="H803">
        <v>171</v>
      </c>
      <c r="I803">
        <v>164.3</v>
      </c>
      <c r="J803">
        <v>93.5</v>
      </c>
      <c r="K803">
        <v>64.2</v>
      </c>
      <c r="L803" s="2"/>
    </row>
    <row r="804" spans="1:12" x14ac:dyDescent="0.25">
      <c r="A804" s="2" t="s">
        <v>30</v>
      </c>
      <c r="B804" s="2" t="s">
        <v>78</v>
      </c>
      <c r="C804" s="2" t="s">
        <v>79</v>
      </c>
      <c r="D804" s="2" t="s">
        <v>91</v>
      </c>
      <c r="E804">
        <v>4.6429</v>
      </c>
      <c r="F804">
        <v>-999.2</v>
      </c>
      <c r="G804">
        <v>79.599999999999994</v>
      </c>
      <c r="H804">
        <v>171</v>
      </c>
      <c r="I804">
        <v>164.3</v>
      </c>
      <c r="J804">
        <v>83.9</v>
      </c>
      <c r="K804">
        <v>55.7</v>
      </c>
      <c r="L804" s="2"/>
    </row>
    <row r="805" spans="1:12" x14ac:dyDescent="0.25">
      <c r="A805" s="2" t="s">
        <v>30</v>
      </c>
      <c r="B805" s="2" t="s">
        <v>78</v>
      </c>
      <c r="C805" s="2" t="s">
        <v>79</v>
      </c>
      <c r="D805" s="2" t="s">
        <v>91</v>
      </c>
      <c r="E805">
        <v>5.5713999999999997</v>
      </c>
      <c r="F805">
        <v>-999.2</v>
      </c>
      <c r="G805">
        <v>79.599999999999994</v>
      </c>
      <c r="H805">
        <v>171</v>
      </c>
      <c r="I805">
        <v>164.3</v>
      </c>
      <c r="J805">
        <v>178</v>
      </c>
      <c r="K805">
        <v>61.5</v>
      </c>
      <c r="L805" s="2"/>
    </row>
    <row r="806" spans="1:12" x14ac:dyDescent="0.25">
      <c r="A806" s="2" t="s">
        <v>30</v>
      </c>
      <c r="B806" s="2" t="s">
        <v>78</v>
      </c>
      <c r="C806" s="2" t="s">
        <v>79</v>
      </c>
      <c r="D806" s="2" t="s">
        <v>91</v>
      </c>
      <c r="E806">
        <v>6.5</v>
      </c>
      <c r="F806">
        <v>-999.2</v>
      </c>
      <c r="G806">
        <v>79.599999999999994</v>
      </c>
      <c r="H806">
        <v>171</v>
      </c>
      <c r="I806">
        <v>164.3</v>
      </c>
      <c r="J806">
        <v>272.10000000000002</v>
      </c>
      <c r="K806">
        <v>67.3</v>
      </c>
      <c r="L806" s="2"/>
    </row>
    <row r="807" spans="1:12" x14ac:dyDescent="0.25">
      <c r="A807" s="2" t="s">
        <v>30</v>
      </c>
      <c r="B807" s="2" t="s">
        <v>78</v>
      </c>
      <c r="C807" s="2" t="s">
        <v>79</v>
      </c>
      <c r="D807" s="2" t="s">
        <v>91</v>
      </c>
      <c r="E807">
        <v>7.4286000000000003</v>
      </c>
      <c r="F807">
        <v>-999.2</v>
      </c>
      <c r="G807">
        <v>79.599999999999994</v>
      </c>
      <c r="H807">
        <v>171</v>
      </c>
      <c r="I807">
        <v>164.3</v>
      </c>
      <c r="J807">
        <v>366.3</v>
      </c>
      <c r="K807">
        <v>73.099999999999994</v>
      </c>
      <c r="L807" s="2"/>
    </row>
    <row r="808" spans="1:12" x14ac:dyDescent="0.25">
      <c r="A808" s="2" t="s">
        <v>30</v>
      </c>
      <c r="B808" s="2" t="s">
        <v>78</v>
      </c>
      <c r="C808" s="2" t="s">
        <v>79</v>
      </c>
      <c r="D808" s="2" t="s">
        <v>91</v>
      </c>
      <c r="E808">
        <v>8.3571000000000009</v>
      </c>
      <c r="F808">
        <v>-999.2</v>
      </c>
      <c r="G808">
        <v>79.599999999999994</v>
      </c>
      <c r="H808">
        <v>171</v>
      </c>
      <c r="I808">
        <v>164.3</v>
      </c>
      <c r="J808">
        <v>460.6</v>
      </c>
      <c r="K808">
        <v>78.900000000000006</v>
      </c>
      <c r="L808" s="2"/>
    </row>
    <row r="809" spans="1:12" x14ac:dyDescent="0.25">
      <c r="A809" s="2" t="s">
        <v>30</v>
      </c>
      <c r="B809" s="2" t="s">
        <v>78</v>
      </c>
      <c r="C809" s="2" t="s">
        <v>79</v>
      </c>
      <c r="D809" s="2" t="s">
        <v>91</v>
      </c>
      <c r="E809">
        <v>9.2857000000000003</v>
      </c>
      <c r="F809">
        <v>-999.2</v>
      </c>
      <c r="G809">
        <v>79.599999999999994</v>
      </c>
      <c r="H809">
        <v>171</v>
      </c>
      <c r="I809">
        <v>164.3</v>
      </c>
      <c r="J809">
        <v>554.79999999999995</v>
      </c>
      <c r="K809">
        <v>84.6</v>
      </c>
      <c r="L809" s="2"/>
    </row>
    <row r="810" spans="1:12" x14ac:dyDescent="0.25">
      <c r="A810" s="2" t="s">
        <v>30</v>
      </c>
      <c r="B810" s="2" t="s">
        <v>78</v>
      </c>
      <c r="C810" s="2" t="s">
        <v>79</v>
      </c>
      <c r="D810" s="2" t="s">
        <v>91</v>
      </c>
      <c r="E810">
        <v>10.2143</v>
      </c>
      <c r="F810">
        <v>-999.2</v>
      </c>
      <c r="G810">
        <v>79.599999999999994</v>
      </c>
      <c r="H810">
        <v>171</v>
      </c>
      <c r="I810">
        <v>164.3</v>
      </c>
      <c r="J810">
        <v>649</v>
      </c>
      <c r="K810">
        <v>90.3</v>
      </c>
      <c r="L810" s="2"/>
    </row>
    <row r="811" spans="1:12" x14ac:dyDescent="0.25">
      <c r="A811" s="2" t="s">
        <v>30</v>
      </c>
      <c r="B811" s="2" t="s">
        <v>78</v>
      </c>
      <c r="C811" s="2" t="s">
        <v>79</v>
      </c>
      <c r="D811" s="2" t="s">
        <v>91</v>
      </c>
      <c r="E811">
        <v>11.142899999999999</v>
      </c>
      <c r="F811">
        <v>-999.2</v>
      </c>
      <c r="G811">
        <v>79.599999999999994</v>
      </c>
      <c r="H811">
        <v>171</v>
      </c>
      <c r="I811">
        <v>164.3</v>
      </c>
      <c r="J811">
        <v>743.2</v>
      </c>
      <c r="K811">
        <v>96</v>
      </c>
      <c r="L811" s="2"/>
    </row>
    <row r="812" spans="1:12" x14ac:dyDescent="0.25">
      <c r="A812" s="2" t="s">
        <v>30</v>
      </c>
      <c r="B812" s="2" t="s">
        <v>78</v>
      </c>
      <c r="C812" s="2" t="s">
        <v>79</v>
      </c>
      <c r="D812" s="2" t="s">
        <v>91</v>
      </c>
      <c r="E812">
        <v>12.071400000000001</v>
      </c>
      <c r="F812">
        <v>-999.2</v>
      </c>
      <c r="G812">
        <v>79.599999999999994</v>
      </c>
      <c r="H812">
        <v>171</v>
      </c>
      <c r="I812">
        <v>164.3</v>
      </c>
      <c r="J812">
        <v>837.4</v>
      </c>
      <c r="K812">
        <v>101.8</v>
      </c>
      <c r="L812" s="2"/>
    </row>
    <row r="813" spans="1:12" x14ac:dyDescent="0.25">
      <c r="A813" s="2" t="s">
        <v>30</v>
      </c>
      <c r="B813" s="2" t="s">
        <v>78</v>
      </c>
      <c r="C813" s="2" t="s">
        <v>79</v>
      </c>
      <c r="D813" s="2" t="s">
        <v>91</v>
      </c>
      <c r="E813">
        <v>13</v>
      </c>
      <c r="F813">
        <v>-999.2</v>
      </c>
      <c r="G813">
        <v>79.599999999999994</v>
      </c>
      <c r="H813">
        <v>171</v>
      </c>
      <c r="I813">
        <v>164.3</v>
      </c>
      <c r="J813">
        <v>931.6</v>
      </c>
      <c r="K813">
        <v>107.5</v>
      </c>
      <c r="L813" s="2"/>
    </row>
    <row r="814" spans="1:12" x14ac:dyDescent="0.25">
      <c r="A814" s="2" t="s">
        <v>30</v>
      </c>
      <c r="B814" s="2" t="s">
        <v>78</v>
      </c>
      <c r="C814" s="2" t="s">
        <v>79</v>
      </c>
      <c r="D814" s="2" t="s">
        <v>91</v>
      </c>
      <c r="E814">
        <v>0</v>
      </c>
      <c r="F814">
        <v>-14953.2</v>
      </c>
      <c r="G814">
        <v>-6.7</v>
      </c>
      <c r="H814">
        <v>-100.6</v>
      </c>
      <c r="I814">
        <v>-117.5</v>
      </c>
      <c r="J814">
        <v>-385.8</v>
      </c>
      <c r="K814">
        <v>17.2</v>
      </c>
      <c r="L814" s="2"/>
    </row>
    <row r="815" spans="1:12" x14ac:dyDescent="0.25">
      <c r="A815" s="2" t="s">
        <v>30</v>
      </c>
      <c r="B815" s="2" t="s">
        <v>78</v>
      </c>
      <c r="C815" s="2" t="s">
        <v>79</v>
      </c>
      <c r="D815" s="2" t="s">
        <v>91</v>
      </c>
      <c r="E815">
        <v>0.92859999999999998</v>
      </c>
      <c r="F815">
        <v>-14921</v>
      </c>
      <c r="G815">
        <v>-6.7</v>
      </c>
      <c r="H815">
        <v>-100.6</v>
      </c>
      <c r="I815">
        <v>-117.5</v>
      </c>
      <c r="J815">
        <v>-292</v>
      </c>
      <c r="K815">
        <v>18.8</v>
      </c>
      <c r="L815" s="2"/>
    </row>
    <row r="816" spans="1:12" x14ac:dyDescent="0.25">
      <c r="A816" s="2" t="s">
        <v>30</v>
      </c>
      <c r="B816" s="2" t="s">
        <v>78</v>
      </c>
      <c r="C816" s="2" t="s">
        <v>79</v>
      </c>
      <c r="D816" s="2" t="s">
        <v>91</v>
      </c>
      <c r="E816">
        <v>1.8571</v>
      </c>
      <c r="F816">
        <v>-14888.9</v>
      </c>
      <c r="G816">
        <v>-6.7</v>
      </c>
      <c r="H816">
        <v>-100.6</v>
      </c>
      <c r="I816">
        <v>-117.5</v>
      </c>
      <c r="J816">
        <v>-198.2</v>
      </c>
      <c r="K816">
        <v>20.3</v>
      </c>
      <c r="L816" s="2"/>
    </row>
    <row r="817" spans="1:12" x14ac:dyDescent="0.25">
      <c r="A817" s="2" t="s">
        <v>30</v>
      </c>
      <c r="B817" s="2" t="s">
        <v>78</v>
      </c>
      <c r="C817" s="2" t="s">
        <v>79</v>
      </c>
      <c r="D817" s="2" t="s">
        <v>91</v>
      </c>
      <c r="E817">
        <v>2.7856999999999998</v>
      </c>
      <c r="F817">
        <v>-14856.7</v>
      </c>
      <c r="G817">
        <v>-6.7</v>
      </c>
      <c r="H817">
        <v>-100.6</v>
      </c>
      <c r="I817">
        <v>-117.5</v>
      </c>
      <c r="J817">
        <v>-132</v>
      </c>
      <c r="K817">
        <v>5.0999999999999996</v>
      </c>
      <c r="L817" s="2"/>
    </row>
    <row r="818" spans="1:12" x14ac:dyDescent="0.25">
      <c r="A818" s="2" t="s">
        <v>30</v>
      </c>
      <c r="B818" s="2" t="s">
        <v>78</v>
      </c>
      <c r="C818" s="2" t="s">
        <v>79</v>
      </c>
      <c r="D818" s="2" t="s">
        <v>91</v>
      </c>
      <c r="E818">
        <v>3.7143000000000002</v>
      </c>
      <c r="F818">
        <v>-14824.6</v>
      </c>
      <c r="G818">
        <v>-6.7</v>
      </c>
      <c r="H818">
        <v>-100.6</v>
      </c>
      <c r="I818">
        <v>-117.5</v>
      </c>
      <c r="J818">
        <v>-117.6</v>
      </c>
      <c r="K818">
        <v>-38.9</v>
      </c>
      <c r="L818" s="2"/>
    </row>
    <row r="819" spans="1:12" x14ac:dyDescent="0.25">
      <c r="A819" s="2" t="s">
        <v>30</v>
      </c>
      <c r="B819" s="2" t="s">
        <v>78</v>
      </c>
      <c r="C819" s="2" t="s">
        <v>79</v>
      </c>
      <c r="D819" s="2" t="s">
        <v>91</v>
      </c>
      <c r="E819">
        <v>4.6429</v>
      </c>
      <c r="F819">
        <v>-14792.4</v>
      </c>
      <c r="G819">
        <v>-6.7</v>
      </c>
      <c r="H819">
        <v>-100.6</v>
      </c>
      <c r="I819">
        <v>-117.5</v>
      </c>
      <c r="J819">
        <v>-215.5</v>
      </c>
      <c r="K819">
        <v>-104</v>
      </c>
      <c r="L819" s="2"/>
    </row>
    <row r="820" spans="1:12" x14ac:dyDescent="0.25">
      <c r="A820" s="2" t="s">
        <v>30</v>
      </c>
      <c r="B820" s="2" t="s">
        <v>78</v>
      </c>
      <c r="C820" s="2" t="s">
        <v>79</v>
      </c>
      <c r="D820" s="2" t="s">
        <v>91</v>
      </c>
      <c r="E820">
        <v>5.5713999999999997</v>
      </c>
      <c r="F820">
        <v>-14760.2</v>
      </c>
      <c r="G820">
        <v>-6.7</v>
      </c>
      <c r="H820">
        <v>-100.6</v>
      </c>
      <c r="I820">
        <v>-117.5</v>
      </c>
      <c r="J820">
        <v>-368.3</v>
      </c>
      <c r="K820">
        <v>-177</v>
      </c>
      <c r="L820" s="2"/>
    </row>
    <row r="821" spans="1:12" x14ac:dyDescent="0.25">
      <c r="A821" s="2" t="s">
        <v>30</v>
      </c>
      <c r="B821" s="2" t="s">
        <v>78</v>
      </c>
      <c r="C821" s="2" t="s">
        <v>79</v>
      </c>
      <c r="D821" s="2" t="s">
        <v>91</v>
      </c>
      <c r="E821">
        <v>6.5</v>
      </c>
      <c r="F821">
        <v>-14728.1</v>
      </c>
      <c r="G821">
        <v>-6.7</v>
      </c>
      <c r="H821">
        <v>-100.6</v>
      </c>
      <c r="I821">
        <v>-117.5</v>
      </c>
      <c r="J821">
        <v>-525.4</v>
      </c>
      <c r="K821">
        <v>-250.6</v>
      </c>
      <c r="L821" s="2"/>
    </row>
    <row r="822" spans="1:12" x14ac:dyDescent="0.25">
      <c r="A822" s="2" t="s">
        <v>30</v>
      </c>
      <c r="B822" s="2" t="s">
        <v>78</v>
      </c>
      <c r="C822" s="2" t="s">
        <v>79</v>
      </c>
      <c r="D822" s="2" t="s">
        <v>91</v>
      </c>
      <c r="E822">
        <v>7.4286000000000003</v>
      </c>
      <c r="F822">
        <v>-14695.9</v>
      </c>
      <c r="G822">
        <v>-6.7</v>
      </c>
      <c r="H822">
        <v>-100.6</v>
      </c>
      <c r="I822">
        <v>-117.5</v>
      </c>
      <c r="J822">
        <v>-683.5</v>
      </c>
      <c r="K822">
        <v>-325.7</v>
      </c>
      <c r="L822" s="2"/>
    </row>
    <row r="823" spans="1:12" x14ac:dyDescent="0.25">
      <c r="A823" s="2" t="s">
        <v>30</v>
      </c>
      <c r="B823" s="2" t="s">
        <v>78</v>
      </c>
      <c r="C823" s="2" t="s">
        <v>79</v>
      </c>
      <c r="D823" s="2" t="s">
        <v>91</v>
      </c>
      <c r="E823">
        <v>8.3571000000000009</v>
      </c>
      <c r="F823">
        <v>-14663.7</v>
      </c>
      <c r="G823">
        <v>-6.7</v>
      </c>
      <c r="H823">
        <v>-100.6</v>
      </c>
      <c r="I823">
        <v>-117.5</v>
      </c>
      <c r="J823">
        <v>-841.5</v>
      </c>
      <c r="K823">
        <v>-400.7</v>
      </c>
      <c r="L823" s="2"/>
    </row>
    <row r="824" spans="1:12" x14ac:dyDescent="0.25">
      <c r="A824" s="2" t="s">
        <v>30</v>
      </c>
      <c r="B824" s="2" t="s">
        <v>78</v>
      </c>
      <c r="C824" s="2" t="s">
        <v>79</v>
      </c>
      <c r="D824" s="2" t="s">
        <v>91</v>
      </c>
      <c r="E824">
        <v>9.2857000000000003</v>
      </c>
      <c r="F824">
        <v>-14631.6</v>
      </c>
      <c r="G824">
        <v>-6.7</v>
      </c>
      <c r="H824">
        <v>-100.6</v>
      </c>
      <c r="I824">
        <v>-117.5</v>
      </c>
      <c r="J824">
        <v>-999.5</v>
      </c>
      <c r="K824">
        <v>-475.6</v>
      </c>
      <c r="L824" s="2"/>
    </row>
    <row r="825" spans="1:12" x14ac:dyDescent="0.25">
      <c r="A825" s="2" t="s">
        <v>30</v>
      </c>
      <c r="B825" s="2" t="s">
        <v>78</v>
      </c>
      <c r="C825" s="2" t="s">
        <v>79</v>
      </c>
      <c r="D825" s="2" t="s">
        <v>91</v>
      </c>
      <c r="E825">
        <v>10.2143</v>
      </c>
      <c r="F825">
        <v>-14599.4</v>
      </c>
      <c r="G825">
        <v>-6.7</v>
      </c>
      <c r="H825">
        <v>-100.6</v>
      </c>
      <c r="I825">
        <v>-117.5</v>
      </c>
      <c r="J825">
        <v>-1157.4000000000001</v>
      </c>
      <c r="K825">
        <v>-550.20000000000005</v>
      </c>
      <c r="L825" s="2"/>
    </row>
    <row r="826" spans="1:12" x14ac:dyDescent="0.25">
      <c r="A826" s="2" t="s">
        <v>30</v>
      </c>
      <c r="B826" s="2" t="s">
        <v>78</v>
      </c>
      <c r="C826" s="2" t="s">
        <v>79</v>
      </c>
      <c r="D826" s="2" t="s">
        <v>91</v>
      </c>
      <c r="E826">
        <v>11.142899999999999</v>
      </c>
      <c r="F826">
        <v>-14567.3</v>
      </c>
      <c r="G826">
        <v>-6.7</v>
      </c>
      <c r="H826">
        <v>-100.6</v>
      </c>
      <c r="I826">
        <v>-117.5</v>
      </c>
      <c r="J826">
        <v>-1315.2</v>
      </c>
      <c r="K826">
        <v>-624.5</v>
      </c>
      <c r="L826" s="2"/>
    </row>
    <row r="827" spans="1:12" x14ac:dyDescent="0.25">
      <c r="A827" s="2" t="s">
        <v>30</v>
      </c>
      <c r="B827" s="2" t="s">
        <v>78</v>
      </c>
      <c r="C827" s="2" t="s">
        <v>79</v>
      </c>
      <c r="D827" s="2" t="s">
        <v>91</v>
      </c>
      <c r="E827">
        <v>12.071400000000001</v>
      </c>
      <c r="F827">
        <v>-14535.1</v>
      </c>
      <c r="G827">
        <v>-6.7</v>
      </c>
      <c r="H827">
        <v>-100.6</v>
      </c>
      <c r="I827">
        <v>-117.5</v>
      </c>
      <c r="J827">
        <v>-1473.1</v>
      </c>
      <c r="K827">
        <v>-698.5</v>
      </c>
      <c r="L827" s="2"/>
    </row>
    <row r="828" spans="1:12" x14ac:dyDescent="0.25">
      <c r="A828" s="2" t="s">
        <v>30</v>
      </c>
      <c r="B828" s="2" t="s">
        <v>78</v>
      </c>
      <c r="C828" s="2" t="s">
        <v>79</v>
      </c>
      <c r="D828" s="2" t="s">
        <v>91</v>
      </c>
      <c r="E828">
        <v>13</v>
      </c>
      <c r="F828">
        <v>-14502.9</v>
      </c>
      <c r="G828">
        <v>-6.7</v>
      </c>
      <c r="H828">
        <v>-100.6</v>
      </c>
      <c r="I828">
        <v>-117.5</v>
      </c>
      <c r="J828">
        <v>-1630.8</v>
      </c>
      <c r="K828">
        <v>-772.1</v>
      </c>
      <c r="L828" s="2"/>
    </row>
    <row r="829" spans="1:12" x14ac:dyDescent="0.25">
      <c r="A829" s="2" t="s">
        <v>30</v>
      </c>
      <c r="B829" s="2" t="s">
        <v>78</v>
      </c>
      <c r="C829" s="2" t="s">
        <v>79</v>
      </c>
      <c r="D829" s="2" t="s">
        <v>92</v>
      </c>
      <c r="E829">
        <v>0</v>
      </c>
      <c r="F829">
        <v>-878.3</v>
      </c>
      <c r="G829">
        <v>40.4</v>
      </c>
      <c r="H829">
        <v>110.5</v>
      </c>
      <c r="I829">
        <v>139.1</v>
      </c>
      <c r="J829">
        <v>374.2</v>
      </c>
      <c r="K829">
        <v>169</v>
      </c>
      <c r="L829" s="2"/>
    </row>
    <row r="830" spans="1:12" x14ac:dyDescent="0.25">
      <c r="A830" s="2" t="s">
        <v>30</v>
      </c>
      <c r="B830" s="2" t="s">
        <v>78</v>
      </c>
      <c r="C830" s="2" t="s">
        <v>79</v>
      </c>
      <c r="D830" s="2" t="s">
        <v>92</v>
      </c>
      <c r="E830">
        <v>0.92859999999999998</v>
      </c>
      <c r="F830">
        <v>-878.3</v>
      </c>
      <c r="G830">
        <v>40.4</v>
      </c>
      <c r="H830">
        <v>110.5</v>
      </c>
      <c r="I830">
        <v>139.1</v>
      </c>
      <c r="J830">
        <v>271.89999999999998</v>
      </c>
      <c r="K830">
        <v>135.5</v>
      </c>
      <c r="L830" s="2"/>
    </row>
    <row r="831" spans="1:12" x14ac:dyDescent="0.25">
      <c r="A831" s="2" t="s">
        <v>30</v>
      </c>
      <c r="B831" s="2" t="s">
        <v>78</v>
      </c>
      <c r="C831" s="2" t="s">
        <v>79</v>
      </c>
      <c r="D831" s="2" t="s">
        <v>92</v>
      </c>
      <c r="E831">
        <v>1.8571</v>
      </c>
      <c r="F831">
        <v>-878.3</v>
      </c>
      <c r="G831">
        <v>40.4</v>
      </c>
      <c r="H831">
        <v>110.5</v>
      </c>
      <c r="I831">
        <v>139.1</v>
      </c>
      <c r="J831">
        <v>169.6</v>
      </c>
      <c r="K831">
        <v>101.7</v>
      </c>
      <c r="L831" s="2"/>
    </row>
    <row r="832" spans="1:12" x14ac:dyDescent="0.25">
      <c r="A832" s="2" t="s">
        <v>30</v>
      </c>
      <c r="B832" s="2" t="s">
        <v>78</v>
      </c>
      <c r="C832" s="2" t="s">
        <v>79</v>
      </c>
      <c r="D832" s="2" t="s">
        <v>92</v>
      </c>
      <c r="E832">
        <v>2.7856999999999998</v>
      </c>
      <c r="F832">
        <v>-878.3</v>
      </c>
      <c r="G832">
        <v>40.4</v>
      </c>
      <c r="H832">
        <v>110.5</v>
      </c>
      <c r="I832">
        <v>139.1</v>
      </c>
      <c r="J832">
        <v>95.2</v>
      </c>
      <c r="K832">
        <v>84.5</v>
      </c>
      <c r="L832" s="2"/>
    </row>
    <row r="833" spans="1:12" x14ac:dyDescent="0.25">
      <c r="A833" s="2" t="s">
        <v>30</v>
      </c>
      <c r="B833" s="2" t="s">
        <v>78</v>
      </c>
      <c r="C833" s="2" t="s">
        <v>79</v>
      </c>
      <c r="D833" s="2" t="s">
        <v>92</v>
      </c>
      <c r="E833">
        <v>3.7143000000000002</v>
      </c>
      <c r="F833">
        <v>-878.3</v>
      </c>
      <c r="G833">
        <v>40.4</v>
      </c>
      <c r="H833">
        <v>110.5</v>
      </c>
      <c r="I833">
        <v>139.1</v>
      </c>
      <c r="J833">
        <v>67.2</v>
      </c>
      <c r="K833">
        <v>96</v>
      </c>
      <c r="L833" s="2"/>
    </row>
    <row r="834" spans="1:12" x14ac:dyDescent="0.25">
      <c r="A834" s="2" t="s">
        <v>30</v>
      </c>
      <c r="B834" s="2" t="s">
        <v>78</v>
      </c>
      <c r="C834" s="2" t="s">
        <v>79</v>
      </c>
      <c r="D834" s="2" t="s">
        <v>92</v>
      </c>
      <c r="E834">
        <v>4.6429</v>
      </c>
      <c r="F834">
        <v>-878.3</v>
      </c>
      <c r="G834">
        <v>40.4</v>
      </c>
      <c r="H834">
        <v>110.5</v>
      </c>
      <c r="I834">
        <v>139.1</v>
      </c>
      <c r="J834">
        <v>156.19999999999999</v>
      </c>
      <c r="K834">
        <v>123.8</v>
      </c>
      <c r="L834" s="2"/>
    </row>
    <row r="835" spans="1:12" x14ac:dyDescent="0.25">
      <c r="A835" s="2" t="s">
        <v>30</v>
      </c>
      <c r="B835" s="2" t="s">
        <v>78</v>
      </c>
      <c r="C835" s="2" t="s">
        <v>79</v>
      </c>
      <c r="D835" s="2" t="s">
        <v>92</v>
      </c>
      <c r="E835">
        <v>5.5713999999999997</v>
      </c>
      <c r="F835">
        <v>-878.3</v>
      </c>
      <c r="G835">
        <v>40.4</v>
      </c>
      <c r="H835">
        <v>110.5</v>
      </c>
      <c r="I835">
        <v>139.1</v>
      </c>
      <c r="J835">
        <v>306.5</v>
      </c>
      <c r="K835">
        <v>166.1</v>
      </c>
      <c r="L835" s="2"/>
    </row>
    <row r="836" spans="1:12" x14ac:dyDescent="0.25">
      <c r="A836" s="2" t="s">
        <v>30</v>
      </c>
      <c r="B836" s="2" t="s">
        <v>78</v>
      </c>
      <c r="C836" s="2" t="s">
        <v>79</v>
      </c>
      <c r="D836" s="2" t="s">
        <v>92</v>
      </c>
      <c r="E836">
        <v>6.5</v>
      </c>
      <c r="F836">
        <v>-878.3</v>
      </c>
      <c r="G836">
        <v>40.4</v>
      </c>
      <c r="H836">
        <v>110.5</v>
      </c>
      <c r="I836">
        <v>139.1</v>
      </c>
      <c r="J836">
        <v>456.8</v>
      </c>
      <c r="K836">
        <v>208.4</v>
      </c>
      <c r="L836" s="2"/>
    </row>
    <row r="837" spans="1:12" x14ac:dyDescent="0.25">
      <c r="A837" s="2" t="s">
        <v>30</v>
      </c>
      <c r="B837" s="2" t="s">
        <v>78</v>
      </c>
      <c r="C837" s="2" t="s">
        <v>79</v>
      </c>
      <c r="D837" s="2" t="s">
        <v>92</v>
      </c>
      <c r="E837">
        <v>7.4286000000000003</v>
      </c>
      <c r="F837">
        <v>-878.3</v>
      </c>
      <c r="G837">
        <v>40.4</v>
      </c>
      <c r="H837">
        <v>110.5</v>
      </c>
      <c r="I837">
        <v>139.1</v>
      </c>
      <c r="J837">
        <v>607.20000000000005</v>
      </c>
      <c r="K837">
        <v>250.6</v>
      </c>
      <c r="L837" s="2"/>
    </row>
    <row r="838" spans="1:12" x14ac:dyDescent="0.25">
      <c r="A838" s="2" t="s">
        <v>30</v>
      </c>
      <c r="B838" s="2" t="s">
        <v>78</v>
      </c>
      <c r="C838" s="2" t="s">
        <v>79</v>
      </c>
      <c r="D838" s="2" t="s">
        <v>92</v>
      </c>
      <c r="E838">
        <v>8.3571000000000009</v>
      </c>
      <c r="F838">
        <v>-878.3</v>
      </c>
      <c r="G838">
        <v>40.4</v>
      </c>
      <c r="H838">
        <v>110.5</v>
      </c>
      <c r="I838">
        <v>139.1</v>
      </c>
      <c r="J838">
        <v>757.6</v>
      </c>
      <c r="K838">
        <v>292.8</v>
      </c>
      <c r="L838" s="2"/>
    </row>
    <row r="839" spans="1:12" x14ac:dyDescent="0.25">
      <c r="A839" s="2" t="s">
        <v>30</v>
      </c>
      <c r="B839" s="2" t="s">
        <v>78</v>
      </c>
      <c r="C839" s="2" t="s">
        <v>79</v>
      </c>
      <c r="D839" s="2" t="s">
        <v>92</v>
      </c>
      <c r="E839">
        <v>9.2857000000000003</v>
      </c>
      <c r="F839">
        <v>-878.3</v>
      </c>
      <c r="G839">
        <v>40.4</v>
      </c>
      <c r="H839">
        <v>110.5</v>
      </c>
      <c r="I839">
        <v>139.1</v>
      </c>
      <c r="J839">
        <v>908</v>
      </c>
      <c r="K839">
        <v>334.9</v>
      </c>
      <c r="L839" s="2"/>
    </row>
    <row r="840" spans="1:12" x14ac:dyDescent="0.25">
      <c r="A840" s="2" t="s">
        <v>30</v>
      </c>
      <c r="B840" s="2" t="s">
        <v>78</v>
      </c>
      <c r="C840" s="2" t="s">
        <v>79</v>
      </c>
      <c r="D840" s="2" t="s">
        <v>92</v>
      </c>
      <c r="E840">
        <v>10.2143</v>
      </c>
      <c r="F840">
        <v>-878.3</v>
      </c>
      <c r="G840">
        <v>40.4</v>
      </c>
      <c r="H840">
        <v>110.5</v>
      </c>
      <c r="I840">
        <v>139.1</v>
      </c>
      <c r="J840">
        <v>1058.4000000000001</v>
      </c>
      <c r="K840">
        <v>377.1</v>
      </c>
      <c r="L840" s="2"/>
    </row>
    <row r="841" spans="1:12" x14ac:dyDescent="0.25">
      <c r="A841" s="2" t="s">
        <v>30</v>
      </c>
      <c r="B841" s="2" t="s">
        <v>78</v>
      </c>
      <c r="C841" s="2" t="s">
        <v>79</v>
      </c>
      <c r="D841" s="2" t="s">
        <v>92</v>
      </c>
      <c r="E841">
        <v>11.142899999999999</v>
      </c>
      <c r="F841">
        <v>-878.3</v>
      </c>
      <c r="G841">
        <v>40.4</v>
      </c>
      <c r="H841">
        <v>110.5</v>
      </c>
      <c r="I841">
        <v>139.1</v>
      </c>
      <c r="J841">
        <v>1208.8</v>
      </c>
      <c r="K841">
        <v>419.3</v>
      </c>
      <c r="L841" s="2"/>
    </row>
    <row r="842" spans="1:12" x14ac:dyDescent="0.25">
      <c r="A842" s="2" t="s">
        <v>30</v>
      </c>
      <c r="B842" s="2" t="s">
        <v>78</v>
      </c>
      <c r="C842" s="2" t="s">
        <v>79</v>
      </c>
      <c r="D842" s="2" t="s">
        <v>92</v>
      </c>
      <c r="E842">
        <v>12.071400000000001</v>
      </c>
      <c r="F842">
        <v>-878.3</v>
      </c>
      <c r="G842">
        <v>40.4</v>
      </c>
      <c r="H842">
        <v>110.5</v>
      </c>
      <c r="I842">
        <v>139.1</v>
      </c>
      <c r="J842">
        <v>1359.2</v>
      </c>
      <c r="K842">
        <v>461.4</v>
      </c>
      <c r="L842" s="2"/>
    </row>
    <row r="843" spans="1:12" x14ac:dyDescent="0.25">
      <c r="A843" s="2" t="s">
        <v>30</v>
      </c>
      <c r="B843" s="2" t="s">
        <v>78</v>
      </c>
      <c r="C843" s="2" t="s">
        <v>79</v>
      </c>
      <c r="D843" s="2" t="s">
        <v>92</v>
      </c>
      <c r="E843">
        <v>13</v>
      </c>
      <c r="F843">
        <v>-878.3</v>
      </c>
      <c r="G843">
        <v>40.4</v>
      </c>
      <c r="H843">
        <v>110.5</v>
      </c>
      <c r="I843">
        <v>139.1</v>
      </c>
      <c r="J843">
        <v>1509.5</v>
      </c>
      <c r="K843">
        <v>503.6</v>
      </c>
      <c r="L843" s="2"/>
    </row>
    <row r="844" spans="1:12" x14ac:dyDescent="0.25">
      <c r="A844" s="2" t="s">
        <v>30</v>
      </c>
      <c r="B844" s="2" t="s">
        <v>78</v>
      </c>
      <c r="C844" s="2" t="s">
        <v>79</v>
      </c>
      <c r="D844" s="2" t="s">
        <v>92</v>
      </c>
      <c r="E844">
        <v>0</v>
      </c>
      <c r="F844">
        <v>-14832.3</v>
      </c>
      <c r="G844">
        <v>-45.9</v>
      </c>
      <c r="H844">
        <v>-161.1</v>
      </c>
      <c r="I844">
        <v>-142.69999999999999</v>
      </c>
      <c r="J844">
        <v>-594.4</v>
      </c>
      <c r="K844">
        <v>-88.5</v>
      </c>
      <c r="L844" s="2"/>
    </row>
    <row r="845" spans="1:12" x14ac:dyDescent="0.25">
      <c r="A845" s="2" t="s">
        <v>30</v>
      </c>
      <c r="B845" s="2" t="s">
        <v>78</v>
      </c>
      <c r="C845" s="2" t="s">
        <v>79</v>
      </c>
      <c r="D845" s="2" t="s">
        <v>92</v>
      </c>
      <c r="E845">
        <v>0.92859999999999998</v>
      </c>
      <c r="F845">
        <v>-14800.1</v>
      </c>
      <c r="G845">
        <v>-45.9</v>
      </c>
      <c r="H845">
        <v>-161.1</v>
      </c>
      <c r="I845">
        <v>-142.69999999999999</v>
      </c>
      <c r="J845">
        <v>-444.4</v>
      </c>
      <c r="K845">
        <v>-45.9</v>
      </c>
      <c r="L845" s="2"/>
    </row>
    <row r="846" spans="1:12" x14ac:dyDescent="0.25">
      <c r="A846" s="2" t="s">
        <v>30</v>
      </c>
      <c r="B846" s="2" t="s">
        <v>78</v>
      </c>
      <c r="C846" s="2" t="s">
        <v>79</v>
      </c>
      <c r="D846" s="2" t="s">
        <v>92</v>
      </c>
      <c r="E846">
        <v>1.8571</v>
      </c>
      <c r="F846">
        <v>-14768</v>
      </c>
      <c r="G846">
        <v>-45.9</v>
      </c>
      <c r="H846">
        <v>-161.1</v>
      </c>
      <c r="I846">
        <v>-142.69999999999999</v>
      </c>
      <c r="J846">
        <v>-294.39999999999998</v>
      </c>
      <c r="K846">
        <v>-4.4000000000000004</v>
      </c>
      <c r="L846" s="2"/>
    </row>
    <row r="847" spans="1:12" x14ac:dyDescent="0.25">
      <c r="A847" s="2" t="s">
        <v>30</v>
      </c>
      <c r="B847" s="2" t="s">
        <v>78</v>
      </c>
      <c r="C847" s="2" t="s">
        <v>79</v>
      </c>
      <c r="D847" s="2" t="s">
        <v>92</v>
      </c>
      <c r="E847">
        <v>2.7856999999999998</v>
      </c>
      <c r="F847">
        <v>-14735.8</v>
      </c>
      <c r="G847">
        <v>-45.9</v>
      </c>
      <c r="H847">
        <v>-161.1</v>
      </c>
      <c r="I847">
        <v>-142.69999999999999</v>
      </c>
      <c r="J847">
        <v>-186.8</v>
      </c>
      <c r="K847">
        <v>6</v>
      </c>
      <c r="L847" s="2"/>
    </row>
    <row r="848" spans="1:12" x14ac:dyDescent="0.25">
      <c r="A848" s="2" t="s">
        <v>30</v>
      </c>
      <c r="B848" s="2" t="s">
        <v>78</v>
      </c>
      <c r="C848" s="2" t="s">
        <v>79</v>
      </c>
      <c r="D848" s="2" t="s">
        <v>92</v>
      </c>
      <c r="E848">
        <v>3.7143000000000002</v>
      </c>
      <c r="F848">
        <v>-14703.6</v>
      </c>
      <c r="G848">
        <v>-45.9</v>
      </c>
      <c r="H848">
        <v>-161.1</v>
      </c>
      <c r="I848">
        <v>-142.69999999999999</v>
      </c>
      <c r="J848">
        <v>-144</v>
      </c>
      <c r="K848">
        <v>-7.1</v>
      </c>
      <c r="L848" s="2"/>
    </row>
    <row r="849" spans="1:12" x14ac:dyDescent="0.25">
      <c r="A849" s="2" t="s">
        <v>30</v>
      </c>
      <c r="B849" s="2" t="s">
        <v>78</v>
      </c>
      <c r="C849" s="2" t="s">
        <v>79</v>
      </c>
      <c r="D849" s="2" t="s">
        <v>92</v>
      </c>
      <c r="E849">
        <v>4.6429</v>
      </c>
      <c r="F849">
        <v>-14671.5</v>
      </c>
      <c r="G849">
        <v>-45.9</v>
      </c>
      <c r="H849">
        <v>-161.1</v>
      </c>
      <c r="I849">
        <v>-142.69999999999999</v>
      </c>
      <c r="J849">
        <v>-143.19999999999999</v>
      </c>
      <c r="K849">
        <v>-35.799999999999997</v>
      </c>
      <c r="L849" s="2"/>
    </row>
    <row r="850" spans="1:12" x14ac:dyDescent="0.25">
      <c r="A850" s="2" t="s">
        <v>30</v>
      </c>
      <c r="B850" s="2" t="s">
        <v>78</v>
      </c>
      <c r="C850" s="2" t="s">
        <v>79</v>
      </c>
      <c r="D850" s="2" t="s">
        <v>92</v>
      </c>
      <c r="E850">
        <v>5.5713999999999997</v>
      </c>
      <c r="F850">
        <v>-14639.3</v>
      </c>
      <c r="G850">
        <v>-45.9</v>
      </c>
      <c r="H850">
        <v>-161.1</v>
      </c>
      <c r="I850">
        <v>-142.69999999999999</v>
      </c>
      <c r="J850">
        <v>-239.8</v>
      </c>
      <c r="K850">
        <v>-72.3</v>
      </c>
      <c r="L850" s="2"/>
    </row>
    <row r="851" spans="1:12" x14ac:dyDescent="0.25">
      <c r="A851" s="2" t="s">
        <v>30</v>
      </c>
      <c r="B851" s="2" t="s">
        <v>78</v>
      </c>
      <c r="C851" s="2" t="s">
        <v>79</v>
      </c>
      <c r="D851" s="2" t="s">
        <v>92</v>
      </c>
      <c r="E851">
        <v>6.5</v>
      </c>
      <c r="F851">
        <v>-14607.2</v>
      </c>
      <c r="G851">
        <v>-45.9</v>
      </c>
      <c r="H851">
        <v>-161.1</v>
      </c>
      <c r="I851">
        <v>-142.69999999999999</v>
      </c>
      <c r="J851">
        <v>-340.7</v>
      </c>
      <c r="K851">
        <v>-109.5</v>
      </c>
      <c r="L851" s="2"/>
    </row>
    <row r="852" spans="1:12" x14ac:dyDescent="0.25">
      <c r="A852" s="2" t="s">
        <v>30</v>
      </c>
      <c r="B852" s="2" t="s">
        <v>78</v>
      </c>
      <c r="C852" s="2" t="s">
        <v>79</v>
      </c>
      <c r="D852" s="2" t="s">
        <v>92</v>
      </c>
      <c r="E852">
        <v>7.4286000000000003</v>
      </c>
      <c r="F852">
        <v>-14575</v>
      </c>
      <c r="G852">
        <v>-45.9</v>
      </c>
      <c r="H852">
        <v>-161.1</v>
      </c>
      <c r="I852">
        <v>-142.69999999999999</v>
      </c>
      <c r="J852">
        <v>-442.6</v>
      </c>
      <c r="K852">
        <v>-148.19999999999999</v>
      </c>
      <c r="L852" s="2"/>
    </row>
    <row r="853" spans="1:12" x14ac:dyDescent="0.25">
      <c r="A853" s="2" t="s">
        <v>30</v>
      </c>
      <c r="B853" s="2" t="s">
        <v>78</v>
      </c>
      <c r="C853" s="2" t="s">
        <v>79</v>
      </c>
      <c r="D853" s="2" t="s">
        <v>92</v>
      </c>
      <c r="E853">
        <v>8.3571000000000009</v>
      </c>
      <c r="F853">
        <v>-14542.8</v>
      </c>
      <c r="G853">
        <v>-45.9</v>
      </c>
      <c r="H853">
        <v>-161.1</v>
      </c>
      <c r="I853">
        <v>-142.69999999999999</v>
      </c>
      <c r="J853">
        <v>-544.5</v>
      </c>
      <c r="K853">
        <v>-186.8</v>
      </c>
      <c r="L853" s="2"/>
    </row>
    <row r="854" spans="1:12" x14ac:dyDescent="0.25">
      <c r="A854" s="2" t="s">
        <v>30</v>
      </c>
      <c r="B854" s="2" t="s">
        <v>78</v>
      </c>
      <c r="C854" s="2" t="s">
        <v>79</v>
      </c>
      <c r="D854" s="2" t="s">
        <v>92</v>
      </c>
      <c r="E854">
        <v>9.2857000000000003</v>
      </c>
      <c r="F854">
        <v>-14510.7</v>
      </c>
      <c r="G854">
        <v>-45.9</v>
      </c>
      <c r="H854">
        <v>-161.1</v>
      </c>
      <c r="I854">
        <v>-142.69999999999999</v>
      </c>
      <c r="J854">
        <v>-646.29999999999995</v>
      </c>
      <c r="K854">
        <v>-225.2</v>
      </c>
      <c r="L854" s="2"/>
    </row>
    <row r="855" spans="1:12" x14ac:dyDescent="0.25">
      <c r="A855" s="2" t="s">
        <v>30</v>
      </c>
      <c r="B855" s="2" t="s">
        <v>78</v>
      </c>
      <c r="C855" s="2" t="s">
        <v>79</v>
      </c>
      <c r="D855" s="2" t="s">
        <v>92</v>
      </c>
      <c r="E855">
        <v>10.2143</v>
      </c>
      <c r="F855">
        <v>-14478.5</v>
      </c>
      <c r="G855">
        <v>-45.9</v>
      </c>
      <c r="H855">
        <v>-161.1</v>
      </c>
      <c r="I855">
        <v>-142.69999999999999</v>
      </c>
      <c r="J855">
        <v>-748</v>
      </c>
      <c r="K855">
        <v>-263.39999999999998</v>
      </c>
      <c r="L855" s="2"/>
    </row>
    <row r="856" spans="1:12" x14ac:dyDescent="0.25">
      <c r="A856" s="2" t="s">
        <v>30</v>
      </c>
      <c r="B856" s="2" t="s">
        <v>78</v>
      </c>
      <c r="C856" s="2" t="s">
        <v>79</v>
      </c>
      <c r="D856" s="2" t="s">
        <v>92</v>
      </c>
      <c r="E856">
        <v>11.142899999999999</v>
      </c>
      <c r="F856">
        <v>-14446.3</v>
      </c>
      <c r="G856">
        <v>-45.9</v>
      </c>
      <c r="H856">
        <v>-161.1</v>
      </c>
      <c r="I856">
        <v>-142.69999999999999</v>
      </c>
      <c r="J856">
        <v>-849.7</v>
      </c>
      <c r="K856">
        <v>-301.3</v>
      </c>
      <c r="L856" s="2"/>
    </row>
    <row r="857" spans="1:12" x14ac:dyDescent="0.25">
      <c r="A857" s="2" t="s">
        <v>30</v>
      </c>
      <c r="B857" s="2" t="s">
        <v>78</v>
      </c>
      <c r="C857" s="2" t="s">
        <v>79</v>
      </c>
      <c r="D857" s="2" t="s">
        <v>92</v>
      </c>
      <c r="E857">
        <v>12.071400000000001</v>
      </c>
      <c r="F857">
        <v>-14414.2</v>
      </c>
      <c r="G857">
        <v>-45.9</v>
      </c>
      <c r="H857">
        <v>-161.1</v>
      </c>
      <c r="I857">
        <v>-142.69999999999999</v>
      </c>
      <c r="J857">
        <v>-951.3</v>
      </c>
      <c r="K857">
        <v>-338.8</v>
      </c>
      <c r="L857" s="2"/>
    </row>
    <row r="858" spans="1:12" x14ac:dyDescent="0.25">
      <c r="A858" s="2" t="s">
        <v>30</v>
      </c>
      <c r="B858" s="2" t="s">
        <v>78</v>
      </c>
      <c r="C858" s="2" t="s">
        <v>79</v>
      </c>
      <c r="D858" s="2" t="s">
        <v>92</v>
      </c>
      <c r="E858">
        <v>13</v>
      </c>
      <c r="F858">
        <v>-14382</v>
      </c>
      <c r="G858">
        <v>-45.9</v>
      </c>
      <c r="H858">
        <v>-161.1</v>
      </c>
      <c r="I858">
        <v>-142.69999999999999</v>
      </c>
      <c r="J858">
        <v>-1052.9000000000001</v>
      </c>
      <c r="K858">
        <v>-376</v>
      </c>
      <c r="L858" s="2"/>
    </row>
    <row r="859" spans="1:12" x14ac:dyDescent="0.25">
      <c r="A859" s="2" t="s">
        <v>30</v>
      </c>
      <c r="B859" s="2" t="s">
        <v>78</v>
      </c>
      <c r="C859" s="2" t="s">
        <v>79</v>
      </c>
      <c r="D859" s="2" t="s">
        <v>93</v>
      </c>
      <c r="E859">
        <v>0</v>
      </c>
      <c r="F859">
        <v>-916.9</v>
      </c>
      <c r="G859">
        <v>78.400000000000006</v>
      </c>
      <c r="H859">
        <v>165</v>
      </c>
      <c r="I859">
        <v>155.5</v>
      </c>
      <c r="J859">
        <v>562.29999999999995</v>
      </c>
      <c r="K859">
        <v>271.2</v>
      </c>
      <c r="L859" s="2"/>
    </row>
    <row r="860" spans="1:12" x14ac:dyDescent="0.25">
      <c r="A860" s="2" t="s">
        <v>30</v>
      </c>
      <c r="B860" s="2" t="s">
        <v>78</v>
      </c>
      <c r="C860" s="2" t="s">
        <v>79</v>
      </c>
      <c r="D860" s="2" t="s">
        <v>93</v>
      </c>
      <c r="E860">
        <v>0.92859999999999998</v>
      </c>
      <c r="F860">
        <v>-916.9</v>
      </c>
      <c r="G860">
        <v>78.400000000000006</v>
      </c>
      <c r="H860">
        <v>165</v>
      </c>
      <c r="I860">
        <v>155.5</v>
      </c>
      <c r="J860">
        <v>409.4</v>
      </c>
      <c r="K860">
        <v>197.8</v>
      </c>
      <c r="L860" s="2"/>
    </row>
    <row r="861" spans="1:12" x14ac:dyDescent="0.25">
      <c r="A861" s="2" t="s">
        <v>30</v>
      </c>
      <c r="B861" s="2" t="s">
        <v>78</v>
      </c>
      <c r="C861" s="2" t="s">
        <v>79</v>
      </c>
      <c r="D861" s="2" t="s">
        <v>93</v>
      </c>
      <c r="E861">
        <v>1.8571</v>
      </c>
      <c r="F861">
        <v>-916.9</v>
      </c>
      <c r="G861">
        <v>78.400000000000006</v>
      </c>
      <c r="H861">
        <v>165</v>
      </c>
      <c r="I861">
        <v>155.5</v>
      </c>
      <c r="J861">
        <v>256.5</v>
      </c>
      <c r="K861">
        <v>125.3</v>
      </c>
      <c r="L861" s="2"/>
    </row>
    <row r="862" spans="1:12" x14ac:dyDescent="0.25">
      <c r="A862" s="2" t="s">
        <v>30</v>
      </c>
      <c r="B862" s="2" t="s">
        <v>78</v>
      </c>
      <c r="C862" s="2" t="s">
        <v>79</v>
      </c>
      <c r="D862" s="2" t="s">
        <v>93</v>
      </c>
      <c r="E862">
        <v>2.7856999999999998</v>
      </c>
      <c r="F862">
        <v>-916.9</v>
      </c>
      <c r="G862">
        <v>78.400000000000006</v>
      </c>
      <c r="H862">
        <v>165</v>
      </c>
      <c r="I862">
        <v>155.5</v>
      </c>
      <c r="J862">
        <v>146.1</v>
      </c>
      <c r="K862">
        <v>84.5</v>
      </c>
      <c r="L862" s="2"/>
    </row>
    <row r="863" spans="1:12" x14ac:dyDescent="0.25">
      <c r="A863" s="2" t="s">
        <v>30</v>
      </c>
      <c r="B863" s="2" t="s">
        <v>78</v>
      </c>
      <c r="C863" s="2" t="s">
        <v>79</v>
      </c>
      <c r="D863" s="2" t="s">
        <v>93</v>
      </c>
      <c r="E863">
        <v>3.7143000000000002</v>
      </c>
      <c r="F863">
        <v>-916.9</v>
      </c>
      <c r="G863">
        <v>78.400000000000006</v>
      </c>
      <c r="H863">
        <v>165</v>
      </c>
      <c r="I863">
        <v>155.5</v>
      </c>
      <c r="J863">
        <v>93.6</v>
      </c>
      <c r="K863">
        <v>80</v>
      </c>
      <c r="L863" s="2"/>
    </row>
    <row r="864" spans="1:12" x14ac:dyDescent="0.25">
      <c r="A864" s="2" t="s">
        <v>30</v>
      </c>
      <c r="B864" s="2" t="s">
        <v>78</v>
      </c>
      <c r="C864" s="2" t="s">
        <v>79</v>
      </c>
      <c r="D864" s="2" t="s">
        <v>93</v>
      </c>
      <c r="E864">
        <v>4.6429</v>
      </c>
      <c r="F864">
        <v>-916.9</v>
      </c>
      <c r="G864">
        <v>78.400000000000006</v>
      </c>
      <c r="H864">
        <v>165</v>
      </c>
      <c r="I864">
        <v>155.5</v>
      </c>
      <c r="J864">
        <v>85.7</v>
      </c>
      <c r="K864">
        <v>89.2</v>
      </c>
      <c r="L864" s="2"/>
    </row>
    <row r="865" spans="1:12" x14ac:dyDescent="0.25">
      <c r="A865" s="2" t="s">
        <v>30</v>
      </c>
      <c r="B865" s="2" t="s">
        <v>78</v>
      </c>
      <c r="C865" s="2" t="s">
        <v>79</v>
      </c>
      <c r="D865" s="2" t="s">
        <v>93</v>
      </c>
      <c r="E865">
        <v>5.5713999999999997</v>
      </c>
      <c r="F865">
        <v>-916.9</v>
      </c>
      <c r="G865">
        <v>78.400000000000006</v>
      </c>
      <c r="H865">
        <v>165</v>
      </c>
      <c r="I865">
        <v>155.5</v>
      </c>
      <c r="J865">
        <v>87.5</v>
      </c>
      <c r="K865">
        <v>114.9</v>
      </c>
      <c r="L865" s="2"/>
    </row>
    <row r="866" spans="1:12" x14ac:dyDescent="0.25">
      <c r="A866" s="2" t="s">
        <v>30</v>
      </c>
      <c r="B866" s="2" t="s">
        <v>78</v>
      </c>
      <c r="C866" s="2" t="s">
        <v>79</v>
      </c>
      <c r="D866" s="2" t="s">
        <v>93</v>
      </c>
      <c r="E866">
        <v>6.5</v>
      </c>
      <c r="F866">
        <v>-916.9</v>
      </c>
      <c r="G866">
        <v>78.400000000000006</v>
      </c>
      <c r="H866">
        <v>165</v>
      </c>
      <c r="I866">
        <v>155.5</v>
      </c>
      <c r="J866">
        <v>100.9</v>
      </c>
      <c r="K866">
        <v>140.6</v>
      </c>
      <c r="L866" s="2"/>
    </row>
    <row r="867" spans="1:12" x14ac:dyDescent="0.25">
      <c r="A867" s="2" t="s">
        <v>30</v>
      </c>
      <c r="B867" s="2" t="s">
        <v>78</v>
      </c>
      <c r="C867" s="2" t="s">
        <v>79</v>
      </c>
      <c r="D867" s="2" t="s">
        <v>93</v>
      </c>
      <c r="E867">
        <v>7.4286000000000003</v>
      </c>
      <c r="F867">
        <v>-916.9</v>
      </c>
      <c r="G867">
        <v>78.400000000000006</v>
      </c>
      <c r="H867">
        <v>165</v>
      </c>
      <c r="I867">
        <v>155.5</v>
      </c>
      <c r="J867">
        <v>114.4</v>
      </c>
      <c r="K867">
        <v>166.3</v>
      </c>
      <c r="L867" s="2"/>
    </row>
    <row r="868" spans="1:12" x14ac:dyDescent="0.25">
      <c r="A868" s="2" t="s">
        <v>30</v>
      </c>
      <c r="B868" s="2" t="s">
        <v>78</v>
      </c>
      <c r="C868" s="2" t="s">
        <v>79</v>
      </c>
      <c r="D868" s="2" t="s">
        <v>93</v>
      </c>
      <c r="E868">
        <v>8.3571000000000009</v>
      </c>
      <c r="F868">
        <v>-916.9</v>
      </c>
      <c r="G868">
        <v>78.400000000000006</v>
      </c>
      <c r="H868">
        <v>165</v>
      </c>
      <c r="I868">
        <v>155.5</v>
      </c>
      <c r="J868">
        <v>127.8</v>
      </c>
      <c r="K868">
        <v>191.9</v>
      </c>
      <c r="L868" s="2"/>
    </row>
    <row r="869" spans="1:12" x14ac:dyDescent="0.25">
      <c r="A869" s="2" t="s">
        <v>30</v>
      </c>
      <c r="B869" s="2" t="s">
        <v>78</v>
      </c>
      <c r="C869" s="2" t="s">
        <v>79</v>
      </c>
      <c r="D869" s="2" t="s">
        <v>93</v>
      </c>
      <c r="E869">
        <v>9.2857000000000003</v>
      </c>
      <c r="F869">
        <v>-916.9</v>
      </c>
      <c r="G869">
        <v>78.400000000000006</v>
      </c>
      <c r="H869">
        <v>165</v>
      </c>
      <c r="I869">
        <v>155.5</v>
      </c>
      <c r="J869">
        <v>141.30000000000001</v>
      </c>
      <c r="K869">
        <v>217.6</v>
      </c>
      <c r="L869" s="2"/>
    </row>
    <row r="870" spans="1:12" x14ac:dyDescent="0.25">
      <c r="A870" s="2" t="s">
        <v>30</v>
      </c>
      <c r="B870" s="2" t="s">
        <v>78</v>
      </c>
      <c r="C870" s="2" t="s">
        <v>79</v>
      </c>
      <c r="D870" s="2" t="s">
        <v>93</v>
      </c>
      <c r="E870">
        <v>10.2143</v>
      </c>
      <c r="F870">
        <v>-916.9</v>
      </c>
      <c r="G870">
        <v>78.400000000000006</v>
      </c>
      <c r="H870">
        <v>165</v>
      </c>
      <c r="I870">
        <v>155.5</v>
      </c>
      <c r="J870">
        <v>154.80000000000001</v>
      </c>
      <c r="K870">
        <v>243.2</v>
      </c>
      <c r="L870" s="2"/>
    </row>
    <row r="871" spans="1:12" x14ac:dyDescent="0.25">
      <c r="A871" s="2" t="s">
        <v>30</v>
      </c>
      <c r="B871" s="2" t="s">
        <v>78</v>
      </c>
      <c r="C871" s="2" t="s">
        <v>79</v>
      </c>
      <c r="D871" s="2" t="s">
        <v>93</v>
      </c>
      <c r="E871">
        <v>11.142899999999999</v>
      </c>
      <c r="F871">
        <v>-916.9</v>
      </c>
      <c r="G871">
        <v>78.400000000000006</v>
      </c>
      <c r="H871">
        <v>165</v>
      </c>
      <c r="I871">
        <v>155.5</v>
      </c>
      <c r="J871">
        <v>168.9</v>
      </c>
      <c r="K871">
        <v>268.8</v>
      </c>
      <c r="L871" s="2"/>
    </row>
    <row r="872" spans="1:12" x14ac:dyDescent="0.25">
      <c r="A872" s="2" t="s">
        <v>30</v>
      </c>
      <c r="B872" s="2" t="s">
        <v>78</v>
      </c>
      <c r="C872" s="2" t="s">
        <v>79</v>
      </c>
      <c r="D872" s="2" t="s">
        <v>93</v>
      </c>
      <c r="E872">
        <v>12.071400000000001</v>
      </c>
      <c r="F872">
        <v>-916.9</v>
      </c>
      <c r="G872">
        <v>78.400000000000006</v>
      </c>
      <c r="H872">
        <v>165</v>
      </c>
      <c r="I872">
        <v>155.5</v>
      </c>
      <c r="J872">
        <v>190.4</v>
      </c>
      <c r="K872">
        <v>294.39999999999998</v>
      </c>
      <c r="L872" s="2"/>
    </row>
    <row r="873" spans="1:12" x14ac:dyDescent="0.25">
      <c r="A873" s="2" t="s">
        <v>30</v>
      </c>
      <c r="B873" s="2" t="s">
        <v>78</v>
      </c>
      <c r="C873" s="2" t="s">
        <v>79</v>
      </c>
      <c r="D873" s="2" t="s">
        <v>93</v>
      </c>
      <c r="E873">
        <v>13</v>
      </c>
      <c r="F873">
        <v>-916.9</v>
      </c>
      <c r="G873">
        <v>78.400000000000006</v>
      </c>
      <c r="H873">
        <v>165</v>
      </c>
      <c r="I873">
        <v>155.5</v>
      </c>
      <c r="J873">
        <v>211.8</v>
      </c>
      <c r="K873">
        <v>320.10000000000002</v>
      </c>
      <c r="L873" s="2"/>
    </row>
    <row r="874" spans="1:12" x14ac:dyDescent="0.25">
      <c r="A874" s="2" t="s">
        <v>30</v>
      </c>
      <c r="B874" s="2" t="s">
        <v>78</v>
      </c>
      <c r="C874" s="2" t="s">
        <v>79</v>
      </c>
      <c r="D874" s="2" t="s">
        <v>93</v>
      </c>
      <c r="E874">
        <v>0</v>
      </c>
      <c r="F874">
        <v>-11472</v>
      </c>
      <c r="G874">
        <v>-28.1</v>
      </c>
      <c r="H874">
        <v>-22.3</v>
      </c>
      <c r="I874">
        <v>-119.9</v>
      </c>
      <c r="J874">
        <v>-87.7</v>
      </c>
      <c r="K874">
        <v>-40.5</v>
      </c>
      <c r="L874" s="2"/>
    </row>
    <row r="875" spans="1:12" x14ac:dyDescent="0.25">
      <c r="A875" s="2" t="s">
        <v>30</v>
      </c>
      <c r="B875" s="2" t="s">
        <v>78</v>
      </c>
      <c r="C875" s="2" t="s">
        <v>79</v>
      </c>
      <c r="D875" s="2" t="s">
        <v>93</v>
      </c>
      <c r="E875">
        <v>0.92859999999999998</v>
      </c>
      <c r="F875">
        <v>-11439.9</v>
      </c>
      <c r="G875">
        <v>-28.1</v>
      </c>
      <c r="H875">
        <v>-22.3</v>
      </c>
      <c r="I875">
        <v>-119.9</v>
      </c>
      <c r="J875">
        <v>-66.599999999999994</v>
      </c>
      <c r="K875">
        <v>-14.4</v>
      </c>
      <c r="L875" s="2"/>
    </row>
    <row r="876" spans="1:12" x14ac:dyDescent="0.25">
      <c r="A876" s="2" t="s">
        <v>30</v>
      </c>
      <c r="B876" s="2" t="s">
        <v>78</v>
      </c>
      <c r="C876" s="2" t="s">
        <v>79</v>
      </c>
      <c r="D876" s="2" t="s">
        <v>93</v>
      </c>
      <c r="E876">
        <v>1.8571</v>
      </c>
      <c r="F876">
        <v>-11407.7</v>
      </c>
      <c r="G876">
        <v>-28.1</v>
      </c>
      <c r="H876">
        <v>-22.3</v>
      </c>
      <c r="I876">
        <v>-119.9</v>
      </c>
      <c r="J876">
        <v>-45.5</v>
      </c>
      <c r="K876">
        <v>11.6</v>
      </c>
      <c r="L876" s="2"/>
    </row>
    <row r="877" spans="1:12" x14ac:dyDescent="0.25">
      <c r="A877" s="2" t="s">
        <v>30</v>
      </c>
      <c r="B877" s="2" t="s">
        <v>78</v>
      </c>
      <c r="C877" s="2" t="s">
        <v>79</v>
      </c>
      <c r="D877" s="2" t="s">
        <v>93</v>
      </c>
      <c r="E877">
        <v>2.7856999999999998</v>
      </c>
      <c r="F877">
        <v>-11375.5</v>
      </c>
      <c r="G877">
        <v>-28.1</v>
      </c>
      <c r="H877">
        <v>-22.3</v>
      </c>
      <c r="I877">
        <v>-119.9</v>
      </c>
      <c r="J877">
        <v>-27.2</v>
      </c>
      <c r="K877">
        <v>10.6</v>
      </c>
      <c r="L877" s="2"/>
    </row>
    <row r="878" spans="1:12" x14ac:dyDescent="0.25">
      <c r="A878" s="2" t="s">
        <v>30</v>
      </c>
      <c r="B878" s="2" t="s">
        <v>78</v>
      </c>
      <c r="C878" s="2" t="s">
        <v>79</v>
      </c>
      <c r="D878" s="2" t="s">
        <v>93</v>
      </c>
      <c r="E878">
        <v>3.7143000000000002</v>
      </c>
      <c r="F878">
        <v>-11343.4</v>
      </c>
      <c r="G878">
        <v>-28.1</v>
      </c>
      <c r="H878">
        <v>-22.3</v>
      </c>
      <c r="I878">
        <v>-119.9</v>
      </c>
      <c r="J878">
        <v>-74.400000000000006</v>
      </c>
      <c r="K878">
        <v>-37.799999999999997</v>
      </c>
      <c r="L878" s="2"/>
    </row>
    <row r="879" spans="1:12" x14ac:dyDescent="0.25">
      <c r="A879" s="2" t="s">
        <v>30</v>
      </c>
      <c r="B879" s="2" t="s">
        <v>78</v>
      </c>
      <c r="C879" s="2" t="s">
        <v>79</v>
      </c>
      <c r="D879" s="2" t="s">
        <v>93</v>
      </c>
      <c r="E879">
        <v>4.6429</v>
      </c>
      <c r="F879">
        <v>-11311.2</v>
      </c>
      <c r="G879">
        <v>-28.1</v>
      </c>
      <c r="H879">
        <v>-22.3</v>
      </c>
      <c r="I879">
        <v>-119.9</v>
      </c>
      <c r="J879">
        <v>-208.3</v>
      </c>
      <c r="K879">
        <v>-101.8</v>
      </c>
      <c r="L879" s="2"/>
    </row>
    <row r="880" spans="1:12" x14ac:dyDescent="0.25">
      <c r="A880" s="2" t="s">
        <v>30</v>
      </c>
      <c r="B880" s="2" t="s">
        <v>78</v>
      </c>
      <c r="C880" s="2" t="s">
        <v>79</v>
      </c>
      <c r="D880" s="2" t="s">
        <v>93</v>
      </c>
      <c r="E880">
        <v>5.5713999999999997</v>
      </c>
      <c r="F880">
        <v>-11279.1</v>
      </c>
      <c r="G880">
        <v>-28.1</v>
      </c>
      <c r="H880">
        <v>-22.3</v>
      </c>
      <c r="I880">
        <v>-119.9</v>
      </c>
      <c r="J880">
        <v>-355.5</v>
      </c>
      <c r="K880">
        <v>-173.6</v>
      </c>
      <c r="L880" s="2"/>
    </row>
    <row r="881" spans="1:12" x14ac:dyDescent="0.25">
      <c r="A881" s="2" t="s">
        <v>30</v>
      </c>
      <c r="B881" s="2" t="s">
        <v>78</v>
      </c>
      <c r="C881" s="2" t="s">
        <v>79</v>
      </c>
      <c r="D881" s="2" t="s">
        <v>93</v>
      </c>
      <c r="E881">
        <v>6.5</v>
      </c>
      <c r="F881">
        <v>-11246.9</v>
      </c>
      <c r="G881">
        <v>-28.1</v>
      </c>
      <c r="H881">
        <v>-22.3</v>
      </c>
      <c r="I881">
        <v>-119.9</v>
      </c>
      <c r="J881">
        <v>-507.1</v>
      </c>
      <c r="K881">
        <v>-246.1</v>
      </c>
      <c r="L881" s="2"/>
    </row>
    <row r="882" spans="1:12" x14ac:dyDescent="0.25">
      <c r="A882" s="2" t="s">
        <v>30</v>
      </c>
      <c r="B882" s="2" t="s">
        <v>78</v>
      </c>
      <c r="C882" s="2" t="s">
        <v>79</v>
      </c>
      <c r="D882" s="2" t="s">
        <v>93</v>
      </c>
      <c r="E882">
        <v>7.4286000000000003</v>
      </c>
      <c r="F882">
        <v>-11214.7</v>
      </c>
      <c r="G882">
        <v>-28.1</v>
      </c>
      <c r="H882">
        <v>-22.3</v>
      </c>
      <c r="I882">
        <v>-119.9</v>
      </c>
      <c r="J882">
        <v>-659.6</v>
      </c>
      <c r="K882">
        <v>-320.10000000000002</v>
      </c>
      <c r="L882" s="2"/>
    </row>
    <row r="883" spans="1:12" x14ac:dyDescent="0.25">
      <c r="A883" s="2" t="s">
        <v>30</v>
      </c>
      <c r="B883" s="2" t="s">
        <v>78</v>
      </c>
      <c r="C883" s="2" t="s">
        <v>79</v>
      </c>
      <c r="D883" s="2" t="s">
        <v>93</v>
      </c>
      <c r="E883">
        <v>8.3571000000000009</v>
      </c>
      <c r="F883">
        <v>-11182.6</v>
      </c>
      <c r="G883">
        <v>-28.1</v>
      </c>
      <c r="H883">
        <v>-22.3</v>
      </c>
      <c r="I883">
        <v>-119.9</v>
      </c>
      <c r="J883">
        <v>-812.1</v>
      </c>
      <c r="K883">
        <v>-394</v>
      </c>
      <c r="L883" s="2"/>
    </row>
    <row r="884" spans="1:12" x14ac:dyDescent="0.25">
      <c r="A884" s="2" t="s">
        <v>30</v>
      </c>
      <c r="B884" s="2" t="s">
        <v>78</v>
      </c>
      <c r="C884" s="2" t="s">
        <v>79</v>
      </c>
      <c r="D884" s="2" t="s">
        <v>93</v>
      </c>
      <c r="E884">
        <v>9.2857000000000003</v>
      </c>
      <c r="F884">
        <v>-11150.4</v>
      </c>
      <c r="G884">
        <v>-28.1</v>
      </c>
      <c r="H884">
        <v>-22.3</v>
      </c>
      <c r="I884">
        <v>-119.9</v>
      </c>
      <c r="J884">
        <v>-964.5</v>
      </c>
      <c r="K884">
        <v>-467.7</v>
      </c>
      <c r="L884" s="2"/>
    </row>
    <row r="885" spans="1:12" x14ac:dyDescent="0.25">
      <c r="A885" s="2" t="s">
        <v>30</v>
      </c>
      <c r="B885" s="2" t="s">
        <v>78</v>
      </c>
      <c r="C885" s="2" t="s">
        <v>79</v>
      </c>
      <c r="D885" s="2" t="s">
        <v>93</v>
      </c>
      <c r="E885">
        <v>10.2143</v>
      </c>
      <c r="F885">
        <v>-11118.2</v>
      </c>
      <c r="G885">
        <v>-28.1</v>
      </c>
      <c r="H885">
        <v>-22.3</v>
      </c>
      <c r="I885">
        <v>-119.9</v>
      </c>
      <c r="J885">
        <v>-1116.9000000000001</v>
      </c>
      <c r="K885">
        <v>-541.20000000000005</v>
      </c>
      <c r="L885" s="2"/>
    </row>
    <row r="886" spans="1:12" x14ac:dyDescent="0.25">
      <c r="A886" s="2" t="s">
        <v>30</v>
      </c>
      <c r="B886" s="2" t="s">
        <v>78</v>
      </c>
      <c r="C886" s="2" t="s">
        <v>79</v>
      </c>
      <c r="D886" s="2" t="s">
        <v>93</v>
      </c>
      <c r="E886">
        <v>11.142899999999999</v>
      </c>
      <c r="F886">
        <v>-11086.1</v>
      </c>
      <c r="G886">
        <v>-28.1</v>
      </c>
      <c r="H886">
        <v>-22.3</v>
      </c>
      <c r="I886">
        <v>-119.9</v>
      </c>
      <c r="J886">
        <v>-1269.2</v>
      </c>
      <c r="K886">
        <v>-614.29999999999995</v>
      </c>
      <c r="L886" s="2"/>
    </row>
    <row r="887" spans="1:12" x14ac:dyDescent="0.25">
      <c r="A887" s="2" t="s">
        <v>30</v>
      </c>
      <c r="B887" s="2" t="s">
        <v>78</v>
      </c>
      <c r="C887" s="2" t="s">
        <v>79</v>
      </c>
      <c r="D887" s="2" t="s">
        <v>93</v>
      </c>
      <c r="E887">
        <v>12.071400000000001</v>
      </c>
      <c r="F887">
        <v>-11053.9</v>
      </c>
      <c r="G887">
        <v>-28.1</v>
      </c>
      <c r="H887">
        <v>-22.3</v>
      </c>
      <c r="I887">
        <v>-119.9</v>
      </c>
      <c r="J887">
        <v>-1421.5</v>
      </c>
      <c r="K887">
        <v>-687.2</v>
      </c>
      <c r="L887" s="2"/>
    </row>
    <row r="888" spans="1:12" x14ac:dyDescent="0.25">
      <c r="A888" s="2" t="s">
        <v>30</v>
      </c>
      <c r="B888" s="2" t="s">
        <v>78</v>
      </c>
      <c r="C888" s="2" t="s">
        <v>79</v>
      </c>
      <c r="D888" s="2" t="s">
        <v>93</v>
      </c>
      <c r="E888">
        <v>13</v>
      </c>
      <c r="F888">
        <v>-11021.8</v>
      </c>
      <c r="G888">
        <v>-28.1</v>
      </c>
      <c r="H888">
        <v>-22.3</v>
      </c>
      <c r="I888">
        <v>-119.9</v>
      </c>
      <c r="J888">
        <v>-1573.7</v>
      </c>
      <c r="K888">
        <v>-759.6</v>
      </c>
      <c r="L888" s="2"/>
    </row>
    <row r="889" spans="1:12" x14ac:dyDescent="0.25">
      <c r="A889" s="2" t="s">
        <v>30</v>
      </c>
      <c r="B889" s="2" t="s">
        <v>78</v>
      </c>
      <c r="C889" s="2" t="s">
        <v>79</v>
      </c>
      <c r="D889" s="2" t="s">
        <v>94</v>
      </c>
      <c r="E889">
        <v>0</v>
      </c>
      <c r="F889">
        <v>-4359.5</v>
      </c>
      <c r="G889">
        <v>61.8</v>
      </c>
      <c r="H889">
        <v>32.200000000000003</v>
      </c>
      <c r="I889">
        <v>141.5</v>
      </c>
      <c r="J889">
        <v>76.099999999999994</v>
      </c>
      <c r="K889">
        <v>226.7</v>
      </c>
      <c r="L889" s="2"/>
    </row>
    <row r="890" spans="1:12" x14ac:dyDescent="0.25">
      <c r="A890" s="2" t="s">
        <v>30</v>
      </c>
      <c r="B890" s="2" t="s">
        <v>78</v>
      </c>
      <c r="C890" s="2" t="s">
        <v>79</v>
      </c>
      <c r="D890" s="2" t="s">
        <v>94</v>
      </c>
      <c r="E890">
        <v>0.92859999999999998</v>
      </c>
      <c r="F890">
        <v>-4359.5</v>
      </c>
      <c r="G890">
        <v>61.8</v>
      </c>
      <c r="H890">
        <v>32.200000000000003</v>
      </c>
      <c r="I890">
        <v>141.5</v>
      </c>
      <c r="J890">
        <v>46.5</v>
      </c>
      <c r="K890">
        <v>168.7</v>
      </c>
      <c r="L890" s="2"/>
    </row>
    <row r="891" spans="1:12" x14ac:dyDescent="0.25">
      <c r="A891" s="2" t="s">
        <v>30</v>
      </c>
      <c r="B891" s="2" t="s">
        <v>78</v>
      </c>
      <c r="C891" s="2" t="s">
        <v>79</v>
      </c>
      <c r="D891" s="2" t="s">
        <v>94</v>
      </c>
      <c r="E891">
        <v>1.8571</v>
      </c>
      <c r="F891">
        <v>-4359.5</v>
      </c>
      <c r="G891">
        <v>61.8</v>
      </c>
      <c r="H891">
        <v>32.200000000000003</v>
      </c>
      <c r="I891">
        <v>141.5</v>
      </c>
      <c r="J891">
        <v>17</v>
      </c>
      <c r="K891">
        <v>110.4</v>
      </c>
      <c r="L891" s="2"/>
    </row>
    <row r="892" spans="1:12" x14ac:dyDescent="0.25">
      <c r="A892" s="2" t="s">
        <v>30</v>
      </c>
      <c r="B892" s="2" t="s">
        <v>78</v>
      </c>
      <c r="C892" s="2" t="s">
        <v>79</v>
      </c>
      <c r="D892" s="2" t="s">
        <v>94</v>
      </c>
      <c r="E892">
        <v>2.7856999999999998</v>
      </c>
      <c r="F892">
        <v>-4359.5</v>
      </c>
      <c r="G892">
        <v>61.8</v>
      </c>
      <c r="H892">
        <v>32.200000000000003</v>
      </c>
      <c r="I892">
        <v>141.5</v>
      </c>
      <c r="J892">
        <v>-9.6</v>
      </c>
      <c r="K892">
        <v>79.099999999999994</v>
      </c>
      <c r="L892" s="2"/>
    </row>
    <row r="893" spans="1:12" x14ac:dyDescent="0.25">
      <c r="A893" s="2" t="s">
        <v>30</v>
      </c>
      <c r="B893" s="2" t="s">
        <v>78</v>
      </c>
      <c r="C893" s="2" t="s">
        <v>79</v>
      </c>
      <c r="D893" s="2" t="s">
        <v>94</v>
      </c>
      <c r="E893">
        <v>3.7143000000000002</v>
      </c>
      <c r="F893">
        <v>-4359.5</v>
      </c>
      <c r="G893">
        <v>61.8</v>
      </c>
      <c r="H893">
        <v>32.200000000000003</v>
      </c>
      <c r="I893">
        <v>141.5</v>
      </c>
      <c r="J893">
        <v>24</v>
      </c>
      <c r="K893">
        <v>94.9</v>
      </c>
      <c r="L893" s="2"/>
    </row>
    <row r="894" spans="1:12" x14ac:dyDescent="0.25">
      <c r="A894" s="2" t="s">
        <v>30</v>
      </c>
      <c r="B894" s="2" t="s">
        <v>78</v>
      </c>
      <c r="C894" s="2" t="s">
        <v>79</v>
      </c>
      <c r="D894" s="2" t="s">
        <v>94</v>
      </c>
      <c r="E894">
        <v>4.6429</v>
      </c>
      <c r="F894">
        <v>-4359.5</v>
      </c>
      <c r="G894">
        <v>61.8</v>
      </c>
      <c r="H894">
        <v>32.200000000000003</v>
      </c>
      <c r="I894">
        <v>141.5</v>
      </c>
      <c r="J894">
        <v>148.9</v>
      </c>
      <c r="K894">
        <v>121.7</v>
      </c>
      <c r="L894" s="2"/>
    </row>
    <row r="895" spans="1:12" x14ac:dyDescent="0.25">
      <c r="A895" s="2" t="s">
        <v>30</v>
      </c>
      <c r="B895" s="2" t="s">
        <v>78</v>
      </c>
      <c r="C895" s="2" t="s">
        <v>79</v>
      </c>
      <c r="D895" s="2" t="s">
        <v>94</v>
      </c>
      <c r="E895">
        <v>5.5713999999999997</v>
      </c>
      <c r="F895">
        <v>-4359.5</v>
      </c>
      <c r="G895">
        <v>61.8</v>
      </c>
      <c r="H895">
        <v>32.200000000000003</v>
      </c>
      <c r="I895">
        <v>141.5</v>
      </c>
      <c r="J895">
        <v>293.7</v>
      </c>
      <c r="K895">
        <v>162.80000000000001</v>
      </c>
      <c r="L895" s="2"/>
    </row>
    <row r="896" spans="1:12" x14ac:dyDescent="0.25">
      <c r="A896" s="2" t="s">
        <v>30</v>
      </c>
      <c r="B896" s="2" t="s">
        <v>78</v>
      </c>
      <c r="C896" s="2" t="s">
        <v>79</v>
      </c>
      <c r="D896" s="2" t="s">
        <v>94</v>
      </c>
      <c r="E896">
        <v>6.5</v>
      </c>
      <c r="F896">
        <v>-4359.5</v>
      </c>
      <c r="G896">
        <v>61.8</v>
      </c>
      <c r="H896">
        <v>32.200000000000003</v>
      </c>
      <c r="I896">
        <v>141.5</v>
      </c>
      <c r="J896">
        <v>438.5</v>
      </c>
      <c r="K896">
        <v>203.9</v>
      </c>
      <c r="L896" s="2"/>
    </row>
    <row r="897" spans="1:12" x14ac:dyDescent="0.25">
      <c r="A897" s="2" t="s">
        <v>30</v>
      </c>
      <c r="B897" s="2" t="s">
        <v>78</v>
      </c>
      <c r="C897" s="2" t="s">
        <v>79</v>
      </c>
      <c r="D897" s="2" t="s">
        <v>94</v>
      </c>
      <c r="E897">
        <v>7.4286000000000003</v>
      </c>
      <c r="F897">
        <v>-4359.5</v>
      </c>
      <c r="G897">
        <v>61.8</v>
      </c>
      <c r="H897">
        <v>32.200000000000003</v>
      </c>
      <c r="I897">
        <v>141.5</v>
      </c>
      <c r="J897">
        <v>583.29999999999995</v>
      </c>
      <c r="K897">
        <v>245</v>
      </c>
      <c r="L897" s="2"/>
    </row>
    <row r="898" spans="1:12" x14ac:dyDescent="0.25">
      <c r="A898" s="2" t="s">
        <v>30</v>
      </c>
      <c r="B898" s="2" t="s">
        <v>78</v>
      </c>
      <c r="C898" s="2" t="s">
        <v>79</v>
      </c>
      <c r="D898" s="2" t="s">
        <v>94</v>
      </c>
      <c r="E898">
        <v>8.3571000000000009</v>
      </c>
      <c r="F898">
        <v>-4359.5</v>
      </c>
      <c r="G898">
        <v>61.8</v>
      </c>
      <c r="H898">
        <v>32.200000000000003</v>
      </c>
      <c r="I898">
        <v>141.5</v>
      </c>
      <c r="J898">
        <v>728.2</v>
      </c>
      <c r="K898">
        <v>286</v>
      </c>
      <c r="L898" s="2"/>
    </row>
    <row r="899" spans="1:12" x14ac:dyDescent="0.25">
      <c r="A899" s="2" t="s">
        <v>30</v>
      </c>
      <c r="B899" s="2" t="s">
        <v>78</v>
      </c>
      <c r="C899" s="2" t="s">
        <v>79</v>
      </c>
      <c r="D899" s="2" t="s">
        <v>94</v>
      </c>
      <c r="E899">
        <v>9.2857000000000003</v>
      </c>
      <c r="F899">
        <v>-4359.5</v>
      </c>
      <c r="G899">
        <v>61.8</v>
      </c>
      <c r="H899">
        <v>32.200000000000003</v>
      </c>
      <c r="I899">
        <v>141.5</v>
      </c>
      <c r="J899">
        <v>873</v>
      </c>
      <c r="K899">
        <v>327</v>
      </c>
      <c r="L899" s="2"/>
    </row>
    <row r="900" spans="1:12" x14ac:dyDescent="0.25">
      <c r="A900" s="2" t="s">
        <v>30</v>
      </c>
      <c r="B900" s="2" t="s">
        <v>78</v>
      </c>
      <c r="C900" s="2" t="s">
        <v>79</v>
      </c>
      <c r="D900" s="2" t="s">
        <v>94</v>
      </c>
      <c r="E900">
        <v>10.2143</v>
      </c>
      <c r="F900">
        <v>-4359.5</v>
      </c>
      <c r="G900">
        <v>61.8</v>
      </c>
      <c r="H900">
        <v>32.200000000000003</v>
      </c>
      <c r="I900">
        <v>141.5</v>
      </c>
      <c r="J900">
        <v>1017.9</v>
      </c>
      <c r="K900">
        <v>368.1</v>
      </c>
      <c r="L900" s="2"/>
    </row>
    <row r="901" spans="1:12" x14ac:dyDescent="0.25">
      <c r="A901" s="2" t="s">
        <v>30</v>
      </c>
      <c r="B901" s="2" t="s">
        <v>78</v>
      </c>
      <c r="C901" s="2" t="s">
        <v>79</v>
      </c>
      <c r="D901" s="2" t="s">
        <v>94</v>
      </c>
      <c r="E901">
        <v>11.142899999999999</v>
      </c>
      <c r="F901">
        <v>-4359.5</v>
      </c>
      <c r="G901">
        <v>61.8</v>
      </c>
      <c r="H901">
        <v>32.200000000000003</v>
      </c>
      <c r="I901">
        <v>141.5</v>
      </c>
      <c r="J901">
        <v>1162.7</v>
      </c>
      <c r="K901">
        <v>409.1</v>
      </c>
      <c r="L901" s="2"/>
    </row>
    <row r="902" spans="1:12" x14ac:dyDescent="0.25">
      <c r="A902" s="2" t="s">
        <v>30</v>
      </c>
      <c r="B902" s="2" t="s">
        <v>78</v>
      </c>
      <c r="C902" s="2" t="s">
        <v>79</v>
      </c>
      <c r="D902" s="2" t="s">
        <v>94</v>
      </c>
      <c r="E902">
        <v>12.071400000000001</v>
      </c>
      <c r="F902">
        <v>-4359.5</v>
      </c>
      <c r="G902">
        <v>61.8</v>
      </c>
      <c r="H902">
        <v>32.200000000000003</v>
      </c>
      <c r="I902">
        <v>141.5</v>
      </c>
      <c r="J902">
        <v>1307.5999999999999</v>
      </c>
      <c r="K902">
        <v>450.1</v>
      </c>
      <c r="L902" s="2"/>
    </row>
    <row r="903" spans="1:12" x14ac:dyDescent="0.25">
      <c r="A903" s="2" t="s">
        <v>30</v>
      </c>
      <c r="B903" s="2" t="s">
        <v>78</v>
      </c>
      <c r="C903" s="2" t="s">
        <v>79</v>
      </c>
      <c r="D903" s="2" t="s">
        <v>94</v>
      </c>
      <c r="E903">
        <v>13</v>
      </c>
      <c r="F903">
        <v>-4359.5</v>
      </c>
      <c r="G903">
        <v>61.8</v>
      </c>
      <c r="H903">
        <v>32.200000000000003</v>
      </c>
      <c r="I903">
        <v>141.5</v>
      </c>
      <c r="J903">
        <v>1452.4</v>
      </c>
      <c r="K903">
        <v>491.2</v>
      </c>
      <c r="L903" s="2"/>
    </row>
    <row r="904" spans="1:12" x14ac:dyDescent="0.25">
      <c r="A904" s="2" t="s">
        <v>30</v>
      </c>
      <c r="B904" s="2" t="s">
        <v>78</v>
      </c>
      <c r="C904" s="2" t="s">
        <v>79</v>
      </c>
      <c r="D904" s="2" t="s">
        <v>94</v>
      </c>
      <c r="E904">
        <v>0</v>
      </c>
      <c r="F904">
        <v>-14914.6</v>
      </c>
      <c r="G904">
        <v>-44.7</v>
      </c>
      <c r="H904">
        <v>-155.1</v>
      </c>
      <c r="I904">
        <v>-133.9</v>
      </c>
      <c r="J904">
        <v>-573.9</v>
      </c>
      <c r="K904">
        <v>-85</v>
      </c>
      <c r="L904" s="2"/>
    </row>
    <row r="905" spans="1:12" x14ac:dyDescent="0.25">
      <c r="A905" s="2" t="s">
        <v>30</v>
      </c>
      <c r="B905" s="2" t="s">
        <v>78</v>
      </c>
      <c r="C905" s="2" t="s">
        <v>79</v>
      </c>
      <c r="D905" s="2" t="s">
        <v>94</v>
      </c>
      <c r="E905">
        <v>0.92859999999999998</v>
      </c>
      <c r="F905">
        <v>-14882.5</v>
      </c>
      <c r="G905">
        <v>-44.7</v>
      </c>
      <c r="H905">
        <v>-155.1</v>
      </c>
      <c r="I905">
        <v>-133.9</v>
      </c>
      <c r="J905">
        <v>-429.5</v>
      </c>
      <c r="K905">
        <v>-43.5</v>
      </c>
      <c r="L905" s="2"/>
    </row>
    <row r="906" spans="1:12" x14ac:dyDescent="0.25">
      <c r="A906" s="2" t="s">
        <v>30</v>
      </c>
      <c r="B906" s="2" t="s">
        <v>78</v>
      </c>
      <c r="C906" s="2" t="s">
        <v>79</v>
      </c>
      <c r="D906" s="2" t="s">
        <v>94</v>
      </c>
      <c r="E906">
        <v>1.8571</v>
      </c>
      <c r="F906">
        <v>-14850.3</v>
      </c>
      <c r="G906">
        <v>-44.7</v>
      </c>
      <c r="H906">
        <v>-155.1</v>
      </c>
      <c r="I906">
        <v>-133.9</v>
      </c>
      <c r="J906">
        <v>-285</v>
      </c>
      <c r="K906">
        <v>-3.3</v>
      </c>
      <c r="L906" s="2"/>
    </row>
    <row r="907" spans="1:12" x14ac:dyDescent="0.25">
      <c r="A907" s="2" t="s">
        <v>30</v>
      </c>
      <c r="B907" s="2" t="s">
        <v>78</v>
      </c>
      <c r="C907" s="2" t="s">
        <v>79</v>
      </c>
      <c r="D907" s="2" t="s">
        <v>94</v>
      </c>
      <c r="E907">
        <v>2.7856999999999998</v>
      </c>
      <c r="F907">
        <v>-14818.2</v>
      </c>
      <c r="G907">
        <v>-44.7</v>
      </c>
      <c r="H907">
        <v>-155.1</v>
      </c>
      <c r="I907">
        <v>-133.9</v>
      </c>
      <c r="J907">
        <v>-182.9</v>
      </c>
      <c r="K907">
        <v>5.2</v>
      </c>
      <c r="L907" s="2"/>
    </row>
    <row r="908" spans="1:12" x14ac:dyDescent="0.25">
      <c r="A908" s="2" t="s">
        <v>30</v>
      </c>
      <c r="B908" s="2" t="s">
        <v>78</v>
      </c>
      <c r="C908" s="2" t="s">
        <v>79</v>
      </c>
      <c r="D908" s="2" t="s">
        <v>94</v>
      </c>
      <c r="E908">
        <v>3.7143000000000002</v>
      </c>
      <c r="F908">
        <v>-14786</v>
      </c>
      <c r="G908">
        <v>-44.7</v>
      </c>
      <c r="H908">
        <v>-155.1</v>
      </c>
      <c r="I908">
        <v>-133.9</v>
      </c>
      <c r="J908">
        <v>-144.1</v>
      </c>
      <c r="K908">
        <v>-22.9</v>
      </c>
      <c r="L908" s="2"/>
    </row>
    <row r="909" spans="1:12" x14ac:dyDescent="0.25">
      <c r="A909" s="2" t="s">
        <v>30</v>
      </c>
      <c r="B909" s="2" t="s">
        <v>78</v>
      </c>
      <c r="C909" s="2" t="s">
        <v>79</v>
      </c>
      <c r="D909" s="2" t="s">
        <v>94</v>
      </c>
      <c r="E909">
        <v>4.6429</v>
      </c>
      <c r="F909">
        <v>-14753.8</v>
      </c>
      <c r="G909">
        <v>-44.7</v>
      </c>
      <c r="H909">
        <v>-155.1</v>
      </c>
      <c r="I909">
        <v>-133.9</v>
      </c>
      <c r="J909">
        <v>-145.1</v>
      </c>
      <c r="K909">
        <v>-69.400000000000006</v>
      </c>
      <c r="L909" s="2"/>
    </row>
    <row r="910" spans="1:12" x14ac:dyDescent="0.25">
      <c r="A910" s="2" t="s">
        <v>30</v>
      </c>
      <c r="B910" s="2" t="s">
        <v>78</v>
      </c>
      <c r="C910" s="2" t="s">
        <v>79</v>
      </c>
      <c r="D910" s="2" t="s">
        <v>94</v>
      </c>
      <c r="E910">
        <v>5.5713999999999997</v>
      </c>
      <c r="F910">
        <v>-14721.7</v>
      </c>
      <c r="G910">
        <v>-44.7</v>
      </c>
      <c r="H910">
        <v>-155.1</v>
      </c>
      <c r="I910">
        <v>-133.9</v>
      </c>
      <c r="J910">
        <v>-149.4</v>
      </c>
      <c r="K910">
        <v>-125.7</v>
      </c>
      <c r="L910" s="2"/>
    </row>
    <row r="911" spans="1:12" x14ac:dyDescent="0.25">
      <c r="A911" s="2" t="s">
        <v>30</v>
      </c>
      <c r="B911" s="2" t="s">
        <v>78</v>
      </c>
      <c r="C911" s="2" t="s">
        <v>79</v>
      </c>
      <c r="D911" s="2" t="s">
        <v>94</v>
      </c>
      <c r="E911">
        <v>6.5</v>
      </c>
      <c r="F911">
        <v>-14689.5</v>
      </c>
      <c r="G911">
        <v>-44.7</v>
      </c>
      <c r="H911">
        <v>-155.1</v>
      </c>
      <c r="I911">
        <v>-133.9</v>
      </c>
      <c r="J911">
        <v>-169.5</v>
      </c>
      <c r="K911">
        <v>-182.8</v>
      </c>
      <c r="L911" s="2"/>
    </row>
    <row r="912" spans="1:12" x14ac:dyDescent="0.25">
      <c r="A912" s="2" t="s">
        <v>30</v>
      </c>
      <c r="B912" s="2" t="s">
        <v>78</v>
      </c>
      <c r="C912" s="2" t="s">
        <v>79</v>
      </c>
      <c r="D912" s="2" t="s">
        <v>94</v>
      </c>
      <c r="E912">
        <v>7.4286000000000003</v>
      </c>
      <c r="F912">
        <v>-14657.3</v>
      </c>
      <c r="G912">
        <v>-44.7</v>
      </c>
      <c r="H912">
        <v>-155.1</v>
      </c>
      <c r="I912">
        <v>-133.9</v>
      </c>
      <c r="J912">
        <v>-190.7</v>
      </c>
      <c r="K912">
        <v>-241.4</v>
      </c>
      <c r="L912" s="2"/>
    </row>
    <row r="913" spans="1:12" x14ac:dyDescent="0.25">
      <c r="A913" s="2" t="s">
        <v>30</v>
      </c>
      <c r="B913" s="2" t="s">
        <v>78</v>
      </c>
      <c r="C913" s="2" t="s">
        <v>79</v>
      </c>
      <c r="D913" s="2" t="s">
        <v>94</v>
      </c>
      <c r="E913">
        <v>8.3571000000000009</v>
      </c>
      <c r="F913">
        <v>-14625.2</v>
      </c>
      <c r="G913">
        <v>-44.7</v>
      </c>
      <c r="H913">
        <v>-155.1</v>
      </c>
      <c r="I913">
        <v>-133.9</v>
      </c>
      <c r="J913">
        <v>-211.8</v>
      </c>
      <c r="K913">
        <v>-299.89999999999998</v>
      </c>
      <c r="L913" s="2"/>
    </row>
    <row r="914" spans="1:12" x14ac:dyDescent="0.25">
      <c r="A914" s="2" t="s">
        <v>30</v>
      </c>
      <c r="B914" s="2" t="s">
        <v>78</v>
      </c>
      <c r="C914" s="2" t="s">
        <v>79</v>
      </c>
      <c r="D914" s="2" t="s">
        <v>94</v>
      </c>
      <c r="E914">
        <v>9.2857000000000003</v>
      </c>
      <c r="F914">
        <v>-14593</v>
      </c>
      <c r="G914">
        <v>-44.7</v>
      </c>
      <c r="H914">
        <v>-155.1</v>
      </c>
      <c r="I914">
        <v>-133.9</v>
      </c>
      <c r="J914">
        <v>-232.8</v>
      </c>
      <c r="K914">
        <v>-358.2</v>
      </c>
      <c r="L914" s="2"/>
    </row>
    <row r="915" spans="1:12" x14ac:dyDescent="0.25">
      <c r="A915" s="2" t="s">
        <v>30</v>
      </c>
      <c r="B915" s="2" t="s">
        <v>78</v>
      </c>
      <c r="C915" s="2" t="s">
        <v>79</v>
      </c>
      <c r="D915" s="2" t="s">
        <v>94</v>
      </c>
      <c r="E915">
        <v>10.2143</v>
      </c>
      <c r="F915">
        <v>-14560.9</v>
      </c>
      <c r="G915">
        <v>-44.7</v>
      </c>
      <c r="H915">
        <v>-155.1</v>
      </c>
      <c r="I915">
        <v>-133.9</v>
      </c>
      <c r="J915">
        <v>-253.8</v>
      </c>
      <c r="K915">
        <v>-416.3</v>
      </c>
      <c r="L915" s="2"/>
    </row>
    <row r="916" spans="1:12" x14ac:dyDescent="0.25">
      <c r="A916" s="2" t="s">
        <v>30</v>
      </c>
      <c r="B916" s="2" t="s">
        <v>78</v>
      </c>
      <c r="C916" s="2" t="s">
        <v>79</v>
      </c>
      <c r="D916" s="2" t="s">
        <v>94</v>
      </c>
      <c r="E916">
        <v>11.142899999999999</v>
      </c>
      <c r="F916">
        <v>-14528.7</v>
      </c>
      <c r="G916">
        <v>-44.7</v>
      </c>
      <c r="H916">
        <v>-155.1</v>
      </c>
      <c r="I916">
        <v>-133.9</v>
      </c>
      <c r="J916">
        <v>-275.3</v>
      </c>
      <c r="K916">
        <v>-474.1</v>
      </c>
      <c r="L916" s="2"/>
    </row>
    <row r="917" spans="1:12" x14ac:dyDescent="0.25">
      <c r="A917" s="2" t="s">
        <v>30</v>
      </c>
      <c r="B917" s="2" t="s">
        <v>78</v>
      </c>
      <c r="C917" s="2" t="s">
        <v>79</v>
      </c>
      <c r="D917" s="2" t="s">
        <v>94</v>
      </c>
      <c r="E917">
        <v>12.071400000000001</v>
      </c>
      <c r="F917">
        <v>-14496.5</v>
      </c>
      <c r="G917">
        <v>-44.7</v>
      </c>
      <c r="H917">
        <v>-155.1</v>
      </c>
      <c r="I917">
        <v>-133.9</v>
      </c>
      <c r="J917">
        <v>-304.2</v>
      </c>
      <c r="K917">
        <v>-531.5</v>
      </c>
      <c r="L917" s="2"/>
    </row>
    <row r="918" spans="1:12" x14ac:dyDescent="0.25">
      <c r="A918" s="2" t="s">
        <v>30</v>
      </c>
      <c r="B918" s="2" t="s">
        <v>78</v>
      </c>
      <c r="C918" s="2" t="s">
        <v>79</v>
      </c>
      <c r="D918" s="2" t="s">
        <v>94</v>
      </c>
      <c r="E918">
        <v>13</v>
      </c>
      <c r="F918">
        <v>-14464.4</v>
      </c>
      <c r="G918">
        <v>-44.7</v>
      </c>
      <c r="H918">
        <v>-155.1</v>
      </c>
      <c r="I918">
        <v>-133.9</v>
      </c>
      <c r="J918">
        <v>-333.1</v>
      </c>
      <c r="K918">
        <v>-588.5</v>
      </c>
      <c r="L918" s="2"/>
    </row>
    <row r="919" spans="1:12" x14ac:dyDescent="0.25">
      <c r="A919" s="2" t="s">
        <v>30</v>
      </c>
      <c r="B919" s="2" t="s">
        <v>78</v>
      </c>
      <c r="C919" s="2" t="s">
        <v>79</v>
      </c>
      <c r="D919" s="2" t="s">
        <v>95</v>
      </c>
      <c r="E919">
        <v>0</v>
      </c>
      <c r="F919">
        <v>-8967.2999999999993</v>
      </c>
      <c r="G919">
        <v>69.3</v>
      </c>
      <c r="H919">
        <v>26.3</v>
      </c>
      <c r="I919">
        <v>54.6</v>
      </c>
      <c r="J919">
        <v>38.200000000000003</v>
      </c>
      <c r="K919">
        <v>330.4</v>
      </c>
      <c r="L919" s="2"/>
    </row>
    <row r="920" spans="1:12" x14ac:dyDescent="0.25">
      <c r="A920" s="2" t="s">
        <v>30</v>
      </c>
      <c r="B920" s="2" t="s">
        <v>78</v>
      </c>
      <c r="C920" s="2" t="s">
        <v>79</v>
      </c>
      <c r="D920" s="2" t="s">
        <v>95</v>
      </c>
      <c r="E920">
        <v>0.92859999999999998</v>
      </c>
      <c r="F920">
        <v>-8967.2999999999993</v>
      </c>
      <c r="G920">
        <v>69</v>
      </c>
      <c r="H920">
        <v>26.3</v>
      </c>
      <c r="I920">
        <v>54.6</v>
      </c>
      <c r="J920">
        <v>9.6</v>
      </c>
      <c r="K920">
        <v>253.7</v>
      </c>
      <c r="L920" s="2"/>
    </row>
    <row r="921" spans="1:12" x14ac:dyDescent="0.25">
      <c r="A921" s="2" t="s">
        <v>30</v>
      </c>
      <c r="B921" s="2" t="s">
        <v>78</v>
      </c>
      <c r="C921" s="2" t="s">
        <v>79</v>
      </c>
      <c r="D921" s="2" t="s">
        <v>95</v>
      </c>
      <c r="E921">
        <v>1.8571</v>
      </c>
      <c r="F921">
        <v>-8967.2999999999993</v>
      </c>
      <c r="G921">
        <v>68.599999999999994</v>
      </c>
      <c r="H921">
        <v>26.3</v>
      </c>
      <c r="I921">
        <v>54.6</v>
      </c>
      <c r="J921">
        <v>-18.899999999999999</v>
      </c>
      <c r="K921">
        <v>176.6</v>
      </c>
      <c r="L921" s="2"/>
    </row>
    <row r="922" spans="1:12" x14ac:dyDescent="0.25">
      <c r="A922" s="2" t="s">
        <v>30</v>
      </c>
      <c r="B922" s="2" t="s">
        <v>78</v>
      </c>
      <c r="C922" s="2" t="s">
        <v>79</v>
      </c>
      <c r="D922" s="2" t="s">
        <v>95</v>
      </c>
      <c r="E922">
        <v>2.7856999999999998</v>
      </c>
      <c r="F922">
        <v>-8967.2999999999993</v>
      </c>
      <c r="G922">
        <v>68.3</v>
      </c>
      <c r="H922">
        <v>26.3</v>
      </c>
      <c r="I922">
        <v>54.6</v>
      </c>
      <c r="J922">
        <v>-47.3</v>
      </c>
      <c r="K922">
        <v>99.7</v>
      </c>
      <c r="L922" s="2"/>
    </row>
    <row r="923" spans="1:12" x14ac:dyDescent="0.25">
      <c r="A923" s="2" t="s">
        <v>30</v>
      </c>
      <c r="B923" s="2" t="s">
        <v>78</v>
      </c>
      <c r="C923" s="2" t="s">
        <v>79</v>
      </c>
      <c r="D923" s="2" t="s">
        <v>95</v>
      </c>
      <c r="E923">
        <v>3.7143000000000002</v>
      </c>
      <c r="F923">
        <v>-8967.2999999999993</v>
      </c>
      <c r="G923">
        <v>67.900000000000006</v>
      </c>
      <c r="H923">
        <v>26.3</v>
      </c>
      <c r="I923">
        <v>54.6</v>
      </c>
      <c r="J923">
        <v>-75.400000000000006</v>
      </c>
      <c r="K923">
        <v>23</v>
      </c>
      <c r="L923" s="2"/>
    </row>
    <row r="924" spans="1:12" x14ac:dyDescent="0.25">
      <c r="A924" s="2" t="s">
        <v>30</v>
      </c>
      <c r="B924" s="2" t="s">
        <v>78</v>
      </c>
      <c r="C924" s="2" t="s">
        <v>79</v>
      </c>
      <c r="D924" s="2" t="s">
        <v>95</v>
      </c>
      <c r="E924">
        <v>4.6429</v>
      </c>
      <c r="F924">
        <v>-8967.2999999999993</v>
      </c>
      <c r="G924">
        <v>67.5</v>
      </c>
      <c r="H924">
        <v>26.3</v>
      </c>
      <c r="I924">
        <v>54.6</v>
      </c>
      <c r="J924">
        <v>-89.2</v>
      </c>
      <c r="K924">
        <v>-38.799999999999997</v>
      </c>
      <c r="L924" s="2"/>
    </row>
    <row r="925" spans="1:12" x14ac:dyDescent="0.25">
      <c r="A925" s="2" t="s">
        <v>30</v>
      </c>
      <c r="B925" s="2" t="s">
        <v>78</v>
      </c>
      <c r="C925" s="2" t="s">
        <v>79</v>
      </c>
      <c r="D925" s="2" t="s">
        <v>95</v>
      </c>
      <c r="E925">
        <v>5.5713999999999997</v>
      </c>
      <c r="F925">
        <v>-8967.2999999999993</v>
      </c>
      <c r="G925">
        <v>67.2</v>
      </c>
      <c r="H925">
        <v>26.3</v>
      </c>
      <c r="I925">
        <v>54.6</v>
      </c>
      <c r="J925">
        <v>-94.3</v>
      </c>
      <c r="K925">
        <v>-80.8</v>
      </c>
      <c r="L925" s="2"/>
    </row>
    <row r="926" spans="1:12" x14ac:dyDescent="0.25">
      <c r="A926" s="2" t="s">
        <v>30</v>
      </c>
      <c r="B926" s="2" t="s">
        <v>78</v>
      </c>
      <c r="C926" s="2" t="s">
        <v>79</v>
      </c>
      <c r="D926" s="2" t="s">
        <v>95</v>
      </c>
      <c r="E926">
        <v>6.5</v>
      </c>
      <c r="F926">
        <v>-8967.2999999999993</v>
      </c>
      <c r="G926">
        <v>66.8</v>
      </c>
      <c r="H926">
        <v>26.3</v>
      </c>
      <c r="I926">
        <v>54.6</v>
      </c>
      <c r="J926">
        <v>-99.1</v>
      </c>
      <c r="K926">
        <v>-122.3</v>
      </c>
      <c r="L926" s="2"/>
    </row>
    <row r="927" spans="1:12" x14ac:dyDescent="0.25">
      <c r="A927" s="2" t="s">
        <v>30</v>
      </c>
      <c r="B927" s="2" t="s">
        <v>78</v>
      </c>
      <c r="C927" s="2" t="s">
        <v>79</v>
      </c>
      <c r="D927" s="2" t="s">
        <v>95</v>
      </c>
      <c r="E927">
        <v>7.4286000000000003</v>
      </c>
      <c r="F927">
        <v>-8967.2999999999993</v>
      </c>
      <c r="G927">
        <v>66.5</v>
      </c>
      <c r="H927">
        <v>26.3</v>
      </c>
      <c r="I927">
        <v>54.6</v>
      </c>
      <c r="J927">
        <v>-103.5</v>
      </c>
      <c r="K927">
        <v>-163</v>
      </c>
      <c r="L927" s="2"/>
    </row>
    <row r="928" spans="1:12" x14ac:dyDescent="0.25">
      <c r="A928" s="2" t="s">
        <v>30</v>
      </c>
      <c r="B928" s="2" t="s">
        <v>78</v>
      </c>
      <c r="C928" s="2" t="s">
        <v>79</v>
      </c>
      <c r="D928" s="2" t="s">
        <v>95</v>
      </c>
      <c r="E928">
        <v>8.3571000000000009</v>
      </c>
      <c r="F928">
        <v>-8967.2999999999993</v>
      </c>
      <c r="G928">
        <v>66.099999999999994</v>
      </c>
      <c r="H928">
        <v>26.3</v>
      </c>
      <c r="I928">
        <v>54.6</v>
      </c>
      <c r="J928">
        <v>-107.6</v>
      </c>
      <c r="K928">
        <v>-202.8</v>
      </c>
      <c r="L928" s="2"/>
    </row>
    <row r="929" spans="1:12" x14ac:dyDescent="0.25">
      <c r="A929" s="2" t="s">
        <v>30</v>
      </c>
      <c r="B929" s="2" t="s">
        <v>78</v>
      </c>
      <c r="C929" s="2" t="s">
        <v>79</v>
      </c>
      <c r="D929" s="2" t="s">
        <v>95</v>
      </c>
      <c r="E929">
        <v>9.2857000000000003</v>
      </c>
      <c r="F929">
        <v>-8967.2999999999993</v>
      </c>
      <c r="G929">
        <v>65.8</v>
      </c>
      <c r="H929">
        <v>26.3</v>
      </c>
      <c r="I929">
        <v>54.6</v>
      </c>
      <c r="J929">
        <v>-111.3</v>
      </c>
      <c r="K929">
        <v>-241.5</v>
      </c>
      <c r="L929" s="2"/>
    </row>
    <row r="930" spans="1:12" x14ac:dyDescent="0.25">
      <c r="A930" s="2" t="s">
        <v>30</v>
      </c>
      <c r="B930" s="2" t="s">
        <v>78</v>
      </c>
      <c r="C930" s="2" t="s">
        <v>79</v>
      </c>
      <c r="D930" s="2" t="s">
        <v>95</v>
      </c>
      <c r="E930">
        <v>10.2143</v>
      </c>
      <c r="F930">
        <v>-8967.2999999999993</v>
      </c>
      <c r="G930">
        <v>65.400000000000006</v>
      </c>
      <c r="H930">
        <v>26.3</v>
      </c>
      <c r="I930">
        <v>54.6</v>
      </c>
      <c r="J930">
        <v>-114.6</v>
      </c>
      <c r="K930">
        <v>-279.10000000000002</v>
      </c>
      <c r="L930" s="2"/>
    </row>
    <row r="931" spans="1:12" x14ac:dyDescent="0.25">
      <c r="A931" s="2" t="s">
        <v>30</v>
      </c>
      <c r="B931" s="2" t="s">
        <v>78</v>
      </c>
      <c r="C931" s="2" t="s">
        <v>79</v>
      </c>
      <c r="D931" s="2" t="s">
        <v>95</v>
      </c>
      <c r="E931">
        <v>11.142899999999999</v>
      </c>
      <c r="F931">
        <v>-8967.2999999999993</v>
      </c>
      <c r="G931">
        <v>65</v>
      </c>
      <c r="H931">
        <v>26.3</v>
      </c>
      <c r="I931">
        <v>54.6</v>
      </c>
      <c r="J931">
        <v>-117.5</v>
      </c>
      <c r="K931">
        <v>-315.5</v>
      </c>
      <c r="L931" s="2"/>
    </row>
    <row r="932" spans="1:12" x14ac:dyDescent="0.25">
      <c r="A932" s="2" t="s">
        <v>30</v>
      </c>
      <c r="B932" s="2" t="s">
        <v>78</v>
      </c>
      <c r="C932" s="2" t="s">
        <v>79</v>
      </c>
      <c r="D932" s="2" t="s">
        <v>95</v>
      </c>
      <c r="E932">
        <v>12.071400000000001</v>
      </c>
      <c r="F932">
        <v>-8967.2999999999993</v>
      </c>
      <c r="G932">
        <v>64.7</v>
      </c>
      <c r="H932">
        <v>26.3</v>
      </c>
      <c r="I932">
        <v>54.6</v>
      </c>
      <c r="J932">
        <v>-119.9</v>
      </c>
      <c r="K932">
        <v>-350.3</v>
      </c>
      <c r="L932" s="2"/>
    </row>
    <row r="933" spans="1:12" x14ac:dyDescent="0.25">
      <c r="A933" s="2" t="s">
        <v>30</v>
      </c>
      <c r="B933" s="2" t="s">
        <v>78</v>
      </c>
      <c r="C933" s="2" t="s">
        <v>79</v>
      </c>
      <c r="D933" s="2" t="s">
        <v>95</v>
      </c>
      <c r="E933">
        <v>13</v>
      </c>
      <c r="F933">
        <v>-8967.2999999999993</v>
      </c>
      <c r="G933">
        <v>64.3</v>
      </c>
      <c r="H933">
        <v>26.3</v>
      </c>
      <c r="I933">
        <v>54.6</v>
      </c>
      <c r="J933">
        <v>-121.9</v>
      </c>
      <c r="K933">
        <v>-383.6</v>
      </c>
      <c r="L933" s="2"/>
    </row>
    <row r="934" spans="1:12" x14ac:dyDescent="0.25">
      <c r="A934" s="2" t="s">
        <v>30</v>
      </c>
      <c r="B934" s="2" t="s">
        <v>78</v>
      </c>
      <c r="C934" s="2" t="s">
        <v>79</v>
      </c>
      <c r="D934" s="2" t="s">
        <v>95</v>
      </c>
      <c r="E934">
        <v>0</v>
      </c>
      <c r="F934">
        <v>-19092.099999999999</v>
      </c>
      <c r="G934">
        <v>33.9</v>
      </c>
      <c r="H934">
        <v>2.2999999999999998</v>
      </c>
      <c r="I934">
        <v>41</v>
      </c>
      <c r="J934">
        <v>-60.1</v>
      </c>
      <c r="K934">
        <v>175.8</v>
      </c>
      <c r="L934" s="2"/>
    </row>
    <row r="935" spans="1:12" x14ac:dyDescent="0.25">
      <c r="A935" s="2" t="s">
        <v>30</v>
      </c>
      <c r="B935" s="2" t="s">
        <v>78</v>
      </c>
      <c r="C935" s="2" t="s">
        <v>79</v>
      </c>
      <c r="D935" s="2" t="s">
        <v>95</v>
      </c>
      <c r="E935">
        <v>0.92859999999999998</v>
      </c>
      <c r="F935">
        <v>-19049.2</v>
      </c>
      <c r="G935">
        <v>33.6</v>
      </c>
      <c r="H935">
        <v>2.2999999999999998</v>
      </c>
      <c r="I935">
        <v>41</v>
      </c>
      <c r="J935">
        <v>-66.400000000000006</v>
      </c>
      <c r="K935">
        <v>132.80000000000001</v>
      </c>
      <c r="L935" s="2"/>
    </row>
    <row r="936" spans="1:12" x14ac:dyDescent="0.25">
      <c r="A936" s="2" t="s">
        <v>30</v>
      </c>
      <c r="B936" s="2" t="s">
        <v>78</v>
      </c>
      <c r="C936" s="2" t="s">
        <v>79</v>
      </c>
      <c r="D936" s="2" t="s">
        <v>95</v>
      </c>
      <c r="E936">
        <v>1.8571</v>
      </c>
      <c r="F936">
        <v>-19006.3</v>
      </c>
      <c r="G936">
        <v>33.200000000000003</v>
      </c>
      <c r="H936">
        <v>2.2999999999999998</v>
      </c>
      <c r="I936">
        <v>41</v>
      </c>
      <c r="J936">
        <v>-72.400000000000006</v>
      </c>
      <c r="K936">
        <v>89.6</v>
      </c>
      <c r="L936" s="2"/>
    </row>
    <row r="937" spans="1:12" x14ac:dyDescent="0.25">
      <c r="A937" s="2" t="s">
        <v>30</v>
      </c>
      <c r="B937" s="2" t="s">
        <v>78</v>
      </c>
      <c r="C937" s="2" t="s">
        <v>79</v>
      </c>
      <c r="D937" s="2" t="s">
        <v>95</v>
      </c>
      <c r="E937">
        <v>2.7856999999999998</v>
      </c>
      <c r="F937">
        <v>-18963.400000000001</v>
      </c>
      <c r="G937">
        <v>32.9</v>
      </c>
      <c r="H937">
        <v>2.2999999999999998</v>
      </c>
      <c r="I937">
        <v>41</v>
      </c>
      <c r="J937">
        <v>-78.3</v>
      </c>
      <c r="K937">
        <v>46.6</v>
      </c>
      <c r="L937" s="2"/>
    </row>
    <row r="938" spans="1:12" x14ac:dyDescent="0.25">
      <c r="A938" s="2" t="s">
        <v>30</v>
      </c>
      <c r="B938" s="2" t="s">
        <v>78</v>
      </c>
      <c r="C938" s="2" t="s">
        <v>79</v>
      </c>
      <c r="D938" s="2" t="s">
        <v>95</v>
      </c>
      <c r="E938">
        <v>3.7143000000000002</v>
      </c>
      <c r="F938">
        <v>-18920.599999999999</v>
      </c>
      <c r="G938">
        <v>32.5</v>
      </c>
      <c r="H938">
        <v>2.2999999999999998</v>
      </c>
      <c r="I938">
        <v>41</v>
      </c>
      <c r="J938">
        <v>-91.2</v>
      </c>
      <c r="K938">
        <v>3.7</v>
      </c>
      <c r="L938" s="2"/>
    </row>
    <row r="939" spans="1:12" x14ac:dyDescent="0.25">
      <c r="A939" s="2" t="s">
        <v>30</v>
      </c>
      <c r="B939" s="2" t="s">
        <v>78</v>
      </c>
      <c r="C939" s="2" t="s">
        <v>79</v>
      </c>
      <c r="D939" s="2" t="s">
        <v>95</v>
      </c>
      <c r="E939">
        <v>4.6429</v>
      </c>
      <c r="F939">
        <v>-18877.7</v>
      </c>
      <c r="G939">
        <v>32.1</v>
      </c>
      <c r="H939">
        <v>2.2999999999999998</v>
      </c>
      <c r="I939">
        <v>41</v>
      </c>
      <c r="J939">
        <v>-111.8</v>
      </c>
      <c r="K939">
        <v>-59.6</v>
      </c>
      <c r="L939" s="2"/>
    </row>
    <row r="940" spans="1:12" x14ac:dyDescent="0.25">
      <c r="A940" s="2" t="s">
        <v>30</v>
      </c>
      <c r="B940" s="2" t="s">
        <v>78</v>
      </c>
      <c r="C940" s="2" t="s">
        <v>79</v>
      </c>
      <c r="D940" s="2" t="s">
        <v>95</v>
      </c>
      <c r="E940">
        <v>5.5713999999999997</v>
      </c>
      <c r="F940">
        <v>-18834.8</v>
      </c>
      <c r="G940">
        <v>31.8</v>
      </c>
      <c r="H940">
        <v>2.2999999999999998</v>
      </c>
      <c r="I940">
        <v>41</v>
      </c>
      <c r="J940">
        <v>-132.1</v>
      </c>
      <c r="K940">
        <v>-132.69999999999999</v>
      </c>
      <c r="L940" s="2"/>
    </row>
    <row r="941" spans="1:12" x14ac:dyDescent="0.25">
      <c r="A941" s="2" t="s">
        <v>30</v>
      </c>
      <c r="B941" s="2" t="s">
        <v>78</v>
      </c>
      <c r="C941" s="2" t="s">
        <v>79</v>
      </c>
      <c r="D941" s="2" t="s">
        <v>95</v>
      </c>
      <c r="E941">
        <v>6.5</v>
      </c>
      <c r="F941">
        <v>-18791.900000000001</v>
      </c>
      <c r="G941">
        <v>31.4</v>
      </c>
      <c r="H941">
        <v>2.2999999999999998</v>
      </c>
      <c r="I941">
        <v>41</v>
      </c>
      <c r="J941">
        <v>-158</v>
      </c>
      <c r="K941">
        <v>-206.1</v>
      </c>
      <c r="L941" s="2"/>
    </row>
    <row r="942" spans="1:12" x14ac:dyDescent="0.25">
      <c r="A942" s="2" t="s">
        <v>30</v>
      </c>
      <c r="B942" s="2" t="s">
        <v>78</v>
      </c>
      <c r="C942" s="2" t="s">
        <v>79</v>
      </c>
      <c r="D942" s="2" t="s">
        <v>95</v>
      </c>
      <c r="E942">
        <v>7.4286000000000003</v>
      </c>
      <c r="F942">
        <v>-18749</v>
      </c>
      <c r="G942">
        <v>31.1</v>
      </c>
      <c r="H942">
        <v>2.2999999999999998</v>
      </c>
      <c r="I942">
        <v>41</v>
      </c>
      <c r="J942">
        <v>-184.9</v>
      </c>
      <c r="K942">
        <v>-280.7</v>
      </c>
      <c r="L942" s="2"/>
    </row>
    <row r="943" spans="1:12" x14ac:dyDescent="0.25">
      <c r="A943" s="2" t="s">
        <v>30</v>
      </c>
      <c r="B943" s="2" t="s">
        <v>78</v>
      </c>
      <c r="C943" s="2" t="s">
        <v>79</v>
      </c>
      <c r="D943" s="2" t="s">
        <v>95</v>
      </c>
      <c r="E943">
        <v>8.3571000000000009</v>
      </c>
      <c r="F943">
        <v>-18706.099999999999</v>
      </c>
      <c r="G943">
        <v>30.7</v>
      </c>
      <c r="H943">
        <v>2.2999999999999998</v>
      </c>
      <c r="I943">
        <v>41</v>
      </c>
      <c r="J943">
        <v>-211.3</v>
      </c>
      <c r="K943">
        <v>-354.3</v>
      </c>
      <c r="L943" s="2"/>
    </row>
    <row r="944" spans="1:12" x14ac:dyDescent="0.25">
      <c r="A944" s="2" t="s">
        <v>30</v>
      </c>
      <c r="B944" s="2" t="s">
        <v>78</v>
      </c>
      <c r="C944" s="2" t="s">
        <v>79</v>
      </c>
      <c r="D944" s="2" t="s">
        <v>95</v>
      </c>
      <c r="E944">
        <v>9.2857000000000003</v>
      </c>
      <c r="F944">
        <v>-18663.3</v>
      </c>
      <c r="G944">
        <v>30.4</v>
      </c>
      <c r="H944">
        <v>2.2999999999999998</v>
      </c>
      <c r="I944">
        <v>41</v>
      </c>
      <c r="J944">
        <v>-237.4</v>
      </c>
      <c r="K944">
        <v>-426.5</v>
      </c>
      <c r="L944" s="2"/>
    </row>
    <row r="945" spans="1:12" x14ac:dyDescent="0.25">
      <c r="A945" s="2" t="s">
        <v>30</v>
      </c>
      <c r="B945" s="2" t="s">
        <v>78</v>
      </c>
      <c r="C945" s="2" t="s">
        <v>79</v>
      </c>
      <c r="D945" s="2" t="s">
        <v>95</v>
      </c>
      <c r="E945">
        <v>10.2143</v>
      </c>
      <c r="F945">
        <v>-18620.400000000001</v>
      </c>
      <c r="G945">
        <v>30</v>
      </c>
      <c r="H945">
        <v>2.2999999999999998</v>
      </c>
      <c r="I945">
        <v>41</v>
      </c>
      <c r="J945">
        <v>-262.89999999999998</v>
      </c>
      <c r="K945">
        <v>-497.3</v>
      </c>
      <c r="L945" s="2"/>
    </row>
    <row r="946" spans="1:12" x14ac:dyDescent="0.25">
      <c r="A946" s="2" t="s">
        <v>30</v>
      </c>
      <c r="B946" s="2" t="s">
        <v>78</v>
      </c>
      <c r="C946" s="2" t="s">
        <v>79</v>
      </c>
      <c r="D946" s="2" t="s">
        <v>95</v>
      </c>
      <c r="E946">
        <v>11.142899999999999</v>
      </c>
      <c r="F946">
        <v>-18577.5</v>
      </c>
      <c r="G946">
        <v>29.6</v>
      </c>
      <c r="H946">
        <v>2.2999999999999998</v>
      </c>
      <c r="I946">
        <v>41</v>
      </c>
      <c r="J946">
        <v>-288</v>
      </c>
      <c r="K946">
        <v>-566.4</v>
      </c>
      <c r="L946" s="2"/>
    </row>
    <row r="947" spans="1:12" x14ac:dyDescent="0.25">
      <c r="A947" s="2" t="s">
        <v>30</v>
      </c>
      <c r="B947" s="2" t="s">
        <v>78</v>
      </c>
      <c r="C947" s="2" t="s">
        <v>79</v>
      </c>
      <c r="D947" s="2" t="s">
        <v>95</v>
      </c>
      <c r="E947">
        <v>12.071400000000001</v>
      </c>
      <c r="F947">
        <v>-18534.599999999999</v>
      </c>
      <c r="G947">
        <v>29.3</v>
      </c>
      <c r="H947">
        <v>2.2999999999999998</v>
      </c>
      <c r="I947">
        <v>41</v>
      </c>
      <c r="J947">
        <v>-312.5</v>
      </c>
      <c r="K947">
        <v>-633.5</v>
      </c>
      <c r="L947" s="2"/>
    </row>
    <row r="948" spans="1:12" x14ac:dyDescent="0.25">
      <c r="A948" s="2" t="s">
        <v>30</v>
      </c>
      <c r="B948" s="2" t="s">
        <v>78</v>
      </c>
      <c r="C948" s="2" t="s">
        <v>79</v>
      </c>
      <c r="D948" s="2" t="s">
        <v>95</v>
      </c>
      <c r="E948">
        <v>13</v>
      </c>
      <c r="F948">
        <v>-18491.7</v>
      </c>
      <c r="G948">
        <v>28.9</v>
      </c>
      <c r="H948">
        <v>2.2999999999999998</v>
      </c>
      <c r="I948">
        <v>41</v>
      </c>
      <c r="J948">
        <v>-336.4</v>
      </c>
      <c r="K948">
        <v>-698.7</v>
      </c>
      <c r="L948" s="2"/>
    </row>
    <row r="949" spans="1:12" x14ac:dyDescent="0.25">
      <c r="A949" s="2" t="s">
        <v>30</v>
      </c>
      <c r="B949" s="2" t="s">
        <v>78</v>
      </c>
      <c r="C949" s="2" t="s">
        <v>79</v>
      </c>
      <c r="D949" s="2" t="s">
        <v>96</v>
      </c>
      <c r="E949">
        <v>0</v>
      </c>
      <c r="F949">
        <v>-6480.9</v>
      </c>
      <c r="G949">
        <v>50.8</v>
      </c>
      <c r="H949">
        <v>43.1</v>
      </c>
      <c r="I949">
        <v>40.1</v>
      </c>
      <c r="J949">
        <v>140.69999999999999</v>
      </c>
      <c r="K949">
        <v>261.7</v>
      </c>
      <c r="L949" s="2"/>
    </row>
    <row r="950" spans="1:12" x14ac:dyDescent="0.25">
      <c r="A950" s="2" t="s">
        <v>30</v>
      </c>
      <c r="B950" s="2" t="s">
        <v>78</v>
      </c>
      <c r="C950" s="2" t="s">
        <v>79</v>
      </c>
      <c r="D950" s="2" t="s">
        <v>96</v>
      </c>
      <c r="E950">
        <v>0.92859999999999998</v>
      </c>
      <c r="F950">
        <v>-6480.9</v>
      </c>
      <c r="G950">
        <v>50.8</v>
      </c>
      <c r="H950">
        <v>42.8</v>
      </c>
      <c r="I950">
        <v>40.1</v>
      </c>
      <c r="J950">
        <v>92.6</v>
      </c>
      <c r="K950">
        <v>213.2</v>
      </c>
      <c r="L950" s="2"/>
    </row>
    <row r="951" spans="1:12" x14ac:dyDescent="0.25">
      <c r="A951" s="2" t="s">
        <v>30</v>
      </c>
      <c r="B951" s="2" t="s">
        <v>78</v>
      </c>
      <c r="C951" s="2" t="s">
        <v>79</v>
      </c>
      <c r="D951" s="2" t="s">
        <v>96</v>
      </c>
      <c r="E951">
        <v>1.8571</v>
      </c>
      <c r="F951">
        <v>-6480.9</v>
      </c>
      <c r="G951">
        <v>50.8</v>
      </c>
      <c r="H951">
        <v>42.4</v>
      </c>
      <c r="I951">
        <v>40.1</v>
      </c>
      <c r="J951">
        <v>44.7</v>
      </c>
      <c r="K951">
        <v>164.2</v>
      </c>
      <c r="L951" s="2"/>
    </row>
    <row r="952" spans="1:12" x14ac:dyDescent="0.25">
      <c r="A952" s="2" t="s">
        <v>30</v>
      </c>
      <c r="B952" s="2" t="s">
        <v>78</v>
      </c>
      <c r="C952" s="2" t="s">
        <v>79</v>
      </c>
      <c r="D952" s="2" t="s">
        <v>96</v>
      </c>
      <c r="E952">
        <v>2.7856999999999998</v>
      </c>
      <c r="F952">
        <v>-6480.9</v>
      </c>
      <c r="G952">
        <v>50.8</v>
      </c>
      <c r="H952">
        <v>42.1</v>
      </c>
      <c r="I952">
        <v>40.1</v>
      </c>
      <c r="J952">
        <v>-2.9</v>
      </c>
      <c r="K952">
        <v>115</v>
      </c>
      <c r="L952" s="2"/>
    </row>
    <row r="953" spans="1:12" x14ac:dyDescent="0.25">
      <c r="A953" s="2" t="s">
        <v>30</v>
      </c>
      <c r="B953" s="2" t="s">
        <v>78</v>
      </c>
      <c r="C953" s="2" t="s">
        <v>79</v>
      </c>
      <c r="D953" s="2" t="s">
        <v>96</v>
      </c>
      <c r="E953">
        <v>3.7143000000000002</v>
      </c>
      <c r="F953">
        <v>-6480.9</v>
      </c>
      <c r="G953">
        <v>50.8</v>
      </c>
      <c r="H953">
        <v>41.7</v>
      </c>
      <c r="I953">
        <v>40.1</v>
      </c>
      <c r="J953">
        <v>-50.1</v>
      </c>
      <c r="K953">
        <v>65.599999999999994</v>
      </c>
      <c r="L953" s="2"/>
    </row>
    <row r="954" spans="1:12" x14ac:dyDescent="0.25">
      <c r="A954" s="2" t="s">
        <v>30</v>
      </c>
      <c r="B954" s="2" t="s">
        <v>78</v>
      </c>
      <c r="C954" s="2" t="s">
        <v>79</v>
      </c>
      <c r="D954" s="2" t="s">
        <v>96</v>
      </c>
      <c r="E954">
        <v>4.6429</v>
      </c>
      <c r="F954">
        <v>-6480.9</v>
      </c>
      <c r="G954">
        <v>50.8</v>
      </c>
      <c r="H954">
        <v>41.4</v>
      </c>
      <c r="I954">
        <v>40.1</v>
      </c>
      <c r="J954">
        <v>-82.8</v>
      </c>
      <c r="K954">
        <v>30.7</v>
      </c>
      <c r="L954" s="2"/>
    </row>
    <row r="955" spans="1:12" x14ac:dyDescent="0.25">
      <c r="A955" s="2" t="s">
        <v>30</v>
      </c>
      <c r="B955" s="2" t="s">
        <v>78</v>
      </c>
      <c r="C955" s="2" t="s">
        <v>79</v>
      </c>
      <c r="D955" s="2" t="s">
        <v>96</v>
      </c>
      <c r="E955">
        <v>5.5713999999999997</v>
      </c>
      <c r="F955">
        <v>-6480.9</v>
      </c>
      <c r="G955">
        <v>50.8</v>
      </c>
      <c r="H955">
        <v>41</v>
      </c>
      <c r="I955">
        <v>40.1</v>
      </c>
      <c r="J955">
        <v>-106.4</v>
      </c>
      <c r="K955">
        <v>14.9</v>
      </c>
      <c r="L955" s="2"/>
    </row>
    <row r="956" spans="1:12" x14ac:dyDescent="0.25">
      <c r="A956" s="2" t="s">
        <v>30</v>
      </c>
      <c r="B956" s="2" t="s">
        <v>78</v>
      </c>
      <c r="C956" s="2" t="s">
        <v>79</v>
      </c>
      <c r="D956" s="2" t="s">
        <v>96</v>
      </c>
      <c r="E956">
        <v>6.5</v>
      </c>
      <c r="F956">
        <v>-6480.9</v>
      </c>
      <c r="G956">
        <v>50.8</v>
      </c>
      <c r="H956">
        <v>40.6</v>
      </c>
      <c r="I956">
        <v>40.1</v>
      </c>
      <c r="J956">
        <v>-129.4</v>
      </c>
      <c r="K956">
        <v>-0.9</v>
      </c>
      <c r="L956" s="2"/>
    </row>
    <row r="957" spans="1:12" x14ac:dyDescent="0.25">
      <c r="A957" s="2" t="s">
        <v>30</v>
      </c>
      <c r="B957" s="2" t="s">
        <v>78</v>
      </c>
      <c r="C957" s="2" t="s">
        <v>79</v>
      </c>
      <c r="D957" s="2" t="s">
        <v>96</v>
      </c>
      <c r="E957">
        <v>7.4286000000000003</v>
      </c>
      <c r="F957">
        <v>-6480.9</v>
      </c>
      <c r="G957">
        <v>50.8</v>
      </c>
      <c r="H957">
        <v>40.299999999999997</v>
      </c>
      <c r="I957">
        <v>40.1</v>
      </c>
      <c r="J957">
        <v>-151.6</v>
      </c>
      <c r="K957">
        <v>-16.7</v>
      </c>
      <c r="L957" s="2"/>
    </row>
    <row r="958" spans="1:12" x14ac:dyDescent="0.25">
      <c r="A958" s="2" t="s">
        <v>30</v>
      </c>
      <c r="B958" s="2" t="s">
        <v>78</v>
      </c>
      <c r="C958" s="2" t="s">
        <v>79</v>
      </c>
      <c r="D958" s="2" t="s">
        <v>96</v>
      </c>
      <c r="E958">
        <v>8.3571000000000009</v>
      </c>
      <c r="F958">
        <v>-6480.9</v>
      </c>
      <c r="G958">
        <v>50.8</v>
      </c>
      <c r="H958">
        <v>39.9</v>
      </c>
      <c r="I958">
        <v>40.1</v>
      </c>
      <c r="J958">
        <v>-173</v>
      </c>
      <c r="K958">
        <v>-32.4</v>
      </c>
      <c r="L958" s="2"/>
    </row>
    <row r="959" spans="1:12" x14ac:dyDescent="0.25">
      <c r="A959" s="2" t="s">
        <v>30</v>
      </c>
      <c r="B959" s="2" t="s">
        <v>78</v>
      </c>
      <c r="C959" s="2" t="s">
        <v>79</v>
      </c>
      <c r="D959" s="2" t="s">
        <v>96</v>
      </c>
      <c r="E959">
        <v>9.2857000000000003</v>
      </c>
      <c r="F959">
        <v>-6480.9</v>
      </c>
      <c r="G959">
        <v>50.8</v>
      </c>
      <c r="H959">
        <v>39.6</v>
      </c>
      <c r="I959">
        <v>40.1</v>
      </c>
      <c r="J959">
        <v>-193.4</v>
      </c>
      <c r="K959">
        <v>-48.1</v>
      </c>
      <c r="L959" s="2"/>
    </row>
    <row r="960" spans="1:12" x14ac:dyDescent="0.25">
      <c r="A960" s="2" t="s">
        <v>30</v>
      </c>
      <c r="B960" s="2" t="s">
        <v>78</v>
      </c>
      <c r="C960" s="2" t="s">
        <v>79</v>
      </c>
      <c r="D960" s="2" t="s">
        <v>96</v>
      </c>
      <c r="E960">
        <v>10.2143</v>
      </c>
      <c r="F960">
        <v>-6480.9</v>
      </c>
      <c r="G960">
        <v>50.8</v>
      </c>
      <c r="H960">
        <v>39.200000000000003</v>
      </c>
      <c r="I960">
        <v>40.1</v>
      </c>
      <c r="J960">
        <v>-212.8</v>
      </c>
      <c r="K960">
        <v>-63.6</v>
      </c>
      <c r="L960" s="2"/>
    </row>
    <row r="961" spans="1:12" x14ac:dyDescent="0.25">
      <c r="A961" s="2" t="s">
        <v>30</v>
      </c>
      <c r="B961" s="2" t="s">
        <v>78</v>
      </c>
      <c r="C961" s="2" t="s">
        <v>79</v>
      </c>
      <c r="D961" s="2" t="s">
        <v>96</v>
      </c>
      <c r="E961">
        <v>11.142899999999999</v>
      </c>
      <c r="F961">
        <v>-6480.9</v>
      </c>
      <c r="G961">
        <v>50.8</v>
      </c>
      <c r="H961">
        <v>38.9</v>
      </c>
      <c r="I961">
        <v>40.1</v>
      </c>
      <c r="J961">
        <v>-231.1</v>
      </c>
      <c r="K961">
        <v>-78.8</v>
      </c>
      <c r="L961" s="2"/>
    </row>
    <row r="962" spans="1:12" x14ac:dyDescent="0.25">
      <c r="A962" s="2" t="s">
        <v>30</v>
      </c>
      <c r="B962" s="2" t="s">
        <v>78</v>
      </c>
      <c r="C962" s="2" t="s">
        <v>79</v>
      </c>
      <c r="D962" s="2" t="s">
        <v>96</v>
      </c>
      <c r="E962">
        <v>12.071400000000001</v>
      </c>
      <c r="F962">
        <v>-6480.9</v>
      </c>
      <c r="G962">
        <v>50.8</v>
      </c>
      <c r="H962">
        <v>38.5</v>
      </c>
      <c r="I962">
        <v>40.1</v>
      </c>
      <c r="J962">
        <v>-248.3</v>
      </c>
      <c r="K962">
        <v>-93.9</v>
      </c>
      <c r="L962" s="2"/>
    </row>
    <row r="963" spans="1:12" x14ac:dyDescent="0.25">
      <c r="A963" s="2" t="s">
        <v>30</v>
      </c>
      <c r="B963" s="2" t="s">
        <v>78</v>
      </c>
      <c r="C963" s="2" t="s">
        <v>79</v>
      </c>
      <c r="D963" s="2" t="s">
        <v>96</v>
      </c>
      <c r="E963">
        <v>13</v>
      </c>
      <c r="F963">
        <v>-6480.9</v>
      </c>
      <c r="G963">
        <v>50.8</v>
      </c>
      <c r="H963">
        <v>38.1</v>
      </c>
      <c r="I963">
        <v>40.1</v>
      </c>
      <c r="J963">
        <v>-264.10000000000002</v>
      </c>
      <c r="K963">
        <v>-108.6</v>
      </c>
      <c r="L963" s="2"/>
    </row>
    <row r="964" spans="1:12" x14ac:dyDescent="0.25">
      <c r="A964" s="2" t="s">
        <v>30</v>
      </c>
      <c r="B964" s="2" t="s">
        <v>78</v>
      </c>
      <c r="C964" s="2" t="s">
        <v>79</v>
      </c>
      <c r="D964" s="2" t="s">
        <v>96</v>
      </c>
      <c r="E964">
        <v>0</v>
      </c>
      <c r="F964">
        <v>-16605.7</v>
      </c>
      <c r="G964">
        <v>15.4</v>
      </c>
      <c r="H964">
        <v>19.2</v>
      </c>
      <c r="I964">
        <v>26.4</v>
      </c>
      <c r="J964">
        <v>42.4</v>
      </c>
      <c r="K964">
        <v>107.1</v>
      </c>
      <c r="L964" s="2"/>
    </row>
    <row r="965" spans="1:12" x14ac:dyDescent="0.25">
      <c r="A965" s="2" t="s">
        <v>30</v>
      </c>
      <c r="B965" s="2" t="s">
        <v>78</v>
      </c>
      <c r="C965" s="2" t="s">
        <v>79</v>
      </c>
      <c r="D965" s="2" t="s">
        <v>96</v>
      </c>
      <c r="E965">
        <v>0.92859999999999998</v>
      </c>
      <c r="F965">
        <v>-16562.8</v>
      </c>
      <c r="G965">
        <v>15.4</v>
      </c>
      <c r="H965">
        <v>18.8</v>
      </c>
      <c r="I965">
        <v>26.4</v>
      </c>
      <c r="J965">
        <v>16.7</v>
      </c>
      <c r="K965">
        <v>92.3</v>
      </c>
      <c r="L965" s="2"/>
    </row>
    <row r="966" spans="1:12" x14ac:dyDescent="0.25">
      <c r="A966" s="2" t="s">
        <v>30</v>
      </c>
      <c r="B966" s="2" t="s">
        <v>78</v>
      </c>
      <c r="C966" s="2" t="s">
        <v>79</v>
      </c>
      <c r="D966" s="2" t="s">
        <v>96</v>
      </c>
      <c r="E966">
        <v>1.8571</v>
      </c>
      <c r="F966">
        <v>-16519.900000000001</v>
      </c>
      <c r="G966">
        <v>15.4</v>
      </c>
      <c r="H966">
        <v>18.399999999999999</v>
      </c>
      <c r="I966">
        <v>26.4</v>
      </c>
      <c r="J966">
        <v>-8.6999999999999993</v>
      </c>
      <c r="K966">
        <v>77.2</v>
      </c>
      <c r="L966" s="2"/>
    </row>
    <row r="967" spans="1:12" x14ac:dyDescent="0.25">
      <c r="A967" s="2" t="s">
        <v>30</v>
      </c>
      <c r="B967" s="2" t="s">
        <v>78</v>
      </c>
      <c r="C967" s="2" t="s">
        <v>79</v>
      </c>
      <c r="D967" s="2" t="s">
        <v>96</v>
      </c>
      <c r="E967">
        <v>2.7856999999999998</v>
      </c>
      <c r="F967">
        <v>-16477</v>
      </c>
      <c r="G967">
        <v>15.4</v>
      </c>
      <c r="H967">
        <v>18.100000000000001</v>
      </c>
      <c r="I967">
        <v>26.4</v>
      </c>
      <c r="J967">
        <v>-33.9</v>
      </c>
      <c r="K967">
        <v>61.9</v>
      </c>
      <c r="L967" s="2"/>
    </row>
    <row r="968" spans="1:12" x14ac:dyDescent="0.25">
      <c r="A968" s="2" t="s">
        <v>30</v>
      </c>
      <c r="B968" s="2" t="s">
        <v>78</v>
      </c>
      <c r="C968" s="2" t="s">
        <v>79</v>
      </c>
      <c r="D968" s="2" t="s">
        <v>96</v>
      </c>
      <c r="E968">
        <v>3.7143000000000002</v>
      </c>
      <c r="F968">
        <v>-16434.099999999999</v>
      </c>
      <c r="G968">
        <v>15.4</v>
      </c>
      <c r="H968">
        <v>17.7</v>
      </c>
      <c r="I968">
        <v>26.4</v>
      </c>
      <c r="J968">
        <v>-65.900000000000006</v>
      </c>
      <c r="K968">
        <v>46.3</v>
      </c>
      <c r="L968" s="2"/>
    </row>
    <row r="969" spans="1:12" x14ac:dyDescent="0.25">
      <c r="A969" s="2" t="s">
        <v>30</v>
      </c>
      <c r="B969" s="2" t="s">
        <v>78</v>
      </c>
      <c r="C969" s="2" t="s">
        <v>79</v>
      </c>
      <c r="D969" s="2" t="s">
        <v>96</v>
      </c>
      <c r="E969">
        <v>4.6429</v>
      </c>
      <c r="F969">
        <v>-16391.3</v>
      </c>
      <c r="G969">
        <v>15.4</v>
      </c>
      <c r="H969">
        <v>17.399999999999999</v>
      </c>
      <c r="I969">
        <v>26.4</v>
      </c>
      <c r="J969">
        <v>-105.4</v>
      </c>
      <c r="K969">
        <v>9.9</v>
      </c>
      <c r="L969" s="2"/>
    </row>
    <row r="970" spans="1:12" x14ac:dyDescent="0.25">
      <c r="A970" s="2" t="s">
        <v>30</v>
      </c>
      <c r="B970" s="2" t="s">
        <v>78</v>
      </c>
      <c r="C970" s="2" t="s">
        <v>79</v>
      </c>
      <c r="D970" s="2" t="s">
        <v>96</v>
      </c>
      <c r="E970">
        <v>5.5713999999999997</v>
      </c>
      <c r="F970">
        <v>-16348.4</v>
      </c>
      <c r="G970">
        <v>15.4</v>
      </c>
      <c r="H970">
        <v>17</v>
      </c>
      <c r="I970">
        <v>26.4</v>
      </c>
      <c r="J970">
        <v>-144.19999999999999</v>
      </c>
      <c r="K970">
        <v>-37</v>
      </c>
      <c r="L970" s="2"/>
    </row>
    <row r="971" spans="1:12" x14ac:dyDescent="0.25">
      <c r="A971" s="2" t="s">
        <v>30</v>
      </c>
      <c r="B971" s="2" t="s">
        <v>78</v>
      </c>
      <c r="C971" s="2" t="s">
        <v>79</v>
      </c>
      <c r="D971" s="2" t="s">
        <v>96</v>
      </c>
      <c r="E971">
        <v>6.5</v>
      </c>
      <c r="F971">
        <v>-16305.5</v>
      </c>
      <c r="G971">
        <v>15.4</v>
      </c>
      <c r="H971">
        <v>16.7</v>
      </c>
      <c r="I971">
        <v>26.4</v>
      </c>
      <c r="J971">
        <v>-188.3</v>
      </c>
      <c r="K971">
        <v>-84.7</v>
      </c>
      <c r="L971" s="2"/>
    </row>
    <row r="972" spans="1:12" x14ac:dyDescent="0.25">
      <c r="A972" s="2" t="s">
        <v>30</v>
      </c>
      <c r="B972" s="2" t="s">
        <v>78</v>
      </c>
      <c r="C972" s="2" t="s">
        <v>79</v>
      </c>
      <c r="D972" s="2" t="s">
        <v>96</v>
      </c>
      <c r="E972">
        <v>7.4286000000000003</v>
      </c>
      <c r="F972">
        <v>-16262.6</v>
      </c>
      <c r="G972">
        <v>15.4</v>
      </c>
      <c r="H972">
        <v>16.3</v>
      </c>
      <c r="I972">
        <v>26.4</v>
      </c>
      <c r="J972">
        <v>-233</v>
      </c>
      <c r="K972">
        <v>-134.5</v>
      </c>
      <c r="L972" s="2"/>
    </row>
    <row r="973" spans="1:12" x14ac:dyDescent="0.25">
      <c r="A973" s="2" t="s">
        <v>30</v>
      </c>
      <c r="B973" s="2" t="s">
        <v>78</v>
      </c>
      <c r="C973" s="2" t="s">
        <v>79</v>
      </c>
      <c r="D973" s="2" t="s">
        <v>96</v>
      </c>
      <c r="E973">
        <v>8.3571000000000009</v>
      </c>
      <c r="F973">
        <v>-16219.7</v>
      </c>
      <c r="G973">
        <v>15.4</v>
      </c>
      <c r="H973">
        <v>15.9</v>
      </c>
      <c r="I973">
        <v>26.4</v>
      </c>
      <c r="J973">
        <v>-276.7</v>
      </c>
      <c r="K973">
        <v>-183.9</v>
      </c>
      <c r="L973" s="2"/>
    </row>
    <row r="974" spans="1:12" x14ac:dyDescent="0.25">
      <c r="A974" s="2" t="s">
        <v>30</v>
      </c>
      <c r="B974" s="2" t="s">
        <v>78</v>
      </c>
      <c r="C974" s="2" t="s">
        <v>79</v>
      </c>
      <c r="D974" s="2" t="s">
        <v>96</v>
      </c>
      <c r="E974">
        <v>9.2857000000000003</v>
      </c>
      <c r="F974">
        <v>-16176.8</v>
      </c>
      <c r="G974">
        <v>15.4</v>
      </c>
      <c r="H974">
        <v>15.6</v>
      </c>
      <c r="I974">
        <v>26.4</v>
      </c>
      <c r="J974">
        <v>-319.5</v>
      </c>
      <c r="K974">
        <v>-233.1</v>
      </c>
      <c r="L974" s="2"/>
    </row>
    <row r="975" spans="1:12" x14ac:dyDescent="0.25">
      <c r="A975" s="2" t="s">
        <v>30</v>
      </c>
      <c r="B975" s="2" t="s">
        <v>78</v>
      </c>
      <c r="C975" s="2" t="s">
        <v>79</v>
      </c>
      <c r="D975" s="2" t="s">
        <v>96</v>
      </c>
      <c r="E975">
        <v>10.2143</v>
      </c>
      <c r="F975">
        <v>-16134</v>
      </c>
      <c r="G975">
        <v>15.4</v>
      </c>
      <c r="H975">
        <v>15.2</v>
      </c>
      <c r="I975">
        <v>26.4</v>
      </c>
      <c r="J975">
        <v>-361.2</v>
      </c>
      <c r="K975">
        <v>-281.7</v>
      </c>
      <c r="L975" s="2"/>
    </row>
    <row r="976" spans="1:12" x14ac:dyDescent="0.25">
      <c r="A976" s="2" t="s">
        <v>30</v>
      </c>
      <c r="B976" s="2" t="s">
        <v>78</v>
      </c>
      <c r="C976" s="2" t="s">
        <v>79</v>
      </c>
      <c r="D976" s="2" t="s">
        <v>96</v>
      </c>
      <c r="E976">
        <v>11.142899999999999</v>
      </c>
      <c r="F976">
        <v>-16091.1</v>
      </c>
      <c r="G976">
        <v>15.4</v>
      </c>
      <c r="H976">
        <v>14.9</v>
      </c>
      <c r="I976">
        <v>26.4</v>
      </c>
      <c r="J976">
        <v>-401.6</v>
      </c>
      <c r="K976">
        <v>-329.7</v>
      </c>
      <c r="L976" s="2"/>
    </row>
    <row r="977" spans="1:12" x14ac:dyDescent="0.25">
      <c r="A977" s="2" t="s">
        <v>30</v>
      </c>
      <c r="B977" s="2" t="s">
        <v>78</v>
      </c>
      <c r="C977" s="2" t="s">
        <v>79</v>
      </c>
      <c r="D977" s="2" t="s">
        <v>96</v>
      </c>
      <c r="E977">
        <v>12.071400000000001</v>
      </c>
      <c r="F977">
        <v>-16048.2</v>
      </c>
      <c r="G977">
        <v>15.4</v>
      </c>
      <c r="H977">
        <v>14.5</v>
      </c>
      <c r="I977">
        <v>26.4</v>
      </c>
      <c r="J977">
        <v>-440.8</v>
      </c>
      <c r="K977">
        <v>-377.1</v>
      </c>
      <c r="L977" s="2"/>
    </row>
    <row r="978" spans="1:12" x14ac:dyDescent="0.25">
      <c r="A978" s="2" t="s">
        <v>30</v>
      </c>
      <c r="B978" s="2" t="s">
        <v>78</v>
      </c>
      <c r="C978" s="2" t="s">
        <v>79</v>
      </c>
      <c r="D978" s="2" t="s">
        <v>96</v>
      </c>
      <c r="E978">
        <v>13</v>
      </c>
      <c r="F978">
        <v>-16005.3</v>
      </c>
      <c r="G978">
        <v>15.4</v>
      </c>
      <c r="H978">
        <v>14.1</v>
      </c>
      <c r="I978">
        <v>26.4</v>
      </c>
      <c r="J978">
        <v>-478.6</v>
      </c>
      <c r="K978">
        <v>-423.6</v>
      </c>
      <c r="L978" s="2"/>
    </row>
    <row r="979" spans="1:12" x14ac:dyDescent="0.25">
      <c r="A979" s="2" t="s">
        <v>30</v>
      </c>
      <c r="B979" s="2" t="s">
        <v>78</v>
      </c>
      <c r="C979" s="2" t="s">
        <v>79</v>
      </c>
      <c r="D979" s="2" t="s">
        <v>97</v>
      </c>
      <c r="E979">
        <v>0</v>
      </c>
      <c r="F979">
        <v>-5754.7</v>
      </c>
      <c r="G979">
        <v>53.7</v>
      </c>
      <c r="H979">
        <v>26.6</v>
      </c>
      <c r="I979">
        <v>43</v>
      </c>
      <c r="J979">
        <v>75.3</v>
      </c>
      <c r="K979">
        <v>238.3</v>
      </c>
      <c r="L979" s="2"/>
    </row>
    <row r="980" spans="1:12" x14ac:dyDescent="0.25">
      <c r="A980" s="2" t="s">
        <v>30</v>
      </c>
      <c r="B980" s="2" t="s">
        <v>78</v>
      </c>
      <c r="C980" s="2" t="s">
        <v>79</v>
      </c>
      <c r="D980" s="2" t="s">
        <v>97</v>
      </c>
      <c r="E980">
        <v>0.92859999999999998</v>
      </c>
      <c r="F980">
        <v>-5754.7</v>
      </c>
      <c r="G980">
        <v>53.3</v>
      </c>
      <c r="H980">
        <v>26.6</v>
      </c>
      <c r="I980">
        <v>43</v>
      </c>
      <c r="J980">
        <v>46.5</v>
      </c>
      <c r="K980">
        <v>175.8</v>
      </c>
      <c r="L980" s="2"/>
    </row>
    <row r="981" spans="1:12" x14ac:dyDescent="0.25">
      <c r="A981" s="2" t="s">
        <v>30</v>
      </c>
      <c r="B981" s="2" t="s">
        <v>78</v>
      </c>
      <c r="C981" s="2" t="s">
        <v>79</v>
      </c>
      <c r="D981" s="2" t="s">
        <v>97</v>
      </c>
      <c r="E981">
        <v>1.8571</v>
      </c>
      <c r="F981">
        <v>-5754.7</v>
      </c>
      <c r="G981">
        <v>53</v>
      </c>
      <c r="H981">
        <v>26.6</v>
      </c>
      <c r="I981">
        <v>43</v>
      </c>
      <c r="J981">
        <v>17.8</v>
      </c>
      <c r="K981">
        <v>113.3</v>
      </c>
      <c r="L981" s="2"/>
    </row>
    <row r="982" spans="1:12" x14ac:dyDescent="0.25">
      <c r="A982" s="2" t="s">
        <v>30</v>
      </c>
      <c r="B982" s="2" t="s">
        <v>78</v>
      </c>
      <c r="C982" s="2" t="s">
        <v>79</v>
      </c>
      <c r="D982" s="2" t="s">
        <v>97</v>
      </c>
      <c r="E982">
        <v>2.7856999999999998</v>
      </c>
      <c r="F982">
        <v>-5754.7</v>
      </c>
      <c r="G982">
        <v>52.6</v>
      </c>
      <c r="H982">
        <v>26.6</v>
      </c>
      <c r="I982">
        <v>43</v>
      </c>
      <c r="J982">
        <v>-10.9</v>
      </c>
      <c r="K982">
        <v>50.9</v>
      </c>
      <c r="L982" s="2"/>
    </row>
    <row r="983" spans="1:12" x14ac:dyDescent="0.25">
      <c r="A983" s="2" t="s">
        <v>30</v>
      </c>
      <c r="B983" s="2" t="s">
        <v>78</v>
      </c>
      <c r="C983" s="2" t="s">
        <v>79</v>
      </c>
      <c r="D983" s="2" t="s">
        <v>97</v>
      </c>
      <c r="E983">
        <v>3.7143000000000002</v>
      </c>
      <c r="F983">
        <v>-5754.7</v>
      </c>
      <c r="G983">
        <v>52.2</v>
      </c>
      <c r="H983">
        <v>26.6</v>
      </c>
      <c r="I983">
        <v>43</v>
      </c>
      <c r="J983">
        <v>-39.6</v>
      </c>
      <c r="K983">
        <v>-11</v>
      </c>
      <c r="L983" s="2"/>
    </row>
    <row r="984" spans="1:12" x14ac:dyDescent="0.25">
      <c r="A984" s="2" t="s">
        <v>30</v>
      </c>
      <c r="B984" s="2" t="s">
        <v>78</v>
      </c>
      <c r="C984" s="2" t="s">
        <v>79</v>
      </c>
      <c r="D984" s="2" t="s">
        <v>97</v>
      </c>
      <c r="E984">
        <v>4.6429</v>
      </c>
      <c r="F984">
        <v>-5754.7</v>
      </c>
      <c r="G984">
        <v>51.9</v>
      </c>
      <c r="H984">
        <v>26.6</v>
      </c>
      <c r="I984">
        <v>43</v>
      </c>
      <c r="J984">
        <v>-57.6</v>
      </c>
      <c r="K984">
        <v>-61.7</v>
      </c>
      <c r="L984" s="2"/>
    </row>
    <row r="985" spans="1:12" x14ac:dyDescent="0.25">
      <c r="A985" s="2" t="s">
        <v>30</v>
      </c>
      <c r="B985" s="2" t="s">
        <v>78</v>
      </c>
      <c r="C985" s="2" t="s">
        <v>79</v>
      </c>
      <c r="D985" s="2" t="s">
        <v>97</v>
      </c>
      <c r="E985">
        <v>5.5713999999999997</v>
      </c>
      <c r="F985">
        <v>-5754.7</v>
      </c>
      <c r="G985">
        <v>51.5</v>
      </c>
      <c r="H985">
        <v>26.6</v>
      </c>
      <c r="I985">
        <v>43</v>
      </c>
      <c r="J985">
        <v>-69</v>
      </c>
      <c r="K985">
        <v>-97.3</v>
      </c>
      <c r="L985" s="2"/>
    </row>
    <row r="986" spans="1:12" x14ac:dyDescent="0.25">
      <c r="A986" s="2" t="s">
        <v>30</v>
      </c>
      <c r="B986" s="2" t="s">
        <v>78</v>
      </c>
      <c r="C986" s="2" t="s">
        <v>79</v>
      </c>
      <c r="D986" s="2" t="s">
        <v>97</v>
      </c>
      <c r="E986">
        <v>6.5</v>
      </c>
      <c r="F986">
        <v>-5754.7</v>
      </c>
      <c r="G986">
        <v>51.2</v>
      </c>
      <c r="H986">
        <v>26.6</v>
      </c>
      <c r="I986">
        <v>43</v>
      </c>
      <c r="J986">
        <v>-80.3</v>
      </c>
      <c r="K986">
        <v>-132.19999999999999</v>
      </c>
      <c r="L986" s="2"/>
    </row>
    <row r="987" spans="1:12" x14ac:dyDescent="0.25">
      <c r="A987" s="2" t="s">
        <v>30</v>
      </c>
      <c r="B987" s="2" t="s">
        <v>78</v>
      </c>
      <c r="C987" s="2" t="s">
        <v>79</v>
      </c>
      <c r="D987" s="2" t="s">
        <v>97</v>
      </c>
      <c r="E987">
        <v>7.4286000000000003</v>
      </c>
      <c r="F987">
        <v>-5754.7</v>
      </c>
      <c r="G987">
        <v>50.8</v>
      </c>
      <c r="H987">
        <v>26.6</v>
      </c>
      <c r="I987">
        <v>43</v>
      </c>
      <c r="J987">
        <v>-91.3</v>
      </c>
      <c r="K987">
        <v>-166.4</v>
      </c>
      <c r="L987" s="2"/>
    </row>
    <row r="988" spans="1:12" x14ac:dyDescent="0.25">
      <c r="A988" s="2" t="s">
        <v>30</v>
      </c>
      <c r="B988" s="2" t="s">
        <v>78</v>
      </c>
      <c r="C988" s="2" t="s">
        <v>79</v>
      </c>
      <c r="D988" s="2" t="s">
        <v>97</v>
      </c>
      <c r="E988">
        <v>8.3571000000000009</v>
      </c>
      <c r="F988">
        <v>-5754.7</v>
      </c>
      <c r="G988">
        <v>50.5</v>
      </c>
      <c r="H988">
        <v>26.6</v>
      </c>
      <c r="I988">
        <v>43</v>
      </c>
      <c r="J988">
        <v>-101.9</v>
      </c>
      <c r="K988">
        <v>-199.7</v>
      </c>
      <c r="L988" s="2"/>
    </row>
    <row r="989" spans="1:12" x14ac:dyDescent="0.25">
      <c r="A989" s="2" t="s">
        <v>30</v>
      </c>
      <c r="B989" s="2" t="s">
        <v>78</v>
      </c>
      <c r="C989" s="2" t="s">
        <v>79</v>
      </c>
      <c r="D989" s="2" t="s">
        <v>97</v>
      </c>
      <c r="E989">
        <v>9.2857000000000003</v>
      </c>
      <c r="F989">
        <v>-5754.7</v>
      </c>
      <c r="G989">
        <v>50.1</v>
      </c>
      <c r="H989">
        <v>26.6</v>
      </c>
      <c r="I989">
        <v>43</v>
      </c>
      <c r="J989">
        <v>-112.2</v>
      </c>
      <c r="K989">
        <v>-231.9</v>
      </c>
      <c r="L989" s="2"/>
    </row>
    <row r="990" spans="1:12" x14ac:dyDescent="0.25">
      <c r="A990" s="2" t="s">
        <v>30</v>
      </c>
      <c r="B990" s="2" t="s">
        <v>78</v>
      </c>
      <c r="C990" s="2" t="s">
        <v>79</v>
      </c>
      <c r="D990" s="2" t="s">
        <v>97</v>
      </c>
      <c r="E990">
        <v>10.2143</v>
      </c>
      <c r="F990">
        <v>-5754.7</v>
      </c>
      <c r="G990">
        <v>49.7</v>
      </c>
      <c r="H990">
        <v>26.6</v>
      </c>
      <c r="I990">
        <v>43</v>
      </c>
      <c r="J990">
        <v>-122.1</v>
      </c>
      <c r="K990">
        <v>-263</v>
      </c>
      <c r="L990" s="2"/>
    </row>
    <row r="991" spans="1:12" x14ac:dyDescent="0.25">
      <c r="A991" s="2" t="s">
        <v>30</v>
      </c>
      <c r="B991" s="2" t="s">
        <v>78</v>
      </c>
      <c r="C991" s="2" t="s">
        <v>79</v>
      </c>
      <c r="D991" s="2" t="s">
        <v>97</v>
      </c>
      <c r="E991">
        <v>11.142899999999999</v>
      </c>
      <c r="F991">
        <v>-5754.7</v>
      </c>
      <c r="G991">
        <v>49.4</v>
      </c>
      <c r="H991">
        <v>26.6</v>
      </c>
      <c r="I991">
        <v>43</v>
      </c>
      <c r="J991">
        <v>-131.6</v>
      </c>
      <c r="K991">
        <v>-292.89999999999998</v>
      </c>
      <c r="L991" s="2"/>
    </row>
    <row r="992" spans="1:12" x14ac:dyDescent="0.25">
      <c r="A992" s="2" t="s">
        <v>30</v>
      </c>
      <c r="B992" s="2" t="s">
        <v>78</v>
      </c>
      <c r="C992" s="2" t="s">
        <v>79</v>
      </c>
      <c r="D992" s="2" t="s">
        <v>97</v>
      </c>
      <c r="E992">
        <v>12.071400000000001</v>
      </c>
      <c r="F992">
        <v>-5754.7</v>
      </c>
      <c r="G992">
        <v>49</v>
      </c>
      <c r="H992">
        <v>26.6</v>
      </c>
      <c r="I992">
        <v>43</v>
      </c>
      <c r="J992">
        <v>-140.6</v>
      </c>
      <c r="K992">
        <v>-321.39999999999998</v>
      </c>
      <c r="L992" s="2"/>
    </row>
    <row r="993" spans="1:12" x14ac:dyDescent="0.25">
      <c r="A993" s="2" t="s">
        <v>30</v>
      </c>
      <c r="B993" s="2" t="s">
        <v>78</v>
      </c>
      <c r="C993" s="2" t="s">
        <v>79</v>
      </c>
      <c r="D993" s="2" t="s">
        <v>97</v>
      </c>
      <c r="E993">
        <v>13</v>
      </c>
      <c r="F993">
        <v>-5754.7</v>
      </c>
      <c r="G993">
        <v>48.7</v>
      </c>
      <c r="H993">
        <v>26.6</v>
      </c>
      <c r="I993">
        <v>43</v>
      </c>
      <c r="J993">
        <v>-149</v>
      </c>
      <c r="K993">
        <v>-348.4</v>
      </c>
      <c r="L993" s="2"/>
    </row>
    <row r="994" spans="1:12" x14ac:dyDescent="0.25">
      <c r="A994" s="2" t="s">
        <v>30</v>
      </c>
      <c r="B994" s="2" t="s">
        <v>78</v>
      </c>
      <c r="C994" s="2" t="s">
        <v>79</v>
      </c>
      <c r="D994" s="2" t="s">
        <v>97</v>
      </c>
      <c r="E994">
        <v>0</v>
      </c>
      <c r="F994">
        <v>-13348.3</v>
      </c>
      <c r="G994">
        <v>27.1</v>
      </c>
      <c r="H994">
        <v>8.6</v>
      </c>
      <c r="I994">
        <v>32.700000000000003</v>
      </c>
      <c r="J994">
        <v>1.5</v>
      </c>
      <c r="K994">
        <v>122.3</v>
      </c>
      <c r="L994" s="2"/>
    </row>
    <row r="995" spans="1:12" x14ac:dyDescent="0.25">
      <c r="A995" s="2" t="s">
        <v>30</v>
      </c>
      <c r="B995" s="2" t="s">
        <v>78</v>
      </c>
      <c r="C995" s="2" t="s">
        <v>79</v>
      </c>
      <c r="D995" s="2" t="s">
        <v>97</v>
      </c>
      <c r="E995">
        <v>0.92859999999999998</v>
      </c>
      <c r="F995">
        <v>-13316.2</v>
      </c>
      <c r="G995">
        <v>26.8</v>
      </c>
      <c r="H995">
        <v>8.6</v>
      </c>
      <c r="I995">
        <v>32.700000000000003</v>
      </c>
      <c r="J995">
        <v>-10.4</v>
      </c>
      <c r="K995">
        <v>85.1</v>
      </c>
      <c r="L995" s="2"/>
    </row>
    <row r="996" spans="1:12" x14ac:dyDescent="0.25">
      <c r="A996" s="2" t="s">
        <v>30</v>
      </c>
      <c r="B996" s="2" t="s">
        <v>78</v>
      </c>
      <c r="C996" s="2" t="s">
        <v>79</v>
      </c>
      <c r="D996" s="2" t="s">
        <v>97</v>
      </c>
      <c r="E996">
        <v>1.8571</v>
      </c>
      <c r="F996">
        <v>-13284</v>
      </c>
      <c r="G996">
        <v>26.4</v>
      </c>
      <c r="H996">
        <v>8.6</v>
      </c>
      <c r="I996">
        <v>32.700000000000003</v>
      </c>
      <c r="J996">
        <v>-22.3</v>
      </c>
      <c r="K996">
        <v>48</v>
      </c>
      <c r="L996" s="2"/>
    </row>
    <row r="997" spans="1:12" x14ac:dyDescent="0.25">
      <c r="A997" s="2" t="s">
        <v>30</v>
      </c>
      <c r="B997" s="2" t="s">
        <v>78</v>
      </c>
      <c r="C997" s="2" t="s">
        <v>79</v>
      </c>
      <c r="D997" s="2" t="s">
        <v>97</v>
      </c>
      <c r="E997">
        <v>2.7856999999999998</v>
      </c>
      <c r="F997">
        <v>-13251.8</v>
      </c>
      <c r="G997">
        <v>26</v>
      </c>
      <c r="H997">
        <v>8.6</v>
      </c>
      <c r="I997">
        <v>32.700000000000003</v>
      </c>
      <c r="J997">
        <v>-34.200000000000003</v>
      </c>
      <c r="K997">
        <v>11.1</v>
      </c>
      <c r="L997" s="2"/>
    </row>
    <row r="998" spans="1:12" x14ac:dyDescent="0.25">
      <c r="A998" s="2" t="s">
        <v>30</v>
      </c>
      <c r="B998" s="2" t="s">
        <v>78</v>
      </c>
      <c r="C998" s="2" t="s">
        <v>79</v>
      </c>
      <c r="D998" s="2" t="s">
        <v>97</v>
      </c>
      <c r="E998">
        <v>3.7143000000000002</v>
      </c>
      <c r="F998">
        <v>-13219.7</v>
      </c>
      <c r="G998">
        <v>25.7</v>
      </c>
      <c r="H998">
        <v>8.6</v>
      </c>
      <c r="I998">
        <v>32.700000000000003</v>
      </c>
      <c r="J998">
        <v>-51.5</v>
      </c>
      <c r="K998">
        <v>-25.5</v>
      </c>
      <c r="L998" s="2"/>
    </row>
    <row r="999" spans="1:12" x14ac:dyDescent="0.25">
      <c r="A999" s="2" t="s">
        <v>30</v>
      </c>
      <c r="B999" s="2" t="s">
        <v>78</v>
      </c>
      <c r="C999" s="2" t="s">
        <v>79</v>
      </c>
      <c r="D999" s="2" t="s">
        <v>97</v>
      </c>
      <c r="E999">
        <v>4.6429</v>
      </c>
      <c r="F999">
        <v>-13187.5</v>
      </c>
      <c r="G999">
        <v>25.3</v>
      </c>
      <c r="H999">
        <v>8.6</v>
      </c>
      <c r="I999">
        <v>32.700000000000003</v>
      </c>
      <c r="J999">
        <v>-74.5</v>
      </c>
      <c r="K999">
        <v>-77.3</v>
      </c>
      <c r="L999" s="2"/>
    </row>
    <row r="1000" spans="1:12" x14ac:dyDescent="0.25">
      <c r="A1000" s="2" t="s">
        <v>30</v>
      </c>
      <c r="B1000" s="2" t="s">
        <v>78</v>
      </c>
      <c r="C1000" s="2" t="s">
        <v>79</v>
      </c>
      <c r="D1000" s="2" t="s">
        <v>97</v>
      </c>
      <c r="E1000">
        <v>5.5713999999999997</v>
      </c>
      <c r="F1000">
        <v>-13155.4</v>
      </c>
      <c r="G1000">
        <v>25</v>
      </c>
      <c r="H1000">
        <v>8.6</v>
      </c>
      <c r="I1000">
        <v>32.700000000000003</v>
      </c>
      <c r="J1000">
        <v>-97.4</v>
      </c>
      <c r="K1000">
        <v>-136.19999999999999</v>
      </c>
      <c r="L1000" s="2"/>
    </row>
    <row r="1001" spans="1:12" x14ac:dyDescent="0.25">
      <c r="A1001" s="2" t="s">
        <v>30</v>
      </c>
      <c r="B1001" s="2" t="s">
        <v>78</v>
      </c>
      <c r="C1001" s="2" t="s">
        <v>79</v>
      </c>
      <c r="D1001" s="2" t="s">
        <v>97</v>
      </c>
      <c r="E1001">
        <v>6.5</v>
      </c>
      <c r="F1001">
        <v>-13123.2</v>
      </c>
      <c r="G1001">
        <v>24.6</v>
      </c>
      <c r="H1001">
        <v>8.6</v>
      </c>
      <c r="I1001">
        <v>32.700000000000003</v>
      </c>
      <c r="J1001">
        <v>-124.5</v>
      </c>
      <c r="K1001">
        <v>-195.1</v>
      </c>
      <c r="L1001" s="2"/>
    </row>
    <row r="1002" spans="1:12" x14ac:dyDescent="0.25">
      <c r="A1002" s="2" t="s">
        <v>30</v>
      </c>
      <c r="B1002" s="2" t="s">
        <v>78</v>
      </c>
      <c r="C1002" s="2" t="s">
        <v>79</v>
      </c>
      <c r="D1002" s="2" t="s">
        <v>97</v>
      </c>
      <c r="E1002">
        <v>7.4286000000000003</v>
      </c>
      <c r="F1002">
        <v>-13091</v>
      </c>
      <c r="G1002">
        <v>24.3</v>
      </c>
      <c r="H1002">
        <v>8.6</v>
      </c>
      <c r="I1002">
        <v>32.700000000000003</v>
      </c>
      <c r="J1002">
        <v>-152.30000000000001</v>
      </c>
      <c r="K1002">
        <v>-254.7</v>
      </c>
      <c r="L1002" s="2"/>
    </row>
    <row r="1003" spans="1:12" x14ac:dyDescent="0.25">
      <c r="A1003" s="2" t="s">
        <v>30</v>
      </c>
      <c r="B1003" s="2" t="s">
        <v>78</v>
      </c>
      <c r="C1003" s="2" t="s">
        <v>79</v>
      </c>
      <c r="D1003" s="2" t="s">
        <v>97</v>
      </c>
      <c r="E1003">
        <v>8.3571000000000009</v>
      </c>
      <c r="F1003">
        <v>-13058.9</v>
      </c>
      <c r="G1003">
        <v>23.9</v>
      </c>
      <c r="H1003">
        <v>8.6</v>
      </c>
      <c r="I1003">
        <v>32.700000000000003</v>
      </c>
      <c r="J1003">
        <v>-179.7</v>
      </c>
      <c r="K1003">
        <v>-313.3</v>
      </c>
      <c r="L1003" s="2"/>
    </row>
    <row r="1004" spans="1:12" x14ac:dyDescent="0.25">
      <c r="A1004" s="2" t="s">
        <v>30</v>
      </c>
      <c r="B1004" s="2" t="s">
        <v>78</v>
      </c>
      <c r="C1004" s="2" t="s">
        <v>79</v>
      </c>
      <c r="D1004" s="2" t="s">
        <v>97</v>
      </c>
      <c r="E1004">
        <v>9.2857000000000003</v>
      </c>
      <c r="F1004">
        <v>-13026.7</v>
      </c>
      <c r="G1004">
        <v>23.5</v>
      </c>
      <c r="H1004">
        <v>8.6</v>
      </c>
      <c r="I1004">
        <v>32.700000000000003</v>
      </c>
      <c r="J1004">
        <v>-206.8</v>
      </c>
      <c r="K1004">
        <v>-370.6</v>
      </c>
      <c r="L1004" s="2"/>
    </row>
    <row r="1005" spans="1:12" x14ac:dyDescent="0.25">
      <c r="A1005" s="2" t="s">
        <v>30</v>
      </c>
      <c r="B1005" s="2" t="s">
        <v>78</v>
      </c>
      <c r="C1005" s="2" t="s">
        <v>79</v>
      </c>
      <c r="D1005" s="2" t="s">
        <v>97</v>
      </c>
      <c r="E1005">
        <v>10.2143</v>
      </c>
      <c r="F1005">
        <v>-12994.5</v>
      </c>
      <c r="G1005">
        <v>23.2</v>
      </c>
      <c r="H1005">
        <v>8.6</v>
      </c>
      <c r="I1005">
        <v>32.700000000000003</v>
      </c>
      <c r="J1005">
        <v>-233.4</v>
      </c>
      <c r="K1005">
        <v>-426.6</v>
      </c>
      <c r="L1005" s="2"/>
    </row>
    <row r="1006" spans="1:12" x14ac:dyDescent="0.25">
      <c r="A1006" s="2" t="s">
        <v>30</v>
      </c>
      <c r="B1006" s="2" t="s">
        <v>78</v>
      </c>
      <c r="C1006" s="2" t="s">
        <v>79</v>
      </c>
      <c r="D1006" s="2" t="s">
        <v>97</v>
      </c>
      <c r="E1006">
        <v>11.142899999999999</v>
      </c>
      <c r="F1006">
        <v>-12962.4</v>
      </c>
      <c r="G1006">
        <v>22.8</v>
      </c>
      <c r="H1006">
        <v>8.6</v>
      </c>
      <c r="I1006">
        <v>32.700000000000003</v>
      </c>
      <c r="J1006">
        <v>-259.5</v>
      </c>
      <c r="K1006">
        <v>-481.1</v>
      </c>
      <c r="L1006" s="2"/>
    </row>
    <row r="1007" spans="1:12" x14ac:dyDescent="0.25">
      <c r="A1007" s="2" t="s">
        <v>30</v>
      </c>
      <c r="B1007" s="2" t="s">
        <v>78</v>
      </c>
      <c r="C1007" s="2" t="s">
        <v>79</v>
      </c>
      <c r="D1007" s="2" t="s">
        <v>97</v>
      </c>
      <c r="E1007">
        <v>12.071400000000001</v>
      </c>
      <c r="F1007">
        <v>-12930.2</v>
      </c>
      <c r="G1007">
        <v>22.5</v>
      </c>
      <c r="H1007">
        <v>8.6</v>
      </c>
      <c r="I1007">
        <v>32.700000000000003</v>
      </c>
      <c r="J1007">
        <v>-285</v>
      </c>
      <c r="K1007">
        <v>-533.79999999999995</v>
      </c>
      <c r="L1007" s="2"/>
    </row>
    <row r="1008" spans="1:12" x14ac:dyDescent="0.25">
      <c r="A1008" s="2" t="s">
        <v>30</v>
      </c>
      <c r="B1008" s="2" t="s">
        <v>78</v>
      </c>
      <c r="C1008" s="2" t="s">
        <v>79</v>
      </c>
      <c r="D1008" s="2" t="s">
        <v>97</v>
      </c>
      <c r="E1008">
        <v>13</v>
      </c>
      <c r="F1008">
        <v>-12898.1</v>
      </c>
      <c r="G1008">
        <v>22.1</v>
      </c>
      <c r="H1008">
        <v>8.6</v>
      </c>
      <c r="I1008">
        <v>32.700000000000003</v>
      </c>
      <c r="J1008">
        <v>-309.89999999999998</v>
      </c>
      <c r="K1008">
        <v>-584.70000000000005</v>
      </c>
      <c r="L1008" s="2"/>
    </row>
    <row r="1009" spans="1:12" x14ac:dyDescent="0.25">
      <c r="A1009" s="2" t="s">
        <v>30</v>
      </c>
      <c r="B1009" s="2" t="s">
        <v>78</v>
      </c>
      <c r="C1009" s="2" t="s">
        <v>79</v>
      </c>
      <c r="D1009" s="2" t="s">
        <v>98</v>
      </c>
      <c r="E1009">
        <v>0</v>
      </c>
      <c r="F1009">
        <v>-3268.3</v>
      </c>
      <c r="G1009">
        <v>35.1</v>
      </c>
      <c r="H1009">
        <v>43.5</v>
      </c>
      <c r="I1009">
        <v>28.5</v>
      </c>
      <c r="J1009">
        <v>177.8</v>
      </c>
      <c r="K1009">
        <v>169.6</v>
      </c>
      <c r="L1009" s="2"/>
    </row>
    <row r="1010" spans="1:12" x14ac:dyDescent="0.25">
      <c r="A1010" s="2" t="s">
        <v>30</v>
      </c>
      <c r="B1010" s="2" t="s">
        <v>78</v>
      </c>
      <c r="C1010" s="2" t="s">
        <v>79</v>
      </c>
      <c r="D1010" s="2" t="s">
        <v>98</v>
      </c>
      <c r="E1010">
        <v>0.92859999999999998</v>
      </c>
      <c r="F1010">
        <v>-3268.3</v>
      </c>
      <c r="G1010">
        <v>35.1</v>
      </c>
      <c r="H1010">
        <v>43.1</v>
      </c>
      <c r="I1010">
        <v>28.5</v>
      </c>
      <c r="J1010">
        <v>129.6</v>
      </c>
      <c r="K1010">
        <v>135.30000000000001</v>
      </c>
      <c r="L1010" s="2"/>
    </row>
    <row r="1011" spans="1:12" x14ac:dyDescent="0.25">
      <c r="A1011" s="2" t="s">
        <v>30</v>
      </c>
      <c r="B1011" s="2" t="s">
        <v>78</v>
      </c>
      <c r="C1011" s="2" t="s">
        <v>79</v>
      </c>
      <c r="D1011" s="2" t="s">
        <v>98</v>
      </c>
      <c r="E1011">
        <v>1.8571</v>
      </c>
      <c r="F1011">
        <v>-3268.3</v>
      </c>
      <c r="G1011">
        <v>35.1</v>
      </c>
      <c r="H1011">
        <v>42.8</v>
      </c>
      <c r="I1011">
        <v>28.5</v>
      </c>
      <c r="J1011">
        <v>81.5</v>
      </c>
      <c r="K1011">
        <v>100.8</v>
      </c>
      <c r="L1011" s="2"/>
    </row>
    <row r="1012" spans="1:12" x14ac:dyDescent="0.25">
      <c r="A1012" s="2" t="s">
        <v>30</v>
      </c>
      <c r="B1012" s="2" t="s">
        <v>78</v>
      </c>
      <c r="C1012" s="2" t="s">
        <v>79</v>
      </c>
      <c r="D1012" s="2" t="s">
        <v>98</v>
      </c>
      <c r="E1012">
        <v>2.7856999999999998</v>
      </c>
      <c r="F1012">
        <v>-3268.3</v>
      </c>
      <c r="G1012">
        <v>35.1</v>
      </c>
      <c r="H1012">
        <v>42.4</v>
      </c>
      <c r="I1012">
        <v>28.5</v>
      </c>
      <c r="J1012">
        <v>33.5</v>
      </c>
      <c r="K1012">
        <v>66.2</v>
      </c>
      <c r="L1012" s="2"/>
    </row>
    <row r="1013" spans="1:12" x14ac:dyDescent="0.25">
      <c r="A1013" s="2" t="s">
        <v>30</v>
      </c>
      <c r="B1013" s="2" t="s">
        <v>78</v>
      </c>
      <c r="C1013" s="2" t="s">
        <v>79</v>
      </c>
      <c r="D1013" s="2" t="s">
        <v>98</v>
      </c>
      <c r="E1013">
        <v>3.7143000000000002</v>
      </c>
      <c r="F1013">
        <v>-3268.3</v>
      </c>
      <c r="G1013">
        <v>35.1</v>
      </c>
      <c r="H1013">
        <v>42</v>
      </c>
      <c r="I1013">
        <v>28.5</v>
      </c>
      <c r="J1013">
        <v>-14.3</v>
      </c>
      <c r="K1013">
        <v>31.6</v>
      </c>
      <c r="L1013" s="2"/>
    </row>
    <row r="1014" spans="1:12" x14ac:dyDescent="0.25">
      <c r="A1014" s="2" t="s">
        <v>30</v>
      </c>
      <c r="B1014" s="2" t="s">
        <v>78</v>
      </c>
      <c r="C1014" s="2" t="s">
        <v>79</v>
      </c>
      <c r="D1014" s="2" t="s">
        <v>98</v>
      </c>
      <c r="E1014">
        <v>4.6429</v>
      </c>
      <c r="F1014">
        <v>-3268.3</v>
      </c>
      <c r="G1014">
        <v>35.1</v>
      </c>
      <c r="H1014">
        <v>41.7</v>
      </c>
      <c r="I1014">
        <v>28.5</v>
      </c>
      <c r="J1014">
        <v>-51.1</v>
      </c>
      <c r="K1014">
        <v>7.8</v>
      </c>
      <c r="L1014" s="2"/>
    </row>
    <row r="1015" spans="1:12" x14ac:dyDescent="0.25">
      <c r="A1015" s="2" t="s">
        <v>30</v>
      </c>
      <c r="B1015" s="2" t="s">
        <v>78</v>
      </c>
      <c r="C1015" s="2" t="s">
        <v>79</v>
      </c>
      <c r="D1015" s="2" t="s">
        <v>98</v>
      </c>
      <c r="E1015">
        <v>5.5713999999999997</v>
      </c>
      <c r="F1015">
        <v>-3268.3</v>
      </c>
      <c r="G1015">
        <v>35.1</v>
      </c>
      <c r="H1015">
        <v>41.3</v>
      </c>
      <c r="I1015">
        <v>28.5</v>
      </c>
      <c r="J1015">
        <v>-81.2</v>
      </c>
      <c r="K1015">
        <v>-1.5</v>
      </c>
      <c r="L1015" s="2"/>
    </row>
    <row r="1016" spans="1:12" x14ac:dyDescent="0.25">
      <c r="A1016" s="2" t="s">
        <v>30</v>
      </c>
      <c r="B1016" s="2" t="s">
        <v>78</v>
      </c>
      <c r="C1016" s="2" t="s">
        <v>79</v>
      </c>
      <c r="D1016" s="2" t="s">
        <v>98</v>
      </c>
      <c r="E1016">
        <v>6.5</v>
      </c>
      <c r="F1016">
        <v>-3268.3</v>
      </c>
      <c r="G1016">
        <v>35.1</v>
      </c>
      <c r="H1016">
        <v>41</v>
      </c>
      <c r="I1016">
        <v>28.5</v>
      </c>
      <c r="J1016">
        <v>-110.6</v>
      </c>
      <c r="K1016">
        <v>-10.9</v>
      </c>
      <c r="L1016" s="2"/>
    </row>
    <row r="1017" spans="1:12" x14ac:dyDescent="0.25">
      <c r="A1017" s="2" t="s">
        <v>30</v>
      </c>
      <c r="B1017" s="2" t="s">
        <v>78</v>
      </c>
      <c r="C1017" s="2" t="s">
        <v>79</v>
      </c>
      <c r="D1017" s="2" t="s">
        <v>98</v>
      </c>
      <c r="E1017">
        <v>7.4286000000000003</v>
      </c>
      <c r="F1017">
        <v>-3268.3</v>
      </c>
      <c r="G1017">
        <v>35.1</v>
      </c>
      <c r="H1017">
        <v>40.6</v>
      </c>
      <c r="I1017">
        <v>28.5</v>
      </c>
      <c r="J1017">
        <v>-139.4</v>
      </c>
      <c r="K1017">
        <v>-20.100000000000001</v>
      </c>
      <c r="L1017" s="2"/>
    </row>
    <row r="1018" spans="1:12" x14ac:dyDescent="0.25">
      <c r="A1018" s="2" t="s">
        <v>30</v>
      </c>
      <c r="B1018" s="2" t="s">
        <v>78</v>
      </c>
      <c r="C1018" s="2" t="s">
        <v>79</v>
      </c>
      <c r="D1018" s="2" t="s">
        <v>98</v>
      </c>
      <c r="E1018">
        <v>8.3571000000000009</v>
      </c>
      <c r="F1018">
        <v>-3268.3</v>
      </c>
      <c r="G1018">
        <v>35.1</v>
      </c>
      <c r="H1018">
        <v>40.299999999999997</v>
      </c>
      <c r="I1018">
        <v>28.5</v>
      </c>
      <c r="J1018">
        <v>-167.3</v>
      </c>
      <c r="K1018">
        <v>-29.3</v>
      </c>
      <c r="L1018" s="2"/>
    </row>
    <row r="1019" spans="1:12" x14ac:dyDescent="0.25">
      <c r="A1019" s="2" t="s">
        <v>30</v>
      </c>
      <c r="B1019" s="2" t="s">
        <v>78</v>
      </c>
      <c r="C1019" s="2" t="s">
        <v>79</v>
      </c>
      <c r="D1019" s="2" t="s">
        <v>98</v>
      </c>
      <c r="E1019">
        <v>9.2857000000000003</v>
      </c>
      <c r="F1019">
        <v>-3268.3</v>
      </c>
      <c r="G1019">
        <v>35.1</v>
      </c>
      <c r="H1019">
        <v>39.9</v>
      </c>
      <c r="I1019">
        <v>28.5</v>
      </c>
      <c r="J1019">
        <v>-194.3</v>
      </c>
      <c r="K1019">
        <v>-38.4</v>
      </c>
      <c r="L1019" s="2"/>
    </row>
    <row r="1020" spans="1:12" x14ac:dyDescent="0.25">
      <c r="A1020" s="2" t="s">
        <v>30</v>
      </c>
      <c r="B1020" s="2" t="s">
        <v>78</v>
      </c>
      <c r="C1020" s="2" t="s">
        <v>79</v>
      </c>
      <c r="D1020" s="2" t="s">
        <v>98</v>
      </c>
      <c r="E1020">
        <v>10.2143</v>
      </c>
      <c r="F1020">
        <v>-3268.3</v>
      </c>
      <c r="G1020">
        <v>35.1</v>
      </c>
      <c r="H1020">
        <v>39.5</v>
      </c>
      <c r="I1020">
        <v>28.5</v>
      </c>
      <c r="J1020">
        <v>-220.4</v>
      </c>
      <c r="K1020">
        <v>-47.4</v>
      </c>
      <c r="L1020" s="2"/>
    </row>
    <row r="1021" spans="1:12" x14ac:dyDescent="0.25">
      <c r="A1021" s="2" t="s">
        <v>30</v>
      </c>
      <c r="B1021" s="2" t="s">
        <v>78</v>
      </c>
      <c r="C1021" s="2" t="s">
        <v>79</v>
      </c>
      <c r="D1021" s="2" t="s">
        <v>98</v>
      </c>
      <c r="E1021">
        <v>11.142899999999999</v>
      </c>
      <c r="F1021">
        <v>-3268.3</v>
      </c>
      <c r="G1021">
        <v>35.1</v>
      </c>
      <c r="H1021">
        <v>39.200000000000003</v>
      </c>
      <c r="I1021">
        <v>28.5</v>
      </c>
      <c r="J1021">
        <v>-245.3</v>
      </c>
      <c r="K1021">
        <v>-56.3</v>
      </c>
      <c r="L1021" s="2"/>
    </row>
    <row r="1022" spans="1:12" x14ac:dyDescent="0.25">
      <c r="A1022" s="2" t="s">
        <v>30</v>
      </c>
      <c r="B1022" s="2" t="s">
        <v>78</v>
      </c>
      <c r="C1022" s="2" t="s">
        <v>79</v>
      </c>
      <c r="D1022" s="2" t="s">
        <v>98</v>
      </c>
      <c r="E1022">
        <v>12.071400000000001</v>
      </c>
      <c r="F1022">
        <v>-3268.3</v>
      </c>
      <c r="G1022">
        <v>35.1</v>
      </c>
      <c r="H1022">
        <v>38.799999999999997</v>
      </c>
      <c r="I1022">
        <v>28.5</v>
      </c>
      <c r="J1022">
        <v>-268.89999999999998</v>
      </c>
      <c r="K1022">
        <v>-64.900000000000006</v>
      </c>
      <c r="L1022" s="2"/>
    </row>
    <row r="1023" spans="1:12" x14ac:dyDescent="0.25">
      <c r="A1023" s="2" t="s">
        <v>30</v>
      </c>
      <c r="B1023" s="2" t="s">
        <v>78</v>
      </c>
      <c r="C1023" s="2" t="s">
        <v>79</v>
      </c>
      <c r="D1023" s="2" t="s">
        <v>98</v>
      </c>
      <c r="E1023">
        <v>13</v>
      </c>
      <c r="F1023">
        <v>-3268.3</v>
      </c>
      <c r="G1023">
        <v>35.1</v>
      </c>
      <c r="H1023">
        <v>38.5</v>
      </c>
      <c r="I1023">
        <v>28.5</v>
      </c>
      <c r="J1023">
        <v>-291.2</v>
      </c>
      <c r="K1023">
        <v>-73.400000000000006</v>
      </c>
      <c r="L1023" s="2"/>
    </row>
    <row r="1024" spans="1:12" x14ac:dyDescent="0.25">
      <c r="A1024" s="2" t="s">
        <v>30</v>
      </c>
      <c r="B1024" s="2" t="s">
        <v>78</v>
      </c>
      <c r="C1024" s="2" t="s">
        <v>79</v>
      </c>
      <c r="D1024" s="2" t="s">
        <v>98</v>
      </c>
      <c r="E1024">
        <v>0</v>
      </c>
      <c r="F1024">
        <v>-10861.9</v>
      </c>
      <c r="G1024">
        <v>8.6</v>
      </c>
      <c r="H1024">
        <v>25.5</v>
      </c>
      <c r="I1024">
        <v>18.2</v>
      </c>
      <c r="J1024">
        <v>104</v>
      </c>
      <c r="K1024">
        <v>53.6</v>
      </c>
      <c r="L1024" s="2"/>
    </row>
    <row r="1025" spans="1:12" x14ac:dyDescent="0.25">
      <c r="A1025" s="2" t="s">
        <v>30</v>
      </c>
      <c r="B1025" s="2" t="s">
        <v>78</v>
      </c>
      <c r="C1025" s="2" t="s">
        <v>79</v>
      </c>
      <c r="D1025" s="2" t="s">
        <v>98</v>
      </c>
      <c r="E1025">
        <v>0.92859999999999998</v>
      </c>
      <c r="F1025">
        <v>-10829.7</v>
      </c>
      <c r="G1025">
        <v>8.6</v>
      </c>
      <c r="H1025">
        <v>25.1</v>
      </c>
      <c r="I1025">
        <v>18.2</v>
      </c>
      <c r="J1025">
        <v>72.7</v>
      </c>
      <c r="K1025">
        <v>44.6</v>
      </c>
      <c r="L1025" s="2"/>
    </row>
    <row r="1026" spans="1:12" x14ac:dyDescent="0.25">
      <c r="A1026" s="2" t="s">
        <v>30</v>
      </c>
      <c r="B1026" s="2" t="s">
        <v>78</v>
      </c>
      <c r="C1026" s="2" t="s">
        <v>79</v>
      </c>
      <c r="D1026" s="2" t="s">
        <v>98</v>
      </c>
      <c r="E1026">
        <v>1.8571</v>
      </c>
      <c r="F1026">
        <v>-10797.6</v>
      </c>
      <c r="G1026">
        <v>8.6</v>
      </c>
      <c r="H1026">
        <v>24.8</v>
      </c>
      <c r="I1026">
        <v>18.2</v>
      </c>
      <c r="J1026">
        <v>41.4</v>
      </c>
      <c r="K1026">
        <v>35.6</v>
      </c>
      <c r="L1026" s="2"/>
    </row>
    <row r="1027" spans="1:12" x14ac:dyDescent="0.25">
      <c r="A1027" s="2" t="s">
        <v>30</v>
      </c>
      <c r="B1027" s="2" t="s">
        <v>78</v>
      </c>
      <c r="C1027" s="2" t="s">
        <v>79</v>
      </c>
      <c r="D1027" s="2" t="s">
        <v>98</v>
      </c>
      <c r="E1027">
        <v>2.7856999999999998</v>
      </c>
      <c r="F1027">
        <v>-10765.4</v>
      </c>
      <c r="G1027">
        <v>8.6</v>
      </c>
      <c r="H1027">
        <v>24.4</v>
      </c>
      <c r="I1027">
        <v>18.2</v>
      </c>
      <c r="J1027">
        <v>10.199999999999999</v>
      </c>
      <c r="K1027">
        <v>26.4</v>
      </c>
      <c r="L1027" s="2"/>
    </row>
    <row r="1028" spans="1:12" x14ac:dyDescent="0.25">
      <c r="A1028" s="2" t="s">
        <v>30</v>
      </c>
      <c r="B1028" s="2" t="s">
        <v>78</v>
      </c>
      <c r="C1028" s="2" t="s">
        <v>79</v>
      </c>
      <c r="D1028" s="2" t="s">
        <v>98</v>
      </c>
      <c r="E1028">
        <v>3.7143000000000002</v>
      </c>
      <c r="F1028">
        <v>-10733.3</v>
      </c>
      <c r="G1028">
        <v>8.6</v>
      </c>
      <c r="H1028">
        <v>24</v>
      </c>
      <c r="I1028">
        <v>18.2</v>
      </c>
      <c r="J1028">
        <v>-26.2</v>
      </c>
      <c r="K1028">
        <v>17.100000000000001</v>
      </c>
      <c r="L1028" s="2"/>
    </row>
    <row r="1029" spans="1:12" x14ac:dyDescent="0.25">
      <c r="A1029" s="2" t="s">
        <v>30</v>
      </c>
      <c r="B1029" s="2" t="s">
        <v>78</v>
      </c>
      <c r="C1029" s="2" t="s">
        <v>79</v>
      </c>
      <c r="D1029" s="2" t="s">
        <v>98</v>
      </c>
      <c r="E1029">
        <v>4.6429</v>
      </c>
      <c r="F1029">
        <v>-10701.1</v>
      </c>
      <c r="G1029">
        <v>8.6</v>
      </c>
      <c r="H1029">
        <v>23.7</v>
      </c>
      <c r="I1029">
        <v>18.2</v>
      </c>
      <c r="J1029">
        <v>-68.099999999999994</v>
      </c>
      <c r="K1029">
        <v>-7.8</v>
      </c>
      <c r="L1029" s="2"/>
    </row>
    <row r="1030" spans="1:12" x14ac:dyDescent="0.25">
      <c r="A1030" s="2" t="s">
        <v>30</v>
      </c>
      <c r="B1030" s="2" t="s">
        <v>78</v>
      </c>
      <c r="C1030" s="2" t="s">
        <v>79</v>
      </c>
      <c r="D1030" s="2" t="s">
        <v>98</v>
      </c>
      <c r="E1030">
        <v>5.5713999999999997</v>
      </c>
      <c r="F1030">
        <v>-10668.9</v>
      </c>
      <c r="G1030">
        <v>8.6</v>
      </c>
      <c r="H1030">
        <v>23.3</v>
      </c>
      <c r="I1030">
        <v>18.2</v>
      </c>
      <c r="J1030">
        <v>-109.5</v>
      </c>
      <c r="K1030">
        <v>-40.5</v>
      </c>
      <c r="L1030" s="2"/>
    </row>
    <row r="1031" spans="1:12" x14ac:dyDescent="0.25">
      <c r="A1031" s="2" t="s">
        <v>30</v>
      </c>
      <c r="B1031" s="2" t="s">
        <v>78</v>
      </c>
      <c r="C1031" s="2" t="s">
        <v>79</v>
      </c>
      <c r="D1031" s="2" t="s">
        <v>98</v>
      </c>
      <c r="E1031">
        <v>6.5</v>
      </c>
      <c r="F1031">
        <v>-10636.8</v>
      </c>
      <c r="G1031">
        <v>8.6</v>
      </c>
      <c r="H1031">
        <v>23</v>
      </c>
      <c r="I1031">
        <v>18.2</v>
      </c>
      <c r="J1031">
        <v>-154.80000000000001</v>
      </c>
      <c r="K1031">
        <v>-73.7</v>
      </c>
      <c r="L1031" s="2"/>
    </row>
    <row r="1032" spans="1:12" x14ac:dyDescent="0.25">
      <c r="A1032" s="2" t="s">
        <v>30</v>
      </c>
      <c r="B1032" s="2" t="s">
        <v>78</v>
      </c>
      <c r="C1032" s="2" t="s">
        <v>79</v>
      </c>
      <c r="D1032" s="2" t="s">
        <v>98</v>
      </c>
      <c r="E1032">
        <v>7.4286000000000003</v>
      </c>
      <c r="F1032">
        <v>-10604.6</v>
      </c>
      <c r="G1032">
        <v>8.6</v>
      </c>
      <c r="H1032">
        <v>22.6</v>
      </c>
      <c r="I1032">
        <v>18.2</v>
      </c>
      <c r="J1032">
        <v>-200.4</v>
      </c>
      <c r="K1032">
        <v>-108.4</v>
      </c>
      <c r="L1032" s="2"/>
    </row>
    <row r="1033" spans="1:12" x14ac:dyDescent="0.25">
      <c r="A1033" s="2" t="s">
        <v>30</v>
      </c>
      <c r="B1033" s="2" t="s">
        <v>78</v>
      </c>
      <c r="C1033" s="2" t="s">
        <v>79</v>
      </c>
      <c r="D1033" s="2" t="s">
        <v>98</v>
      </c>
      <c r="E1033">
        <v>8.3571000000000009</v>
      </c>
      <c r="F1033">
        <v>-10572.4</v>
      </c>
      <c r="G1033">
        <v>8.6</v>
      </c>
      <c r="H1033">
        <v>22.3</v>
      </c>
      <c r="I1033">
        <v>18.2</v>
      </c>
      <c r="J1033">
        <v>-245.1</v>
      </c>
      <c r="K1033">
        <v>-143</v>
      </c>
      <c r="L1033" s="2"/>
    </row>
    <row r="1034" spans="1:12" x14ac:dyDescent="0.25">
      <c r="A1034" s="2" t="s">
        <v>30</v>
      </c>
      <c r="B1034" s="2" t="s">
        <v>78</v>
      </c>
      <c r="C1034" s="2" t="s">
        <v>79</v>
      </c>
      <c r="D1034" s="2" t="s">
        <v>98</v>
      </c>
      <c r="E1034">
        <v>9.2857000000000003</v>
      </c>
      <c r="F1034">
        <v>-10540.3</v>
      </c>
      <c r="G1034">
        <v>8.6</v>
      </c>
      <c r="H1034">
        <v>21.9</v>
      </c>
      <c r="I1034">
        <v>18.2</v>
      </c>
      <c r="J1034">
        <v>-288.89999999999998</v>
      </c>
      <c r="K1034">
        <v>-177.2</v>
      </c>
      <c r="L1034" s="2"/>
    </row>
    <row r="1035" spans="1:12" x14ac:dyDescent="0.25">
      <c r="A1035" s="2" t="s">
        <v>30</v>
      </c>
      <c r="B1035" s="2" t="s">
        <v>78</v>
      </c>
      <c r="C1035" s="2" t="s">
        <v>79</v>
      </c>
      <c r="D1035" s="2" t="s">
        <v>98</v>
      </c>
      <c r="E1035">
        <v>10.2143</v>
      </c>
      <c r="F1035">
        <v>-10508.1</v>
      </c>
      <c r="G1035">
        <v>8.6</v>
      </c>
      <c r="H1035">
        <v>21.5</v>
      </c>
      <c r="I1035">
        <v>18.2</v>
      </c>
      <c r="J1035">
        <v>-331.6</v>
      </c>
      <c r="K1035">
        <v>-211</v>
      </c>
      <c r="L1035" s="2"/>
    </row>
    <row r="1036" spans="1:12" x14ac:dyDescent="0.25">
      <c r="A1036" s="2" t="s">
        <v>30</v>
      </c>
      <c r="B1036" s="2" t="s">
        <v>78</v>
      </c>
      <c r="C1036" s="2" t="s">
        <v>79</v>
      </c>
      <c r="D1036" s="2" t="s">
        <v>98</v>
      </c>
      <c r="E1036">
        <v>11.142899999999999</v>
      </c>
      <c r="F1036">
        <v>-10476</v>
      </c>
      <c r="G1036">
        <v>8.6</v>
      </c>
      <c r="H1036">
        <v>21.2</v>
      </c>
      <c r="I1036">
        <v>18.2</v>
      </c>
      <c r="J1036">
        <v>-373.1</v>
      </c>
      <c r="K1036">
        <v>-244.4</v>
      </c>
      <c r="L1036" s="2"/>
    </row>
    <row r="1037" spans="1:12" x14ac:dyDescent="0.25">
      <c r="A1037" s="2" t="s">
        <v>30</v>
      </c>
      <c r="B1037" s="2" t="s">
        <v>78</v>
      </c>
      <c r="C1037" s="2" t="s">
        <v>79</v>
      </c>
      <c r="D1037" s="2" t="s">
        <v>98</v>
      </c>
      <c r="E1037">
        <v>12.071400000000001</v>
      </c>
      <c r="F1037">
        <v>-10443.799999999999</v>
      </c>
      <c r="G1037">
        <v>8.6</v>
      </c>
      <c r="H1037">
        <v>20.8</v>
      </c>
      <c r="I1037">
        <v>18.2</v>
      </c>
      <c r="J1037">
        <v>-413.3</v>
      </c>
      <c r="K1037">
        <v>-277.3</v>
      </c>
      <c r="L1037" s="2"/>
    </row>
    <row r="1038" spans="1:12" x14ac:dyDescent="0.25">
      <c r="A1038" s="2" t="s">
        <v>30</v>
      </c>
      <c r="B1038" s="2" t="s">
        <v>78</v>
      </c>
      <c r="C1038" s="2" t="s">
        <v>79</v>
      </c>
      <c r="D1038" s="2" t="s">
        <v>98</v>
      </c>
      <c r="E1038">
        <v>13</v>
      </c>
      <c r="F1038">
        <v>-10411.6</v>
      </c>
      <c r="G1038">
        <v>8.6</v>
      </c>
      <c r="H1038">
        <v>20.5</v>
      </c>
      <c r="I1038">
        <v>18.2</v>
      </c>
      <c r="J1038">
        <v>-452.1</v>
      </c>
      <c r="K1038">
        <v>-309.60000000000002</v>
      </c>
      <c r="L1038" s="2"/>
    </row>
    <row r="1039" spans="1:12" x14ac:dyDescent="0.25">
      <c r="A1039" s="2" t="s">
        <v>30</v>
      </c>
      <c r="B1039" s="2" t="s">
        <v>31</v>
      </c>
      <c r="C1039" s="2" t="s">
        <v>32</v>
      </c>
      <c r="D1039" s="2" t="s">
        <v>99</v>
      </c>
      <c r="E1039">
        <v>0</v>
      </c>
      <c r="F1039">
        <v>0</v>
      </c>
      <c r="G1039">
        <v>30.5</v>
      </c>
      <c r="H1039">
        <v>0</v>
      </c>
      <c r="I1039">
        <v>11.4</v>
      </c>
      <c r="J1039">
        <v>0</v>
      </c>
      <c r="K1039">
        <v>125.1</v>
      </c>
      <c r="L1039" s="2"/>
    </row>
    <row r="1040" spans="1:12" x14ac:dyDescent="0.25">
      <c r="A1040" s="2" t="s">
        <v>30</v>
      </c>
      <c r="B1040" s="2" t="s">
        <v>31</v>
      </c>
      <c r="C1040" s="2" t="s">
        <v>32</v>
      </c>
      <c r="D1040" s="2" t="s">
        <v>99</v>
      </c>
      <c r="E1040">
        <v>0.92859999999999998</v>
      </c>
      <c r="F1040">
        <v>0</v>
      </c>
      <c r="G1040">
        <v>30.5</v>
      </c>
      <c r="H1040">
        <v>0</v>
      </c>
      <c r="I1040">
        <v>11.4</v>
      </c>
      <c r="J1040">
        <v>0</v>
      </c>
      <c r="K1040">
        <v>96.2</v>
      </c>
      <c r="L1040" s="2"/>
    </row>
    <row r="1041" spans="1:12" x14ac:dyDescent="0.25">
      <c r="A1041" s="2" t="s">
        <v>30</v>
      </c>
      <c r="B1041" s="2" t="s">
        <v>31</v>
      </c>
      <c r="C1041" s="2" t="s">
        <v>32</v>
      </c>
      <c r="D1041" s="2" t="s">
        <v>99</v>
      </c>
      <c r="E1041">
        <v>1.8571</v>
      </c>
      <c r="F1041">
        <v>0</v>
      </c>
      <c r="G1041">
        <v>30.5</v>
      </c>
      <c r="H1041">
        <v>0</v>
      </c>
      <c r="I1041">
        <v>11.4</v>
      </c>
      <c r="J1041">
        <v>0</v>
      </c>
      <c r="K1041">
        <v>67.400000000000006</v>
      </c>
      <c r="L1041" s="2"/>
    </row>
    <row r="1042" spans="1:12" x14ac:dyDescent="0.25">
      <c r="A1042" s="2" t="s">
        <v>30</v>
      </c>
      <c r="B1042" s="2" t="s">
        <v>31</v>
      </c>
      <c r="C1042" s="2" t="s">
        <v>32</v>
      </c>
      <c r="D1042" s="2" t="s">
        <v>99</v>
      </c>
      <c r="E1042">
        <v>2.7856999999999998</v>
      </c>
      <c r="F1042">
        <v>0</v>
      </c>
      <c r="G1042">
        <v>30.5</v>
      </c>
      <c r="H1042">
        <v>0</v>
      </c>
      <c r="I1042">
        <v>11.4</v>
      </c>
      <c r="J1042">
        <v>0</v>
      </c>
      <c r="K1042">
        <v>38.6</v>
      </c>
      <c r="L1042" s="2"/>
    </row>
    <row r="1043" spans="1:12" x14ac:dyDescent="0.25">
      <c r="A1043" s="2" t="s">
        <v>30</v>
      </c>
      <c r="B1043" s="2" t="s">
        <v>31</v>
      </c>
      <c r="C1043" s="2" t="s">
        <v>32</v>
      </c>
      <c r="D1043" s="2" t="s">
        <v>99</v>
      </c>
      <c r="E1043">
        <v>3.7143000000000002</v>
      </c>
      <c r="F1043">
        <v>0</v>
      </c>
      <c r="G1043">
        <v>30.5</v>
      </c>
      <c r="H1043">
        <v>0</v>
      </c>
      <c r="I1043">
        <v>11.4</v>
      </c>
      <c r="J1043">
        <v>0.6</v>
      </c>
      <c r="K1043">
        <v>9.8000000000000007</v>
      </c>
      <c r="L1043" s="2"/>
    </row>
    <row r="1044" spans="1:12" x14ac:dyDescent="0.25">
      <c r="A1044" s="2" t="s">
        <v>30</v>
      </c>
      <c r="B1044" s="2" t="s">
        <v>31</v>
      </c>
      <c r="C1044" s="2" t="s">
        <v>32</v>
      </c>
      <c r="D1044" s="2" t="s">
        <v>99</v>
      </c>
      <c r="E1044">
        <v>4.6429</v>
      </c>
      <c r="F1044">
        <v>0</v>
      </c>
      <c r="G1044">
        <v>30.5</v>
      </c>
      <c r="H1044">
        <v>0</v>
      </c>
      <c r="I1044">
        <v>11.4</v>
      </c>
      <c r="J1044">
        <v>18.100000000000001</v>
      </c>
      <c r="K1044">
        <v>0</v>
      </c>
      <c r="L1044" s="2"/>
    </row>
    <row r="1045" spans="1:12" x14ac:dyDescent="0.25">
      <c r="A1045" s="2" t="s">
        <v>30</v>
      </c>
      <c r="B1045" s="2" t="s">
        <v>31</v>
      </c>
      <c r="C1045" s="2" t="s">
        <v>32</v>
      </c>
      <c r="D1045" s="2" t="s">
        <v>99</v>
      </c>
      <c r="E1045">
        <v>5.5713999999999997</v>
      </c>
      <c r="F1045">
        <v>0</v>
      </c>
      <c r="G1045">
        <v>30.5</v>
      </c>
      <c r="H1045">
        <v>0</v>
      </c>
      <c r="I1045">
        <v>11.4</v>
      </c>
      <c r="J1045">
        <v>39.1</v>
      </c>
      <c r="K1045">
        <v>0</v>
      </c>
      <c r="L1045" s="2"/>
    </row>
    <row r="1046" spans="1:12" x14ac:dyDescent="0.25">
      <c r="A1046" s="2" t="s">
        <v>30</v>
      </c>
      <c r="B1046" s="2" t="s">
        <v>31</v>
      </c>
      <c r="C1046" s="2" t="s">
        <v>32</v>
      </c>
      <c r="D1046" s="2" t="s">
        <v>99</v>
      </c>
      <c r="E1046">
        <v>6.5</v>
      </c>
      <c r="F1046">
        <v>0</v>
      </c>
      <c r="G1046">
        <v>30.5</v>
      </c>
      <c r="H1046">
        <v>0</v>
      </c>
      <c r="I1046">
        <v>11.4</v>
      </c>
      <c r="J1046">
        <v>64.2</v>
      </c>
      <c r="K1046">
        <v>0</v>
      </c>
      <c r="L1046" s="2"/>
    </row>
    <row r="1047" spans="1:12" x14ac:dyDescent="0.25">
      <c r="A1047" s="2" t="s">
        <v>30</v>
      </c>
      <c r="B1047" s="2" t="s">
        <v>31</v>
      </c>
      <c r="C1047" s="2" t="s">
        <v>32</v>
      </c>
      <c r="D1047" s="2" t="s">
        <v>99</v>
      </c>
      <c r="E1047">
        <v>7.4286000000000003</v>
      </c>
      <c r="F1047">
        <v>0</v>
      </c>
      <c r="G1047">
        <v>30.5</v>
      </c>
      <c r="H1047">
        <v>0</v>
      </c>
      <c r="I1047">
        <v>11.4</v>
      </c>
      <c r="J1047">
        <v>89.2</v>
      </c>
      <c r="K1047">
        <v>0</v>
      </c>
      <c r="L1047" s="2"/>
    </row>
    <row r="1048" spans="1:12" x14ac:dyDescent="0.25">
      <c r="A1048" s="2" t="s">
        <v>30</v>
      </c>
      <c r="B1048" s="2" t="s">
        <v>31</v>
      </c>
      <c r="C1048" s="2" t="s">
        <v>32</v>
      </c>
      <c r="D1048" s="2" t="s">
        <v>99</v>
      </c>
      <c r="E1048">
        <v>8.3571000000000009</v>
      </c>
      <c r="F1048">
        <v>0</v>
      </c>
      <c r="G1048">
        <v>30.5</v>
      </c>
      <c r="H1048">
        <v>0</v>
      </c>
      <c r="I1048">
        <v>11.4</v>
      </c>
      <c r="J1048">
        <v>114</v>
      </c>
      <c r="K1048">
        <v>0</v>
      </c>
      <c r="L1048" s="2"/>
    </row>
    <row r="1049" spans="1:12" x14ac:dyDescent="0.25">
      <c r="A1049" s="2" t="s">
        <v>30</v>
      </c>
      <c r="B1049" s="2" t="s">
        <v>31</v>
      </c>
      <c r="C1049" s="2" t="s">
        <v>32</v>
      </c>
      <c r="D1049" s="2" t="s">
        <v>99</v>
      </c>
      <c r="E1049">
        <v>9.2857000000000003</v>
      </c>
      <c r="F1049">
        <v>0</v>
      </c>
      <c r="G1049">
        <v>30.5</v>
      </c>
      <c r="H1049">
        <v>0</v>
      </c>
      <c r="I1049">
        <v>11.4</v>
      </c>
      <c r="J1049">
        <v>138.69999999999999</v>
      </c>
      <c r="K1049">
        <v>0</v>
      </c>
      <c r="L1049" s="2"/>
    </row>
    <row r="1050" spans="1:12" x14ac:dyDescent="0.25">
      <c r="A1050" s="2" t="s">
        <v>30</v>
      </c>
      <c r="B1050" s="2" t="s">
        <v>31</v>
      </c>
      <c r="C1050" s="2" t="s">
        <v>32</v>
      </c>
      <c r="D1050" s="2" t="s">
        <v>99</v>
      </c>
      <c r="E1050">
        <v>10.2143</v>
      </c>
      <c r="F1050">
        <v>0</v>
      </c>
      <c r="G1050">
        <v>30.5</v>
      </c>
      <c r="H1050">
        <v>0</v>
      </c>
      <c r="I1050">
        <v>11.4</v>
      </c>
      <c r="J1050">
        <v>163.1</v>
      </c>
      <c r="K1050">
        <v>0</v>
      </c>
      <c r="L1050" s="2"/>
    </row>
    <row r="1051" spans="1:12" x14ac:dyDescent="0.25">
      <c r="A1051" s="2" t="s">
        <v>30</v>
      </c>
      <c r="B1051" s="2" t="s">
        <v>31</v>
      </c>
      <c r="C1051" s="2" t="s">
        <v>32</v>
      </c>
      <c r="D1051" s="2" t="s">
        <v>99</v>
      </c>
      <c r="E1051">
        <v>11.142899999999999</v>
      </c>
      <c r="F1051">
        <v>0</v>
      </c>
      <c r="G1051">
        <v>30.5</v>
      </c>
      <c r="H1051">
        <v>0</v>
      </c>
      <c r="I1051">
        <v>11.4</v>
      </c>
      <c r="J1051">
        <v>187.2</v>
      </c>
      <c r="K1051">
        <v>0</v>
      </c>
      <c r="L1051" s="2"/>
    </row>
    <row r="1052" spans="1:12" x14ac:dyDescent="0.25">
      <c r="A1052" s="2" t="s">
        <v>30</v>
      </c>
      <c r="B1052" s="2" t="s">
        <v>31</v>
      </c>
      <c r="C1052" s="2" t="s">
        <v>32</v>
      </c>
      <c r="D1052" s="2" t="s">
        <v>99</v>
      </c>
      <c r="E1052">
        <v>12.071400000000001</v>
      </c>
      <c r="F1052">
        <v>0</v>
      </c>
      <c r="G1052">
        <v>30.5</v>
      </c>
      <c r="H1052">
        <v>0</v>
      </c>
      <c r="I1052">
        <v>11.4</v>
      </c>
      <c r="J1052">
        <v>211.1</v>
      </c>
      <c r="K1052">
        <v>0</v>
      </c>
      <c r="L1052" s="2"/>
    </row>
    <row r="1053" spans="1:12" x14ac:dyDescent="0.25">
      <c r="A1053" s="2" t="s">
        <v>30</v>
      </c>
      <c r="B1053" s="2" t="s">
        <v>31</v>
      </c>
      <c r="C1053" s="2" t="s">
        <v>32</v>
      </c>
      <c r="D1053" s="2" t="s">
        <v>99</v>
      </c>
      <c r="E1053">
        <v>13</v>
      </c>
      <c r="F1053">
        <v>0</v>
      </c>
      <c r="G1053">
        <v>30.5</v>
      </c>
      <c r="H1053">
        <v>0</v>
      </c>
      <c r="I1053">
        <v>11.4</v>
      </c>
      <c r="J1053">
        <v>234.5</v>
      </c>
      <c r="K1053">
        <v>0</v>
      </c>
      <c r="L1053" s="2"/>
    </row>
    <row r="1054" spans="1:12" x14ac:dyDescent="0.25">
      <c r="A1054" s="2" t="s">
        <v>30</v>
      </c>
      <c r="B1054" s="2" t="s">
        <v>31</v>
      </c>
      <c r="C1054" s="2" t="s">
        <v>32</v>
      </c>
      <c r="D1054" s="2" t="s">
        <v>99</v>
      </c>
      <c r="E1054">
        <v>0</v>
      </c>
      <c r="F1054">
        <v>-7888.1</v>
      </c>
      <c r="G1054">
        <v>0</v>
      </c>
      <c r="H1054">
        <v>-26</v>
      </c>
      <c r="I1054">
        <v>0</v>
      </c>
      <c r="J1054">
        <v>-111.7</v>
      </c>
      <c r="K1054">
        <v>0</v>
      </c>
      <c r="L1054" s="2"/>
    </row>
    <row r="1055" spans="1:12" x14ac:dyDescent="0.25">
      <c r="A1055" s="2" t="s">
        <v>30</v>
      </c>
      <c r="B1055" s="2" t="s">
        <v>31</v>
      </c>
      <c r="C1055" s="2" t="s">
        <v>32</v>
      </c>
      <c r="D1055" s="2" t="s">
        <v>99</v>
      </c>
      <c r="E1055">
        <v>0.92859999999999998</v>
      </c>
      <c r="F1055">
        <v>-7852.4</v>
      </c>
      <c r="G1055">
        <v>0</v>
      </c>
      <c r="H1055">
        <v>-26</v>
      </c>
      <c r="I1055">
        <v>0</v>
      </c>
      <c r="J1055">
        <v>-86.9</v>
      </c>
      <c r="K1055">
        <v>0</v>
      </c>
      <c r="L1055" s="2"/>
    </row>
    <row r="1056" spans="1:12" x14ac:dyDescent="0.25">
      <c r="A1056" s="2" t="s">
        <v>30</v>
      </c>
      <c r="B1056" s="2" t="s">
        <v>31</v>
      </c>
      <c r="C1056" s="2" t="s">
        <v>32</v>
      </c>
      <c r="D1056" s="2" t="s">
        <v>99</v>
      </c>
      <c r="E1056">
        <v>1.8571</v>
      </c>
      <c r="F1056">
        <v>-7816.7</v>
      </c>
      <c r="G1056">
        <v>0</v>
      </c>
      <c r="H1056">
        <v>-26</v>
      </c>
      <c r="I1056">
        <v>0</v>
      </c>
      <c r="J1056">
        <v>-62.2</v>
      </c>
      <c r="K1056">
        <v>0</v>
      </c>
      <c r="L1056" s="2"/>
    </row>
    <row r="1057" spans="1:12" x14ac:dyDescent="0.25">
      <c r="A1057" s="2" t="s">
        <v>30</v>
      </c>
      <c r="B1057" s="2" t="s">
        <v>31</v>
      </c>
      <c r="C1057" s="2" t="s">
        <v>32</v>
      </c>
      <c r="D1057" s="2" t="s">
        <v>99</v>
      </c>
      <c r="E1057">
        <v>2.7856999999999998</v>
      </c>
      <c r="F1057">
        <v>-7780.9</v>
      </c>
      <c r="G1057">
        <v>0</v>
      </c>
      <c r="H1057">
        <v>-26</v>
      </c>
      <c r="I1057">
        <v>0</v>
      </c>
      <c r="J1057">
        <v>-37.5</v>
      </c>
      <c r="K1057">
        <v>0</v>
      </c>
      <c r="L1057" s="2"/>
    </row>
    <row r="1058" spans="1:12" x14ac:dyDescent="0.25">
      <c r="A1058" s="2" t="s">
        <v>30</v>
      </c>
      <c r="B1058" s="2" t="s">
        <v>31</v>
      </c>
      <c r="C1058" s="2" t="s">
        <v>32</v>
      </c>
      <c r="D1058" s="2" t="s">
        <v>99</v>
      </c>
      <c r="E1058">
        <v>3.7143000000000002</v>
      </c>
      <c r="F1058">
        <v>-7745.2</v>
      </c>
      <c r="G1058">
        <v>0</v>
      </c>
      <c r="H1058">
        <v>-26</v>
      </c>
      <c r="I1058">
        <v>0</v>
      </c>
      <c r="J1058">
        <v>-12.6</v>
      </c>
      <c r="K1058">
        <v>0</v>
      </c>
      <c r="L1058" s="2"/>
    </row>
    <row r="1059" spans="1:12" x14ac:dyDescent="0.25">
      <c r="A1059" s="2" t="s">
        <v>30</v>
      </c>
      <c r="B1059" s="2" t="s">
        <v>31</v>
      </c>
      <c r="C1059" s="2" t="s">
        <v>32</v>
      </c>
      <c r="D1059" s="2" t="s">
        <v>99</v>
      </c>
      <c r="E1059">
        <v>4.6429</v>
      </c>
      <c r="F1059">
        <v>-7709.5</v>
      </c>
      <c r="G1059">
        <v>0</v>
      </c>
      <c r="H1059">
        <v>-26</v>
      </c>
      <c r="I1059">
        <v>0</v>
      </c>
      <c r="J1059">
        <v>0</v>
      </c>
      <c r="K1059">
        <v>-20.3</v>
      </c>
      <c r="L1059" s="2"/>
    </row>
    <row r="1060" spans="1:12" x14ac:dyDescent="0.25">
      <c r="A1060" s="2" t="s">
        <v>30</v>
      </c>
      <c r="B1060" s="2" t="s">
        <v>31</v>
      </c>
      <c r="C1060" s="2" t="s">
        <v>32</v>
      </c>
      <c r="D1060" s="2" t="s">
        <v>99</v>
      </c>
      <c r="E1060">
        <v>5.5713999999999997</v>
      </c>
      <c r="F1060">
        <v>-7673.7</v>
      </c>
      <c r="G1060">
        <v>0</v>
      </c>
      <c r="H1060">
        <v>-26</v>
      </c>
      <c r="I1060">
        <v>0</v>
      </c>
      <c r="J1060">
        <v>0</v>
      </c>
      <c r="K1060">
        <v>-49.5</v>
      </c>
      <c r="L1060" s="2"/>
    </row>
    <row r="1061" spans="1:12" x14ac:dyDescent="0.25">
      <c r="A1061" s="2" t="s">
        <v>30</v>
      </c>
      <c r="B1061" s="2" t="s">
        <v>31</v>
      </c>
      <c r="C1061" s="2" t="s">
        <v>32</v>
      </c>
      <c r="D1061" s="2" t="s">
        <v>99</v>
      </c>
      <c r="E1061">
        <v>6.5</v>
      </c>
      <c r="F1061">
        <v>-7638</v>
      </c>
      <c r="G1061">
        <v>0</v>
      </c>
      <c r="H1061">
        <v>-26</v>
      </c>
      <c r="I1061">
        <v>0</v>
      </c>
      <c r="J1061">
        <v>0</v>
      </c>
      <c r="K1061">
        <v>-78.599999999999994</v>
      </c>
      <c r="L1061" s="2"/>
    </row>
    <row r="1062" spans="1:12" x14ac:dyDescent="0.25">
      <c r="A1062" s="2" t="s">
        <v>30</v>
      </c>
      <c r="B1062" s="2" t="s">
        <v>31</v>
      </c>
      <c r="C1062" s="2" t="s">
        <v>32</v>
      </c>
      <c r="D1062" s="2" t="s">
        <v>99</v>
      </c>
      <c r="E1062">
        <v>7.4286000000000003</v>
      </c>
      <c r="F1062">
        <v>-7602.3</v>
      </c>
      <c r="G1062">
        <v>0</v>
      </c>
      <c r="H1062">
        <v>-26</v>
      </c>
      <c r="I1062">
        <v>0</v>
      </c>
      <c r="J1062">
        <v>0</v>
      </c>
      <c r="K1062">
        <v>-107.6</v>
      </c>
      <c r="L1062" s="2"/>
    </row>
    <row r="1063" spans="1:12" x14ac:dyDescent="0.25">
      <c r="A1063" s="2" t="s">
        <v>30</v>
      </c>
      <c r="B1063" s="2" t="s">
        <v>31</v>
      </c>
      <c r="C1063" s="2" t="s">
        <v>32</v>
      </c>
      <c r="D1063" s="2" t="s">
        <v>99</v>
      </c>
      <c r="E1063">
        <v>8.3571000000000009</v>
      </c>
      <c r="F1063">
        <v>-7566.5</v>
      </c>
      <c r="G1063">
        <v>0</v>
      </c>
      <c r="H1063">
        <v>-26</v>
      </c>
      <c r="I1063">
        <v>0</v>
      </c>
      <c r="J1063">
        <v>0</v>
      </c>
      <c r="K1063">
        <v>-136.30000000000001</v>
      </c>
      <c r="L1063" s="2"/>
    </row>
    <row r="1064" spans="1:12" x14ac:dyDescent="0.25">
      <c r="A1064" s="2" t="s">
        <v>30</v>
      </c>
      <c r="B1064" s="2" t="s">
        <v>31</v>
      </c>
      <c r="C1064" s="2" t="s">
        <v>32</v>
      </c>
      <c r="D1064" s="2" t="s">
        <v>99</v>
      </c>
      <c r="E1064">
        <v>9.2857000000000003</v>
      </c>
      <c r="F1064">
        <v>-7530.8</v>
      </c>
      <c r="G1064">
        <v>0</v>
      </c>
      <c r="H1064">
        <v>-26</v>
      </c>
      <c r="I1064">
        <v>0</v>
      </c>
      <c r="J1064">
        <v>0</v>
      </c>
      <c r="K1064">
        <v>-164.9</v>
      </c>
      <c r="L1064" s="2"/>
    </row>
    <row r="1065" spans="1:12" x14ac:dyDescent="0.25">
      <c r="A1065" s="2" t="s">
        <v>30</v>
      </c>
      <c r="B1065" s="2" t="s">
        <v>31</v>
      </c>
      <c r="C1065" s="2" t="s">
        <v>32</v>
      </c>
      <c r="D1065" s="2" t="s">
        <v>99</v>
      </c>
      <c r="E1065">
        <v>10.2143</v>
      </c>
      <c r="F1065">
        <v>-7495.1</v>
      </c>
      <c r="G1065">
        <v>0</v>
      </c>
      <c r="H1065">
        <v>-26</v>
      </c>
      <c r="I1065">
        <v>0</v>
      </c>
      <c r="J1065">
        <v>0</v>
      </c>
      <c r="K1065">
        <v>-193.2</v>
      </c>
      <c r="L1065" s="2"/>
    </row>
    <row r="1066" spans="1:12" x14ac:dyDescent="0.25">
      <c r="A1066" s="2" t="s">
        <v>30</v>
      </c>
      <c r="B1066" s="2" t="s">
        <v>31</v>
      </c>
      <c r="C1066" s="2" t="s">
        <v>32</v>
      </c>
      <c r="D1066" s="2" t="s">
        <v>99</v>
      </c>
      <c r="E1066">
        <v>11.142899999999999</v>
      </c>
      <c r="F1066">
        <v>-7459.3</v>
      </c>
      <c r="G1066">
        <v>0</v>
      </c>
      <c r="H1066">
        <v>-26</v>
      </c>
      <c r="I1066">
        <v>0</v>
      </c>
      <c r="J1066">
        <v>0</v>
      </c>
      <c r="K1066">
        <v>-221.1</v>
      </c>
      <c r="L1066" s="2"/>
    </row>
    <row r="1067" spans="1:12" x14ac:dyDescent="0.25">
      <c r="A1067" s="2" t="s">
        <v>30</v>
      </c>
      <c r="B1067" s="2" t="s">
        <v>31</v>
      </c>
      <c r="C1067" s="2" t="s">
        <v>32</v>
      </c>
      <c r="D1067" s="2" t="s">
        <v>99</v>
      </c>
      <c r="E1067">
        <v>12.071400000000001</v>
      </c>
      <c r="F1067">
        <v>-7423.6</v>
      </c>
      <c r="G1067">
        <v>0</v>
      </c>
      <c r="H1067">
        <v>-26</v>
      </c>
      <c r="I1067">
        <v>0</v>
      </c>
      <c r="J1067">
        <v>0</v>
      </c>
      <c r="K1067">
        <v>-248.7</v>
      </c>
      <c r="L1067" s="2"/>
    </row>
    <row r="1068" spans="1:12" x14ac:dyDescent="0.25">
      <c r="A1068" s="2" t="s">
        <v>30</v>
      </c>
      <c r="B1068" s="2" t="s">
        <v>31</v>
      </c>
      <c r="C1068" s="2" t="s">
        <v>32</v>
      </c>
      <c r="D1068" s="2" t="s">
        <v>99</v>
      </c>
      <c r="E1068">
        <v>13</v>
      </c>
      <c r="F1068">
        <v>-7387.9</v>
      </c>
      <c r="G1068">
        <v>0</v>
      </c>
      <c r="H1068">
        <v>-26</v>
      </c>
      <c r="I1068">
        <v>0</v>
      </c>
      <c r="J1068">
        <v>0</v>
      </c>
      <c r="K1068">
        <v>-275.89999999999998</v>
      </c>
      <c r="L1068" s="2"/>
    </row>
    <row r="1069" spans="1:12" x14ac:dyDescent="0.25">
      <c r="A1069" s="2" t="s">
        <v>30</v>
      </c>
      <c r="B1069" s="2" t="s">
        <v>31</v>
      </c>
      <c r="C1069" s="2" t="s">
        <v>32</v>
      </c>
      <c r="D1069" s="2" t="s">
        <v>33</v>
      </c>
      <c r="E1069">
        <v>0</v>
      </c>
      <c r="F1069">
        <v>-16532.2</v>
      </c>
      <c r="G1069">
        <v>15.4</v>
      </c>
      <c r="H1069">
        <v>-0.7</v>
      </c>
      <c r="I1069">
        <v>29.6</v>
      </c>
      <c r="J1069">
        <v>0.4</v>
      </c>
      <c r="K1069">
        <v>116.3</v>
      </c>
      <c r="L1069" s="2"/>
    </row>
    <row r="1070" spans="1:12" x14ac:dyDescent="0.25">
      <c r="A1070" s="2" t="s">
        <v>30</v>
      </c>
      <c r="B1070" s="2" t="s">
        <v>31</v>
      </c>
      <c r="C1070" s="2" t="s">
        <v>32</v>
      </c>
      <c r="D1070" s="2" t="s">
        <v>33</v>
      </c>
      <c r="E1070">
        <v>0.92859999999999998</v>
      </c>
      <c r="F1070">
        <v>-16482.099999999999</v>
      </c>
      <c r="G1070">
        <v>15.4</v>
      </c>
      <c r="H1070">
        <v>-0.7</v>
      </c>
      <c r="I1070">
        <v>29.6</v>
      </c>
      <c r="J1070">
        <v>3.6</v>
      </c>
      <c r="K1070">
        <v>102.7</v>
      </c>
      <c r="L1070" s="2"/>
    </row>
    <row r="1071" spans="1:12" x14ac:dyDescent="0.25">
      <c r="A1071" s="2" t="s">
        <v>30</v>
      </c>
      <c r="B1071" s="2" t="s">
        <v>31</v>
      </c>
      <c r="C1071" s="2" t="s">
        <v>32</v>
      </c>
      <c r="D1071" s="2" t="s">
        <v>33</v>
      </c>
      <c r="E1071">
        <v>1.8571</v>
      </c>
      <c r="F1071">
        <v>-16432.099999999999</v>
      </c>
      <c r="G1071">
        <v>15.4</v>
      </c>
      <c r="H1071">
        <v>-0.7</v>
      </c>
      <c r="I1071">
        <v>29.6</v>
      </c>
      <c r="J1071">
        <v>6.8</v>
      </c>
      <c r="K1071">
        <v>88.8</v>
      </c>
      <c r="L1071" s="2"/>
    </row>
    <row r="1072" spans="1:12" x14ac:dyDescent="0.25">
      <c r="A1072" s="2" t="s">
        <v>30</v>
      </c>
      <c r="B1072" s="2" t="s">
        <v>31</v>
      </c>
      <c r="C1072" s="2" t="s">
        <v>32</v>
      </c>
      <c r="D1072" s="2" t="s">
        <v>33</v>
      </c>
      <c r="E1072">
        <v>2.7856999999999998</v>
      </c>
      <c r="F1072">
        <v>-16382.1</v>
      </c>
      <c r="G1072">
        <v>15.4</v>
      </c>
      <c r="H1072">
        <v>-0.7</v>
      </c>
      <c r="I1072">
        <v>29.6</v>
      </c>
      <c r="J1072">
        <v>9.9</v>
      </c>
      <c r="K1072">
        <v>74.5</v>
      </c>
      <c r="L1072" s="2"/>
    </row>
    <row r="1073" spans="1:12" x14ac:dyDescent="0.25">
      <c r="A1073" s="2" t="s">
        <v>30</v>
      </c>
      <c r="B1073" s="2" t="s">
        <v>31</v>
      </c>
      <c r="C1073" s="2" t="s">
        <v>32</v>
      </c>
      <c r="D1073" s="2" t="s">
        <v>33</v>
      </c>
      <c r="E1073">
        <v>3.7143000000000002</v>
      </c>
      <c r="F1073">
        <v>-16332.1</v>
      </c>
      <c r="G1073">
        <v>15.4</v>
      </c>
      <c r="H1073">
        <v>-0.7</v>
      </c>
      <c r="I1073">
        <v>29.6</v>
      </c>
      <c r="J1073">
        <v>13</v>
      </c>
      <c r="K1073">
        <v>60.1</v>
      </c>
      <c r="L1073" s="2"/>
    </row>
    <row r="1074" spans="1:12" x14ac:dyDescent="0.25">
      <c r="A1074" s="2" t="s">
        <v>30</v>
      </c>
      <c r="B1074" s="2" t="s">
        <v>31</v>
      </c>
      <c r="C1074" s="2" t="s">
        <v>32</v>
      </c>
      <c r="D1074" s="2" t="s">
        <v>33</v>
      </c>
      <c r="E1074">
        <v>4.6429</v>
      </c>
      <c r="F1074">
        <v>-16282</v>
      </c>
      <c r="G1074">
        <v>15.4</v>
      </c>
      <c r="H1074">
        <v>-0.7</v>
      </c>
      <c r="I1074">
        <v>29.6</v>
      </c>
      <c r="J1074">
        <v>16</v>
      </c>
      <c r="K1074">
        <v>45.4</v>
      </c>
      <c r="L1074" s="2"/>
    </row>
    <row r="1075" spans="1:12" x14ac:dyDescent="0.25">
      <c r="A1075" s="2" t="s">
        <v>30</v>
      </c>
      <c r="B1075" s="2" t="s">
        <v>31</v>
      </c>
      <c r="C1075" s="2" t="s">
        <v>32</v>
      </c>
      <c r="D1075" s="2" t="s">
        <v>33</v>
      </c>
      <c r="E1075">
        <v>5.5713999999999997</v>
      </c>
      <c r="F1075">
        <v>-16232</v>
      </c>
      <c r="G1075">
        <v>15.4</v>
      </c>
      <c r="H1075">
        <v>-0.7</v>
      </c>
      <c r="I1075">
        <v>29.6</v>
      </c>
      <c r="J1075">
        <v>19</v>
      </c>
      <c r="K1075">
        <v>30.6</v>
      </c>
      <c r="L1075" s="2"/>
    </row>
    <row r="1076" spans="1:12" x14ac:dyDescent="0.25">
      <c r="A1076" s="2" t="s">
        <v>30</v>
      </c>
      <c r="B1076" s="2" t="s">
        <v>31</v>
      </c>
      <c r="C1076" s="2" t="s">
        <v>32</v>
      </c>
      <c r="D1076" s="2" t="s">
        <v>33</v>
      </c>
      <c r="E1076">
        <v>6.5</v>
      </c>
      <c r="F1076">
        <v>-16182</v>
      </c>
      <c r="G1076">
        <v>15.4</v>
      </c>
      <c r="H1076">
        <v>-0.7</v>
      </c>
      <c r="I1076">
        <v>29.6</v>
      </c>
      <c r="J1076">
        <v>22</v>
      </c>
      <c r="K1076">
        <v>15.7</v>
      </c>
      <c r="L1076" s="2"/>
    </row>
    <row r="1077" spans="1:12" x14ac:dyDescent="0.25">
      <c r="A1077" s="2" t="s">
        <v>30</v>
      </c>
      <c r="B1077" s="2" t="s">
        <v>31</v>
      </c>
      <c r="C1077" s="2" t="s">
        <v>32</v>
      </c>
      <c r="D1077" s="2" t="s">
        <v>33</v>
      </c>
      <c r="E1077">
        <v>7.4286000000000003</v>
      </c>
      <c r="F1077">
        <v>-16131.9</v>
      </c>
      <c r="G1077">
        <v>15.4</v>
      </c>
      <c r="H1077">
        <v>-0.7</v>
      </c>
      <c r="I1077">
        <v>29.6</v>
      </c>
      <c r="J1077">
        <v>24.8</v>
      </c>
      <c r="K1077">
        <v>0.7</v>
      </c>
      <c r="L1077" s="2"/>
    </row>
    <row r="1078" spans="1:12" x14ac:dyDescent="0.25">
      <c r="A1078" s="2" t="s">
        <v>30</v>
      </c>
      <c r="B1078" s="2" t="s">
        <v>31</v>
      </c>
      <c r="C1078" s="2" t="s">
        <v>32</v>
      </c>
      <c r="D1078" s="2" t="s">
        <v>33</v>
      </c>
      <c r="E1078">
        <v>8.3571000000000009</v>
      </c>
      <c r="F1078">
        <v>-16081.9</v>
      </c>
      <c r="G1078">
        <v>15.4</v>
      </c>
      <c r="H1078">
        <v>-0.7</v>
      </c>
      <c r="I1078">
        <v>29.6</v>
      </c>
      <c r="J1078">
        <v>27.6</v>
      </c>
      <c r="K1078">
        <v>-14.2</v>
      </c>
      <c r="L1078" s="2"/>
    </row>
    <row r="1079" spans="1:12" x14ac:dyDescent="0.25">
      <c r="A1079" s="2" t="s">
        <v>30</v>
      </c>
      <c r="B1079" s="2" t="s">
        <v>31</v>
      </c>
      <c r="C1079" s="2" t="s">
        <v>32</v>
      </c>
      <c r="D1079" s="2" t="s">
        <v>33</v>
      </c>
      <c r="E1079">
        <v>9.2857000000000003</v>
      </c>
      <c r="F1079">
        <v>-16031.9</v>
      </c>
      <c r="G1079">
        <v>15.4</v>
      </c>
      <c r="H1079">
        <v>-0.7</v>
      </c>
      <c r="I1079">
        <v>29.6</v>
      </c>
      <c r="J1079">
        <v>30.3</v>
      </c>
      <c r="K1079">
        <v>-29.1</v>
      </c>
      <c r="L1079" s="2"/>
    </row>
    <row r="1080" spans="1:12" x14ac:dyDescent="0.25">
      <c r="A1080" s="2" t="s">
        <v>30</v>
      </c>
      <c r="B1080" s="2" t="s">
        <v>31</v>
      </c>
      <c r="C1080" s="2" t="s">
        <v>32</v>
      </c>
      <c r="D1080" s="2" t="s">
        <v>33</v>
      </c>
      <c r="E1080">
        <v>10.2143</v>
      </c>
      <c r="F1080">
        <v>-15981.8</v>
      </c>
      <c r="G1080">
        <v>15.4</v>
      </c>
      <c r="H1080">
        <v>-0.7</v>
      </c>
      <c r="I1080">
        <v>29.6</v>
      </c>
      <c r="J1080">
        <v>33</v>
      </c>
      <c r="K1080">
        <v>-43.9</v>
      </c>
      <c r="L1080" s="2"/>
    </row>
    <row r="1081" spans="1:12" x14ac:dyDescent="0.25">
      <c r="A1081" s="2" t="s">
        <v>30</v>
      </c>
      <c r="B1081" s="2" t="s">
        <v>31</v>
      </c>
      <c r="C1081" s="2" t="s">
        <v>32</v>
      </c>
      <c r="D1081" s="2" t="s">
        <v>33</v>
      </c>
      <c r="E1081">
        <v>11.142899999999999</v>
      </c>
      <c r="F1081">
        <v>-15931.8</v>
      </c>
      <c r="G1081">
        <v>15.4</v>
      </c>
      <c r="H1081">
        <v>-0.7</v>
      </c>
      <c r="I1081">
        <v>29.6</v>
      </c>
      <c r="J1081">
        <v>35.5</v>
      </c>
      <c r="K1081">
        <v>-58.6</v>
      </c>
      <c r="L1081" s="2"/>
    </row>
    <row r="1082" spans="1:12" x14ac:dyDescent="0.25">
      <c r="A1082" s="2" t="s">
        <v>30</v>
      </c>
      <c r="B1082" s="2" t="s">
        <v>31</v>
      </c>
      <c r="C1082" s="2" t="s">
        <v>32</v>
      </c>
      <c r="D1082" s="2" t="s">
        <v>33</v>
      </c>
      <c r="E1082">
        <v>12.071400000000001</v>
      </c>
      <c r="F1082">
        <v>-15881.8</v>
      </c>
      <c r="G1082">
        <v>15.4</v>
      </c>
      <c r="H1082">
        <v>-0.7</v>
      </c>
      <c r="I1082">
        <v>29.6</v>
      </c>
      <c r="J1082">
        <v>37.9</v>
      </c>
      <c r="K1082">
        <v>-73.099999999999994</v>
      </c>
      <c r="L1082" s="2"/>
    </row>
    <row r="1083" spans="1:12" x14ac:dyDescent="0.25">
      <c r="A1083" s="2" t="s">
        <v>30</v>
      </c>
      <c r="B1083" s="2" t="s">
        <v>31</v>
      </c>
      <c r="C1083" s="2" t="s">
        <v>32</v>
      </c>
      <c r="D1083" s="2" t="s">
        <v>33</v>
      </c>
      <c r="E1083">
        <v>13</v>
      </c>
      <c r="F1083">
        <v>-15831.8</v>
      </c>
      <c r="G1083">
        <v>15.4</v>
      </c>
      <c r="H1083">
        <v>-0.7</v>
      </c>
      <c r="I1083">
        <v>29.6</v>
      </c>
      <c r="J1083">
        <v>40.1</v>
      </c>
      <c r="K1083">
        <v>-87.4</v>
      </c>
      <c r="L1083" s="2"/>
    </row>
    <row r="1084" spans="1:12" x14ac:dyDescent="0.25">
      <c r="A1084" s="2" t="s">
        <v>30</v>
      </c>
      <c r="B1084" s="2" t="s">
        <v>31</v>
      </c>
      <c r="C1084" s="2" t="s">
        <v>32</v>
      </c>
      <c r="D1084" s="2" t="s">
        <v>34</v>
      </c>
      <c r="E1084">
        <v>0</v>
      </c>
      <c r="F1084">
        <v>-16757.2</v>
      </c>
      <c r="G1084">
        <v>22.5</v>
      </c>
      <c r="H1084">
        <v>2.7</v>
      </c>
      <c r="I1084">
        <v>35.5</v>
      </c>
      <c r="J1084">
        <v>31.1</v>
      </c>
      <c r="K1084">
        <v>165.5</v>
      </c>
      <c r="L1084" s="2"/>
    </row>
    <row r="1085" spans="1:12" x14ac:dyDescent="0.25">
      <c r="A1085" s="2" t="s">
        <v>30</v>
      </c>
      <c r="B1085" s="2" t="s">
        <v>31</v>
      </c>
      <c r="C1085" s="2" t="s">
        <v>32</v>
      </c>
      <c r="D1085" s="2" t="s">
        <v>34</v>
      </c>
      <c r="E1085">
        <v>0.92859999999999998</v>
      </c>
      <c r="F1085">
        <v>-16714.400000000001</v>
      </c>
      <c r="G1085">
        <v>22.5</v>
      </c>
      <c r="H1085">
        <v>2.7</v>
      </c>
      <c r="I1085">
        <v>35.5</v>
      </c>
      <c r="J1085">
        <v>31.5</v>
      </c>
      <c r="K1085">
        <v>146.30000000000001</v>
      </c>
      <c r="L1085" s="2"/>
    </row>
    <row r="1086" spans="1:12" x14ac:dyDescent="0.25">
      <c r="A1086" s="2" t="s">
        <v>30</v>
      </c>
      <c r="B1086" s="2" t="s">
        <v>31</v>
      </c>
      <c r="C1086" s="2" t="s">
        <v>32</v>
      </c>
      <c r="D1086" s="2" t="s">
        <v>34</v>
      </c>
      <c r="E1086">
        <v>1.8571</v>
      </c>
      <c r="F1086">
        <v>-16671.5</v>
      </c>
      <c r="G1086">
        <v>22.5</v>
      </c>
      <c r="H1086">
        <v>2.7</v>
      </c>
      <c r="I1086">
        <v>35.5</v>
      </c>
      <c r="J1086">
        <v>31.7</v>
      </c>
      <c r="K1086">
        <v>126.6</v>
      </c>
      <c r="L1086" s="2"/>
    </row>
    <row r="1087" spans="1:12" x14ac:dyDescent="0.25">
      <c r="A1087" s="2" t="s">
        <v>30</v>
      </c>
      <c r="B1087" s="2" t="s">
        <v>31</v>
      </c>
      <c r="C1087" s="2" t="s">
        <v>32</v>
      </c>
      <c r="D1087" s="2" t="s">
        <v>34</v>
      </c>
      <c r="E1087">
        <v>2.7856999999999998</v>
      </c>
      <c r="F1087">
        <v>-16628.599999999999</v>
      </c>
      <c r="G1087">
        <v>22.5</v>
      </c>
      <c r="H1087">
        <v>2.7</v>
      </c>
      <c r="I1087">
        <v>35.5</v>
      </c>
      <c r="J1087">
        <v>31.9</v>
      </c>
      <c r="K1087">
        <v>106.5</v>
      </c>
      <c r="L1087" s="2"/>
    </row>
    <row r="1088" spans="1:12" x14ac:dyDescent="0.25">
      <c r="A1088" s="2" t="s">
        <v>30</v>
      </c>
      <c r="B1088" s="2" t="s">
        <v>31</v>
      </c>
      <c r="C1088" s="2" t="s">
        <v>32</v>
      </c>
      <c r="D1088" s="2" t="s">
        <v>34</v>
      </c>
      <c r="E1088">
        <v>3.7143000000000002</v>
      </c>
      <c r="F1088">
        <v>-16585.7</v>
      </c>
      <c r="G1088">
        <v>22.5</v>
      </c>
      <c r="H1088">
        <v>2.7</v>
      </c>
      <c r="I1088">
        <v>35.5</v>
      </c>
      <c r="J1088">
        <v>31.9</v>
      </c>
      <c r="K1088">
        <v>86</v>
      </c>
      <c r="L1088" s="2"/>
    </row>
    <row r="1089" spans="1:12" x14ac:dyDescent="0.25">
      <c r="A1089" s="2" t="s">
        <v>30</v>
      </c>
      <c r="B1089" s="2" t="s">
        <v>31</v>
      </c>
      <c r="C1089" s="2" t="s">
        <v>32</v>
      </c>
      <c r="D1089" s="2" t="s">
        <v>34</v>
      </c>
      <c r="E1089">
        <v>4.6429</v>
      </c>
      <c r="F1089">
        <v>-16542.8</v>
      </c>
      <c r="G1089">
        <v>22.5</v>
      </c>
      <c r="H1089">
        <v>2.7</v>
      </c>
      <c r="I1089">
        <v>35.5</v>
      </c>
      <c r="J1089">
        <v>31.8</v>
      </c>
      <c r="K1089">
        <v>65.3</v>
      </c>
      <c r="L1089" s="2"/>
    </row>
    <row r="1090" spans="1:12" x14ac:dyDescent="0.25">
      <c r="A1090" s="2" t="s">
        <v>30</v>
      </c>
      <c r="B1090" s="2" t="s">
        <v>31</v>
      </c>
      <c r="C1090" s="2" t="s">
        <v>32</v>
      </c>
      <c r="D1090" s="2" t="s">
        <v>34</v>
      </c>
      <c r="E1090">
        <v>5.5713999999999997</v>
      </c>
      <c r="F1090">
        <v>-16499.900000000001</v>
      </c>
      <c r="G1090">
        <v>22.5</v>
      </c>
      <c r="H1090">
        <v>2.7</v>
      </c>
      <c r="I1090">
        <v>35.5</v>
      </c>
      <c r="J1090">
        <v>31.7</v>
      </c>
      <c r="K1090">
        <v>44.4</v>
      </c>
      <c r="L1090" s="2"/>
    </row>
    <row r="1091" spans="1:12" x14ac:dyDescent="0.25">
      <c r="A1091" s="2" t="s">
        <v>30</v>
      </c>
      <c r="B1091" s="2" t="s">
        <v>31</v>
      </c>
      <c r="C1091" s="2" t="s">
        <v>32</v>
      </c>
      <c r="D1091" s="2" t="s">
        <v>34</v>
      </c>
      <c r="E1091">
        <v>6.5</v>
      </c>
      <c r="F1091">
        <v>-16457.099999999999</v>
      </c>
      <c r="G1091">
        <v>22.5</v>
      </c>
      <c r="H1091">
        <v>2.7</v>
      </c>
      <c r="I1091">
        <v>35.5</v>
      </c>
      <c r="J1091">
        <v>31.4</v>
      </c>
      <c r="K1091">
        <v>23.3</v>
      </c>
      <c r="L1091" s="2"/>
    </row>
    <row r="1092" spans="1:12" x14ac:dyDescent="0.25">
      <c r="A1092" s="2" t="s">
        <v>30</v>
      </c>
      <c r="B1092" s="2" t="s">
        <v>31</v>
      </c>
      <c r="C1092" s="2" t="s">
        <v>32</v>
      </c>
      <c r="D1092" s="2" t="s">
        <v>34</v>
      </c>
      <c r="E1092">
        <v>7.4286000000000003</v>
      </c>
      <c r="F1092">
        <v>-16414.2</v>
      </c>
      <c r="G1092">
        <v>22.5</v>
      </c>
      <c r="H1092">
        <v>2.7</v>
      </c>
      <c r="I1092">
        <v>35.5</v>
      </c>
      <c r="J1092">
        <v>31</v>
      </c>
      <c r="K1092">
        <v>2.2000000000000002</v>
      </c>
      <c r="L1092" s="2"/>
    </row>
    <row r="1093" spans="1:12" x14ac:dyDescent="0.25">
      <c r="A1093" s="2" t="s">
        <v>30</v>
      </c>
      <c r="B1093" s="2" t="s">
        <v>31</v>
      </c>
      <c r="C1093" s="2" t="s">
        <v>32</v>
      </c>
      <c r="D1093" s="2" t="s">
        <v>34</v>
      </c>
      <c r="E1093">
        <v>8.3571000000000009</v>
      </c>
      <c r="F1093">
        <v>-16371.3</v>
      </c>
      <c r="G1093">
        <v>22.5</v>
      </c>
      <c r="H1093">
        <v>2.7</v>
      </c>
      <c r="I1093">
        <v>35.5</v>
      </c>
      <c r="J1093">
        <v>30.6</v>
      </c>
      <c r="K1093">
        <v>-18.899999999999999</v>
      </c>
      <c r="L1093" s="2"/>
    </row>
    <row r="1094" spans="1:12" x14ac:dyDescent="0.25">
      <c r="A1094" s="2" t="s">
        <v>30</v>
      </c>
      <c r="B1094" s="2" t="s">
        <v>31</v>
      </c>
      <c r="C1094" s="2" t="s">
        <v>32</v>
      </c>
      <c r="D1094" s="2" t="s">
        <v>34</v>
      </c>
      <c r="E1094">
        <v>9.2857000000000003</v>
      </c>
      <c r="F1094">
        <v>-16328.4</v>
      </c>
      <c r="G1094">
        <v>22.5</v>
      </c>
      <c r="H1094">
        <v>2.7</v>
      </c>
      <c r="I1094">
        <v>35.5</v>
      </c>
      <c r="J1094">
        <v>30</v>
      </c>
      <c r="K1094">
        <v>-40</v>
      </c>
      <c r="L1094" s="2"/>
    </row>
    <row r="1095" spans="1:12" x14ac:dyDescent="0.25">
      <c r="A1095" s="2" t="s">
        <v>30</v>
      </c>
      <c r="B1095" s="2" t="s">
        <v>31</v>
      </c>
      <c r="C1095" s="2" t="s">
        <v>32</v>
      </c>
      <c r="D1095" s="2" t="s">
        <v>34</v>
      </c>
      <c r="E1095">
        <v>10.2143</v>
      </c>
      <c r="F1095">
        <v>-16285.5</v>
      </c>
      <c r="G1095">
        <v>22.5</v>
      </c>
      <c r="H1095">
        <v>2.7</v>
      </c>
      <c r="I1095">
        <v>35.5</v>
      </c>
      <c r="J1095">
        <v>29.4</v>
      </c>
      <c r="K1095">
        <v>-61</v>
      </c>
      <c r="L1095" s="2"/>
    </row>
    <row r="1096" spans="1:12" x14ac:dyDescent="0.25">
      <c r="A1096" s="2" t="s">
        <v>30</v>
      </c>
      <c r="B1096" s="2" t="s">
        <v>31</v>
      </c>
      <c r="C1096" s="2" t="s">
        <v>32</v>
      </c>
      <c r="D1096" s="2" t="s">
        <v>34</v>
      </c>
      <c r="E1096">
        <v>11.142899999999999</v>
      </c>
      <c r="F1096">
        <v>-16242.6</v>
      </c>
      <c r="G1096">
        <v>22.5</v>
      </c>
      <c r="H1096">
        <v>2.7</v>
      </c>
      <c r="I1096">
        <v>35.5</v>
      </c>
      <c r="J1096">
        <v>28.6</v>
      </c>
      <c r="K1096">
        <v>-81.7</v>
      </c>
      <c r="L1096" s="2"/>
    </row>
    <row r="1097" spans="1:12" x14ac:dyDescent="0.25">
      <c r="A1097" s="2" t="s">
        <v>30</v>
      </c>
      <c r="B1097" s="2" t="s">
        <v>31</v>
      </c>
      <c r="C1097" s="2" t="s">
        <v>32</v>
      </c>
      <c r="D1097" s="2" t="s">
        <v>34</v>
      </c>
      <c r="E1097">
        <v>12.071400000000001</v>
      </c>
      <c r="F1097">
        <v>-16199.8</v>
      </c>
      <c r="G1097">
        <v>22.5</v>
      </c>
      <c r="H1097">
        <v>2.7</v>
      </c>
      <c r="I1097">
        <v>35.5</v>
      </c>
      <c r="J1097">
        <v>27.8</v>
      </c>
      <c r="K1097">
        <v>-102.2</v>
      </c>
      <c r="L1097" s="2"/>
    </row>
    <row r="1098" spans="1:12" x14ac:dyDescent="0.25">
      <c r="A1098" s="2" t="s">
        <v>30</v>
      </c>
      <c r="B1098" s="2" t="s">
        <v>31</v>
      </c>
      <c r="C1098" s="2" t="s">
        <v>32</v>
      </c>
      <c r="D1098" s="2" t="s">
        <v>34</v>
      </c>
      <c r="E1098">
        <v>13</v>
      </c>
      <c r="F1098">
        <v>-16156.9</v>
      </c>
      <c r="G1098">
        <v>22.5</v>
      </c>
      <c r="H1098">
        <v>2.7</v>
      </c>
      <c r="I1098">
        <v>35.5</v>
      </c>
      <c r="J1098">
        <v>26.9</v>
      </c>
      <c r="K1098">
        <v>-122.4</v>
      </c>
      <c r="L1098" s="2"/>
    </row>
    <row r="1099" spans="1:12" x14ac:dyDescent="0.25">
      <c r="A1099" s="2" t="s">
        <v>30</v>
      </c>
      <c r="B1099" s="2" t="s">
        <v>31</v>
      </c>
      <c r="C1099" s="2" t="s">
        <v>32</v>
      </c>
      <c r="D1099" s="2" t="s">
        <v>35</v>
      </c>
      <c r="E1099">
        <v>0</v>
      </c>
      <c r="F1099">
        <v>-15787.2</v>
      </c>
      <c r="G1099">
        <v>19</v>
      </c>
      <c r="H1099">
        <v>1.4</v>
      </c>
      <c r="I1099">
        <v>31.7</v>
      </c>
      <c r="J1099">
        <v>19.600000000000001</v>
      </c>
      <c r="K1099">
        <v>140.80000000000001</v>
      </c>
      <c r="L1099" s="2"/>
    </row>
    <row r="1100" spans="1:12" x14ac:dyDescent="0.25">
      <c r="A1100" s="2" t="s">
        <v>30</v>
      </c>
      <c r="B1100" s="2" t="s">
        <v>31</v>
      </c>
      <c r="C1100" s="2" t="s">
        <v>32</v>
      </c>
      <c r="D1100" s="2" t="s">
        <v>35</v>
      </c>
      <c r="E1100">
        <v>0.92859999999999998</v>
      </c>
      <c r="F1100">
        <v>-15744.3</v>
      </c>
      <c r="G1100">
        <v>19</v>
      </c>
      <c r="H1100">
        <v>1.4</v>
      </c>
      <c r="I1100">
        <v>31.7</v>
      </c>
      <c r="J1100">
        <v>20.8</v>
      </c>
      <c r="K1100">
        <v>124.4</v>
      </c>
      <c r="L1100" s="2"/>
    </row>
    <row r="1101" spans="1:12" x14ac:dyDescent="0.25">
      <c r="A1101" s="2" t="s">
        <v>30</v>
      </c>
      <c r="B1101" s="2" t="s">
        <v>31</v>
      </c>
      <c r="C1101" s="2" t="s">
        <v>32</v>
      </c>
      <c r="D1101" s="2" t="s">
        <v>35</v>
      </c>
      <c r="E1101">
        <v>1.8571</v>
      </c>
      <c r="F1101">
        <v>-15701.4</v>
      </c>
      <c r="G1101">
        <v>19</v>
      </c>
      <c r="H1101">
        <v>1.4</v>
      </c>
      <c r="I1101">
        <v>31.7</v>
      </c>
      <c r="J1101">
        <v>22</v>
      </c>
      <c r="K1101">
        <v>107.6</v>
      </c>
      <c r="L1101" s="2"/>
    </row>
    <row r="1102" spans="1:12" x14ac:dyDescent="0.25">
      <c r="A1102" s="2" t="s">
        <v>30</v>
      </c>
      <c r="B1102" s="2" t="s">
        <v>31</v>
      </c>
      <c r="C1102" s="2" t="s">
        <v>32</v>
      </c>
      <c r="D1102" s="2" t="s">
        <v>35</v>
      </c>
      <c r="E1102">
        <v>2.7856999999999998</v>
      </c>
      <c r="F1102">
        <v>-15658.5</v>
      </c>
      <c r="G1102">
        <v>19</v>
      </c>
      <c r="H1102">
        <v>1.4</v>
      </c>
      <c r="I1102">
        <v>31.7</v>
      </c>
      <c r="J1102">
        <v>23.1</v>
      </c>
      <c r="K1102">
        <v>90.5</v>
      </c>
      <c r="L1102" s="2"/>
    </row>
    <row r="1103" spans="1:12" x14ac:dyDescent="0.25">
      <c r="A1103" s="2" t="s">
        <v>30</v>
      </c>
      <c r="B1103" s="2" t="s">
        <v>31</v>
      </c>
      <c r="C1103" s="2" t="s">
        <v>32</v>
      </c>
      <c r="D1103" s="2" t="s">
        <v>35</v>
      </c>
      <c r="E1103">
        <v>3.7143000000000002</v>
      </c>
      <c r="F1103">
        <v>-15615.7</v>
      </c>
      <c r="G1103">
        <v>19</v>
      </c>
      <c r="H1103">
        <v>1.4</v>
      </c>
      <c r="I1103">
        <v>31.7</v>
      </c>
      <c r="J1103">
        <v>24.1</v>
      </c>
      <c r="K1103">
        <v>73.099999999999994</v>
      </c>
      <c r="L1103" s="2"/>
    </row>
    <row r="1104" spans="1:12" x14ac:dyDescent="0.25">
      <c r="A1104" s="2" t="s">
        <v>30</v>
      </c>
      <c r="B1104" s="2" t="s">
        <v>31</v>
      </c>
      <c r="C1104" s="2" t="s">
        <v>32</v>
      </c>
      <c r="D1104" s="2" t="s">
        <v>35</v>
      </c>
      <c r="E1104">
        <v>4.6429</v>
      </c>
      <c r="F1104">
        <v>-15572.8</v>
      </c>
      <c r="G1104">
        <v>19</v>
      </c>
      <c r="H1104">
        <v>1.4</v>
      </c>
      <c r="I1104">
        <v>31.7</v>
      </c>
      <c r="J1104">
        <v>25.1</v>
      </c>
      <c r="K1104">
        <v>55.4</v>
      </c>
      <c r="L1104" s="2"/>
    </row>
    <row r="1105" spans="1:12" x14ac:dyDescent="0.25">
      <c r="A1105" s="2" t="s">
        <v>30</v>
      </c>
      <c r="B1105" s="2" t="s">
        <v>31</v>
      </c>
      <c r="C1105" s="2" t="s">
        <v>32</v>
      </c>
      <c r="D1105" s="2" t="s">
        <v>35</v>
      </c>
      <c r="E1105">
        <v>5.5713999999999997</v>
      </c>
      <c r="F1105">
        <v>-15529.9</v>
      </c>
      <c r="G1105">
        <v>19</v>
      </c>
      <c r="H1105">
        <v>1.4</v>
      </c>
      <c r="I1105">
        <v>31.7</v>
      </c>
      <c r="J1105">
        <v>25.9</v>
      </c>
      <c r="K1105">
        <v>37.6</v>
      </c>
      <c r="L1105" s="2"/>
    </row>
    <row r="1106" spans="1:12" x14ac:dyDescent="0.25">
      <c r="A1106" s="2" t="s">
        <v>30</v>
      </c>
      <c r="B1106" s="2" t="s">
        <v>31</v>
      </c>
      <c r="C1106" s="2" t="s">
        <v>32</v>
      </c>
      <c r="D1106" s="2" t="s">
        <v>35</v>
      </c>
      <c r="E1106">
        <v>6.5</v>
      </c>
      <c r="F1106">
        <v>-15487</v>
      </c>
      <c r="G1106">
        <v>19</v>
      </c>
      <c r="H1106">
        <v>1.4</v>
      </c>
      <c r="I1106">
        <v>31.7</v>
      </c>
      <c r="J1106">
        <v>26.7</v>
      </c>
      <c r="K1106">
        <v>19.600000000000001</v>
      </c>
      <c r="L1106" s="2"/>
    </row>
    <row r="1107" spans="1:12" x14ac:dyDescent="0.25">
      <c r="A1107" s="2" t="s">
        <v>30</v>
      </c>
      <c r="B1107" s="2" t="s">
        <v>31</v>
      </c>
      <c r="C1107" s="2" t="s">
        <v>32</v>
      </c>
      <c r="D1107" s="2" t="s">
        <v>35</v>
      </c>
      <c r="E1107">
        <v>7.4286000000000003</v>
      </c>
      <c r="F1107">
        <v>-15444.1</v>
      </c>
      <c r="G1107">
        <v>19</v>
      </c>
      <c r="H1107">
        <v>1.4</v>
      </c>
      <c r="I1107">
        <v>31.7</v>
      </c>
      <c r="J1107">
        <v>27.4</v>
      </c>
      <c r="K1107">
        <v>1.6</v>
      </c>
      <c r="L1107" s="2"/>
    </row>
    <row r="1108" spans="1:12" x14ac:dyDescent="0.25">
      <c r="A1108" s="2" t="s">
        <v>30</v>
      </c>
      <c r="B1108" s="2" t="s">
        <v>31</v>
      </c>
      <c r="C1108" s="2" t="s">
        <v>32</v>
      </c>
      <c r="D1108" s="2" t="s">
        <v>35</v>
      </c>
      <c r="E1108">
        <v>8.3571000000000009</v>
      </c>
      <c r="F1108">
        <v>-15401.2</v>
      </c>
      <c r="G1108">
        <v>19</v>
      </c>
      <c r="H1108">
        <v>1.4</v>
      </c>
      <c r="I1108">
        <v>31.7</v>
      </c>
      <c r="J1108">
        <v>28</v>
      </c>
      <c r="K1108">
        <v>-16.399999999999999</v>
      </c>
      <c r="L1108" s="2"/>
    </row>
    <row r="1109" spans="1:12" x14ac:dyDescent="0.25">
      <c r="A1109" s="2" t="s">
        <v>30</v>
      </c>
      <c r="B1109" s="2" t="s">
        <v>31</v>
      </c>
      <c r="C1109" s="2" t="s">
        <v>32</v>
      </c>
      <c r="D1109" s="2" t="s">
        <v>35</v>
      </c>
      <c r="E1109">
        <v>9.2857000000000003</v>
      </c>
      <c r="F1109">
        <v>-15358.4</v>
      </c>
      <c r="G1109">
        <v>19</v>
      </c>
      <c r="H1109">
        <v>1.4</v>
      </c>
      <c r="I1109">
        <v>31.7</v>
      </c>
      <c r="J1109">
        <v>28.5</v>
      </c>
      <c r="K1109">
        <v>-34.4</v>
      </c>
      <c r="L1109" s="2"/>
    </row>
    <row r="1110" spans="1:12" x14ac:dyDescent="0.25">
      <c r="A1110" s="2" t="s">
        <v>30</v>
      </c>
      <c r="B1110" s="2" t="s">
        <v>31</v>
      </c>
      <c r="C1110" s="2" t="s">
        <v>32</v>
      </c>
      <c r="D1110" s="2" t="s">
        <v>35</v>
      </c>
      <c r="E1110">
        <v>10.2143</v>
      </c>
      <c r="F1110">
        <v>-15315.5</v>
      </c>
      <c r="G1110">
        <v>19</v>
      </c>
      <c r="H1110">
        <v>1.4</v>
      </c>
      <c r="I1110">
        <v>31.7</v>
      </c>
      <c r="J1110">
        <v>29</v>
      </c>
      <c r="K1110">
        <v>-52.2</v>
      </c>
      <c r="L1110" s="2"/>
    </row>
    <row r="1111" spans="1:12" x14ac:dyDescent="0.25">
      <c r="A1111" s="2" t="s">
        <v>30</v>
      </c>
      <c r="B1111" s="2" t="s">
        <v>31</v>
      </c>
      <c r="C1111" s="2" t="s">
        <v>32</v>
      </c>
      <c r="D1111" s="2" t="s">
        <v>35</v>
      </c>
      <c r="E1111">
        <v>11.142899999999999</v>
      </c>
      <c r="F1111">
        <v>-15272.6</v>
      </c>
      <c r="G1111">
        <v>19</v>
      </c>
      <c r="H1111">
        <v>1.4</v>
      </c>
      <c r="I1111">
        <v>31.7</v>
      </c>
      <c r="J1111">
        <v>29.3</v>
      </c>
      <c r="K1111">
        <v>-69.900000000000006</v>
      </c>
      <c r="L1111" s="2"/>
    </row>
    <row r="1112" spans="1:12" x14ac:dyDescent="0.25">
      <c r="A1112" s="2" t="s">
        <v>30</v>
      </c>
      <c r="B1112" s="2" t="s">
        <v>31</v>
      </c>
      <c r="C1112" s="2" t="s">
        <v>32</v>
      </c>
      <c r="D1112" s="2" t="s">
        <v>35</v>
      </c>
      <c r="E1112">
        <v>12.071400000000001</v>
      </c>
      <c r="F1112">
        <v>-15229.7</v>
      </c>
      <c r="G1112">
        <v>19</v>
      </c>
      <c r="H1112">
        <v>1.4</v>
      </c>
      <c r="I1112">
        <v>31.7</v>
      </c>
      <c r="J1112">
        <v>29.5</v>
      </c>
      <c r="K1112">
        <v>-87.4</v>
      </c>
      <c r="L1112" s="2"/>
    </row>
    <row r="1113" spans="1:12" x14ac:dyDescent="0.25">
      <c r="A1113" s="2" t="s">
        <v>30</v>
      </c>
      <c r="B1113" s="2" t="s">
        <v>31</v>
      </c>
      <c r="C1113" s="2" t="s">
        <v>32</v>
      </c>
      <c r="D1113" s="2" t="s">
        <v>35</v>
      </c>
      <c r="E1113">
        <v>13</v>
      </c>
      <c r="F1113">
        <v>-15186.8</v>
      </c>
      <c r="G1113">
        <v>19</v>
      </c>
      <c r="H1113">
        <v>1.4</v>
      </c>
      <c r="I1113">
        <v>31.7</v>
      </c>
      <c r="J1113">
        <v>29.7</v>
      </c>
      <c r="K1113">
        <v>-104.6</v>
      </c>
      <c r="L1113" s="2"/>
    </row>
    <row r="1114" spans="1:12" x14ac:dyDescent="0.25">
      <c r="A1114" s="2" t="s">
        <v>30</v>
      </c>
      <c r="B1114" s="2" t="s">
        <v>31</v>
      </c>
      <c r="C1114" s="2" t="s">
        <v>32</v>
      </c>
      <c r="D1114" s="2" t="s">
        <v>36</v>
      </c>
      <c r="E1114">
        <v>0</v>
      </c>
      <c r="F1114">
        <v>-13882.7</v>
      </c>
      <c r="G1114">
        <v>27</v>
      </c>
      <c r="H1114">
        <v>77.900000000000006</v>
      </c>
      <c r="I1114">
        <v>99.6</v>
      </c>
      <c r="J1114">
        <v>276.2</v>
      </c>
      <c r="K1114">
        <v>133.5</v>
      </c>
      <c r="L1114" s="2"/>
    </row>
    <row r="1115" spans="1:12" x14ac:dyDescent="0.25">
      <c r="A1115" s="2" t="s">
        <v>30</v>
      </c>
      <c r="B1115" s="2" t="s">
        <v>31</v>
      </c>
      <c r="C1115" s="2" t="s">
        <v>32</v>
      </c>
      <c r="D1115" s="2" t="s">
        <v>36</v>
      </c>
      <c r="E1115">
        <v>0.92859999999999998</v>
      </c>
      <c r="F1115">
        <v>-13839.8</v>
      </c>
      <c r="G1115">
        <v>27</v>
      </c>
      <c r="H1115">
        <v>77.900000000000006</v>
      </c>
      <c r="I1115">
        <v>99.6</v>
      </c>
      <c r="J1115">
        <v>206.1</v>
      </c>
      <c r="K1115">
        <v>109.9</v>
      </c>
      <c r="L1115" s="2"/>
    </row>
    <row r="1116" spans="1:12" x14ac:dyDescent="0.25">
      <c r="A1116" s="2" t="s">
        <v>30</v>
      </c>
      <c r="B1116" s="2" t="s">
        <v>31</v>
      </c>
      <c r="C1116" s="2" t="s">
        <v>32</v>
      </c>
      <c r="D1116" s="2" t="s">
        <v>36</v>
      </c>
      <c r="E1116">
        <v>1.8571</v>
      </c>
      <c r="F1116">
        <v>-13796.9</v>
      </c>
      <c r="G1116">
        <v>27</v>
      </c>
      <c r="H1116">
        <v>77.900000000000006</v>
      </c>
      <c r="I1116">
        <v>99.6</v>
      </c>
      <c r="J1116">
        <v>135.80000000000001</v>
      </c>
      <c r="K1116">
        <v>86.4</v>
      </c>
      <c r="L1116" s="2"/>
    </row>
    <row r="1117" spans="1:12" x14ac:dyDescent="0.25">
      <c r="A1117" s="2" t="s">
        <v>30</v>
      </c>
      <c r="B1117" s="2" t="s">
        <v>31</v>
      </c>
      <c r="C1117" s="2" t="s">
        <v>32</v>
      </c>
      <c r="D1117" s="2" t="s">
        <v>36</v>
      </c>
      <c r="E1117">
        <v>2.7856999999999998</v>
      </c>
      <c r="F1117">
        <v>-13754.1</v>
      </c>
      <c r="G1117">
        <v>27</v>
      </c>
      <c r="H1117">
        <v>77.900000000000006</v>
      </c>
      <c r="I1117">
        <v>99.6</v>
      </c>
      <c r="J1117">
        <v>86.9</v>
      </c>
      <c r="K1117">
        <v>70.8</v>
      </c>
      <c r="L1117" s="2"/>
    </row>
    <row r="1118" spans="1:12" x14ac:dyDescent="0.25">
      <c r="A1118" s="2" t="s">
        <v>30</v>
      </c>
      <c r="B1118" s="2" t="s">
        <v>31</v>
      </c>
      <c r="C1118" s="2" t="s">
        <v>32</v>
      </c>
      <c r="D1118" s="2" t="s">
        <v>36</v>
      </c>
      <c r="E1118">
        <v>3.7143000000000002</v>
      </c>
      <c r="F1118">
        <v>-13711.2</v>
      </c>
      <c r="G1118">
        <v>27</v>
      </c>
      <c r="H1118">
        <v>77.900000000000006</v>
      </c>
      <c r="I1118">
        <v>99.6</v>
      </c>
      <c r="J1118">
        <v>67.5</v>
      </c>
      <c r="K1118">
        <v>59.3</v>
      </c>
      <c r="L1118" s="2"/>
    </row>
    <row r="1119" spans="1:12" x14ac:dyDescent="0.25">
      <c r="A1119" s="2" t="s">
        <v>30</v>
      </c>
      <c r="B1119" s="2" t="s">
        <v>31</v>
      </c>
      <c r="C1119" s="2" t="s">
        <v>32</v>
      </c>
      <c r="D1119" s="2" t="s">
        <v>36</v>
      </c>
      <c r="E1119">
        <v>4.6429</v>
      </c>
      <c r="F1119">
        <v>-13668.3</v>
      </c>
      <c r="G1119">
        <v>27</v>
      </c>
      <c r="H1119">
        <v>77.900000000000006</v>
      </c>
      <c r="I1119">
        <v>99.6</v>
      </c>
      <c r="J1119">
        <v>66.400000000000006</v>
      </c>
      <c r="K1119">
        <v>47.7</v>
      </c>
      <c r="L1119" s="2"/>
    </row>
    <row r="1120" spans="1:12" x14ac:dyDescent="0.25">
      <c r="A1120" s="2" t="s">
        <v>30</v>
      </c>
      <c r="B1120" s="2" t="s">
        <v>31</v>
      </c>
      <c r="C1120" s="2" t="s">
        <v>32</v>
      </c>
      <c r="D1120" s="2" t="s">
        <v>36</v>
      </c>
      <c r="E1120">
        <v>5.5713999999999997</v>
      </c>
      <c r="F1120">
        <v>-13625.4</v>
      </c>
      <c r="G1120">
        <v>27</v>
      </c>
      <c r="H1120">
        <v>77.900000000000006</v>
      </c>
      <c r="I1120">
        <v>99.6</v>
      </c>
      <c r="J1120">
        <v>113.9</v>
      </c>
      <c r="K1120">
        <v>36</v>
      </c>
      <c r="L1120" s="2"/>
    </row>
    <row r="1121" spans="1:12" x14ac:dyDescent="0.25">
      <c r="A1121" s="2" t="s">
        <v>30</v>
      </c>
      <c r="B1121" s="2" t="s">
        <v>31</v>
      </c>
      <c r="C1121" s="2" t="s">
        <v>32</v>
      </c>
      <c r="D1121" s="2" t="s">
        <v>36</v>
      </c>
      <c r="E1121">
        <v>6.5</v>
      </c>
      <c r="F1121">
        <v>-13582.5</v>
      </c>
      <c r="G1121">
        <v>27</v>
      </c>
      <c r="H1121">
        <v>77.900000000000006</v>
      </c>
      <c r="I1121">
        <v>99.6</v>
      </c>
      <c r="J1121">
        <v>161.4</v>
      </c>
      <c r="K1121">
        <v>24.1</v>
      </c>
      <c r="L1121" s="2"/>
    </row>
    <row r="1122" spans="1:12" x14ac:dyDescent="0.25">
      <c r="A1122" s="2" t="s">
        <v>30</v>
      </c>
      <c r="B1122" s="2" t="s">
        <v>31</v>
      </c>
      <c r="C1122" s="2" t="s">
        <v>32</v>
      </c>
      <c r="D1122" s="2" t="s">
        <v>36</v>
      </c>
      <c r="E1122">
        <v>7.4286000000000003</v>
      </c>
      <c r="F1122">
        <v>-13539.6</v>
      </c>
      <c r="G1122">
        <v>27</v>
      </c>
      <c r="H1122">
        <v>77.900000000000006</v>
      </c>
      <c r="I1122">
        <v>99.6</v>
      </c>
      <c r="J1122">
        <v>208.8</v>
      </c>
      <c r="K1122">
        <v>12.2</v>
      </c>
      <c r="L1122" s="2"/>
    </row>
    <row r="1123" spans="1:12" x14ac:dyDescent="0.25">
      <c r="A1123" s="2" t="s">
        <v>30</v>
      </c>
      <c r="B1123" s="2" t="s">
        <v>31</v>
      </c>
      <c r="C1123" s="2" t="s">
        <v>32</v>
      </c>
      <c r="D1123" s="2" t="s">
        <v>36</v>
      </c>
      <c r="E1123">
        <v>8.3571000000000009</v>
      </c>
      <c r="F1123">
        <v>-13496.8</v>
      </c>
      <c r="G1123">
        <v>27</v>
      </c>
      <c r="H1123">
        <v>77.900000000000006</v>
      </c>
      <c r="I1123">
        <v>99.6</v>
      </c>
      <c r="J1123">
        <v>256.2</v>
      </c>
      <c r="K1123">
        <v>0.3</v>
      </c>
      <c r="L1123" s="2"/>
    </row>
    <row r="1124" spans="1:12" x14ac:dyDescent="0.25">
      <c r="A1124" s="2" t="s">
        <v>30</v>
      </c>
      <c r="B1124" s="2" t="s">
        <v>31</v>
      </c>
      <c r="C1124" s="2" t="s">
        <v>32</v>
      </c>
      <c r="D1124" s="2" t="s">
        <v>36</v>
      </c>
      <c r="E1124">
        <v>9.2857000000000003</v>
      </c>
      <c r="F1124">
        <v>-13453.9</v>
      </c>
      <c r="G1124">
        <v>27</v>
      </c>
      <c r="H1124">
        <v>77.900000000000006</v>
      </c>
      <c r="I1124">
        <v>99.6</v>
      </c>
      <c r="J1124">
        <v>303.5</v>
      </c>
      <c r="K1124">
        <v>-11.5</v>
      </c>
      <c r="L1124" s="2"/>
    </row>
    <row r="1125" spans="1:12" x14ac:dyDescent="0.25">
      <c r="A1125" s="2" t="s">
        <v>30</v>
      </c>
      <c r="B1125" s="2" t="s">
        <v>31</v>
      </c>
      <c r="C1125" s="2" t="s">
        <v>32</v>
      </c>
      <c r="D1125" s="2" t="s">
        <v>36</v>
      </c>
      <c r="E1125">
        <v>10.2143</v>
      </c>
      <c r="F1125">
        <v>-13411</v>
      </c>
      <c r="G1125">
        <v>27</v>
      </c>
      <c r="H1125">
        <v>77.900000000000006</v>
      </c>
      <c r="I1125">
        <v>99.6</v>
      </c>
      <c r="J1125">
        <v>350.7</v>
      </c>
      <c r="K1125">
        <v>-23.3</v>
      </c>
      <c r="L1125" s="2"/>
    </row>
    <row r="1126" spans="1:12" x14ac:dyDescent="0.25">
      <c r="A1126" s="2" t="s">
        <v>30</v>
      </c>
      <c r="B1126" s="2" t="s">
        <v>31</v>
      </c>
      <c r="C1126" s="2" t="s">
        <v>32</v>
      </c>
      <c r="D1126" s="2" t="s">
        <v>36</v>
      </c>
      <c r="E1126">
        <v>11.142899999999999</v>
      </c>
      <c r="F1126">
        <v>-13368.1</v>
      </c>
      <c r="G1126">
        <v>27</v>
      </c>
      <c r="H1126">
        <v>77.900000000000006</v>
      </c>
      <c r="I1126">
        <v>99.6</v>
      </c>
      <c r="J1126">
        <v>397.8</v>
      </c>
      <c r="K1126">
        <v>-34.9</v>
      </c>
      <c r="L1126" s="2"/>
    </row>
    <row r="1127" spans="1:12" x14ac:dyDescent="0.25">
      <c r="A1127" s="2" t="s">
        <v>30</v>
      </c>
      <c r="B1127" s="2" t="s">
        <v>31</v>
      </c>
      <c r="C1127" s="2" t="s">
        <v>32</v>
      </c>
      <c r="D1127" s="2" t="s">
        <v>36</v>
      </c>
      <c r="E1127">
        <v>12.071400000000001</v>
      </c>
      <c r="F1127">
        <v>-13325.2</v>
      </c>
      <c r="G1127">
        <v>27</v>
      </c>
      <c r="H1127">
        <v>77.900000000000006</v>
      </c>
      <c r="I1127">
        <v>99.6</v>
      </c>
      <c r="J1127">
        <v>444.8</v>
      </c>
      <c r="K1127">
        <v>-46.4</v>
      </c>
      <c r="L1127" s="2"/>
    </row>
    <row r="1128" spans="1:12" x14ac:dyDescent="0.25">
      <c r="A1128" s="2" t="s">
        <v>30</v>
      </c>
      <c r="B1128" s="2" t="s">
        <v>31</v>
      </c>
      <c r="C1128" s="2" t="s">
        <v>32</v>
      </c>
      <c r="D1128" s="2" t="s">
        <v>36</v>
      </c>
      <c r="E1128">
        <v>13</v>
      </c>
      <c r="F1128">
        <v>-13282.4</v>
      </c>
      <c r="G1128">
        <v>27</v>
      </c>
      <c r="H1128">
        <v>77.900000000000006</v>
      </c>
      <c r="I1128">
        <v>99.6</v>
      </c>
      <c r="J1128">
        <v>491.7</v>
      </c>
      <c r="K1128">
        <v>-57.7</v>
      </c>
      <c r="L1128" s="2"/>
    </row>
    <row r="1129" spans="1:12" x14ac:dyDescent="0.25">
      <c r="A1129" s="2" t="s">
        <v>30</v>
      </c>
      <c r="B1129" s="2" t="s">
        <v>31</v>
      </c>
      <c r="C1129" s="2" t="s">
        <v>32</v>
      </c>
      <c r="D1129" s="2" t="s">
        <v>36</v>
      </c>
      <c r="E1129">
        <v>0</v>
      </c>
      <c r="F1129">
        <v>-16120.5</v>
      </c>
      <c r="G1129">
        <v>12.2</v>
      </c>
      <c r="H1129">
        <v>-49.1</v>
      </c>
      <c r="I1129">
        <v>-36.200000000000003</v>
      </c>
      <c r="J1129">
        <v>-171.8</v>
      </c>
      <c r="K1129">
        <v>101.5</v>
      </c>
      <c r="L1129" s="2"/>
    </row>
    <row r="1130" spans="1:12" x14ac:dyDescent="0.25">
      <c r="A1130" s="2" t="s">
        <v>30</v>
      </c>
      <c r="B1130" s="2" t="s">
        <v>31</v>
      </c>
      <c r="C1130" s="2" t="s">
        <v>32</v>
      </c>
      <c r="D1130" s="2" t="s">
        <v>36</v>
      </c>
      <c r="E1130">
        <v>0.92859999999999998</v>
      </c>
      <c r="F1130">
        <v>-16077.6</v>
      </c>
      <c r="G1130">
        <v>12.2</v>
      </c>
      <c r="H1130">
        <v>-49.1</v>
      </c>
      <c r="I1130">
        <v>-36.200000000000003</v>
      </c>
      <c r="J1130">
        <v>-124.1</v>
      </c>
      <c r="K1130">
        <v>89.2</v>
      </c>
      <c r="L1130" s="2"/>
    </row>
    <row r="1131" spans="1:12" x14ac:dyDescent="0.25">
      <c r="A1131" s="2" t="s">
        <v>30</v>
      </c>
      <c r="B1131" s="2" t="s">
        <v>31</v>
      </c>
      <c r="C1131" s="2" t="s">
        <v>32</v>
      </c>
      <c r="D1131" s="2" t="s">
        <v>36</v>
      </c>
      <c r="E1131">
        <v>1.8571</v>
      </c>
      <c r="F1131">
        <v>-16034.7</v>
      </c>
      <c r="G1131">
        <v>12.2</v>
      </c>
      <c r="H1131">
        <v>-49.1</v>
      </c>
      <c r="I1131">
        <v>-36.200000000000003</v>
      </c>
      <c r="J1131">
        <v>-76.5</v>
      </c>
      <c r="K1131">
        <v>76.7</v>
      </c>
      <c r="L1131" s="2"/>
    </row>
    <row r="1132" spans="1:12" x14ac:dyDescent="0.25">
      <c r="A1132" s="2" t="s">
        <v>30</v>
      </c>
      <c r="B1132" s="2" t="s">
        <v>31</v>
      </c>
      <c r="C1132" s="2" t="s">
        <v>32</v>
      </c>
      <c r="D1132" s="2" t="s">
        <v>36</v>
      </c>
      <c r="E1132">
        <v>2.7856999999999998</v>
      </c>
      <c r="F1132">
        <v>-15991.8</v>
      </c>
      <c r="G1132">
        <v>12.2</v>
      </c>
      <c r="H1132">
        <v>-49.1</v>
      </c>
      <c r="I1132">
        <v>-36.200000000000003</v>
      </c>
      <c r="J1132">
        <v>-42.8</v>
      </c>
      <c r="K1132">
        <v>56.7</v>
      </c>
      <c r="L1132" s="2"/>
    </row>
    <row r="1133" spans="1:12" x14ac:dyDescent="0.25">
      <c r="A1133" s="2" t="s">
        <v>30</v>
      </c>
      <c r="B1133" s="2" t="s">
        <v>31</v>
      </c>
      <c r="C1133" s="2" t="s">
        <v>32</v>
      </c>
      <c r="D1133" s="2" t="s">
        <v>36</v>
      </c>
      <c r="E1133">
        <v>3.7143000000000002</v>
      </c>
      <c r="F1133">
        <v>-15948.9</v>
      </c>
      <c r="G1133">
        <v>12.2</v>
      </c>
      <c r="H1133">
        <v>-49.1</v>
      </c>
      <c r="I1133">
        <v>-36.200000000000003</v>
      </c>
      <c r="J1133">
        <v>-32.1</v>
      </c>
      <c r="K1133">
        <v>34</v>
      </c>
      <c r="L1133" s="2"/>
    </row>
    <row r="1134" spans="1:12" x14ac:dyDescent="0.25">
      <c r="A1134" s="2" t="s">
        <v>30</v>
      </c>
      <c r="B1134" s="2" t="s">
        <v>31</v>
      </c>
      <c r="C1134" s="2" t="s">
        <v>32</v>
      </c>
      <c r="D1134" s="2" t="s">
        <v>36</v>
      </c>
      <c r="E1134">
        <v>4.6429</v>
      </c>
      <c r="F1134">
        <v>-15906</v>
      </c>
      <c r="G1134">
        <v>12.2</v>
      </c>
      <c r="H1134">
        <v>-49.1</v>
      </c>
      <c r="I1134">
        <v>-36.200000000000003</v>
      </c>
      <c r="J1134">
        <v>-74.900000000000006</v>
      </c>
      <c r="K1134">
        <v>8.5</v>
      </c>
      <c r="L1134" s="2"/>
    </row>
    <row r="1135" spans="1:12" x14ac:dyDescent="0.25">
      <c r="A1135" s="2" t="s">
        <v>30</v>
      </c>
      <c r="B1135" s="2" t="s">
        <v>31</v>
      </c>
      <c r="C1135" s="2" t="s">
        <v>32</v>
      </c>
      <c r="D1135" s="2" t="s">
        <v>36</v>
      </c>
      <c r="E1135">
        <v>5.5713999999999997</v>
      </c>
      <c r="F1135">
        <v>-15863.2</v>
      </c>
      <c r="G1135">
        <v>12.2</v>
      </c>
      <c r="H1135">
        <v>-49.1</v>
      </c>
      <c r="I1135">
        <v>-36.200000000000003</v>
      </c>
      <c r="J1135">
        <v>-145.19999999999999</v>
      </c>
      <c r="K1135">
        <v>-17</v>
      </c>
      <c r="L1135" s="2"/>
    </row>
    <row r="1136" spans="1:12" x14ac:dyDescent="0.25">
      <c r="A1136" s="2" t="s">
        <v>30</v>
      </c>
      <c r="B1136" s="2" t="s">
        <v>31</v>
      </c>
      <c r="C1136" s="2" t="s">
        <v>32</v>
      </c>
      <c r="D1136" s="2" t="s">
        <v>36</v>
      </c>
      <c r="E1136">
        <v>6.5</v>
      </c>
      <c r="F1136">
        <v>-15820.3</v>
      </c>
      <c r="G1136">
        <v>12.2</v>
      </c>
      <c r="H1136">
        <v>-49.1</v>
      </c>
      <c r="I1136">
        <v>-36.200000000000003</v>
      </c>
      <c r="J1136">
        <v>-215.6</v>
      </c>
      <c r="K1136">
        <v>-42.6</v>
      </c>
      <c r="L1136" s="2"/>
    </row>
    <row r="1137" spans="1:12" x14ac:dyDescent="0.25">
      <c r="A1137" s="2" t="s">
        <v>30</v>
      </c>
      <c r="B1137" s="2" t="s">
        <v>31</v>
      </c>
      <c r="C1137" s="2" t="s">
        <v>32</v>
      </c>
      <c r="D1137" s="2" t="s">
        <v>36</v>
      </c>
      <c r="E1137">
        <v>7.4286000000000003</v>
      </c>
      <c r="F1137">
        <v>-15777.4</v>
      </c>
      <c r="G1137">
        <v>12.2</v>
      </c>
      <c r="H1137">
        <v>-49.1</v>
      </c>
      <c r="I1137">
        <v>-36.200000000000003</v>
      </c>
      <c r="J1137">
        <v>-286.10000000000002</v>
      </c>
      <c r="K1137">
        <v>-68.3</v>
      </c>
      <c r="L1137" s="2"/>
    </row>
    <row r="1138" spans="1:12" x14ac:dyDescent="0.25">
      <c r="A1138" s="2" t="s">
        <v>30</v>
      </c>
      <c r="B1138" s="2" t="s">
        <v>31</v>
      </c>
      <c r="C1138" s="2" t="s">
        <v>32</v>
      </c>
      <c r="D1138" s="2" t="s">
        <v>36</v>
      </c>
      <c r="E1138">
        <v>8.3571000000000009</v>
      </c>
      <c r="F1138">
        <v>-15734.5</v>
      </c>
      <c r="G1138">
        <v>12.2</v>
      </c>
      <c r="H1138">
        <v>-49.1</v>
      </c>
      <c r="I1138">
        <v>-36.200000000000003</v>
      </c>
      <c r="J1138">
        <v>-356.6</v>
      </c>
      <c r="K1138">
        <v>-93.9</v>
      </c>
      <c r="L1138" s="2"/>
    </row>
    <row r="1139" spans="1:12" x14ac:dyDescent="0.25">
      <c r="A1139" s="2" t="s">
        <v>30</v>
      </c>
      <c r="B1139" s="2" t="s">
        <v>31</v>
      </c>
      <c r="C1139" s="2" t="s">
        <v>32</v>
      </c>
      <c r="D1139" s="2" t="s">
        <v>36</v>
      </c>
      <c r="E1139">
        <v>9.2857000000000003</v>
      </c>
      <c r="F1139">
        <v>-15691.6</v>
      </c>
      <c r="G1139">
        <v>12.2</v>
      </c>
      <c r="H1139">
        <v>-49.1</v>
      </c>
      <c r="I1139">
        <v>-36.200000000000003</v>
      </c>
      <c r="J1139">
        <v>-427.2</v>
      </c>
      <c r="K1139">
        <v>-119.5</v>
      </c>
      <c r="L1139" s="2"/>
    </row>
    <row r="1140" spans="1:12" x14ac:dyDescent="0.25">
      <c r="A1140" s="2" t="s">
        <v>30</v>
      </c>
      <c r="B1140" s="2" t="s">
        <v>31</v>
      </c>
      <c r="C1140" s="2" t="s">
        <v>32</v>
      </c>
      <c r="D1140" s="2" t="s">
        <v>36</v>
      </c>
      <c r="E1140">
        <v>10.2143</v>
      </c>
      <c r="F1140">
        <v>-15648.7</v>
      </c>
      <c r="G1140">
        <v>12.2</v>
      </c>
      <c r="H1140">
        <v>-49.1</v>
      </c>
      <c r="I1140">
        <v>-36.200000000000003</v>
      </c>
      <c r="J1140">
        <v>-497.8</v>
      </c>
      <c r="K1140">
        <v>-145.1</v>
      </c>
      <c r="L1140" s="2"/>
    </row>
    <row r="1141" spans="1:12" x14ac:dyDescent="0.25">
      <c r="A1141" s="2" t="s">
        <v>30</v>
      </c>
      <c r="B1141" s="2" t="s">
        <v>31</v>
      </c>
      <c r="C1141" s="2" t="s">
        <v>32</v>
      </c>
      <c r="D1141" s="2" t="s">
        <v>36</v>
      </c>
      <c r="E1141">
        <v>11.142899999999999</v>
      </c>
      <c r="F1141">
        <v>-15605.9</v>
      </c>
      <c r="G1141">
        <v>12.2</v>
      </c>
      <c r="H1141">
        <v>-49.1</v>
      </c>
      <c r="I1141">
        <v>-36.200000000000003</v>
      </c>
      <c r="J1141">
        <v>-568.6</v>
      </c>
      <c r="K1141">
        <v>-170.5</v>
      </c>
      <c r="L1141" s="2"/>
    </row>
    <row r="1142" spans="1:12" x14ac:dyDescent="0.25">
      <c r="A1142" s="2" t="s">
        <v>30</v>
      </c>
      <c r="B1142" s="2" t="s">
        <v>31</v>
      </c>
      <c r="C1142" s="2" t="s">
        <v>32</v>
      </c>
      <c r="D1142" s="2" t="s">
        <v>36</v>
      </c>
      <c r="E1142">
        <v>12.071400000000001</v>
      </c>
      <c r="F1142">
        <v>-15563</v>
      </c>
      <c r="G1142">
        <v>12.2</v>
      </c>
      <c r="H1142">
        <v>-49.1</v>
      </c>
      <c r="I1142">
        <v>-36.200000000000003</v>
      </c>
      <c r="J1142">
        <v>-639.4</v>
      </c>
      <c r="K1142">
        <v>-195.8</v>
      </c>
      <c r="L1142" s="2"/>
    </row>
    <row r="1143" spans="1:12" x14ac:dyDescent="0.25">
      <c r="A1143" s="2" t="s">
        <v>30</v>
      </c>
      <c r="B1143" s="2" t="s">
        <v>31</v>
      </c>
      <c r="C1143" s="2" t="s">
        <v>32</v>
      </c>
      <c r="D1143" s="2" t="s">
        <v>36</v>
      </c>
      <c r="E1143">
        <v>13</v>
      </c>
      <c r="F1143">
        <v>-15520.1</v>
      </c>
      <c r="G1143">
        <v>12.2</v>
      </c>
      <c r="H1143">
        <v>-49.1</v>
      </c>
      <c r="I1143">
        <v>-36.200000000000003</v>
      </c>
      <c r="J1143">
        <v>-710.4</v>
      </c>
      <c r="K1143">
        <v>-220.8</v>
      </c>
      <c r="L1143" s="2"/>
    </row>
    <row r="1144" spans="1:12" x14ac:dyDescent="0.25">
      <c r="A1144" s="2" t="s">
        <v>30</v>
      </c>
      <c r="B1144" s="2" t="s">
        <v>31</v>
      </c>
      <c r="C1144" s="2" t="s">
        <v>32</v>
      </c>
      <c r="D1144" s="2" t="s">
        <v>37</v>
      </c>
      <c r="E1144">
        <v>0</v>
      </c>
      <c r="F1144">
        <v>-12220.4</v>
      </c>
      <c r="G1144">
        <v>14.2</v>
      </c>
      <c r="H1144">
        <v>47.8</v>
      </c>
      <c r="I1144">
        <v>86.9</v>
      </c>
      <c r="J1144">
        <v>172.6</v>
      </c>
      <c r="K1144">
        <v>97.9</v>
      </c>
      <c r="L1144" s="2"/>
    </row>
    <row r="1145" spans="1:12" x14ac:dyDescent="0.25">
      <c r="A1145" s="2" t="s">
        <v>30</v>
      </c>
      <c r="B1145" s="2" t="s">
        <v>31</v>
      </c>
      <c r="C1145" s="2" t="s">
        <v>32</v>
      </c>
      <c r="D1145" s="2" t="s">
        <v>37</v>
      </c>
      <c r="E1145">
        <v>0.92859999999999998</v>
      </c>
      <c r="F1145">
        <v>-12177.5</v>
      </c>
      <c r="G1145">
        <v>14.2</v>
      </c>
      <c r="H1145">
        <v>47.8</v>
      </c>
      <c r="I1145">
        <v>86.9</v>
      </c>
      <c r="J1145">
        <v>130.30000000000001</v>
      </c>
      <c r="K1145">
        <v>86.9</v>
      </c>
      <c r="L1145" s="2"/>
    </row>
    <row r="1146" spans="1:12" x14ac:dyDescent="0.25">
      <c r="A1146" s="2" t="s">
        <v>30</v>
      </c>
      <c r="B1146" s="2" t="s">
        <v>31</v>
      </c>
      <c r="C1146" s="2" t="s">
        <v>32</v>
      </c>
      <c r="D1146" s="2" t="s">
        <v>37</v>
      </c>
      <c r="E1146">
        <v>1.8571</v>
      </c>
      <c r="F1146">
        <v>-12134.6</v>
      </c>
      <c r="G1146">
        <v>14.2</v>
      </c>
      <c r="H1146">
        <v>47.8</v>
      </c>
      <c r="I1146">
        <v>86.9</v>
      </c>
      <c r="J1146">
        <v>88</v>
      </c>
      <c r="K1146">
        <v>75.5</v>
      </c>
      <c r="L1146" s="2"/>
    </row>
    <row r="1147" spans="1:12" x14ac:dyDescent="0.25">
      <c r="A1147" s="2" t="s">
        <v>30</v>
      </c>
      <c r="B1147" s="2" t="s">
        <v>31</v>
      </c>
      <c r="C1147" s="2" t="s">
        <v>32</v>
      </c>
      <c r="D1147" s="2" t="s">
        <v>37</v>
      </c>
      <c r="E1147">
        <v>2.7856999999999998</v>
      </c>
      <c r="F1147">
        <v>-12091.8</v>
      </c>
      <c r="G1147">
        <v>14.2</v>
      </c>
      <c r="H1147">
        <v>47.8</v>
      </c>
      <c r="I1147">
        <v>86.9</v>
      </c>
      <c r="J1147">
        <v>59.7</v>
      </c>
      <c r="K1147">
        <v>71.099999999999994</v>
      </c>
      <c r="L1147" s="2"/>
    </row>
    <row r="1148" spans="1:12" x14ac:dyDescent="0.25">
      <c r="A1148" s="2" t="s">
        <v>30</v>
      </c>
      <c r="B1148" s="2" t="s">
        <v>31</v>
      </c>
      <c r="C1148" s="2" t="s">
        <v>32</v>
      </c>
      <c r="D1148" s="2" t="s">
        <v>37</v>
      </c>
      <c r="E1148">
        <v>3.7143000000000002</v>
      </c>
      <c r="F1148">
        <v>-12048.9</v>
      </c>
      <c r="G1148">
        <v>14.2</v>
      </c>
      <c r="H1148">
        <v>47.8</v>
      </c>
      <c r="I1148">
        <v>86.9</v>
      </c>
      <c r="J1148">
        <v>54.4</v>
      </c>
      <c r="K1148">
        <v>69</v>
      </c>
      <c r="L1148" s="2"/>
    </row>
    <row r="1149" spans="1:12" x14ac:dyDescent="0.25">
      <c r="A1149" s="2" t="s">
        <v>30</v>
      </c>
      <c r="B1149" s="2" t="s">
        <v>31</v>
      </c>
      <c r="C1149" s="2" t="s">
        <v>32</v>
      </c>
      <c r="D1149" s="2" t="s">
        <v>37</v>
      </c>
      <c r="E1149">
        <v>4.6429</v>
      </c>
      <c r="F1149">
        <v>-12006</v>
      </c>
      <c r="G1149">
        <v>14.2</v>
      </c>
      <c r="H1149">
        <v>47.8</v>
      </c>
      <c r="I1149">
        <v>86.9</v>
      </c>
      <c r="J1149">
        <v>102.4</v>
      </c>
      <c r="K1149">
        <v>69.3</v>
      </c>
      <c r="L1149" s="2"/>
    </row>
    <row r="1150" spans="1:12" x14ac:dyDescent="0.25">
      <c r="A1150" s="2" t="s">
        <v>30</v>
      </c>
      <c r="B1150" s="2" t="s">
        <v>31</v>
      </c>
      <c r="C1150" s="2" t="s">
        <v>32</v>
      </c>
      <c r="D1150" s="2" t="s">
        <v>37</v>
      </c>
      <c r="E1150">
        <v>5.5713999999999997</v>
      </c>
      <c r="F1150">
        <v>-11963.1</v>
      </c>
      <c r="G1150">
        <v>14.2</v>
      </c>
      <c r="H1150">
        <v>47.8</v>
      </c>
      <c r="I1150">
        <v>86.9</v>
      </c>
      <c r="J1150">
        <v>177.9</v>
      </c>
      <c r="K1150">
        <v>69.400000000000006</v>
      </c>
      <c r="L1150" s="2"/>
    </row>
    <row r="1151" spans="1:12" x14ac:dyDescent="0.25">
      <c r="A1151" s="2" t="s">
        <v>30</v>
      </c>
      <c r="B1151" s="2" t="s">
        <v>31</v>
      </c>
      <c r="C1151" s="2" t="s">
        <v>32</v>
      </c>
      <c r="D1151" s="2" t="s">
        <v>37</v>
      </c>
      <c r="E1151">
        <v>6.5</v>
      </c>
      <c r="F1151">
        <v>-11920.2</v>
      </c>
      <c r="G1151">
        <v>14.2</v>
      </c>
      <c r="H1151">
        <v>47.8</v>
      </c>
      <c r="I1151">
        <v>86.9</v>
      </c>
      <c r="J1151">
        <v>253.3</v>
      </c>
      <c r="K1151">
        <v>69.5</v>
      </c>
      <c r="L1151" s="2"/>
    </row>
    <row r="1152" spans="1:12" x14ac:dyDescent="0.25">
      <c r="A1152" s="2" t="s">
        <v>30</v>
      </c>
      <c r="B1152" s="2" t="s">
        <v>31</v>
      </c>
      <c r="C1152" s="2" t="s">
        <v>32</v>
      </c>
      <c r="D1152" s="2" t="s">
        <v>37</v>
      </c>
      <c r="E1152">
        <v>7.4286000000000003</v>
      </c>
      <c r="F1152">
        <v>-11877.3</v>
      </c>
      <c r="G1152">
        <v>14.2</v>
      </c>
      <c r="H1152">
        <v>47.8</v>
      </c>
      <c r="I1152">
        <v>86.9</v>
      </c>
      <c r="J1152">
        <v>328.7</v>
      </c>
      <c r="K1152">
        <v>69.5</v>
      </c>
      <c r="L1152" s="2"/>
    </row>
    <row r="1153" spans="1:12" x14ac:dyDescent="0.25">
      <c r="A1153" s="2" t="s">
        <v>30</v>
      </c>
      <c r="B1153" s="2" t="s">
        <v>31</v>
      </c>
      <c r="C1153" s="2" t="s">
        <v>32</v>
      </c>
      <c r="D1153" s="2" t="s">
        <v>37</v>
      </c>
      <c r="E1153">
        <v>8.3571000000000009</v>
      </c>
      <c r="F1153">
        <v>-11834.5</v>
      </c>
      <c r="G1153">
        <v>14.2</v>
      </c>
      <c r="H1153">
        <v>47.8</v>
      </c>
      <c r="I1153">
        <v>86.9</v>
      </c>
      <c r="J1153">
        <v>404</v>
      </c>
      <c r="K1153">
        <v>69.599999999999994</v>
      </c>
      <c r="L1153" s="2"/>
    </row>
    <row r="1154" spans="1:12" x14ac:dyDescent="0.25">
      <c r="A1154" s="2" t="s">
        <v>30</v>
      </c>
      <c r="B1154" s="2" t="s">
        <v>31</v>
      </c>
      <c r="C1154" s="2" t="s">
        <v>32</v>
      </c>
      <c r="D1154" s="2" t="s">
        <v>37</v>
      </c>
      <c r="E1154">
        <v>9.2857000000000003</v>
      </c>
      <c r="F1154">
        <v>-11791.6</v>
      </c>
      <c r="G1154">
        <v>14.2</v>
      </c>
      <c r="H1154">
        <v>47.8</v>
      </c>
      <c r="I1154">
        <v>86.9</v>
      </c>
      <c r="J1154">
        <v>479.2</v>
      </c>
      <c r="K1154">
        <v>69.599999999999994</v>
      </c>
      <c r="L1154" s="2"/>
    </row>
    <row r="1155" spans="1:12" x14ac:dyDescent="0.25">
      <c r="A1155" s="2" t="s">
        <v>30</v>
      </c>
      <c r="B1155" s="2" t="s">
        <v>31</v>
      </c>
      <c r="C1155" s="2" t="s">
        <v>32</v>
      </c>
      <c r="D1155" s="2" t="s">
        <v>37</v>
      </c>
      <c r="E1155">
        <v>10.2143</v>
      </c>
      <c r="F1155">
        <v>-11748.7</v>
      </c>
      <c r="G1155">
        <v>14.2</v>
      </c>
      <c r="H1155">
        <v>47.8</v>
      </c>
      <c r="I1155">
        <v>86.9</v>
      </c>
      <c r="J1155">
        <v>554.29999999999995</v>
      </c>
      <c r="K1155">
        <v>69.8</v>
      </c>
      <c r="L1155" s="2"/>
    </row>
    <row r="1156" spans="1:12" x14ac:dyDescent="0.25">
      <c r="A1156" s="2" t="s">
        <v>30</v>
      </c>
      <c r="B1156" s="2" t="s">
        <v>31</v>
      </c>
      <c r="C1156" s="2" t="s">
        <v>32</v>
      </c>
      <c r="D1156" s="2" t="s">
        <v>37</v>
      </c>
      <c r="E1156">
        <v>11.142899999999999</v>
      </c>
      <c r="F1156">
        <v>-11705.8</v>
      </c>
      <c r="G1156">
        <v>14.2</v>
      </c>
      <c r="H1156">
        <v>47.8</v>
      </c>
      <c r="I1156">
        <v>86.9</v>
      </c>
      <c r="J1156">
        <v>629.4</v>
      </c>
      <c r="K1156">
        <v>70</v>
      </c>
      <c r="L1156" s="2"/>
    </row>
    <row r="1157" spans="1:12" x14ac:dyDescent="0.25">
      <c r="A1157" s="2" t="s">
        <v>30</v>
      </c>
      <c r="B1157" s="2" t="s">
        <v>31</v>
      </c>
      <c r="C1157" s="2" t="s">
        <v>32</v>
      </c>
      <c r="D1157" s="2" t="s">
        <v>37</v>
      </c>
      <c r="E1157">
        <v>12.071400000000001</v>
      </c>
      <c r="F1157">
        <v>-11662.9</v>
      </c>
      <c r="G1157">
        <v>14.2</v>
      </c>
      <c r="H1157">
        <v>47.8</v>
      </c>
      <c r="I1157">
        <v>86.9</v>
      </c>
      <c r="J1157">
        <v>704.3</v>
      </c>
      <c r="K1157">
        <v>70.400000000000006</v>
      </c>
      <c r="L1157" s="2"/>
    </row>
    <row r="1158" spans="1:12" x14ac:dyDescent="0.25">
      <c r="A1158" s="2" t="s">
        <v>30</v>
      </c>
      <c r="B1158" s="2" t="s">
        <v>31</v>
      </c>
      <c r="C1158" s="2" t="s">
        <v>32</v>
      </c>
      <c r="D1158" s="2" t="s">
        <v>37</v>
      </c>
      <c r="E1158">
        <v>13</v>
      </c>
      <c r="F1158">
        <v>-11620.1</v>
      </c>
      <c r="G1158">
        <v>14.2</v>
      </c>
      <c r="H1158">
        <v>47.8</v>
      </c>
      <c r="I1158">
        <v>86.9</v>
      </c>
      <c r="J1158">
        <v>779.2</v>
      </c>
      <c r="K1158">
        <v>71.099999999999994</v>
      </c>
      <c r="L1158" s="2"/>
    </row>
    <row r="1159" spans="1:12" x14ac:dyDescent="0.25">
      <c r="A1159" s="2" t="s">
        <v>30</v>
      </c>
      <c r="B1159" s="2" t="s">
        <v>31</v>
      </c>
      <c r="C1159" s="2" t="s">
        <v>32</v>
      </c>
      <c r="D1159" s="2" t="s">
        <v>37</v>
      </c>
      <c r="E1159">
        <v>0</v>
      </c>
      <c r="F1159">
        <v>-14458.2</v>
      </c>
      <c r="G1159">
        <v>-0.6</v>
      </c>
      <c r="H1159">
        <v>-79.099999999999994</v>
      </c>
      <c r="I1159">
        <v>-48.8</v>
      </c>
      <c r="J1159">
        <v>-275.5</v>
      </c>
      <c r="K1159">
        <v>65.900000000000006</v>
      </c>
      <c r="L1159" s="2"/>
    </row>
    <row r="1160" spans="1:12" x14ac:dyDescent="0.25">
      <c r="A1160" s="2" t="s">
        <v>30</v>
      </c>
      <c r="B1160" s="2" t="s">
        <v>31</v>
      </c>
      <c r="C1160" s="2" t="s">
        <v>32</v>
      </c>
      <c r="D1160" s="2" t="s">
        <v>37</v>
      </c>
      <c r="E1160">
        <v>0.92859999999999998</v>
      </c>
      <c r="F1160">
        <v>-14415.3</v>
      </c>
      <c r="G1160">
        <v>-0.6</v>
      </c>
      <c r="H1160">
        <v>-79.099999999999994</v>
      </c>
      <c r="I1160">
        <v>-48.8</v>
      </c>
      <c r="J1160">
        <v>-199.9</v>
      </c>
      <c r="K1160">
        <v>66.2</v>
      </c>
      <c r="L1160" s="2"/>
    </row>
    <row r="1161" spans="1:12" x14ac:dyDescent="0.25">
      <c r="A1161" s="2" t="s">
        <v>30</v>
      </c>
      <c r="B1161" s="2" t="s">
        <v>31</v>
      </c>
      <c r="C1161" s="2" t="s">
        <v>32</v>
      </c>
      <c r="D1161" s="2" t="s">
        <v>37</v>
      </c>
      <c r="E1161">
        <v>1.8571</v>
      </c>
      <c r="F1161">
        <v>-14372.4</v>
      </c>
      <c r="G1161">
        <v>-0.6</v>
      </c>
      <c r="H1161">
        <v>-79.099999999999994</v>
      </c>
      <c r="I1161">
        <v>-48.8</v>
      </c>
      <c r="J1161">
        <v>-124.3</v>
      </c>
      <c r="K1161">
        <v>65.7</v>
      </c>
      <c r="L1161" s="2"/>
    </row>
    <row r="1162" spans="1:12" x14ac:dyDescent="0.25">
      <c r="A1162" s="2" t="s">
        <v>30</v>
      </c>
      <c r="B1162" s="2" t="s">
        <v>31</v>
      </c>
      <c r="C1162" s="2" t="s">
        <v>32</v>
      </c>
      <c r="D1162" s="2" t="s">
        <v>37</v>
      </c>
      <c r="E1162">
        <v>2.7856999999999998</v>
      </c>
      <c r="F1162">
        <v>-14329.5</v>
      </c>
      <c r="G1162">
        <v>-0.6</v>
      </c>
      <c r="H1162">
        <v>-79.099999999999994</v>
      </c>
      <c r="I1162">
        <v>-48.8</v>
      </c>
      <c r="J1162">
        <v>-69.900000000000006</v>
      </c>
      <c r="K1162">
        <v>57</v>
      </c>
      <c r="L1162" s="2"/>
    </row>
    <row r="1163" spans="1:12" x14ac:dyDescent="0.25">
      <c r="A1163" s="2" t="s">
        <v>30</v>
      </c>
      <c r="B1163" s="2" t="s">
        <v>31</v>
      </c>
      <c r="C1163" s="2" t="s">
        <v>32</v>
      </c>
      <c r="D1163" s="2" t="s">
        <v>37</v>
      </c>
      <c r="E1163">
        <v>3.7143000000000002</v>
      </c>
      <c r="F1163">
        <v>-14286.6</v>
      </c>
      <c r="G1163">
        <v>-0.6</v>
      </c>
      <c r="H1163">
        <v>-79.099999999999994</v>
      </c>
      <c r="I1163">
        <v>-48.8</v>
      </c>
      <c r="J1163">
        <v>-45.3</v>
      </c>
      <c r="K1163">
        <v>43.6</v>
      </c>
      <c r="L1163" s="2"/>
    </row>
    <row r="1164" spans="1:12" x14ac:dyDescent="0.25">
      <c r="A1164" s="2" t="s">
        <v>30</v>
      </c>
      <c r="B1164" s="2" t="s">
        <v>31</v>
      </c>
      <c r="C1164" s="2" t="s">
        <v>32</v>
      </c>
      <c r="D1164" s="2" t="s">
        <v>37</v>
      </c>
      <c r="E1164">
        <v>4.6429</v>
      </c>
      <c r="F1164">
        <v>-14243.7</v>
      </c>
      <c r="G1164">
        <v>-0.6</v>
      </c>
      <c r="H1164">
        <v>-79.099999999999994</v>
      </c>
      <c r="I1164">
        <v>-48.8</v>
      </c>
      <c r="J1164">
        <v>-38.9</v>
      </c>
      <c r="K1164">
        <v>30.1</v>
      </c>
      <c r="L1164" s="2"/>
    </row>
    <row r="1165" spans="1:12" x14ac:dyDescent="0.25">
      <c r="A1165" s="2" t="s">
        <v>30</v>
      </c>
      <c r="B1165" s="2" t="s">
        <v>31</v>
      </c>
      <c r="C1165" s="2" t="s">
        <v>32</v>
      </c>
      <c r="D1165" s="2" t="s">
        <v>37</v>
      </c>
      <c r="E1165">
        <v>5.5713999999999997</v>
      </c>
      <c r="F1165">
        <v>-14200.9</v>
      </c>
      <c r="G1165">
        <v>-0.6</v>
      </c>
      <c r="H1165">
        <v>-79.099999999999994</v>
      </c>
      <c r="I1165">
        <v>-48.8</v>
      </c>
      <c r="J1165">
        <v>-81.3</v>
      </c>
      <c r="K1165">
        <v>16.5</v>
      </c>
      <c r="L1165" s="2"/>
    </row>
    <row r="1166" spans="1:12" x14ac:dyDescent="0.25">
      <c r="A1166" s="2" t="s">
        <v>30</v>
      </c>
      <c r="B1166" s="2" t="s">
        <v>31</v>
      </c>
      <c r="C1166" s="2" t="s">
        <v>32</v>
      </c>
      <c r="D1166" s="2" t="s">
        <v>37</v>
      </c>
      <c r="E1166">
        <v>6.5</v>
      </c>
      <c r="F1166">
        <v>-14158</v>
      </c>
      <c r="G1166">
        <v>-0.6</v>
      </c>
      <c r="H1166">
        <v>-79.099999999999994</v>
      </c>
      <c r="I1166">
        <v>-48.8</v>
      </c>
      <c r="J1166">
        <v>-123.7</v>
      </c>
      <c r="K1166">
        <v>2.8</v>
      </c>
      <c r="L1166" s="2"/>
    </row>
    <row r="1167" spans="1:12" x14ac:dyDescent="0.25">
      <c r="A1167" s="2" t="s">
        <v>30</v>
      </c>
      <c r="B1167" s="2" t="s">
        <v>31</v>
      </c>
      <c r="C1167" s="2" t="s">
        <v>32</v>
      </c>
      <c r="D1167" s="2" t="s">
        <v>37</v>
      </c>
      <c r="E1167">
        <v>7.4286000000000003</v>
      </c>
      <c r="F1167">
        <v>-14115.1</v>
      </c>
      <c r="G1167">
        <v>-0.6</v>
      </c>
      <c r="H1167">
        <v>-79.099999999999994</v>
      </c>
      <c r="I1167">
        <v>-48.8</v>
      </c>
      <c r="J1167">
        <v>-166.3</v>
      </c>
      <c r="K1167">
        <v>-11</v>
      </c>
      <c r="L1167" s="2"/>
    </row>
    <row r="1168" spans="1:12" x14ac:dyDescent="0.25">
      <c r="A1168" s="2" t="s">
        <v>30</v>
      </c>
      <c r="B1168" s="2" t="s">
        <v>31</v>
      </c>
      <c r="C1168" s="2" t="s">
        <v>32</v>
      </c>
      <c r="D1168" s="2" t="s">
        <v>37</v>
      </c>
      <c r="E1168">
        <v>8.3571000000000009</v>
      </c>
      <c r="F1168">
        <v>-14072.2</v>
      </c>
      <c r="G1168">
        <v>-0.6</v>
      </c>
      <c r="H1168">
        <v>-79.099999999999994</v>
      </c>
      <c r="I1168">
        <v>-48.8</v>
      </c>
      <c r="J1168">
        <v>-208.8</v>
      </c>
      <c r="K1168">
        <v>-24.7</v>
      </c>
      <c r="L1168" s="2"/>
    </row>
    <row r="1169" spans="1:12" x14ac:dyDescent="0.25">
      <c r="A1169" s="2" t="s">
        <v>30</v>
      </c>
      <c r="B1169" s="2" t="s">
        <v>31</v>
      </c>
      <c r="C1169" s="2" t="s">
        <v>32</v>
      </c>
      <c r="D1169" s="2" t="s">
        <v>37</v>
      </c>
      <c r="E1169">
        <v>9.2857000000000003</v>
      </c>
      <c r="F1169">
        <v>-14029.3</v>
      </c>
      <c r="G1169">
        <v>-0.6</v>
      </c>
      <c r="H1169">
        <v>-79.099999999999994</v>
      </c>
      <c r="I1169">
        <v>-48.8</v>
      </c>
      <c r="J1169">
        <v>-251.5</v>
      </c>
      <c r="K1169">
        <v>-38.4</v>
      </c>
      <c r="L1169" s="2"/>
    </row>
    <row r="1170" spans="1:12" x14ac:dyDescent="0.25">
      <c r="A1170" s="2" t="s">
        <v>30</v>
      </c>
      <c r="B1170" s="2" t="s">
        <v>31</v>
      </c>
      <c r="C1170" s="2" t="s">
        <v>32</v>
      </c>
      <c r="D1170" s="2" t="s">
        <v>37</v>
      </c>
      <c r="E1170">
        <v>10.2143</v>
      </c>
      <c r="F1170">
        <v>-13986.4</v>
      </c>
      <c r="G1170">
        <v>-0.6</v>
      </c>
      <c r="H1170">
        <v>-79.099999999999994</v>
      </c>
      <c r="I1170">
        <v>-48.8</v>
      </c>
      <c r="J1170">
        <v>-294.2</v>
      </c>
      <c r="K1170">
        <v>-52.1</v>
      </c>
      <c r="L1170" s="2"/>
    </row>
    <row r="1171" spans="1:12" x14ac:dyDescent="0.25">
      <c r="A1171" s="2" t="s">
        <v>30</v>
      </c>
      <c r="B1171" s="2" t="s">
        <v>31</v>
      </c>
      <c r="C1171" s="2" t="s">
        <v>32</v>
      </c>
      <c r="D1171" s="2" t="s">
        <v>37</v>
      </c>
      <c r="E1171">
        <v>11.142899999999999</v>
      </c>
      <c r="F1171">
        <v>-13943.6</v>
      </c>
      <c r="G1171">
        <v>-0.6</v>
      </c>
      <c r="H1171">
        <v>-79.099999999999994</v>
      </c>
      <c r="I1171">
        <v>-48.8</v>
      </c>
      <c r="J1171">
        <v>-337</v>
      </c>
      <c r="K1171">
        <v>-65.599999999999994</v>
      </c>
      <c r="L1171" s="2"/>
    </row>
    <row r="1172" spans="1:12" x14ac:dyDescent="0.25">
      <c r="A1172" s="2" t="s">
        <v>30</v>
      </c>
      <c r="B1172" s="2" t="s">
        <v>31</v>
      </c>
      <c r="C1172" s="2" t="s">
        <v>32</v>
      </c>
      <c r="D1172" s="2" t="s">
        <v>37</v>
      </c>
      <c r="E1172">
        <v>12.071400000000001</v>
      </c>
      <c r="F1172">
        <v>-13900.7</v>
      </c>
      <c r="G1172">
        <v>-0.6</v>
      </c>
      <c r="H1172">
        <v>-79.099999999999994</v>
      </c>
      <c r="I1172">
        <v>-48.8</v>
      </c>
      <c r="J1172">
        <v>-379.9</v>
      </c>
      <c r="K1172">
        <v>-78.900000000000006</v>
      </c>
      <c r="L1172" s="2"/>
    </row>
    <row r="1173" spans="1:12" x14ac:dyDescent="0.25">
      <c r="A1173" s="2" t="s">
        <v>30</v>
      </c>
      <c r="B1173" s="2" t="s">
        <v>31</v>
      </c>
      <c r="C1173" s="2" t="s">
        <v>32</v>
      </c>
      <c r="D1173" s="2" t="s">
        <v>37</v>
      </c>
      <c r="E1173">
        <v>13</v>
      </c>
      <c r="F1173">
        <v>-13857.8</v>
      </c>
      <c r="G1173">
        <v>-0.6</v>
      </c>
      <c r="H1173">
        <v>-79.099999999999994</v>
      </c>
      <c r="I1173">
        <v>-48.8</v>
      </c>
      <c r="J1173">
        <v>-422.9</v>
      </c>
      <c r="K1173">
        <v>-92.1</v>
      </c>
      <c r="L1173" s="2"/>
    </row>
    <row r="1174" spans="1:12" x14ac:dyDescent="0.25">
      <c r="A1174" s="2" t="s">
        <v>30</v>
      </c>
      <c r="B1174" s="2" t="s">
        <v>31</v>
      </c>
      <c r="C1174" s="2" t="s">
        <v>32</v>
      </c>
      <c r="D1174" s="2" t="s">
        <v>38</v>
      </c>
      <c r="E1174">
        <v>0</v>
      </c>
      <c r="F1174">
        <v>-13240.6</v>
      </c>
      <c r="G1174">
        <v>25.5</v>
      </c>
      <c r="H1174">
        <v>74.900000000000006</v>
      </c>
      <c r="I1174">
        <v>95.2</v>
      </c>
      <c r="J1174">
        <v>266</v>
      </c>
      <c r="K1174">
        <v>133</v>
      </c>
      <c r="L1174" s="2"/>
    </row>
    <row r="1175" spans="1:12" x14ac:dyDescent="0.25">
      <c r="A1175" s="2" t="s">
        <v>30</v>
      </c>
      <c r="B1175" s="2" t="s">
        <v>31</v>
      </c>
      <c r="C1175" s="2" t="s">
        <v>32</v>
      </c>
      <c r="D1175" s="2" t="s">
        <v>38</v>
      </c>
      <c r="E1175">
        <v>0.92859999999999998</v>
      </c>
      <c r="F1175">
        <v>-13197.7</v>
      </c>
      <c r="G1175">
        <v>25.5</v>
      </c>
      <c r="H1175">
        <v>74.900000000000006</v>
      </c>
      <c r="I1175">
        <v>95.2</v>
      </c>
      <c r="J1175">
        <v>198.6</v>
      </c>
      <c r="K1175">
        <v>109.9</v>
      </c>
      <c r="L1175" s="2"/>
    </row>
    <row r="1176" spans="1:12" x14ac:dyDescent="0.25">
      <c r="A1176" s="2" t="s">
        <v>30</v>
      </c>
      <c r="B1176" s="2" t="s">
        <v>31</v>
      </c>
      <c r="C1176" s="2" t="s">
        <v>32</v>
      </c>
      <c r="D1176" s="2" t="s">
        <v>38</v>
      </c>
      <c r="E1176">
        <v>1.8571</v>
      </c>
      <c r="F1176">
        <v>-13154.8</v>
      </c>
      <c r="G1176">
        <v>25.5</v>
      </c>
      <c r="H1176">
        <v>74.900000000000006</v>
      </c>
      <c r="I1176">
        <v>95.2</v>
      </c>
      <c r="J1176">
        <v>131.19999999999999</v>
      </c>
      <c r="K1176">
        <v>86.5</v>
      </c>
      <c r="L1176" s="2"/>
    </row>
    <row r="1177" spans="1:12" x14ac:dyDescent="0.25">
      <c r="A1177" s="2" t="s">
        <v>30</v>
      </c>
      <c r="B1177" s="2" t="s">
        <v>31</v>
      </c>
      <c r="C1177" s="2" t="s">
        <v>32</v>
      </c>
      <c r="D1177" s="2" t="s">
        <v>38</v>
      </c>
      <c r="E1177">
        <v>2.7856999999999998</v>
      </c>
      <c r="F1177">
        <v>-13112</v>
      </c>
      <c r="G1177">
        <v>25.5</v>
      </c>
      <c r="H1177">
        <v>74.900000000000006</v>
      </c>
      <c r="I1177">
        <v>95.2</v>
      </c>
      <c r="J1177">
        <v>84.9</v>
      </c>
      <c r="K1177">
        <v>71.099999999999994</v>
      </c>
      <c r="L1177" s="2"/>
    </row>
    <row r="1178" spans="1:12" x14ac:dyDescent="0.25">
      <c r="A1178" s="2" t="s">
        <v>30</v>
      </c>
      <c r="B1178" s="2" t="s">
        <v>31</v>
      </c>
      <c r="C1178" s="2" t="s">
        <v>32</v>
      </c>
      <c r="D1178" s="2" t="s">
        <v>38</v>
      </c>
      <c r="E1178">
        <v>3.7143000000000002</v>
      </c>
      <c r="F1178">
        <v>-13069.1</v>
      </c>
      <c r="G1178">
        <v>25.5</v>
      </c>
      <c r="H1178">
        <v>74.900000000000006</v>
      </c>
      <c r="I1178">
        <v>95.2</v>
      </c>
      <c r="J1178">
        <v>67.599999999999994</v>
      </c>
      <c r="K1178">
        <v>69</v>
      </c>
      <c r="L1178" s="2"/>
    </row>
    <row r="1179" spans="1:12" x14ac:dyDescent="0.25">
      <c r="A1179" s="2" t="s">
        <v>30</v>
      </c>
      <c r="B1179" s="2" t="s">
        <v>31</v>
      </c>
      <c r="C1179" s="2" t="s">
        <v>32</v>
      </c>
      <c r="D1179" s="2" t="s">
        <v>38</v>
      </c>
      <c r="E1179">
        <v>4.6429</v>
      </c>
      <c r="F1179">
        <v>-13026.2</v>
      </c>
      <c r="G1179">
        <v>25.5</v>
      </c>
      <c r="H1179">
        <v>74.900000000000006</v>
      </c>
      <c r="I1179">
        <v>95.2</v>
      </c>
      <c r="J1179">
        <v>67.2</v>
      </c>
      <c r="K1179">
        <v>69.3</v>
      </c>
      <c r="L1179" s="2"/>
    </row>
    <row r="1180" spans="1:12" x14ac:dyDescent="0.25">
      <c r="A1180" s="2" t="s">
        <v>30</v>
      </c>
      <c r="B1180" s="2" t="s">
        <v>31</v>
      </c>
      <c r="C1180" s="2" t="s">
        <v>32</v>
      </c>
      <c r="D1180" s="2" t="s">
        <v>38</v>
      </c>
      <c r="E1180">
        <v>5.5713999999999997</v>
      </c>
      <c r="F1180">
        <v>-12983.3</v>
      </c>
      <c r="G1180">
        <v>25.5</v>
      </c>
      <c r="H1180">
        <v>74.900000000000006</v>
      </c>
      <c r="I1180">
        <v>95.2</v>
      </c>
      <c r="J1180">
        <v>68.2</v>
      </c>
      <c r="K1180">
        <v>69.400000000000006</v>
      </c>
      <c r="L1180" s="2"/>
    </row>
    <row r="1181" spans="1:12" x14ac:dyDescent="0.25">
      <c r="A1181" s="2" t="s">
        <v>30</v>
      </c>
      <c r="B1181" s="2" t="s">
        <v>31</v>
      </c>
      <c r="C1181" s="2" t="s">
        <v>32</v>
      </c>
      <c r="D1181" s="2" t="s">
        <v>38</v>
      </c>
      <c r="E1181">
        <v>6.5</v>
      </c>
      <c r="F1181">
        <v>-12940.4</v>
      </c>
      <c r="G1181">
        <v>25.5</v>
      </c>
      <c r="H1181">
        <v>74.900000000000006</v>
      </c>
      <c r="I1181">
        <v>95.2</v>
      </c>
      <c r="J1181">
        <v>75</v>
      </c>
      <c r="K1181">
        <v>69.5</v>
      </c>
      <c r="L1181" s="2"/>
    </row>
    <row r="1182" spans="1:12" x14ac:dyDescent="0.25">
      <c r="A1182" s="2" t="s">
        <v>30</v>
      </c>
      <c r="B1182" s="2" t="s">
        <v>31</v>
      </c>
      <c r="C1182" s="2" t="s">
        <v>32</v>
      </c>
      <c r="D1182" s="2" t="s">
        <v>38</v>
      </c>
      <c r="E1182">
        <v>7.4286000000000003</v>
      </c>
      <c r="F1182">
        <v>-12897.5</v>
      </c>
      <c r="G1182">
        <v>25.5</v>
      </c>
      <c r="H1182">
        <v>74.900000000000006</v>
      </c>
      <c r="I1182">
        <v>95.2</v>
      </c>
      <c r="J1182">
        <v>81.7</v>
      </c>
      <c r="K1182">
        <v>69.5</v>
      </c>
      <c r="L1182" s="2"/>
    </row>
    <row r="1183" spans="1:12" x14ac:dyDescent="0.25">
      <c r="A1183" s="2" t="s">
        <v>30</v>
      </c>
      <c r="B1183" s="2" t="s">
        <v>31</v>
      </c>
      <c r="C1183" s="2" t="s">
        <v>32</v>
      </c>
      <c r="D1183" s="2" t="s">
        <v>38</v>
      </c>
      <c r="E1183">
        <v>8.3571000000000009</v>
      </c>
      <c r="F1183">
        <v>-12854.7</v>
      </c>
      <c r="G1183">
        <v>25.5</v>
      </c>
      <c r="H1183">
        <v>74.900000000000006</v>
      </c>
      <c r="I1183">
        <v>95.2</v>
      </c>
      <c r="J1183">
        <v>88.4</v>
      </c>
      <c r="K1183">
        <v>69.599999999999994</v>
      </c>
      <c r="L1183" s="2"/>
    </row>
    <row r="1184" spans="1:12" x14ac:dyDescent="0.25">
      <c r="A1184" s="2" t="s">
        <v>30</v>
      </c>
      <c r="B1184" s="2" t="s">
        <v>31</v>
      </c>
      <c r="C1184" s="2" t="s">
        <v>32</v>
      </c>
      <c r="D1184" s="2" t="s">
        <v>38</v>
      </c>
      <c r="E1184">
        <v>9.2857000000000003</v>
      </c>
      <c r="F1184">
        <v>-12811.8</v>
      </c>
      <c r="G1184">
        <v>25.5</v>
      </c>
      <c r="H1184">
        <v>74.900000000000006</v>
      </c>
      <c r="I1184">
        <v>95.2</v>
      </c>
      <c r="J1184">
        <v>95</v>
      </c>
      <c r="K1184">
        <v>69.599999999999994</v>
      </c>
      <c r="L1184" s="2"/>
    </row>
    <row r="1185" spans="1:12" x14ac:dyDescent="0.25">
      <c r="A1185" s="2" t="s">
        <v>30</v>
      </c>
      <c r="B1185" s="2" t="s">
        <v>31</v>
      </c>
      <c r="C1185" s="2" t="s">
        <v>32</v>
      </c>
      <c r="D1185" s="2" t="s">
        <v>38</v>
      </c>
      <c r="E1185">
        <v>10.2143</v>
      </c>
      <c r="F1185">
        <v>-12768.9</v>
      </c>
      <c r="G1185">
        <v>25.5</v>
      </c>
      <c r="H1185">
        <v>74.900000000000006</v>
      </c>
      <c r="I1185">
        <v>95.2</v>
      </c>
      <c r="J1185">
        <v>101.5</v>
      </c>
      <c r="K1185">
        <v>69.8</v>
      </c>
      <c r="L1185" s="2"/>
    </row>
    <row r="1186" spans="1:12" x14ac:dyDescent="0.25">
      <c r="A1186" s="2" t="s">
        <v>30</v>
      </c>
      <c r="B1186" s="2" t="s">
        <v>31</v>
      </c>
      <c r="C1186" s="2" t="s">
        <v>32</v>
      </c>
      <c r="D1186" s="2" t="s">
        <v>38</v>
      </c>
      <c r="E1186">
        <v>11.142899999999999</v>
      </c>
      <c r="F1186">
        <v>-12726</v>
      </c>
      <c r="G1186">
        <v>25.5</v>
      </c>
      <c r="H1186">
        <v>74.900000000000006</v>
      </c>
      <c r="I1186">
        <v>95.2</v>
      </c>
      <c r="J1186">
        <v>108</v>
      </c>
      <c r="K1186">
        <v>70</v>
      </c>
      <c r="L1186" s="2"/>
    </row>
    <row r="1187" spans="1:12" x14ac:dyDescent="0.25">
      <c r="A1187" s="2" t="s">
        <v>30</v>
      </c>
      <c r="B1187" s="2" t="s">
        <v>31</v>
      </c>
      <c r="C1187" s="2" t="s">
        <v>32</v>
      </c>
      <c r="D1187" s="2" t="s">
        <v>38</v>
      </c>
      <c r="E1187">
        <v>12.071400000000001</v>
      </c>
      <c r="F1187">
        <v>-12683.1</v>
      </c>
      <c r="G1187">
        <v>25.5</v>
      </c>
      <c r="H1187">
        <v>74.900000000000006</v>
      </c>
      <c r="I1187">
        <v>95.2</v>
      </c>
      <c r="J1187">
        <v>118.2</v>
      </c>
      <c r="K1187">
        <v>70.400000000000006</v>
      </c>
      <c r="L1187" s="2"/>
    </row>
    <row r="1188" spans="1:12" x14ac:dyDescent="0.25">
      <c r="A1188" s="2" t="s">
        <v>30</v>
      </c>
      <c r="B1188" s="2" t="s">
        <v>31</v>
      </c>
      <c r="C1188" s="2" t="s">
        <v>32</v>
      </c>
      <c r="D1188" s="2" t="s">
        <v>38</v>
      </c>
      <c r="E1188">
        <v>13</v>
      </c>
      <c r="F1188">
        <v>-12640.2</v>
      </c>
      <c r="G1188">
        <v>25.5</v>
      </c>
      <c r="H1188">
        <v>74.900000000000006</v>
      </c>
      <c r="I1188">
        <v>95.2</v>
      </c>
      <c r="J1188">
        <v>128.4</v>
      </c>
      <c r="K1188">
        <v>71.099999999999994</v>
      </c>
      <c r="L1188" s="2"/>
    </row>
    <row r="1189" spans="1:12" x14ac:dyDescent="0.25">
      <c r="A1189" s="2" t="s">
        <v>30</v>
      </c>
      <c r="B1189" s="2" t="s">
        <v>31</v>
      </c>
      <c r="C1189" s="2" t="s">
        <v>32</v>
      </c>
      <c r="D1189" s="2" t="s">
        <v>38</v>
      </c>
      <c r="E1189">
        <v>0</v>
      </c>
      <c r="F1189">
        <v>-16098.6</v>
      </c>
      <c r="G1189">
        <v>-0.6</v>
      </c>
      <c r="H1189">
        <v>-9.5</v>
      </c>
      <c r="I1189">
        <v>-37.4</v>
      </c>
      <c r="J1189">
        <v>-21.3</v>
      </c>
      <c r="K1189">
        <v>65.900000000000006</v>
      </c>
      <c r="L1189" s="2"/>
    </row>
    <row r="1190" spans="1:12" x14ac:dyDescent="0.25">
      <c r="A1190" s="2" t="s">
        <v>30</v>
      </c>
      <c r="B1190" s="2" t="s">
        <v>31</v>
      </c>
      <c r="C1190" s="2" t="s">
        <v>32</v>
      </c>
      <c r="D1190" s="2" t="s">
        <v>38</v>
      </c>
      <c r="E1190">
        <v>0.92859999999999998</v>
      </c>
      <c r="F1190">
        <v>-16055.7</v>
      </c>
      <c r="G1190">
        <v>-0.6</v>
      </c>
      <c r="H1190">
        <v>-9.5</v>
      </c>
      <c r="I1190">
        <v>-37.4</v>
      </c>
      <c r="J1190">
        <v>-10.3</v>
      </c>
      <c r="K1190">
        <v>67</v>
      </c>
      <c r="L1190" s="2"/>
    </row>
    <row r="1191" spans="1:12" x14ac:dyDescent="0.25">
      <c r="A1191" s="2" t="s">
        <v>30</v>
      </c>
      <c r="B1191" s="2" t="s">
        <v>31</v>
      </c>
      <c r="C1191" s="2" t="s">
        <v>32</v>
      </c>
      <c r="D1191" s="2" t="s">
        <v>38</v>
      </c>
      <c r="E1191">
        <v>1.8571</v>
      </c>
      <c r="F1191">
        <v>-16012.8</v>
      </c>
      <c r="G1191">
        <v>-0.6</v>
      </c>
      <c r="H1191">
        <v>-9.5</v>
      </c>
      <c r="I1191">
        <v>-37.4</v>
      </c>
      <c r="J1191">
        <v>0.6</v>
      </c>
      <c r="K1191">
        <v>67.900000000000006</v>
      </c>
      <c r="L1191" s="2"/>
    </row>
    <row r="1192" spans="1:12" x14ac:dyDescent="0.25">
      <c r="A1192" s="2" t="s">
        <v>30</v>
      </c>
      <c r="B1192" s="2" t="s">
        <v>31</v>
      </c>
      <c r="C1192" s="2" t="s">
        <v>32</v>
      </c>
      <c r="D1192" s="2" t="s">
        <v>38</v>
      </c>
      <c r="E1192">
        <v>2.7856999999999998</v>
      </c>
      <c r="F1192">
        <v>-15969.9</v>
      </c>
      <c r="G1192">
        <v>-0.6</v>
      </c>
      <c r="H1192">
        <v>-9.5</v>
      </c>
      <c r="I1192">
        <v>-37.4</v>
      </c>
      <c r="J1192">
        <v>10.1</v>
      </c>
      <c r="K1192">
        <v>60.2</v>
      </c>
      <c r="L1192" s="2"/>
    </row>
    <row r="1193" spans="1:12" x14ac:dyDescent="0.25">
      <c r="A1193" s="2" t="s">
        <v>30</v>
      </c>
      <c r="B1193" s="2" t="s">
        <v>31</v>
      </c>
      <c r="C1193" s="2" t="s">
        <v>32</v>
      </c>
      <c r="D1193" s="2" t="s">
        <v>38</v>
      </c>
      <c r="E1193">
        <v>3.7143000000000002</v>
      </c>
      <c r="F1193">
        <v>-15927</v>
      </c>
      <c r="G1193">
        <v>-0.6</v>
      </c>
      <c r="H1193">
        <v>-9.5</v>
      </c>
      <c r="I1193">
        <v>-37.4</v>
      </c>
      <c r="J1193">
        <v>-10.5</v>
      </c>
      <c r="K1193">
        <v>38.6</v>
      </c>
      <c r="L1193" s="2"/>
    </row>
    <row r="1194" spans="1:12" x14ac:dyDescent="0.25">
      <c r="A1194" s="2" t="s">
        <v>30</v>
      </c>
      <c r="B1194" s="2" t="s">
        <v>31</v>
      </c>
      <c r="C1194" s="2" t="s">
        <v>32</v>
      </c>
      <c r="D1194" s="2" t="s">
        <v>38</v>
      </c>
      <c r="E1194">
        <v>4.6429</v>
      </c>
      <c r="F1194">
        <v>-15884.2</v>
      </c>
      <c r="G1194">
        <v>-0.6</v>
      </c>
      <c r="H1194">
        <v>-9.5</v>
      </c>
      <c r="I1194">
        <v>-37.4</v>
      </c>
      <c r="J1194">
        <v>-71.3</v>
      </c>
      <c r="K1194">
        <v>15</v>
      </c>
      <c r="L1194" s="2"/>
    </row>
    <row r="1195" spans="1:12" x14ac:dyDescent="0.25">
      <c r="A1195" s="2" t="s">
        <v>30</v>
      </c>
      <c r="B1195" s="2" t="s">
        <v>31</v>
      </c>
      <c r="C1195" s="2" t="s">
        <v>32</v>
      </c>
      <c r="D1195" s="2" t="s">
        <v>38</v>
      </c>
      <c r="E1195">
        <v>5.5713999999999997</v>
      </c>
      <c r="F1195">
        <v>-15841.3</v>
      </c>
      <c r="G1195">
        <v>-0.6</v>
      </c>
      <c r="H1195">
        <v>-9.5</v>
      </c>
      <c r="I1195">
        <v>-37.4</v>
      </c>
      <c r="J1195">
        <v>-138.9</v>
      </c>
      <c r="K1195">
        <v>-9.1</v>
      </c>
      <c r="L1195" s="2"/>
    </row>
    <row r="1196" spans="1:12" x14ac:dyDescent="0.25">
      <c r="A1196" s="2" t="s">
        <v>30</v>
      </c>
      <c r="B1196" s="2" t="s">
        <v>31</v>
      </c>
      <c r="C1196" s="2" t="s">
        <v>32</v>
      </c>
      <c r="D1196" s="2" t="s">
        <v>38</v>
      </c>
      <c r="E1196">
        <v>6.5</v>
      </c>
      <c r="F1196">
        <v>-15798.4</v>
      </c>
      <c r="G1196">
        <v>-0.6</v>
      </c>
      <c r="H1196">
        <v>-9.5</v>
      </c>
      <c r="I1196">
        <v>-37.4</v>
      </c>
      <c r="J1196">
        <v>-206.5</v>
      </c>
      <c r="K1196">
        <v>-33.299999999999997</v>
      </c>
      <c r="L1196" s="2"/>
    </row>
    <row r="1197" spans="1:12" x14ac:dyDescent="0.25">
      <c r="A1197" s="2" t="s">
        <v>30</v>
      </c>
      <c r="B1197" s="2" t="s">
        <v>31</v>
      </c>
      <c r="C1197" s="2" t="s">
        <v>32</v>
      </c>
      <c r="D1197" s="2" t="s">
        <v>38</v>
      </c>
      <c r="E1197">
        <v>7.4286000000000003</v>
      </c>
      <c r="F1197">
        <v>-15755.5</v>
      </c>
      <c r="G1197">
        <v>-0.6</v>
      </c>
      <c r="H1197">
        <v>-9.5</v>
      </c>
      <c r="I1197">
        <v>-37.4</v>
      </c>
      <c r="J1197">
        <v>-274.10000000000002</v>
      </c>
      <c r="K1197">
        <v>-57.6</v>
      </c>
      <c r="L1197" s="2"/>
    </row>
    <row r="1198" spans="1:12" x14ac:dyDescent="0.25">
      <c r="A1198" s="2" t="s">
        <v>30</v>
      </c>
      <c r="B1198" s="2" t="s">
        <v>31</v>
      </c>
      <c r="C1198" s="2" t="s">
        <v>32</v>
      </c>
      <c r="D1198" s="2" t="s">
        <v>38</v>
      </c>
      <c r="E1198">
        <v>8.3571000000000009</v>
      </c>
      <c r="F1198">
        <v>-15712.6</v>
      </c>
      <c r="G1198">
        <v>-0.6</v>
      </c>
      <c r="H1198">
        <v>-9.5</v>
      </c>
      <c r="I1198">
        <v>-37.4</v>
      </c>
      <c r="J1198">
        <v>-341.9</v>
      </c>
      <c r="K1198">
        <v>-81.8</v>
      </c>
      <c r="L1198" s="2"/>
    </row>
    <row r="1199" spans="1:12" x14ac:dyDescent="0.25">
      <c r="A1199" s="2" t="s">
        <v>30</v>
      </c>
      <c r="B1199" s="2" t="s">
        <v>31</v>
      </c>
      <c r="C1199" s="2" t="s">
        <v>32</v>
      </c>
      <c r="D1199" s="2" t="s">
        <v>38</v>
      </c>
      <c r="E1199">
        <v>9.2857000000000003</v>
      </c>
      <c r="F1199">
        <v>-15669.8</v>
      </c>
      <c r="G1199">
        <v>-0.6</v>
      </c>
      <c r="H1199">
        <v>-9.5</v>
      </c>
      <c r="I1199">
        <v>-37.4</v>
      </c>
      <c r="J1199">
        <v>-409.7</v>
      </c>
      <c r="K1199">
        <v>-106.1</v>
      </c>
      <c r="L1199" s="2"/>
    </row>
    <row r="1200" spans="1:12" x14ac:dyDescent="0.25">
      <c r="A1200" s="2" t="s">
        <v>30</v>
      </c>
      <c r="B1200" s="2" t="s">
        <v>31</v>
      </c>
      <c r="C1200" s="2" t="s">
        <v>32</v>
      </c>
      <c r="D1200" s="2" t="s">
        <v>38</v>
      </c>
      <c r="E1200">
        <v>10.2143</v>
      </c>
      <c r="F1200">
        <v>-15626.9</v>
      </c>
      <c r="G1200">
        <v>-0.6</v>
      </c>
      <c r="H1200">
        <v>-9.5</v>
      </c>
      <c r="I1200">
        <v>-37.4</v>
      </c>
      <c r="J1200">
        <v>-477.6</v>
      </c>
      <c r="K1200">
        <v>-130.19999999999999</v>
      </c>
      <c r="L1200" s="2"/>
    </row>
    <row r="1201" spans="1:12" x14ac:dyDescent="0.25">
      <c r="A1201" s="2" t="s">
        <v>30</v>
      </c>
      <c r="B1201" s="2" t="s">
        <v>31</v>
      </c>
      <c r="C1201" s="2" t="s">
        <v>32</v>
      </c>
      <c r="D1201" s="2" t="s">
        <v>38</v>
      </c>
      <c r="E1201">
        <v>11.142899999999999</v>
      </c>
      <c r="F1201">
        <v>-15584</v>
      </c>
      <c r="G1201">
        <v>-0.6</v>
      </c>
      <c r="H1201">
        <v>-9.5</v>
      </c>
      <c r="I1201">
        <v>-37.4</v>
      </c>
      <c r="J1201">
        <v>-545.6</v>
      </c>
      <c r="K1201">
        <v>-154.19999999999999</v>
      </c>
      <c r="L1201" s="2"/>
    </row>
    <row r="1202" spans="1:12" x14ac:dyDescent="0.25">
      <c r="A1202" s="2" t="s">
        <v>30</v>
      </c>
      <c r="B1202" s="2" t="s">
        <v>31</v>
      </c>
      <c r="C1202" s="2" t="s">
        <v>32</v>
      </c>
      <c r="D1202" s="2" t="s">
        <v>38</v>
      </c>
      <c r="E1202">
        <v>12.071400000000001</v>
      </c>
      <c r="F1202">
        <v>-15541.1</v>
      </c>
      <c r="G1202">
        <v>-0.6</v>
      </c>
      <c r="H1202">
        <v>-9.5</v>
      </c>
      <c r="I1202">
        <v>-37.4</v>
      </c>
      <c r="J1202">
        <v>-613.6</v>
      </c>
      <c r="K1202">
        <v>-178.1</v>
      </c>
      <c r="L1202" s="2"/>
    </row>
    <row r="1203" spans="1:12" x14ac:dyDescent="0.25">
      <c r="A1203" s="2" t="s">
        <v>30</v>
      </c>
      <c r="B1203" s="2" t="s">
        <v>31</v>
      </c>
      <c r="C1203" s="2" t="s">
        <v>32</v>
      </c>
      <c r="D1203" s="2" t="s">
        <v>38</v>
      </c>
      <c r="E1203">
        <v>13</v>
      </c>
      <c r="F1203">
        <v>-15498.2</v>
      </c>
      <c r="G1203">
        <v>-0.6</v>
      </c>
      <c r="H1203">
        <v>-9.5</v>
      </c>
      <c r="I1203">
        <v>-37.4</v>
      </c>
      <c r="J1203">
        <v>-681.8</v>
      </c>
      <c r="K1203">
        <v>-201.7</v>
      </c>
      <c r="L1203" s="2"/>
    </row>
    <row r="1204" spans="1:12" x14ac:dyDescent="0.25">
      <c r="A1204" s="2" t="s">
        <v>30</v>
      </c>
      <c r="B1204" s="2" t="s">
        <v>31</v>
      </c>
      <c r="C1204" s="2" t="s">
        <v>32</v>
      </c>
      <c r="D1204" s="2" t="s">
        <v>39</v>
      </c>
      <c r="E1204">
        <v>0</v>
      </c>
      <c r="F1204">
        <v>-12242.3</v>
      </c>
      <c r="G1204">
        <v>27</v>
      </c>
      <c r="H1204">
        <v>8.3000000000000007</v>
      </c>
      <c r="I1204">
        <v>88.2</v>
      </c>
      <c r="J1204">
        <v>22.1</v>
      </c>
      <c r="K1204">
        <v>133.5</v>
      </c>
      <c r="L1204" s="2"/>
    </row>
    <row r="1205" spans="1:12" x14ac:dyDescent="0.25">
      <c r="A1205" s="2" t="s">
        <v>30</v>
      </c>
      <c r="B1205" s="2" t="s">
        <v>31</v>
      </c>
      <c r="C1205" s="2" t="s">
        <v>32</v>
      </c>
      <c r="D1205" s="2" t="s">
        <v>39</v>
      </c>
      <c r="E1205">
        <v>0.92859999999999998</v>
      </c>
      <c r="F1205">
        <v>-12199.4</v>
      </c>
      <c r="G1205">
        <v>27</v>
      </c>
      <c r="H1205">
        <v>8.3000000000000007</v>
      </c>
      <c r="I1205">
        <v>88.2</v>
      </c>
      <c r="J1205">
        <v>16.5</v>
      </c>
      <c r="K1205">
        <v>109</v>
      </c>
      <c r="L1205" s="2"/>
    </row>
    <row r="1206" spans="1:12" x14ac:dyDescent="0.25">
      <c r="A1206" s="2" t="s">
        <v>30</v>
      </c>
      <c r="B1206" s="2" t="s">
        <v>31</v>
      </c>
      <c r="C1206" s="2" t="s">
        <v>32</v>
      </c>
      <c r="D1206" s="2" t="s">
        <v>39</v>
      </c>
      <c r="E1206">
        <v>1.8571</v>
      </c>
      <c r="F1206">
        <v>-12156.5</v>
      </c>
      <c r="G1206">
        <v>27</v>
      </c>
      <c r="H1206">
        <v>8.3000000000000007</v>
      </c>
      <c r="I1206">
        <v>88.2</v>
      </c>
      <c r="J1206">
        <v>10.9</v>
      </c>
      <c r="K1206">
        <v>84.2</v>
      </c>
      <c r="L1206" s="2"/>
    </row>
    <row r="1207" spans="1:12" x14ac:dyDescent="0.25">
      <c r="A1207" s="2" t="s">
        <v>30</v>
      </c>
      <c r="B1207" s="2" t="s">
        <v>31</v>
      </c>
      <c r="C1207" s="2" t="s">
        <v>32</v>
      </c>
      <c r="D1207" s="2" t="s">
        <v>39</v>
      </c>
      <c r="E1207">
        <v>2.7856999999999998</v>
      </c>
      <c r="F1207">
        <v>-12113.6</v>
      </c>
      <c r="G1207">
        <v>27</v>
      </c>
      <c r="H1207">
        <v>8.3000000000000007</v>
      </c>
      <c r="I1207">
        <v>88.2</v>
      </c>
      <c r="J1207">
        <v>6.8</v>
      </c>
      <c r="K1207">
        <v>67.5</v>
      </c>
      <c r="L1207" s="2"/>
    </row>
    <row r="1208" spans="1:12" x14ac:dyDescent="0.25">
      <c r="A1208" s="2" t="s">
        <v>30</v>
      </c>
      <c r="B1208" s="2" t="s">
        <v>31</v>
      </c>
      <c r="C1208" s="2" t="s">
        <v>32</v>
      </c>
      <c r="D1208" s="2" t="s">
        <v>39</v>
      </c>
      <c r="E1208">
        <v>3.7143000000000002</v>
      </c>
      <c r="F1208">
        <v>-12070.8</v>
      </c>
      <c r="G1208">
        <v>27</v>
      </c>
      <c r="H1208">
        <v>8.3000000000000007</v>
      </c>
      <c r="I1208">
        <v>88.2</v>
      </c>
      <c r="J1208">
        <v>32.799999999999997</v>
      </c>
      <c r="K1208">
        <v>64.3</v>
      </c>
      <c r="L1208" s="2"/>
    </row>
    <row r="1209" spans="1:12" x14ac:dyDescent="0.25">
      <c r="A1209" s="2" t="s">
        <v>30</v>
      </c>
      <c r="B1209" s="2" t="s">
        <v>31</v>
      </c>
      <c r="C1209" s="2" t="s">
        <v>32</v>
      </c>
      <c r="D1209" s="2" t="s">
        <v>39</v>
      </c>
      <c r="E1209">
        <v>4.6429</v>
      </c>
      <c r="F1209">
        <v>-12027.9</v>
      </c>
      <c r="G1209">
        <v>27</v>
      </c>
      <c r="H1209">
        <v>8.3000000000000007</v>
      </c>
      <c r="I1209">
        <v>88.2</v>
      </c>
      <c r="J1209">
        <v>98.8</v>
      </c>
      <c r="K1209">
        <v>62.8</v>
      </c>
      <c r="L1209" s="2"/>
    </row>
    <row r="1210" spans="1:12" x14ac:dyDescent="0.25">
      <c r="A1210" s="2" t="s">
        <v>30</v>
      </c>
      <c r="B1210" s="2" t="s">
        <v>31</v>
      </c>
      <c r="C1210" s="2" t="s">
        <v>32</v>
      </c>
      <c r="D1210" s="2" t="s">
        <v>39</v>
      </c>
      <c r="E1210">
        <v>5.5713999999999997</v>
      </c>
      <c r="F1210">
        <v>-11985</v>
      </c>
      <c r="G1210">
        <v>27</v>
      </c>
      <c r="H1210">
        <v>8.3000000000000007</v>
      </c>
      <c r="I1210">
        <v>88.2</v>
      </c>
      <c r="J1210">
        <v>171.5</v>
      </c>
      <c r="K1210">
        <v>61.6</v>
      </c>
      <c r="L1210" s="2"/>
    </row>
    <row r="1211" spans="1:12" x14ac:dyDescent="0.25">
      <c r="A1211" s="2" t="s">
        <v>30</v>
      </c>
      <c r="B1211" s="2" t="s">
        <v>31</v>
      </c>
      <c r="C1211" s="2" t="s">
        <v>32</v>
      </c>
      <c r="D1211" s="2" t="s">
        <v>39</v>
      </c>
      <c r="E1211">
        <v>6.5</v>
      </c>
      <c r="F1211">
        <v>-11942.1</v>
      </c>
      <c r="G1211">
        <v>27</v>
      </c>
      <c r="H1211">
        <v>8.3000000000000007</v>
      </c>
      <c r="I1211">
        <v>88.2</v>
      </c>
      <c r="J1211">
        <v>244.1</v>
      </c>
      <c r="K1211">
        <v>60.2</v>
      </c>
      <c r="L1211" s="2"/>
    </row>
    <row r="1212" spans="1:12" x14ac:dyDescent="0.25">
      <c r="A1212" s="2" t="s">
        <v>30</v>
      </c>
      <c r="B1212" s="2" t="s">
        <v>31</v>
      </c>
      <c r="C1212" s="2" t="s">
        <v>32</v>
      </c>
      <c r="D1212" s="2" t="s">
        <v>39</v>
      </c>
      <c r="E1212">
        <v>7.4286000000000003</v>
      </c>
      <c r="F1212">
        <v>-11899.2</v>
      </c>
      <c r="G1212">
        <v>27</v>
      </c>
      <c r="H1212">
        <v>8.3000000000000007</v>
      </c>
      <c r="I1212">
        <v>88.2</v>
      </c>
      <c r="J1212">
        <v>316.7</v>
      </c>
      <c r="K1212">
        <v>58.8</v>
      </c>
      <c r="L1212" s="2"/>
    </row>
    <row r="1213" spans="1:12" x14ac:dyDescent="0.25">
      <c r="A1213" s="2" t="s">
        <v>30</v>
      </c>
      <c r="B1213" s="2" t="s">
        <v>31</v>
      </c>
      <c r="C1213" s="2" t="s">
        <v>32</v>
      </c>
      <c r="D1213" s="2" t="s">
        <v>39</v>
      </c>
      <c r="E1213">
        <v>8.3571000000000009</v>
      </c>
      <c r="F1213">
        <v>-11856.3</v>
      </c>
      <c r="G1213">
        <v>27</v>
      </c>
      <c r="H1213">
        <v>8.3000000000000007</v>
      </c>
      <c r="I1213">
        <v>88.2</v>
      </c>
      <c r="J1213">
        <v>389.3</v>
      </c>
      <c r="K1213">
        <v>57.5</v>
      </c>
      <c r="L1213" s="2"/>
    </row>
    <row r="1214" spans="1:12" x14ac:dyDescent="0.25">
      <c r="A1214" s="2" t="s">
        <v>30</v>
      </c>
      <c r="B1214" s="2" t="s">
        <v>31</v>
      </c>
      <c r="C1214" s="2" t="s">
        <v>32</v>
      </c>
      <c r="D1214" s="2" t="s">
        <v>39</v>
      </c>
      <c r="E1214">
        <v>9.2857000000000003</v>
      </c>
      <c r="F1214">
        <v>-11813.5</v>
      </c>
      <c r="G1214">
        <v>27</v>
      </c>
      <c r="H1214">
        <v>8.3000000000000007</v>
      </c>
      <c r="I1214">
        <v>88.2</v>
      </c>
      <c r="J1214">
        <v>461.7</v>
      </c>
      <c r="K1214">
        <v>56.1</v>
      </c>
      <c r="L1214" s="2"/>
    </row>
    <row r="1215" spans="1:12" x14ac:dyDescent="0.25">
      <c r="A1215" s="2" t="s">
        <v>30</v>
      </c>
      <c r="B1215" s="2" t="s">
        <v>31</v>
      </c>
      <c r="C1215" s="2" t="s">
        <v>32</v>
      </c>
      <c r="D1215" s="2" t="s">
        <v>39</v>
      </c>
      <c r="E1215">
        <v>10.2143</v>
      </c>
      <c r="F1215">
        <v>-11770.6</v>
      </c>
      <c r="G1215">
        <v>27</v>
      </c>
      <c r="H1215">
        <v>8.3000000000000007</v>
      </c>
      <c r="I1215">
        <v>88.2</v>
      </c>
      <c r="J1215">
        <v>534.1</v>
      </c>
      <c r="K1215">
        <v>54.9</v>
      </c>
      <c r="L1215" s="2"/>
    </row>
    <row r="1216" spans="1:12" x14ac:dyDescent="0.25">
      <c r="A1216" s="2" t="s">
        <v>30</v>
      </c>
      <c r="B1216" s="2" t="s">
        <v>31</v>
      </c>
      <c r="C1216" s="2" t="s">
        <v>32</v>
      </c>
      <c r="D1216" s="2" t="s">
        <v>39</v>
      </c>
      <c r="E1216">
        <v>11.142899999999999</v>
      </c>
      <c r="F1216">
        <v>-11727.7</v>
      </c>
      <c r="G1216">
        <v>27</v>
      </c>
      <c r="H1216">
        <v>8.3000000000000007</v>
      </c>
      <c r="I1216">
        <v>88.2</v>
      </c>
      <c r="J1216">
        <v>606.4</v>
      </c>
      <c r="K1216">
        <v>53.7</v>
      </c>
      <c r="L1216" s="2"/>
    </row>
    <row r="1217" spans="1:12" x14ac:dyDescent="0.25">
      <c r="A1217" s="2" t="s">
        <v>30</v>
      </c>
      <c r="B1217" s="2" t="s">
        <v>31</v>
      </c>
      <c r="C1217" s="2" t="s">
        <v>32</v>
      </c>
      <c r="D1217" s="2" t="s">
        <v>39</v>
      </c>
      <c r="E1217">
        <v>12.071400000000001</v>
      </c>
      <c r="F1217">
        <v>-11684.8</v>
      </c>
      <c r="G1217">
        <v>27</v>
      </c>
      <c r="H1217">
        <v>8.3000000000000007</v>
      </c>
      <c r="I1217">
        <v>88.2</v>
      </c>
      <c r="J1217">
        <v>678.5</v>
      </c>
      <c r="K1217">
        <v>52.7</v>
      </c>
      <c r="L1217" s="2"/>
    </row>
    <row r="1218" spans="1:12" x14ac:dyDescent="0.25">
      <c r="A1218" s="2" t="s">
        <v>30</v>
      </c>
      <c r="B1218" s="2" t="s">
        <v>31</v>
      </c>
      <c r="C1218" s="2" t="s">
        <v>32</v>
      </c>
      <c r="D1218" s="2" t="s">
        <v>39</v>
      </c>
      <c r="E1218">
        <v>13</v>
      </c>
      <c r="F1218">
        <v>-11641.9</v>
      </c>
      <c r="G1218">
        <v>27</v>
      </c>
      <c r="H1218">
        <v>8.3000000000000007</v>
      </c>
      <c r="I1218">
        <v>88.2</v>
      </c>
      <c r="J1218">
        <v>750.6</v>
      </c>
      <c r="K1218">
        <v>52</v>
      </c>
      <c r="L1218" s="2"/>
    </row>
    <row r="1219" spans="1:12" x14ac:dyDescent="0.25">
      <c r="A1219" s="2" t="s">
        <v>30</v>
      </c>
      <c r="B1219" s="2" t="s">
        <v>31</v>
      </c>
      <c r="C1219" s="2" t="s">
        <v>32</v>
      </c>
      <c r="D1219" s="2" t="s">
        <v>39</v>
      </c>
      <c r="E1219">
        <v>0</v>
      </c>
      <c r="F1219">
        <v>-15100.3</v>
      </c>
      <c r="G1219">
        <v>0.9</v>
      </c>
      <c r="H1219">
        <v>-76.2</v>
      </c>
      <c r="I1219">
        <v>-44.4</v>
      </c>
      <c r="J1219">
        <v>-265.3</v>
      </c>
      <c r="K1219">
        <v>66.400000000000006</v>
      </c>
      <c r="L1219" s="2"/>
    </row>
    <row r="1220" spans="1:12" x14ac:dyDescent="0.25">
      <c r="A1220" s="2" t="s">
        <v>30</v>
      </c>
      <c r="B1220" s="2" t="s">
        <v>31</v>
      </c>
      <c r="C1220" s="2" t="s">
        <v>32</v>
      </c>
      <c r="D1220" s="2" t="s">
        <v>39</v>
      </c>
      <c r="E1220">
        <v>0.92859999999999998</v>
      </c>
      <c r="F1220">
        <v>-15057.4</v>
      </c>
      <c r="G1220">
        <v>0.9</v>
      </c>
      <c r="H1220">
        <v>-76.2</v>
      </c>
      <c r="I1220">
        <v>-44.4</v>
      </c>
      <c r="J1220">
        <v>-192.4</v>
      </c>
      <c r="K1220">
        <v>66.2</v>
      </c>
      <c r="L1220" s="2"/>
    </row>
    <row r="1221" spans="1:12" x14ac:dyDescent="0.25">
      <c r="A1221" s="2" t="s">
        <v>30</v>
      </c>
      <c r="B1221" s="2" t="s">
        <v>31</v>
      </c>
      <c r="C1221" s="2" t="s">
        <v>32</v>
      </c>
      <c r="D1221" s="2" t="s">
        <v>39</v>
      </c>
      <c r="E1221">
        <v>1.8571</v>
      </c>
      <c r="F1221">
        <v>-15014.5</v>
      </c>
      <c r="G1221">
        <v>0.9</v>
      </c>
      <c r="H1221">
        <v>-76.2</v>
      </c>
      <c r="I1221">
        <v>-44.4</v>
      </c>
      <c r="J1221">
        <v>-119.6</v>
      </c>
      <c r="K1221">
        <v>65.7</v>
      </c>
      <c r="L1221" s="2"/>
    </row>
    <row r="1222" spans="1:12" x14ac:dyDescent="0.25">
      <c r="A1222" s="2" t="s">
        <v>30</v>
      </c>
      <c r="B1222" s="2" t="s">
        <v>31</v>
      </c>
      <c r="C1222" s="2" t="s">
        <v>32</v>
      </c>
      <c r="D1222" s="2" t="s">
        <v>39</v>
      </c>
      <c r="E1222">
        <v>2.7856999999999998</v>
      </c>
      <c r="F1222">
        <v>-14971.6</v>
      </c>
      <c r="G1222">
        <v>0.9</v>
      </c>
      <c r="H1222">
        <v>-76.2</v>
      </c>
      <c r="I1222">
        <v>-44.4</v>
      </c>
      <c r="J1222">
        <v>-68</v>
      </c>
      <c r="K1222">
        <v>56.7</v>
      </c>
      <c r="L1222" s="2"/>
    </row>
    <row r="1223" spans="1:12" x14ac:dyDescent="0.25">
      <c r="A1223" s="2" t="s">
        <v>30</v>
      </c>
      <c r="B1223" s="2" t="s">
        <v>31</v>
      </c>
      <c r="C1223" s="2" t="s">
        <v>32</v>
      </c>
      <c r="D1223" s="2" t="s">
        <v>39</v>
      </c>
      <c r="E1223">
        <v>3.7143000000000002</v>
      </c>
      <c r="F1223">
        <v>-14928.7</v>
      </c>
      <c r="G1223">
        <v>0.9</v>
      </c>
      <c r="H1223">
        <v>-76.2</v>
      </c>
      <c r="I1223">
        <v>-44.4</v>
      </c>
      <c r="J1223">
        <v>-45.3</v>
      </c>
      <c r="K1223">
        <v>34</v>
      </c>
      <c r="L1223" s="2"/>
    </row>
    <row r="1224" spans="1:12" x14ac:dyDescent="0.25">
      <c r="A1224" s="2" t="s">
        <v>30</v>
      </c>
      <c r="B1224" s="2" t="s">
        <v>31</v>
      </c>
      <c r="C1224" s="2" t="s">
        <v>32</v>
      </c>
      <c r="D1224" s="2" t="s">
        <v>39</v>
      </c>
      <c r="E1224">
        <v>4.6429</v>
      </c>
      <c r="F1224">
        <v>-14885.8</v>
      </c>
      <c r="G1224">
        <v>0.9</v>
      </c>
      <c r="H1224">
        <v>-76.2</v>
      </c>
      <c r="I1224">
        <v>-44.4</v>
      </c>
      <c r="J1224">
        <v>-39.700000000000003</v>
      </c>
      <c r="K1224">
        <v>8.5</v>
      </c>
      <c r="L1224" s="2"/>
    </row>
    <row r="1225" spans="1:12" x14ac:dyDescent="0.25">
      <c r="A1225" s="2" t="s">
        <v>30</v>
      </c>
      <c r="B1225" s="2" t="s">
        <v>31</v>
      </c>
      <c r="C1225" s="2" t="s">
        <v>32</v>
      </c>
      <c r="D1225" s="2" t="s">
        <v>39</v>
      </c>
      <c r="E1225">
        <v>5.5713999999999997</v>
      </c>
      <c r="F1225">
        <v>-14843</v>
      </c>
      <c r="G1225">
        <v>0.9</v>
      </c>
      <c r="H1225">
        <v>-76.2</v>
      </c>
      <c r="I1225">
        <v>-44.4</v>
      </c>
      <c r="J1225">
        <v>-35.5</v>
      </c>
      <c r="K1225">
        <v>-17</v>
      </c>
      <c r="L1225" s="2"/>
    </row>
    <row r="1226" spans="1:12" x14ac:dyDescent="0.25">
      <c r="A1226" s="2" t="s">
        <v>30</v>
      </c>
      <c r="B1226" s="2" t="s">
        <v>31</v>
      </c>
      <c r="C1226" s="2" t="s">
        <v>32</v>
      </c>
      <c r="D1226" s="2" t="s">
        <v>39</v>
      </c>
      <c r="E1226">
        <v>6.5</v>
      </c>
      <c r="F1226">
        <v>-14800.1</v>
      </c>
      <c r="G1226">
        <v>0.9</v>
      </c>
      <c r="H1226">
        <v>-76.2</v>
      </c>
      <c r="I1226">
        <v>-44.4</v>
      </c>
      <c r="J1226">
        <v>-37.299999999999997</v>
      </c>
      <c r="K1226">
        <v>-42.6</v>
      </c>
      <c r="L1226" s="2"/>
    </row>
    <row r="1227" spans="1:12" x14ac:dyDescent="0.25">
      <c r="A1227" s="2" t="s">
        <v>30</v>
      </c>
      <c r="B1227" s="2" t="s">
        <v>31</v>
      </c>
      <c r="C1227" s="2" t="s">
        <v>32</v>
      </c>
      <c r="D1227" s="2" t="s">
        <v>39</v>
      </c>
      <c r="E1227">
        <v>7.4286000000000003</v>
      </c>
      <c r="F1227">
        <v>-14757.2</v>
      </c>
      <c r="G1227">
        <v>0.9</v>
      </c>
      <c r="H1227">
        <v>-76.2</v>
      </c>
      <c r="I1227">
        <v>-44.4</v>
      </c>
      <c r="J1227">
        <v>-39.1</v>
      </c>
      <c r="K1227">
        <v>-68.3</v>
      </c>
      <c r="L1227" s="2"/>
    </row>
    <row r="1228" spans="1:12" x14ac:dyDescent="0.25">
      <c r="A1228" s="2" t="s">
        <v>30</v>
      </c>
      <c r="B1228" s="2" t="s">
        <v>31</v>
      </c>
      <c r="C1228" s="2" t="s">
        <v>32</v>
      </c>
      <c r="D1228" s="2" t="s">
        <v>39</v>
      </c>
      <c r="E1228">
        <v>8.3571000000000009</v>
      </c>
      <c r="F1228">
        <v>-14714.3</v>
      </c>
      <c r="G1228">
        <v>0.9</v>
      </c>
      <c r="H1228">
        <v>-76.2</v>
      </c>
      <c r="I1228">
        <v>-44.4</v>
      </c>
      <c r="J1228">
        <v>-41</v>
      </c>
      <c r="K1228">
        <v>-93.9</v>
      </c>
      <c r="L1228" s="2"/>
    </row>
    <row r="1229" spans="1:12" x14ac:dyDescent="0.25">
      <c r="A1229" s="2" t="s">
        <v>30</v>
      </c>
      <c r="B1229" s="2" t="s">
        <v>31</v>
      </c>
      <c r="C1229" s="2" t="s">
        <v>32</v>
      </c>
      <c r="D1229" s="2" t="s">
        <v>39</v>
      </c>
      <c r="E1229">
        <v>9.2857000000000003</v>
      </c>
      <c r="F1229">
        <v>-14671.4</v>
      </c>
      <c r="G1229">
        <v>0.9</v>
      </c>
      <c r="H1229">
        <v>-76.2</v>
      </c>
      <c r="I1229">
        <v>-44.4</v>
      </c>
      <c r="J1229">
        <v>-43</v>
      </c>
      <c r="K1229">
        <v>-119.5</v>
      </c>
      <c r="L1229" s="2"/>
    </row>
    <row r="1230" spans="1:12" x14ac:dyDescent="0.25">
      <c r="A1230" s="2" t="s">
        <v>30</v>
      </c>
      <c r="B1230" s="2" t="s">
        <v>31</v>
      </c>
      <c r="C1230" s="2" t="s">
        <v>32</v>
      </c>
      <c r="D1230" s="2" t="s">
        <v>39</v>
      </c>
      <c r="E1230">
        <v>10.2143</v>
      </c>
      <c r="F1230">
        <v>-14628.5</v>
      </c>
      <c r="G1230">
        <v>0.9</v>
      </c>
      <c r="H1230">
        <v>-76.2</v>
      </c>
      <c r="I1230">
        <v>-44.4</v>
      </c>
      <c r="J1230">
        <v>-45</v>
      </c>
      <c r="K1230">
        <v>-145.1</v>
      </c>
      <c r="L1230" s="2"/>
    </row>
    <row r="1231" spans="1:12" x14ac:dyDescent="0.25">
      <c r="A1231" s="2" t="s">
        <v>30</v>
      </c>
      <c r="B1231" s="2" t="s">
        <v>31</v>
      </c>
      <c r="C1231" s="2" t="s">
        <v>32</v>
      </c>
      <c r="D1231" s="2" t="s">
        <v>39</v>
      </c>
      <c r="E1231">
        <v>11.142899999999999</v>
      </c>
      <c r="F1231">
        <v>-14585.7</v>
      </c>
      <c r="G1231">
        <v>0.9</v>
      </c>
      <c r="H1231">
        <v>-76.2</v>
      </c>
      <c r="I1231">
        <v>-44.4</v>
      </c>
      <c r="J1231">
        <v>-47.2</v>
      </c>
      <c r="K1231">
        <v>-170.5</v>
      </c>
      <c r="L1231" s="2"/>
    </row>
    <row r="1232" spans="1:12" x14ac:dyDescent="0.25">
      <c r="A1232" s="2" t="s">
        <v>30</v>
      </c>
      <c r="B1232" s="2" t="s">
        <v>31</v>
      </c>
      <c r="C1232" s="2" t="s">
        <v>32</v>
      </c>
      <c r="D1232" s="2" t="s">
        <v>39</v>
      </c>
      <c r="E1232">
        <v>12.071400000000001</v>
      </c>
      <c r="F1232">
        <v>-14542.8</v>
      </c>
      <c r="G1232">
        <v>0.9</v>
      </c>
      <c r="H1232">
        <v>-76.2</v>
      </c>
      <c r="I1232">
        <v>-44.4</v>
      </c>
      <c r="J1232">
        <v>-53.3</v>
      </c>
      <c r="K1232">
        <v>-195.8</v>
      </c>
      <c r="L1232" s="2"/>
    </row>
    <row r="1233" spans="1:12" x14ac:dyDescent="0.25">
      <c r="A1233" s="2" t="s">
        <v>30</v>
      </c>
      <c r="B1233" s="2" t="s">
        <v>31</v>
      </c>
      <c r="C1233" s="2" t="s">
        <v>32</v>
      </c>
      <c r="D1233" s="2" t="s">
        <v>39</v>
      </c>
      <c r="E1233">
        <v>13</v>
      </c>
      <c r="F1233">
        <v>-14499.9</v>
      </c>
      <c r="G1233">
        <v>0.9</v>
      </c>
      <c r="H1233">
        <v>-76.2</v>
      </c>
      <c r="I1233">
        <v>-44.4</v>
      </c>
      <c r="J1233">
        <v>-59.6</v>
      </c>
      <c r="K1233">
        <v>-220.8</v>
      </c>
      <c r="L1233" s="2"/>
    </row>
    <row r="1234" spans="1:12" x14ac:dyDescent="0.25">
      <c r="A1234" s="2" t="s">
        <v>30</v>
      </c>
      <c r="B1234" s="2" t="s">
        <v>31</v>
      </c>
      <c r="C1234" s="2" t="s">
        <v>32</v>
      </c>
      <c r="D1234" s="2" t="s">
        <v>40</v>
      </c>
      <c r="E1234">
        <v>0</v>
      </c>
      <c r="F1234">
        <v>-15211.7</v>
      </c>
      <c r="G1234">
        <v>46.7</v>
      </c>
      <c r="H1234">
        <v>158.5</v>
      </c>
      <c r="I1234">
        <v>180.1</v>
      </c>
      <c r="J1234">
        <v>571.29999999999995</v>
      </c>
      <c r="K1234">
        <v>208.5</v>
      </c>
      <c r="L1234" s="2"/>
    </row>
    <row r="1235" spans="1:12" x14ac:dyDescent="0.25">
      <c r="A1235" s="2" t="s">
        <v>30</v>
      </c>
      <c r="B1235" s="2" t="s">
        <v>31</v>
      </c>
      <c r="C1235" s="2" t="s">
        <v>32</v>
      </c>
      <c r="D1235" s="2" t="s">
        <v>40</v>
      </c>
      <c r="E1235">
        <v>0.92859999999999998</v>
      </c>
      <c r="F1235">
        <v>-15168.9</v>
      </c>
      <c r="G1235">
        <v>46.7</v>
      </c>
      <c r="H1235">
        <v>158.5</v>
      </c>
      <c r="I1235">
        <v>180.1</v>
      </c>
      <c r="J1235">
        <v>426.8</v>
      </c>
      <c r="K1235">
        <v>168.1</v>
      </c>
      <c r="L1235" s="2"/>
    </row>
    <row r="1236" spans="1:12" x14ac:dyDescent="0.25">
      <c r="A1236" s="2" t="s">
        <v>30</v>
      </c>
      <c r="B1236" s="2" t="s">
        <v>31</v>
      </c>
      <c r="C1236" s="2" t="s">
        <v>32</v>
      </c>
      <c r="D1236" s="2" t="s">
        <v>40</v>
      </c>
      <c r="E1236">
        <v>1.8571</v>
      </c>
      <c r="F1236">
        <v>-15126</v>
      </c>
      <c r="G1236">
        <v>46.7</v>
      </c>
      <c r="H1236">
        <v>158.5</v>
      </c>
      <c r="I1236">
        <v>180.1</v>
      </c>
      <c r="J1236">
        <v>282.10000000000002</v>
      </c>
      <c r="K1236">
        <v>128.4</v>
      </c>
      <c r="L1236" s="2"/>
    </row>
    <row r="1237" spans="1:12" x14ac:dyDescent="0.25">
      <c r="A1237" s="2" t="s">
        <v>30</v>
      </c>
      <c r="B1237" s="2" t="s">
        <v>31</v>
      </c>
      <c r="C1237" s="2" t="s">
        <v>32</v>
      </c>
      <c r="D1237" s="2" t="s">
        <v>40</v>
      </c>
      <c r="E1237">
        <v>2.7856999999999998</v>
      </c>
      <c r="F1237">
        <v>-15083.1</v>
      </c>
      <c r="G1237">
        <v>46.7</v>
      </c>
      <c r="H1237">
        <v>158.5</v>
      </c>
      <c r="I1237">
        <v>180.1</v>
      </c>
      <c r="J1237">
        <v>179.9</v>
      </c>
      <c r="K1237">
        <v>104.4</v>
      </c>
      <c r="L1237" s="2"/>
    </row>
    <row r="1238" spans="1:12" x14ac:dyDescent="0.25">
      <c r="A1238" s="2" t="s">
        <v>30</v>
      </c>
      <c r="B1238" s="2" t="s">
        <v>31</v>
      </c>
      <c r="C1238" s="2" t="s">
        <v>32</v>
      </c>
      <c r="D1238" s="2" t="s">
        <v>40</v>
      </c>
      <c r="E1238">
        <v>3.7143000000000002</v>
      </c>
      <c r="F1238">
        <v>-15040.2</v>
      </c>
      <c r="G1238">
        <v>46.7</v>
      </c>
      <c r="H1238">
        <v>158.5</v>
      </c>
      <c r="I1238">
        <v>180.1</v>
      </c>
      <c r="J1238">
        <v>136.9</v>
      </c>
      <c r="K1238">
        <v>88.8</v>
      </c>
      <c r="L1238" s="2"/>
    </row>
    <row r="1239" spans="1:12" x14ac:dyDescent="0.25">
      <c r="A1239" s="2" t="s">
        <v>30</v>
      </c>
      <c r="B1239" s="2" t="s">
        <v>31</v>
      </c>
      <c r="C1239" s="2" t="s">
        <v>32</v>
      </c>
      <c r="D1239" s="2" t="s">
        <v>40</v>
      </c>
      <c r="E1239">
        <v>4.6429</v>
      </c>
      <c r="F1239">
        <v>-14997.3</v>
      </c>
      <c r="G1239">
        <v>46.7</v>
      </c>
      <c r="H1239">
        <v>158.5</v>
      </c>
      <c r="I1239">
        <v>180.1</v>
      </c>
      <c r="J1239">
        <v>130.30000000000001</v>
      </c>
      <c r="K1239">
        <v>73</v>
      </c>
      <c r="L1239" s="2"/>
    </row>
    <row r="1240" spans="1:12" x14ac:dyDescent="0.25">
      <c r="A1240" s="2" t="s">
        <v>30</v>
      </c>
      <c r="B1240" s="2" t="s">
        <v>31</v>
      </c>
      <c r="C1240" s="2" t="s">
        <v>32</v>
      </c>
      <c r="D1240" s="2" t="s">
        <v>40</v>
      </c>
      <c r="E1240">
        <v>5.5713999999999997</v>
      </c>
      <c r="F1240">
        <v>-14954.4</v>
      </c>
      <c r="G1240">
        <v>46.7</v>
      </c>
      <c r="H1240">
        <v>158.5</v>
      </c>
      <c r="I1240">
        <v>180.1</v>
      </c>
      <c r="J1240">
        <v>221.1</v>
      </c>
      <c r="K1240">
        <v>57</v>
      </c>
      <c r="L1240" s="2"/>
    </row>
    <row r="1241" spans="1:12" x14ac:dyDescent="0.25">
      <c r="A1241" s="2" t="s">
        <v>30</v>
      </c>
      <c r="B1241" s="2" t="s">
        <v>31</v>
      </c>
      <c r="C1241" s="2" t="s">
        <v>32</v>
      </c>
      <c r="D1241" s="2" t="s">
        <v>40</v>
      </c>
      <c r="E1241">
        <v>6.5</v>
      </c>
      <c r="F1241">
        <v>-14911.6</v>
      </c>
      <c r="G1241">
        <v>46.7</v>
      </c>
      <c r="H1241">
        <v>158.5</v>
      </c>
      <c r="I1241">
        <v>180.1</v>
      </c>
      <c r="J1241">
        <v>311.8</v>
      </c>
      <c r="K1241">
        <v>41</v>
      </c>
      <c r="L1241" s="2"/>
    </row>
    <row r="1242" spans="1:12" x14ac:dyDescent="0.25">
      <c r="A1242" s="2" t="s">
        <v>30</v>
      </c>
      <c r="B1242" s="2" t="s">
        <v>31</v>
      </c>
      <c r="C1242" s="2" t="s">
        <v>32</v>
      </c>
      <c r="D1242" s="2" t="s">
        <v>40</v>
      </c>
      <c r="E1242">
        <v>7.4286000000000003</v>
      </c>
      <c r="F1242">
        <v>-14868.7</v>
      </c>
      <c r="G1242">
        <v>46.7</v>
      </c>
      <c r="H1242">
        <v>158.5</v>
      </c>
      <c r="I1242">
        <v>180.1</v>
      </c>
      <c r="J1242">
        <v>402.5</v>
      </c>
      <c r="K1242">
        <v>24.8</v>
      </c>
      <c r="L1242" s="2"/>
    </row>
    <row r="1243" spans="1:12" x14ac:dyDescent="0.25">
      <c r="A1243" s="2" t="s">
        <v>30</v>
      </c>
      <c r="B1243" s="2" t="s">
        <v>31</v>
      </c>
      <c r="C1243" s="2" t="s">
        <v>32</v>
      </c>
      <c r="D1243" s="2" t="s">
        <v>40</v>
      </c>
      <c r="E1243">
        <v>8.3571000000000009</v>
      </c>
      <c r="F1243">
        <v>-14825.8</v>
      </c>
      <c r="G1243">
        <v>46.7</v>
      </c>
      <c r="H1243">
        <v>158.5</v>
      </c>
      <c r="I1243">
        <v>180.1</v>
      </c>
      <c r="J1243">
        <v>493</v>
      </c>
      <c r="K1243">
        <v>8.6999999999999993</v>
      </c>
      <c r="L1243" s="2"/>
    </row>
    <row r="1244" spans="1:12" x14ac:dyDescent="0.25">
      <c r="A1244" s="2" t="s">
        <v>30</v>
      </c>
      <c r="B1244" s="2" t="s">
        <v>31</v>
      </c>
      <c r="C1244" s="2" t="s">
        <v>32</v>
      </c>
      <c r="D1244" s="2" t="s">
        <v>40</v>
      </c>
      <c r="E1244">
        <v>9.2857000000000003</v>
      </c>
      <c r="F1244">
        <v>-14782.9</v>
      </c>
      <c r="G1244">
        <v>46.7</v>
      </c>
      <c r="H1244">
        <v>158.5</v>
      </c>
      <c r="I1244">
        <v>180.1</v>
      </c>
      <c r="J1244">
        <v>583.5</v>
      </c>
      <c r="K1244">
        <v>-7.4</v>
      </c>
      <c r="L1244" s="2"/>
    </row>
    <row r="1245" spans="1:12" x14ac:dyDescent="0.25">
      <c r="A1245" s="2" t="s">
        <v>30</v>
      </c>
      <c r="B1245" s="2" t="s">
        <v>31</v>
      </c>
      <c r="C1245" s="2" t="s">
        <v>32</v>
      </c>
      <c r="D1245" s="2" t="s">
        <v>40</v>
      </c>
      <c r="E1245">
        <v>10.2143</v>
      </c>
      <c r="F1245">
        <v>-14740</v>
      </c>
      <c r="G1245">
        <v>46.7</v>
      </c>
      <c r="H1245">
        <v>158.5</v>
      </c>
      <c r="I1245">
        <v>180.1</v>
      </c>
      <c r="J1245">
        <v>673.8</v>
      </c>
      <c r="K1245">
        <v>-23.4</v>
      </c>
      <c r="L1245" s="2"/>
    </row>
    <row r="1246" spans="1:12" x14ac:dyDescent="0.25">
      <c r="A1246" s="2" t="s">
        <v>30</v>
      </c>
      <c r="B1246" s="2" t="s">
        <v>31</v>
      </c>
      <c r="C1246" s="2" t="s">
        <v>32</v>
      </c>
      <c r="D1246" s="2" t="s">
        <v>40</v>
      </c>
      <c r="E1246">
        <v>11.142899999999999</v>
      </c>
      <c r="F1246">
        <v>-14697.1</v>
      </c>
      <c r="G1246">
        <v>46.7</v>
      </c>
      <c r="H1246">
        <v>158.5</v>
      </c>
      <c r="I1246">
        <v>180.1</v>
      </c>
      <c r="J1246">
        <v>764.1</v>
      </c>
      <c r="K1246">
        <v>-39.200000000000003</v>
      </c>
      <c r="L1246" s="2"/>
    </row>
    <row r="1247" spans="1:12" x14ac:dyDescent="0.25">
      <c r="A1247" s="2" t="s">
        <v>30</v>
      </c>
      <c r="B1247" s="2" t="s">
        <v>31</v>
      </c>
      <c r="C1247" s="2" t="s">
        <v>32</v>
      </c>
      <c r="D1247" s="2" t="s">
        <v>40</v>
      </c>
      <c r="E1247">
        <v>12.071400000000001</v>
      </c>
      <c r="F1247">
        <v>-14654.3</v>
      </c>
      <c r="G1247">
        <v>46.7</v>
      </c>
      <c r="H1247">
        <v>158.5</v>
      </c>
      <c r="I1247">
        <v>180.1</v>
      </c>
      <c r="J1247">
        <v>854.3</v>
      </c>
      <c r="K1247">
        <v>-54.8</v>
      </c>
      <c r="L1247" s="2"/>
    </row>
    <row r="1248" spans="1:12" x14ac:dyDescent="0.25">
      <c r="A1248" s="2" t="s">
        <v>30</v>
      </c>
      <c r="B1248" s="2" t="s">
        <v>31</v>
      </c>
      <c r="C1248" s="2" t="s">
        <v>32</v>
      </c>
      <c r="D1248" s="2" t="s">
        <v>40</v>
      </c>
      <c r="E1248">
        <v>13</v>
      </c>
      <c r="F1248">
        <v>-14611.4</v>
      </c>
      <c r="G1248">
        <v>46.7</v>
      </c>
      <c r="H1248">
        <v>158.5</v>
      </c>
      <c r="I1248">
        <v>180.1</v>
      </c>
      <c r="J1248">
        <v>944.4</v>
      </c>
      <c r="K1248">
        <v>-70.099999999999994</v>
      </c>
      <c r="L1248" s="2"/>
    </row>
    <row r="1249" spans="1:12" x14ac:dyDescent="0.25">
      <c r="A1249" s="2" t="s">
        <v>30</v>
      </c>
      <c r="B1249" s="2" t="s">
        <v>31</v>
      </c>
      <c r="C1249" s="2" t="s">
        <v>32</v>
      </c>
      <c r="D1249" s="2" t="s">
        <v>40</v>
      </c>
      <c r="E1249">
        <v>0</v>
      </c>
      <c r="F1249">
        <v>-19687.2</v>
      </c>
      <c r="G1249">
        <v>17</v>
      </c>
      <c r="H1249">
        <v>-95.4</v>
      </c>
      <c r="I1249">
        <v>-91.4</v>
      </c>
      <c r="J1249">
        <v>-324.8</v>
      </c>
      <c r="K1249">
        <v>144.30000000000001</v>
      </c>
      <c r="L1249" s="2"/>
    </row>
    <row r="1250" spans="1:12" x14ac:dyDescent="0.25">
      <c r="A1250" s="2" t="s">
        <v>30</v>
      </c>
      <c r="B1250" s="2" t="s">
        <v>31</v>
      </c>
      <c r="C1250" s="2" t="s">
        <v>32</v>
      </c>
      <c r="D1250" s="2" t="s">
        <v>40</v>
      </c>
      <c r="E1250">
        <v>0.92859999999999998</v>
      </c>
      <c r="F1250">
        <v>-19644.3</v>
      </c>
      <c r="G1250">
        <v>17</v>
      </c>
      <c r="H1250">
        <v>-95.4</v>
      </c>
      <c r="I1250">
        <v>-91.4</v>
      </c>
      <c r="J1250">
        <v>-233.6</v>
      </c>
      <c r="K1250">
        <v>126.8</v>
      </c>
      <c r="L1250" s="2"/>
    </row>
    <row r="1251" spans="1:12" x14ac:dyDescent="0.25">
      <c r="A1251" s="2" t="s">
        <v>30</v>
      </c>
      <c r="B1251" s="2" t="s">
        <v>31</v>
      </c>
      <c r="C1251" s="2" t="s">
        <v>32</v>
      </c>
      <c r="D1251" s="2" t="s">
        <v>40</v>
      </c>
      <c r="E1251">
        <v>1.8571</v>
      </c>
      <c r="F1251">
        <v>-19601.5</v>
      </c>
      <c r="G1251">
        <v>17</v>
      </c>
      <c r="H1251">
        <v>-95.4</v>
      </c>
      <c r="I1251">
        <v>-91.4</v>
      </c>
      <c r="J1251">
        <v>-142.5</v>
      </c>
      <c r="K1251">
        <v>108.9</v>
      </c>
      <c r="L1251" s="2"/>
    </row>
    <row r="1252" spans="1:12" x14ac:dyDescent="0.25">
      <c r="A1252" s="2" t="s">
        <v>30</v>
      </c>
      <c r="B1252" s="2" t="s">
        <v>31</v>
      </c>
      <c r="C1252" s="2" t="s">
        <v>32</v>
      </c>
      <c r="D1252" s="2" t="s">
        <v>40</v>
      </c>
      <c r="E1252">
        <v>2.7856999999999998</v>
      </c>
      <c r="F1252">
        <v>-19558.599999999999</v>
      </c>
      <c r="G1252">
        <v>17</v>
      </c>
      <c r="H1252">
        <v>-95.4</v>
      </c>
      <c r="I1252">
        <v>-91.4</v>
      </c>
      <c r="J1252">
        <v>-79.400000000000006</v>
      </c>
      <c r="K1252">
        <v>76.099999999999994</v>
      </c>
      <c r="L1252" s="2"/>
    </row>
    <row r="1253" spans="1:12" x14ac:dyDescent="0.25">
      <c r="A1253" s="2" t="s">
        <v>30</v>
      </c>
      <c r="B1253" s="2" t="s">
        <v>31</v>
      </c>
      <c r="C1253" s="2" t="s">
        <v>32</v>
      </c>
      <c r="D1253" s="2" t="s">
        <v>40</v>
      </c>
      <c r="E1253">
        <v>3.7143000000000002</v>
      </c>
      <c r="F1253">
        <v>-19515.7</v>
      </c>
      <c r="G1253">
        <v>17</v>
      </c>
      <c r="H1253">
        <v>-95.4</v>
      </c>
      <c r="I1253">
        <v>-91.4</v>
      </c>
      <c r="J1253">
        <v>-62.4</v>
      </c>
      <c r="K1253">
        <v>38</v>
      </c>
      <c r="L1253" s="2"/>
    </row>
    <row r="1254" spans="1:12" x14ac:dyDescent="0.25">
      <c r="A1254" s="2" t="s">
        <v>30</v>
      </c>
      <c r="B1254" s="2" t="s">
        <v>31</v>
      </c>
      <c r="C1254" s="2" t="s">
        <v>32</v>
      </c>
      <c r="D1254" s="2" t="s">
        <v>40</v>
      </c>
      <c r="E1254">
        <v>4.6429</v>
      </c>
      <c r="F1254">
        <v>-19472.8</v>
      </c>
      <c r="G1254">
        <v>17</v>
      </c>
      <c r="H1254">
        <v>-95.4</v>
      </c>
      <c r="I1254">
        <v>-91.4</v>
      </c>
      <c r="J1254">
        <v>-152.30000000000001</v>
      </c>
      <c r="K1254">
        <v>-5.3</v>
      </c>
      <c r="L1254" s="2"/>
    </row>
    <row r="1255" spans="1:12" x14ac:dyDescent="0.25">
      <c r="A1255" s="2" t="s">
        <v>30</v>
      </c>
      <c r="B1255" s="2" t="s">
        <v>31</v>
      </c>
      <c r="C1255" s="2" t="s">
        <v>32</v>
      </c>
      <c r="D1255" s="2" t="s">
        <v>40</v>
      </c>
      <c r="E1255">
        <v>5.5713999999999997</v>
      </c>
      <c r="F1255">
        <v>-19429.900000000001</v>
      </c>
      <c r="G1255">
        <v>17</v>
      </c>
      <c r="H1255">
        <v>-95.4</v>
      </c>
      <c r="I1255">
        <v>-91.4</v>
      </c>
      <c r="J1255">
        <v>-297.2</v>
      </c>
      <c r="K1255">
        <v>-48.8</v>
      </c>
      <c r="L1255" s="2"/>
    </row>
    <row r="1256" spans="1:12" x14ac:dyDescent="0.25">
      <c r="A1256" s="2" t="s">
        <v>30</v>
      </c>
      <c r="B1256" s="2" t="s">
        <v>31</v>
      </c>
      <c r="C1256" s="2" t="s">
        <v>32</v>
      </c>
      <c r="D1256" s="2" t="s">
        <v>40</v>
      </c>
      <c r="E1256">
        <v>6.5</v>
      </c>
      <c r="F1256">
        <v>-19387</v>
      </c>
      <c r="G1256">
        <v>17</v>
      </c>
      <c r="H1256">
        <v>-95.4</v>
      </c>
      <c r="I1256">
        <v>-91.4</v>
      </c>
      <c r="J1256">
        <v>-442.2</v>
      </c>
      <c r="K1256">
        <v>-92.5</v>
      </c>
      <c r="L1256" s="2"/>
    </row>
    <row r="1257" spans="1:12" x14ac:dyDescent="0.25">
      <c r="A1257" s="2" t="s">
        <v>30</v>
      </c>
      <c r="B1257" s="2" t="s">
        <v>31</v>
      </c>
      <c r="C1257" s="2" t="s">
        <v>32</v>
      </c>
      <c r="D1257" s="2" t="s">
        <v>40</v>
      </c>
      <c r="E1257">
        <v>7.4286000000000003</v>
      </c>
      <c r="F1257">
        <v>-19344.2</v>
      </c>
      <c r="G1257">
        <v>17</v>
      </c>
      <c r="H1257">
        <v>-95.4</v>
      </c>
      <c r="I1257">
        <v>-91.4</v>
      </c>
      <c r="J1257">
        <v>-587.29999999999995</v>
      </c>
      <c r="K1257">
        <v>-136.19999999999999</v>
      </c>
      <c r="L1257" s="2"/>
    </row>
    <row r="1258" spans="1:12" x14ac:dyDescent="0.25">
      <c r="A1258" s="2" t="s">
        <v>30</v>
      </c>
      <c r="B1258" s="2" t="s">
        <v>31</v>
      </c>
      <c r="C1258" s="2" t="s">
        <v>32</v>
      </c>
      <c r="D1258" s="2" t="s">
        <v>40</v>
      </c>
      <c r="E1258">
        <v>8.3571000000000009</v>
      </c>
      <c r="F1258">
        <v>-19301.3</v>
      </c>
      <c r="G1258">
        <v>17</v>
      </c>
      <c r="H1258">
        <v>-95.4</v>
      </c>
      <c r="I1258">
        <v>-91.4</v>
      </c>
      <c r="J1258">
        <v>-732.5</v>
      </c>
      <c r="K1258">
        <v>-179.9</v>
      </c>
      <c r="L1258" s="2"/>
    </row>
    <row r="1259" spans="1:12" x14ac:dyDescent="0.25">
      <c r="A1259" s="2" t="s">
        <v>30</v>
      </c>
      <c r="B1259" s="2" t="s">
        <v>31</v>
      </c>
      <c r="C1259" s="2" t="s">
        <v>32</v>
      </c>
      <c r="D1259" s="2" t="s">
        <v>40</v>
      </c>
      <c r="E1259">
        <v>9.2857000000000003</v>
      </c>
      <c r="F1259">
        <v>-19258.400000000001</v>
      </c>
      <c r="G1259">
        <v>17</v>
      </c>
      <c r="H1259">
        <v>-95.4</v>
      </c>
      <c r="I1259">
        <v>-91.4</v>
      </c>
      <c r="J1259">
        <v>-877.8</v>
      </c>
      <c r="K1259">
        <v>-223.5</v>
      </c>
      <c r="L1259" s="2"/>
    </row>
    <row r="1260" spans="1:12" x14ac:dyDescent="0.25">
      <c r="A1260" s="2" t="s">
        <v>30</v>
      </c>
      <c r="B1260" s="2" t="s">
        <v>31</v>
      </c>
      <c r="C1260" s="2" t="s">
        <v>32</v>
      </c>
      <c r="D1260" s="2" t="s">
        <v>40</v>
      </c>
      <c r="E1260">
        <v>10.2143</v>
      </c>
      <c r="F1260">
        <v>-19215.5</v>
      </c>
      <c r="G1260">
        <v>17</v>
      </c>
      <c r="H1260">
        <v>-95.4</v>
      </c>
      <c r="I1260">
        <v>-91.4</v>
      </c>
      <c r="J1260">
        <v>-1023.2</v>
      </c>
      <c r="K1260">
        <v>-267.10000000000002</v>
      </c>
      <c r="L1260" s="2"/>
    </row>
    <row r="1261" spans="1:12" x14ac:dyDescent="0.25">
      <c r="A1261" s="2" t="s">
        <v>30</v>
      </c>
      <c r="B1261" s="2" t="s">
        <v>31</v>
      </c>
      <c r="C1261" s="2" t="s">
        <v>32</v>
      </c>
      <c r="D1261" s="2" t="s">
        <v>40</v>
      </c>
      <c r="E1261">
        <v>11.142899999999999</v>
      </c>
      <c r="F1261">
        <v>-19172.599999999999</v>
      </c>
      <c r="G1261">
        <v>17</v>
      </c>
      <c r="H1261">
        <v>-95.4</v>
      </c>
      <c r="I1261">
        <v>-91.4</v>
      </c>
      <c r="J1261">
        <v>-1168.7</v>
      </c>
      <c r="K1261">
        <v>-310.39999999999998</v>
      </c>
      <c r="L1261" s="2"/>
    </row>
    <row r="1262" spans="1:12" x14ac:dyDescent="0.25">
      <c r="A1262" s="2" t="s">
        <v>30</v>
      </c>
      <c r="B1262" s="2" t="s">
        <v>31</v>
      </c>
      <c r="C1262" s="2" t="s">
        <v>32</v>
      </c>
      <c r="D1262" s="2" t="s">
        <v>40</v>
      </c>
      <c r="E1262">
        <v>12.071400000000001</v>
      </c>
      <c r="F1262">
        <v>-19129.8</v>
      </c>
      <c r="G1262">
        <v>17</v>
      </c>
      <c r="H1262">
        <v>-95.4</v>
      </c>
      <c r="I1262">
        <v>-91.4</v>
      </c>
      <c r="J1262">
        <v>-1314.2</v>
      </c>
      <c r="K1262">
        <v>-353.6</v>
      </c>
      <c r="L1262" s="2"/>
    </row>
    <row r="1263" spans="1:12" x14ac:dyDescent="0.25">
      <c r="A1263" s="2" t="s">
        <v>30</v>
      </c>
      <c r="B1263" s="2" t="s">
        <v>31</v>
      </c>
      <c r="C1263" s="2" t="s">
        <v>32</v>
      </c>
      <c r="D1263" s="2" t="s">
        <v>40</v>
      </c>
      <c r="E1263">
        <v>13</v>
      </c>
      <c r="F1263">
        <v>-19086.900000000001</v>
      </c>
      <c r="G1263">
        <v>17</v>
      </c>
      <c r="H1263">
        <v>-95.4</v>
      </c>
      <c r="I1263">
        <v>-91.4</v>
      </c>
      <c r="J1263">
        <v>-1459.9</v>
      </c>
      <c r="K1263">
        <v>-396.5</v>
      </c>
      <c r="L1263" s="2"/>
    </row>
    <row r="1264" spans="1:12" x14ac:dyDescent="0.25">
      <c r="A1264" s="2" t="s">
        <v>30</v>
      </c>
      <c r="B1264" s="2" t="s">
        <v>31</v>
      </c>
      <c r="C1264" s="2" t="s">
        <v>32</v>
      </c>
      <c r="D1264" s="2" t="s">
        <v>41</v>
      </c>
      <c r="E1264">
        <v>0</v>
      </c>
      <c r="F1264">
        <v>-11887.1</v>
      </c>
      <c r="G1264">
        <v>21</v>
      </c>
      <c r="H1264">
        <v>98.3</v>
      </c>
      <c r="I1264">
        <v>154.80000000000001</v>
      </c>
      <c r="J1264">
        <v>364</v>
      </c>
      <c r="K1264">
        <v>137.30000000000001</v>
      </c>
      <c r="L1264" s="2"/>
    </row>
    <row r="1265" spans="1:12" x14ac:dyDescent="0.25">
      <c r="A1265" s="2" t="s">
        <v>30</v>
      </c>
      <c r="B1265" s="2" t="s">
        <v>31</v>
      </c>
      <c r="C1265" s="2" t="s">
        <v>32</v>
      </c>
      <c r="D1265" s="2" t="s">
        <v>41</v>
      </c>
      <c r="E1265">
        <v>0.92859999999999998</v>
      </c>
      <c r="F1265">
        <v>-11844.3</v>
      </c>
      <c r="G1265">
        <v>21</v>
      </c>
      <c r="H1265">
        <v>98.3</v>
      </c>
      <c r="I1265">
        <v>154.80000000000001</v>
      </c>
      <c r="J1265">
        <v>275.3</v>
      </c>
      <c r="K1265">
        <v>122.1</v>
      </c>
      <c r="L1265" s="2"/>
    </row>
    <row r="1266" spans="1:12" x14ac:dyDescent="0.25">
      <c r="A1266" s="2" t="s">
        <v>30</v>
      </c>
      <c r="B1266" s="2" t="s">
        <v>31</v>
      </c>
      <c r="C1266" s="2" t="s">
        <v>32</v>
      </c>
      <c r="D1266" s="2" t="s">
        <v>41</v>
      </c>
      <c r="E1266">
        <v>1.8571</v>
      </c>
      <c r="F1266">
        <v>-11801.4</v>
      </c>
      <c r="G1266">
        <v>21</v>
      </c>
      <c r="H1266">
        <v>98.3</v>
      </c>
      <c r="I1266">
        <v>154.80000000000001</v>
      </c>
      <c r="J1266">
        <v>186.5</v>
      </c>
      <c r="K1266">
        <v>106.4</v>
      </c>
      <c r="L1266" s="2"/>
    </row>
    <row r="1267" spans="1:12" x14ac:dyDescent="0.25">
      <c r="A1267" s="2" t="s">
        <v>30</v>
      </c>
      <c r="B1267" s="2" t="s">
        <v>31</v>
      </c>
      <c r="C1267" s="2" t="s">
        <v>32</v>
      </c>
      <c r="D1267" s="2" t="s">
        <v>41</v>
      </c>
      <c r="E1267">
        <v>2.7856999999999998</v>
      </c>
      <c r="F1267">
        <v>-11758.5</v>
      </c>
      <c r="G1267">
        <v>21</v>
      </c>
      <c r="H1267">
        <v>98.3</v>
      </c>
      <c r="I1267">
        <v>154.80000000000001</v>
      </c>
      <c r="J1267">
        <v>125.6</v>
      </c>
      <c r="K1267">
        <v>105</v>
      </c>
      <c r="L1267" s="2"/>
    </row>
    <row r="1268" spans="1:12" x14ac:dyDescent="0.25">
      <c r="A1268" s="2" t="s">
        <v>30</v>
      </c>
      <c r="B1268" s="2" t="s">
        <v>31</v>
      </c>
      <c r="C1268" s="2" t="s">
        <v>32</v>
      </c>
      <c r="D1268" s="2" t="s">
        <v>41</v>
      </c>
      <c r="E1268">
        <v>3.7143000000000002</v>
      </c>
      <c r="F1268">
        <v>-11715.6</v>
      </c>
      <c r="G1268">
        <v>21</v>
      </c>
      <c r="H1268">
        <v>98.3</v>
      </c>
      <c r="I1268">
        <v>154.80000000000001</v>
      </c>
      <c r="J1268">
        <v>110.6</v>
      </c>
      <c r="K1268">
        <v>108.1</v>
      </c>
      <c r="L1268" s="2"/>
    </row>
    <row r="1269" spans="1:12" x14ac:dyDescent="0.25">
      <c r="A1269" s="2" t="s">
        <v>30</v>
      </c>
      <c r="B1269" s="2" t="s">
        <v>31</v>
      </c>
      <c r="C1269" s="2" t="s">
        <v>32</v>
      </c>
      <c r="D1269" s="2" t="s">
        <v>41</v>
      </c>
      <c r="E1269">
        <v>4.6429</v>
      </c>
      <c r="F1269">
        <v>-11672.7</v>
      </c>
      <c r="G1269">
        <v>21</v>
      </c>
      <c r="H1269">
        <v>98.3</v>
      </c>
      <c r="I1269">
        <v>154.80000000000001</v>
      </c>
      <c r="J1269">
        <v>202.4</v>
      </c>
      <c r="K1269">
        <v>116.2</v>
      </c>
      <c r="L1269" s="2"/>
    </row>
    <row r="1270" spans="1:12" x14ac:dyDescent="0.25">
      <c r="A1270" s="2" t="s">
        <v>30</v>
      </c>
      <c r="B1270" s="2" t="s">
        <v>31</v>
      </c>
      <c r="C1270" s="2" t="s">
        <v>32</v>
      </c>
      <c r="D1270" s="2" t="s">
        <v>41</v>
      </c>
      <c r="E1270">
        <v>5.5713999999999997</v>
      </c>
      <c r="F1270">
        <v>-11629.8</v>
      </c>
      <c r="G1270">
        <v>21</v>
      </c>
      <c r="H1270">
        <v>98.3</v>
      </c>
      <c r="I1270">
        <v>154.80000000000001</v>
      </c>
      <c r="J1270">
        <v>349</v>
      </c>
      <c r="K1270">
        <v>124</v>
      </c>
      <c r="L1270" s="2"/>
    </row>
    <row r="1271" spans="1:12" x14ac:dyDescent="0.25">
      <c r="A1271" s="2" t="s">
        <v>30</v>
      </c>
      <c r="B1271" s="2" t="s">
        <v>31</v>
      </c>
      <c r="C1271" s="2" t="s">
        <v>32</v>
      </c>
      <c r="D1271" s="2" t="s">
        <v>41</v>
      </c>
      <c r="E1271">
        <v>6.5</v>
      </c>
      <c r="F1271">
        <v>-11587</v>
      </c>
      <c r="G1271">
        <v>21</v>
      </c>
      <c r="H1271">
        <v>98.3</v>
      </c>
      <c r="I1271">
        <v>154.80000000000001</v>
      </c>
      <c r="J1271">
        <v>495.6</v>
      </c>
      <c r="K1271">
        <v>131.69999999999999</v>
      </c>
      <c r="L1271" s="2"/>
    </row>
    <row r="1272" spans="1:12" x14ac:dyDescent="0.25">
      <c r="A1272" s="2" t="s">
        <v>30</v>
      </c>
      <c r="B1272" s="2" t="s">
        <v>31</v>
      </c>
      <c r="C1272" s="2" t="s">
        <v>32</v>
      </c>
      <c r="D1272" s="2" t="s">
        <v>41</v>
      </c>
      <c r="E1272">
        <v>7.4286000000000003</v>
      </c>
      <c r="F1272">
        <v>-11544.1</v>
      </c>
      <c r="G1272">
        <v>21</v>
      </c>
      <c r="H1272">
        <v>98.3</v>
      </c>
      <c r="I1272">
        <v>154.80000000000001</v>
      </c>
      <c r="J1272">
        <v>642.1</v>
      </c>
      <c r="K1272">
        <v>139.4</v>
      </c>
      <c r="L1272" s="2"/>
    </row>
    <row r="1273" spans="1:12" x14ac:dyDescent="0.25">
      <c r="A1273" s="2" t="s">
        <v>30</v>
      </c>
      <c r="B1273" s="2" t="s">
        <v>31</v>
      </c>
      <c r="C1273" s="2" t="s">
        <v>32</v>
      </c>
      <c r="D1273" s="2" t="s">
        <v>41</v>
      </c>
      <c r="E1273">
        <v>8.3571000000000009</v>
      </c>
      <c r="F1273">
        <v>-11501.2</v>
      </c>
      <c r="G1273">
        <v>21</v>
      </c>
      <c r="H1273">
        <v>98.3</v>
      </c>
      <c r="I1273">
        <v>154.80000000000001</v>
      </c>
      <c r="J1273">
        <v>788.5</v>
      </c>
      <c r="K1273">
        <v>147.1</v>
      </c>
      <c r="L1273" s="2"/>
    </row>
    <row r="1274" spans="1:12" x14ac:dyDescent="0.25">
      <c r="A1274" s="2" t="s">
        <v>30</v>
      </c>
      <c r="B1274" s="2" t="s">
        <v>31</v>
      </c>
      <c r="C1274" s="2" t="s">
        <v>32</v>
      </c>
      <c r="D1274" s="2" t="s">
        <v>41</v>
      </c>
      <c r="E1274">
        <v>9.2857000000000003</v>
      </c>
      <c r="F1274">
        <v>-11458.3</v>
      </c>
      <c r="G1274">
        <v>21</v>
      </c>
      <c r="H1274">
        <v>98.3</v>
      </c>
      <c r="I1274">
        <v>154.80000000000001</v>
      </c>
      <c r="J1274">
        <v>934.9</v>
      </c>
      <c r="K1274">
        <v>154.80000000000001</v>
      </c>
      <c r="L1274" s="2"/>
    </row>
    <row r="1275" spans="1:12" x14ac:dyDescent="0.25">
      <c r="A1275" s="2" t="s">
        <v>30</v>
      </c>
      <c r="B1275" s="2" t="s">
        <v>31</v>
      </c>
      <c r="C1275" s="2" t="s">
        <v>32</v>
      </c>
      <c r="D1275" s="2" t="s">
        <v>41</v>
      </c>
      <c r="E1275">
        <v>10.2143</v>
      </c>
      <c r="F1275">
        <v>-11415.4</v>
      </c>
      <c r="G1275">
        <v>21</v>
      </c>
      <c r="H1275">
        <v>98.3</v>
      </c>
      <c r="I1275">
        <v>154.80000000000001</v>
      </c>
      <c r="J1275">
        <v>1081.0999999999999</v>
      </c>
      <c r="K1275">
        <v>162.6</v>
      </c>
      <c r="L1275" s="2"/>
    </row>
    <row r="1276" spans="1:12" x14ac:dyDescent="0.25">
      <c r="A1276" s="2" t="s">
        <v>30</v>
      </c>
      <c r="B1276" s="2" t="s">
        <v>31</v>
      </c>
      <c r="C1276" s="2" t="s">
        <v>32</v>
      </c>
      <c r="D1276" s="2" t="s">
        <v>41</v>
      </c>
      <c r="E1276">
        <v>11.142899999999999</v>
      </c>
      <c r="F1276">
        <v>-11372.6</v>
      </c>
      <c r="G1276">
        <v>21</v>
      </c>
      <c r="H1276">
        <v>98.3</v>
      </c>
      <c r="I1276">
        <v>154.80000000000001</v>
      </c>
      <c r="J1276">
        <v>1227.3</v>
      </c>
      <c r="K1276">
        <v>170.6</v>
      </c>
      <c r="L1276" s="2"/>
    </row>
    <row r="1277" spans="1:12" x14ac:dyDescent="0.25">
      <c r="A1277" s="2" t="s">
        <v>30</v>
      </c>
      <c r="B1277" s="2" t="s">
        <v>31</v>
      </c>
      <c r="C1277" s="2" t="s">
        <v>32</v>
      </c>
      <c r="D1277" s="2" t="s">
        <v>41</v>
      </c>
      <c r="E1277">
        <v>12.071400000000001</v>
      </c>
      <c r="F1277">
        <v>-11329.7</v>
      </c>
      <c r="G1277">
        <v>21</v>
      </c>
      <c r="H1277">
        <v>98.3</v>
      </c>
      <c r="I1277">
        <v>154.80000000000001</v>
      </c>
      <c r="J1277">
        <v>1373.3</v>
      </c>
      <c r="K1277">
        <v>178.8</v>
      </c>
      <c r="L1277" s="2"/>
    </row>
    <row r="1278" spans="1:12" x14ac:dyDescent="0.25">
      <c r="A1278" s="2" t="s">
        <v>30</v>
      </c>
      <c r="B1278" s="2" t="s">
        <v>31</v>
      </c>
      <c r="C1278" s="2" t="s">
        <v>32</v>
      </c>
      <c r="D1278" s="2" t="s">
        <v>41</v>
      </c>
      <c r="E1278">
        <v>13</v>
      </c>
      <c r="F1278">
        <v>-11286.8</v>
      </c>
      <c r="G1278">
        <v>21</v>
      </c>
      <c r="H1278">
        <v>98.3</v>
      </c>
      <c r="I1278">
        <v>154.80000000000001</v>
      </c>
      <c r="J1278">
        <v>1519.3</v>
      </c>
      <c r="K1278">
        <v>187.3</v>
      </c>
      <c r="L1278" s="2"/>
    </row>
    <row r="1279" spans="1:12" x14ac:dyDescent="0.25">
      <c r="A1279" s="2" t="s">
        <v>30</v>
      </c>
      <c r="B1279" s="2" t="s">
        <v>31</v>
      </c>
      <c r="C1279" s="2" t="s">
        <v>32</v>
      </c>
      <c r="D1279" s="2" t="s">
        <v>41</v>
      </c>
      <c r="E1279">
        <v>0</v>
      </c>
      <c r="F1279">
        <v>-16362.6</v>
      </c>
      <c r="G1279">
        <v>-8.6999999999999993</v>
      </c>
      <c r="H1279">
        <v>-155.6</v>
      </c>
      <c r="I1279">
        <v>-116.7</v>
      </c>
      <c r="J1279">
        <v>-532.1</v>
      </c>
      <c r="K1279">
        <v>73.099999999999994</v>
      </c>
      <c r="L1279" s="2"/>
    </row>
    <row r="1280" spans="1:12" x14ac:dyDescent="0.25">
      <c r="A1280" s="2" t="s">
        <v>30</v>
      </c>
      <c r="B1280" s="2" t="s">
        <v>31</v>
      </c>
      <c r="C1280" s="2" t="s">
        <v>32</v>
      </c>
      <c r="D1280" s="2" t="s">
        <v>41</v>
      </c>
      <c r="E1280">
        <v>0.92859999999999998</v>
      </c>
      <c r="F1280">
        <v>-16319.7</v>
      </c>
      <c r="G1280">
        <v>-8.6999999999999993</v>
      </c>
      <c r="H1280">
        <v>-155.6</v>
      </c>
      <c r="I1280">
        <v>-116.7</v>
      </c>
      <c r="J1280">
        <v>-385.1</v>
      </c>
      <c r="K1280">
        <v>80.8</v>
      </c>
      <c r="L1280" s="2"/>
    </row>
    <row r="1281" spans="1:12" x14ac:dyDescent="0.25">
      <c r="A1281" s="2" t="s">
        <v>30</v>
      </c>
      <c r="B1281" s="2" t="s">
        <v>31</v>
      </c>
      <c r="C1281" s="2" t="s">
        <v>32</v>
      </c>
      <c r="D1281" s="2" t="s">
        <v>41</v>
      </c>
      <c r="E1281">
        <v>1.8571</v>
      </c>
      <c r="F1281">
        <v>-16276.9</v>
      </c>
      <c r="G1281">
        <v>-8.6999999999999993</v>
      </c>
      <c r="H1281">
        <v>-155.6</v>
      </c>
      <c r="I1281">
        <v>-116.7</v>
      </c>
      <c r="J1281">
        <v>-238.1</v>
      </c>
      <c r="K1281">
        <v>86.9</v>
      </c>
      <c r="L1281" s="2"/>
    </row>
    <row r="1282" spans="1:12" x14ac:dyDescent="0.25">
      <c r="A1282" s="2" t="s">
        <v>30</v>
      </c>
      <c r="B1282" s="2" t="s">
        <v>31</v>
      </c>
      <c r="C1282" s="2" t="s">
        <v>32</v>
      </c>
      <c r="D1282" s="2" t="s">
        <v>41</v>
      </c>
      <c r="E1282">
        <v>2.7856999999999998</v>
      </c>
      <c r="F1282">
        <v>-16234</v>
      </c>
      <c r="G1282">
        <v>-8.6999999999999993</v>
      </c>
      <c r="H1282">
        <v>-155.6</v>
      </c>
      <c r="I1282">
        <v>-116.7</v>
      </c>
      <c r="J1282">
        <v>-133.69999999999999</v>
      </c>
      <c r="K1282">
        <v>76.7</v>
      </c>
      <c r="L1282" s="2"/>
    </row>
    <row r="1283" spans="1:12" x14ac:dyDescent="0.25">
      <c r="A1283" s="2" t="s">
        <v>30</v>
      </c>
      <c r="B1283" s="2" t="s">
        <v>31</v>
      </c>
      <c r="C1283" s="2" t="s">
        <v>32</v>
      </c>
      <c r="D1283" s="2" t="s">
        <v>41</v>
      </c>
      <c r="E1283">
        <v>3.7143000000000002</v>
      </c>
      <c r="F1283">
        <v>-16191.1</v>
      </c>
      <c r="G1283">
        <v>-8.6999999999999993</v>
      </c>
      <c r="H1283">
        <v>-155.6</v>
      </c>
      <c r="I1283">
        <v>-116.7</v>
      </c>
      <c r="J1283">
        <v>-88.7</v>
      </c>
      <c r="K1283">
        <v>57.4</v>
      </c>
      <c r="L1283" s="2"/>
    </row>
    <row r="1284" spans="1:12" x14ac:dyDescent="0.25">
      <c r="A1284" s="2" t="s">
        <v>30</v>
      </c>
      <c r="B1284" s="2" t="s">
        <v>31</v>
      </c>
      <c r="C1284" s="2" t="s">
        <v>32</v>
      </c>
      <c r="D1284" s="2" t="s">
        <v>41</v>
      </c>
      <c r="E1284">
        <v>4.6429</v>
      </c>
      <c r="F1284">
        <v>-16148.2</v>
      </c>
      <c r="G1284">
        <v>-8.6999999999999993</v>
      </c>
      <c r="H1284">
        <v>-155.6</v>
      </c>
      <c r="I1284">
        <v>-116.7</v>
      </c>
      <c r="J1284">
        <v>-80.2</v>
      </c>
      <c r="K1284">
        <v>37.799999999999997</v>
      </c>
      <c r="L1284" s="2"/>
    </row>
    <row r="1285" spans="1:12" x14ac:dyDescent="0.25">
      <c r="A1285" s="2" t="s">
        <v>30</v>
      </c>
      <c r="B1285" s="2" t="s">
        <v>31</v>
      </c>
      <c r="C1285" s="2" t="s">
        <v>32</v>
      </c>
      <c r="D1285" s="2" t="s">
        <v>41</v>
      </c>
      <c r="E1285">
        <v>5.5713999999999997</v>
      </c>
      <c r="F1285">
        <v>-16105.3</v>
      </c>
      <c r="G1285">
        <v>-8.6999999999999993</v>
      </c>
      <c r="H1285">
        <v>-155.6</v>
      </c>
      <c r="I1285">
        <v>-116.7</v>
      </c>
      <c r="J1285">
        <v>-169.3</v>
      </c>
      <c r="K1285">
        <v>18.100000000000001</v>
      </c>
      <c r="L1285" s="2"/>
    </row>
    <row r="1286" spans="1:12" x14ac:dyDescent="0.25">
      <c r="A1286" s="2" t="s">
        <v>30</v>
      </c>
      <c r="B1286" s="2" t="s">
        <v>31</v>
      </c>
      <c r="C1286" s="2" t="s">
        <v>32</v>
      </c>
      <c r="D1286" s="2" t="s">
        <v>41</v>
      </c>
      <c r="E1286">
        <v>6.5</v>
      </c>
      <c r="F1286">
        <v>-16062.5</v>
      </c>
      <c r="G1286">
        <v>-8.6999999999999993</v>
      </c>
      <c r="H1286">
        <v>-155.6</v>
      </c>
      <c r="I1286">
        <v>-116.7</v>
      </c>
      <c r="J1286">
        <v>-258.5</v>
      </c>
      <c r="K1286">
        <v>-1.7</v>
      </c>
      <c r="L1286" s="2"/>
    </row>
    <row r="1287" spans="1:12" x14ac:dyDescent="0.25">
      <c r="A1287" s="2" t="s">
        <v>30</v>
      </c>
      <c r="B1287" s="2" t="s">
        <v>31</v>
      </c>
      <c r="C1287" s="2" t="s">
        <v>32</v>
      </c>
      <c r="D1287" s="2" t="s">
        <v>41</v>
      </c>
      <c r="E1287">
        <v>7.4286000000000003</v>
      </c>
      <c r="F1287">
        <v>-16019.6</v>
      </c>
      <c r="G1287">
        <v>-8.6999999999999993</v>
      </c>
      <c r="H1287">
        <v>-155.6</v>
      </c>
      <c r="I1287">
        <v>-116.7</v>
      </c>
      <c r="J1287">
        <v>-347.7</v>
      </c>
      <c r="K1287">
        <v>-21.6</v>
      </c>
      <c r="L1287" s="2"/>
    </row>
    <row r="1288" spans="1:12" x14ac:dyDescent="0.25">
      <c r="A1288" s="2" t="s">
        <v>30</v>
      </c>
      <c r="B1288" s="2" t="s">
        <v>31</v>
      </c>
      <c r="C1288" s="2" t="s">
        <v>32</v>
      </c>
      <c r="D1288" s="2" t="s">
        <v>41</v>
      </c>
      <c r="E1288">
        <v>8.3571000000000009</v>
      </c>
      <c r="F1288">
        <v>-15976.7</v>
      </c>
      <c r="G1288">
        <v>-8.6999999999999993</v>
      </c>
      <c r="H1288">
        <v>-155.6</v>
      </c>
      <c r="I1288">
        <v>-116.7</v>
      </c>
      <c r="J1288">
        <v>-437</v>
      </c>
      <c r="K1288">
        <v>-41.5</v>
      </c>
      <c r="L1288" s="2"/>
    </row>
    <row r="1289" spans="1:12" x14ac:dyDescent="0.25">
      <c r="A1289" s="2" t="s">
        <v>30</v>
      </c>
      <c r="B1289" s="2" t="s">
        <v>31</v>
      </c>
      <c r="C1289" s="2" t="s">
        <v>32</v>
      </c>
      <c r="D1289" s="2" t="s">
        <v>41</v>
      </c>
      <c r="E1289">
        <v>9.2857000000000003</v>
      </c>
      <c r="F1289">
        <v>-15933.8</v>
      </c>
      <c r="G1289">
        <v>-8.6999999999999993</v>
      </c>
      <c r="H1289">
        <v>-155.6</v>
      </c>
      <c r="I1289">
        <v>-116.7</v>
      </c>
      <c r="J1289">
        <v>-526.4</v>
      </c>
      <c r="K1289">
        <v>-61.3</v>
      </c>
      <c r="L1289" s="2"/>
    </row>
    <row r="1290" spans="1:12" x14ac:dyDescent="0.25">
      <c r="A1290" s="2" t="s">
        <v>30</v>
      </c>
      <c r="B1290" s="2" t="s">
        <v>31</v>
      </c>
      <c r="C1290" s="2" t="s">
        <v>32</v>
      </c>
      <c r="D1290" s="2" t="s">
        <v>41</v>
      </c>
      <c r="E1290">
        <v>10.2143</v>
      </c>
      <c r="F1290">
        <v>-15890.9</v>
      </c>
      <c r="G1290">
        <v>-8.6999999999999993</v>
      </c>
      <c r="H1290">
        <v>-155.6</v>
      </c>
      <c r="I1290">
        <v>-116.7</v>
      </c>
      <c r="J1290">
        <v>-615.9</v>
      </c>
      <c r="K1290">
        <v>-81</v>
      </c>
      <c r="L1290" s="2"/>
    </row>
    <row r="1291" spans="1:12" x14ac:dyDescent="0.25">
      <c r="A1291" s="2" t="s">
        <v>30</v>
      </c>
      <c r="B1291" s="2" t="s">
        <v>31</v>
      </c>
      <c r="C1291" s="2" t="s">
        <v>32</v>
      </c>
      <c r="D1291" s="2" t="s">
        <v>41</v>
      </c>
      <c r="E1291">
        <v>11.142899999999999</v>
      </c>
      <c r="F1291">
        <v>-15848</v>
      </c>
      <c r="G1291">
        <v>-8.6999999999999993</v>
      </c>
      <c r="H1291">
        <v>-155.6</v>
      </c>
      <c r="I1291">
        <v>-116.7</v>
      </c>
      <c r="J1291">
        <v>-705.5</v>
      </c>
      <c r="K1291">
        <v>-100.6</v>
      </c>
      <c r="L1291" s="2"/>
    </row>
    <row r="1292" spans="1:12" x14ac:dyDescent="0.25">
      <c r="A1292" s="2" t="s">
        <v>30</v>
      </c>
      <c r="B1292" s="2" t="s">
        <v>31</v>
      </c>
      <c r="C1292" s="2" t="s">
        <v>32</v>
      </c>
      <c r="D1292" s="2" t="s">
        <v>41</v>
      </c>
      <c r="E1292">
        <v>12.071400000000001</v>
      </c>
      <c r="F1292">
        <v>-15805.2</v>
      </c>
      <c r="G1292">
        <v>-8.6999999999999993</v>
      </c>
      <c r="H1292">
        <v>-155.6</v>
      </c>
      <c r="I1292">
        <v>-116.7</v>
      </c>
      <c r="J1292">
        <v>-795.2</v>
      </c>
      <c r="K1292">
        <v>-119.9</v>
      </c>
      <c r="L1292" s="2"/>
    </row>
    <row r="1293" spans="1:12" x14ac:dyDescent="0.25">
      <c r="A1293" s="2" t="s">
        <v>30</v>
      </c>
      <c r="B1293" s="2" t="s">
        <v>31</v>
      </c>
      <c r="C1293" s="2" t="s">
        <v>32</v>
      </c>
      <c r="D1293" s="2" t="s">
        <v>41</v>
      </c>
      <c r="E1293">
        <v>13</v>
      </c>
      <c r="F1293">
        <v>-15762.3</v>
      </c>
      <c r="G1293">
        <v>-8.6999999999999993</v>
      </c>
      <c r="H1293">
        <v>-155.6</v>
      </c>
      <c r="I1293">
        <v>-116.7</v>
      </c>
      <c r="J1293">
        <v>-885</v>
      </c>
      <c r="K1293">
        <v>-139</v>
      </c>
      <c r="L1293" s="2"/>
    </row>
    <row r="1294" spans="1:12" x14ac:dyDescent="0.25">
      <c r="A1294" s="2" t="s">
        <v>30</v>
      </c>
      <c r="B1294" s="2" t="s">
        <v>31</v>
      </c>
      <c r="C1294" s="2" t="s">
        <v>32</v>
      </c>
      <c r="D1294" s="2" t="s">
        <v>42</v>
      </c>
      <c r="E1294">
        <v>0</v>
      </c>
      <c r="F1294">
        <v>-13927.5</v>
      </c>
      <c r="G1294">
        <v>43.6</v>
      </c>
      <c r="H1294">
        <v>152.5</v>
      </c>
      <c r="I1294">
        <v>171.3</v>
      </c>
      <c r="J1294">
        <v>550.9</v>
      </c>
      <c r="K1294">
        <v>207.4</v>
      </c>
      <c r="L1294" s="2"/>
    </row>
    <row r="1295" spans="1:12" x14ac:dyDescent="0.25">
      <c r="A1295" s="2" t="s">
        <v>30</v>
      </c>
      <c r="B1295" s="2" t="s">
        <v>31</v>
      </c>
      <c r="C1295" s="2" t="s">
        <v>32</v>
      </c>
      <c r="D1295" s="2" t="s">
        <v>42</v>
      </c>
      <c r="E1295">
        <v>0.92859999999999998</v>
      </c>
      <c r="F1295">
        <v>-13884.7</v>
      </c>
      <c r="G1295">
        <v>43.6</v>
      </c>
      <c r="H1295">
        <v>152.5</v>
      </c>
      <c r="I1295">
        <v>171.3</v>
      </c>
      <c r="J1295">
        <v>411.9</v>
      </c>
      <c r="K1295">
        <v>168.1</v>
      </c>
      <c r="L1295" s="2"/>
    </row>
    <row r="1296" spans="1:12" x14ac:dyDescent="0.25">
      <c r="A1296" s="2" t="s">
        <v>30</v>
      </c>
      <c r="B1296" s="2" t="s">
        <v>31</v>
      </c>
      <c r="C1296" s="2" t="s">
        <v>32</v>
      </c>
      <c r="D1296" s="2" t="s">
        <v>42</v>
      </c>
      <c r="E1296">
        <v>1.8571</v>
      </c>
      <c r="F1296">
        <v>-13841.8</v>
      </c>
      <c r="G1296">
        <v>43.6</v>
      </c>
      <c r="H1296">
        <v>152.5</v>
      </c>
      <c r="I1296">
        <v>171.3</v>
      </c>
      <c r="J1296">
        <v>272.8</v>
      </c>
      <c r="K1296">
        <v>128.5</v>
      </c>
      <c r="L1296" s="2"/>
    </row>
    <row r="1297" spans="1:12" x14ac:dyDescent="0.25">
      <c r="A1297" s="2" t="s">
        <v>30</v>
      </c>
      <c r="B1297" s="2" t="s">
        <v>31</v>
      </c>
      <c r="C1297" s="2" t="s">
        <v>32</v>
      </c>
      <c r="D1297" s="2" t="s">
        <v>42</v>
      </c>
      <c r="E1297">
        <v>2.7856999999999998</v>
      </c>
      <c r="F1297">
        <v>-13798.9</v>
      </c>
      <c r="G1297">
        <v>43.6</v>
      </c>
      <c r="H1297">
        <v>152.5</v>
      </c>
      <c r="I1297">
        <v>171.3</v>
      </c>
      <c r="J1297">
        <v>176</v>
      </c>
      <c r="K1297">
        <v>105</v>
      </c>
      <c r="L1297" s="2"/>
    </row>
    <row r="1298" spans="1:12" x14ac:dyDescent="0.25">
      <c r="A1298" s="2" t="s">
        <v>30</v>
      </c>
      <c r="B1298" s="2" t="s">
        <v>31</v>
      </c>
      <c r="C1298" s="2" t="s">
        <v>32</v>
      </c>
      <c r="D1298" s="2" t="s">
        <v>42</v>
      </c>
      <c r="E1298">
        <v>3.7143000000000002</v>
      </c>
      <c r="F1298">
        <v>-13756</v>
      </c>
      <c r="G1298">
        <v>43.6</v>
      </c>
      <c r="H1298">
        <v>152.5</v>
      </c>
      <c r="I1298">
        <v>171.3</v>
      </c>
      <c r="J1298">
        <v>137</v>
      </c>
      <c r="K1298">
        <v>108.1</v>
      </c>
      <c r="L1298" s="2"/>
    </row>
    <row r="1299" spans="1:12" x14ac:dyDescent="0.25">
      <c r="A1299" s="2" t="s">
        <v>30</v>
      </c>
      <c r="B1299" s="2" t="s">
        <v>31</v>
      </c>
      <c r="C1299" s="2" t="s">
        <v>32</v>
      </c>
      <c r="D1299" s="2" t="s">
        <v>42</v>
      </c>
      <c r="E1299">
        <v>4.6429</v>
      </c>
      <c r="F1299">
        <v>-13713.1</v>
      </c>
      <c r="G1299">
        <v>43.6</v>
      </c>
      <c r="H1299">
        <v>152.5</v>
      </c>
      <c r="I1299">
        <v>171.3</v>
      </c>
      <c r="J1299">
        <v>132</v>
      </c>
      <c r="K1299">
        <v>116.2</v>
      </c>
      <c r="L1299" s="2"/>
    </row>
    <row r="1300" spans="1:12" x14ac:dyDescent="0.25">
      <c r="A1300" s="2" t="s">
        <v>30</v>
      </c>
      <c r="B1300" s="2" t="s">
        <v>31</v>
      </c>
      <c r="C1300" s="2" t="s">
        <v>32</v>
      </c>
      <c r="D1300" s="2" t="s">
        <v>42</v>
      </c>
      <c r="E1300">
        <v>5.5713999999999997</v>
      </c>
      <c r="F1300">
        <v>-13670.2</v>
      </c>
      <c r="G1300">
        <v>43.6</v>
      </c>
      <c r="H1300">
        <v>152.5</v>
      </c>
      <c r="I1300">
        <v>171.3</v>
      </c>
      <c r="J1300">
        <v>129.6</v>
      </c>
      <c r="K1300">
        <v>124</v>
      </c>
      <c r="L1300" s="2"/>
    </row>
    <row r="1301" spans="1:12" x14ac:dyDescent="0.25">
      <c r="A1301" s="2" t="s">
        <v>30</v>
      </c>
      <c r="B1301" s="2" t="s">
        <v>31</v>
      </c>
      <c r="C1301" s="2" t="s">
        <v>32</v>
      </c>
      <c r="D1301" s="2" t="s">
        <v>42</v>
      </c>
      <c r="E1301">
        <v>6.5</v>
      </c>
      <c r="F1301">
        <v>-13627.4</v>
      </c>
      <c r="G1301">
        <v>43.6</v>
      </c>
      <c r="H1301">
        <v>152.5</v>
      </c>
      <c r="I1301">
        <v>171.3</v>
      </c>
      <c r="J1301">
        <v>139</v>
      </c>
      <c r="K1301">
        <v>131.69999999999999</v>
      </c>
      <c r="L1301" s="2"/>
    </row>
    <row r="1302" spans="1:12" x14ac:dyDescent="0.25">
      <c r="A1302" s="2" t="s">
        <v>30</v>
      </c>
      <c r="B1302" s="2" t="s">
        <v>31</v>
      </c>
      <c r="C1302" s="2" t="s">
        <v>32</v>
      </c>
      <c r="D1302" s="2" t="s">
        <v>42</v>
      </c>
      <c r="E1302">
        <v>7.4286000000000003</v>
      </c>
      <c r="F1302">
        <v>-13584.5</v>
      </c>
      <c r="G1302">
        <v>43.6</v>
      </c>
      <c r="H1302">
        <v>152.5</v>
      </c>
      <c r="I1302">
        <v>171.3</v>
      </c>
      <c r="J1302">
        <v>148.19999999999999</v>
      </c>
      <c r="K1302">
        <v>139.4</v>
      </c>
      <c r="L1302" s="2"/>
    </row>
    <row r="1303" spans="1:12" x14ac:dyDescent="0.25">
      <c r="A1303" s="2" t="s">
        <v>30</v>
      </c>
      <c r="B1303" s="2" t="s">
        <v>31</v>
      </c>
      <c r="C1303" s="2" t="s">
        <v>32</v>
      </c>
      <c r="D1303" s="2" t="s">
        <v>42</v>
      </c>
      <c r="E1303">
        <v>8.3571000000000009</v>
      </c>
      <c r="F1303">
        <v>-13541.6</v>
      </c>
      <c r="G1303">
        <v>43.6</v>
      </c>
      <c r="H1303">
        <v>152.5</v>
      </c>
      <c r="I1303">
        <v>171.3</v>
      </c>
      <c r="J1303">
        <v>157.4</v>
      </c>
      <c r="K1303">
        <v>147.1</v>
      </c>
      <c r="L1303" s="2"/>
    </row>
    <row r="1304" spans="1:12" x14ac:dyDescent="0.25">
      <c r="A1304" s="2" t="s">
        <v>30</v>
      </c>
      <c r="B1304" s="2" t="s">
        <v>31</v>
      </c>
      <c r="C1304" s="2" t="s">
        <v>32</v>
      </c>
      <c r="D1304" s="2" t="s">
        <v>42</v>
      </c>
      <c r="E1304">
        <v>9.2857000000000003</v>
      </c>
      <c r="F1304">
        <v>-13498.7</v>
      </c>
      <c r="G1304">
        <v>43.6</v>
      </c>
      <c r="H1304">
        <v>152.5</v>
      </c>
      <c r="I1304">
        <v>171.3</v>
      </c>
      <c r="J1304">
        <v>166.5</v>
      </c>
      <c r="K1304">
        <v>154.80000000000001</v>
      </c>
      <c r="L1304" s="2"/>
    </row>
    <row r="1305" spans="1:12" x14ac:dyDescent="0.25">
      <c r="A1305" s="2" t="s">
        <v>30</v>
      </c>
      <c r="B1305" s="2" t="s">
        <v>31</v>
      </c>
      <c r="C1305" s="2" t="s">
        <v>32</v>
      </c>
      <c r="D1305" s="2" t="s">
        <v>42</v>
      </c>
      <c r="E1305">
        <v>10.2143</v>
      </c>
      <c r="F1305">
        <v>-13455.8</v>
      </c>
      <c r="G1305">
        <v>43.6</v>
      </c>
      <c r="H1305">
        <v>152.5</v>
      </c>
      <c r="I1305">
        <v>171.3</v>
      </c>
      <c r="J1305">
        <v>175.5</v>
      </c>
      <c r="K1305">
        <v>162.6</v>
      </c>
      <c r="L1305" s="2"/>
    </row>
    <row r="1306" spans="1:12" x14ac:dyDescent="0.25">
      <c r="A1306" s="2" t="s">
        <v>30</v>
      </c>
      <c r="B1306" s="2" t="s">
        <v>31</v>
      </c>
      <c r="C1306" s="2" t="s">
        <v>32</v>
      </c>
      <c r="D1306" s="2" t="s">
        <v>42</v>
      </c>
      <c r="E1306">
        <v>11.142899999999999</v>
      </c>
      <c r="F1306">
        <v>-13412.9</v>
      </c>
      <c r="G1306">
        <v>43.6</v>
      </c>
      <c r="H1306">
        <v>152.5</v>
      </c>
      <c r="I1306">
        <v>171.3</v>
      </c>
      <c r="J1306">
        <v>184.4</v>
      </c>
      <c r="K1306">
        <v>170.6</v>
      </c>
      <c r="L1306" s="2"/>
    </row>
    <row r="1307" spans="1:12" x14ac:dyDescent="0.25">
      <c r="A1307" s="2" t="s">
        <v>30</v>
      </c>
      <c r="B1307" s="2" t="s">
        <v>31</v>
      </c>
      <c r="C1307" s="2" t="s">
        <v>32</v>
      </c>
      <c r="D1307" s="2" t="s">
        <v>42</v>
      </c>
      <c r="E1307">
        <v>12.071400000000001</v>
      </c>
      <c r="F1307">
        <v>-13370.1</v>
      </c>
      <c r="G1307">
        <v>43.6</v>
      </c>
      <c r="H1307">
        <v>152.5</v>
      </c>
      <c r="I1307">
        <v>171.3</v>
      </c>
      <c r="J1307">
        <v>201</v>
      </c>
      <c r="K1307">
        <v>178.8</v>
      </c>
      <c r="L1307" s="2"/>
    </row>
    <row r="1308" spans="1:12" x14ac:dyDescent="0.25">
      <c r="A1308" s="2" t="s">
        <v>30</v>
      </c>
      <c r="B1308" s="2" t="s">
        <v>31</v>
      </c>
      <c r="C1308" s="2" t="s">
        <v>32</v>
      </c>
      <c r="D1308" s="2" t="s">
        <v>42</v>
      </c>
      <c r="E1308">
        <v>13</v>
      </c>
      <c r="F1308">
        <v>-13327.2</v>
      </c>
      <c r="G1308">
        <v>43.6</v>
      </c>
      <c r="H1308">
        <v>152.5</v>
      </c>
      <c r="I1308">
        <v>171.3</v>
      </c>
      <c r="J1308">
        <v>217.7</v>
      </c>
      <c r="K1308">
        <v>187.3</v>
      </c>
      <c r="L1308" s="2"/>
    </row>
    <row r="1309" spans="1:12" x14ac:dyDescent="0.25">
      <c r="A1309" s="2" t="s">
        <v>30</v>
      </c>
      <c r="B1309" s="2" t="s">
        <v>31</v>
      </c>
      <c r="C1309" s="2" t="s">
        <v>32</v>
      </c>
      <c r="D1309" s="2" t="s">
        <v>42</v>
      </c>
      <c r="E1309">
        <v>0</v>
      </c>
      <c r="F1309">
        <v>-19643.5</v>
      </c>
      <c r="G1309">
        <v>-8.6999999999999993</v>
      </c>
      <c r="H1309">
        <v>-16.399999999999999</v>
      </c>
      <c r="I1309">
        <v>-93.9</v>
      </c>
      <c r="J1309">
        <v>-23.8</v>
      </c>
      <c r="K1309">
        <v>73.099999999999994</v>
      </c>
      <c r="L1309" s="2"/>
    </row>
    <row r="1310" spans="1:12" x14ac:dyDescent="0.25">
      <c r="A1310" s="2" t="s">
        <v>30</v>
      </c>
      <c r="B1310" s="2" t="s">
        <v>31</v>
      </c>
      <c r="C1310" s="2" t="s">
        <v>32</v>
      </c>
      <c r="D1310" s="2" t="s">
        <v>42</v>
      </c>
      <c r="E1310">
        <v>0.92859999999999998</v>
      </c>
      <c r="F1310">
        <v>-19600.599999999999</v>
      </c>
      <c r="G1310">
        <v>-8.6999999999999993</v>
      </c>
      <c r="H1310">
        <v>-16.399999999999999</v>
      </c>
      <c r="I1310">
        <v>-93.9</v>
      </c>
      <c r="J1310">
        <v>-6</v>
      </c>
      <c r="K1310">
        <v>82.4</v>
      </c>
      <c r="L1310" s="2"/>
    </row>
    <row r="1311" spans="1:12" x14ac:dyDescent="0.25">
      <c r="A1311" s="2" t="s">
        <v>30</v>
      </c>
      <c r="B1311" s="2" t="s">
        <v>31</v>
      </c>
      <c r="C1311" s="2" t="s">
        <v>32</v>
      </c>
      <c r="D1311" s="2" t="s">
        <v>42</v>
      </c>
      <c r="E1311">
        <v>1.8571</v>
      </c>
      <c r="F1311">
        <v>-19557.7</v>
      </c>
      <c r="G1311">
        <v>-8.6999999999999993</v>
      </c>
      <c r="H1311">
        <v>-16.399999999999999</v>
      </c>
      <c r="I1311">
        <v>-93.9</v>
      </c>
      <c r="J1311">
        <v>11.7</v>
      </c>
      <c r="K1311">
        <v>91.3</v>
      </c>
      <c r="L1311" s="2"/>
    </row>
    <row r="1312" spans="1:12" x14ac:dyDescent="0.25">
      <c r="A1312" s="2" t="s">
        <v>30</v>
      </c>
      <c r="B1312" s="2" t="s">
        <v>31</v>
      </c>
      <c r="C1312" s="2" t="s">
        <v>32</v>
      </c>
      <c r="D1312" s="2" t="s">
        <v>42</v>
      </c>
      <c r="E1312">
        <v>2.7856999999999998</v>
      </c>
      <c r="F1312">
        <v>-19514.8</v>
      </c>
      <c r="G1312">
        <v>-8.6999999999999993</v>
      </c>
      <c r="H1312">
        <v>-16.399999999999999</v>
      </c>
      <c r="I1312">
        <v>-93.9</v>
      </c>
      <c r="J1312">
        <v>26.4</v>
      </c>
      <c r="K1312">
        <v>83.2</v>
      </c>
      <c r="L1312" s="2"/>
    </row>
    <row r="1313" spans="1:12" x14ac:dyDescent="0.25">
      <c r="A1313" s="2" t="s">
        <v>30</v>
      </c>
      <c r="B1313" s="2" t="s">
        <v>31</v>
      </c>
      <c r="C1313" s="2" t="s">
        <v>32</v>
      </c>
      <c r="D1313" s="2" t="s">
        <v>42</v>
      </c>
      <c r="E1313">
        <v>3.7143000000000002</v>
      </c>
      <c r="F1313">
        <v>-19471.900000000001</v>
      </c>
      <c r="G1313">
        <v>-8.6999999999999993</v>
      </c>
      <c r="H1313">
        <v>-16.399999999999999</v>
      </c>
      <c r="I1313">
        <v>-93.9</v>
      </c>
      <c r="J1313">
        <v>-19.2</v>
      </c>
      <c r="K1313">
        <v>47.4</v>
      </c>
      <c r="L1313" s="2"/>
    </row>
    <row r="1314" spans="1:12" x14ac:dyDescent="0.25">
      <c r="A1314" s="2" t="s">
        <v>30</v>
      </c>
      <c r="B1314" s="2" t="s">
        <v>31</v>
      </c>
      <c r="C1314" s="2" t="s">
        <v>32</v>
      </c>
      <c r="D1314" s="2" t="s">
        <v>42</v>
      </c>
      <c r="E1314">
        <v>4.6429</v>
      </c>
      <c r="F1314">
        <v>-19429.099999999999</v>
      </c>
      <c r="G1314">
        <v>-8.6999999999999993</v>
      </c>
      <c r="H1314">
        <v>-16.399999999999999</v>
      </c>
      <c r="I1314">
        <v>-93.9</v>
      </c>
      <c r="J1314">
        <v>-145</v>
      </c>
      <c r="K1314">
        <v>7.6</v>
      </c>
      <c r="L1314" s="2"/>
    </row>
    <row r="1315" spans="1:12" x14ac:dyDescent="0.25">
      <c r="A1315" s="2" t="s">
        <v>30</v>
      </c>
      <c r="B1315" s="2" t="s">
        <v>31</v>
      </c>
      <c r="C1315" s="2" t="s">
        <v>32</v>
      </c>
      <c r="D1315" s="2" t="s">
        <v>42</v>
      </c>
      <c r="E1315">
        <v>5.5713999999999997</v>
      </c>
      <c r="F1315">
        <v>-19386.2</v>
      </c>
      <c r="G1315">
        <v>-8.6999999999999993</v>
      </c>
      <c r="H1315">
        <v>-16.399999999999999</v>
      </c>
      <c r="I1315">
        <v>-93.9</v>
      </c>
      <c r="J1315">
        <v>-284.39999999999998</v>
      </c>
      <c r="K1315">
        <v>-33.1</v>
      </c>
      <c r="L1315" s="2"/>
    </row>
    <row r="1316" spans="1:12" x14ac:dyDescent="0.25">
      <c r="A1316" s="2" t="s">
        <v>30</v>
      </c>
      <c r="B1316" s="2" t="s">
        <v>31</v>
      </c>
      <c r="C1316" s="2" t="s">
        <v>32</v>
      </c>
      <c r="D1316" s="2" t="s">
        <v>42</v>
      </c>
      <c r="E1316">
        <v>6.5</v>
      </c>
      <c r="F1316">
        <v>-19343.3</v>
      </c>
      <c r="G1316">
        <v>-8.6999999999999993</v>
      </c>
      <c r="H1316">
        <v>-16.399999999999999</v>
      </c>
      <c r="I1316">
        <v>-93.9</v>
      </c>
      <c r="J1316">
        <v>-423.9</v>
      </c>
      <c r="K1316">
        <v>-73.900000000000006</v>
      </c>
      <c r="L1316" s="2"/>
    </row>
    <row r="1317" spans="1:12" x14ac:dyDescent="0.25">
      <c r="A1317" s="2" t="s">
        <v>30</v>
      </c>
      <c r="B1317" s="2" t="s">
        <v>31</v>
      </c>
      <c r="C1317" s="2" t="s">
        <v>32</v>
      </c>
      <c r="D1317" s="2" t="s">
        <v>42</v>
      </c>
      <c r="E1317">
        <v>7.4286000000000003</v>
      </c>
      <c r="F1317">
        <v>-19300.400000000001</v>
      </c>
      <c r="G1317">
        <v>-8.6999999999999993</v>
      </c>
      <c r="H1317">
        <v>-16.399999999999999</v>
      </c>
      <c r="I1317">
        <v>-93.9</v>
      </c>
      <c r="J1317">
        <v>-563.5</v>
      </c>
      <c r="K1317">
        <v>-114.8</v>
      </c>
      <c r="L1317" s="2"/>
    </row>
    <row r="1318" spans="1:12" x14ac:dyDescent="0.25">
      <c r="A1318" s="2" t="s">
        <v>30</v>
      </c>
      <c r="B1318" s="2" t="s">
        <v>31</v>
      </c>
      <c r="C1318" s="2" t="s">
        <v>32</v>
      </c>
      <c r="D1318" s="2" t="s">
        <v>42</v>
      </c>
      <c r="E1318">
        <v>8.3571000000000009</v>
      </c>
      <c r="F1318">
        <v>-19257.5</v>
      </c>
      <c r="G1318">
        <v>-8.6999999999999993</v>
      </c>
      <c r="H1318">
        <v>-16.399999999999999</v>
      </c>
      <c r="I1318">
        <v>-93.9</v>
      </c>
      <c r="J1318">
        <v>-703.1</v>
      </c>
      <c r="K1318">
        <v>-155.69999999999999</v>
      </c>
      <c r="L1318" s="2"/>
    </row>
    <row r="1319" spans="1:12" x14ac:dyDescent="0.25">
      <c r="A1319" s="2" t="s">
        <v>30</v>
      </c>
      <c r="B1319" s="2" t="s">
        <v>31</v>
      </c>
      <c r="C1319" s="2" t="s">
        <v>32</v>
      </c>
      <c r="D1319" s="2" t="s">
        <v>42</v>
      </c>
      <c r="E1319">
        <v>9.2857000000000003</v>
      </c>
      <c r="F1319">
        <v>-19214.599999999999</v>
      </c>
      <c r="G1319">
        <v>-8.6999999999999993</v>
      </c>
      <c r="H1319">
        <v>-16.399999999999999</v>
      </c>
      <c r="I1319">
        <v>-93.9</v>
      </c>
      <c r="J1319">
        <v>-842.9</v>
      </c>
      <c r="K1319">
        <v>-196.6</v>
      </c>
      <c r="L1319" s="2"/>
    </row>
    <row r="1320" spans="1:12" x14ac:dyDescent="0.25">
      <c r="A1320" s="2" t="s">
        <v>30</v>
      </c>
      <c r="B1320" s="2" t="s">
        <v>31</v>
      </c>
      <c r="C1320" s="2" t="s">
        <v>32</v>
      </c>
      <c r="D1320" s="2" t="s">
        <v>42</v>
      </c>
      <c r="E1320">
        <v>10.2143</v>
      </c>
      <c r="F1320">
        <v>-19171.8</v>
      </c>
      <c r="G1320">
        <v>-8.6999999999999993</v>
      </c>
      <c r="H1320">
        <v>-16.399999999999999</v>
      </c>
      <c r="I1320">
        <v>-93.9</v>
      </c>
      <c r="J1320">
        <v>-982.7</v>
      </c>
      <c r="K1320">
        <v>-237.3</v>
      </c>
      <c r="L1320" s="2"/>
    </row>
    <row r="1321" spans="1:12" x14ac:dyDescent="0.25">
      <c r="A1321" s="2" t="s">
        <v>30</v>
      </c>
      <c r="B1321" s="2" t="s">
        <v>31</v>
      </c>
      <c r="C1321" s="2" t="s">
        <v>32</v>
      </c>
      <c r="D1321" s="2" t="s">
        <v>42</v>
      </c>
      <c r="E1321">
        <v>11.142899999999999</v>
      </c>
      <c r="F1321">
        <v>-19128.900000000001</v>
      </c>
      <c r="G1321">
        <v>-8.6999999999999993</v>
      </c>
      <c r="H1321">
        <v>-16.399999999999999</v>
      </c>
      <c r="I1321">
        <v>-93.9</v>
      </c>
      <c r="J1321">
        <v>-1122.5999999999999</v>
      </c>
      <c r="K1321">
        <v>-277.89999999999998</v>
      </c>
      <c r="L1321" s="2"/>
    </row>
    <row r="1322" spans="1:12" x14ac:dyDescent="0.25">
      <c r="A1322" s="2" t="s">
        <v>30</v>
      </c>
      <c r="B1322" s="2" t="s">
        <v>31</v>
      </c>
      <c r="C1322" s="2" t="s">
        <v>32</v>
      </c>
      <c r="D1322" s="2" t="s">
        <v>42</v>
      </c>
      <c r="E1322">
        <v>12.071400000000001</v>
      </c>
      <c r="F1322">
        <v>-19086</v>
      </c>
      <c r="G1322">
        <v>-8.6999999999999993</v>
      </c>
      <c r="H1322">
        <v>-16.399999999999999</v>
      </c>
      <c r="I1322">
        <v>-93.9</v>
      </c>
      <c r="J1322">
        <v>-1262.7</v>
      </c>
      <c r="K1322">
        <v>-318.2</v>
      </c>
      <c r="L1322" s="2"/>
    </row>
    <row r="1323" spans="1:12" x14ac:dyDescent="0.25">
      <c r="A1323" s="2" t="s">
        <v>30</v>
      </c>
      <c r="B1323" s="2" t="s">
        <v>31</v>
      </c>
      <c r="C1323" s="2" t="s">
        <v>32</v>
      </c>
      <c r="D1323" s="2" t="s">
        <v>42</v>
      </c>
      <c r="E1323">
        <v>13</v>
      </c>
      <c r="F1323">
        <v>-19043.099999999999</v>
      </c>
      <c r="G1323">
        <v>-8.6999999999999993</v>
      </c>
      <c r="H1323">
        <v>-16.399999999999999</v>
      </c>
      <c r="I1323">
        <v>-93.9</v>
      </c>
      <c r="J1323">
        <v>-1402.8</v>
      </c>
      <c r="K1323">
        <v>-358.3</v>
      </c>
      <c r="L1323" s="2"/>
    </row>
    <row r="1324" spans="1:12" x14ac:dyDescent="0.25">
      <c r="A1324" s="2" t="s">
        <v>30</v>
      </c>
      <c r="B1324" s="2" t="s">
        <v>31</v>
      </c>
      <c r="C1324" s="2" t="s">
        <v>32</v>
      </c>
      <c r="D1324" s="2" t="s">
        <v>43</v>
      </c>
      <c r="E1324">
        <v>0</v>
      </c>
      <c r="F1324">
        <v>-11930.9</v>
      </c>
      <c r="G1324">
        <v>46.7</v>
      </c>
      <c r="H1324">
        <v>19.2</v>
      </c>
      <c r="I1324">
        <v>157.30000000000001</v>
      </c>
      <c r="J1324">
        <v>63</v>
      </c>
      <c r="K1324">
        <v>208.5</v>
      </c>
      <c r="L1324" s="2"/>
    </row>
    <row r="1325" spans="1:12" x14ac:dyDescent="0.25">
      <c r="A1325" s="2" t="s">
        <v>30</v>
      </c>
      <c r="B1325" s="2" t="s">
        <v>31</v>
      </c>
      <c r="C1325" s="2" t="s">
        <v>32</v>
      </c>
      <c r="D1325" s="2" t="s">
        <v>43</v>
      </c>
      <c r="E1325">
        <v>0.92859999999999998</v>
      </c>
      <c r="F1325">
        <v>-11888</v>
      </c>
      <c r="G1325">
        <v>46.7</v>
      </c>
      <c r="H1325">
        <v>19.2</v>
      </c>
      <c r="I1325">
        <v>157.30000000000001</v>
      </c>
      <c r="J1325">
        <v>47.7</v>
      </c>
      <c r="K1325">
        <v>166.4</v>
      </c>
      <c r="L1325" s="2"/>
    </row>
    <row r="1326" spans="1:12" x14ac:dyDescent="0.25">
      <c r="A1326" s="2" t="s">
        <v>30</v>
      </c>
      <c r="B1326" s="2" t="s">
        <v>31</v>
      </c>
      <c r="C1326" s="2" t="s">
        <v>32</v>
      </c>
      <c r="D1326" s="2" t="s">
        <v>43</v>
      </c>
      <c r="E1326">
        <v>1.8571</v>
      </c>
      <c r="F1326">
        <v>-11845.1</v>
      </c>
      <c r="G1326">
        <v>46.7</v>
      </c>
      <c r="H1326">
        <v>19.2</v>
      </c>
      <c r="I1326">
        <v>157.30000000000001</v>
      </c>
      <c r="J1326">
        <v>32.299999999999997</v>
      </c>
      <c r="K1326">
        <v>123.9</v>
      </c>
      <c r="L1326" s="2"/>
    </row>
    <row r="1327" spans="1:12" x14ac:dyDescent="0.25">
      <c r="A1327" s="2" t="s">
        <v>30</v>
      </c>
      <c r="B1327" s="2" t="s">
        <v>31</v>
      </c>
      <c r="C1327" s="2" t="s">
        <v>32</v>
      </c>
      <c r="D1327" s="2" t="s">
        <v>43</v>
      </c>
      <c r="E1327">
        <v>2.7856999999999998</v>
      </c>
      <c r="F1327">
        <v>-11802.2</v>
      </c>
      <c r="G1327">
        <v>46.7</v>
      </c>
      <c r="H1327">
        <v>19.2</v>
      </c>
      <c r="I1327">
        <v>157.30000000000001</v>
      </c>
      <c r="J1327">
        <v>19.8</v>
      </c>
      <c r="K1327">
        <v>97.8</v>
      </c>
      <c r="L1327" s="2"/>
    </row>
    <row r="1328" spans="1:12" x14ac:dyDescent="0.25">
      <c r="A1328" s="2" t="s">
        <v>30</v>
      </c>
      <c r="B1328" s="2" t="s">
        <v>31</v>
      </c>
      <c r="C1328" s="2" t="s">
        <v>32</v>
      </c>
      <c r="D1328" s="2" t="s">
        <v>43</v>
      </c>
      <c r="E1328">
        <v>3.7143000000000002</v>
      </c>
      <c r="F1328">
        <v>-11759.4</v>
      </c>
      <c r="G1328">
        <v>46.7</v>
      </c>
      <c r="H1328">
        <v>19.2</v>
      </c>
      <c r="I1328">
        <v>157.30000000000001</v>
      </c>
      <c r="J1328">
        <v>67.400000000000006</v>
      </c>
      <c r="K1328">
        <v>98.8</v>
      </c>
      <c r="L1328" s="2"/>
    </row>
    <row r="1329" spans="1:12" x14ac:dyDescent="0.25">
      <c r="A1329" s="2" t="s">
        <v>30</v>
      </c>
      <c r="B1329" s="2" t="s">
        <v>31</v>
      </c>
      <c r="C1329" s="2" t="s">
        <v>32</v>
      </c>
      <c r="D1329" s="2" t="s">
        <v>43</v>
      </c>
      <c r="E1329">
        <v>4.6429</v>
      </c>
      <c r="F1329">
        <v>-11716.5</v>
      </c>
      <c r="G1329">
        <v>46.7</v>
      </c>
      <c r="H1329">
        <v>19.2</v>
      </c>
      <c r="I1329">
        <v>157.30000000000001</v>
      </c>
      <c r="J1329">
        <v>195.1</v>
      </c>
      <c r="K1329">
        <v>103.2</v>
      </c>
      <c r="L1329" s="2"/>
    </row>
    <row r="1330" spans="1:12" x14ac:dyDescent="0.25">
      <c r="A1330" s="2" t="s">
        <v>30</v>
      </c>
      <c r="B1330" s="2" t="s">
        <v>31</v>
      </c>
      <c r="C1330" s="2" t="s">
        <v>32</v>
      </c>
      <c r="D1330" s="2" t="s">
        <v>43</v>
      </c>
      <c r="E1330">
        <v>5.5713999999999997</v>
      </c>
      <c r="F1330">
        <v>-11673.6</v>
      </c>
      <c r="G1330">
        <v>46.7</v>
      </c>
      <c r="H1330">
        <v>19.2</v>
      </c>
      <c r="I1330">
        <v>157.30000000000001</v>
      </c>
      <c r="J1330">
        <v>336.2</v>
      </c>
      <c r="K1330">
        <v>108.3</v>
      </c>
      <c r="L1330" s="2"/>
    </row>
    <row r="1331" spans="1:12" x14ac:dyDescent="0.25">
      <c r="A1331" s="2" t="s">
        <v>30</v>
      </c>
      <c r="B1331" s="2" t="s">
        <v>31</v>
      </c>
      <c r="C1331" s="2" t="s">
        <v>32</v>
      </c>
      <c r="D1331" s="2" t="s">
        <v>43</v>
      </c>
      <c r="E1331">
        <v>6.5</v>
      </c>
      <c r="F1331">
        <v>-11630.7</v>
      </c>
      <c r="G1331">
        <v>46.7</v>
      </c>
      <c r="H1331">
        <v>19.2</v>
      </c>
      <c r="I1331">
        <v>157.30000000000001</v>
      </c>
      <c r="J1331">
        <v>477.3</v>
      </c>
      <c r="K1331">
        <v>113.2</v>
      </c>
      <c r="L1331" s="2"/>
    </row>
    <row r="1332" spans="1:12" x14ac:dyDescent="0.25">
      <c r="A1332" s="2" t="s">
        <v>30</v>
      </c>
      <c r="B1332" s="2" t="s">
        <v>31</v>
      </c>
      <c r="C1332" s="2" t="s">
        <v>32</v>
      </c>
      <c r="D1332" s="2" t="s">
        <v>43</v>
      </c>
      <c r="E1332">
        <v>7.4286000000000003</v>
      </c>
      <c r="F1332">
        <v>-11587.8</v>
      </c>
      <c r="G1332">
        <v>46.7</v>
      </c>
      <c r="H1332">
        <v>19.2</v>
      </c>
      <c r="I1332">
        <v>157.30000000000001</v>
      </c>
      <c r="J1332">
        <v>618.20000000000005</v>
      </c>
      <c r="K1332">
        <v>118.1</v>
      </c>
      <c r="L1332" s="2"/>
    </row>
    <row r="1333" spans="1:12" x14ac:dyDescent="0.25">
      <c r="A1333" s="2" t="s">
        <v>30</v>
      </c>
      <c r="B1333" s="2" t="s">
        <v>31</v>
      </c>
      <c r="C1333" s="2" t="s">
        <v>32</v>
      </c>
      <c r="D1333" s="2" t="s">
        <v>43</v>
      </c>
      <c r="E1333">
        <v>8.3571000000000009</v>
      </c>
      <c r="F1333">
        <v>-11545</v>
      </c>
      <c r="G1333">
        <v>46.7</v>
      </c>
      <c r="H1333">
        <v>19.2</v>
      </c>
      <c r="I1333">
        <v>157.30000000000001</v>
      </c>
      <c r="J1333">
        <v>759.1</v>
      </c>
      <c r="K1333">
        <v>122.9</v>
      </c>
      <c r="L1333" s="2"/>
    </row>
    <row r="1334" spans="1:12" x14ac:dyDescent="0.25">
      <c r="A1334" s="2" t="s">
        <v>30</v>
      </c>
      <c r="B1334" s="2" t="s">
        <v>31</v>
      </c>
      <c r="C1334" s="2" t="s">
        <v>32</v>
      </c>
      <c r="D1334" s="2" t="s">
        <v>43</v>
      </c>
      <c r="E1334">
        <v>9.2857000000000003</v>
      </c>
      <c r="F1334">
        <v>-11502.1</v>
      </c>
      <c r="G1334">
        <v>46.7</v>
      </c>
      <c r="H1334">
        <v>19.2</v>
      </c>
      <c r="I1334">
        <v>157.30000000000001</v>
      </c>
      <c r="J1334">
        <v>899.9</v>
      </c>
      <c r="K1334">
        <v>127.8</v>
      </c>
      <c r="L1334" s="2"/>
    </row>
    <row r="1335" spans="1:12" x14ac:dyDescent="0.25">
      <c r="A1335" s="2" t="s">
        <v>30</v>
      </c>
      <c r="B1335" s="2" t="s">
        <v>31</v>
      </c>
      <c r="C1335" s="2" t="s">
        <v>32</v>
      </c>
      <c r="D1335" s="2" t="s">
        <v>43</v>
      </c>
      <c r="E1335">
        <v>10.2143</v>
      </c>
      <c r="F1335">
        <v>-11459.2</v>
      </c>
      <c r="G1335">
        <v>46.7</v>
      </c>
      <c r="H1335">
        <v>19.2</v>
      </c>
      <c r="I1335">
        <v>157.30000000000001</v>
      </c>
      <c r="J1335">
        <v>1040.5999999999999</v>
      </c>
      <c r="K1335">
        <v>132.80000000000001</v>
      </c>
      <c r="L1335" s="2"/>
    </row>
    <row r="1336" spans="1:12" x14ac:dyDescent="0.25">
      <c r="A1336" s="2" t="s">
        <v>30</v>
      </c>
      <c r="B1336" s="2" t="s">
        <v>31</v>
      </c>
      <c r="C1336" s="2" t="s">
        <v>32</v>
      </c>
      <c r="D1336" s="2" t="s">
        <v>43</v>
      </c>
      <c r="E1336">
        <v>11.142899999999999</v>
      </c>
      <c r="F1336">
        <v>-11416.3</v>
      </c>
      <c r="G1336">
        <v>46.7</v>
      </c>
      <c r="H1336">
        <v>19.2</v>
      </c>
      <c r="I1336">
        <v>157.30000000000001</v>
      </c>
      <c r="J1336">
        <v>1181.2</v>
      </c>
      <c r="K1336">
        <v>138</v>
      </c>
      <c r="L1336" s="2"/>
    </row>
    <row r="1337" spans="1:12" x14ac:dyDescent="0.25">
      <c r="A1337" s="2" t="s">
        <v>30</v>
      </c>
      <c r="B1337" s="2" t="s">
        <v>31</v>
      </c>
      <c r="C1337" s="2" t="s">
        <v>32</v>
      </c>
      <c r="D1337" s="2" t="s">
        <v>43</v>
      </c>
      <c r="E1337">
        <v>12.071400000000001</v>
      </c>
      <c r="F1337">
        <v>-11373.4</v>
      </c>
      <c r="G1337">
        <v>46.7</v>
      </c>
      <c r="H1337">
        <v>19.2</v>
      </c>
      <c r="I1337">
        <v>157.30000000000001</v>
      </c>
      <c r="J1337">
        <v>1321.7</v>
      </c>
      <c r="K1337">
        <v>143.4</v>
      </c>
      <c r="L1337" s="2"/>
    </row>
    <row r="1338" spans="1:12" x14ac:dyDescent="0.25">
      <c r="A1338" s="2" t="s">
        <v>30</v>
      </c>
      <c r="B1338" s="2" t="s">
        <v>31</v>
      </c>
      <c r="C1338" s="2" t="s">
        <v>32</v>
      </c>
      <c r="D1338" s="2" t="s">
        <v>43</v>
      </c>
      <c r="E1338">
        <v>13</v>
      </c>
      <c r="F1338">
        <v>-11330.5</v>
      </c>
      <c r="G1338">
        <v>46.7</v>
      </c>
      <c r="H1338">
        <v>19.2</v>
      </c>
      <c r="I1338">
        <v>157.30000000000001</v>
      </c>
      <c r="J1338">
        <v>1462.1</v>
      </c>
      <c r="K1338">
        <v>149.1</v>
      </c>
      <c r="L1338" s="2"/>
    </row>
    <row r="1339" spans="1:12" x14ac:dyDescent="0.25">
      <c r="A1339" s="2" t="s">
        <v>30</v>
      </c>
      <c r="B1339" s="2" t="s">
        <v>31</v>
      </c>
      <c r="C1339" s="2" t="s">
        <v>32</v>
      </c>
      <c r="D1339" s="2" t="s">
        <v>43</v>
      </c>
      <c r="E1339">
        <v>0</v>
      </c>
      <c r="F1339">
        <v>-17646.8</v>
      </c>
      <c r="G1339">
        <v>-5.6</v>
      </c>
      <c r="H1339">
        <v>-149.6</v>
      </c>
      <c r="I1339">
        <v>-107.9</v>
      </c>
      <c r="J1339">
        <v>-511.7</v>
      </c>
      <c r="K1339">
        <v>74.2</v>
      </c>
      <c r="L1339" s="2"/>
    </row>
    <row r="1340" spans="1:12" x14ac:dyDescent="0.25">
      <c r="A1340" s="2" t="s">
        <v>30</v>
      </c>
      <c r="B1340" s="2" t="s">
        <v>31</v>
      </c>
      <c r="C1340" s="2" t="s">
        <v>32</v>
      </c>
      <c r="D1340" s="2" t="s">
        <v>43</v>
      </c>
      <c r="E1340">
        <v>0.92859999999999998</v>
      </c>
      <c r="F1340">
        <v>-17604</v>
      </c>
      <c r="G1340">
        <v>-5.6</v>
      </c>
      <c r="H1340">
        <v>-149.6</v>
      </c>
      <c r="I1340">
        <v>-107.9</v>
      </c>
      <c r="J1340">
        <v>-370.2</v>
      </c>
      <c r="K1340">
        <v>80.7</v>
      </c>
      <c r="L1340" s="2"/>
    </row>
    <row r="1341" spans="1:12" x14ac:dyDescent="0.25">
      <c r="A1341" s="2" t="s">
        <v>30</v>
      </c>
      <c r="B1341" s="2" t="s">
        <v>31</v>
      </c>
      <c r="C1341" s="2" t="s">
        <v>32</v>
      </c>
      <c r="D1341" s="2" t="s">
        <v>43</v>
      </c>
      <c r="E1341">
        <v>1.8571</v>
      </c>
      <c r="F1341">
        <v>-17561.099999999999</v>
      </c>
      <c r="G1341">
        <v>-5.6</v>
      </c>
      <c r="H1341">
        <v>-149.6</v>
      </c>
      <c r="I1341">
        <v>-107.9</v>
      </c>
      <c r="J1341">
        <v>-228.7</v>
      </c>
      <c r="K1341">
        <v>86.8</v>
      </c>
      <c r="L1341" s="2"/>
    </row>
    <row r="1342" spans="1:12" x14ac:dyDescent="0.25">
      <c r="A1342" s="2" t="s">
        <v>30</v>
      </c>
      <c r="B1342" s="2" t="s">
        <v>31</v>
      </c>
      <c r="C1342" s="2" t="s">
        <v>32</v>
      </c>
      <c r="D1342" s="2" t="s">
        <v>43</v>
      </c>
      <c r="E1342">
        <v>2.7856999999999998</v>
      </c>
      <c r="F1342">
        <v>-17518.2</v>
      </c>
      <c r="G1342">
        <v>-5.6</v>
      </c>
      <c r="H1342">
        <v>-149.6</v>
      </c>
      <c r="I1342">
        <v>-107.9</v>
      </c>
      <c r="J1342">
        <v>-129.80000000000001</v>
      </c>
      <c r="K1342">
        <v>76</v>
      </c>
      <c r="L1342" s="2"/>
    </row>
    <row r="1343" spans="1:12" x14ac:dyDescent="0.25">
      <c r="A1343" s="2" t="s">
        <v>30</v>
      </c>
      <c r="B1343" s="2" t="s">
        <v>31</v>
      </c>
      <c r="C1343" s="2" t="s">
        <v>32</v>
      </c>
      <c r="D1343" s="2" t="s">
        <v>43</v>
      </c>
      <c r="E1343">
        <v>3.7143000000000002</v>
      </c>
      <c r="F1343">
        <v>-17475.3</v>
      </c>
      <c r="G1343">
        <v>-5.6</v>
      </c>
      <c r="H1343">
        <v>-149.6</v>
      </c>
      <c r="I1343">
        <v>-107.9</v>
      </c>
      <c r="J1343">
        <v>-88.8</v>
      </c>
      <c r="K1343">
        <v>38</v>
      </c>
      <c r="L1343" s="2"/>
    </row>
    <row r="1344" spans="1:12" x14ac:dyDescent="0.25">
      <c r="A1344" s="2" t="s">
        <v>30</v>
      </c>
      <c r="B1344" s="2" t="s">
        <v>31</v>
      </c>
      <c r="C1344" s="2" t="s">
        <v>32</v>
      </c>
      <c r="D1344" s="2" t="s">
        <v>43</v>
      </c>
      <c r="E1344">
        <v>4.6429</v>
      </c>
      <c r="F1344">
        <v>-17432.400000000001</v>
      </c>
      <c r="G1344">
        <v>-5.6</v>
      </c>
      <c r="H1344">
        <v>-149.6</v>
      </c>
      <c r="I1344">
        <v>-107.9</v>
      </c>
      <c r="J1344">
        <v>-81.900000000000006</v>
      </c>
      <c r="K1344">
        <v>-5.3</v>
      </c>
      <c r="L1344" s="2"/>
    </row>
    <row r="1345" spans="1:12" x14ac:dyDescent="0.25">
      <c r="A1345" s="2" t="s">
        <v>30</v>
      </c>
      <c r="B1345" s="2" t="s">
        <v>31</v>
      </c>
      <c r="C1345" s="2" t="s">
        <v>32</v>
      </c>
      <c r="D1345" s="2" t="s">
        <v>43</v>
      </c>
      <c r="E1345">
        <v>5.5713999999999997</v>
      </c>
      <c r="F1345">
        <v>-17389.5</v>
      </c>
      <c r="G1345">
        <v>-5.6</v>
      </c>
      <c r="H1345">
        <v>-149.6</v>
      </c>
      <c r="I1345">
        <v>-107.9</v>
      </c>
      <c r="J1345">
        <v>-77.8</v>
      </c>
      <c r="K1345">
        <v>-48.8</v>
      </c>
      <c r="L1345" s="2"/>
    </row>
    <row r="1346" spans="1:12" x14ac:dyDescent="0.25">
      <c r="A1346" s="2" t="s">
        <v>30</v>
      </c>
      <c r="B1346" s="2" t="s">
        <v>31</v>
      </c>
      <c r="C1346" s="2" t="s">
        <v>32</v>
      </c>
      <c r="D1346" s="2" t="s">
        <v>43</v>
      </c>
      <c r="E1346">
        <v>6.5</v>
      </c>
      <c r="F1346">
        <v>-17346.7</v>
      </c>
      <c r="G1346">
        <v>-5.6</v>
      </c>
      <c r="H1346">
        <v>-149.6</v>
      </c>
      <c r="I1346">
        <v>-107.9</v>
      </c>
      <c r="J1346">
        <v>-85.6</v>
      </c>
      <c r="K1346">
        <v>-92.5</v>
      </c>
      <c r="L1346" s="2"/>
    </row>
    <row r="1347" spans="1:12" x14ac:dyDescent="0.25">
      <c r="A1347" s="2" t="s">
        <v>30</v>
      </c>
      <c r="B1347" s="2" t="s">
        <v>31</v>
      </c>
      <c r="C1347" s="2" t="s">
        <v>32</v>
      </c>
      <c r="D1347" s="2" t="s">
        <v>43</v>
      </c>
      <c r="E1347">
        <v>7.4286000000000003</v>
      </c>
      <c r="F1347">
        <v>-17303.8</v>
      </c>
      <c r="G1347">
        <v>-5.6</v>
      </c>
      <c r="H1347">
        <v>-149.6</v>
      </c>
      <c r="I1347">
        <v>-107.9</v>
      </c>
      <c r="J1347">
        <v>-93.5</v>
      </c>
      <c r="K1347">
        <v>-136.19999999999999</v>
      </c>
      <c r="L1347" s="2"/>
    </row>
    <row r="1348" spans="1:12" x14ac:dyDescent="0.25">
      <c r="A1348" s="2" t="s">
        <v>30</v>
      </c>
      <c r="B1348" s="2" t="s">
        <v>31</v>
      </c>
      <c r="C1348" s="2" t="s">
        <v>32</v>
      </c>
      <c r="D1348" s="2" t="s">
        <v>43</v>
      </c>
      <c r="E1348">
        <v>8.3571000000000009</v>
      </c>
      <c r="F1348">
        <v>-17260.900000000001</v>
      </c>
      <c r="G1348">
        <v>-5.6</v>
      </c>
      <c r="H1348">
        <v>-149.6</v>
      </c>
      <c r="I1348">
        <v>-107.9</v>
      </c>
      <c r="J1348">
        <v>-101.4</v>
      </c>
      <c r="K1348">
        <v>-179.9</v>
      </c>
      <c r="L1348" s="2"/>
    </row>
    <row r="1349" spans="1:12" x14ac:dyDescent="0.25">
      <c r="A1349" s="2" t="s">
        <v>30</v>
      </c>
      <c r="B1349" s="2" t="s">
        <v>31</v>
      </c>
      <c r="C1349" s="2" t="s">
        <v>32</v>
      </c>
      <c r="D1349" s="2" t="s">
        <v>43</v>
      </c>
      <c r="E1349">
        <v>9.2857000000000003</v>
      </c>
      <c r="F1349">
        <v>-17218</v>
      </c>
      <c r="G1349">
        <v>-5.6</v>
      </c>
      <c r="H1349">
        <v>-149.6</v>
      </c>
      <c r="I1349">
        <v>-107.9</v>
      </c>
      <c r="J1349">
        <v>-109.5</v>
      </c>
      <c r="K1349">
        <v>-223.5</v>
      </c>
      <c r="L1349" s="2"/>
    </row>
    <row r="1350" spans="1:12" x14ac:dyDescent="0.25">
      <c r="A1350" s="2" t="s">
        <v>30</v>
      </c>
      <c r="B1350" s="2" t="s">
        <v>31</v>
      </c>
      <c r="C1350" s="2" t="s">
        <v>32</v>
      </c>
      <c r="D1350" s="2" t="s">
        <v>43</v>
      </c>
      <c r="E1350">
        <v>10.2143</v>
      </c>
      <c r="F1350">
        <v>-17175.099999999999</v>
      </c>
      <c r="G1350">
        <v>-5.6</v>
      </c>
      <c r="H1350">
        <v>-149.6</v>
      </c>
      <c r="I1350">
        <v>-107.9</v>
      </c>
      <c r="J1350">
        <v>-117.6</v>
      </c>
      <c r="K1350">
        <v>-267.10000000000002</v>
      </c>
      <c r="L1350" s="2"/>
    </row>
    <row r="1351" spans="1:12" x14ac:dyDescent="0.25">
      <c r="A1351" s="2" t="s">
        <v>30</v>
      </c>
      <c r="B1351" s="2" t="s">
        <v>31</v>
      </c>
      <c r="C1351" s="2" t="s">
        <v>32</v>
      </c>
      <c r="D1351" s="2" t="s">
        <v>43</v>
      </c>
      <c r="E1351">
        <v>11.142899999999999</v>
      </c>
      <c r="F1351">
        <v>-17132.2</v>
      </c>
      <c r="G1351">
        <v>-5.6</v>
      </c>
      <c r="H1351">
        <v>-149.6</v>
      </c>
      <c r="I1351">
        <v>-107.9</v>
      </c>
      <c r="J1351">
        <v>-125.8</v>
      </c>
      <c r="K1351">
        <v>-310.39999999999998</v>
      </c>
      <c r="L1351" s="2"/>
    </row>
    <row r="1352" spans="1:12" x14ac:dyDescent="0.25">
      <c r="A1352" s="2" t="s">
        <v>30</v>
      </c>
      <c r="B1352" s="2" t="s">
        <v>31</v>
      </c>
      <c r="C1352" s="2" t="s">
        <v>32</v>
      </c>
      <c r="D1352" s="2" t="s">
        <v>43</v>
      </c>
      <c r="E1352">
        <v>12.071400000000001</v>
      </c>
      <c r="F1352">
        <v>-17089.400000000001</v>
      </c>
      <c r="G1352">
        <v>-5.6</v>
      </c>
      <c r="H1352">
        <v>-149.6</v>
      </c>
      <c r="I1352">
        <v>-107.9</v>
      </c>
      <c r="J1352">
        <v>-142</v>
      </c>
      <c r="K1352">
        <v>-353.6</v>
      </c>
      <c r="L1352" s="2"/>
    </row>
    <row r="1353" spans="1:12" x14ac:dyDescent="0.25">
      <c r="A1353" s="2" t="s">
        <v>30</v>
      </c>
      <c r="B1353" s="2" t="s">
        <v>31</v>
      </c>
      <c r="C1353" s="2" t="s">
        <v>32</v>
      </c>
      <c r="D1353" s="2" t="s">
        <v>43</v>
      </c>
      <c r="E1353">
        <v>13</v>
      </c>
      <c r="F1353">
        <v>-17046.5</v>
      </c>
      <c r="G1353">
        <v>-5.6</v>
      </c>
      <c r="H1353">
        <v>-149.6</v>
      </c>
      <c r="I1353">
        <v>-107.9</v>
      </c>
      <c r="J1353">
        <v>-158.4</v>
      </c>
      <c r="K1353">
        <v>-396.5</v>
      </c>
      <c r="L1353" s="2"/>
    </row>
    <row r="1354" spans="1:12" x14ac:dyDescent="0.25">
      <c r="A1354" s="2" t="s">
        <v>30</v>
      </c>
      <c r="B1354" s="2" t="s">
        <v>31</v>
      </c>
      <c r="C1354" s="2" t="s">
        <v>32</v>
      </c>
      <c r="D1354" s="2" t="s">
        <v>44</v>
      </c>
      <c r="E1354">
        <v>0</v>
      </c>
      <c r="F1354">
        <v>-10052.4</v>
      </c>
      <c r="G1354">
        <v>37.6</v>
      </c>
      <c r="H1354">
        <v>156.5</v>
      </c>
      <c r="I1354">
        <v>167.4</v>
      </c>
      <c r="J1354">
        <v>552</v>
      </c>
      <c r="K1354">
        <v>142.5</v>
      </c>
      <c r="L1354" s="2"/>
    </row>
    <row r="1355" spans="1:12" x14ac:dyDescent="0.25">
      <c r="A1355" s="2" t="s">
        <v>30</v>
      </c>
      <c r="B1355" s="2" t="s">
        <v>31</v>
      </c>
      <c r="C1355" s="2" t="s">
        <v>32</v>
      </c>
      <c r="D1355" s="2" t="s">
        <v>44</v>
      </c>
      <c r="E1355">
        <v>0.92859999999999998</v>
      </c>
      <c r="F1355">
        <v>-10020.200000000001</v>
      </c>
      <c r="G1355">
        <v>37.6</v>
      </c>
      <c r="H1355">
        <v>156.5</v>
      </c>
      <c r="I1355">
        <v>167.4</v>
      </c>
      <c r="J1355">
        <v>408.2</v>
      </c>
      <c r="K1355">
        <v>109.7</v>
      </c>
      <c r="L1355" s="2"/>
    </row>
    <row r="1356" spans="1:12" x14ac:dyDescent="0.25">
      <c r="A1356" s="2" t="s">
        <v>30</v>
      </c>
      <c r="B1356" s="2" t="s">
        <v>31</v>
      </c>
      <c r="C1356" s="2" t="s">
        <v>32</v>
      </c>
      <c r="D1356" s="2" t="s">
        <v>44</v>
      </c>
      <c r="E1356">
        <v>1.8571</v>
      </c>
      <c r="F1356">
        <v>-9988.1</v>
      </c>
      <c r="G1356">
        <v>37.6</v>
      </c>
      <c r="H1356">
        <v>156.5</v>
      </c>
      <c r="I1356">
        <v>167.4</v>
      </c>
      <c r="J1356">
        <v>264.5</v>
      </c>
      <c r="K1356">
        <v>77.8</v>
      </c>
      <c r="L1356" s="2"/>
    </row>
    <row r="1357" spans="1:12" x14ac:dyDescent="0.25">
      <c r="A1357" s="2" t="s">
        <v>30</v>
      </c>
      <c r="B1357" s="2" t="s">
        <v>31</v>
      </c>
      <c r="C1357" s="2" t="s">
        <v>32</v>
      </c>
      <c r="D1357" s="2" t="s">
        <v>44</v>
      </c>
      <c r="E1357">
        <v>2.7856999999999998</v>
      </c>
      <c r="F1357">
        <v>-9955.9</v>
      </c>
      <c r="G1357">
        <v>37.6</v>
      </c>
      <c r="H1357">
        <v>156.5</v>
      </c>
      <c r="I1357">
        <v>167.4</v>
      </c>
      <c r="J1357">
        <v>163.19999999999999</v>
      </c>
      <c r="K1357">
        <v>61.8</v>
      </c>
      <c r="L1357" s="2"/>
    </row>
    <row r="1358" spans="1:12" x14ac:dyDescent="0.25">
      <c r="A1358" s="2" t="s">
        <v>30</v>
      </c>
      <c r="B1358" s="2" t="s">
        <v>31</v>
      </c>
      <c r="C1358" s="2" t="s">
        <v>32</v>
      </c>
      <c r="D1358" s="2" t="s">
        <v>44</v>
      </c>
      <c r="E1358">
        <v>3.7143000000000002</v>
      </c>
      <c r="F1358">
        <v>-9923.7000000000007</v>
      </c>
      <c r="G1358">
        <v>37.6</v>
      </c>
      <c r="H1358">
        <v>156.5</v>
      </c>
      <c r="I1358">
        <v>167.4</v>
      </c>
      <c r="J1358">
        <v>121.2</v>
      </c>
      <c r="K1358">
        <v>54.3</v>
      </c>
      <c r="L1358" s="2"/>
    </row>
    <row r="1359" spans="1:12" x14ac:dyDescent="0.25">
      <c r="A1359" s="2" t="s">
        <v>30</v>
      </c>
      <c r="B1359" s="2" t="s">
        <v>31</v>
      </c>
      <c r="C1359" s="2" t="s">
        <v>32</v>
      </c>
      <c r="D1359" s="2" t="s">
        <v>44</v>
      </c>
      <c r="E1359">
        <v>4.6429</v>
      </c>
      <c r="F1359">
        <v>-9891.6</v>
      </c>
      <c r="G1359">
        <v>37.6</v>
      </c>
      <c r="H1359">
        <v>156.5</v>
      </c>
      <c r="I1359">
        <v>167.4</v>
      </c>
      <c r="J1359">
        <v>115.6</v>
      </c>
      <c r="K1359">
        <v>46.8</v>
      </c>
      <c r="L1359" s="2"/>
    </row>
    <row r="1360" spans="1:12" x14ac:dyDescent="0.25">
      <c r="A1360" s="2" t="s">
        <v>30</v>
      </c>
      <c r="B1360" s="2" t="s">
        <v>31</v>
      </c>
      <c r="C1360" s="2" t="s">
        <v>32</v>
      </c>
      <c r="D1360" s="2" t="s">
        <v>44</v>
      </c>
      <c r="E1360">
        <v>5.5713999999999997</v>
      </c>
      <c r="F1360">
        <v>-9859.4</v>
      </c>
      <c r="G1360">
        <v>37.6</v>
      </c>
      <c r="H1360">
        <v>156.5</v>
      </c>
      <c r="I1360">
        <v>167.4</v>
      </c>
      <c r="J1360">
        <v>207.5</v>
      </c>
      <c r="K1360">
        <v>39.1</v>
      </c>
      <c r="L1360" s="2"/>
    </row>
    <row r="1361" spans="1:12" x14ac:dyDescent="0.25">
      <c r="A1361" s="2" t="s">
        <v>30</v>
      </c>
      <c r="B1361" s="2" t="s">
        <v>31</v>
      </c>
      <c r="C1361" s="2" t="s">
        <v>32</v>
      </c>
      <c r="D1361" s="2" t="s">
        <v>44</v>
      </c>
      <c r="E1361">
        <v>6.5</v>
      </c>
      <c r="F1361">
        <v>-9827.2000000000007</v>
      </c>
      <c r="G1361">
        <v>37.6</v>
      </c>
      <c r="H1361">
        <v>156.5</v>
      </c>
      <c r="I1361">
        <v>167.4</v>
      </c>
      <c r="J1361">
        <v>299.3</v>
      </c>
      <c r="K1361">
        <v>31.4</v>
      </c>
      <c r="L1361" s="2"/>
    </row>
    <row r="1362" spans="1:12" x14ac:dyDescent="0.25">
      <c r="A1362" s="2" t="s">
        <v>30</v>
      </c>
      <c r="B1362" s="2" t="s">
        <v>31</v>
      </c>
      <c r="C1362" s="2" t="s">
        <v>32</v>
      </c>
      <c r="D1362" s="2" t="s">
        <v>44</v>
      </c>
      <c r="E1362">
        <v>7.4286000000000003</v>
      </c>
      <c r="F1362">
        <v>-9795.1</v>
      </c>
      <c r="G1362">
        <v>37.6</v>
      </c>
      <c r="H1362">
        <v>156.5</v>
      </c>
      <c r="I1362">
        <v>167.4</v>
      </c>
      <c r="J1362">
        <v>391.1</v>
      </c>
      <c r="K1362">
        <v>23.7</v>
      </c>
      <c r="L1362" s="2"/>
    </row>
    <row r="1363" spans="1:12" x14ac:dyDescent="0.25">
      <c r="A1363" s="2" t="s">
        <v>30</v>
      </c>
      <c r="B1363" s="2" t="s">
        <v>31</v>
      </c>
      <c r="C1363" s="2" t="s">
        <v>32</v>
      </c>
      <c r="D1363" s="2" t="s">
        <v>44</v>
      </c>
      <c r="E1363">
        <v>8.3571000000000009</v>
      </c>
      <c r="F1363">
        <v>-9762.9</v>
      </c>
      <c r="G1363">
        <v>37.6</v>
      </c>
      <c r="H1363">
        <v>156.5</v>
      </c>
      <c r="I1363">
        <v>167.4</v>
      </c>
      <c r="J1363">
        <v>482.8</v>
      </c>
      <c r="K1363">
        <v>15.9</v>
      </c>
      <c r="L1363" s="2"/>
    </row>
    <row r="1364" spans="1:12" x14ac:dyDescent="0.25">
      <c r="A1364" s="2" t="s">
        <v>30</v>
      </c>
      <c r="B1364" s="2" t="s">
        <v>31</v>
      </c>
      <c r="C1364" s="2" t="s">
        <v>32</v>
      </c>
      <c r="D1364" s="2" t="s">
        <v>44</v>
      </c>
      <c r="E1364">
        <v>9.2857000000000003</v>
      </c>
      <c r="F1364">
        <v>-9730.7999999999993</v>
      </c>
      <c r="G1364">
        <v>37.6</v>
      </c>
      <c r="H1364">
        <v>156.5</v>
      </c>
      <c r="I1364">
        <v>167.4</v>
      </c>
      <c r="J1364">
        <v>574.5</v>
      </c>
      <c r="K1364">
        <v>8.1999999999999993</v>
      </c>
      <c r="L1364" s="2"/>
    </row>
    <row r="1365" spans="1:12" x14ac:dyDescent="0.25">
      <c r="A1365" s="2" t="s">
        <v>30</v>
      </c>
      <c r="B1365" s="2" t="s">
        <v>31</v>
      </c>
      <c r="C1365" s="2" t="s">
        <v>32</v>
      </c>
      <c r="D1365" s="2" t="s">
        <v>44</v>
      </c>
      <c r="E1365">
        <v>10.2143</v>
      </c>
      <c r="F1365">
        <v>-9698.6</v>
      </c>
      <c r="G1365">
        <v>37.6</v>
      </c>
      <c r="H1365">
        <v>156.5</v>
      </c>
      <c r="I1365">
        <v>167.4</v>
      </c>
      <c r="J1365">
        <v>666.1</v>
      </c>
      <c r="K1365">
        <v>0.6</v>
      </c>
      <c r="L1365" s="2"/>
    </row>
    <row r="1366" spans="1:12" x14ac:dyDescent="0.25">
      <c r="A1366" s="2" t="s">
        <v>30</v>
      </c>
      <c r="B1366" s="2" t="s">
        <v>31</v>
      </c>
      <c r="C1366" s="2" t="s">
        <v>32</v>
      </c>
      <c r="D1366" s="2" t="s">
        <v>44</v>
      </c>
      <c r="E1366">
        <v>11.142899999999999</v>
      </c>
      <c r="F1366">
        <v>-9666.4</v>
      </c>
      <c r="G1366">
        <v>37.6</v>
      </c>
      <c r="H1366">
        <v>156.5</v>
      </c>
      <c r="I1366">
        <v>167.4</v>
      </c>
      <c r="J1366">
        <v>757.6</v>
      </c>
      <c r="K1366">
        <v>-7</v>
      </c>
      <c r="L1366" s="2"/>
    </row>
    <row r="1367" spans="1:12" x14ac:dyDescent="0.25">
      <c r="A1367" s="2" t="s">
        <v>30</v>
      </c>
      <c r="B1367" s="2" t="s">
        <v>31</v>
      </c>
      <c r="C1367" s="2" t="s">
        <v>32</v>
      </c>
      <c r="D1367" s="2" t="s">
        <v>44</v>
      </c>
      <c r="E1367">
        <v>12.071400000000001</v>
      </c>
      <c r="F1367">
        <v>-9634.2999999999993</v>
      </c>
      <c r="G1367">
        <v>37.6</v>
      </c>
      <c r="H1367">
        <v>156.5</v>
      </c>
      <c r="I1367">
        <v>167.4</v>
      </c>
      <c r="J1367">
        <v>849.1</v>
      </c>
      <c r="K1367">
        <v>-14.4</v>
      </c>
      <c r="L1367" s="2"/>
    </row>
    <row r="1368" spans="1:12" x14ac:dyDescent="0.25">
      <c r="A1368" s="2" t="s">
        <v>30</v>
      </c>
      <c r="B1368" s="2" t="s">
        <v>31</v>
      </c>
      <c r="C1368" s="2" t="s">
        <v>32</v>
      </c>
      <c r="D1368" s="2" t="s">
        <v>44</v>
      </c>
      <c r="E1368">
        <v>13</v>
      </c>
      <c r="F1368">
        <v>-9602.1</v>
      </c>
      <c r="G1368">
        <v>37.6</v>
      </c>
      <c r="H1368">
        <v>156.5</v>
      </c>
      <c r="I1368">
        <v>167.4</v>
      </c>
      <c r="J1368">
        <v>940.5</v>
      </c>
      <c r="K1368">
        <v>-21.7</v>
      </c>
      <c r="L1368" s="2"/>
    </row>
    <row r="1369" spans="1:12" x14ac:dyDescent="0.25">
      <c r="A1369" s="2" t="s">
        <v>30</v>
      </c>
      <c r="B1369" s="2" t="s">
        <v>31</v>
      </c>
      <c r="C1369" s="2" t="s">
        <v>32</v>
      </c>
      <c r="D1369" s="2" t="s">
        <v>44</v>
      </c>
      <c r="E1369">
        <v>0</v>
      </c>
      <c r="F1369">
        <v>-14527.9</v>
      </c>
      <c r="G1369">
        <v>7.9</v>
      </c>
      <c r="H1369">
        <v>-97.3</v>
      </c>
      <c r="I1369">
        <v>-104.1</v>
      </c>
      <c r="J1369">
        <v>-344.1</v>
      </c>
      <c r="K1369">
        <v>78.3</v>
      </c>
      <c r="L1369" s="2"/>
    </row>
    <row r="1370" spans="1:12" x14ac:dyDescent="0.25">
      <c r="A1370" s="2" t="s">
        <v>30</v>
      </c>
      <c r="B1370" s="2" t="s">
        <v>31</v>
      </c>
      <c r="C1370" s="2" t="s">
        <v>32</v>
      </c>
      <c r="D1370" s="2" t="s">
        <v>44</v>
      </c>
      <c r="E1370">
        <v>0.92859999999999998</v>
      </c>
      <c r="F1370">
        <v>-14495.7</v>
      </c>
      <c r="G1370">
        <v>7.9</v>
      </c>
      <c r="H1370">
        <v>-97.3</v>
      </c>
      <c r="I1370">
        <v>-104.1</v>
      </c>
      <c r="J1370">
        <v>-252.1</v>
      </c>
      <c r="K1370">
        <v>68.400000000000006</v>
      </c>
      <c r="L1370" s="2"/>
    </row>
    <row r="1371" spans="1:12" x14ac:dyDescent="0.25">
      <c r="A1371" s="2" t="s">
        <v>30</v>
      </c>
      <c r="B1371" s="2" t="s">
        <v>31</v>
      </c>
      <c r="C1371" s="2" t="s">
        <v>32</v>
      </c>
      <c r="D1371" s="2" t="s">
        <v>44</v>
      </c>
      <c r="E1371">
        <v>1.8571</v>
      </c>
      <c r="F1371">
        <v>-14463.5</v>
      </c>
      <c r="G1371">
        <v>7.9</v>
      </c>
      <c r="H1371">
        <v>-97.3</v>
      </c>
      <c r="I1371">
        <v>-104.1</v>
      </c>
      <c r="J1371">
        <v>-160.19999999999999</v>
      </c>
      <c r="K1371">
        <v>58.3</v>
      </c>
      <c r="L1371" s="2"/>
    </row>
    <row r="1372" spans="1:12" x14ac:dyDescent="0.25">
      <c r="A1372" s="2" t="s">
        <v>30</v>
      </c>
      <c r="B1372" s="2" t="s">
        <v>31</v>
      </c>
      <c r="C1372" s="2" t="s">
        <v>32</v>
      </c>
      <c r="D1372" s="2" t="s">
        <v>44</v>
      </c>
      <c r="E1372">
        <v>2.7856999999999998</v>
      </c>
      <c r="F1372">
        <v>-14431.4</v>
      </c>
      <c r="G1372">
        <v>7.9</v>
      </c>
      <c r="H1372">
        <v>-97.3</v>
      </c>
      <c r="I1372">
        <v>-104.1</v>
      </c>
      <c r="J1372">
        <v>-96.1</v>
      </c>
      <c r="K1372">
        <v>33.5</v>
      </c>
      <c r="L1372" s="2"/>
    </row>
    <row r="1373" spans="1:12" x14ac:dyDescent="0.25">
      <c r="A1373" s="2" t="s">
        <v>30</v>
      </c>
      <c r="B1373" s="2" t="s">
        <v>31</v>
      </c>
      <c r="C1373" s="2" t="s">
        <v>32</v>
      </c>
      <c r="D1373" s="2" t="s">
        <v>44</v>
      </c>
      <c r="E1373">
        <v>3.7143000000000002</v>
      </c>
      <c r="F1373">
        <v>-14399.2</v>
      </c>
      <c r="G1373">
        <v>7.9</v>
      </c>
      <c r="H1373">
        <v>-97.3</v>
      </c>
      <c r="I1373">
        <v>-104.1</v>
      </c>
      <c r="J1373">
        <v>-78.2</v>
      </c>
      <c r="K1373">
        <v>3.5</v>
      </c>
      <c r="L1373" s="2"/>
    </row>
    <row r="1374" spans="1:12" x14ac:dyDescent="0.25">
      <c r="A1374" s="2" t="s">
        <v>30</v>
      </c>
      <c r="B1374" s="2" t="s">
        <v>31</v>
      </c>
      <c r="C1374" s="2" t="s">
        <v>32</v>
      </c>
      <c r="D1374" s="2" t="s">
        <v>44</v>
      </c>
      <c r="E1374">
        <v>4.6429</v>
      </c>
      <c r="F1374">
        <v>-14367.1</v>
      </c>
      <c r="G1374">
        <v>7.9</v>
      </c>
      <c r="H1374">
        <v>-97.3</v>
      </c>
      <c r="I1374">
        <v>-104.1</v>
      </c>
      <c r="J1374">
        <v>-167</v>
      </c>
      <c r="K1374">
        <v>-31.6</v>
      </c>
      <c r="L1374" s="2"/>
    </row>
    <row r="1375" spans="1:12" x14ac:dyDescent="0.25">
      <c r="A1375" s="2" t="s">
        <v>30</v>
      </c>
      <c r="B1375" s="2" t="s">
        <v>31</v>
      </c>
      <c r="C1375" s="2" t="s">
        <v>32</v>
      </c>
      <c r="D1375" s="2" t="s">
        <v>44</v>
      </c>
      <c r="E1375">
        <v>5.5713999999999997</v>
      </c>
      <c r="F1375">
        <v>-14334.9</v>
      </c>
      <c r="G1375">
        <v>7.9</v>
      </c>
      <c r="H1375">
        <v>-97.3</v>
      </c>
      <c r="I1375">
        <v>-104.1</v>
      </c>
      <c r="J1375">
        <v>-310.89999999999998</v>
      </c>
      <c r="K1375">
        <v>-66.8</v>
      </c>
      <c r="L1375" s="2"/>
    </row>
    <row r="1376" spans="1:12" x14ac:dyDescent="0.25">
      <c r="A1376" s="2" t="s">
        <v>30</v>
      </c>
      <c r="B1376" s="2" t="s">
        <v>31</v>
      </c>
      <c r="C1376" s="2" t="s">
        <v>32</v>
      </c>
      <c r="D1376" s="2" t="s">
        <v>44</v>
      </c>
      <c r="E1376">
        <v>6.5</v>
      </c>
      <c r="F1376">
        <v>-14302.7</v>
      </c>
      <c r="G1376">
        <v>7.9</v>
      </c>
      <c r="H1376">
        <v>-97.3</v>
      </c>
      <c r="I1376">
        <v>-104.1</v>
      </c>
      <c r="J1376">
        <v>-454.8</v>
      </c>
      <c r="K1376">
        <v>-102</v>
      </c>
      <c r="L1376" s="2"/>
    </row>
    <row r="1377" spans="1:12" x14ac:dyDescent="0.25">
      <c r="A1377" s="2" t="s">
        <v>30</v>
      </c>
      <c r="B1377" s="2" t="s">
        <v>31</v>
      </c>
      <c r="C1377" s="2" t="s">
        <v>32</v>
      </c>
      <c r="D1377" s="2" t="s">
        <v>44</v>
      </c>
      <c r="E1377">
        <v>7.4286000000000003</v>
      </c>
      <c r="F1377">
        <v>-14270.6</v>
      </c>
      <c r="G1377">
        <v>7.9</v>
      </c>
      <c r="H1377">
        <v>-97.3</v>
      </c>
      <c r="I1377">
        <v>-104.1</v>
      </c>
      <c r="J1377">
        <v>-598.79999999999995</v>
      </c>
      <c r="K1377">
        <v>-137.30000000000001</v>
      </c>
      <c r="L1377" s="2"/>
    </row>
    <row r="1378" spans="1:12" x14ac:dyDescent="0.25">
      <c r="A1378" s="2" t="s">
        <v>30</v>
      </c>
      <c r="B1378" s="2" t="s">
        <v>31</v>
      </c>
      <c r="C1378" s="2" t="s">
        <v>32</v>
      </c>
      <c r="D1378" s="2" t="s">
        <v>44</v>
      </c>
      <c r="E1378">
        <v>8.3571000000000009</v>
      </c>
      <c r="F1378">
        <v>-14238.4</v>
      </c>
      <c r="G1378">
        <v>7.9</v>
      </c>
      <c r="H1378">
        <v>-97.3</v>
      </c>
      <c r="I1378">
        <v>-104.1</v>
      </c>
      <c r="J1378">
        <v>-742.8</v>
      </c>
      <c r="K1378">
        <v>-172.6</v>
      </c>
      <c r="L1378" s="2"/>
    </row>
    <row r="1379" spans="1:12" x14ac:dyDescent="0.25">
      <c r="A1379" s="2" t="s">
        <v>30</v>
      </c>
      <c r="B1379" s="2" t="s">
        <v>31</v>
      </c>
      <c r="C1379" s="2" t="s">
        <v>32</v>
      </c>
      <c r="D1379" s="2" t="s">
        <v>44</v>
      </c>
      <c r="E1379">
        <v>9.2857000000000003</v>
      </c>
      <c r="F1379">
        <v>-14206.2</v>
      </c>
      <c r="G1379">
        <v>7.9</v>
      </c>
      <c r="H1379">
        <v>-97.3</v>
      </c>
      <c r="I1379">
        <v>-104.1</v>
      </c>
      <c r="J1379">
        <v>-886.8</v>
      </c>
      <c r="K1379">
        <v>-207.9</v>
      </c>
      <c r="L1379" s="2"/>
    </row>
    <row r="1380" spans="1:12" x14ac:dyDescent="0.25">
      <c r="A1380" s="2" t="s">
        <v>30</v>
      </c>
      <c r="B1380" s="2" t="s">
        <v>31</v>
      </c>
      <c r="C1380" s="2" t="s">
        <v>32</v>
      </c>
      <c r="D1380" s="2" t="s">
        <v>44</v>
      </c>
      <c r="E1380">
        <v>10.2143</v>
      </c>
      <c r="F1380">
        <v>-14174.1</v>
      </c>
      <c r="G1380">
        <v>7.9</v>
      </c>
      <c r="H1380">
        <v>-97.3</v>
      </c>
      <c r="I1380">
        <v>-104.1</v>
      </c>
      <c r="J1380">
        <v>-1031</v>
      </c>
      <c r="K1380">
        <v>-243.1</v>
      </c>
      <c r="L1380" s="2"/>
    </row>
    <row r="1381" spans="1:12" x14ac:dyDescent="0.25">
      <c r="A1381" s="2" t="s">
        <v>30</v>
      </c>
      <c r="B1381" s="2" t="s">
        <v>31</v>
      </c>
      <c r="C1381" s="2" t="s">
        <v>32</v>
      </c>
      <c r="D1381" s="2" t="s">
        <v>44</v>
      </c>
      <c r="E1381">
        <v>11.142899999999999</v>
      </c>
      <c r="F1381">
        <v>-14141.9</v>
      </c>
      <c r="G1381">
        <v>7.9</v>
      </c>
      <c r="H1381">
        <v>-97.3</v>
      </c>
      <c r="I1381">
        <v>-104.1</v>
      </c>
      <c r="J1381">
        <v>-1175.2</v>
      </c>
      <c r="K1381">
        <v>-278.2</v>
      </c>
      <c r="L1381" s="2"/>
    </row>
    <row r="1382" spans="1:12" x14ac:dyDescent="0.25">
      <c r="A1382" s="2" t="s">
        <v>30</v>
      </c>
      <c r="B1382" s="2" t="s">
        <v>31</v>
      </c>
      <c r="C1382" s="2" t="s">
        <v>32</v>
      </c>
      <c r="D1382" s="2" t="s">
        <v>44</v>
      </c>
      <c r="E1382">
        <v>12.071400000000001</v>
      </c>
      <c r="F1382">
        <v>-14109.8</v>
      </c>
      <c r="G1382">
        <v>7.9</v>
      </c>
      <c r="H1382">
        <v>-97.3</v>
      </c>
      <c r="I1382">
        <v>-104.1</v>
      </c>
      <c r="J1382">
        <v>-1319.4</v>
      </c>
      <c r="K1382">
        <v>-313.2</v>
      </c>
      <c r="L1382" s="2"/>
    </row>
    <row r="1383" spans="1:12" x14ac:dyDescent="0.25">
      <c r="A1383" s="2" t="s">
        <v>30</v>
      </c>
      <c r="B1383" s="2" t="s">
        <v>31</v>
      </c>
      <c r="C1383" s="2" t="s">
        <v>32</v>
      </c>
      <c r="D1383" s="2" t="s">
        <v>44</v>
      </c>
      <c r="E1383">
        <v>13</v>
      </c>
      <c r="F1383">
        <v>-14077.6</v>
      </c>
      <c r="G1383">
        <v>7.9</v>
      </c>
      <c r="H1383">
        <v>-97.3</v>
      </c>
      <c r="I1383">
        <v>-104.1</v>
      </c>
      <c r="J1383">
        <v>-1463.8</v>
      </c>
      <c r="K1383">
        <v>-348.1</v>
      </c>
      <c r="L1383" s="2"/>
    </row>
    <row r="1384" spans="1:12" x14ac:dyDescent="0.25">
      <c r="A1384" s="2" t="s">
        <v>30</v>
      </c>
      <c r="B1384" s="2" t="s">
        <v>31</v>
      </c>
      <c r="C1384" s="2" t="s">
        <v>32</v>
      </c>
      <c r="D1384" s="2" t="s">
        <v>45</v>
      </c>
      <c r="E1384">
        <v>0</v>
      </c>
      <c r="F1384">
        <v>-6727.8</v>
      </c>
      <c r="G1384">
        <v>11.9</v>
      </c>
      <c r="H1384">
        <v>96.4</v>
      </c>
      <c r="I1384">
        <v>142.19999999999999</v>
      </c>
      <c r="J1384">
        <v>344.6</v>
      </c>
      <c r="K1384">
        <v>71.3</v>
      </c>
      <c r="L1384" s="2"/>
    </row>
    <row r="1385" spans="1:12" x14ac:dyDescent="0.25">
      <c r="A1385" s="2" t="s">
        <v>30</v>
      </c>
      <c r="B1385" s="2" t="s">
        <v>31</v>
      </c>
      <c r="C1385" s="2" t="s">
        <v>32</v>
      </c>
      <c r="D1385" s="2" t="s">
        <v>45</v>
      </c>
      <c r="E1385">
        <v>0.92859999999999998</v>
      </c>
      <c r="F1385">
        <v>-6695.6</v>
      </c>
      <c r="G1385">
        <v>11.9</v>
      </c>
      <c r="H1385">
        <v>96.4</v>
      </c>
      <c r="I1385">
        <v>142.19999999999999</v>
      </c>
      <c r="J1385">
        <v>256.7</v>
      </c>
      <c r="K1385">
        <v>63.7</v>
      </c>
      <c r="L1385" s="2"/>
    </row>
    <row r="1386" spans="1:12" x14ac:dyDescent="0.25">
      <c r="A1386" s="2" t="s">
        <v>30</v>
      </c>
      <c r="B1386" s="2" t="s">
        <v>31</v>
      </c>
      <c r="C1386" s="2" t="s">
        <v>32</v>
      </c>
      <c r="D1386" s="2" t="s">
        <v>45</v>
      </c>
      <c r="E1386">
        <v>1.8571</v>
      </c>
      <c r="F1386">
        <v>-6663.5</v>
      </c>
      <c r="G1386">
        <v>11.9</v>
      </c>
      <c r="H1386">
        <v>96.4</v>
      </c>
      <c r="I1386">
        <v>142.19999999999999</v>
      </c>
      <c r="J1386">
        <v>168.8</v>
      </c>
      <c r="K1386">
        <v>55.8</v>
      </c>
      <c r="L1386" s="2"/>
    </row>
    <row r="1387" spans="1:12" x14ac:dyDescent="0.25">
      <c r="A1387" s="2" t="s">
        <v>30</v>
      </c>
      <c r="B1387" s="2" t="s">
        <v>31</v>
      </c>
      <c r="C1387" s="2" t="s">
        <v>32</v>
      </c>
      <c r="D1387" s="2" t="s">
        <v>45</v>
      </c>
      <c r="E1387">
        <v>2.7856999999999998</v>
      </c>
      <c r="F1387">
        <v>-6631.3</v>
      </c>
      <c r="G1387">
        <v>11.9</v>
      </c>
      <c r="H1387">
        <v>96.4</v>
      </c>
      <c r="I1387">
        <v>142.19999999999999</v>
      </c>
      <c r="J1387">
        <v>108.8</v>
      </c>
      <c r="K1387">
        <v>62.4</v>
      </c>
      <c r="L1387" s="2"/>
    </row>
    <row r="1388" spans="1:12" x14ac:dyDescent="0.25">
      <c r="A1388" s="2" t="s">
        <v>30</v>
      </c>
      <c r="B1388" s="2" t="s">
        <v>31</v>
      </c>
      <c r="C1388" s="2" t="s">
        <v>32</v>
      </c>
      <c r="D1388" s="2" t="s">
        <v>45</v>
      </c>
      <c r="E1388">
        <v>3.7143000000000002</v>
      </c>
      <c r="F1388">
        <v>-6599.1</v>
      </c>
      <c r="G1388">
        <v>11.9</v>
      </c>
      <c r="H1388">
        <v>96.4</v>
      </c>
      <c r="I1388">
        <v>142.19999999999999</v>
      </c>
      <c r="J1388">
        <v>94.9</v>
      </c>
      <c r="K1388">
        <v>73.7</v>
      </c>
      <c r="L1388" s="2"/>
    </row>
    <row r="1389" spans="1:12" x14ac:dyDescent="0.25">
      <c r="A1389" s="2" t="s">
        <v>30</v>
      </c>
      <c r="B1389" s="2" t="s">
        <v>31</v>
      </c>
      <c r="C1389" s="2" t="s">
        <v>32</v>
      </c>
      <c r="D1389" s="2" t="s">
        <v>45</v>
      </c>
      <c r="E1389">
        <v>4.6429</v>
      </c>
      <c r="F1389">
        <v>-6567</v>
      </c>
      <c r="G1389">
        <v>11.9</v>
      </c>
      <c r="H1389">
        <v>96.4</v>
      </c>
      <c r="I1389">
        <v>142.19999999999999</v>
      </c>
      <c r="J1389">
        <v>187.6</v>
      </c>
      <c r="K1389">
        <v>89.9</v>
      </c>
      <c r="L1389" s="2"/>
    </row>
    <row r="1390" spans="1:12" x14ac:dyDescent="0.25">
      <c r="A1390" s="2" t="s">
        <v>30</v>
      </c>
      <c r="B1390" s="2" t="s">
        <v>31</v>
      </c>
      <c r="C1390" s="2" t="s">
        <v>32</v>
      </c>
      <c r="D1390" s="2" t="s">
        <v>45</v>
      </c>
      <c r="E1390">
        <v>5.5713999999999997</v>
      </c>
      <c r="F1390">
        <v>-6534.8</v>
      </c>
      <c r="G1390">
        <v>11.9</v>
      </c>
      <c r="H1390">
        <v>96.4</v>
      </c>
      <c r="I1390">
        <v>142.19999999999999</v>
      </c>
      <c r="J1390">
        <v>335.3</v>
      </c>
      <c r="K1390">
        <v>106.1</v>
      </c>
      <c r="L1390" s="2"/>
    </row>
    <row r="1391" spans="1:12" x14ac:dyDescent="0.25">
      <c r="A1391" s="2" t="s">
        <v>30</v>
      </c>
      <c r="B1391" s="2" t="s">
        <v>31</v>
      </c>
      <c r="C1391" s="2" t="s">
        <v>32</v>
      </c>
      <c r="D1391" s="2" t="s">
        <v>45</v>
      </c>
      <c r="E1391">
        <v>6.5</v>
      </c>
      <c r="F1391">
        <v>-6502.6</v>
      </c>
      <c r="G1391">
        <v>11.9</v>
      </c>
      <c r="H1391">
        <v>96.4</v>
      </c>
      <c r="I1391">
        <v>142.19999999999999</v>
      </c>
      <c r="J1391">
        <v>483</v>
      </c>
      <c r="K1391">
        <v>122.2</v>
      </c>
      <c r="L1391" s="2"/>
    </row>
    <row r="1392" spans="1:12" x14ac:dyDescent="0.25">
      <c r="A1392" s="2" t="s">
        <v>30</v>
      </c>
      <c r="B1392" s="2" t="s">
        <v>31</v>
      </c>
      <c r="C1392" s="2" t="s">
        <v>32</v>
      </c>
      <c r="D1392" s="2" t="s">
        <v>45</v>
      </c>
      <c r="E1392">
        <v>7.4286000000000003</v>
      </c>
      <c r="F1392">
        <v>-6470.5</v>
      </c>
      <c r="G1392">
        <v>11.9</v>
      </c>
      <c r="H1392">
        <v>96.4</v>
      </c>
      <c r="I1392">
        <v>142.19999999999999</v>
      </c>
      <c r="J1392">
        <v>630.70000000000005</v>
      </c>
      <c r="K1392">
        <v>138.30000000000001</v>
      </c>
      <c r="L1392" s="2"/>
    </row>
    <row r="1393" spans="1:12" x14ac:dyDescent="0.25">
      <c r="A1393" s="2" t="s">
        <v>30</v>
      </c>
      <c r="B1393" s="2" t="s">
        <v>31</v>
      </c>
      <c r="C1393" s="2" t="s">
        <v>32</v>
      </c>
      <c r="D1393" s="2" t="s">
        <v>45</v>
      </c>
      <c r="E1393">
        <v>8.3571000000000009</v>
      </c>
      <c r="F1393">
        <v>-6438.3</v>
      </c>
      <c r="G1393">
        <v>11.9</v>
      </c>
      <c r="H1393">
        <v>96.4</v>
      </c>
      <c r="I1393">
        <v>142.19999999999999</v>
      </c>
      <c r="J1393">
        <v>778.3</v>
      </c>
      <c r="K1393">
        <v>154.30000000000001</v>
      </c>
      <c r="L1393" s="2"/>
    </row>
    <row r="1394" spans="1:12" x14ac:dyDescent="0.25">
      <c r="A1394" s="2" t="s">
        <v>30</v>
      </c>
      <c r="B1394" s="2" t="s">
        <v>31</v>
      </c>
      <c r="C1394" s="2" t="s">
        <v>32</v>
      </c>
      <c r="D1394" s="2" t="s">
        <v>45</v>
      </c>
      <c r="E1394">
        <v>9.2857000000000003</v>
      </c>
      <c r="F1394">
        <v>-6406.2</v>
      </c>
      <c r="G1394">
        <v>11.9</v>
      </c>
      <c r="H1394">
        <v>96.4</v>
      </c>
      <c r="I1394">
        <v>142.19999999999999</v>
      </c>
      <c r="J1394">
        <v>925.9</v>
      </c>
      <c r="K1394">
        <v>170.4</v>
      </c>
      <c r="L1394" s="2"/>
    </row>
    <row r="1395" spans="1:12" x14ac:dyDescent="0.25">
      <c r="A1395" s="2" t="s">
        <v>30</v>
      </c>
      <c r="B1395" s="2" t="s">
        <v>31</v>
      </c>
      <c r="C1395" s="2" t="s">
        <v>32</v>
      </c>
      <c r="D1395" s="2" t="s">
        <v>45</v>
      </c>
      <c r="E1395">
        <v>10.2143</v>
      </c>
      <c r="F1395">
        <v>-6374</v>
      </c>
      <c r="G1395">
        <v>11.9</v>
      </c>
      <c r="H1395">
        <v>96.4</v>
      </c>
      <c r="I1395">
        <v>142.19999999999999</v>
      </c>
      <c r="J1395">
        <v>1073.3</v>
      </c>
      <c r="K1395">
        <v>186.6</v>
      </c>
      <c r="L1395" s="2"/>
    </row>
    <row r="1396" spans="1:12" x14ac:dyDescent="0.25">
      <c r="A1396" s="2" t="s">
        <v>30</v>
      </c>
      <c r="B1396" s="2" t="s">
        <v>31</v>
      </c>
      <c r="C1396" s="2" t="s">
        <v>32</v>
      </c>
      <c r="D1396" s="2" t="s">
        <v>45</v>
      </c>
      <c r="E1396">
        <v>11.142899999999999</v>
      </c>
      <c r="F1396">
        <v>-6341.8</v>
      </c>
      <c r="G1396">
        <v>11.9</v>
      </c>
      <c r="H1396">
        <v>96.4</v>
      </c>
      <c r="I1396">
        <v>142.19999999999999</v>
      </c>
      <c r="J1396">
        <v>1220.8</v>
      </c>
      <c r="K1396">
        <v>202.9</v>
      </c>
      <c r="L1396" s="2"/>
    </row>
    <row r="1397" spans="1:12" x14ac:dyDescent="0.25">
      <c r="A1397" s="2" t="s">
        <v>30</v>
      </c>
      <c r="B1397" s="2" t="s">
        <v>31</v>
      </c>
      <c r="C1397" s="2" t="s">
        <v>32</v>
      </c>
      <c r="D1397" s="2" t="s">
        <v>45</v>
      </c>
      <c r="E1397">
        <v>12.071400000000001</v>
      </c>
      <c r="F1397">
        <v>-6309.7</v>
      </c>
      <c r="G1397">
        <v>11.9</v>
      </c>
      <c r="H1397">
        <v>96.4</v>
      </c>
      <c r="I1397">
        <v>142.19999999999999</v>
      </c>
      <c r="J1397">
        <v>1368.1</v>
      </c>
      <c r="K1397">
        <v>219.2</v>
      </c>
      <c r="L1397" s="2"/>
    </row>
    <row r="1398" spans="1:12" x14ac:dyDescent="0.25">
      <c r="A1398" s="2" t="s">
        <v>30</v>
      </c>
      <c r="B1398" s="2" t="s">
        <v>31</v>
      </c>
      <c r="C1398" s="2" t="s">
        <v>32</v>
      </c>
      <c r="D1398" s="2" t="s">
        <v>45</v>
      </c>
      <c r="E1398">
        <v>13</v>
      </c>
      <c r="F1398">
        <v>-6277.5</v>
      </c>
      <c r="G1398">
        <v>11.9</v>
      </c>
      <c r="H1398">
        <v>96.4</v>
      </c>
      <c r="I1398">
        <v>142.19999999999999</v>
      </c>
      <c r="J1398">
        <v>1515.4</v>
      </c>
      <c r="K1398">
        <v>235.7</v>
      </c>
      <c r="L1398" s="2"/>
    </row>
    <row r="1399" spans="1:12" x14ac:dyDescent="0.25">
      <c r="A1399" s="2" t="s">
        <v>30</v>
      </c>
      <c r="B1399" s="2" t="s">
        <v>31</v>
      </c>
      <c r="C1399" s="2" t="s">
        <v>32</v>
      </c>
      <c r="D1399" s="2" t="s">
        <v>45</v>
      </c>
      <c r="E1399">
        <v>0</v>
      </c>
      <c r="F1399">
        <v>-11203.3</v>
      </c>
      <c r="G1399">
        <v>-17.8</v>
      </c>
      <c r="H1399">
        <v>-157.5</v>
      </c>
      <c r="I1399">
        <v>-129.30000000000001</v>
      </c>
      <c r="J1399">
        <v>-551.5</v>
      </c>
      <c r="K1399">
        <v>7.1</v>
      </c>
      <c r="L1399" s="2"/>
    </row>
    <row r="1400" spans="1:12" x14ac:dyDescent="0.25">
      <c r="A1400" s="2" t="s">
        <v>30</v>
      </c>
      <c r="B1400" s="2" t="s">
        <v>31</v>
      </c>
      <c r="C1400" s="2" t="s">
        <v>32</v>
      </c>
      <c r="D1400" s="2" t="s">
        <v>45</v>
      </c>
      <c r="E1400">
        <v>0.92859999999999998</v>
      </c>
      <c r="F1400">
        <v>-11171.1</v>
      </c>
      <c r="G1400">
        <v>-17.8</v>
      </c>
      <c r="H1400">
        <v>-157.5</v>
      </c>
      <c r="I1400">
        <v>-129.30000000000001</v>
      </c>
      <c r="J1400">
        <v>-403.6</v>
      </c>
      <c r="K1400">
        <v>22.4</v>
      </c>
      <c r="L1400" s="2"/>
    </row>
    <row r="1401" spans="1:12" x14ac:dyDescent="0.25">
      <c r="A1401" s="2" t="s">
        <v>30</v>
      </c>
      <c r="B1401" s="2" t="s">
        <v>31</v>
      </c>
      <c r="C1401" s="2" t="s">
        <v>32</v>
      </c>
      <c r="D1401" s="2" t="s">
        <v>45</v>
      </c>
      <c r="E1401">
        <v>1.8571</v>
      </c>
      <c r="F1401">
        <v>-11138.9</v>
      </c>
      <c r="G1401">
        <v>-17.8</v>
      </c>
      <c r="H1401">
        <v>-157.5</v>
      </c>
      <c r="I1401">
        <v>-129.30000000000001</v>
      </c>
      <c r="J1401">
        <v>-255.8</v>
      </c>
      <c r="K1401">
        <v>36.299999999999997</v>
      </c>
      <c r="L1401" s="2"/>
    </row>
    <row r="1402" spans="1:12" x14ac:dyDescent="0.25">
      <c r="A1402" s="2" t="s">
        <v>30</v>
      </c>
      <c r="B1402" s="2" t="s">
        <v>31</v>
      </c>
      <c r="C1402" s="2" t="s">
        <v>32</v>
      </c>
      <c r="D1402" s="2" t="s">
        <v>45</v>
      </c>
      <c r="E1402">
        <v>2.7856999999999998</v>
      </c>
      <c r="F1402">
        <v>-11106.8</v>
      </c>
      <c r="G1402">
        <v>-17.8</v>
      </c>
      <c r="H1402">
        <v>-157.5</v>
      </c>
      <c r="I1402">
        <v>-129.30000000000001</v>
      </c>
      <c r="J1402">
        <v>-150.5</v>
      </c>
      <c r="K1402">
        <v>34.1</v>
      </c>
      <c r="L1402" s="2"/>
    </row>
    <row r="1403" spans="1:12" x14ac:dyDescent="0.25">
      <c r="A1403" s="2" t="s">
        <v>30</v>
      </c>
      <c r="B1403" s="2" t="s">
        <v>31</v>
      </c>
      <c r="C1403" s="2" t="s">
        <v>32</v>
      </c>
      <c r="D1403" s="2" t="s">
        <v>45</v>
      </c>
      <c r="E1403">
        <v>3.7143000000000002</v>
      </c>
      <c r="F1403">
        <v>-11074.6</v>
      </c>
      <c r="G1403">
        <v>-17.8</v>
      </c>
      <c r="H1403">
        <v>-157.5</v>
      </c>
      <c r="I1403">
        <v>-129.30000000000001</v>
      </c>
      <c r="J1403">
        <v>-104.5</v>
      </c>
      <c r="K1403">
        <v>22.9</v>
      </c>
      <c r="L1403" s="2"/>
    </row>
    <row r="1404" spans="1:12" x14ac:dyDescent="0.25">
      <c r="A1404" s="2" t="s">
        <v>30</v>
      </c>
      <c r="B1404" s="2" t="s">
        <v>31</v>
      </c>
      <c r="C1404" s="2" t="s">
        <v>32</v>
      </c>
      <c r="D1404" s="2" t="s">
        <v>45</v>
      </c>
      <c r="E1404">
        <v>4.6429</v>
      </c>
      <c r="F1404">
        <v>-11042.5</v>
      </c>
      <c r="G1404">
        <v>-17.8</v>
      </c>
      <c r="H1404">
        <v>-157.5</v>
      </c>
      <c r="I1404">
        <v>-129.30000000000001</v>
      </c>
      <c r="J1404">
        <v>-95</v>
      </c>
      <c r="K1404">
        <v>11.6</v>
      </c>
      <c r="L1404" s="2"/>
    </row>
    <row r="1405" spans="1:12" x14ac:dyDescent="0.25">
      <c r="A1405" s="2" t="s">
        <v>30</v>
      </c>
      <c r="B1405" s="2" t="s">
        <v>31</v>
      </c>
      <c r="C1405" s="2" t="s">
        <v>32</v>
      </c>
      <c r="D1405" s="2" t="s">
        <v>45</v>
      </c>
      <c r="E1405">
        <v>5.5713999999999997</v>
      </c>
      <c r="F1405">
        <v>-11010.3</v>
      </c>
      <c r="G1405">
        <v>-17.8</v>
      </c>
      <c r="H1405">
        <v>-157.5</v>
      </c>
      <c r="I1405">
        <v>-129.30000000000001</v>
      </c>
      <c r="J1405">
        <v>-183</v>
      </c>
      <c r="K1405">
        <v>0.2</v>
      </c>
      <c r="L1405" s="2"/>
    </row>
    <row r="1406" spans="1:12" x14ac:dyDescent="0.25">
      <c r="A1406" s="2" t="s">
        <v>30</v>
      </c>
      <c r="B1406" s="2" t="s">
        <v>31</v>
      </c>
      <c r="C1406" s="2" t="s">
        <v>32</v>
      </c>
      <c r="D1406" s="2" t="s">
        <v>45</v>
      </c>
      <c r="E1406">
        <v>6.5</v>
      </c>
      <c r="F1406">
        <v>-10978.1</v>
      </c>
      <c r="G1406">
        <v>-17.8</v>
      </c>
      <c r="H1406">
        <v>-157.5</v>
      </c>
      <c r="I1406">
        <v>-129.30000000000001</v>
      </c>
      <c r="J1406">
        <v>-271</v>
      </c>
      <c r="K1406">
        <v>-11.2</v>
      </c>
      <c r="L1406" s="2"/>
    </row>
    <row r="1407" spans="1:12" x14ac:dyDescent="0.25">
      <c r="A1407" s="2" t="s">
        <v>30</v>
      </c>
      <c r="B1407" s="2" t="s">
        <v>31</v>
      </c>
      <c r="C1407" s="2" t="s">
        <v>32</v>
      </c>
      <c r="D1407" s="2" t="s">
        <v>45</v>
      </c>
      <c r="E1407">
        <v>7.4286000000000003</v>
      </c>
      <c r="F1407">
        <v>-10946</v>
      </c>
      <c r="G1407">
        <v>-17.8</v>
      </c>
      <c r="H1407">
        <v>-157.5</v>
      </c>
      <c r="I1407">
        <v>-129.30000000000001</v>
      </c>
      <c r="J1407">
        <v>-359.1</v>
      </c>
      <c r="K1407">
        <v>-22.7</v>
      </c>
      <c r="L1407" s="2"/>
    </row>
    <row r="1408" spans="1:12" x14ac:dyDescent="0.25">
      <c r="A1408" s="2" t="s">
        <v>30</v>
      </c>
      <c r="B1408" s="2" t="s">
        <v>31</v>
      </c>
      <c r="C1408" s="2" t="s">
        <v>32</v>
      </c>
      <c r="D1408" s="2" t="s">
        <v>45</v>
      </c>
      <c r="E1408">
        <v>8.3571000000000009</v>
      </c>
      <c r="F1408">
        <v>-10913.8</v>
      </c>
      <c r="G1408">
        <v>-17.8</v>
      </c>
      <c r="H1408">
        <v>-157.5</v>
      </c>
      <c r="I1408">
        <v>-129.30000000000001</v>
      </c>
      <c r="J1408">
        <v>-447.3</v>
      </c>
      <c r="K1408">
        <v>-34.200000000000003</v>
      </c>
      <c r="L1408" s="2"/>
    </row>
    <row r="1409" spans="1:12" x14ac:dyDescent="0.25">
      <c r="A1409" s="2" t="s">
        <v>30</v>
      </c>
      <c r="B1409" s="2" t="s">
        <v>31</v>
      </c>
      <c r="C1409" s="2" t="s">
        <v>32</v>
      </c>
      <c r="D1409" s="2" t="s">
        <v>45</v>
      </c>
      <c r="E1409">
        <v>9.2857000000000003</v>
      </c>
      <c r="F1409">
        <v>-10881.6</v>
      </c>
      <c r="G1409">
        <v>-17.8</v>
      </c>
      <c r="H1409">
        <v>-157.5</v>
      </c>
      <c r="I1409">
        <v>-129.30000000000001</v>
      </c>
      <c r="J1409">
        <v>-535.4</v>
      </c>
      <c r="K1409">
        <v>-45.7</v>
      </c>
      <c r="L1409" s="2"/>
    </row>
    <row r="1410" spans="1:12" x14ac:dyDescent="0.25">
      <c r="A1410" s="2" t="s">
        <v>30</v>
      </c>
      <c r="B1410" s="2" t="s">
        <v>31</v>
      </c>
      <c r="C1410" s="2" t="s">
        <v>32</v>
      </c>
      <c r="D1410" s="2" t="s">
        <v>45</v>
      </c>
      <c r="E1410">
        <v>10.2143</v>
      </c>
      <c r="F1410">
        <v>-10849.5</v>
      </c>
      <c r="G1410">
        <v>-17.8</v>
      </c>
      <c r="H1410">
        <v>-157.5</v>
      </c>
      <c r="I1410">
        <v>-129.30000000000001</v>
      </c>
      <c r="J1410">
        <v>-623.70000000000005</v>
      </c>
      <c r="K1410">
        <v>-57.1</v>
      </c>
      <c r="L1410" s="2"/>
    </row>
    <row r="1411" spans="1:12" x14ac:dyDescent="0.25">
      <c r="A1411" s="2" t="s">
        <v>30</v>
      </c>
      <c r="B1411" s="2" t="s">
        <v>31</v>
      </c>
      <c r="C1411" s="2" t="s">
        <v>32</v>
      </c>
      <c r="D1411" s="2" t="s">
        <v>45</v>
      </c>
      <c r="E1411">
        <v>11.142899999999999</v>
      </c>
      <c r="F1411">
        <v>-10817.3</v>
      </c>
      <c r="G1411">
        <v>-17.8</v>
      </c>
      <c r="H1411">
        <v>-157.5</v>
      </c>
      <c r="I1411">
        <v>-129.30000000000001</v>
      </c>
      <c r="J1411">
        <v>-712</v>
      </c>
      <c r="K1411">
        <v>-68.400000000000006</v>
      </c>
      <c r="L1411" s="2"/>
    </row>
    <row r="1412" spans="1:12" x14ac:dyDescent="0.25">
      <c r="A1412" s="2" t="s">
        <v>30</v>
      </c>
      <c r="B1412" s="2" t="s">
        <v>31</v>
      </c>
      <c r="C1412" s="2" t="s">
        <v>32</v>
      </c>
      <c r="D1412" s="2" t="s">
        <v>45</v>
      </c>
      <c r="E1412">
        <v>12.071400000000001</v>
      </c>
      <c r="F1412">
        <v>-10785.2</v>
      </c>
      <c r="G1412">
        <v>-17.8</v>
      </c>
      <c r="H1412">
        <v>-157.5</v>
      </c>
      <c r="I1412">
        <v>-129.30000000000001</v>
      </c>
      <c r="J1412">
        <v>-800.4</v>
      </c>
      <c r="K1412">
        <v>-79.599999999999994</v>
      </c>
      <c r="L1412" s="2"/>
    </row>
    <row r="1413" spans="1:12" x14ac:dyDescent="0.25">
      <c r="A1413" s="2" t="s">
        <v>30</v>
      </c>
      <c r="B1413" s="2" t="s">
        <v>31</v>
      </c>
      <c r="C1413" s="2" t="s">
        <v>32</v>
      </c>
      <c r="D1413" s="2" t="s">
        <v>45</v>
      </c>
      <c r="E1413">
        <v>13</v>
      </c>
      <c r="F1413">
        <v>-10753</v>
      </c>
      <c r="G1413">
        <v>-17.8</v>
      </c>
      <c r="H1413">
        <v>-157.5</v>
      </c>
      <c r="I1413">
        <v>-129.30000000000001</v>
      </c>
      <c r="J1413">
        <v>-888.9</v>
      </c>
      <c r="K1413">
        <v>-90.6</v>
      </c>
      <c r="L1413" s="2"/>
    </row>
    <row r="1414" spans="1:12" x14ac:dyDescent="0.25">
      <c r="A1414" s="2" t="s">
        <v>30</v>
      </c>
      <c r="B1414" s="2" t="s">
        <v>31</v>
      </c>
      <c r="C1414" s="2" t="s">
        <v>32</v>
      </c>
      <c r="D1414" s="2" t="s">
        <v>46</v>
      </c>
      <c r="E1414">
        <v>0</v>
      </c>
      <c r="F1414">
        <v>-8768.2000000000007</v>
      </c>
      <c r="G1414">
        <v>34.5</v>
      </c>
      <c r="H1414">
        <v>150.6</v>
      </c>
      <c r="I1414">
        <v>158.6</v>
      </c>
      <c r="J1414">
        <v>531.6</v>
      </c>
      <c r="K1414">
        <v>141.4</v>
      </c>
      <c r="L1414" s="2"/>
    </row>
    <row r="1415" spans="1:12" x14ac:dyDescent="0.25">
      <c r="A1415" s="2" t="s">
        <v>30</v>
      </c>
      <c r="B1415" s="2" t="s">
        <v>31</v>
      </c>
      <c r="C1415" s="2" t="s">
        <v>32</v>
      </c>
      <c r="D1415" s="2" t="s">
        <v>46</v>
      </c>
      <c r="E1415">
        <v>0.92859999999999998</v>
      </c>
      <c r="F1415">
        <v>-8736</v>
      </c>
      <c r="G1415">
        <v>34.5</v>
      </c>
      <c r="H1415">
        <v>150.6</v>
      </c>
      <c r="I1415">
        <v>158.6</v>
      </c>
      <c r="J1415">
        <v>393.3</v>
      </c>
      <c r="K1415">
        <v>109.8</v>
      </c>
      <c r="L1415" s="2"/>
    </row>
    <row r="1416" spans="1:12" x14ac:dyDescent="0.25">
      <c r="A1416" s="2" t="s">
        <v>30</v>
      </c>
      <c r="B1416" s="2" t="s">
        <v>31</v>
      </c>
      <c r="C1416" s="2" t="s">
        <v>32</v>
      </c>
      <c r="D1416" s="2" t="s">
        <v>46</v>
      </c>
      <c r="E1416">
        <v>1.8571</v>
      </c>
      <c r="F1416">
        <v>-8703.7999999999993</v>
      </c>
      <c r="G1416">
        <v>34.5</v>
      </c>
      <c r="H1416">
        <v>150.6</v>
      </c>
      <c r="I1416">
        <v>158.6</v>
      </c>
      <c r="J1416">
        <v>255.1</v>
      </c>
      <c r="K1416">
        <v>77.900000000000006</v>
      </c>
      <c r="L1416" s="2"/>
    </row>
    <row r="1417" spans="1:12" x14ac:dyDescent="0.25">
      <c r="A1417" s="2" t="s">
        <v>30</v>
      </c>
      <c r="B1417" s="2" t="s">
        <v>31</v>
      </c>
      <c r="C1417" s="2" t="s">
        <v>32</v>
      </c>
      <c r="D1417" s="2" t="s">
        <v>46</v>
      </c>
      <c r="E1417">
        <v>2.7856999999999998</v>
      </c>
      <c r="F1417">
        <v>-8671.7000000000007</v>
      </c>
      <c r="G1417">
        <v>34.5</v>
      </c>
      <c r="H1417">
        <v>150.6</v>
      </c>
      <c r="I1417">
        <v>158.6</v>
      </c>
      <c r="J1417">
        <v>159.19999999999999</v>
      </c>
      <c r="K1417">
        <v>62.4</v>
      </c>
      <c r="L1417" s="2"/>
    </row>
    <row r="1418" spans="1:12" x14ac:dyDescent="0.25">
      <c r="A1418" s="2" t="s">
        <v>30</v>
      </c>
      <c r="B1418" s="2" t="s">
        <v>31</v>
      </c>
      <c r="C1418" s="2" t="s">
        <v>32</v>
      </c>
      <c r="D1418" s="2" t="s">
        <v>46</v>
      </c>
      <c r="E1418">
        <v>3.7143000000000002</v>
      </c>
      <c r="F1418">
        <v>-8639.5</v>
      </c>
      <c r="G1418">
        <v>34.5</v>
      </c>
      <c r="H1418">
        <v>150.6</v>
      </c>
      <c r="I1418">
        <v>158.6</v>
      </c>
      <c r="J1418">
        <v>121.2</v>
      </c>
      <c r="K1418">
        <v>73.7</v>
      </c>
      <c r="L1418" s="2"/>
    </row>
    <row r="1419" spans="1:12" x14ac:dyDescent="0.25">
      <c r="A1419" s="2" t="s">
        <v>30</v>
      </c>
      <c r="B1419" s="2" t="s">
        <v>31</v>
      </c>
      <c r="C1419" s="2" t="s">
        <v>32</v>
      </c>
      <c r="D1419" s="2" t="s">
        <v>46</v>
      </c>
      <c r="E1419">
        <v>4.6429</v>
      </c>
      <c r="F1419">
        <v>-8607.4</v>
      </c>
      <c r="G1419">
        <v>34.5</v>
      </c>
      <c r="H1419">
        <v>150.6</v>
      </c>
      <c r="I1419">
        <v>158.6</v>
      </c>
      <c r="J1419">
        <v>117.3</v>
      </c>
      <c r="K1419">
        <v>89.9</v>
      </c>
      <c r="L1419" s="2"/>
    </row>
    <row r="1420" spans="1:12" x14ac:dyDescent="0.25">
      <c r="A1420" s="2" t="s">
        <v>30</v>
      </c>
      <c r="B1420" s="2" t="s">
        <v>31</v>
      </c>
      <c r="C1420" s="2" t="s">
        <v>32</v>
      </c>
      <c r="D1420" s="2" t="s">
        <v>46</v>
      </c>
      <c r="E1420">
        <v>5.5713999999999997</v>
      </c>
      <c r="F1420">
        <v>-8575.2000000000007</v>
      </c>
      <c r="G1420">
        <v>34.5</v>
      </c>
      <c r="H1420">
        <v>150.6</v>
      </c>
      <c r="I1420">
        <v>158.6</v>
      </c>
      <c r="J1420">
        <v>115.9</v>
      </c>
      <c r="K1420">
        <v>106.1</v>
      </c>
      <c r="L1420" s="2"/>
    </row>
    <row r="1421" spans="1:12" x14ac:dyDescent="0.25">
      <c r="A1421" s="2" t="s">
        <v>30</v>
      </c>
      <c r="B1421" s="2" t="s">
        <v>31</v>
      </c>
      <c r="C1421" s="2" t="s">
        <v>32</v>
      </c>
      <c r="D1421" s="2" t="s">
        <v>46</v>
      </c>
      <c r="E1421">
        <v>6.5</v>
      </c>
      <c r="F1421">
        <v>-8543</v>
      </c>
      <c r="G1421">
        <v>34.5</v>
      </c>
      <c r="H1421">
        <v>150.6</v>
      </c>
      <c r="I1421">
        <v>158.6</v>
      </c>
      <c r="J1421">
        <v>126.4</v>
      </c>
      <c r="K1421">
        <v>122.2</v>
      </c>
      <c r="L1421" s="2"/>
    </row>
    <row r="1422" spans="1:12" x14ac:dyDescent="0.25">
      <c r="A1422" s="2" t="s">
        <v>30</v>
      </c>
      <c r="B1422" s="2" t="s">
        <v>31</v>
      </c>
      <c r="C1422" s="2" t="s">
        <v>32</v>
      </c>
      <c r="D1422" s="2" t="s">
        <v>46</v>
      </c>
      <c r="E1422">
        <v>7.4286000000000003</v>
      </c>
      <c r="F1422">
        <v>-8510.9</v>
      </c>
      <c r="G1422">
        <v>34.5</v>
      </c>
      <c r="H1422">
        <v>150.6</v>
      </c>
      <c r="I1422">
        <v>158.6</v>
      </c>
      <c r="J1422">
        <v>136.80000000000001</v>
      </c>
      <c r="K1422">
        <v>138.30000000000001</v>
      </c>
      <c r="L1422" s="2"/>
    </row>
    <row r="1423" spans="1:12" x14ac:dyDescent="0.25">
      <c r="A1423" s="2" t="s">
        <v>30</v>
      </c>
      <c r="B1423" s="2" t="s">
        <v>31</v>
      </c>
      <c r="C1423" s="2" t="s">
        <v>32</v>
      </c>
      <c r="D1423" s="2" t="s">
        <v>46</v>
      </c>
      <c r="E1423">
        <v>8.3571000000000009</v>
      </c>
      <c r="F1423">
        <v>-8478.7000000000007</v>
      </c>
      <c r="G1423">
        <v>34.5</v>
      </c>
      <c r="H1423">
        <v>150.6</v>
      </c>
      <c r="I1423">
        <v>158.6</v>
      </c>
      <c r="J1423">
        <v>147.19999999999999</v>
      </c>
      <c r="K1423">
        <v>154.30000000000001</v>
      </c>
      <c r="L1423" s="2"/>
    </row>
    <row r="1424" spans="1:12" x14ac:dyDescent="0.25">
      <c r="A1424" s="2" t="s">
        <v>30</v>
      </c>
      <c r="B1424" s="2" t="s">
        <v>31</v>
      </c>
      <c r="C1424" s="2" t="s">
        <v>32</v>
      </c>
      <c r="D1424" s="2" t="s">
        <v>46</v>
      </c>
      <c r="E1424">
        <v>9.2857000000000003</v>
      </c>
      <c r="F1424">
        <v>-8446.6</v>
      </c>
      <c r="G1424">
        <v>34.5</v>
      </c>
      <c r="H1424">
        <v>150.6</v>
      </c>
      <c r="I1424">
        <v>158.6</v>
      </c>
      <c r="J1424">
        <v>157.5</v>
      </c>
      <c r="K1424">
        <v>170.4</v>
      </c>
      <c r="L1424" s="2"/>
    </row>
    <row r="1425" spans="1:12" x14ac:dyDescent="0.25">
      <c r="A1425" s="2" t="s">
        <v>30</v>
      </c>
      <c r="B1425" s="2" t="s">
        <v>31</v>
      </c>
      <c r="C1425" s="2" t="s">
        <v>32</v>
      </c>
      <c r="D1425" s="2" t="s">
        <v>46</v>
      </c>
      <c r="E1425">
        <v>10.2143</v>
      </c>
      <c r="F1425">
        <v>-8414.4</v>
      </c>
      <c r="G1425">
        <v>34.5</v>
      </c>
      <c r="H1425">
        <v>150.6</v>
      </c>
      <c r="I1425">
        <v>158.6</v>
      </c>
      <c r="J1425">
        <v>167.7</v>
      </c>
      <c r="K1425">
        <v>186.6</v>
      </c>
      <c r="L1425" s="2"/>
    </row>
    <row r="1426" spans="1:12" x14ac:dyDescent="0.25">
      <c r="A1426" s="2" t="s">
        <v>30</v>
      </c>
      <c r="B1426" s="2" t="s">
        <v>31</v>
      </c>
      <c r="C1426" s="2" t="s">
        <v>32</v>
      </c>
      <c r="D1426" s="2" t="s">
        <v>46</v>
      </c>
      <c r="E1426">
        <v>11.142899999999999</v>
      </c>
      <c r="F1426">
        <v>-8382.2000000000007</v>
      </c>
      <c r="G1426">
        <v>34.5</v>
      </c>
      <c r="H1426">
        <v>150.6</v>
      </c>
      <c r="I1426">
        <v>158.6</v>
      </c>
      <c r="J1426">
        <v>177.9</v>
      </c>
      <c r="K1426">
        <v>202.9</v>
      </c>
      <c r="L1426" s="2"/>
    </row>
    <row r="1427" spans="1:12" x14ac:dyDescent="0.25">
      <c r="A1427" s="2" t="s">
        <v>30</v>
      </c>
      <c r="B1427" s="2" t="s">
        <v>31</v>
      </c>
      <c r="C1427" s="2" t="s">
        <v>32</v>
      </c>
      <c r="D1427" s="2" t="s">
        <v>46</v>
      </c>
      <c r="E1427">
        <v>12.071400000000001</v>
      </c>
      <c r="F1427">
        <v>-8350.1</v>
      </c>
      <c r="G1427">
        <v>34.5</v>
      </c>
      <c r="H1427">
        <v>150.6</v>
      </c>
      <c r="I1427">
        <v>158.6</v>
      </c>
      <c r="J1427">
        <v>195.8</v>
      </c>
      <c r="K1427">
        <v>219.2</v>
      </c>
      <c r="L1427" s="2"/>
    </row>
    <row r="1428" spans="1:12" x14ac:dyDescent="0.25">
      <c r="A1428" s="2" t="s">
        <v>30</v>
      </c>
      <c r="B1428" s="2" t="s">
        <v>31</v>
      </c>
      <c r="C1428" s="2" t="s">
        <v>32</v>
      </c>
      <c r="D1428" s="2" t="s">
        <v>46</v>
      </c>
      <c r="E1428">
        <v>13</v>
      </c>
      <c r="F1428">
        <v>-8317.9</v>
      </c>
      <c r="G1428">
        <v>34.5</v>
      </c>
      <c r="H1428">
        <v>150.6</v>
      </c>
      <c r="I1428">
        <v>158.6</v>
      </c>
      <c r="J1428">
        <v>213.8</v>
      </c>
      <c r="K1428">
        <v>235.7</v>
      </c>
      <c r="L1428" s="2"/>
    </row>
    <row r="1429" spans="1:12" x14ac:dyDescent="0.25">
      <c r="A1429" s="2" t="s">
        <v>30</v>
      </c>
      <c r="B1429" s="2" t="s">
        <v>31</v>
      </c>
      <c r="C1429" s="2" t="s">
        <v>32</v>
      </c>
      <c r="D1429" s="2" t="s">
        <v>46</v>
      </c>
      <c r="E1429">
        <v>0</v>
      </c>
      <c r="F1429">
        <v>-14484.1</v>
      </c>
      <c r="G1429">
        <v>-17.8</v>
      </c>
      <c r="H1429">
        <v>-18.3</v>
      </c>
      <c r="I1429">
        <v>-106.5</v>
      </c>
      <c r="J1429">
        <v>-43.1</v>
      </c>
      <c r="K1429">
        <v>7.1</v>
      </c>
      <c r="L1429" s="2"/>
    </row>
    <row r="1430" spans="1:12" x14ac:dyDescent="0.25">
      <c r="A1430" s="2" t="s">
        <v>30</v>
      </c>
      <c r="B1430" s="2" t="s">
        <v>31</v>
      </c>
      <c r="C1430" s="2" t="s">
        <v>32</v>
      </c>
      <c r="D1430" s="2" t="s">
        <v>46</v>
      </c>
      <c r="E1430">
        <v>0.92859999999999998</v>
      </c>
      <c r="F1430">
        <v>-14452</v>
      </c>
      <c r="G1430">
        <v>-17.8</v>
      </c>
      <c r="H1430">
        <v>-18.3</v>
      </c>
      <c r="I1430">
        <v>-106.5</v>
      </c>
      <c r="J1430">
        <v>-24.5</v>
      </c>
      <c r="K1430">
        <v>24</v>
      </c>
      <c r="L1430" s="2"/>
    </row>
    <row r="1431" spans="1:12" x14ac:dyDescent="0.25">
      <c r="A1431" s="2" t="s">
        <v>30</v>
      </c>
      <c r="B1431" s="2" t="s">
        <v>31</v>
      </c>
      <c r="C1431" s="2" t="s">
        <v>32</v>
      </c>
      <c r="D1431" s="2" t="s">
        <v>46</v>
      </c>
      <c r="E1431">
        <v>1.8571</v>
      </c>
      <c r="F1431">
        <v>-14419.8</v>
      </c>
      <c r="G1431">
        <v>-17.8</v>
      </c>
      <c r="H1431">
        <v>-18.3</v>
      </c>
      <c r="I1431">
        <v>-106.5</v>
      </c>
      <c r="J1431">
        <v>-6</v>
      </c>
      <c r="K1431">
        <v>40.799999999999997</v>
      </c>
      <c r="L1431" s="2"/>
    </row>
    <row r="1432" spans="1:12" x14ac:dyDescent="0.25">
      <c r="A1432" s="2" t="s">
        <v>30</v>
      </c>
      <c r="B1432" s="2" t="s">
        <v>31</v>
      </c>
      <c r="C1432" s="2" t="s">
        <v>32</v>
      </c>
      <c r="D1432" s="2" t="s">
        <v>46</v>
      </c>
      <c r="E1432">
        <v>2.7856999999999998</v>
      </c>
      <c r="F1432">
        <v>-14387.6</v>
      </c>
      <c r="G1432">
        <v>-17.8</v>
      </c>
      <c r="H1432">
        <v>-18.3</v>
      </c>
      <c r="I1432">
        <v>-106.5</v>
      </c>
      <c r="J1432">
        <v>9.6</v>
      </c>
      <c r="K1432">
        <v>40.6</v>
      </c>
      <c r="L1432" s="2"/>
    </row>
    <row r="1433" spans="1:12" x14ac:dyDescent="0.25">
      <c r="A1433" s="2" t="s">
        <v>30</v>
      </c>
      <c r="B1433" s="2" t="s">
        <v>31</v>
      </c>
      <c r="C1433" s="2" t="s">
        <v>32</v>
      </c>
      <c r="D1433" s="2" t="s">
        <v>46</v>
      </c>
      <c r="E1433">
        <v>3.7143000000000002</v>
      </c>
      <c r="F1433">
        <v>-14355.5</v>
      </c>
      <c r="G1433">
        <v>-17.8</v>
      </c>
      <c r="H1433">
        <v>-18.3</v>
      </c>
      <c r="I1433">
        <v>-106.5</v>
      </c>
      <c r="J1433">
        <v>-34.9</v>
      </c>
      <c r="K1433">
        <v>12.9</v>
      </c>
      <c r="L1433" s="2"/>
    </row>
    <row r="1434" spans="1:12" x14ac:dyDescent="0.25">
      <c r="A1434" s="2" t="s">
        <v>30</v>
      </c>
      <c r="B1434" s="2" t="s">
        <v>31</v>
      </c>
      <c r="C1434" s="2" t="s">
        <v>32</v>
      </c>
      <c r="D1434" s="2" t="s">
        <v>46</v>
      </c>
      <c r="E1434">
        <v>4.6429</v>
      </c>
      <c r="F1434">
        <v>-14323.3</v>
      </c>
      <c r="G1434">
        <v>-17.8</v>
      </c>
      <c r="H1434">
        <v>-18.3</v>
      </c>
      <c r="I1434">
        <v>-106.5</v>
      </c>
      <c r="J1434">
        <v>-159.80000000000001</v>
      </c>
      <c r="K1434">
        <v>-18.600000000000001</v>
      </c>
      <c r="L1434" s="2"/>
    </row>
    <row r="1435" spans="1:12" x14ac:dyDescent="0.25">
      <c r="A1435" s="2" t="s">
        <v>30</v>
      </c>
      <c r="B1435" s="2" t="s">
        <v>31</v>
      </c>
      <c r="C1435" s="2" t="s">
        <v>32</v>
      </c>
      <c r="D1435" s="2" t="s">
        <v>46</v>
      </c>
      <c r="E1435">
        <v>5.5713999999999997</v>
      </c>
      <c r="F1435">
        <v>-14291.1</v>
      </c>
      <c r="G1435">
        <v>-17.8</v>
      </c>
      <c r="H1435">
        <v>-18.3</v>
      </c>
      <c r="I1435">
        <v>-106.5</v>
      </c>
      <c r="J1435">
        <v>-298.10000000000002</v>
      </c>
      <c r="K1435">
        <v>-51</v>
      </c>
      <c r="L1435" s="2"/>
    </row>
    <row r="1436" spans="1:12" x14ac:dyDescent="0.25">
      <c r="A1436" s="2" t="s">
        <v>30</v>
      </c>
      <c r="B1436" s="2" t="s">
        <v>31</v>
      </c>
      <c r="C1436" s="2" t="s">
        <v>32</v>
      </c>
      <c r="D1436" s="2" t="s">
        <v>46</v>
      </c>
      <c r="E1436">
        <v>6.5</v>
      </c>
      <c r="F1436">
        <v>-14259</v>
      </c>
      <c r="G1436">
        <v>-17.8</v>
      </c>
      <c r="H1436">
        <v>-18.3</v>
      </c>
      <c r="I1436">
        <v>-106.5</v>
      </c>
      <c r="J1436">
        <v>-436.5</v>
      </c>
      <c r="K1436">
        <v>-83.5</v>
      </c>
      <c r="L1436" s="2"/>
    </row>
    <row r="1437" spans="1:12" x14ac:dyDescent="0.25">
      <c r="A1437" s="2" t="s">
        <v>30</v>
      </c>
      <c r="B1437" s="2" t="s">
        <v>31</v>
      </c>
      <c r="C1437" s="2" t="s">
        <v>32</v>
      </c>
      <c r="D1437" s="2" t="s">
        <v>46</v>
      </c>
      <c r="E1437">
        <v>7.4286000000000003</v>
      </c>
      <c r="F1437">
        <v>-14226.8</v>
      </c>
      <c r="G1437">
        <v>-17.8</v>
      </c>
      <c r="H1437">
        <v>-18.3</v>
      </c>
      <c r="I1437">
        <v>-106.5</v>
      </c>
      <c r="J1437">
        <v>-574.9</v>
      </c>
      <c r="K1437">
        <v>-116</v>
      </c>
      <c r="L1437" s="2"/>
    </row>
    <row r="1438" spans="1:12" x14ac:dyDescent="0.25">
      <c r="A1438" s="2" t="s">
        <v>30</v>
      </c>
      <c r="B1438" s="2" t="s">
        <v>31</v>
      </c>
      <c r="C1438" s="2" t="s">
        <v>32</v>
      </c>
      <c r="D1438" s="2" t="s">
        <v>46</v>
      </c>
      <c r="E1438">
        <v>8.3571000000000009</v>
      </c>
      <c r="F1438">
        <v>-14194.7</v>
      </c>
      <c r="G1438">
        <v>-17.8</v>
      </c>
      <c r="H1438">
        <v>-18.3</v>
      </c>
      <c r="I1438">
        <v>-106.5</v>
      </c>
      <c r="J1438">
        <v>-713.4</v>
      </c>
      <c r="K1438">
        <v>-148.5</v>
      </c>
      <c r="L1438" s="2"/>
    </row>
    <row r="1439" spans="1:12" x14ac:dyDescent="0.25">
      <c r="A1439" s="2" t="s">
        <v>30</v>
      </c>
      <c r="B1439" s="2" t="s">
        <v>31</v>
      </c>
      <c r="C1439" s="2" t="s">
        <v>32</v>
      </c>
      <c r="D1439" s="2" t="s">
        <v>46</v>
      </c>
      <c r="E1439">
        <v>9.2857000000000003</v>
      </c>
      <c r="F1439">
        <v>-14162.5</v>
      </c>
      <c r="G1439">
        <v>-17.8</v>
      </c>
      <c r="H1439">
        <v>-18.3</v>
      </c>
      <c r="I1439">
        <v>-106.5</v>
      </c>
      <c r="J1439">
        <v>-851.9</v>
      </c>
      <c r="K1439">
        <v>-180.9</v>
      </c>
      <c r="L1439" s="2"/>
    </row>
    <row r="1440" spans="1:12" x14ac:dyDescent="0.25">
      <c r="A1440" s="2" t="s">
        <v>30</v>
      </c>
      <c r="B1440" s="2" t="s">
        <v>31</v>
      </c>
      <c r="C1440" s="2" t="s">
        <v>32</v>
      </c>
      <c r="D1440" s="2" t="s">
        <v>46</v>
      </c>
      <c r="E1440">
        <v>10.2143</v>
      </c>
      <c r="F1440">
        <v>-14130.3</v>
      </c>
      <c r="G1440">
        <v>-17.8</v>
      </c>
      <c r="H1440">
        <v>-18.3</v>
      </c>
      <c r="I1440">
        <v>-106.5</v>
      </c>
      <c r="J1440">
        <v>-990.5</v>
      </c>
      <c r="K1440">
        <v>-213.3</v>
      </c>
      <c r="L1440" s="2"/>
    </row>
    <row r="1441" spans="1:12" x14ac:dyDescent="0.25">
      <c r="A1441" s="2" t="s">
        <v>30</v>
      </c>
      <c r="B1441" s="2" t="s">
        <v>31</v>
      </c>
      <c r="C1441" s="2" t="s">
        <v>32</v>
      </c>
      <c r="D1441" s="2" t="s">
        <v>46</v>
      </c>
      <c r="E1441">
        <v>11.142899999999999</v>
      </c>
      <c r="F1441">
        <v>-14098.2</v>
      </c>
      <c r="G1441">
        <v>-17.8</v>
      </c>
      <c r="H1441">
        <v>-18.3</v>
      </c>
      <c r="I1441">
        <v>-106.5</v>
      </c>
      <c r="J1441">
        <v>-1129.0999999999999</v>
      </c>
      <c r="K1441">
        <v>-245.6</v>
      </c>
      <c r="L1441" s="2"/>
    </row>
    <row r="1442" spans="1:12" x14ac:dyDescent="0.25">
      <c r="A1442" s="2" t="s">
        <v>30</v>
      </c>
      <c r="B1442" s="2" t="s">
        <v>31</v>
      </c>
      <c r="C1442" s="2" t="s">
        <v>32</v>
      </c>
      <c r="D1442" s="2" t="s">
        <v>46</v>
      </c>
      <c r="E1442">
        <v>12.071400000000001</v>
      </c>
      <c r="F1442">
        <v>-14066</v>
      </c>
      <c r="G1442">
        <v>-17.8</v>
      </c>
      <c r="H1442">
        <v>-18.3</v>
      </c>
      <c r="I1442">
        <v>-106.5</v>
      </c>
      <c r="J1442">
        <v>-1267.9000000000001</v>
      </c>
      <c r="K1442">
        <v>-277.8</v>
      </c>
      <c r="L1442" s="2"/>
    </row>
    <row r="1443" spans="1:12" x14ac:dyDescent="0.25">
      <c r="A1443" s="2" t="s">
        <v>30</v>
      </c>
      <c r="B1443" s="2" t="s">
        <v>31</v>
      </c>
      <c r="C1443" s="2" t="s">
        <v>32</v>
      </c>
      <c r="D1443" s="2" t="s">
        <v>46</v>
      </c>
      <c r="E1443">
        <v>13</v>
      </c>
      <c r="F1443">
        <v>-14033.8</v>
      </c>
      <c r="G1443">
        <v>-17.8</v>
      </c>
      <c r="H1443">
        <v>-18.3</v>
      </c>
      <c r="I1443">
        <v>-106.5</v>
      </c>
      <c r="J1443">
        <v>-1406.7</v>
      </c>
      <c r="K1443">
        <v>-309.89999999999998</v>
      </c>
      <c r="L1443" s="2"/>
    </row>
    <row r="1444" spans="1:12" x14ac:dyDescent="0.25">
      <c r="A1444" s="2" t="s">
        <v>30</v>
      </c>
      <c r="B1444" s="2" t="s">
        <v>31</v>
      </c>
      <c r="C1444" s="2" t="s">
        <v>32</v>
      </c>
      <c r="D1444" s="2" t="s">
        <v>47</v>
      </c>
      <c r="E1444">
        <v>0</v>
      </c>
      <c r="F1444">
        <v>-6771.5</v>
      </c>
      <c r="G1444">
        <v>37.6</v>
      </c>
      <c r="H1444">
        <v>17.3</v>
      </c>
      <c r="I1444">
        <v>144.6</v>
      </c>
      <c r="J1444">
        <v>43.7</v>
      </c>
      <c r="K1444">
        <v>142.5</v>
      </c>
      <c r="L1444" s="2"/>
    </row>
    <row r="1445" spans="1:12" x14ac:dyDescent="0.25">
      <c r="A1445" s="2" t="s">
        <v>30</v>
      </c>
      <c r="B1445" s="2" t="s">
        <v>31</v>
      </c>
      <c r="C1445" s="2" t="s">
        <v>32</v>
      </c>
      <c r="D1445" s="2" t="s">
        <v>47</v>
      </c>
      <c r="E1445">
        <v>0.92859999999999998</v>
      </c>
      <c r="F1445">
        <v>-6739.4</v>
      </c>
      <c r="G1445">
        <v>37.6</v>
      </c>
      <c r="H1445">
        <v>17.3</v>
      </c>
      <c r="I1445">
        <v>144.6</v>
      </c>
      <c r="J1445">
        <v>29.2</v>
      </c>
      <c r="K1445">
        <v>108</v>
      </c>
      <c r="L1445" s="2"/>
    </row>
    <row r="1446" spans="1:12" x14ac:dyDescent="0.25">
      <c r="A1446" s="2" t="s">
        <v>30</v>
      </c>
      <c r="B1446" s="2" t="s">
        <v>31</v>
      </c>
      <c r="C1446" s="2" t="s">
        <v>32</v>
      </c>
      <c r="D1446" s="2" t="s">
        <v>47</v>
      </c>
      <c r="E1446">
        <v>1.8571</v>
      </c>
      <c r="F1446">
        <v>-6707.2</v>
      </c>
      <c r="G1446">
        <v>37.6</v>
      </c>
      <c r="H1446">
        <v>17.3</v>
      </c>
      <c r="I1446">
        <v>144.6</v>
      </c>
      <c r="J1446">
        <v>14.7</v>
      </c>
      <c r="K1446">
        <v>73.400000000000006</v>
      </c>
      <c r="L1446" s="2"/>
    </row>
    <row r="1447" spans="1:12" x14ac:dyDescent="0.25">
      <c r="A1447" s="2" t="s">
        <v>30</v>
      </c>
      <c r="B1447" s="2" t="s">
        <v>31</v>
      </c>
      <c r="C1447" s="2" t="s">
        <v>32</v>
      </c>
      <c r="D1447" s="2" t="s">
        <v>47</v>
      </c>
      <c r="E1447">
        <v>2.7856999999999998</v>
      </c>
      <c r="F1447">
        <v>-6675</v>
      </c>
      <c r="G1447">
        <v>37.6</v>
      </c>
      <c r="H1447">
        <v>17.3</v>
      </c>
      <c r="I1447">
        <v>144.6</v>
      </c>
      <c r="J1447">
        <v>3.1</v>
      </c>
      <c r="K1447">
        <v>55.2</v>
      </c>
      <c r="L1447" s="2"/>
    </row>
    <row r="1448" spans="1:12" x14ac:dyDescent="0.25">
      <c r="A1448" s="2" t="s">
        <v>30</v>
      </c>
      <c r="B1448" s="2" t="s">
        <v>31</v>
      </c>
      <c r="C1448" s="2" t="s">
        <v>32</v>
      </c>
      <c r="D1448" s="2" t="s">
        <v>47</v>
      </c>
      <c r="E1448">
        <v>3.7143000000000002</v>
      </c>
      <c r="F1448">
        <v>-6642.9</v>
      </c>
      <c r="G1448">
        <v>37.6</v>
      </c>
      <c r="H1448">
        <v>17.3</v>
      </c>
      <c r="I1448">
        <v>144.6</v>
      </c>
      <c r="J1448">
        <v>51.6</v>
      </c>
      <c r="K1448">
        <v>64.3</v>
      </c>
      <c r="L1448" s="2"/>
    </row>
    <row r="1449" spans="1:12" x14ac:dyDescent="0.25">
      <c r="A1449" s="2" t="s">
        <v>30</v>
      </c>
      <c r="B1449" s="2" t="s">
        <v>31</v>
      </c>
      <c r="C1449" s="2" t="s">
        <v>32</v>
      </c>
      <c r="D1449" s="2" t="s">
        <v>47</v>
      </c>
      <c r="E1449">
        <v>4.6429</v>
      </c>
      <c r="F1449">
        <v>-6610.7</v>
      </c>
      <c r="G1449">
        <v>37.6</v>
      </c>
      <c r="H1449">
        <v>17.3</v>
      </c>
      <c r="I1449">
        <v>144.6</v>
      </c>
      <c r="J1449">
        <v>180.4</v>
      </c>
      <c r="K1449">
        <v>77</v>
      </c>
      <c r="L1449" s="2"/>
    </row>
    <row r="1450" spans="1:12" x14ac:dyDescent="0.25">
      <c r="A1450" s="2" t="s">
        <v>30</v>
      </c>
      <c r="B1450" s="2" t="s">
        <v>31</v>
      </c>
      <c r="C1450" s="2" t="s">
        <v>32</v>
      </c>
      <c r="D1450" s="2" t="s">
        <v>47</v>
      </c>
      <c r="E1450">
        <v>5.5713999999999997</v>
      </c>
      <c r="F1450">
        <v>-6578.6</v>
      </c>
      <c r="G1450">
        <v>37.6</v>
      </c>
      <c r="H1450">
        <v>17.3</v>
      </c>
      <c r="I1450">
        <v>144.6</v>
      </c>
      <c r="J1450">
        <v>322.60000000000002</v>
      </c>
      <c r="K1450">
        <v>90.3</v>
      </c>
      <c r="L1450" s="2"/>
    </row>
    <row r="1451" spans="1:12" x14ac:dyDescent="0.25">
      <c r="A1451" s="2" t="s">
        <v>30</v>
      </c>
      <c r="B1451" s="2" t="s">
        <v>31</v>
      </c>
      <c r="C1451" s="2" t="s">
        <v>32</v>
      </c>
      <c r="D1451" s="2" t="s">
        <v>47</v>
      </c>
      <c r="E1451">
        <v>6.5</v>
      </c>
      <c r="F1451">
        <v>-6546.4</v>
      </c>
      <c r="G1451">
        <v>37.6</v>
      </c>
      <c r="H1451">
        <v>17.3</v>
      </c>
      <c r="I1451">
        <v>144.6</v>
      </c>
      <c r="J1451">
        <v>464.7</v>
      </c>
      <c r="K1451">
        <v>103.6</v>
      </c>
      <c r="L1451" s="2"/>
    </row>
    <row r="1452" spans="1:12" x14ac:dyDescent="0.25">
      <c r="A1452" s="2" t="s">
        <v>30</v>
      </c>
      <c r="B1452" s="2" t="s">
        <v>31</v>
      </c>
      <c r="C1452" s="2" t="s">
        <v>32</v>
      </c>
      <c r="D1452" s="2" t="s">
        <v>47</v>
      </c>
      <c r="E1452">
        <v>7.4286000000000003</v>
      </c>
      <c r="F1452">
        <v>-6514.2</v>
      </c>
      <c r="G1452">
        <v>37.6</v>
      </c>
      <c r="H1452">
        <v>17.3</v>
      </c>
      <c r="I1452">
        <v>144.6</v>
      </c>
      <c r="J1452">
        <v>606.79999999999995</v>
      </c>
      <c r="K1452">
        <v>116.9</v>
      </c>
      <c r="L1452" s="2"/>
    </row>
    <row r="1453" spans="1:12" x14ac:dyDescent="0.25">
      <c r="A1453" s="2" t="s">
        <v>30</v>
      </c>
      <c r="B1453" s="2" t="s">
        <v>31</v>
      </c>
      <c r="C1453" s="2" t="s">
        <v>32</v>
      </c>
      <c r="D1453" s="2" t="s">
        <v>47</v>
      </c>
      <c r="E1453">
        <v>8.3571000000000009</v>
      </c>
      <c r="F1453">
        <v>-6482.1</v>
      </c>
      <c r="G1453">
        <v>37.6</v>
      </c>
      <c r="H1453">
        <v>17.3</v>
      </c>
      <c r="I1453">
        <v>144.6</v>
      </c>
      <c r="J1453">
        <v>748.9</v>
      </c>
      <c r="K1453">
        <v>130.19999999999999</v>
      </c>
      <c r="L1453" s="2"/>
    </row>
    <row r="1454" spans="1:12" x14ac:dyDescent="0.25">
      <c r="A1454" s="2" t="s">
        <v>30</v>
      </c>
      <c r="B1454" s="2" t="s">
        <v>31</v>
      </c>
      <c r="C1454" s="2" t="s">
        <v>32</v>
      </c>
      <c r="D1454" s="2" t="s">
        <v>47</v>
      </c>
      <c r="E1454">
        <v>9.2857000000000003</v>
      </c>
      <c r="F1454">
        <v>-6449.9</v>
      </c>
      <c r="G1454">
        <v>37.6</v>
      </c>
      <c r="H1454">
        <v>17.3</v>
      </c>
      <c r="I1454">
        <v>144.6</v>
      </c>
      <c r="J1454">
        <v>890.9</v>
      </c>
      <c r="K1454">
        <v>143.5</v>
      </c>
      <c r="L1454" s="2"/>
    </row>
    <row r="1455" spans="1:12" x14ac:dyDescent="0.25">
      <c r="A1455" s="2" t="s">
        <v>30</v>
      </c>
      <c r="B1455" s="2" t="s">
        <v>31</v>
      </c>
      <c r="C1455" s="2" t="s">
        <v>32</v>
      </c>
      <c r="D1455" s="2" t="s">
        <v>47</v>
      </c>
      <c r="E1455">
        <v>10.2143</v>
      </c>
      <c r="F1455">
        <v>-6417.8</v>
      </c>
      <c r="G1455">
        <v>37.6</v>
      </c>
      <c r="H1455">
        <v>17.3</v>
      </c>
      <c r="I1455">
        <v>144.6</v>
      </c>
      <c r="J1455">
        <v>1032.8</v>
      </c>
      <c r="K1455">
        <v>156.80000000000001</v>
      </c>
      <c r="L1455" s="2"/>
    </row>
    <row r="1456" spans="1:12" x14ac:dyDescent="0.25">
      <c r="A1456" s="2" t="s">
        <v>30</v>
      </c>
      <c r="B1456" s="2" t="s">
        <v>31</v>
      </c>
      <c r="C1456" s="2" t="s">
        <v>32</v>
      </c>
      <c r="D1456" s="2" t="s">
        <v>47</v>
      </c>
      <c r="E1456">
        <v>11.142899999999999</v>
      </c>
      <c r="F1456">
        <v>-6385.6</v>
      </c>
      <c r="G1456">
        <v>37.6</v>
      </c>
      <c r="H1456">
        <v>17.3</v>
      </c>
      <c r="I1456">
        <v>144.6</v>
      </c>
      <c r="J1456">
        <v>1174.7</v>
      </c>
      <c r="K1456">
        <v>170.3</v>
      </c>
      <c r="L1456" s="2"/>
    </row>
    <row r="1457" spans="1:12" x14ac:dyDescent="0.25">
      <c r="A1457" s="2" t="s">
        <v>30</v>
      </c>
      <c r="B1457" s="2" t="s">
        <v>31</v>
      </c>
      <c r="C1457" s="2" t="s">
        <v>32</v>
      </c>
      <c r="D1457" s="2" t="s">
        <v>47</v>
      </c>
      <c r="E1457">
        <v>12.071400000000001</v>
      </c>
      <c r="F1457">
        <v>-6353.4</v>
      </c>
      <c r="G1457">
        <v>37.6</v>
      </c>
      <c r="H1457">
        <v>17.3</v>
      </c>
      <c r="I1457">
        <v>144.6</v>
      </c>
      <c r="J1457">
        <v>1316.5</v>
      </c>
      <c r="K1457">
        <v>183.8</v>
      </c>
      <c r="L1457" s="2"/>
    </row>
    <row r="1458" spans="1:12" x14ac:dyDescent="0.25">
      <c r="A1458" s="2" t="s">
        <v>30</v>
      </c>
      <c r="B1458" s="2" t="s">
        <v>31</v>
      </c>
      <c r="C1458" s="2" t="s">
        <v>32</v>
      </c>
      <c r="D1458" s="2" t="s">
        <v>47</v>
      </c>
      <c r="E1458">
        <v>13</v>
      </c>
      <c r="F1458">
        <v>-6321.3</v>
      </c>
      <c r="G1458">
        <v>37.6</v>
      </c>
      <c r="H1458">
        <v>17.3</v>
      </c>
      <c r="I1458">
        <v>144.6</v>
      </c>
      <c r="J1458">
        <v>1458.3</v>
      </c>
      <c r="K1458">
        <v>197.5</v>
      </c>
      <c r="L1458" s="2"/>
    </row>
    <row r="1459" spans="1:12" x14ac:dyDescent="0.25">
      <c r="A1459" s="2" t="s">
        <v>30</v>
      </c>
      <c r="B1459" s="2" t="s">
        <v>31</v>
      </c>
      <c r="C1459" s="2" t="s">
        <v>32</v>
      </c>
      <c r="D1459" s="2" t="s">
        <v>47</v>
      </c>
      <c r="E1459">
        <v>0</v>
      </c>
      <c r="F1459">
        <v>-12487.5</v>
      </c>
      <c r="G1459">
        <v>-14.7</v>
      </c>
      <c r="H1459">
        <v>-151.5</v>
      </c>
      <c r="I1459">
        <v>-120.6</v>
      </c>
      <c r="J1459">
        <v>-531</v>
      </c>
      <c r="K1459">
        <v>8.1999999999999993</v>
      </c>
      <c r="L1459" s="2"/>
    </row>
    <row r="1460" spans="1:12" x14ac:dyDescent="0.25">
      <c r="A1460" s="2" t="s">
        <v>30</v>
      </c>
      <c r="B1460" s="2" t="s">
        <v>31</v>
      </c>
      <c r="C1460" s="2" t="s">
        <v>32</v>
      </c>
      <c r="D1460" s="2" t="s">
        <v>47</v>
      </c>
      <c r="E1460">
        <v>0.92859999999999998</v>
      </c>
      <c r="F1460">
        <v>-12455.3</v>
      </c>
      <c r="G1460">
        <v>-14.7</v>
      </c>
      <c r="H1460">
        <v>-151.5</v>
      </c>
      <c r="I1460">
        <v>-120.6</v>
      </c>
      <c r="J1460">
        <v>-388.7</v>
      </c>
      <c r="K1460">
        <v>22.3</v>
      </c>
      <c r="L1460" s="2"/>
    </row>
    <row r="1461" spans="1:12" x14ac:dyDescent="0.25">
      <c r="A1461" s="2" t="s">
        <v>30</v>
      </c>
      <c r="B1461" s="2" t="s">
        <v>31</v>
      </c>
      <c r="C1461" s="2" t="s">
        <v>32</v>
      </c>
      <c r="D1461" s="2" t="s">
        <v>47</v>
      </c>
      <c r="E1461">
        <v>1.8571</v>
      </c>
      <c r="F1461">
        <v>-12423.2</v>
      </c>
      <c r="G1461">
        <v>-14.7</v>
      </c>
      <c r="H1461">
        <v>-151.5</v>
      </c>
      <c r="I1461">
        <v>-120.6</v>
      </c>
      <c r="J1461">
        <v>-246.4</v>
      </c>
      <c r="K1461">
        <v>36.200000000000003</v>
      </c>
      <c r="L1461" s="2"/>
    </row>
    <row r="1462" spans="1:12" x14ac:dyDescent="0.25">
      <c r="A1462" s="2" t="s">
        <v>30</v>
      </c>
      <c r="B1462" s="2" t="s">
        <v>31</v>
      </c>
      <c r="C1462" s="2" t="s">
        <v>32</v>
      </c>
      <c r="D1462" s="2" t="s">
        <v>47</v>
      </c>
      <c r="E1462">
        <v>2.7856999999999998</v>
      </c>
      <c r="F1462">
        <v>-12391</v>
      </c>
      <c r="G1462">
        <v>-14.7</v>
      </c>
      <c r="H1462">
        <v>-151.5</v>
      </c>
      <c r="I1462">
        <v>-120.6</v>
      </c>
      <c r="J1462">
        <v>-146.5</v>
      </c>
      <c r="K1462">
        <v>33.4</v>
      </c>
      <c r="L1462" s="2"/>
    </row>
    <row r="1463" spans="1:12" x14ac:dyDescent="0.25">
      <c r="A1463" s="2" t="s">
        <v>30</v>
      </c>
      <c r="B1463" s="2" t="s">
        <v>31</v>
      </c>
      <c r="C1463" s="2" t="s">
        <v>32</v>
      </c>
      <c r="D1463" s="2" t="s">
        <v>47</v>
      </c>
      <c r="E1463">
        <v>3.7143000000000002</v>
      </c>
      <c r="F1463">
        <v>-12358.8</v>
      </c>
      <c r="G1463">
        <v>-14.7</v>
      </c>
      <c r="H1463">
        <v>-151.5</v>
      </c>
      <c r="I1463">
        <v>-120.6</v>
      </c>
      <c r="J1463">
        <v>-104.6</v>
      </c>
      <c r="K1463">
        <v>3.5</v>
      </c>
      <c r="L1463" s="2"/>
    </row>
    <row r="1464" spans="1:12" x14ac:dyDescent="0.25">
      <c r="A1464" s="2" t="s">
        <v>30</v>
      </c>
      <c r="B1464" s="2" t="s">
        <v>31</v>
      </c>
      <c r="C1464" s="2" t="s">
        <v>32</v>
      </c>
      <c r="D1464" s="2" t="s">
        <v>47</v>
      </c>
      <c r="E1464">
        <v>4.6429</v>
      </c>
      <c r="F1464">
        <v>-12326.7</v>
      </c>
      <c r="G1464">
        <v>-14.7</v>
      </c>
      <c r="H1464">
        <v>-151.5</v>
      </c>
      <c r="I1464">
        <v>-120.6</v>
      </c>
      <c r="J1464">
        <v>-96.6</v>
      </c>
      <c r="K1464">
        <v>-31.6</v>
      </c>
      <c r="L1464" s="2"/>
    </row>
    <row r="1465" spans="1:12" x14ac:dyDescent="0.25">
      <c r="A1465" s="2" t="s">
        <v>30</v>
      </c>
      <c r="B1465" s="2" t="s">
        <v>31</v>
      </c>
      <c r="C1465" s="2" t="s">
        <v>32</v>
      </c>
      <c r="D1465" s="2" t="s">
        <v>47</v>
      </c>
      <c r="E1465">
        <v>5.5713999999999997</v>
      </c>
      <c r="F1465">
        <v>-12294.5</v>
      </c>
      <c r="G1465">
        <v>-14.7</v>
      </c>
      <c r="H1465">
        <v>-151.5</v>
      </c>
      <c r="I1465">
        <v>-120.6</v>
      </c>
      <c r="J1465">
        <v>-91.5</v>
      </c>
      <c r="K1465">
        <v>-66.8</v>
      </c>
      <c r="L1465" s="2"/>
    </row>
    <row r="1466" spans="1:12" x14ac:dyDescent="0.25">
      <c r="A1466" s="2" t="s">
        <v>30</v>
      </c>
      <c r="B1466" s="2" t="s">
        <v>31</v>
      </c>
      <c r="C1466" s="2" t="s">
        <v>32</v>
      </c>
      <c r="D1466" s="2" t="s">
        <v>47</v>
      </c>
      <c r="E1466">
        <v>6.5</v>
      </c>
      <c r="F1466">
        <v>-12262.3</v>
      </c>
      <c r="G1466">
        <v>-14.7</v>
      </c>
      <c r="H1466">
        <v>-151.5</v>
      </c>
      <c r="I1466">
        <v>-120.6</v>
      </c>
      <c r="J1466">
        <v>-98.1</v>
      </c>
      <c r="K1466">
        <v>-102</v>
      </c>
      <c r="L1466" s="2"/>
    </row>
    <row r="1467" spans="1:12" x14ac:dyDescent="0.25">
      <c r="A1467" s="2" t="s">
        <v>30</v>
      </c>
      <c r="B1467" s="2" t="s">
        <v>31</v>
      </c>
      <c r="C1467" s="2" t="s">
        <v>32</v>
      </c>
      <c r="D1467" s="2" t="s">
        <v>47</v>
      </c>
      <c r="E1467">
        <v>7.4286000000000003</v>
      </c>
      <c r="F1467">
        <v>-12230.2</v>
      </c>
      <c r="G1467">
        <v>-14.7</v>
      </c>
      <c r="H1467">
        <v>-151.5</v>
      </c>
      <c r="I1467">
        <v>-120.6</v>
      </c>
      <c r="J1467">
        <v>-104.9</v>
      </c>
      <c r="K1467">
        <v>-137.30000000000001</v>
      </c>
      <c r="L1467" s="2"/>
    </row>
    <row r="1468" spans="1:12" x14ac:dyDescent="0.25">
      <c r="A1468" s="2" t="s">
        <v>30</v>
      </c>
      <c r="B1468" s="2" t="s">
        <v>31</v>
      </c>
      <c r="C1468" s="2" t="s">
        <v>32</v>
      </c>
      <c r="D1468" s="2" t="s">
        <v>47</v>
      </c>
      <c r="E1468">
        <v>8.3571000000000009</v>
      </c>
      <c r="F1468">
        <v>-12198</v>
      </c>
      <c r="G1468">
        <v>-14.7</v>
      </c>
      <c r="H1468">
        <v>-151.5</v>
      </c>
      <c r="I1468">
        <v>-120.6</v>
      </c>
      <c r="J1468">
        <v>-111.6</v>
      </c>
      <c r="K1468">
        <v>-172.6</v>
      </c>
      <c r="L1468" s="2"/>
    </row>
    <row r="1469" spans="1:12" x14ac:dyDescent="0.25">
      <c r="A1469" s="2" t="s">
        <v>30</v>
      </c>
      <c r="B1469" s="2" t="s">
        <v>31</v>
      </c>
      <c r="C1469" s="2" t="s">
        <v>32</v>
      </c>
      <c r="D1469" s="2" t="s">
        <v>47</v>
      </c>
      <c r="E1469">
        <v>9.2857000000000003</v>
      </c>
      <c r="F1469">
        <v>-12165.9</v>
      </c>
      <c r="G1469">
        <v>-14.7</v>
      </c>
      <c r="H1469">
        <v>-151.5</v>
      </c>
      <c r="I1469">
        <v>-120.6</v>
      </c>
      <c r="J1469">
        <v>-118.5</v>
      </c>
      <c r="K1469">
        <v>-207.9</v>
      </c>
      <c r="L1469" s="2"/>
    </row>
    <row r="1470" spans="1:12" x14ac:dyDescent="0.25">
      <c r="A1470" s="2" t="s">
        <v>30</v>
      </c>
      <c r="B1470" s="2" t="s">
        <v>31</v>
      </c>
      <c r="C1470" s="2" t="s">
        <v>32</v>
      </c>
      <c r="D1470" s="2" t="s">
        <v>47</v>
      </c>
      <c r="E1470">
        <v>10.2143</v>
      </c>
      <c r="F1470">
        <v>-12133.7</v>
      </c>
      <c r="G1470">
        <v>-14.7</v>
      </c>
      <c r="H1470">
        <v>-151.5</v>
      </c>
      <c r="I1470">
        <v>-120.6</v>
      </c>
      <c r="J1470">
        <v>-125.4</v>
      </c>
      <c r="K1470">
        <v>-243.1</v>
      </c>
      <c r="L1470" s="2"/>
    </row>
    <row r="1471" spans="1:12" x14ac:dyDescent="0.25">
      <c r="A1471" s="2" t="s">
        <v>30</v>
      </c>
      <c r="B1471" s="2" t="s">
        <v>31</v>
      </c>
      <c r="C1471" s="2" t="s">
        <v>32</v>
      </c>
      <c r="D1471" s="2" t="s">
        <v>47</v>
      </c>
      <c r="E1471">
        <v>11.142899999999999</v>
      </c>
      <c r="F1471">
        <v>-12101.5</v>
      </c>
      <c r="G1471">
        <v>-14.7</v>
      </c>
      <c r="H1471">
        <v>-151.5</v>
      </c>
      <c r="I1471">
        <v>-120.6</v>
      </c>
      <c r="J1471">
        <v>-132.30000000000001</v>
      </c>
      <c r="K1471">
        <v>-278.2</v>
      </c>
      <c r="L1471" s="2"/>
    </row>
    <row r="1472" spans="1:12" x14ac:dyDescent="0.25">
      <c r="A1472" s="2" t="s">
        <v>30</v>
      </c>
      <c r="B1472" s="2" t="s">
        <v>31</v>
      </c>
      <c r="C1472" s="2" t="s">
        <v>32</v>
      </c>
      <c r="D1472" s="2" t="s">
        <v>47</v>
      </c>
      <c r="E1472">
        <v>12.071400000000001</v>
      </c>
      <c r="F1472">
        <v>-12069.4</v>
      </c>
      <c r="G1472">
        <v>-14.7</v>
      </c>
      <c r="H1472">
        <v>-151.5</v>
      </c>
      <c r="I1472">
        <v>-120.6</v>
      </c>
      <c r="J1472">
        <v>-147.19999999999999</v>
      </c>
      <c r="K1472">
        <v>-313.2</v>
      </c>
      <c r="L1472" s="2"/>
    </row>
    <row r="1473" spans="1:12" x14ac:dyDescent="0.25">
      <c r="A1473" s="2" t="s">
        <v>30</v>
      </c>
      <c r="B1473" s="2" t="s">
        <v>31</v>
      </c>
      <c r="C1473" s="2" t="s">
        <v>32</v>
      </c>
      <c r="D1473" s="2" t="s">
        <v>47</v>
      </c>
      <c r="E1473">
        <v>13</v>
      </c>
      <c r="F1473">
        <v>-12037.2</v>
      </c>
      <c r="G1473">
        <v>-14.7</v>
      </c>
      <c r="H1473">
        <v>-151.5</v>
      </c>
      <c r="I1473">
        <v>-120.6</v>
      </c>
      <c r="J1473">
        <v>-162.19999999999999</v>
      </c>
      <c r="K1473">
        <v>-348.1</v>
      </c>
      <c r="L1473" s="2"/>
    </row>
    <row r="1474" spans="1:12" x14ac:dyDescent="0.25">
      <c r="A1474" s="2" t="s">
        <v>30</v>
      </c>
      <c r="B1474" s="2" t="s">
        <v>31</v>
      </c>
      <c r="C1474" s="2" t="s">
        <v>32</v>
      </c>
      <c r="D1474" s="2" t="s">
        <v>48</v>
      </c>
      <c r="E1474">
        <v>0</v>
      </c>
      <c r="F1474">
        <v>-17572.2</v>
      </c>
      <c r="G1474">
        <v>39.799999999999997</v>
      </c>
      <c r="H1474">
        <v>13.9</v>
      </c>
      <c r="I1474">
        <v>58.8</v>
      </c>
      <c r="J1474">
        <v>61.4</v>
      </c>
      <c r="K1474">
        <v>216</v>
      </c>
      <c r="L1474" s="2"/>
    </row>
    <row r="1475" spans="1:12" x14ac:dyDescent="0.25">
      <c r="A1475" s="2" t="s">
        <v>30</v>
      </c>
      <c r="B1475" s="2" t="s">
        <v>31</v>
      </c>
      <c r="C1475" s="2" t="s">
        <v>32</v>
      </c>
      <c r="D1475" s="2" t="s">
        <v>48</v>
      </c>
      <c r="E1475">
        <v>0.92859999999999998</v>
      </c>
      <c r="F1475">
        <v>-17529.3</v>
      </c>
      <c r="G1475">
        <v>39.5</v>
      </c>
      <c r="H1475">
        <v>13.9</v>
      </c>
      <c r="I1475">
        <v>58.8</v>
      </c>
      <c r="J1475">
        <v>47.2</v>
      </c>
      <c r="K1475">
        <v>170.7</v>
      </c>
      <c r="L1475" s="2"/>
    </row>
    <row r="1476" spans="1:12" x14ac:dyDescent="0.25">
      <c r="A1476" s="2" t="s">
        <v>30</v>
      </c>
      <c r="B1476" s="2" t="s">
        <v>31</v>
      </c>
      <c r="C1476" s="2" t="s">
        <v>32</v>
      </c>
      <c r="D1476" s="2" t="s">
        <v>48</v>
      </c>
      <c r="E1476">
        <v>1.8571</v>
      </c>
      <c r="F1476">
        <v>-17486.5</v>
      </c>
      <c r="G1476">
        <v>39.1</v>
      </c>
      <c r="H1476">
        <v>13.9</v>
      </c>
      <c r="I1476">
        <v>58.8</v>
      </c>
      <c r="J1476">
        <v>32.799999999999997</v>
      </c>
      <c r="K1476">
        <v>125.2</v>
      </c>
      <c r="L1476" s="2"/>
    </row>
    <row r="1477" spans="1:12" x14ac:dyDescent="0.25">
      <c r="A1477" s="2" t="s">
        <v>30</v>
      </c>
      <c r="B1477" s="2" t="s">
        <v>31</v>
      </c>
      <c r="C1477" s="2" t="s">
        <v>32</v>
      </c>
      <c r="D1477" s="2" t="s">
        <v>48</v>
      </c>
      <c r="E1477">
        <v>2.7856999999999998</v>
      </c>
      <c r="F1477">
        <v>-17443.599999999999</v>
      </c>
      <c r="G1477">
        <v>38.799999999999997</v>
      </c>
      <c r="H1477">
        <v>13.9</v>
      </c>
      <c r="I1477">
        <v>58.8</v>
      </c>
      <c r="J1477">
        <v>18.3</v>
      </c>
      <c r="K1477">
        <v>79.599999999999994</v>
      </c>
      <c r="L1477" s="2"/>
    </row>
    <row r="1478" spans="1:12" x14ac:dyDescent="0.25">
      <c r="A1478" s="2" t="s">
        <v>30</v>
      </c>
      <c r="B1478" s="2" t="s">
        <v>31</v>
      </c>
      <c r="C1478" s="2" t="s">
        <v>32</v>
      </c>
      <c r="D1478" s="2" t="s">
        <v>48</v>
      </c>
      <c r="E1478">
        <v>3.7143000000000002</v>
      </c>
      <c r="F1478">
        <v>-17400.7</v>
      </c>
      <c r="G1478">
        <v>38.4</v>
      </c>
      <c r="H1478">
        <v>13.9</v>
      </c>
      <c r="I1478">
        <v>58.8</v>
      </c>
      <c r="J1478">
        <v>3.8</v>
      </c>
      <c r="K1478">
        <v>34.1</v>
      </c>
      <c r="L1478" s="2"/>
    </row>
    <row r="1479" spans="1:12" x14ac:dyDescent="0.25">
      <c r="A1479" s="2" t="s">
        <v>30</v>
      </c>
      <c r="B1479" s="2" t="s">
        <v>31</v>
      </c>
      <c r="C1479" s="2" t="s">
        <v>32</v>
      </c>
      <c r="D1479" s="2" t="s">
        <v>48</v>
      </c>
      <c r="E1479">
        <v>4.6429</v>
      </c>
      <c r="F1479">
        <v>-17357.8</v>
      </c>
      <c r="G1479">
        <v>38.1</v>
      </c>
      <c r="H1479">
        <v>13.9</v>
      </c>
      <c r="I1479">
        <v>58.8</v>
      </c>
      <c r="J1479">
        <v>-10.7</v>
      </c>
      <c r="K1479">
        <v>-11.1</v>
      </c>
      <c r="L1479" s="2"/>
    </row>
    <row r="1480" spans="1:12" x14ac:dyDescent="0.25">
      <c r="A1480" s="2" t="s">
        <v>30</v>
      </c>
      <c r="B1480" s="2" t="s">
        <v>31</v>
      </c>
      <c r="C1480" s="2" t="s">
        <v>32</v>
      </c>
      <c r="D1480" s="2" t="s">
        <v>48</v>
      </c>
      <c r="E1480">
        <v>5.5713999999999997</v>
      </c>
      <c r="F1480">
        <v>-17314.900000000001</v>
      </c>
      <c r="G1480">
        <v>37.700000000000003</v>
      </c>
      <c r="H1480">
        <v>13.9</v>
      </c>
      <c r="I1480">
        <v>58.8</v>
      </c>
      <c r="J1480">
        <v>-25.2</v>
      </c>
      <c r="K1480">
        <v>-56</v>
      </c>
      <c r="L1480" s="2"/>
    </row>
    <row r="1481" spans="1:12" x14ac:dyDescent="0.25">
      <c r="A1481" s="2" t="s">
        <v>30</v>
      </c>
      <c r="B1481" s="2" t="s">
        <v>31</v>
      </c>
      <c r="C1481" s="2" t="s">
        <v>32</v>
      </c>
      <c r="D1481" s="2" t="s">
        <v>48</v>
      </c>
      <c r="E1481">
        <v>6.5</v>
      </c>
      <c r="F1481">
        <v>-17272.099999999999</v>
      </c>
      <c r="G1481">
        <v>37.299999999999997</v>
      </c>
      <c r="H1481">
        <v>13.9</v>
      </c>
      <c r="I1481">
        <v>58.8</v>
      </c>
      <c r="J1481">
        <v>-39.6</v>
      </c>
      <c r="K1481">
        <v>-100.4</v>
      </c>
      <c r="L1481" s="2"/>
    </row>
    <row r="1482" spans="1:12" x14ac:dyDescent="0.25">
      <c r="A1482" s="2" t="s">
        <v>30</v>
      </c>
      <c r="B1482" s="2" t="s">
        <v>31</v>
      </c>
      <c r="C1482" s="2" t="s">
        <v>32</v>
      </c>
      <c r="D1482" s="2" t="s">
        <v>48</v>
      </c>
      <c r="E1482">
        <v>7.4286000000000003</v>
      </c>
      <c r="F1482">
        <v>-17229.2</v>
      </c>
      <c r="G1482">
        <v>37</v>
      </c>
      <c r="H1482">
        <v>13.9</v>
      </c>
      <c r="I1482">
        <v>58.8</v>
      </c>
      <c r="J1482">
        <v>-53.9</v>
      </c>
      <c r="K1482">
        <v>-144.19999999999999</v>
      </c>
      <c r="L1482" s="2"/>
    </row>
    <row r="1483" spans="1:12" x14ac:dyDescent="0.25">
      <c r="A1483" s="2" t="s">
        <v>30</v>
      </c>
      <c r="B1483" s="2" t="s">
        <v>31</v>
      </c>
      <c r="C1483" s="2" t="s">
        <v>32</v>
      </c>
      <c r="D1483" s="2" t="s">
        <v>48</v>
      </c>
      <c r="E1483">
        <v>8.3571000000000009</v>
      </c>
      <c r="F1483">
        <v>-17186.3</v>
      </c>
      <c r="G1483">
        <v>36.6</v>
      </c>
      <c r="H1483">
        <v>13.9</v>
      </c>
      <c r="I1483">
        <v>58.8</v>
      </c>
      <c r="J1483">
        <v>-68</v>
      </c>
      <c r="K1483">
        <v>-187.2</v>
      </c>
      <c r="L1483" s="2"/>
    </row>
    <row r="1484" spans="1:12" x14ac:dyDescent="0.25">
      <c r="A1484" s="2" t="s">
        <v>30</v>
      </c>
      <c r="B1484" s="2" t="s">
        <v>31</v>
      </c>
      <c r="C1484" s="2" t="s">
        <v>32</v>
      </c>
      <c r="D1484" s="2" t="s">
        <v>48</v>
      </c>
      <c r="E1484">
        <v>9.2857000000000003</v>
      </c>
      <c r="F1484">
        <v>-17143.400000000001</v>
      </c>
      <c r="G1484">
        <v>36.299999999999997</v>
      </c>
      <c r="H1484">
        <v>13.9</v>
      </c>
      <c r="I1484">
        <v>58.8</v>
      </c>
      <c r="J1484">
        <v>-81.900000000000006</v>
      </c>
      <c r="K1484">
        <v>-229.3</v>
      </c>
      <c r="L1484" s="2"/>
    </row>
    <row r="1485" spans="1:12" x14ac:dyDescent="0.25">
      <c r="A1485" s="2" t="s">
        <v>30</v>
      </c>
      <c r="B1485" s="2" t="s">
        <v>31</v>
      </c>
      <c r="C1485" s="2" t="s">
        <v>32</v>
      </c>
      <c r="D1485" s="2" t="s">
        <v>48</v>
      </c>
      <c r="E1485">
        <v>10.2143</v>
      </c>
      <c r="F1485">
        <v>-17100.5</v>
      </c>
      <c r="G1485">
        <v>35.9</v>
      </c>
      <c r="H1485">
        <v>13.9</v>
      </c>
      <c r="I1485">
        <v>58.8</v>
      </c>
      <c r="J1485">
        <v>-95.6</v>
      </c>
      <c r="K1485">
        <v>-270.3</v>
      </c>
      <c r="L1485" s="2"/>
    </row>
    <row r="1486" spans="1:12" x14ac:dyDescent="0.25">
      <c r="A1486" s="2" t="s">
        <v>30</v>
      </c>
      <c r="B1486" s="2" t="s">
        <v>31</v>
      </c>
      <c r="C1486" s="2" t="s">
        <v>32</v>
      </c>
      <c r="D1486" s="2" t="s">
        <v>48</v>
      </c>
      <c r="E1486">
        <v>11.142899999999999</v>
      </c>
      <c r="F1486">
        <v>-17057.599999999999</v>
      </c>
      <c r="G1486">
        <v>35.6</v>
      </c>
      <c r="H1486">
        <v>13.9</v>
      </c>
      <c r="I1486">
        <v>58.8</v>
      </c>
      <c r="J1486">
        <v>-108.9</v>
      </c>
      <c r="K1486">
        <v>-310.10000000000002</v>
      </c>
      <c r="L1486" s="2"/>
    </row>
    <row r="1487" spans="1:12" x14ac:dyDescent="0.25">
      <c r="A1487" s="2" t="s">
        <v>30</v>
      </c>
      <c r="B1487" s="2" t="s">
        <v>31</v>
      </c>
      <c r="C1487" s="2" t="s">
        <v>32</v>
      </c>
      <c r="D1487" s="2" t="s">
        <v>48</v>
      </c>
      <c r="E1487">
        <v>12.071400000000001</v>
      </c>
      <c r="F1487">
        <v>-17014.8</v>
      </c>
      <c r="G1487">
        <v>35.200000000000003</v>
      </c>
      <c r="H1487">
        <v>13.9</v>
      </c>
      <c r="I1487">
        <v>58.8</v>
      </c>
      <c r="J1487">
        <v>-121.9</v>
      </c>
      <c r="K1487">
        <v>-348.6</v>
      </c>
      <c r="L1487" s="2"/>
    </row>
    <row r="1488" spans="1:12" x14ac:dyDescent="0.25">
      <c r="A1488" s="2" t="s">
        <v>30</v>
      </c>
      <c r="B1488" s="2" t="s">
        <v>31</v>
      </c>
      <c r="C1488" s="2" t="s">
        <v>32</v>
      </c>
      <c r="D1488" s="2" t="s">
        <v>48</v>
      </c>
      <c r="E1488">
        <v>13</v>
      </c>
      <c r="F1488">
        <v>-16971.900000000001</v>
      </c>
      <c r="G1488">
        <v>34.799999999999997</v>
      </c>
      <c r="H1488">
        <v>13.9</v>
      </c>
      <c r="I1488">
        <v>58.8</v>
      </c>
      <c r="J1488">
        <v>-134.5</v>
      </c>
      <c r="K1488">
        <v>-385.6</v>
      </c>
      <c r="L1488" s="2"/>
    </row>
    <row r="1489" spans="1:12" x14ac:dyDescent="0.25">
      <c r="A1489" s="2" t="s">
        <v>30</v>
      </c>
      <c r="B1489" s="2" t="s">
        <v>31</v>
      </c>
      <c r="C1489" s="2" t="s">
        <v>32</v>
      </c>
      <c r="D1489" s="2" t="s">
        <v>49</v>
      </c>
      <c r="E1489">
        <v>0</v>
      </c>
      <c r="F1489">
        <v>-16597.099999999999</v>
      </c>
      <c r="G1489">
        <v>18.8</v>
      </c>
      <c r="H1489">
        <v>31.8</v>
      </c>
      <c r="I1489">
        <v>44.3</v>
      </c>
      <c r="J1489">
        <v>166</v>
      </c>
      <c r="K1489">
        <v>143</v>
      </c>
      <c r="L1489" s="2"/>
    </row>
    <row r="1490" spans="1:12" x14ac:dyDescent="0.25">
      <c r="A1490" s="2" t="s">
        <v>30</v>
      </c>
      <c r="B1490" s="2" t="s">
        <v>31</v>
      </c>
      <c r="C1490" s="2" t="s">
        <v>32</v>
      </c>
      <c r="D1490" s="2" t="s">
        <v>49</v>
      </c>
      <c r="E1490">
        <v>0.92859999999999998</v>
      </c>
      <c r="F1490">
        <v>-16554.2</v>
      </c>
      <c r="G1490">
        <v>18.8</v>
      </c>
      <c r="H1490">
        <v>31.4</v>
      </c>
      <c r="I1490">
        <v>44.3</v>
      </c>
      <c r="J1490">
        <v>131.80000000000001</v>
      </c>
      <c r="K1490">
        <v>126.7</v>
      </c>
      <c r="L1490" s="2"/>
    </row>
    <row r="1491" spans="1:12" x14ac:dyDescent="0.25">
      <c r="A1491" s="2" t="s">
        <v>30</v>
      </c>
      <c r="B1491" s="2" t="s">
        <v>31</v>
      </c>
      <c r="C1491" s="2" t="s">
        <v>32</v>
      </c>
      <c r="D1491" s="2" t="s">
        <v>49</v>
      </c>
      <c r="E1491">
        <v>1.8571</v>
      </c>
      <c r="F1491">
        <v>-16511.3</v>
      </c>
      <c r="G1491">
        <v>18.8</v>
      </c>
      <c r="H1491">
        <v>31.1</v>
      </c>
      <c r="I1491">
        <v>44.3</v>
      </c>
      <c r="J1491">
        <v>97.5</v>
      </c>
      <c r="K1491">
        <v>109.9</v>
      </c>
      <c r="L1491" s="2"/>
    </row>
    <row r="1492" spans="1:12" x14ac:dyDescent="0.25">
      <c r="A1492" s="2" t="s">
        <v>30</v>
      </c>
      <c r="B1492" s="2" t="s">
        <v>31</v>
      </c>
      <c r="C1492" s="2" t="s">
        <v>32</v>
      </c>
      <c r="D1492" s="2" t="s">
        <v>49</v>
      </c>
      <c r="E1492">
        <v>2.7856999999999998</v>
      </c>
      <c r="F1492">
        <v>-16468.400000000001</v>
      </c>
      <c r="G1492">
        <v>18.8</v>
      </c>
      <c r="H1492">
        <v>30.7</v>
      </c>
      <c r="I1492">
        <v>44.3</v>
      </c>
      <c r="J1492">
        <v>63.3</v>
      </c>
      <c r="K1492">
        <v>92.7</v>
      </c>
      <c r="L1492" s="2"/>
    </row>
    <row r="1493" spans="1:12" x14ac:dyDescent="0.25">
      <c r="A1493" s="2" t="s">
        <v>30</v>
      </c>
      <c r="B1493" s="2" t="s">
        <v>31</v>
      </c>
      <c r="C1493" s="2" t="s">
        <v>32</v>
      </c>
      <c r="D1493" s="2" t="s">
        <v>49</v>
      </c>
      <c r="E1493">
        <v>3.7143000000000002</v>
      </c>
      <c r="F1493">
        <v>-16425.599999999999</v>
      </c>
      <c r="G1493">
        <v>18.8</v>
      </c>
      <c r="H1493">
        <v>30.4</v>
      </c>
      <c r="I1493">
        <v>44.3</v>
      </c>
      <c r="J1493">
        <v>29.2</v>
      </c>
      <c r="K1493">
        <v>75.3</v>
      </c>
      <c r="L1493" s="2"/>
    </row>
    <row r="1494" spans="1:12" x14ac:dyDescent="0.25">
      <c r="A1494" s="2" t="s">
        <v>30</v>
      </c>
      <c r="B1494" s="2" t="s">
        <v>31</v>
      </c>
      <c r="C1494" s="2" t="s">
        <v>32</v>
      </c>
      <c r="D1494" s="2" t="s">
        <v>49</v>
      </c>
      <c r="E1494">
        <v>4.6429</v>
      </c>
      <c r="F1494">
        <v>-16382.7</v>
      </c>
      <c r="G1494">
        <v>18.8</v>
      </c>
      <c r="H1494">
        <v>30</v>
      </c>
      <c r="I1494">
        <v>44.3</v>
      </c>
      <c r="J1494">
        <v>-4.7</v>
      </c>
      <c r="K1494">
        <v>57.6</v>
      </c>
      <c r="L1494" s="2"/>
    </row>
    <row r="1495" spans="1:12" x14ac:dyDescent="0.25">
      <c r="A1495" s="2" t="s">
        <v>30</v>
      </c>
      <c r="B1495" s="2" t="s">
        <v>31</v>
      </c>
      <c r="C1495" s="2" t="s">
        <v>32</v>
      </c>
      <c r="D1495" s="2" t="s">
        <v>49</v>
      </c>
      <c r="E1495">
        <v>5.5713999999999997</v>
      </c>
      <c r="F1495">
        <v>-16339.8</v>
      </c>
      <c r="G1495">
        <v>18.8</v>
      </c>
      <c r="H1495">
        <v>29.6</v>
      </c>
      <c r="I1495">
        <v>44.3</v>
      </c>
      <c r="J1495">
        <v>-38.200000000000003</v>
      </c>
      <c r="K1495">
        <v>39.799999999999997</v>
      </c>
      <c r="L1495" s="2"/>
    </row>
    <row r="1496" spans="1:12" x14ac:dyDescent="0.25">
      <c r="A1496" s="2" t="s">
        <v>30</v>
      </c>
      <c r="B1496" s="2" t="s">
        <v>31</v>
      </c>
      <c r="C1496" s="2" t="s">
        <v>32</v>
      </c>
      <c r="D1496" s="2" t="s">
        <v>49</v>
      </c>
      <c r="E1496">
        <v>6.5</v>
      </c>
      <c r="F1496">
        <v>-16296.9</v>
      </c>
      <c r="G1496">
        <v>18.8</v>
      </c>
      <c r="H1496">
        <v>29.3</v>
      </c>
      <c r="I1496">
        <v>44.3</v>
      </c>
      <c r="J1496">
        <v>-71.3</v>
      </c>
      <c r="K1496">
        <v>21.8</v>
      </c>
      <c r="L1496" s="2"/>
    </row>
    <row r="1497" spans="1:12" x14ac:dyDescent="0.25">
      <c r="A1497" s="2" t="s">
        <v>30</v>
      </c>
      <c r="B1497" s="2" t="s">
        <v>31</v>
      </c>
      <c r="C1497" s="2" t="s">
        <v>32</v>
      </c>
      <c r="D1497" s="2" t="s">
        <v>49</v>
      </c>
      <c r="E1497">
        <v>7.4286000000000003</v>
      </c>
      <c r="F1497">
        <v>-16254</v>
      </c>
      <c r="G1497">
        <v>18.8</v>
      </c>
      <c r="H1497">
        <v>28.9</v>
      </c>
      <c r="I1497">
        <v>44.3</v>
      </c>
      <c r="J1497">
        <v>-103.9</v>
      </c>
      <c r="K1497">
        <v>3.7</v>
      </c>
      <c r="L1497" s="2"/>
    </row>
    <row r="1498" spans="1:12" x14ac:dyDescent="0.25">
      <c r="A1498" s="2" t="s">
        <v>30</v>
      </c>
      <c r="B1498" s="2" t="s">
        <v>31</v>
      </c>
      <c r="C1498" s="2" t="s">
        <v>32</v>
      </c>
      <c r="D1498" s="2" t="s">
        <v>49</v>
      </c>
      <c r="E1498">
        <v>8.3571000000000009</v>
      </c>
      <c r="F1498">
        <v>-16211.2</v>
      </c>
      <c r="G1498">
        <v>18.8</v>
      </c>
      <c r="H1498">
        <v>28.6</v>
      </c>
      <c r="I1498">
        <v>44.3</v>
      </c>
      <c r="J1498">
        <v>-135.80000000000001</v>
      </c>
      <c r="K1498">
        <v>-14.3</v>
      </c>
      <c r="L1498" s="2"/>
    </row>
    <row r="1499" spans="1:12" x14ac:dyDescent="0.25">
      <c r="A1499" s="2" t="s">
        <v>30</v>
      </c>
      <c r="B1499" s="2" t="s">
        <v>31</v>
      </c>
      <c r="C1499" s="2" t="s">
        <v>32</v>
      </c>
      <c r="D1499" s="2" t="s">
        <v>49</v>
      </c>
      <c r="E1499">
        <v>9.2857000000000003</v>
      </c>
      <c r="F1499">
        <v>-16168.3</v>
      </c>
      <c r="G1499">
        <v>18.8</v>
      </c>
      <c r="H1499">
        <v>28.2</v>
      </c>
      <c r="I1499">
        <v>44.3</v>
      </c>
      <c r="J1499">
        <v>-166.9</v>
      </c>
      <c r="K1499">
        <v>-32.299999999999997</v>
      </c>
      <c r="L1499" s="2"/>
    </row>
    <row r="1500" spans="1:12" x14ac:dyDescent="0.25">
      <c r="A1500" s="2" t="s">
        <v>30</v>
      </c>
      <c r="B1500" s="2" t="s">
        <v>31</v>
      </c>
      <c r="C1500" s="2" t="s">
        <v>32</v>
      </c>
      <c r="D1500" s="2" t="s">
        <v>49</v>
      </c>
      <c r="E1500">
        <v>10.2143</v>
      </c>
      <c r="F1500">
        <v>-16125.4</v>
      </c>
      <c r="G1500">
        <v>18.8</v>
      </c>
      <c r="H1500">
        <v>27.9</v>
      </c>
      <c r="I1500">
        <v>44.3</v>
      </c>
      <c r="J1500">
        <v>-197.2</v>
      </c>
      <c r="K1500">
        <v>-50.3</v>
      </c>
      <c r="L1500" s="2"/>
    </row>
    <row r="1501" spans="1:12" x14ac:dyDescent="0.25">
      <c r="A1501" s="2" t="s">
        <v>30</v>
      </c>
      <c r="B1501" s="2" t="s">
        <v>31</v>
      </c>
      <c r="C1501" s="2" t="s">
        <v>32</v>
      </c>
      <c r="D1501" s="2" t="s">
        <v>49</v>
      </c>
      <c r="E1501">
        <v>11.142899999999999</v>
      </c>
      <c r="F1501">
        <v>-16082.5</v>
      </c>
      <c r="G1501">
        <v>18.8</v>
      </c>
      <c r="H1501">
        <v>27.5</v>
      </c>
      <c r="I1501">
        <v>44.3</v>
      </c>
      <c r="J1501">
        <v>-226.6</v>
      </c>
      <c r="K1501">
        <v>-68</v>
      </c>
      <c r="L1501" s="2"/>
    </row>
    <row r="1502" spans="1:12" x14ac:dyDescent="0.25">
      <c r="A1502" s="2" t="s">
        <v>30</v>
      </c>
      <c r="B1502" s="2" t="s">
        <v>31</v>
      </c>
      <c r="C1502" s="2" t="s">
        <v>32</v>
      </c>
      <c r="D1502" s="2" t="s">
        <v>49</v>
      </c>
      <c r="E1502">
        <v>12.071400000000001</v>
      </c>
      <c r="F1502">
        <v>-16039.6</v>
      </c>
      <c r="G1502">
        <v>18.8</v>
      </c>
      <c r="H1502">
        <v>27.1</v>
      </c>
      <c r="I1502">
        <v>44.3</v>
      </c>
      <c r="J1502">
        <v>-254.8</v>
      </c>
      <c r="K1502">
        <v>-85.5</v>
      </c>
      <c r="L1502" s="2"/>
    </row>
    <row r="1503" spans="1:12" x14ac:dyDescent="0.25">
      <c r="A1503" s="2" t="s">
        <v>30</v>
      </c>
      <c r="B1503" s="2" t="s">
        <v>31</v>
      </c>
      <c r="C1503" s="2" t="s">
        <v>32</v>
      </c>
      <c r="D1503" s="2" t="s">
        <v>49</v>
      </c>
      <c r="E1503">
        <v>13</v>
      </c>
      <c r="F1503">
        <v>-15996.7</v>
      </c>
      <c r="G1503">
        <v>18.8</v>
      </c>
      <c r="H1503">
        <v>26.8</v>
      </c>
      <c r="I1503">
        <v>44.3</v>
      </c>
      <c r="J1503">
        <v>-282</v>
      </c>
      <c r="K1503">
        <v>-102.8</v>
      </c>
      <c r="L1503" s="2"/>
    </row>
    <row r="1504" spans="1:12" x14ac:dyDescent="0.25">
      <c r="A1504" s="2" t="s">
        <v>30</v>
      </c>
      <c r="B1504" s="2" t="s">
        <v>31</v>
      </c>
      <c r="C1504" s="2" t="s">
        <v>32</v>
      </c>
      <c r="D1504" s="2" t="s">
        <v>50</v>
      </c>
      <c r="E1504">
        <v>0</v>
      </c>
      <c r="F1504">
        <v>-12412.9</v>
      </c>
      <c r="G1504">
        <v>30.8</v>
      </c>
      <c r="H1504">
        <v>12</v>
      </c>
      <c r="I1504">
        <v>46.1</v>
      </c>
      <c r="J1504">
        <v>42</v>
      </c>
      <c r="K1504">
        <v>150</v>
      </c>
      <c r="L1504" s="2"/>
    </row>
    <row r="1505" spans="1:12" x14ac:dyDescent="0.25">
      <c r="A1505" s="2" t="s">
        <v>30</v>
      </c>
      <c r="B1505" s="2" t="s">
        <v>31</v>
      </c>
      <c r="C1505" s="2" t="s">
        <v>32</v>
      </c>
      <c r="D1505" s="2" t="s">
        <v>50</v>
      </c>
      <c r="E1505">
        <v>0.92859999999999998</v>
      </c>
      <c r="F1505">
        <v>-12380.7</v>
      </c>
      <c r="G1505">
        <v>30.4</v>
      </c>
      <c r="H1505">
        <v>12</v>
      </c>
      <c r="I1505">
        <v>46.1</v>
      </c>
      <c r="J1505">
        <v>28.6</v>
      </c>
      <c r="K1505">
        <v>112.3</v>
      </c>
      <c r="L1505" s="2"/>
    </row>
    <row r="1506" spans="1:12" x14ac:dyDescent="0.25">
      <c r="A1506" s="2" t="s">
        <v>30</v>
      </c>
      <c r="B1506" s="2" t="s">
        <v>31</v>
      </c>
      <c r="C1506" s="2" t="s">
        <v>32</v>
      </c>
      <c r="D1506" s="2" t="s">
        <v>50</v>
      </c>
      <c r="E1506">
        <v>1.8571</v>
      </c>
      <c r="F1506">
        <v>-12348.5</v>
      </c>
      <c r="G1506">
        <v>30</v>
      </c>
      <c r="H1506">
        <v>12</v>
      </c>
      <c r="I1506">
        <v>46.1</v>
      </c>
      <c r="J1506">
        <v>15.1</v>
      </c>
      <c r="K1506">
        <v>74.599999999999994</v>
      </c>
      <c r="L1506" s="2"/>
    </row>
    <row r="1507" spans="1:12" x14ac:dyDescent="0.25">
      <c r="A1507" s="2" t="s">
        <v>30</v>
      </c>
      <c r="B1507" s="2" t="s">
        <v>31</v>
      </c>
      <c r="C1507" s="2" t="s">
        <v>32</v>
      </c>
      <c r="D1507" s="2" t="s">
        <v>50</v>
      </c>
      <c r="E1507">
        <v>2.7856999999999998</v>
      </c>
      <c r="F1507">
        <v>-12316.4</v>
      </c>
      <c r="G1507">
        <v>29.7</v>
      </c>
      <c r="H1507">
        <v>12</v>
      </c>
      <c r="I1507">
        <v>46.1</v>
      </c>
      <c r="J1507">
        <v>1.6</v>
      </c>
      <c r="K1507">
        <v>37</v>
      </c>
      <c r="L1507" s="2"/>
    </row>
    <row r="1508" spans="1:12" x14ac:dyDescent="0.25">
      <c r="A1508" s="2" t="s">
        <v>30</v>
      </c>
      <c r="B1508" s="2" t="s">
        <v>31</v>
      </c>
      <c r="C1508" s="2" t="s">
        <v>32</v>
      </c>
      <c r="D1508" s="2" t="s">
        <v>50</v>
      </c>
      <c r="E1508">
        <v>3.7143000000000002</v>
      </c>
      <c r="F1508">
        <v>-12284.2</v>
      </c>
      <c r="G1508">
        <v>29.3</v>
      </c>
      <c r="H1508">
        <v>12</v>
      </c>
      <c r="I1508">
        <v>46.1</v>
      </c>
      <c r="J1508">
        <v>-11.9</v>
      </c>
      <c r="K1508">
        <v>-0.3</v>
      </c>
      <c r="L1508" s="2"/>
    </row>
    <row r="1509" spans="1:12" x14ac:dyDescent="0.25">
      <c r="A1509" s="2" t="s">
        <v>30</v>
      </c>
      <c r="B1509" s="2" t="s">
        <v>31</v>
      </c>
      <c r="C1509" s="2" t="s">
        <v>32</v>
      </c>
      <c r="D1509" s="2" t="s">
        <v>50</v>
      </c>
      <c r="E1509">
        <v>4.6429</v>
      </c>
      <c r="F1509">
        <v>-12252.1</v>
      </c>
      <c r="G1509">
        <v>29</v>
      </c>
      <c r="H1509">
        <v>12</v>
      </c>
      <c r="I1509">
        <v>46.1</v>
      </c>
      <c r="J1509">
        <v>-25.5</v>
      </c>
      <c r="K1509">
        <v>-37.4</v>
      </c>
      <c r="L1509" s="2"/>
    </row>
    <row r="1510" spans="1:12" x14ac:dyDescent="0.25">
      <c r="A1510" s="2" t="s">
        <v>30</v>
      </c>
      <c r="B1510" s="2" t="s">
        <v>31</v>
      </c>
      <c r="C1510" s="2" t="s">
        <v>32</v>
      </c>
      <c r="D1510" s="2" t="s">
        <v>50</v>
      </c>
      <c r="E1510">
        <v>5.5713999999999997</v>
      </c>
      <c r="F1510">
        <v>-12219.9</v>
      </c>
      <c r="G1510">
        <v>28.6</v>
      </c>
      <c r="H1510">
        <v>12</v>
      </c>
      <c r="I1510">
        <v>46.1</v>
      </c>
      <c r="J1510">
        <v>-38.9</v>
      </c>
      <c r="K1510">
        <v>-73.900000000000006</v>
      </c>
      <c r="L1510" s="2"/>
    </row>
    <row r="1511" spans="1:12" x14ac:dyDescent="0.25">
      <c r="A1511" s="2" t="s">
        <v>30</v>
      </c>
      <c r="B1511" s="2" t="s">
        <v>31</v>
      </c>
      <c r="C1511" s="2" t="s">
        <v>32</v>
      </c>
      <c r="D1511" s="2" t="s">
        <v>50</v>
      </c>
      <c r="E1511">
        <v>6.5</v>
      </c>
      <c r="F1511">
        <v>-12187.7</v>
      </c>
      <c r="G1511">
        <v>28.3</v>
      </c>
      <c r="H1511">
        <v>12</v>
      </c>
      <c r="I1511">
        <v>46.1</v>
      </c>
      <c r="J1511">
        <v>-52.2</v>
      </c>
      <c r="K1511">
        <v>-110</v>
      </c>
      <c r="L1511" s="2"/>
    </row>
    <row r="1512" spans="1:12" x14ac:dyDescent="0.25">
      <c r="A1512" s="2" t="s">
        <v>30</v>
      </c>
      <c r="B1512" s="2" t="s">
        <v>31</v>
      </c>
      <c r="C1512" s="2" t="s">
        <v>32</v>
      </c>
      <c r="D1512" s="2" t="s">
        <v>50</v>
      </c>
      <c r="E1512">
        <v>7.4286000000000003</v>
      </c>
      <c r="F1512">
        <v>-12155.6</v>
      </c>
      <c r="G1512">
        <v>27.9</v>
      </c>
      <c r="H1512">
        <v>12</v>
      </c>
      <c r="I1512">
        <v>46.1</v>
      </c>
      <c r="J1512">
        <v>-65.3</v>
      </c>
      <c r="K1512">
        <v>-145.30000000000001</v>
      </c>
      <c r="L1512" s="2"/>
    </row>
    <row r="1513" spans="1:12" x14ac:dyDescent="0.25">
      <c r="A1513" s="2" t="s">
        <v>30</v>
      </c>
      <c r="B1513" s="2" t="s">
        <v>31</v>
      </c>
      <c r="C1513" s="2" t="s">
        <v>32</v>
      </c>
      <c r="D1513" s="2" t="s">
        <v>50</v>
      </c>
      <c r="E1513">
        <v>8.3571000000000009</v>
      </c>
      <c r="F1513">
        <v>-12123.4</v>
      </c>
      <c r="G1513">
        <v>27.5</v>
      </c>
      <c r="H1513">
        <v>12</v>
      </c>
      <c r="I1513">
        <v>46.1</v>
      </c>
      <c r="J1513">
        <v>-78.3</v>
      </c>
      <c r="K1513">
        <v>-179.9</v>
      </c>
      <c r="L1513" s="2"/>
    </row>
    <row r="1514" spans="1:12" x14ac:dyDescent="0.25">
      <c r="A1514" s="2" t="s">
        <v>30</v>
      </c>
      <c r="B1514" s="2" t="s">
        <v>31</v>
      </c>
      <c r="C1514" s="2" t="s">
        <v>32</v>
      </c>
      <c r="D1514" s="2" t="s">
        <v>50</v>
      </c>
      <c r="E1514">
        <v>9.2857000000000003</v>
      </c>
      <c r="F1514">
        <v>-12091.2</v>
      </c>
      <c r="G1514">
        <v>27.2</v>
      </c>
      <c r="H1514">
        <v>12</v>
      </c>
      <c r="I1514">
        <v>46.1</v>
      </c>
      <c r="J1514">
        <v>-91</v>
      </c>
      <c r="K1514">
        <v>-213.6</v>
      </c>
      <c r="L1514" s="2"/>
    </row>
    <row r="1515" spans="1:12" x14ac:dyDescent="0.25">
      <c r="A1515" s="2" t="s">
        <v>30</v>
      </c>
      <c r="B1515" s="2" t="s">
        <v>31</v>
      </c>
      <c r="C1515" s="2" t="s">
        <v>32</v>
      </c>
      <c r="D1515" s="2" t="s">
        <v>50</v>
      </c>
      <c r="E1515">
        <v>10.2143</v>
      </c>
      <c r="F1515">
        <v>-12059.1</v>
      </c>
      <c r="G1515">
        <v>26.8</v>
      </c>
      <c r="H1515">
        <v>12</v>
      </c>
      <c r="I1515">
        <v>46.1</v>
      </c>
      <c r="J1515">
        <v>-103.4</v>
      </c>
      <c r="K1515">
        <v>-246.3</v>
      </c>
      <c r="L1515" s="2"/>
    </row>
    <row r="1516" spans="1:12" x14ac:dyDescent="0.25">
      <c r="A1516" s="2" t="s">
        <v>30</v>
      </c>
      <c r="B1516" s="2" t="s">
        <v>31</v>
      </c>
      <c r="C1516" s="2" t="s">
        <v>32</v>
      </c>
      <c r="D1516" s="2" t="s">
        <v>50</v>
      </c>
      <c r="E1516">
        <v>11.142899999999999</v>
      </c>
      <c r="F1516">
        <v>-12026.9</v>
      </c>
      <c r="G1516">
        <v>26.5</v>
      </c>
      <c r="H1516">
        <v>12</v>
      </c>
      <c r="I1516">
        <v>46.1</v>
      </c>
      <c r="J1516">
        <v>-115.4</v>
      </c>
      <c r="K1516">
        <v>-277.89999999999998</v>
      </c>
      <c r="L1516" s="2"/>
    </row>
    <row r="1517" spans="1:12" x14ac:dyDescent="0.25">
      <c r="A1517" s="2" t="s">
        <v>30</v>
      </c>
      <c r="B1517" s="2" t="s">
        <v>31</v>
      </c>
      <c r="C1517" s="2" t="s">
        <v>32</v>
      </c>
      <c r="D1517" s="2" t="s">
        <v>50</v>
      </c>
      <c r="E1517">
        <v>12.071400000000001</v>
      </c>
      <c r="F1517">
        <v>-11994.8</v>
      </c>
      <c r="G1517">
        <v>26.1</v>
      </c>
      <c r="H1517">
        <v>12</v>
      </c>
      <c r="I1517">
        <v>46.1</v>
      </c>
      <c r="J1517">
        <v>-127.1</v>
      </c>
      <c r="K1517">
        <v>-308.2</v>
      </c>
      <c r="L1517" s="2"/>
    </row>
    <row r="1518" spans="1:12" x14ac:dyDescent="0.25">
      <c r="A1518" s="2" t="s">
        <v>30</v>
      </c>
      <c r="B1518" s="2" t="s">
        <v>31</v>
      </c>
      <c r="C1518" s="2" t="s">
        <v>32</v>
      </c>
      <c r="D1518" s="2" t="s">
        <v>50</v>
      </c>
      <c r="E1518">
        <v>13</v>
      </c>
      <c r="F1518">
        <v>-11962.6</v>
      </c>
      <c r="G1518">
        <v>25.8</v>
      </c>
      <c r="H1518">
        <v>12</v>
      </c>
      <c r="I1518">
        <v>46.1</v>
      </c>
      <c r="J1518">
        <v>-138.4</v>
      </c>
      <c r="K1518">
        <v>-337.2</v>
      </c>
      <c r="L1518" s="2"/>
    </row>
    <row r="1519" spans="1:12" x14ac:dyDescent="0.25">
      <c r="A1519" s="2" t="s">
        <v>30</v>
      </c>
      <c r="B1519" s="2" t="s">
        <v>31</v>
      </c>
      <c r="C1519" s="2" t="s">
        <v>32</v>
      </c>
      <c r="D1519" s="2" t="s">
        <v>51</v>
      </c>
      <c r="E1519">
        <v>0</v>
      </c>
      <c r="F1519">
        <v>-11437.7</v>
      </c>
      <c r="G1519">
        <v>9.6999999999999993</v>
      </c>
      <c r="H1519">
        <v>29.9</v>
      </c>
      <c r="I1519">
        <v>31.6</v>
      </c>
      <c r="J1519">
        <v>146.69999999999999</v>
      </c>
      <c r="K1519">
        <v>77</v>
      </c>
      <c r="L1519" s="2"/>
    </row>
    <row r="1520" spans="1:12" x14ac:dyDescent="0.25">
      <c r="A1520" s="2" t="s">
        <v>30</v>
      </c>
      <c r="B1520" s="2" t="s">
        <v>31</v>
      </c>
      <c r="C1520" s="2" t="s">
        <v>32</v>
      </c>
      <c r="D1520" s="2" t="s">
        <v>51</v>
      </c>
      <c r="E1520">
        <v>0.92859999999999998</v>
      </c>
      <c r="F1520">
        <v>-11405.6</v>
      </c>
      <c r="G1520">
        <v>9.6999999999999993</v>
      </c>
      <c r="H1520">
        <v>29.5</v>
      </c>
      <c r="I1520">
        <v>31.6</v>
      </c>
      <c r="J1520">
        <v>113.3</v>
      </c>
      <c r="K1520">
        <v>68.3</v>
      </c>
      <c r="L1520" s="2"/>
    </row>
    <row r="1521" spans="1:12" x14ac:dyDescent="0.25">
      <c r="A1521" s="2" t="s">
        <v>30</v>
      </c>
      <c r="B1521" s="2" t="s">
        <v>31</v>
      </c>
      <c r="C1521" s="2" t="s">
        <v>32</v>
      </c>
      <c r="D1521" s="2" t="s">
        <v>51</v>
      </c>
      <c r="E1521">
        <v>1.8571</v>
      </c>
      <c r="F1521">
        <v>-11373.4</v>
      </c>
      <c r="G1521">
        <v>9.6999999999999993</v>
      </c>
      <c r="H1521">
        <v>29.2</v>
      </c>
      <c r="I1521">
        <v>31.6</v>
      </c>
      <c r="J1521">
        <v>79.900000000000006</v>
      </c>
      <c r="K1521">
        <v>59.3</v>
      </c>
      <c r="L1521" s="2"/>
    </row>
    <row r="1522" spans="1:12" x14ac:dyDescent="0.25">
      <c r="A1522" s="2" t="s">
        <v>30</v>
      </c>
      <c r="B1522" s="2" t="s">
        <v>31</v>
      </c>
      <c r="C1522" s="2" t="s">
        <v>32</v>
      </c>
      <c r="D1522" s="2" t="s">
        <v>51</v>
      </c>
      <c r="E1522">
        <v>2.7856999999999998</v>
      </c>
      <c r="F1522">
        <v>-11341.2</v>
      </c>
      <c r="G1522">
        <v>9.6999999999999993</v>
      </c>
      <c r="H1522">
        <v>28.8</v>
      </c>
      <c r="I1522">
        <v>31.6</v>
      </c>
      <c r="J1522">
        <v>46.5</v>
      </c>
      <c r="K1522">
        <v>50.2</v>
      </c>
      <c r="L1522" s="2"/>
    </row>
    <row r="1523" spans="1:12" x14ac:dyDescent="0.25">
      <c r="A1523" s="2" t="s">
        <v>30</v>
      </c>
      <c r="B1523" s="2" t="s">
        <v>31</v>
      </c>
      <c r="C1523" s="2" t="s">
        <v>32</v>
      </c>
      <c r="D1523" s="2" t="s">
        <v>51</v>
      </c>
      <c r="E1523">
        <v>3.7143000000000002</v>
      </c>
      <c r="F1523">
        <v>-11309.1</v>
      </c>
      <c r="G1523">
        <v>9.6999999999999993</v>
      </c>
      <c r="H1523">
        <v>28.5</v>
      </c>
      <c r="I1523">
        <v>31.6</v>
      </c>
      <c r="J1523">
        <v>13.4</v>
      </c>
      <c r="K1523">
        <v>40.799999999999997</v>
      </c>
      <c r="L1523" s="2"/>
    </row>
    <row r="1524" spans="1:12" x14ac:dyDescent="0.25">
      <c r="A1524" s="2" t="s">
        <v>30</v>
      </c>
      <c r="B1524" s="2" t="s">
        <v>31</v>
      </c>
      <c r="C1524" s="2" t="s">
        <v>32</v>
      </c>
      <c r="D1524" s="2" t="s">
        <v>51</v>
      </c>
      <c r="E1524">
        <v>4.6429</v>
      </c>
      <c r="F1524">
        <v>-11276.9</v>
      </c>
      <c r="G1524">
        <v>9.6999999999999993</v>
      </c>
      <c r="H1524">
        <v>28.1</v>
      </c>
      <c r="I1524">
        <v>31.6</v>
      </c>
      <c r="J1524">
        <v>-19.5</v>
      </c>
      <c r="K1524">
        <v>31.4</v>
      </c>
      <c r="L1524" s="2"/>
    </row>
    <row r="1525" spans="1:12" x14ac:dyDescent="0.25">
      <c r="A1525" s="2" t="s">
        <v>30</v>
      </c>
      <c r="B1525" s="2" t="s">
        <v>31</v>
      </c>
      <c r="C1525" s="2" t="s">
        <v>32</v>
      </c>
      <c r="D1525" s="2" t="s">
        <v>51</v>
      </c>
      <c r="E1525">
        <v>5.5713999999999997</v>
      </c>
      <c r="F1525">
        <v>-11244.8</v>
      </c>
      <c r="G1525">
        <v>9.6999999999999993</v>
      </c>
      <c r="H1525">
        <v>27.7</v>
      </c>
      <c r="I1525">
        <v>31.6</v>
      </c>
      <c r="J1525">
        <v>-51.9</v>
      </c>
      <c r="K1525">
        <v>21.9</v>
      </c>
      <c r="L1525" s="2"/>
    </row>
    <row r="1526" spans="1:12" x14ac:dyDescent="0.25">
      <c r="A1526" s="2" t="s">
        <v>30</v>
      </c>
      <c r="B1526" s="2" t="s">
        <v>31</v>
      </c>
      <c r="C1526" s="2" t="s">
        <v>32</v>
      </c>
      <c r="D1526" s="2" t="s">
        <v>51</v>
      </c>
      <c r="E1526">
        <v>6.5</v>
      </c>
      <c r="F1526">
        <v>-11212.6</v>
      </c>
      <c r="G1526">
        <v>9.6999999999999993</v>
      </c>
      <c r="H1526">
        <v>27.4</v>
      </c>
      <c r="I1526">
        <v>31.6</v>
      </c>
      <c r="J1526">
        <v>-83.9</v>
      </c>
      <c r="K1526">
        <v>12.2</v>
      </c>
      <c r="L1526" s="2"/>
    </row>
    <row r="1527" spans="1:12" x14ac:dyDescent="0.25">
      <c r="A1527" s="2" t="s">
        <v>30</v>
      </c>
      <c r="B1527" s="2" t="s">
        <v>31</v>
      </c>
      <c r="C1527" s="2" t="s">
        <v>32</v>
      </c>
      <c r="D1527" s="2" t="s">
        <v>51</v>
      </c>
      <c r="E1527">
        <v>7.4286000000000003</v>
      </c>
      <c r="F1527">
        <v>-11180.4</v>
      </c>
      <c r="G1527">
        <v>9.6999999999999993</v>
      </c>
      <c r="H1527">
        <v>27</v>
      </c>
      <c r="I1527">
        <v>31.6</v>
      </c>
      <c r="J1527">
        <v>-115.3</v>
      </c>
      <c r="K1527">
        <v>2.6</v>
      </c>
      <c r="L1527" s="2"/>
    </row>
    <row r="1528" spans="1:12" x14ac:dyDescent="0.25">
      <c r="A1528" s="2" t="s">
        <v>30</v>
      </c>
      <c r="B1528" s="2" t="s">
        <v>31</v>
      </c>
      <c r="C1528" s="2" t="s">
        <v>32</v>
      </c>
      <c r="D1528" s="2" t="s">
        <v>51</v>
      </c>
      <c r="E1528">
        <v>8.3571000000000009</v>
      </c>
      <c r="F1528">
        <v>-11148.3</v>
      </c>
      <c r="G1528">
        <v>9.6999999999999993</v>
      </c>
      <c r="H1528">
        <v>26.7</v>
      </c>
      <c r="I1528">
        <v>31.6</v>
      </c>
      <c r="J1528">
        <v>-146</v>
      </c>
      <c r="K1528">
        <v>-7.1</v>
      </c>
      <c r="L1528" s="2"/>
    </row>
    <row r="1529" spans="1:12" x14ac:dyDescent="0.25">
      <c r="A1529" s="2" t="s">
        <v>30</v>
      </c>
      <c r="B1529" s="2" t="s">
        <v>31</v>
      </c>
      <c r="C1529" s="2" t="s">
        <v>32</v>
      </c>
      <c r="D1529" s="2" t="s">
        <v>51</v>
      </c>
      <c r="E1529">
        <v>9.2857000000000003</v>
      </c>
      <c r="F1529">
        <v>-11116.1</v>
      </c>
      <c r="G1529">
        <v>9.6999999999999993</v>
      </c>
      <c r="H1529">
        <v>26.3</v>
      </c>
      <c r="I1529">
        <v>31.6</v>
      </c>
      <c r="J1529">
        <v>-176</v>
      </c>
      <c r="K1529">
        <v>-16.7</v>
      </c>
      <c r="L1529" s="2"/>
    </row>
    <row r="1530" spans="1:12" x14ac:dyDescent="0.25">
      <c r="A1530" s="2" t="s">
        <v>30</v>
      </c>
      <c r="B1530" s="2" t="s">
        <v>31</v>
      </c>
      <c r="C1530" s="2" t="s">
        <v>32</v>
      </c>
      <c r="D1530" s="2" t="s">
        <v>51</v>
      </c>
      <c r="E1530">
        <v>10.2143</v>
      </c>
      <c r="F1530">
        <v>-11084</v>
      </c>
      <c r="G1530">
        <v>9.6999999999999993</v>
      </c>
      <c r="H1530">
        <v>25.9</v>
      </c>
      <c r="I1530">
        <v>31.6</v>
      </c>
      <c r="J1530">
        <v>-205</v>
      </c>
      <c r="K1530">
        <v>-26.3</v>
      </c>
      <c r="L1530" s="2"/>
    </row>
    <row r="1531" spans="1:12" x14ac:dyDescent="0.25">
      <c r="A1531" s="2" t="s">
        <v>30</v>
      </c>
      <c r="B1531" s="2" t="s">
        <v>31</v>
      </c>
      <c r="C1531" s="2" t="s">
        <v>32</v>
      </c>
      <c r="D1531" s="2" t="s">
        <v>51</v>
      </c>
      <c r="E1531">
        <v>11.142899999999999</v>
      </c>
      <c r="F1531">
        <v>-11051.8</v>
      </c>
      <c r="G1531">
        <v>9.6999999999999993</v>
      </c>
      <c r="H1531">
        <v>25.6</v>
      </c>
      <c r="I1531">
        <v>31.6</v>
      </c>
      <c r="J1531">
        <v>-233.1</v>
      </c>
      <c r="K1531">
        <v>-35.799999999999997</v>
      </c>
      <c r="L1531" s="2"/>
    </row>
    <row r="1532" spans="1:12" x14ac:dyDescent="0.25">
      <c r="A1532" s="2" t="s">
        <v>30</v>
      </c>
      <c r="B1532" s="2" t="s">
        <v>31</v>
      </c>
      <c r="C1532" s="2" t="s">
        <v>32</v>
      </c>
      <c r="D1532" s="2" t="s">
        <v>51</v>
      </c>
      <c r="E1532">
        <v>12.071400000000001</v>
      </c>
      <c r="F1532">
        <v>-11019.6</v>
      </c>
      <c r="G1532">
        <v>9.6999999999999993</v>
      </c>
      <c r="H1532">
        <v>25.2</v>
      </c>
      <c r="I1532">
        <v>31.6</v>
      </c>
      <c r="J1532">
        <v>-260</v>
      </c>
      <c r="K1532">
        <v>-45.2</v>
      </c>
      <c r="L1532" s="2"/>
    </row>
    <row r="1533" spans="1:12" x14ac:dyDescent="0.25">
      <c r="A1533" s="2" t="s">
        <v>30</v>
      </c>
      <c r="B1533" s="2" t="s">
        <v>31</v>
      </c>
      <c r="C1533" s="2" t="s">
        <v>32</v>
      </c>
      <c r="D1533" s="2" t="s">
        <v>51</v>
      </c>
      <c r="E1533">
        <v>13</v>
      </c>
      <c r="F1533">
        <v>-10987.5</v>
      </c>
      <c r="G1533">
        <v>9.6999999999999993</v>
      </c>
      <c r="H1533">
        <v>24.9</v>
      </c>
      <c r="I1533">
        <v>31.6</v>
      </c>
      <c r="J1533">
        <v>-285.8</v>
      </c>
      <c r="K1533">
        <v>-54.4</v>
      </c>
      <c r="L1533" s="2"/>
    </row>
    <row r="1534" spans="1:12" x14ac:dyDescent="0.25">
      <c r="A1534" s="2" t="s">
        <v>30</v>
      </c>
      <c r="B1534" s="2" t="s">
        <v>31</v>
      </c>
      <c r="C1534" s="2" t="s">
        <v>32</v>
      </c>
      <c r="D1534" s="2" t="s">
        <v>80</v>
      </c>
      <c r="E1534">
        <v>0</v>
      </c>
      <c r="F1534">
        <v>-5242.9</v>
      </c>
      <c r="G1534">
        <v>48.9</v>
      </c>
      <c r="H1534">
        <v>0.4</v>
      </c>
      <c r="I1534">
        <v>24.8</v>
      </c>
      <c r="J1534">
        <v>2</v>
      </c>
      <c r="K1534">
        <v>228</v>
      </c>
      <c r="L1534" s="2"/>
    </row>
    <row r="1535" spans="1:12" x14ac:dyDescent="0.25">
      <c r="A1535" s="2" t="s">
        <v>30</v>
      </c>
      <c r="B1535" s="2" t="s">
        <v>31</v>
      </c>
      <c r="C1535" s="2" t="s">
        <v>32</v>
      </c>
      <c r="D1535" s="2" t="s">
        <v>80</v>
      </c>
      <c r="E1535">
        <v>0.92859999999999998</v>
      </c>
      <c r="F1535">
        <v>-5242.9</v>
      </c>
      <c r="G1535">
        <v>48.9</v>
      </c>
      <c r="H1535">
        <v>0.4</v>
      </c>
      <c r="I1535">
        <v>24.8</v>
      </c>
      <c r="J1535">
        <v>2.8</v>
      </c>
      <c r="K1535">
        <v>181.9</v>
      </c>
      <c r="L1535" s="2"/>
    </row>
    <row r="1536" spans="1:12" x14ac:dyDescent="0.25">
      <c r="A1536" s="2" t="s">
        <v>30</v>
      </c>
      <c r="B1536" s="2" t="s">
        <v>31</v>
      </c>
      <c r="C1536" s="2" t="s">
        <v>32</v>
      </c>
      <c r="D1536" s="2" t="s">
        <v>80</v>
      </c>
      <c r="E1536">
        <v>1.8571</v>
      </c>
      <c r="F1536">
        <v>-5242.9</v>
      </c>
      <c r="G1536">
        <v>48.9</v>
      </c>
      <c r="H1536">
        <v>0.4</v>
      </c>
      <c r="I1536">
        <v>24.8</v>
      </c>
      <c r="J1536">
        <v>3.5</v>
      </c>
      <c r="K1536">
        <v>135.80000000000001</v>
      </c>
      <c r="L1536" s="2"/>
    </row>
    <row r="1537" spans="1:12" x14ac:dyDescent="0.25">
      <c r="A1537" s="2" t="s">
        <v>30</v>
      </c>
      <c r="B1537" s="2" t="s">
        <v>31</v>
      </c>
      <c r="C1537" s="2" t="s">
        <v>32</v>
      </c>
      <c r="D1537" s="2" t="s">
        <v>80</v>
      </c>
      <c r="E1537">
        <v>2.7856999999999998</v>
      </c>
      <c r="F1537">
        <v>-5242.9</v>
      </c>
      <c r="G1537">
        <v>48.9</v>
      </c>
      <c r="H1537">
        <v>0.4</v>
      </c>
      <c r="I1537">
        <v>24.8</v>
      </c>
      <c r="J1537">
        <v>4.3</v>
      </c>
      <c r="K1537">
        <v>89.6</v>
      </c>
      <c r="L1537" s="2"/>
    </row>
    <row r="1538" spans="1:12" x14ac:dyDescent="0.25">
      <c r="A1538" s="2" t="s">
        <v>30</v>
      </c>
      <c r="B1538" s="2" t="s">
        <v>31</v>
      </c>
      <c r="C1538" s="2" t="s">
        <v>32</v>
      </c>
      <c r="D1538" s="2" t="s">
        <v>80</v>
      </c>
      <c r="E1538">
        <v>3.7143000000000002</v>
      </c>
      <c r="F1538">
        <v>-5242.9</v>
      </c>
      <c r="G1538">
        <v>48.9</v>
      </c>
      <c r="H1538">
        <v>0.4</v>
      </c>
      <c r="I1538">
        <v>24.8</v>
      </c>
      <c r="J1538">
        <v>5.8</v>
      </c>
      <c r="K1538">
        <v>43.4</v>
      </c>
      <c r="L1538" s="2"/>
    </row>
    <row r="1539" spans="1:12" x14ac:dyDescent="0.25">
      <c r="A1539" s="2" t="s">
        <v>30</v>
      </c>
      <c r="B1539" s="2" t="s">
        <v>31</v>
      </c>
      <c r="C1539" s="2" t="s">
        <v>32</v>
      </c>
      <c r="D1539" s="2" t="s">
        <v>80</v>
      </c>
      <c r="E1539">
        <v>4.6429</v>
      </c>
      <c r="F1539">
        <v>-5242.9</v>
      </c>
      <c r="G1539">
        <v>48.9</v>
      </c>
      <c r="H1539">
        <v>0.4</v>
      </c>
      <c r="I1539">
        <v>24.8</v>
      </c>
      <c r="J1539">
        <v>31.1</v>
      </c>
      <c r="K1539">
        <v>23.6</v>
      </c>
      <c r="L1539" s="2"/>
    </row>
    <row r="1540" spans="1:12" x14ac:dyDescent="0.25">
      <c r="A1540" s="2" t="s">
        <v>30</v>
      </c>
      <c r="B1540" s="2" t="s">
        <v>31</v>
      </c>
      <c r="C1540" s="2" t="s">
        <v>32</v>
      </c>
      <c r="D1540" s="2" t="s">
        <v>80</v>
      </c>
      <c r="E1540">
        <v>5.5713999999999997</v>
      </c>
      <c r="F1540">
        <v>-5242.9</v>
      </c>
      <c r="G1540">
        <v>48.9</v>
      </c>
      <c r="H1540">
        <v>0.4</v>
      </c>
      <c r="I1540">
        <v>24.8</v>
      </c>
      <c r="J1540">
        <v>61.2</v>
      </c>
      <c r="K1540">
        <v>17.5</v>
      </c>
      <c r="L1540" s="2"/>
    </row>
    <row r="1541" spans="1:12" x14ac:dyDescent="0.25">
      <c r="A1541" s="2" t="s">
        <v>30</v>
      </c>
      <c r="B1541" s="2" t="s">
        <v>31</v>
      </c>
      <c r="C1541" s="2" t="s">
        <v>32</v>
      </c>
      <c r="D1541" s="2" t="s">
        <v>80</v>
      </c>
      <c r="E1541">
        <v>6.5</v>
      </c>
      <c r="F1541">
        <v>-5242.9</v>
      </c>
      <c r="G1541">
        <v>48.9</v>
      </c>
      <c r="H1541">
        <v>0.4</v>
      </c>
      <c r="I1541">
        <v>24.8</v>
      </c>
      <c r="J1541">
        <v>97</v>
      </c>
      <c r="K1541">
        <v>11.4</v>
      </c>
      <c r="L1541" s="2"/>
    </row>
    <row r="1542" spans="1:12" x14ac:dyDescent="0.25">
      <c r="A1542" s="2" t="s">
        <v>30</v>
      </c>
      <c r="B1542" s="2" t="s">
        <v>31</v>
      </c>
      <c r="C1542" s="2" t="s">
        <v>32</v>
      </c>
      <c r="D1542" s="2" t="s">
        <v>80</v>
      </c>
      <c r="E1542">
        <v>7.4286000000000003</v>
      </c>
      <c r="F1542">
        <v>-5242.9</v>
      </c>
      <c r="G1542">
        <v>48.9</v>
      </c>
      <c r="H1542">
        <v>0.4</v>
      </c>
      <c r="I1542">
        <v>24.8</v>
      </c>
      <c r="J1542">
        <v>132.69999999999999</v>
      </c>
      <c r="K1542">
        <v>5.2</v>
      </c>
      <c r="L1542" s="2"/>
    </row>
    <row r="1543" spans="1:12" x14ac:dyDescent="0.25">
      <c r="A1543" s="2" t="s">
        <v>30</v>
      </c>
      <c r="B1543" s="2" t="s">
        <v>31</v>
      </c>
      <c r="C1543" s="2" t="s">
        <v>32</v>
      </c>
      <c r="D1543" s="2" t="s">
        <v>80</v>
      </c>
      <c r="E1543">
        <v>8.3571000000000009</v>
      </c>
      <c r="F1543">
        <v>-5242.9</v>
      </c>
      <c r="G1543">
        <v>48.9</v>
      </c>
      <c r="H1543">
        <v>0.4</v>
      </c>
      <c r="I1543">
        <v>24.8</v>
      </c>
      <c r="J1543">
        <v>168.1</v>
      </c>
      <c r="K1543">
        <v>-1</v>
      </c>
      <c r="L1543" s="2"/>
    </row>
    <row r="1544" spans="1:12" x14ac:dyDescent="0.25">
      <c r="A1544" s="2" t="s">
        <v>30</v>
      </c>
      <c r="B1544" s="2" t="s">
        <v>31</v>
      </c>
      <c r="C1544" s="2" t="s">
        <v>32</v>
      </c>
      <c r="D1544" s="2" t="s">
        <v>80</v>
      </c>
      <c r="E1544">
        <v>9.2857000000000003</v>
      </c>
      <c r="F1544">
        <v>-5242.9</v>
      </c>
      <c r="G1544">
        <v>48.9</v>
      </c>
      <c r="H1544">
        <v>0.4</v>
      </c>
      <c r="I1544">
        <v>24.8</v>
      </c>
      <c r="J1544">
        <v>203.2</v>
      </c>
      <c r="K1544">
        <v>-7.2</v>
      </c>
      <c r="L1544" s="2"/>
    </row>
    <row r="1545" spans="1:12" x14ac:dyDescent="0.25">
      <c r="A1545" s="2" t="s">
        <v>30</v>
      </c>
      <c r="B1545" s="2" t="s">
        <v>31</v>
      </c>
      <c r="C1545" s="2" t="s">
        <v>32</v>
      </c>
      <c r="D1545" s="2" t="s">
        <v>80</v>
      </c>
      <c r="E1545">
        <v>10.2143</v>
      </c>
      <c r="F1545">
        <v>-5242.9</v>
      </c>
      <c r="G1545">
        <v>48.9</v>
      </c>
      <c r="H1545">
        <v>0.4</v>
      </c>
      <c r="I1545">
        <v>24.8</v>
      </c>
      <c r="J1545">
        <v>238</v>
      </c>
      <c r="K1545">
        <v>-13.4</v>
      </c>
      <c r="L1545" s="2"/>
    </row>
    <row r="1546" spans="1:12" x14ac:dyDescent="0.25">
      <c r="A1546" s="2" t="s">
        <v>30</v>
      </c>
      <c r="B1546" s="2" t="s">
        <v>31</v>
      </c>
      <c r="C1546" s="2" t="s">
        <v>32</v>
      </c>
      <c r="D1546" s="2" t="s">
        <v>80</v>
      </c>
      <c r="E1546">
        <v>11.142899999999999</v>
      </c>
      <c r="F1546">
        <v>-5242.9</v>
      </c>
      <c r="G1546">
        <v>48.9</v>
      </c>
      <c r="H1546">
        <v>0.4</v>
      </c>
      <c r="I1546">
        <v>24.8</v>
      </c>
      <c r="J1546">
        <v>272.39999999999998</v>
      </c>
      <c r="K1546">
        <v>-19.600000000000001</v>
      </c>
      <c r="L1546" s="2"/>
    </row>
    <row r="1547" spans="1:12" x14ac:dyDescent="0.25">
      <c r="A1547" s="2" t="s">
        <v>30</v>
      </c>
      <c r="B1547" s="2" t="s">
        <v>31</v>
      </c>
      <c r="C1547" s="2" t="s">
        <v>32</v>
      </c>
      <c r="D1547" s="2" t="s">
        <v>80</v>
      </c>
      <c r="E1547">
        <v>12.071400000000001</v>
      </c>
      <c r="F1547">
        <v>-5242.9</v>
      </c>
      <c r="G1547">
        <v>48.9</v>
      </c>
      <c r="H1547">
        <v>0.4</v>
      </c>
      <c r="I1547">
        <v>24.8</v>
      </c>
      <c r="J1547">
        <v>306.39999999999998</v>
      </c>
      <c r="K1547">
        <v>-25.8</v>
      </c>
      <c r="L1547" s="2"/>
    </row>
    <row r="1548" spans="1:12" x14ac:dyDescent="0.25">
      <c r="A1548" s="2" t="s">
        <v>30</v>
      </c>
      <c r="B1548" s="2" t="s">
        <v>31</v>
      </c>
      <c r="C1548" s="2" t="s">
        <v>32</v>
      </c>
      <c r="D1548" s="2" t="s">
        <v>80</v>
      </c>
      <c r="E1548">
        <v>13</v>
      </c>
      <c r="F1548">
        <v>-5242.9</v>
      </c>
      <c r="G1548">
        <v>48.9</v>
      </c>
      <c r="H1548">
        <v>0.4</v>
      </c>
      <c r="I1548">
        <v>24.8</v>
      </c>
      <c r="J1548">
        <v>339.8</v>
      </c>
      <c r="K1548">
        <v>-31.9</v>
      </c>
      <c r="L1548" s="2"/>
    </row>
    <row r="1549" spans="1:12" x14ac:dyDescent="0.25">
      <c r="A1549" s="2" t="s">
        <v>30</v>
      </c>
      <c r="B1549" s="2" t="s">
        <v>31</v>
      </c>
      <c r="C1549" s="2" t="s">
        <v>32</v>
      </c>
      <c r="D1549" s="2" t="s">
        <v>80</v>
      </c>
      <c r="E1549">
        <v>0</v>
      </c>
      <c r="F1549">
        <v>-16286.3</v>
      </c>
      <c r="G1549">
        <v>6.2</v>
      </c>
      <c r="H1549">
        <v>-36</v>
      </c>
      <c r="I1549">
        <v>8.8000000000000007</v>
      </c>
      <c r="J1549">
        <v>-154.4</v>
      </c>
      <c r="K1549">
        <v>52.9</v>
      </c>
      <c r="L1549" s="2"/>
    </row>
    <row r="1550" spans="1:12" x14ac:dyDescent="0.25">
      <c r="A1550" s="2" t="s">
        <v>30</v>
      </c>
      <c r="B1550" s="2" t="s">
        <v>31</v>
      </c>
      <c r="C1550" s="2" t="s">
        <v>32</v>
      </c>
      <c r="D1550" s="2" t="s">
        <v>80</v>
      </c>
      <c r="E1550">
        <v>0.92859999999999998</v>
      </c>
      <c r="F1550">
        <v>-16236.2</v>
      </c>
      <c r="G1550">
        <v>6.2</v>
      </c>
      <c r="H1550">
        <v>-36</v>
      </c>
      <c r="I1550">
        <v>8.8000000000000007</v>
      </c>
      <c r="J1550">
        <v>-118.9</v>
      </c>
      <c r="K1550">
        <v>47.2</v>
      </c>
      <c r="L1550" s="2"/>
    </row>
    <row r="1551" spans="1:12" x14ac:dyDescent="0.25">
      <c r="A1551" s="2" t="s">
        <v>30</v>
      </c>
      <c r="B1551" s="2" t="s">
        <v>31</v>
      </c>
      <c r="C1551" s="2" t="s">
        <v>32</v>
      </c>
      <c r="D1551" s="2" t="s">
        <v>80</v>
      </c>
      <c r="E1551">
        <v>1.8571</v>
      </c>
      <c r="F1551">
        <v>-16186.2</v>
      </c>
      <c r="G1551">
        <v>6.2</v>
      </c>
      <c r="H1551">
        <v>-36</v>
      </c>
      <c r="I1551">
        <v>8.8000000000000007</v>
      </c>
      <c r="J1551">
        <v>-83.6</v>
      </c>
      <c r="K1551">
        <v>41.4</v>
      </c>
      <c r="L1551" s="2"/>
    </row>
    <row r="1552" spans="1:12" x14ac:dyDescent="0.25">
      <c r="A1552" s="2" t="s">
        <v>30</v>
      </c>
      <c r="B1552" s="2" t="s">
        <v>31</v>
      </c>
      <c r="C1552" s="2" t="s">
        <v>32</v>
      </c>
      <c r="D1552" s="2" t="s">
        <v>80</v>
      </c>
      <c r="E1552">
        <v>2.7856999999999998</v>
      </c>
      <c r="F1552">
        <v>-16136.2</v>
      </c>
      <c r="G1552">
        <v>6.2</v>
      </c>
      <c r="H1552">
        <v>-36</v>
      </c>
      <c r="I1552">
        <v>8.8000000000000007</v>
      </c>
      <c r="J1552">
        <v>-48.2</v>
      </c>
      <c r="K1552">
        <v>35.6</v>
      </c>
      <c r="L1552" s="2"/>
    </row>
    <row r="1553" spans="1:12" x14ac:dyDescent="0.25">
      <c r="A1553" s="2" t="s">
        <v>30</v>
      </c>
      <c r="B1553" s="2" t="s">
        <v>31</v>
      </c>
      <c r="C1553" s="2" t="s">
        <v>32</v>
      </c>
      <c r="D1553" s="2" t="s">
        <v>80</v>
      </c>
      <c r="E1553">
        <v>3.7143000000000002</v>
      </c>
      <c r="F1553">
        <v>-16086.1</v>
      </c>
      <c r="G1553">
        <v>6.2</v>
      </c>
      <c r="H1553">
        <v>-36</v>
      </c>
      <c r="I1553">
        <v>8.8000000000000007</v>
      </c>
      <c r="J1553">
        <v>-12.6</v>
      </c>
      <c r="K1553">
        <v>29.6</v>
      </c>
      <c r="L1553" s="2"/>
    </row>
    <row r="1554" spans="1:12" x14ac:dyDescent="0.25">
      <c r="A1554" s="2" t="s">
        <v>30</v>
      </c>
      <c r="B1554" s="2" t="s">
        <v>31</v>
      </c>
      <c r="C1554" s="2" t="s">
        <v>32</v>
      </c>
      <c r="D1554" s="2" t="s">
        <v>80</v>
      </c>
      <c r="E1554">
        <v>4.6429</v>
      </c>
      <c r="F1554">
        <v>-16036.1</v>
      </c>
      <c r="G1554">
        <v>6.2</v>
      </c>
      <c r="H1554">
        <v>-36</v>
      </c>
      <c r="I1554">
        <v>8.8000000000000007</v>
      </c>
      <c r="J1554">
        <v>5.7</v>
      </c>
      <c r="K1554">
        <v>-4.9000000000000004</v>
      </c>
      <c r="L1554" s="2"/>
    </row>
    <row r="1555" spans="1:12" x14ac:dyDescent="0.25">
      <c r="A1555" s="2" t="s">
        <v>30</v>
      </c>
      <c r="B1555" s="2" t="s">
        <v>31</v>
      </c>
      <c r="C1555" s="2" t="s">
        <v>32</v>
      </c>
      <c r="D1555" s="2" t="s">
        <v>80</v>
      </c>
      <c r="E1555">
        <v>5.5713999999999997</v>
      </c>
      <c r="F1555">
        <v>-15986.1</v>
      </c>
      <c r="G1555">
        <v>6.2</v>
      </c>
      <c r="H1555">
        <v>-36</v>
      </c>
      <c r="I1555">
        <v>8.8000000000000007</v>
      </c>
      <c r="J1555">
        <v>6.4</v>
      </c>
      <c r="K1555">
        <v>-51.8</v>
      </c>
      <c r="L1555" s="2"/>
    </row>
    <row r="1556" spans="1:12" x14ac:dyDescent="0.25">
      <c r="A1556" s="2" t="s">
        <v>30</v>
      </c>
      <c r="B1556" s="2" t="s">
        <v>31</v>
      </c>
      <c r="C1556" s="2" t="s">
        <v>32</v>
      </c>
      <c r="D1556" s="2" t="s">
        <v>80</v>
      </c>
      <c r="E1556">
        <v>6.5</v>
      </c>
      <c r="F1556">
        <v>-15936.1</v>
      </c>
      <c r="G1556">
        <v>6.2</v>
      </c>
      <c r="H1556">
        <v>-36</v>
      </c>
      <c r="I1556">
        <v>8.8000000000000007</v>
      </c>
      <c r="J1556">
        <v>7.1</v>
      </c>
      <c r="K1556">
        <v>-98.7</v>
      </c>
      <c r="L1556" s="2"/>
    </row>
    <row r="1557" spans="1:12" x14ac:dyDescent="0.25">
      <c r="A1557" s="2" t="s">
        <v>30</v>
      </c>
      <c r="B1557" s="2" t="s">
        <v>31</v>
      </c>
      <c r="C1557" s="2" t="s">
        <v>32</v>
      </c>
      <c r="D1557" s="2" t="s">
        <v>80</v>
      </c>
      <c r="E1557">
        <v>7.4286000000000003</v>
      </c>
      <c r="F1557">
        <v>-15886</v>
      </c>
      <c r="G1557">
        <v>6.2</v>
      </c>
      <c r="H1557">
        <v>-36</v>
      </c>
      <c r="I1557">
        <v>8.8000000000000007</v>
      </c>
      <c r="J1557">
        <v>7.8</v>
      </c>
      <c r="K1557">
        <v>-145.4</v>
      </c>
      <c r="L1557" s="2"/>
    </row>
    <row r="1558" spans="1:12" x14ac:dyDescent="0.25">
      <c r="A1558" s="2" t="s">
        <v>30</v>
      </c>
      <c r="B1558" s="2" t="s">
        <v>31</v>
      </c>
      <c r="C1558" s="2" t="s">
        <v>32</v>
      </c>
      <c r="D1558" s="2" t="s">
        <v>80</v>
      </c>
      <c r="E1558">
        <v>8.3571000000000009</v>
      </c>
      <c r="F1558">
        <v>-15836</v>
      </c>
      <c r="G1558">
        <v>6.2</v>
      </c>
      <c r="H1558">
        <v>-36</v>
      </c>
      <c r="I1558">
        <v>8.8000000000000007</v>
      </c>
      <c r="J1558">
        <v>8.4</v>
      </c>
      <c r="K1558">
        <v>-191.9</v>
      </c>
      <c r="L1558" s="2"/>
    </row>
    <row r="1559" spans="1:12" x14ac:dyDescent="0.25">
      <c r="A1559" s="2" t="s">
        <v>30</v>
      </c>
      <c r="B1559" s="2" t="s">
        <v>31</v>
      </c>
      <c r="C1559" s="2" t="s">
        <v>32</v>
      </c>
      <c r="D1559" s="2" t="s">
        <v>80</v>
      </c>
      <c r="E1559">
        <v>9.2857000000000003</v>
      </c>
      <c r="F1559">
        <v>-15786</v>
      </c>
      <c r="G1559">
        <v>6.2</v>
      </c>
      <c r="H1559">
        <v>-36</v>
      </c>
      <c r="I1559">
        <v>8.8000000000000007</v>
      </c>
      <c r="J1559">
        <v>9.1</v>
      </c>
      <c r="K1559">
        <v>-238.1</v>
      </c>
      <c r="L1559" s="2"/>
    </row>
    <row r="1560" spans="1:12" x14ac:dyDescent="0.25">
      <c r="A1560" s="2" t="s">
        <v>30</v>
      </c>
      <c r="B1560" s="2" t="s">
        <v>31</v>
      </c>
      <c r="C1560" s="2" t="s">
        <v>32</v>
      </c>
      <c r="D1560" s="2" t="s">
        <v>80</v>
      </c>
      <c r="E1560">
        <v>10.2143</v>
      </c>
      <c r="F1560">
        <v>-15735.9</v>
      </c>
      <c r="G1560">
        <v>6.2</v>
      </c>
      <c r="H1560">
        <v>-36</v>
      </c>
      <c r="I1560">
        <v>8.8000000000000007</v>
      </c>
      <c r="J1560">
        <v>9.6999999999999993</v>
      </c>
      <c r="K1560">
        <v>-283.89999999999998</v>
      </c>
      <c r="L1560" s="2"/>
    </row>
    <row r="1561" spans="1:12" x14ac:dyDescent="0.25">
      <c r="A1561" s="2" t="s">
        <v>30</v>
      </c>
      <c r="B1561" s="2" t="s">
        <v>31</v>
      </c>
      <c r="C1561" s="2" t="s">
        <v>32</v>
      </c>
      <c r="D1561" s="2" t="s">
        <v>80</v>
      </c>
      <c r="E1561">
        <v>11.142899999999999</v>
      </c>
      <c r="F1561">
        <v>-15685.9</v>
      </c>
      <c r="G1561">
        <v>6.2</v>
      </c>
      <c r="H1561">
        <v>-36</v>
      </c>
      <c r="I1561">
        <v>8.8000000000000007</v>
      </c>
      <c r="J1561">
        <v>10.3</v>
      </c>
      <c r="K1561">
        <v>-329.2</v>
      </c>
      <c r="L1561" s="2"/>
    </row>
    <row r="1562" spans="1:12" x14ac:dyDescent="0.25">
      <c r="A1562" s="2" t="s">
        <v>30</v>
      </c>
      <c r="B1562" s="2" t="s">
        <v>31</v>
      </c>
      <c r="C1562" s="2" t="s">
        <v>32</v>
      </c>
      <c r="D1562" s="2" t="s">
        <v>80</v>
      </c>
      <c r="E1562">
        <v>12.071400000000001</v>
      </c>
      <c r="F1562">
        <v>-15635.9</v>
      </c>
      <c r="G1562">
        <v>6.2</v>
      </c>
      <c r="H1562">
        <v>-36</v>
      </c>
      <c r="I1562">
        <v>8.8000000000000007</v>
      </c>
      <c r="J1562">
        <v>10.9</v>
      </c>
      <c r="K1562">
        <v>-374</v>
      </c>
      <c r="L1562" s="2"/>
    </row>
    <row r="1563" spans="1:12" x14ac:dyDescent="0.25">
      <c r="A1563" s="2" t="s">
        <v>30</v>
      </c>
      <c r="B1563" s="2" t="s">
        <v>31</v>
      </c>
      <c r="C1563" s="2" t="s">
        <v>32</v>
      </c>
      <c r="D1563" s="2" t="s">
        <v>80</v>
      </c>
      <c r="E1563">
        <v>13</v>
      </c>
      <c r="F1563">
        <v>-15585.8</v>
      </c>
      <c r="G1563">
        <v>6.2</v>
      </c>
      <c r="H1563">
        <v>-36</v>
      </c>
      <c r="I1563">
        <v>8.8000000000000007</v>
      </c>
      <c r="J1563">
        <v>11.5</v>
      </c>
      <c r="K1563">
        <v>-418.2</v>
      </c>
      <c r="L1563" s="2"/>
    </row>
    <row r="1564" spans="1:12" x14ac:dyDescent="0.25">
      <c r="A1564" s="2" t="s">
        <v>30</v>
      </c>
      <c r="B1564" s="2" t="s">
        <v>31</v>
      </c>
      <c r="C1564" s="2" t="s">
        <v>32</v>
      </c>
      <c r="D1564" s="2" t="s">
        <v>81</v>
      </c>
      <c r="E1564">
        <v>0</v>
      </c>
      <c r="F1564">
        <v>-7080.7</v>
      </c>
      <c r="G1564">
        <v>51.1</v>
      </c>
      <c r="H1564">
        <v>3.6</v>
      </c>
      <c r="I1564">
        <v>31.4</v>
      </c>
      <c r="J1564">
        <v>32.5</v>
      </c>
      <c r="K1564">
        <v>261.2</v>
      </c>
      <c r="L1564" s="2"/>
    </row>
    <row r="1565" spans="1:12" x14ac:dyDescent="0.25">
      <c r="A1565" s="2" t="s">
        <v>30</v>
      </c>
      <c r="B1565" s="2" t="s">
        <v>31</v>
      </c>
      <c r="C1565" s="2" t="s">
        <v>32</v>
      </c>
      <c r="D1565" s="2" t="s">
        <v>81</v>
      </c>
      <c r="E1565">
        <v>0.92859999999999998</v>
      </c>
      <c r="F1565">
        <v>-7080.7</v>
      </c>
      <c r="G1565">
        <v>51.1</v>
      </c>
      <c r="H1565">
        <v>3.6</v>
      </c>
      <c r="I1565">
        <v>31.4</v>
      </c>
      <c r="J1565">
        <v>30.8</v>
      </c>
      <c r="K1565">
        <v>214.1</v>
      </c>
      <c r="L1565" s="2"/>
    </row>
    <row r="1566" spans="1:12" x14ac:dyDescent="0.25">
      <c r="A1566" s="2" t="s">
        <v>30</v>
      </c>
      <c r="B1566" s="2" t="s">
        <v>31</v>
      </c>
      <c r="C1566" s="2" t="s">
        <v>32</v>
      </c>
      <c r="D1566" s="2" t="s">
        <v>81</v>
      </c>
      <c r="E1566">
        <v>1.8571</v>
      </c>
      <c r="F1566">
        <v>-7080.7</v>
      </c>
      <c r="G1566">
        <v>51.1</v>
      </c>
      <c r="H1566">
        <v>3.6</v>
      </c>
      <c r="I1566">
        <v>31.4</v>
      </c>
      <c r="J1566">
        <v>29</v>
      </c>
      <c r="K1566">
        <v>166.9</v>
      </c>
      <c r="L1566" s="2"/>
    </row>
    <row r="1567" spans="1:12" x14ac:dyDescent="0.25">
      <c r="A1567" s="2" t="s">
        <v>30</v>
      </c>
      <c r="B1567" s="2" t="s">
        <v>31</v>
      </c>
      <c r="C1567" s="2" t="s">
        <v>32</v>
      </c>
      <c r="D1567" s="2" t="s">
        <v>81</v>
      </c>
      <c r="E1567">
        <v>2.7856999999999998</v>
      </c>
      <c r="F1567">
        <v>-7080.7</v>
      </c>
      <c r="G1567">
        <v>51.1</v>
      </c>
      <c r="H1567">
        <v>3.6</v>
      </c>
      <c r="I1567">
        <v>31.4</v>
      </c>
      <c r="J1567">
        <v>27.1</v>
      </c>
      <c r="K1567">
        <v>119.4</v>
      </c>
      <c r="L1567" s="2"/>
    </row>
    <row r="1568" spans="1:12" x14ac:dyDescent="0.25">
      <c r="A1568" s="2" t="s">
        <v>30</v>
      </c>
      <c r="B1568" s="2" t="s">
        <v>31</v>
      </c>
      <c r="C1568" s="2" t="s">
        <v>32</v>
      </c>
      <c r="D1568" s="2" t="s">
        <v>81</v>
      </c>
      <c r="E1568">
        <v>3.7143000000000002</v>
      </c>
      <c r="F1568">
        <v>-7080.7</v>
      </c>
      <c r="G1568">
        <v>51.1</v>
      </c>
      <c r="H1568">
        <v>3.6</v>
      </c>
      <c r="I1568">
        <v>31.4</v>
      </c>
      <c r="J1568">
        <v>25.8</v>
      </c>
      <c r="K1568">
        <v>71.7</v>
      </c>
      <c r="L1568" s="2"/>
    </row>
    <row r="1569" spans="1:12" x14ac:dyDescent="0.25">
      <c r="A1569" s="2" t="s">
        <v>30</v>
      </c>
      <c r="B1569" s="2" t="s">
        <v>31</v>
      </c>
      <c r="C1569" s="2" t="s">
        <v>32</v>
      </c>
      <c r="D1569" s="2" t="s">
        <v>81</v>
      </c>
      <c r="E1569">
        <v>4.6429</v>
      </c>
      <c r="F1569">
        <v>-7080.7</v>
      </c>
      <c r="G1569">
        <v>51.1</v>
      </c>
      <c r="H1569">
        <v>3.6</v>
      </c>
      <c r="I1569">
        <v>31.4</v>
      </c>
      <c r="J1569">
        <v>44.8</v>
      </c>
      <c r="K1569">
        <v>46.6</v>
      </c>
      <c r="L1569" s="2"/>
    </row>
    <row r="1570" spans="1:12" x14ac:dyDescent="0.25">
      <c r="A1570" s="2" t="s">
        <v>30</v>
      </c>
      <c r="B1570" s="2" t="s">
        <v>31</v>
      </c>
      <c r="C1570" s="2" t="s">
        <v>32</v>
      </c>
      <c r="D1570" s="2" t="s">
        <v>81</v>
      </c>
      <c r="E1570">
        <v>5.5713999999999997</v>
      </c>
      <c r="F1570">
        <v>-7080.7</v>
      </c>
      <c r="G1570">
        <v>51.1</v>
      </c>
      <c r="H1570">
        <v>3.6</v>
      </c>
      <c r="I1570">
        <v>31.4</v>
      </c>
      <c r="J1570">
        <v>67.8</v>
      </c>
      <c r="K1570">
        <v>33.200000000000003</v>
      </c>
      <c r="L1570" s="2"/>
    </row>
    <row r="1571" spans="1:12" x14ac:dyDescent="0.25">
      <c r="A1571" s="2" t="s">
        <v>30</v>
      </c>
      <c r="B1571" s="2" t="s">
        <v>31</v>
      </c>
      <c r="C1571" s="2" t="s">
        <v>32</v>
      </c>
      <c r="D1571" s="2" t="s">
        <v>81</v>
      </c>
      <c r="E1571">
        <v>6.5</v>
      </c>
      <c r="F1571">
        <v>-7080.7</v>
      </c>
      <c r="G1571">
        <v>51.1</v>
      </c>
      <c r="H1571">
        <v>3.6</v>
      </c>
      <c r="I1571">
        <v>31.4</v>
      </c>
      <c r="J1571">
        <v>95.7</v>
      </c>
      <c r="K1571">
        <v>19.600000000000001</v>
      </c>
      <c r="L1571" s="2"/>
    </row>
    <row r="1572" spans="1:12" x14ac:dyDescent="0.25">
      <c r="A1572" s="2" t="s">
        <v>30</v>
      </c>
      <c r="B1572" s="2" t="s">
        <v>31</v>
      </c>
      <c r="C1572" s="2" t="s">
        <v>32</v>
      </c>
      <c r="D1572" s="2" t="s">
        <v>81</v>
      </c>
      <c r="E1572">
        <v>7.4286000000000003</v>
      </c>
      <c r="F1572">
        <v>-7080.7</v>
      </c>
      <c r="G1572">
        <v>51.1</v>
      </c>
      <c r="H1572">
        <v>3.6</v>
      </c>
      <c r="I1572">
        <v>31.4</v>
      </c>
      <c r="J1572">
        <v>123.5</v>
      </c>
      <c r="K1572">
        <v>6</v>
      </c>
      <c r="L1572" s="2"/>
    </row>
    <row r="1573" spans="1:12" x14ac:dyDescent="0.25">
      <c r="A1573" s="2" t="s">
        <v>30</v>
      </c>
      <c r="B1573" s="2" t="s">
        <v>31</v>
      </c>
      <c r="C1573" s="2" t="s">
        <v>32</v>
      </c>
      <c r="D1573" s="2" t="s">
        <v>81</v>
      </c>
      <c r="E1573">
        <v>8.3571000000000009</v>
      </c>
      <c r="F1573">
        <v>-7080.7</v>
      </c>
      <c r="G1573">
        <v>51.1</v>
      </c>
      <c r="H1573">
        <v>3.6</v>
      </c>
      <c r="I1573">
        <v>31.4</v>
      </c>
      <c r="J1573">
        <v>151</v>
      </c>
      <c r="K1573">
        <v>-7.6</v>
      </c>
      <c r="L1573" s="2"/>
    </row>
    <row r="1574" spans="1:12" x14ac:dyDescent="0.25">
      <c r="A1574" s="2" t="s">
        <v>30</v>
      </c>
      <c r="B1574" s="2" t="s">
        <v>31</v>
      </c>
      <c r="C1574" s="2" t="s">
        <v>32</v>
      </c>
      <c r="D1574" s="2" t="s">
        <v>81</v>
      </c>
      <c r="E1574">
        <v>9.2857000000000003</v>
      </c>
      <c r="F1574">
        <v>-7080.7</v>
      </c>
      <c r="G1574">
        <v>51.1</v>
      </c>
      <c r="H1574">
        <v>3.6</v>
      </c>
      <c r="I1574">
        <v>31.4</v>
      </c>
      <c r="J1574">
        <v>178.2</v>
      </c>
      <c r="K1574">
        <v>-21.2</v>
      </c>
      <c r="L1574" s="2"/>
    </row>
    <row r="1575" spans="1:12" x14ac:dyDescent="0.25">
      <c r="A1575" s="2" t="s">
        <v>30</v>
      </c>
      <c r="B1575" s="2" t="s">
        <v>31</v>
      </c>
      <c r="C1575" s="2" t="s">
        <v>32</v>
      </c>
      <c r="D1575" s="2" t="s">
        <v>81</v>
      </c>
      <c r="E1575">
        <v>10.2143</v>
      </c>
      <c r="F1575">
        <v>-7080.7</v>
      </c>
      <c r="G1575">
        <v>51.1</v>
      </c>
      <c r="H1575">
        <v>3.6</v>
      </c>
      <c r="I1575">
        <v>31.4</v>
      </c>
      <c r="J1575">
        <v>205.2</v>
      </c>
      <c r="K1575">
        <v>-34.799999999999997</v>
      </c>
      <c r="L1575" s="2"/>
    </row>
    <row r="1576" spans="1:12" x14ac:dyDescent="0.25">
      <c r="A1576" s="2" t="s">
        <v>30</v>
      </c>
      <c r="B1576" s="2" t="s">
        <v>31</v>
      </c>
      <c r="C1576" s="2" t="s">
        <v>32</v>
      </c>
      <c r="D1576" s="2" t="s">
        <v>81</v>
      </c>
      <c r="E1576">
        <v>11.142899999999999</v>
      </c>
      <c r="F1576">
        <v>-7080.7</v>
      </c>
      <c r="G1576">
        <v>51.1</v>
      </c>
      <c r="H1576">
        <v>3.6</v>
      </c>
      <c r="I1576">
        <v>31.4</v>
      </c>
      <c r="J1576">
        <v>231.8</v>
      </c>
      <c r="K1576">
        <v>-48.3</v>
      </c>
      <c r="L1576" s="2"/>
    </row>
    <row r="1577" spans="1:12" x14ac:dyDescent="0.25">
      <c r="A1577" s="2" t="s">
        <v>30</v>
      </c>
      <c r="B1577" s="2" t="s">
        <v>31</v>
      </c>
      <c r="C1577" s="2" t="s">
        <v>32</v>
      </c>
      <c r="D1577" s="2" t="s">
        <v>81</v>
      </c>
      <c r="E1577">
        <v>12.071400000000001</v>
      </c>
      <c r="F1577">
        <v>-7080.7</v>
      </c>
      <c r="G1577">
        <v>51.1</v>
      </c>
      <c r="H1577">
        <v>3.6</v>
      </c>
      <c r="I1577">
        <v>31.4</v>
      </c>
      <c r="J1577">
        <v>258</v>
      </c>
      <c r="K1577">
        <v>-61.7</v>
      </c>
      <c r="L1577" s="2"/>
    </row>
    <row r="1578" spans="1:12" x14ac:dyDescent="0.25">
      <c r="A1578" s="2" t="s">
        <v>30</v>
      </c>
      <c r="B1578" s="2" t="s">
        <v>31</v>
      </c>
      <c r="C1578" s="2" t="s">
        <v>32</v>
      </c>
      <c r="D1578" s="2" t="s">
        <v>81</v>
      </c>
      <c r="E1578">
        <v>13</v>
      </c>
      <c r="F1578">
        <v>-7080.7</v>
      </c>
      <c r="G1578">
        <v>51.1</v>
      </c>
      <c r="H1578">
        <v>3.6</v>
      </c>
      <c r="I1578">
        <v>31.4</v>
      </c>
      <c r="J1578">
        <v>283.7</v>
      </c>
      <c r="K1578">
        <v>-74.900000000000006</v>
      </c>
      <c r="L1578" s="2"/>
    </row>
    <row r="1579" spans="1:12" x14ac:dyDescent="0.25">
      <c r="A1579" s="2" t="s">
        <v>30</v>
      </c>
      <c r="B1579" s="2" t="s">
        <v>31</v>
      </c>
      <c r="C1579" s="2" t="s">
        <v>32</v>
      </c>
      <c r="D1579" s="2" t="s">
        <v>81</v>
      </c>
      <c r="E1579">
        <v>0</v>
      </c>
      <c r="F1579">
        <v>-16546.5</v>
      </c>
      <c r="G1579">
        <v>14.5</v>
      </c>
      <c r="H1579">
        <v>-27.6</v>
      </c>
      <c r="I1579">
        <v>17.7</v>
      </c>
      <c r="J1579">
        <v>-101.6</v>
      </c>
      <c r="K1579">
        <v>111.1</v>
      </c>
      <c r="L1579" s="2"/>
    </row>
    <row r="1580" spans="1:12" x14ac:dyDescent="0.25">
      <c r="A1580" s="2" t="s">
        <v>30</v>
      </c>
      <c r="B1580" s="2" t="s">
        <v>31</v>
      </c>
      <c r="C1580" s="2" t="s">
        <v>32</v>
      </c>
      <c r="D1580" s="2" t="s">
        <v>81</v>
      </c>
      <c r="E1580">
        <v>0.92859999999999998</v>
      </c>
      <c r="F1580">
        <v>-16503.599999999999</v>
      </c>
      <c r="G1580">
        <v>14.5</v>
      </c>
      <c r="H1580">
        <v>-27.6</v>
      </c>
      <c r="I1580">
        <v>17.7</v>
      </c>
      <c r="J1580">
        <v>-73.5</v>
      </c>
      <c r="K1580">
        <v>98.7</v>
      </c>
      <c r="L1580" s="2"/>
    </row>
    <row r="1581" spans="1:12" x14ac:dyDescent="0.25">
      <c r="A1581" s="2" t="s">
        <v>30</v>
      </c>
      <c r="B1581" s="2" t="s">
        <v>31</v>
      </c>
      <c r="C1581" s="2" t="s">
        <v>32</v>
      </c>
      <c r="D1581" s="2" t="s">
        <v>81</v>
      </c>
      <c r="E1581">
        <v>1.8571</v>
      </c>
      <c r="F1581">
        <v>-16460.7</v>
      </c>
      <c r="G1581">
        <v>14.5</v>
      </c>
      <c r="H1581">
        <v>-27.6</v>
      </c>
      <c r="I1581">
        <v>17.7</v>
      </c>
      <c r="J1581">
        <v>-45.7</v>
      </c>
      <c r="K1581">
        <v>86</v>
      </c>
      <c r="L1581" s="2"/>
    </row>
    <row r="1582" spans="1:12" x14ac:dyDescent="0.25">
      <c r="A1582" s="2" t="s">
        <v>30</v>
      </c>
      <c r="B1582" s="2" t="s">
        <v>31</v>
      </c>
      <c r="C1582" s="2" t="s">
        <v>32</v>
      </c>
      <c r="D1582" s="2" t="s">
        <v>81</v>
      </c>
      <c r="E1582">
        <v>2.7856999999999998</v>
      </c>
      <c r="F1582">
        <v>-16417.8</v>
      </c>
      <c r="G1582">
        <v>14.5</v>
      </c>
      <c r="H1582">
        <v>-27.6</v>
      </c>
      <c r="I1582">
        <v>17.7</v>
      </c>
      <c r="J1582">
        <v>-17.899999999999999</v>
      </c>
      <c r="K1582">
        <v>73.099999999999994</v>
      </c>
      <c r="L1582" s="2"/>
    </row>
    <row r="1583" spans="1:12" x14ac:dyDescent="0.25">
      <c r="A1583" s="2" t="s">
        <v>30</v>
      </c>
      <c r="B1583" s="2" t="s">
        <v>31</v>
      </c>
      <c r="C1583" s="2" t="s">
        <v>32</v>
      </c>
      <c r="D1583" s="2" t="s">
        <v>81</v>
      </c>
      <c r="E1583">
        <v>3.7143000000000002</v>
      </c>
      <c r="F1583">
        <v>-16374.9</v>
      </c>
      <c r="G1583">
        <v>14.5</v>
      </c>
      <c r="H1583">
        <v>-27.6</v>
      </c>
      <c r="I1583">
        <v>17.7</v>
      </c>
      <c r="J1583">
        <v>10</v>
      </c>
      <c r="K1583">
        <v>59.9</v>
      </c>
      <c r="L1583" s="2"/>
    </row>
    <row r="1584" spans="1:12" x14ac:dyDescent="0.25">
      <c r="A1584" s="2" t="s">
        <v>30</v>
      </c>
      <c r="B1584" s="2" t="s">
        <v>31</v>
      </c>
      <c r="C1584" s="2" t="s">
        <v>32</v>
      </c>
      <c r="D1584" s="2" t="s">
        <v>81</v>
      </c>
      <c r="E1584">
        <v>4.6429</v>
      </c>
      <c r="F1584">
        <v>-16332</v>
      </c>
      <c r="G1584">
        <v>14.5</v>
      </c>
      <c r="H1584">
        <v>-27.6</v>
      </c>
      <c r="I1584">
        <v>17.7</v>
      </c>
      <c r="J1584">
        <v>23</v>
      </c>
      <c r="K1584">
        <v>22.2</v>
      </c>
      <c r="L1584" s="2"/>
    </row>
    <row r="1585" spans="1:12" x14ac:dyDescent="0.25">
      <c r="A1585" s="2" t="s">
        <v>30</v>
      </c>
      <c r="B1585" s="2" t="s">
        <v>31</v>
      </c>
      <c r="C1585" s="2" t="s">
        <v>32</v>
      </c>
      <c r="D1585" s="2" t="s">
        <v>81</v>
      </c>
      <c r="E1585">
        <v>5.5713999999999997</v>
      </c>
      <c r="F1585">
        <v>-16289.2</v>
      </c>
      <c r="G1585">
        <v>14.5</v>
      </c>
      <c r="H1585">
        <v>-27.6</v>
      </c>
      <c r="I1585">
        <v>17.7</v>
      </c>
      <c r="J1585">
        <v>20.9</v>
      </c>
      <c r="K1585">
        <v>-26.2</v>
      </c>
      <c r="L1585" s="2"/>
    </row>
    <row r="1586" spans="1:12" x14ac:dyDescent="0.25">
      <c r="A1586" s="2" t="s">
        <v>30</v>
      </c>
      <c r="B1586" s="2" t="s">
        <v>31</v>
      </c>
      <c r="C1586" s="2" t="s">
        <v>32</v>
      </c>
      <c r="D1586" s="2" t="s">
        <v>81</v>
      </c>
      <c r="E1586">
        <v>6.5</v>
      </c>
      <c r="F1586">
        <v>-16246.3</v>
      </c>
      <c r="G1586">
        <v>14.5</v>
      </c>
      <c r="H1586">
        <v>-27.6</v>
      </c>
      <c r="I1586">
        <v>17.7</v>
      </c>
      <c r="J1586">
        <v>18.7</v>
      </c>
      <c r="K1586">
        <v>-74.7</v>
      </c>
      <c r="L1586" s="2"/>
    </row>
    <row r="1587" spans="1:12" x14ac:dyDescent="0.25">
      <c r="A1587" s="2" t="s">
        <v>30</v>
      </c>
      <c r="B1587" s="2" t="s">
        <v>31</v>
      </c>
      <c r="C1587" s="2" t="s">
        <v>32</v>
      </c>
      <c r="D1587" s="2" t="s">
        <v>81</v>
      </c>
      <c r="E1587">
        <v>7.4286000000000003</v>
      </c>
      <c r="F1587">
        <v>-16203.4</v>
      </c>
      <c r="G1587">
        <v>14.5</v>
      </c>
      <c r="H1587">
        <v>-27.6</v>
      </c>
      <c r="I1587">
        <v>17.7</v>
      </c>
      <c r="J1587">
        <v>16.399999999999999</v>
      </c>
      <c r="K1587">
        <v>-123.1</v>
      </c>
      <c r="L1587" s="2"/>
    </row>
    <row r="1588" spans="1:12" x14ac:dyDescent="0.25">
      <c r="A1588" s="2" t="s">
        <v>30</v>
      </c>
      <c r="B1588" s="2" t="s">
        <v>31</v>
      </c>
      <c r="C1588" s="2" t="s">
        <v>32</v>
      </c>
      <c r="D1588" s="2" t="s">
        <v>81</v>
      </c>
      <c r="E1588">
        <v>8.3571000000000009</v>
      </c>
      <c r="F1588">
        <v>-16160.5</v>
      </c>
      <c r="G1588">
        <v>14.5</v>
      </c>
      <c r="H1588">
        <v>-27.6</v>
      </c>
      <c r="I1588">
        <v>17.7</v>
      </c>
      <c r="J1588">
        <v>14.1</v>
      </c>
      <c r="K1588">
        <v>-171.2</v>
      </c>
      <c r="L1588" s="2"/>
    </row>
    <row r="1589" spans="1:12" x14ac:dyDescent="0.25">
      <c r="A1589" s="2" t="s">
        <v>30</v>
      </c>
      <c r="B1589" s="2" t="s">
        <v>31</v>
      </c>
      <c r="C1589" s="2" t="s">
        <v>32</v>
      </c>
      <c r="D1589" s="2" t="s">
        <v>81</v>
      </c>
      <c r="E1589">
        <v>9.2857000000000003</v>
      </c>
      <c r="F1589">
        <v>-16117.6</v>
      </c>
      <c r="G1589">
        <v>14.5</v>
      </c>
      <c r="H1589">
        <v>-27.6</v>
      </c>
      <c r="I1589">
        <v>17.7</v>
      </c>
      <c r="J1589">
        <v>11.8</v>
      </c>
      <c r="K1589">
        <v>-219.1</v>
      </c>
      <c r="L1589" s="2"/>
    </row>
    <row r="1590" spans="1:12" x14ac:dyDescent="0.25">
      <c r="A1590" s="2" t="s">
        <v>30</v>
      </c>
      <c r="B1590" s="2" t="s">
        <v>31</v>
      </c>
      <c r="C1590" s="2" t="s">
        <v>32</v>
      </c>
      <c r="D1590" s="2" t="s">
        <v>81</v>
      </c>
      <c r="E1590">
        <v>10.2143</v>
      </c>
      <c r="F1590">
        <v>-16074.8</v>
      </c>
      <c r="G1590">
        <v>14.5</v>
      </c>
      <c r="H1590">
        <v>-27.6</v>
      </c>
      <c r="I1590">
        <v>17.7</v>
      </c>
      <c r="J1590">
        <v>9.4</v>
      </c>
      <c r="K1590">
        <v>-266.60000000000002</v>
      </c>
      <c r="L1590" s="2"/>
    </row>
    <row r="1591" spans="1:12" x14ac:dyDescent="0.25">
      <c r="A1591" s="2" t="s">
        <v>30</v>
      </c>
      <c r="B1591" s="2" t="s">
        <v>31</v>
      </c>
      <c r="C1591" s="2" t="s">
        <v>32</v>
      </c>
      <c r="D1591" s="2" t="s">
        <v>81</v>
      </c>
      <c r="E1591">
        <v>11.142899999999999</v>
      </c>
      <c r="F1591">
        <v>-16031.9</v>
      </c>
      <c r="G1591">
        <v>14.5</v>
      </c>
      <c r="H1591">
        <v>-27.6</v>
      </c>
      <c r="I1591">
        <v>17.7</v>
      </c>
      <c r="J1591">
        <v>7.1</v>
      </c>
      <c r="K1591">
        <v>-313.7</v>
      </c>
      <c r="L1591" s="2"/>
    </row>
    <row r="1592" spans="1:12" x14ac:dyDescent="0.25">
      <c r="A1592" s="2" t="s">
        <v>30</v>
      </c>
      <c r="B1592" s="2" t="s">
        <v>31</v>
      </c>
      <c r="C1592" s="2" t="s">
        <v>32</v>
      </c>
      <c r="D1592" s="2" t="s">
        <v>81</v>
      </c>
      <c r="E1592">
        <v>12.071400000000001</v>
      </c>
      <c r="F1592">
        <v>-15989</v>
      </c>
      <c r="G1592">
        <v>14.5</v>
      </c>
      <c r="H1592">
        <v>-27.6</v>
      </c>
      <c r="I1592">
        <v>17.7</v>
      </c>
      <c r="J1592">
        <v>4.7</v>
      </c>
      <c r="K1592">
        <v>-360.2</v>
      </c>
      <c r="L1592" s="2"/>
    </row>
    <row r="1593" spans="1:12" x14ac:dyDescent="0.25">
      <c r="A1593" s="2" t="s">
        <v>30</v>
      </c>
      <c r="B1593" s="2" t="s">
        <v>31</v>
      </c>
      <c r="C1593" s="2" t="s">
        <v>32</v>
      </c>
      <c r="D1593" s="2" t="s">
        <v>81</v>
      </c>
      <c r="E1593">
        <v>13</v>
      </c>
      <c r="F1593">
        <v>-15946.1</v>
      </c>
      <c r="G1593">
        <v>14.5</v>
      </c>
      <c r="H1593">
        <v>-27.6</v>
      </c>
      <c r="I1593">
        <v>17.7</v>
      </c>
      <c r="J1593">
        <v>2.2999999999999998</v>
      </c>
      <c r="K1593">
        <v>-406</v>
      </c>
      <c r="L1593" s="2"/>
    </row>
    <row r="1594" spans="1:12" x14ac:dyDescent="0.25">
      <c r="A1594" s="2" t="s">
        <v>30</v>
      </c>
      <c r="B1594" s="2" t="s">
        <v>31</v>
      </c>
      <c r="C1594" s="2" t="s">
        <v>32</v>
      </c>
      <c r="D1594" s="2" t="s">
        <v>82</v>
      </c>
      <c r="E1594">
        <v>0</v>
      </c>
      <c r="F1594">
        <v>-6110.6</v>
      </c>
      <c r="G1594">
        <v>47.7</v>
      </c>
      <c r="H1594">
        <v>2.4</v>
      </c>
      <c r="I1594">
        <v>27.6</v>
      </c>
      <c r="J1594">
        <v>20.9</v>
      </c>
      <c r="K1594">
        <v>236.5</v>
      </c>
      <c r="L1594" s="2"/>
    </row>
    <row r="1595" spans="1:12" x14ac:dyDescent="0.25">
      <c r="A1595" s="2" t="s">
        <v>30</v>
      </c>
      <c r="B1595" s="2" t="s">
        <v>31</v>
      </c>
      <c r="C1595" s="2" t="s">
        <v>32</v>
      </c>
      <c r="D1595" s="2" t="s">
        <v>82</v>
      </c>
      <c r="E1595">
        <v>0.92859999999999998</v>
      </c>
      <c r="F1595">
        <v>-6110.6</v>
      </c>
      <c r="G1595">
        <v>47.7</v>
      </c>
      <c r="H1595">
        <v>2.4</v>
      </c>
      <c r="I1595">
        <v>27.6</v>
      </c>
      <c r="J1595">
        <v>20.100000000000001</v>
      </c>
      <c r="K1595">
        <v>192.3</v>
      </c>
      <c r="L1595" s="2"/>
    </row>
    <row r="1596" spans="1:12" x14ac:dyDescent="0.25">
      <c r="A1596" s="2" t="s">
        <v>30</v>
      </c>
      <c r="B1596" s="2" t="s">
        <v>31</v>
      </c>
      <c r="C1596" s="2" t="s">
        <v>32</v>
      </c>
      <c r="D1596" s="2" t="s">
        <v>82</v>
      </c>
      <c r="E1596">
        <v>1.8571</v>
      </c>
      <c r="F1596">
        <v>-6110.6</v>
      </c>
      <c r="G1596">
        <v>47.7</v>
      </c>
      <c r="H1596">
        <v>2.4</v>
      </c>
      <c r="I1596">
        <v>27.6</v>
      </c>
      <c r="J1596">
        <v>19.3</v>
      </c>
      <c r="K1596">
        <v>148</v>
      </c>
      <c r="L1596" s="2"/>
    </row>
    <row r="1597" spans="1:12" x14ac:dyDescent="0.25">
      <c r="A1597" s="2" t="s">
        <v>30</v>
      </c>
      <c r="B1597" s="2" t="s">
        <v>31</v>
      </c>
      <c r="C1597" s="2" t="s">
        <v>32</v>
      </c>
      <c r="D1597" s="2" t="s">
        <v>82</v>
      </c>
      <c r="E1597">
        <v>2.7856999999999998</v>
      </c>
      <c r="F1597">
        <v>-6110.6</v>
      </c>
      <c r="G1597">
        <v>47.7</v>
      </c>
      <c r="H1597">
        <v>2.4</v>
      </c>
      <c r="I1597">
        <v>27.6</v>
      </c>
      <c r="J1597">
        <v>18.3</v>
      </c>
      <c r="K1597">
        <v>103.4</v>
      </c>
      <c r="L1597" s="2"/>
    </row>
    <row r="1598" spans="1:12" x14ac:dyDescent="0.25">
      <c r="A1598" s="2" t="s">
        <v>30</v>
      </c>
      <c r="B1598" s="2" t="s">
        <v>31</v>
      </c>
      <c r="C1598" s="2" t="s">
        <v>32</v>
      </c>
      <c r="D1598" s="2" t="s">
        <v>82</v>
      </c>
      <c r="E1598">
        <v>3.7143000000000002</v>
      </c>
      <c r="F1598">
        <v>-6110.6</v>
      </c>
      <c r="G1598">
        <v>47.7</v>
      </c>
      <c r="H1598">
        <v>2.4</v>
      </c>
      <c r="I1598">
        <v>27.6</v>
      </c>
      <c r="J1598">
        <v>18</v>
      </c>
      <c r="K1598">
        <v>58.8</v>
      </c>
      <c r="L1598" s="2"/>
    </row>
    <row r="1599" spans="1:12" x14ac:dyDescent="0.25">
      <c r="A1599" s="2" t="s">
        <v>30</v>
      </c>
      <c r="B1599" s="2" t="s">
        <v>31</v>
      </c>
      <c r="C1599" s="2" t="s">
        <v>32</v>
      </c>
      <c r="D1599" s="2" t="s">
        <v>82</v>
      </c>
      <c r="E1599">
        <v>4.6429</v>
      </c>
      <c r="F1599">
        <v>-6110.6</v>
      </c>
      <c r="G1599">
        <v>47.7</v>
      </c>
      <c r="H1599">
        <v>2.4</v>
      </c>
      <c r="I1599">
        <v>27.6</v>
      </c>
      <c r="J1599">
        <v>38</v>
      </c>
      <c r="K1599">
        <v>36.700000000000003</v>
      </c>
      <c r="L1599" s="2"/>
    </row>
    <row r="1600" spans="1:12" x14ac:dyDescent="0.25">
      <c r="A1600" s="2" t="s">
        <v>30</v>
      </c>
      <c r="B1600" s="2" t="s">
        <v>31</v>
      </c>
      <c r="C1600" s="2" t="s">
        <v>32</v>
      </c>
      <c r="D1600" s="2" t="s">
        <v>82</v>
      </c>
      <c r="E1600">
        <v>5.5713999999999997</v>
      </c>
      <c r="F1600">
        <v>-6110.6</v>
      </c>
      <c r="G1600">
        <v>47.7</v>
      </c>
      <c r="H1600">
        <v>2.4</v>
      </c>
      <c r="I1600">
        <v>27.6</v>
      </c>
      <c r="J1600">
        <v>62.1</v>
      </c>
      <c r="K1600">
        <v>26.4</v>
      </c>
      <c r="L1600" s="2"/>
    </row>
    <row r="1601" spans="1:12" x14ac:dyDescent="0.25">
      <c r="A1601" s="2" t="s">
        <v>30</v>
      </c>
      <c r="B1601" s="2" t="s">
        <v>31</v>
      </c>
      <c r="C1601" s="2" t="s">
        <v>32</v>
      </c>
      <c r="D1601" s="2" t="s">
        <v>82</v>
      </c>
      <c r="E1601">
        <v>6.5</v>
      </c>
      <c r="F1601">
        <v>-6110.6</v>
      </c>
      <c r="G1601">
        <v>47.7</v>
      </c>
      <c r="H1601">
        <v>2.4</v>
      </c>
      <c r="I1601">
        <v>27.6</v>
      </c>
      <c r="J1601">
        <v>91</v>
      </c>
      <c r="K1601">
        <v>15.9</v>
      </c>
      <c r="L1601" s="2"/>
    </row>
    <row r="1602" spans="1:12" x14ac:dyDescent="0.25">
      <c r="A1602" s="2" t="s">
        <v>30</v>
      </c>
      <c r="B1602" s="2" t="s">
        <v>31</v>
      </c>
      <c r="C1602" s="2" t="s">
        <v>32</v>
      </c>
      <c r="D1602" s="2" t="s">
        <v>82</v>
      </c>
      <c r="E1602">
        <v>7.4286000000000003</v>
      </c>
      <c r="F1602">
        <v>-6110.6</v>
      </c>
      <c r="G1602">
        <v>47.7</v>
      </c>
      <c r="H1602">
        <v>2.4</v>
      </c>
      <c r="I1602">
        <v>27.6</v>
      </c>
      <c r="J1602">
        <v>119.8</v>
      </c>
      <c r="K1602">
        <v>5.4</v>
      </c>
      <c r="L1602" s="2"/>
    </row>
    <row r="1603" spans="1:12" x14ac:dyDescent="0.25">
      <c r="A1603" s="2" t="s">
        <v>30</v>
      </c>
      <c r="B1603" s="2" t="s">
        <v>31</v>
      </c>
      <c r="C1603" s="2" t="s">
        <v>32</v>
      </c>
      <c r="D1603" s="2" t="s">
        <v>82</v>
      </c>
      <c r="E1603">
        <v>8.3571000000000009</v>
      </c>
      <c r="F1603">
        <v>-6110.6</v>
      </c>
      <c r="G1603">
        <v>47.7</v>
      </c>
      <c r="H1603">
        <v>2.4</v>
      </c>
      <c r="I1603">
        <v>27.6</v>
      </c>
      <c r="J1603">
        <v>148.4</v>
      </c>
      <c r="K1603">
        <v>-5.0999999999999996</v>
      </c>
      <c r="L1603" s="2"/>
    </row>
    <row r="1604" spans="1:12" x14ac:dyDescent="0.25">
      <c r="A1604" s="2" t="s">
        <v>30</v>
      </c>
      <c r="B1604" s="2" t="s">
        <v>31</v>
      </c>
      <c r="C1604" s="2" t="s">
        <v>32</v>
      </c>
      <c r="D1604" s="2" t="s">
        <v>82</v>
      </c>
      <c r="E1604">
        <v>9.2857000000000003</v>
      </c>
      <c r="F1604">
        <v>-6110.6</v>
      </c>
      <c r="G1604">
        <v>47.7</v>
      </c>
      <c r="H1604">
        <v>2.4</v>
      </c>
      <c r="I1604">
        <v>27.6</v>
      </c>
      <c r="J1604">
        <v>176.7</v>
      </c>
      <c r="K1604">
        <v>-15.6</v>
      </c>
      <c r="L1604" s="2"/>
    </row>
    <row r="1605" spans="1:12" x14ac:dyDescent="0.25">
      <c r="A1605" s="2" t="s">
        <v>30</v>
      </c>
      <c r="B1605" s="2" t="s">
        <v>31</v>
      </c>
      <c r="C1605" s="2" t="s">
        <v>32</v>
      </c>
      <c r="D1605" s="2" t="s">
        <v>82</v>
      </c>
      <c r="E1605">
        <v>10.2143</v>
      </c>
      <c r="F1605">
        <v>-6110.6</v>
      </c>
      <c r="G1605">
        <v>47.7</v>
      </c>
      <c r="H1605">
        <v>2.4</v>
      </c>
      <c r="I1605">
        <v>27.6</v>
      </c>
      <c r="J1605">
        <v>204.7</v>
      </c>
      <c r="K1605">
        <v>-26.1</v>
      </c>
      <c r="L1605" s="2"/>
    </row>
    <row r="1606" spans="1:12" x14ac:dyDescent="0.25">
      <c r="A1606" s="2" t="s">
        <v>30</v>
      </c>
      <c r="B1606" s="2" t="s">
        <v>31</v>
      </c>
      <c r="C1606" s="2" t="s">
        <v>32</v>
      </c>
      <c r="D1606" s="2" t="s">
        <v>82</v>
      </c>
      <c r="E1606">
        <v>11.142899999999999</v>
      </c>
      <c r="F1606">
        <v>-6110.6</v>
      </c>
      <c r="G1606">
        <v>47.7</v>
      </c>
      <c r="H1606">
        <v>2.4</v>
      </c>
      <c r="I1606">
        <v>27.6</v>
      </c>
      <c r="J1606">
        <v>232.4</v>
      </c>
      <c r="K1606">
        <v>-36.5</v>
      </c>
      <c r="L1606" s="2"/>
    </row>
    <row r="1607" spans="1:12" x14ac:dyDescent="0.25">
      <c r="A1607" s="2" t="s">
        <v>30</v>
      </c>
      <c r="B1607" s="2" t="s">
        <v>31</v>
      </c>
      <c r="C1607" s="2" t="s">
        <v>32</v>
      </c>
      <c r="D1607" s="2" t="s">
        <v>82</v>
      </c>
      <c r="E1607">
        <v>12.071400000000001</v>
      </c>
      <c r="F1607">
        <v>-6110.6</v>
      </c>
      <c r="G1607">
        <v>47.7</v>
      </c>
      <c r="H1607">
        <v>2.4</v>
      </c>
      <c r="I1607">
        <v>27.6</v>
      </c>
      <c r="J1607">
        <v>259.7</v>
      </c>
      <c r="K1607">
        <v>-46.8</v>
      </c>
      <c r="L1607" s="2"/>
    </row>
    <row r="1608" spans="1:12" x14ac:dyDescent="0.25">
      <c r="A1608" s="2" t="s">
        <v>30</v>
      </c>
      <c r="B1608" s="2" t="s">
        <v>31</v>
      </c>
      <c r="C1608" s="2" t="s">
        <v>32</v>
      </c>
      <c r="D1608" s="2" t="s">
        <v>82</v>
      </c>
      <c r="E1608">
        <v>13</v>
      </c>
      <c r="F1608">
        <v>-6110.6</v>
      </c>
      <c r="G1608">
        <v>47.7</v>
      </c>
      <c r="H1608">
        <v>2.4</v>
      </c>
      <c r="I1608">
        <v>27.6</v>
      </c>
      <c r="J1608">
        <v>286.60000000000002</v>
      </c>
      <c r="K1608">
        <v>-57.1</v>
      </c>
      <c r="L1608" s="2"/>
    </row>
    <row r="1609" spans="1:12" x14ac:dyDescent="0.25">
      <c r="A1609" s="2" t="s">
        <v>30</v>
      </c>
      <c r="B1609" s="2" t="s">
        <v>31</v>
      </c>
      <c r="C1609" s="2" t="s">
        <v>32</v>
      </c>
      <c r="D1609" s="2" t="s">
        <v>82</v>
      </c>
      <c r="E1609">
        <v>0</v>
      </c>
      <c r="F1609">
        <v>-15576.4</v>
      </c>
      <c r="G1609">
        <v>11.1</v>
      </c>
      <c r="H1609">
        <v>-28.8</v>
      </c>
      <c r="I1609">
        <v>13.9</v>
      </c>
      <c r="J1609">
        <v>-113.1</v>
      </c>
      <c r="K1609">
        <v>86.4</v>
      </c>
      <c r="L1609" s="2"/>
    </row>
    <row r="1610" spans="1:12" x14ac:dyDescent="0.25">
      <c r="A1610" s="2" t="s">
        <v>30</v>
      </c>
      <c r="B1610" s="2" t="s">
        <v>31</v>
      </c>
      <c r="C1610" s="2" t="s">
        <v>32</v>
      </c>
      <c r="D1610" s="2" t="s">
        <v>82</v>
      </c>
      <c r="E1610">
        <v>0.92859999999999998</v>
      </c>
      <c r="F1610">
        <v>-15533.5</v>
      </c>
      <c r="G1610">
        <v>11.1</v>
      </c>
      <c r="H1610">
        <v>-28.8</v>
      </c>
      <c r="I1610">
        <v>13.9</v>
      </c>
      <c r="J1610">
        <v>-84.2</v>
      </c>
      <c r="K1610">
        <v>76.900000000000006</v>
      </c>
      <c r="L1610" s="2"/>
    </row>
    <row r="1611" spans="1:12" x14ac:dyDescent="0.25">
      <c r="A1611" s="2" t="s">
        <v>30</v>
      </c>
      <c r="B1611" s="2" t="s">
        <v>31</v>
      </c>
      <c r="C1611" s="2" t="s">
        <v>32</v>
      </c>
      <c r="D1611" s="2" t="s">
        <v>82</v>
      </c>
      <c r="E1611">
        <v>1.8571</v>
      </c>
      <c r="F1611">
        <v>-15490.6</v>
      </c>
      <c r="G1611">
        <v>11.1</v>
      </c>
      <c r="H1611">
        <v>-28.8</v>
      </c>
      <c r="I1611">
        <v>13.9</v>
      </c>
      <c r="J1611">
        <v>-55.4</v>
      </c>
      <c r="K1611">
        <v>67.099999999999994</v>
      </c>
      <c r="L1611" s="2"/>
    </row>
    <row r="1612" spans="1:12" x14ac:dyDescent="0.25">
      <c r="A1612" s="2" t="s">
        <v>30</v>
      </c>
      <c r="B1612" s="2" t="s">
        <v>31</v>
      </c>
      <c r="C1612" s="2" t="s">
        <v>32</v>
      </c>
      <c r="D1612" s="2" t="s">
        <v>82</v>
      </c>
      <c r="E1612">
        <v>2.7856999999999998</v>
      </c>
      <c r="F1612">
        <v>-15447.8</v>
      </c>
      <c r="G1612">
        <v>11.1</v>
      </c>
      <c r="H1612">
        <v>-28.8</v>
      </c>
      <c r="I1612">
        <v>13.9</v>
      </c>
      <c r="J1612">
        <v>-26.6</v>
      </c>
      <c r="K1612">
        <v>57.1</v>
      </c>
      <c r="L1612" s="2"/>
    </row>
    <row r="1613" spans="1:12" x14ac:dyDescent="0.25">
      <c r="A1613" s="2" t="s">
        <v>30</v>
      </c>
      <c r="B1613" s="2" t="s">
        <v>31</v>
      </c>
      <c r="C1613" s="2" t="s">
        <v>32</v>
      </c>
      <c r="D1613" s="2" t="s">
        <v>82</v>
      </c>
      <c r="E1613">
        <v>3.7143000000000002</v>
      </c>
      <c r="F1613">
        <v>-15404.9</v>
      </c>
      <c r="G1613">
        <v>11.1</v>
      </c>
      <c r="H1613">
        <v>-28.8</v>
      </c>
      <c r="I1613">
        <v>13.9</v>
      </c>
      <c r="J1613">
        <v>2.2000000000000002</v>
      </c>
      <c r="K1613">
        <v>47</v>
      </c>
      <c r="L1613" s="2"/>
    </row>
    <row r="1614" spans="1:12" x14ac:dyDescent="0.25">
      <c r="A1614" s="2" t="s">
        <v>30</v>
      </c>
      <c r="B1614" s="2" t="s">
        <v>31</v>
      </c>
      <c r="C1614" s="2" t="s">
        <v>32</v>
      </c>
      <c r="D1614" s="2" t="s">
        <v>82</v>
      </c>
      <c r="E1614">
        <v>4.6429</v>
      </c>
      <c r="F1614">
        <v>-15362</v>
      </c>
      <c r="G1614">
        <v>11.1</v>
      </c>
      <c r="H1614">
        <v>-28.8</v>
      </c>
      <c r="I1614">
        <v>13.9</v>
      </c>
      <c r="J1614">
        <v>16.2</v>
      </c>
      <c r="K1614">
        <v>12.3</v>
      </c>
      <c r="L1614" s="2"/>
    </row>
    <row r="1615" spans="1:12" x14ac:dyDescent="0.25">
      <c r="A1615" s="2" t="s">
        <v>30</v>
      </c>
      <c r="B1615" s="2" t="s">
        <v>31</v>
      </c>
      <c r="C1615" s="2" t="s">
        <v>32</v>
      </c>
      <c r="D1615" s="2" t="s">
        <v>82</v>
      </c>
      <c r="E1615">
        <v>5.5713999999999997</v>
      </c>
      <c r="F1615">
        <v>-15319.1</v>
      </c>
      <c r="G1615">
        <v>11.1</v>
      </c>
      <c r="H1615">
        <v>-28.8</v>
      </c>
      <c r="I1615">
        <v>13.9</v>
      </c>
      <c r="J1615">
        <v>15.1</v>
      </c>
      <c r="K1615">
        <v>-33</v>
      </c>
      <c r="L1615" s="2"/>
    </row>
    <row r="1616" spans="1:12" x14ac:dyDescent="0.25">
      <c r="A1616" s="2" t="s">
        <v>30</v>
      </c>
      <c r="B1616" s="2" t="s">
        <v>31</v>
      </c>
      <c r="C1616" s="2" t="s">
        <v>32</v>
      </c>
      <c r="D1616" s="2" t="s">
        <v>82</v>
      </c>
      <c r="E1616">
        <v>6.5</v>
      </c>
      <c r="F1616">
        <v>-15276.2</v>
      </c>
      <c r="G1616">
        <v>11.1</v>
      </c>
      <c r="H1616">
        <v>-28.8</v>
      </c>
      <c r="I1616">
        <v>13.9</v>
      </c>
      <c r="J1616">
        <v>14</v>
      </c>
      <c r="K1616">
        <v>-78.400000000000006</v>
      </c>
      <c r="L1616" s="2"/>
    </row>
    <row r="1617" spans="1:12" x14ac:dyDescent="0.25">
      <c r="A1617" s="2" t="s">
        <v>30</v>
      </c>
      <c r="B1617" s="2" t="s">
        <v>31</v>
      </c>
      <c r="C1617" s="2" t="s">
        <v>32</v>
      </c>
      <c r="D1617" s="2" t="s">
        <v>82</v>
      </c>
      <c r="E1617">
        <v>7.4286000000000003</v>
      </c>
      <c r="F1617">
        <v>-15233.3</v>
      </c>
      <c r="G1617">
        <v>11.1</v>
      </c>
      <c r="H1617">
        <v>-28.8</v>
      </c>
      <c r="I1617">
        <v>13.9</v>
      </c>
      <c r="J1617">
        <v>12.8</v>
      </c>
      <c r="K1617">
        <v>-123.6</v>
      </c>
      <c r="L1617" s="2"/>
    </row>
    <row r="1618" spans="1:12" x14ac:dyDescent="0.25">
      <c r="A1618" s="2" t="s">
        <v>30</v>
      </c>
      <c r="B1618" s="2" t="s">
        <v>31</v>
      </c>
      <c r="C1618" s="2" t="s">
        <v>32</v>
      </c>
      <c r="D1618" s="2" t="s">
        <v>82</v>
      </c>
      <c r="E1618">
        <v>8.3571000000000009</v>
      </c>
      <c r="F1618">
        <v>-15190.5</v>
      </c>
      <c r="G1618">
        <v>11.1</v>
      </c>
      <c r="H1618">
        <v>-28.8</v>
      </c>
      <c r="I1618">
        <v>13.9</v>
      </c>
      <c r="J1618">
        <v>11.5</v>
      </c>
      <c r="K1618">
        <v>-168.7</v>
      </c>
      <c r="L1618" s="2"/>
    </row>
    <row r="1619" spans="1:12" x14ac:dyDescent="0.25">
      <c r="A1619" s="2" t="s">
        <v>30</v>
      </c>
      <c r="B1619" s="2" t="s">
        <v>31</v>
      </c>
      <c r="C1619" s="2" t="s">
        <v>32</v>
      </c>
      <c r="D1619" s="2" t="s">
        <v>82</v>
      </c>
      <c r="E1619">
        <v>9.2857000000000003</v>
      </c>
      <c r="F1619">
        <v>-15147.6</v>
      </c>
      <c r="G1619">
        <v>11.1</v>
      </c>
      <c r="H1619">
        <v>-28.8</v>
      </c>
      <c r="I1619">
        <v>13.9</v>
      </c>
      <c r="J1619">
        <v>10.3</v>
      </c>
      <c r="K1619">
        <v>-213.5</v>
      </c>
      <c r="L1619" s="2"/>
    </row>
    <row r="1620" spans="1:12" x14ac:dyDescent="0.25">
      <c r="A1620" s="2" t="s">
        <v>30</v>
      </c>
      <c r="B1620" s="2" t="s">
        <v>31</v>
      </c>
      <c r="C1620" s="2" t="s">
        <v>32</v>
      </c>
      <c r="D1620" s="2" t="s">
        <v>82</v>
      </c>
      <c r="E1620">
        <v>10.2143</v>
      </c>
      <c r="F1620">
        <v>-15104.7</v>
      </c>
      <c r="G1620">
        <v>11.1</v>
      </c>
      <c r="H1620">
        <v>-28.8</v>
      </c>
      <c r="I1620">
        <v>13.9</v>
      </c>
      <c r="J1620">
        <v>9</v>
      </c>
      <c r="K1620">
        <v>-257.89999999999998</v>
      </c>
      <c r="L1620" s="2"/>
    </row>
    <row r="1621" spans="1:12" x14ac:dyDescent="0.25">
      <c r="A1621" s="2" t="s">
        <v>30</v>
      </c>
      <c r="B1621" s="2" t="s">
        <v>31</v>
      </c>
      <c r="C1621" s="2" t="s">
        <v>32</v>
      </c>
      <c r="D1621" s="2" t="s">
        <v>82</v>
      </c>
      <c r="E1621">
        <v>11.142899999999999</v>
      </c>
      <c r="F1621">
        <v>-15061.8</v>
      </c>
      <c r="G1621">
        <v>11.1</v>
      </c>
      <c r="H1621">
        <v>-28.8</v>
      </c>
      <c r="I1621">
        <v>13.9</v>
      </c>
      <c r="J1621">
        <v>7.7</v>
      </c>
      <c r="K1621">
        <v>-301.89999999999998</v>
      </c>
      <c r="L1621" s="2"/>
    </row>
    <row r="1622" spans="1:12" x14ac:dyDescent="0.25">
      <c r="A1622" s="2" t="s">
        <v>30</v>
      </c>
      <c r="B1622" s="2" t="s">
        <v>31</v>
      </c>
      <c r="C1622" s="2" t="s">
        <v>32</v>
      </c>
      <c r="D1622" s="2" t="s">
        <v>82</v>
      </c>
      <c r="E1622">
        <v>12.071400000000001</v>
      </c>
      <c r="F1622">
        <v>-15018.9</v>
      </c>
      <c r="G1622">
        <v>11.1</v>
      </c>
      <c r="H1622">
        <v>-28.8</v>
      </c>
      <c r="I1622">
        <v>13.9</v>
      </c>
      <c r="J1622">
        <v>6.4</v>
      </c>
      <c r="K1622">
        <v>-345.3</v>
      </c>
      <c r="L1622" s="2"/>
    </row>
    <row r="1623" spans="1:12" x14ac:dyDescent="0.25">
      <c r="A1623" s="2" t="s">
        <v>30</v>
      </c>
      <c r="B1623" s="2" t="s">
        <v>31</v>
      </c>
      <c r="C1623" s="2" t="s">
        <v>32</v>
      </c>
      <c r="D1623" s="2" t="s">
        <v>82</v>
      </c>
      <c r="E1623">
        <v>13</v>
      </c>
      <c r="F1623">
        <v>-14976.1</v>
      </c>
      <c r="G1623">
        <v>11.1</v>
      </c>
      <c r="H1623">
        <v>-28.8</v>
      </c>
      <c r="I1623">
        <v>13.9</v>
      </c>
      <c r="J1623">
        <v>5.0999999999999996</v>
      </c>
      <c r="K1623">
        <v>-388.2</v>
      </c>
      <c r="L1623" s="2"/>
    </row>
    <row r="1624" spans="1:12" x14ac:dyDescent="0.25">
      <c r="A1624" s="2" t="s">
        <v>30</v>
      </c>
      <c r="B1624" s="2" t="s">
        <v>31</v>
      </c>
      <c r="C1624" s="2" t="s">
        <v>32</v>
      </c>
      <c r="D1624" s="2" t="s">
        <v>83</v>
      </c>
      <c r="E1624">
        <v>0</v>
      </c>
      <c r="F1624">
        <v>-4206.2</v>
      </c>
      <c r="G1624">
        <v>55.7</v>
      </c>
      <c r="H1624">
        <v>78.8</v>
      </c>
      <c r="I1624">
        <v>95.4</v>
      </c>
      <c r="J1624">
        <v>277.60000000000002</v>
      </c>
      <c r="K1624">
        <v>229.2</v>
      </c>
      <c r="L1624" s="2"/>
    </row>
    <row r="1625" spans="1:12" x14ac:dyDescent="0.25">
      <c r="A1625" s="2" t="s">
        <v>30</v>
      </c>
      <c r="B1625" s="2" t="s">
        <v>31</v>
      </c>
      <c r="C1625" s="2" t="s">
        <v>32</v>
      </c>
      <c r="D1625" s="2" t="s">
        <v>83</v>
      </c>
      <c r="E1625">
        <v>0.92859999999999998</v>
      </c>
      <c r="F1625">
        <v>-4206.2</v>
      </c>
      <c r="G1625">
        <v>55.7</v>
      </c>
      <c r="H1625">
        <v>78.8</v>
      </c>
      <c r="I1625">
        <v>95.4</v>
      </c>
      <c r="J1625">
        <v>205.3</v>
      </c>
      <c r="K1625">
        <v>177.8</v>
      </c>
      <c r="L1625" s="2"/>
    </row>
    <row r="1626" spans="1:12" x14ac:dyDescent="0.25">
      <c r="A1626" s="2" t="s">
        <v>30</v>
      </c>
      <c r="B1626" s="2" t="s">
        <v>31</v>
      </c>
      <c r="C1626" s="2" t="s">
        <v>32</v>
      </c>
      <c r="D1626" s="2" t="s">
        <v>83</v>
      </c>
      <c r="E1626">
        <v>1.8571</v>
      </c>
      <c r="F1626">
        <v>-4206.2</v>
      </c>
      <c r="G1626">
        <v>55.7</v>
      </c>
      <c r="H1626">
        <v>78.8</v>
      </c>
      <c r="I1626">
        <v>95.4</v>
      </c>
      <c r="J1626">
        <v>133.1</v>
      </c>
      <c r="K1626">
        <v>126.8</v>
      </c>
      <c r="L1626" s="2"/>
    </row>
    <row r="1627" spans="1:12" x14ac:dyDescent="0.25">
      <c r="A1627" s="2" t="s">
        <v>30</v>
      </c>
      <c r="B1627" s="2" t="s">
        <v>31</v>
      </c>
      <c r="C1627" s="2" t="s">
        <v>32</v>
      </c>
      <c r="D1627" s="2" t="s">
        <v>83</v>
      </c>
      <c r="E1627">
        <v>2.7856999999999998</v>
      </c>
      <c r="F1627">
        <v>-4206.2</v>
      </c>
      <c r="G1627">
        <v>55.7</v>
      </c>
      <c r="H1627">
        <v>78.8</v>
      </c>
      <c r="I1627">
        <v>95.4</v>
      </c>
      <c r="J1627">
        <v>82.1</v>
      </c>
      <c r="K1627">
        <v>83.8</v>
      </c>
      <c r="L1627" s="2"/>
    </row>
    <row r="1628" spans="1:12" x14ac:dyDescent="0.25">
      <c r="A1628" s="2" t="s">
        <v>30</v>
      </c>
      <c r="B1628" s="2" t="s">
        <v>31</v>
      </c>
      <c r="C1628" s="2" t="s">
        <v>32</v>
      </c>
      <c r="D1628" s="2" t="s">
        <v>83</v>
      </c>
      <c r="E1628">
        <v>3.7143000000000002</v>
      </c>
      <c r="F1628">
        <v>-4206.2</v>
      </c>
      <c r="G1628">
        <v>55.7</v>
      </c>
      <c r="H1628">
        <v>78.8</v>
      </c>
      <c r="I1628">
        <v>95.4</v>
      </c>
      <c r="J1628">
        <v>61.4</v>
      </c>
      <c r="K1628">
        <v>45.1</v>
      </c>
      <c r="L1628" s="2"/>
    </row>
    <row r="1629" spans="1:12" x14ac:dyDescent="0.25">
      <c r="A1629" s="2" t="s">
        <v>30</v>
      </c>
      <c r="B1629" s="2" t="s">
        <v>31</v>
      </c>
      <c r="C1629" s="2" t="s">
        <v>32</v>
      </c>
      <c r="D1629" s="2" t="s">
        <v>83</v>
      </c>
      <c r="E1629">
        <v>4.6429</v>
      </c>
      <c r="F1629">
        <v>-4206.2</v>
      </c>
      <c r="G1629">
        <v>55.7</v>
      </c>
      <c r="H1629">
        <v>78.8</v>
      </c>
      <c r="I1629">
        <v>95.4</v>
      </c>
      <c r="J1629">
        <v>79.3</v>
      </c>
      <c r="K1629">
        <v>29</v>
      </c>
      <c r="L1629" s="2"/>
    </row>
    <row r="1630" spans="1:12" x14ac:dyDescent="0.25">
      <c r="A1630" s="2" t="s">
        <v>30</v>
      </c>
      <c r="B1630" s="2" t="s">
        <v>31</v>
      </c>
      <c r="C1630" s="2" t="s">
        <v>32</v>
      </c>
      <c r="D1630" s="2" t="s">
        <v>83</v>
      </c>
      <c r="E1630">
        <v>5.5713999999999997</v>
      </c>
      <c r="F1630">
        <v>-4206.2</v>
      </c>
      <c r="G1630">
        <v>55.7</v>
      </c>
      <c r="H1630">
        <v>78.8</v>
      </c>
      <c r="I1630">
        <v>95.4</v>
      </c>
      <c r="J1630">
        <v>150.1</v>
      </c>
      <c r="K1630">
        <v>24.7</v>
      </c>
      <c r="L1630" s="2"/>
    </row>
    <row r="1631" spans="1:12" x14ac:dyDescent="0.25">
      <c r="A1631" s="2" t="s">
        <v>30</v>
      </c>
      <c r="B1631" s="2" t="s">
        <v>31</v>
      </c>
      <c r="C1631" s="2" t="s">
        <v>32</v>
      </c>
      <c r="D1631" s="2" t="s">
        <v>83</v>
      </c>
      <c r="E1631">
        <v>6.5</v>
      </c>
      <c r="F1631">
        <v>-4206.2</v>
      </c>
      <c r="G1631">
        <v>55.7</v>
      </c>
      <c r="H1631">
        <v>78.8</v>
      </c>
      <c r="I1631">
        <v>95.4</v>
      </c>
      <c r="J1631">
        <v>225.7</v>
      </c>
      <c r="K1631">
        <v>20.399999999999999</v>
      </c>
      <c r="L1631" s="2"/>
    </row>
    <row r="1632" spans="1:12" x14ac:dyDescent="0.25">
      <c r="A1632" s="2" t="s">
        <v>30</v>
      </c>
      <c r="B1632" s="2" t="s">
        <v>31</v>
      </c>
      <c r="C1632" s="2" t="s">
        <v>32</v>
      </c>
      <c r="D1632" s="2" t="s">
        <v>83</v>
      </c>
      <c r="E1632">
        <v>7.4286000000000003</v>
      </c>
      <c r="F1632">
        <v>-4206.2</v>
      </c>
      <c r="G1632">
        <v>55.7</v>
      </c>
      <c r="H1632">
        <v>78.8</v>
      </c>
      <c r="I1632">
        <v>95.4</v>
      </c>
      <c r="J1632">
        <v>301.3</v>
      </c>
      <c r="K1632">
        <v>16</v>
      </c>
      <c r="L1632" s="2"/>
    </row>
    <row r="1633" spans="1:12" x14ac:dyDescent="0.25">
      <c r="A1633" s="2" t="s">
        <v>30</v>
      </c>
      <c r="B1633" s="2" t="s">
        <v>31</v>
      </c>
      <c r="C1633" s="2" t="s">
        <v>32</v>
      </c>
      <c r="D1633" s="2" t="s">
        <v>83</v>
      </c>
      <c r="E1633">
        <v>8.3571000000000009</v>
      </c>
      <c r="F1633">
        <v>-4206.2</v>
      </c>
      <c r="G1633">
        <v>55.7</v>
      </c>
      <c r="H1633">
        <v>78.8</v>
      </c>
      <c r="I1633">
        <v>95.4</v>
      </c>
      <c r="J1633">
        <v>376.6</v>
      </c>
      <c r="K1633">
        <v>11.7</v>
      </c>
      <c r="L1633" s="2"/>
    </row>
    <row r="1634" spans="1:12" x14ac:dyDescent="0.25">
      <c r="A1634" s="2" t="s">
        <v>30</v>
      </c>
      <c r="B1634" s="2" t="s">
        <v>31</v>
      </c>
      <c r="C1634" s="2" t="s">
        <v>32</v>
      </c>
      <c r="D1634" s="2" t="s">
        <v>83</v>
      </c>
      <c r="E1634">
        <v>9.2857000000000003</v>
      </c>
      <c r="F1634">
        <v>-4206.2</v>
      </c>
      <c r="G1634">
        <v>55.7</v>
      </c>
      <c r="H1634">
        <v>78.8</v>
      </c>
      <c r="I1634">
        <v>95.4</v>
      </c>
      <c r="J1634">
        <v>451.7</v>
      </c>
      <c r="K1634">
        <v>7.3</v>
      </c>
      <c r="L1634" s="2"/>
    </row>
    <row r="1635" spans="1:12" x14ac:dyDescent="0.25">
      <c r="A1635" s="2" t="s">
        <v>30</v>
      </c>
      <c r="B1635" s="2" t="s">
        <v>31</v>
      </c>
      <c r="C1635" s="2" t="s">
        <v>32</v>
      </c>
      <c r="D1635" s="2" t="s">
        <v>83</v>
      </c>
      <c r="E1635">
        <v>10.2143</v>
      </c>
      <c r="F1635">
        <v>-4206.2</v>
      </c>
      <c r="G1635">
        <v>55.7</v>
      </c>
      <c r="H1635">
        <v>78.8</v>
      </c>
      <c r="I1635">
        <v>95.4</v>
      </c>
      <c r="J1635">
        <v>526.5</v>
      </c>
      <c r="K1635">
        <v>2.9</v>
      </c>
      <c r="L1635" s="2"/>
    </row>
    <row r="1636" spans="1:12" x14ac:dyDescent="0.25">
      <c r="A1636" s="2" t="s">
        <v>30</v>
      </c>
      <c r="B1636" s="2" t="s">
        <v>31</v>
      </c>
      <c r="C1636" s="2" t="s">
        <v>32</v>
      </c>
      <c r="D1636" s="2" t="s">
        <v>83</v>
      </c>
      <c r="E1636">
        <v>11.142899999999999</v>
      </c>
      <c r="F1636">
        <v>-4206.2</v>
      </c>
      <c r="G1636">
        <v>55.7</v>
      </c>
      <c r="H1636">
        <v>78.8</v>
      </c>
      <c r="I1636">
        <v>95.4</v>
      </c>
      <c r="J1636">
        <v>600.9</v>
      </c>
      <c r="K1636">
        <v>-1.5</v>
      </c>
      <c r="L1636" s="2"/>
    </row>
    <row r="1637" spans="1:12" x14ac:dyDescent="0.25">
      <c r="A1637" s="2" t="s">
        <v>30</v>
      </c>
      <c r="B1637" s="2" t="s">
        <v>31</v>
      </c>
      <c r="C1637" s="2" t="s">
        <v>32</v>
      </c>
      <c r="D1637" s="2" t="s">
        <v>83</v>
      </c>
      <c r="E1637">
        <v>12.071400000000001</v>
      </c>
      <c r="F1637">
        <v>-4206.2</v>
      </c>
      <c r="G1637">
        <v>55.7</v>
      </c>
      <c r="H1637">
        <v>78.8</v>
      </c>
      <c r="I1637">
        <v>95.4</v>
      </c>
      <c r="J1637">
        <v>675</v>
      </c>
      <c r="K1637">
        <v>-5.8</v>
      </c>
      <c r="L1637" s="2"/>
    </row>
    <row r="1638" spans="1:12" x14ac:dyDescent="0.25">
      <c r="A1638" s="2" t="s">
        <v>30</v>
      </c>
      <c r="B1638" s="2" t="s">
        <v>31</v>
      </c>
      <c r="C1638" s="2" t="s">
        <v>32</v>
      </c>
      <c r="D1638" s="2" t="s">
        <v>83</v>
      </c>
      <c r="E1638">
        <v>13</v>
      </c>
      <c r="F1638">
        <v>-4206.2</v>
      </c>
      <c r="G1638">
        <v>55.7</v>
      </c>
      <c r="H1638">
        <v>78.8</v>
      </c>
      <c r="I1638">
        <v>95.4</v>
      </c>
      <c r="J1638">
        <v>748.6</v>
      </c>
      <c r="K1638">
        <v>-10.199999999999999</v>
      </c>
      <c r="L1638" s="2"/>
    </row>
    <row r="1639" spans="1:12" x14ac:dyDescent="0.25">
      <c r="A1639" s="2" t="s">
        <v>30</v>
      </c>
      <c r="B1639" s="2" t="s">
        <v>31</v>
      </c>
      <c r="C1639" s="2" t="s">
        <v>32</v>
      </c>
      <c r="D1639" s="2" t="s">
        <v>83</v>
      </c>
      <c r="E1639">
        <v>0</v>
      </c>
      <c r="F1639">
        <v>-15909.7</v>
      </c>
      <c r="G1639">
        <v>4.3</v>
      </c>
      <c r="H1639">
        <v>-79.3</v>
      </c>
      <c r="I1639">
        <v>-54</v>
      </c>
      <c r="J1639">
        <v>-304.5</v>
      </c>
      <c r="K1639">
        <v>47.1</v>
      </c>
      <c r="L1639" s="2"/>
    </row>
    <row r="1640" spans="1:12" x14ac:dyDescent="0.25">
      <c r="A1640" s="2" t="s">
        <v>30</v>
      </c>
      <c r="B1640" s="2" t="s">
        <v>31</v>
      </c>
      <c r="C1640" s="2" t="s">
        <v>32</v>
      </c>
      <c r="D1640" s="2" t="s">
        <v>83</v>
      </c>
      <c r="E1640">
        <v>0.92859999999999998</v>
      </c>
      <c r="F1640">
        <v>-15866.8</v>
      </c>
      <c r="G1640">
        <v>4.3</v>
      </c>
      <c r="H1640">
        <v>-79.3</v>
      </c>
      <c r="I1640">
        <v>-54</v>
      </c>
      <c r="J1640">
        <v>-229.2</v>
      </c>
      <c r="K1640">
        <v>41.7</v>
      </c>
      <c r="L1640" s="2"/>
    </row>
    <row r="1641" spans="1:12" x14ac:dyDescent="0.25">
      <c r="A1641" s="2" t="s">
        <v>30</v>
      </c>
      <c r="B1641" s="2" t="s">
        <v>31</v>
      </c>
      <c r="C1641" s="2" t="s">
        <v>32</v>
      </c>
      <c r="D1641" s="2" t="s">
        <v>83</v>
      </c>
      <c r="E1641">
        <v>1.8571</v>
      </c>
      <c r="F1641">
        <v>-15823.9</v>
      </c>
      <c r="G1641">
        <v>4.3</v>
      </c>
      <c r="H1641">
        <v>-79.3</v>
      </c>
      <c r="I1641">
        <v>-54</v>
      </c>
      <c r="J1641">
        <v>-153.9</v>
      </c>
      <c r="K1641">
        <v>36.1</v>
      </c>
      <c r="L1641" s="2"/>
    </row>
    <row r="1642" spans="1:12" x14ac:dyDescent="0.25">
      <c r="A1642" s="2" t="s">
        <v>30</v>
      </c>
      <c r="B1642" s="2" t="s">
        <v>31</v>
      </c>
      <c r="C1642" s="2" t="s">
        <v>32</v>
      </c>
      <c r="D1642" s="2" t="s">
        <v>83</v>
      </c>
      <c r="E1642">
        <v>2.7856999999999998</v>
      </c>
      <c r="F1642">
        <v>-15781</v>
      </c>
      <c r="G1642">
        <v>4.3</v>
      </c>
      <c r="H1642">
        <v>-79.3</v>
      </c>
      <c r="I1642">
        <v>-54</v>
      </c>
      <c r="J1642">
        <v>-92.5</v>
      </c>
      <c r="K1642">
        <v>23.3</v>
      </c>
      <c r="L1642" s="2"/>
    </row>
    <row r="1643" spans="1:12" x14ac:dyDescent="0.25">
      <c r="A1643" s="2" t="s">
        <v>30</v>
      </c>
      <c r="B1643" s="2" t="s">
        <v>31</v>
      </c>
      <c r="C1643" s="2" t="s">
        <v>32</v>
      </c>
      <c r="D1643" s="2" t="s">
        <v>83</v>
      </c>
      <c r="E1643">
        <v>3.7143000000000002</v>
      </c>
      <c r="F1643">
        <v>-15738.1</v>
      </c>
      <c r="G1643">
        <v>4.3</v>
      </c>
      <c r="H1643">
        <v>-79.3</v>
      </c>
      <c r="I1643">
        <v>-54</v>
      </c>
      <c r="J1643">
        <v>-54.1</v>
      </c>
      <c r="K1643">
        <v>7.9</v>
      </c>
      <c r="L1643" s="2"/>
    </row>
    <row r="1644" spans="1:12" x14ac:dyDescent="0.25">
      <c r="A1644" s="2" t="s">
        <v>30</v>
      </c>
      <c r="B1644" s="2" t="s">
        <v>31</v>
      </c>
      <c r="C1644" s="2" t="s">
        <v>32</v>
      </c>
      <c r="D1644" s="2" t="s">
        <v>83</v>
      </c>
      <c r="E1644">
        <v>4.6429</v>
      </c>
      <c r="F1644">
        <v>-15695.3</v>
      </c>
      <c r="G1644">
        <v>4.3</v>
      </c>
      <c r="H1644">
        <v>-79.3</v>
      </c>
      <c r="I1644">
        <v>-54</v>
      </c>
      <c r="J1644">
        <v>-83.7</v>
      </c>
      <c r="K1644">
        <v>-34.5</v>
      </c>
      <c r="L1644" s="2"/>
    </row>
    <row r="1645" spans="1:12" x14ac:dyDescent="0.25">
      <c r="A1645" s="2" t="s">
        <v>30</v>
      </c>
      <c r="B1645" s="2" t="s">
        <v>31</v>
      </c>
      <c r="C1645" s="2" t="s">
        <v>32</v>
      </c>
      <c r="D1645" s="2" t="s">
        <v>83</v>
      </c>
      <c r="E1645">
        <v>5.5713999999999997</v>
      </c>
      <c r="F1645">
        <v>-15652.4</v>
      </c>
      <c r="G1645">
        <v>4.3</v>
      </c>
      <c r="H1645">
        <v>-79.3</v>
      </c>
      <c r="I1645">
        <v>-54</v>
      </c>
      <c r="J1645">
        <v>-156</v>
      </c>
      <c r="K1645">
        <v>-87.6</v>
      </c>
      <c r="L1645" s="2"/>
    </row>
    <row r="1646" spans="1:12" x14ac:dyDescent="0.25">
      <c r="A1646" s="2" t="s">
        <v>30</v>
      </c>
      <c r="B1646" s="2" t="s">
        <v>31</v>
      </c>
      <c r="C1646" s="2" t="s">
        <v>32</v>
      </c>
      <c r="D1646" s="2" t="s">
        <v>83</v>
      </c>
      <c r="E1646">
        <v>6.5</v>
      </c>
      <c r="F1646">
        <v>-15609.5</v>
      </c>
      <c r="G1646">
        <v>4.3</v>
      </c>
      <c r="H1646">
        <v>-79.3</v>
      </c>
      <c r="I1646">
        <v>-54</v>
      </c>
      <c r="J1646">
        <v>-228.4</v>
      </c>
      <c r="K1646">
        <v>-140.6</v>
      </c>
      <c r="L1646" s="2"/>
    </row>
    <row r="1647" spans="1:12" x14ac:dyDescent="0.25">
      <c r="A1647" s="2" t="s">
        <v>30</v>
      </c>
      <c r="B1647" s="2" t="s">
        <v>31</v>
      </c>
      <c r="C1647" s="2" t="s">
        <v>32</v>
      </c>
      <c r="D1647" s="2" t="s">
        <v>83</v>
      </c>
      <c r="E1647">
        <v>7.4286000000000003</v>
      </c>
      <c r="F1647">
        <v>-15566.6</v>
      </c>
      <c r="G1647">
        <v>4.3</v>
      </c>
      <c r="H1647">
        <v>-79.3</v>
      </c>
      <c r="I1647">
        <v>-54</v>
      </c>
      <c r="J1647">
        <v>-300.7</v>
      </c>
      <c r="K1647">
        <v>-193.5</v>
      </c>
      <c r="L1647" s="2"/>
    </row>
    <row r="1648" spans="1:12" x14ac:dyDescent="0.25">
      <c r="A1648" s="2" t="s">
        <v>30</v>
      </c>
      <c r="B1648" s="2" t="s">
        <v>31</v>
      </c>
      <c r="C1648" s="2" t="s">
        <v>32</v>
      </c>
      <c r="D1648" s="2" t="s">
        <v>83</v>
      </c>
      <c r="E1648">
        <v>8.3571000000000009</v>
      </c>
      <c r="F1648">
        <v>-15523.7</v>
      </c>
      <c r="G1648">
        <v>4.3</v>
      </c>
      <c r="H1648">
        <v>-79.3</v>
      </c>
      <c r="I1648">
        <v>-54</v>
      </c>
      <c r="J1648">
        <v>-373</v>
      </c>
      <c r="K1648">
        <v>-246.2</v>
      </c>
      <c r="L1648" s="2"/>
    </row>
    <row r="1649" spans="1:12" x14ac:dyDescent="0.25">
      <c r="A1649" s="2" t="s">
        <v>30</v>
      </c>
      <c r="B1649" s="2" t="s">
        <v>31</v>
      </c>
      <c r="C1649" s="2" t="s">
        <v>32</v>
      </c>
      <c r="D1649" s="2" t="s">
        <v>83</v>
      </c>
      <c r="E1649">
        <v>9.2857000000000003</v>
      </c>
      <c r="F1649">
        <v>-15480.9</v>
      </c>
      <c r="G1649">
        <v>4.3</v>
      </c>
      <c r="H1649">
        <v>-79.3</v>
      </c>
      <c r="I1649">
        <v>-54</v>
      </c>
      <c r="J1649">
        <v>-445.4</v>
      </c>
      <c r="K1649">
        <v>-298.7</v>
      </c>
      <c r="L1649" s="2"/>
    </row>
    <row r="1650" spans="1:12" x14ac:dyDescent="0.25">
      <c r="A1650" s="2" t="s">
        <v>30</v>
      </c>
      <c r="B1650" s="2" t="s">
        <v>31</v>
      </c>
      <c r="C1650" s="2" t="s">
        <v>32</v>
      </c>
      <c r="D1650" s="2" t="s">
        <v>83</v>
      </c>
      <c r="E1650">
        <v>10.2143</v>
      </c>
      <c r="F1650">
        <v>-15438</v>
      </c>
      <c r="G1650">
        <v>4.3</v>
      </c>
      <c r="H1650">
        <v>-79.3</v>
      </c>
      <c r="I1650">
        <v>-54</v>
      </c>
      <c r="J1650">
        <v>-517.79999999999995</v>
      </c>
      <c r="K1650">
        <v>-350.8</v>
      </c>
      <c r="L1650" s="2"/>
    </row>
    <row r="1651" spans="1:12" x14ac:dyDescent="0.25">
      <c r="A1651" s="2" t="s">
        <v>30</v>
      </c>
      <c r="B1651" s="2" t="s">
        <v>31</v>
      </c>
      <c r="C1651" s="2" t="s">
        <v>32</v>
      </c>
      <c r="D1651" s="2" t="s">
        <v>83</v>
      </c>
      <c r="E1651">
        <v>11.142899999999999</v>
      </c>
      <c r="F1651">
        <v>-15395.1</v>
      </c>
      <c r="G1651">
        <v>4.3</v>
      </c>
      <c r="H1651">
        <v>-79.3</v>
      </c>
      <c r="I1651">
        <v>-54</v>
      </c>
      <c r="J1651">
        <v>-590.1</v>
      </c>
      <c r="K1651">
        <v>-402.5</v>
      </c>
      <c r="L1651" s="2"/>
    </row>
    <row r="1652" spans="1:12" x14ac:dyDescent="0.25">
      <c r="A1652" s="2" t="s">
        <v>30</v>
      </c>
      <c r="B1652" s="2" t="s">
        <v>31</v>
      </c>
      <c r="C1652" s="2" t="s">
        <v>32</v>
      </c>
      <c r="D1652" s="2" t="s">
        <v>83</v>
      </c>
      <c r="E1652">
        <v>12.071400000000001</v>
      </c>
      <c r="F1652">
        <v>-15352.2</v>
      </c>
      <c r="G1652">
        <v>4.3</v>
      </c>
      <c r="H1652">
        <v>-79.3</v>
      </c>
      <c r="I1652">
        <v>-54</v>
      </c>
      <c r="J1652">
        <v>-662.5</v>
      </c>
      <c r="K1652">
        <v>-453.7</v>
      </c>
      <c r="L1652" s="2"/>
    </row>
    <row r="1653" spans="1:12" x14ac:dyDescent="0.25">
      <c r="A1653" s="2" t="s">
        <v>30</v>
      </c>
      <c r="B1653" s="2" t="s">
        <v>31</v>
      </c>
      <c r="C1653" s="2" t="s">
        <v>32</v>
      </c>
      <c r="D1653" s="2" t="s">
        <v>83</v>
      </c>
      <c r="E1653">
        <v>13</v>
      </c>
      <c r="F1653">
        <v>-15309.3</v>
      </c>
      <c r="G1653">
        <v>4.3</v>
      </c>
      <c r="H1653">
        <v>-79.3</v>
      </c>
      <c r="I1653">
        <v>-54</v>
      </c>
      <c r="J1653">
        <v>-735</v>
      </c>
      <c r="K1653">
        <v>-504.4</v>
      </c>
      <c r="L1653" s="2"/>
    </row>
    <row r="1654" spans="1:12" x14ac:dyDescent="0.25">
      <c r="A1654" s="2" t="s">
        <v>30</v>
      </c>
      <c r="B1654" s="2" t="s">
        <v>31</v>
      </c>
      <c r="C1654" s="2" t="s">
        <v>32</v>
      </c>
      <c r="D1654" s="2" t="s">
        <v>84</v>
      </c>
      <c r="E1654">
        <v>0</v>
      </c>
      <c r="F1654">
        <v>-2543.9</v>
      </c>
      <c r="G1654">
        <v>42.9</v>
      </c>
      <c r="H1654">
        <v>48.7</v>
      </c>
      <c r="I1654">
        <v>82.8</v>
      </c>
      <c r="J1654">
        <v>173.9</v>
      </c>
      <c r="K1654">
        <v>193.6</v>
      </c>
      <c r="L1654" s="2"/>
    </row>
    <row r="1655" spans="1:12" x14ac:dyDescent="0.25">
      <c r="A1655" s="2" t="s">
        <v>30</v>
      </c>
      <c r="B1655" s="2" t="s">
        <v>31</v>
      </c>
      <c r="C1655" s="2" t="s">
        <v>32</v>
      </c>
      <c r="D1655" s="2" t="s">
        <v>84</v>
      </c>
      <c r="E1655">
        <v>0.92859999999999998</v>
      </c>
      <c r="F1655">
        <v>-2543.9</v>
      </c>
      <c r="G1655">
        <v>42.9</v>
      </c>
      <c r="H1655">
        <v>48.7</v>
      </c>
      <c r="I1655">
        <v>82.8</v>
      </c>
      <c r="J1655">
        <v>129.6</v>
      </c>
      <c r="K1655">
        <v>154.69999999999999</v>
      </c>
      <c r="L1655" s="2"/>
    </row>
    <row r="1656" spans="1:12" x14ac:dyDescent="0.25">
      <c r="A1656" s="2" t="s">
        <v>30</v>
      </c>
      <c r="B1656" s="2" t="s">
        <v>31</v>
      </c>
      <c r="C1656" s="2" t="s">
        <v>32</v>
      </c>
      <c r="D1656" s="2" t="s">
        <v>84</v>
      </c>
      <c r="E1656">
        <v>1.8571</v>
      </c>
      <c r="F1656">
        <v>-2543.9</v>
      </c>
      <c r="G1656">
        <v>42.9</v>
      </c>
      <c r="H1656">
        <v>48.7</v>
      </c>
      <c r="I1656">
        <v>82.8</v>
      </c>
      <c r="J1656">
        <v>85.3</v>
      </c>
      <c r="K1656">
        <v>115.8</v>
      </c>
      <c r="L1656" s="2"/>
    </row>
    <row r="1657" spans="1:12" x14ac:dyDescent="0.25">
      <c r="A1657" s="2" t="s">
        <v>30</v>
      </c>
      <c r="B1657" s="2" t="s">
        <v>31</v>
      </c>
      <c r="C1657" s="2" t="s">
        <v>32</v>
      </c>
      <c r="D1657" s="2" t="s">
        <v>84</v>
      </c>
      <c r="E1657">
        <v>2.7856999999999998</v>
      </c>
      <c r="F1657">
        <v>-2543.9</v>
      </c>
      <c r="G1657">
        <v>42.9</v>
      </c>
      <c r="H1657">
        <v>48.7</v>
      </c>
      <c r="I1657">
        <v>82.8</v>
      </c>
      <c r="J1657">
        <v>54.9</v>
      </c>
      <c r="K1657">
        <v>84.1</v>
      </c>
      <c r="L1657" s="2"/>
    </row>
    <row r="1658" spans="1:12" x14ac:dyDescent="0.25">
      <c r="A1658" s="2" t="s">
        <v>30</v>
      </c>
      <c r="B1658" s="2" t="s">
        <v>31</v>
      </c>
      <c r="C1658" s="2" t="s">
        <v>32</v>
      </c>
      <c r="D1658" s="2" t="s">
        <v>84</v>
      </c>
      <c r="E1658">
        <v>3.7143000000000002</v>
      </c>
      <c r="F1658">
        <v>-2543.9</v>
      </c>
      <c r="G1658">
        <v>42.9</v>
      </c>
      <c r="H1658">
        <v>48.7</v>
      </c>
      <c r="I1658">
        <v>82.8</v>
      </c>
      <c r="J1658">
        <v>48.3</v>
      </c>
      <c r="K1658">
        <v>54.7</v>
      </c>
      <c r="L1658" s="2"/>
    </row>
    <row r="1659" spans="1:12" x14ac:dyDescent="0.25">
      <c r="A1659" s="2" t="s">
        <v>30</v>
      </c>
      <c r="B1659" s="2" t="s">
        <v>31</v>
      </c>
      <c r="C1659" s="2" t="s">
        <v>32</v>
      </c>
      <c r="D1659" s="2" t="s">
        <v>84</v>
      </c>
      <c r="E1659">
        <v>4.6429</v>
      </c>
      <c r="F1659">
        <v>-2543.9</v>
      </c>
      <c r="G1659">
        <v>42.9</v>
      </c>
      <c r="H1659">
        <v>48.7</v>
      </c>
      <c r="I1659">
        <v>82.8</v>
      </c>
      <c r="J1659">
        <v>115.3</v>
      </c>
      <c r="K1659">
        <v>50.6</v>
      </c>
      <c r="L1659" s="2"/>
    </row>
    <row r="1660" spans="1:12" x14ac:dyDescent="0.25">
      <c r="A1660" s="2" t="s">
        <v>30</v>
      </c>
      <c r="B1660" s="2" t="s">
        <v>31</v>
      </c>
      <c r="C1660" s="2" t="s">
        <v>32</v>
      </c>
      <c r="D1660" s="2" t="s">
        <v>84</v>
      </c>
      <c r="E1660">
        <v>5.5713999999999997</v>
      </c>
      <c r="F1660">
        <v>-2543.9</v>
      </c>
      <c r="G1660">
        <v>42.9</v>
      </c>
      <c r="H1660">
        <v>48.7</v>
      </c>
      <c r="I1660">
        <v>82.8</v>
      </c>
      <c r="J1660">
        <v>214</v>
      </c>
      <c r="K1660">
        <v>58.2</v>
      </c>
      <c r="L1660" s="2"/>
    </row>
    <row r="1661" spans="1:12" x14ac:dyDescent="0.25">
      <c r="A1661" s="2" t="s">
        <v>30</v>
      </c>
      <c r="B1661" s="2" t="s">
        <v>31</v>
      </c>
      <c r="C1661" s="2" t="s">
        <v>32</v>
      </c>
      <c r="D1661" s="2" t="s">
        <v>84</v>
      </c>
      <c r="E1661">
        <v>6.5</v>
      </c>
      <c r="F1661">
        <v>-2543.9</v>
      </c>
      <c r="G1661">
        <v>42.9</v>
      </c>
      <c r="H1661">
        <v>48.7</v>
      </c>
      <c r="I1661">
        <v>82.8</v>
      </c>
      <c r="J1661">
        <v>317.60000000000002</v>
      </c>
      <c r="K1661">
        <v>65.8</v>
      </c>
      <c r="L1661" s="2"/>
    </row>
    <row r="1662" spans="1:12" x14ac:dyDescent="0.25">
      <c r="A1662" s="2" t="s">
        <v>30</v>
      </c>
      <c r="B1662" s="2" t="s">
        <v>31</v>
      </c>
      <c r="C1662" s="2" t="s">
        <v>32</v>
      </c>
      <c r="D1662" s="2" t="s">
        <v>84</v>
      </c>
      <c r="E1662">
        <v>7.4286000000000003</v>
      </c>
      <c r="F1662">
        <v>-2543.9</v>
      </c>
      <c r="G1662">
        <v>42.9</v>
      </c>
      <c r="H1662">
        <v>48.7</v>
      </c>
      <c r="I1662">
        <v>82.8</v>
      </c>
      <c r="J1662">
        <v>421.1</v>
      </c>
      <c r="K1662">
        <v>73.3</v>
      </c>
      <c r="L1662" s="2"/>
    </row>
    <row r="1663" spans="1:12" x14ac:dyDescent="0.25">
      <c r="A1663" s="2" t="s">
        <v>30</v>
      </c>
      <c r="B1663" s="2" t="s">
        <v>31</v>
      </c>
      <c r="C1663" s="2" t="s">
        <v>32</v>
      </c>
      <c r="D1663" s="2" t="s">
        <v>84</v>
      </c>
      <c r="E1663">
        <v>8.3571000000000009</v>
      </c>
      <c r="F1663">
        <v>-2543.9</v>
      </c>
      <c r="G1663">
        <v>42.9</v>
      </c>
      <c r="H1663">
        <v>48.7</v>
      </c>
      <c r="I1663">
        <v>82.8</v>
      </c>
      <c r="J1663">
        <v>524.4</v>
      </c>
      <c r="K1663">
        <v>80.900000000000006</v>
      </c>
      <c r="L1663" s="2"/>
    </row>
    <row r="1664" spans="1:12" x14ac:dyDescent="0.25">
      <c r="A1664" s="2" t="s">
        <v>30</v>
      </c>
      <c r="B1664" s="2" t="s">
        <v>31</v>
      </c>
      <c r="C1664" s="2" t="s">
        <v>32</v>
      </c>
      <c r="D1664" s="2" t="s">
        <v>84</v>
      </c>
      <c r="E1664">
        <v>9.2857000000000003</v>
      </c>
      <c r="F1664">
        <v>-2543.9</v>
      </c>
      <c r="G1664">
        <v>42.9</v>
      </c>
      <c r="H1664">
        <v>48.7</v>
      </c>
      <c r="I1664">
        <v>82.8</v>
      </c>
      <c r="J1664">
        <v>627.4</v>
      </c>
      <c r="K1664">
        <v>88.4</v>
      </c>
      <c r="L1664" s="2"/>
    </row>
    <row r="1665" spans="1:12" x14ac:dyDescent="0.25">
      <c r="A1665" s="2" t="s">
        <v>30</v>
      </c>
      <c r="B1665" s="2" t="s">
        <v>31</v>
      </c>
      <c r="C1665" s="2" t="s">
        <v>32</v>
      </c>
      <c r="D1665" s="2" t="s">
        <v>84</v>
      </c>
      <c r="E1665">
        <v>10.2143</v>
      </c>
      <c r="F1665">
        <v>-2543.9</v>
      </c>
      <c r="G1665">
        <v>42.9</v>
      </c>
      <c r="H1665">
        <v>48.7</v>
      </c>
      <c r="I1665">
        <v>82.8</v>
      </c>
      <c r="J1665">
        <v>730.1</v>
      </c>
      <c r="K1665">
        <v>95.9</v>
      </c>
      <c r="L1665" s="2"/>
    </row>
    <row r="1666" spans="1:12" x14ac:dyDescent="0.25">
      <c r="A1666" s="2" t="s">
        <v>30</v>
      </c>
      <c r="B1666" s="2" t="s">
        <v>31</v>
      </c>
      <c r="C1666" s="2" t="s">
        <v>32</v>
      </c>
      <c r="D1666" s="2" t="s">
        <v>84</v>
      </c>
      <c r="E1666">
        <v>11.142899999999999</v>
      </c>
      <c r="F1666">
        <v>-2543.9</v>
      </c>
      <c r="G1666">
        <v>42.9</v>
      </c>
      <c r="H1666">
        <v>48.7</v>
      </c>
      <c r="I1666">
        <v>82.8</v>
      </c>
      <c r="J1666">
        <v>832.5</v>
      </c>
      <c r="K1666">
        <v>103.4</v>
      </c>
      <c r="L1666" s="2"/>
    </row>
    <row r="1667" spans="1:12" x14ac:dyDescent="0.25">
      <c r="A1667" s="2" t="s">
        <v>30</v>
      </c>
      <c r="B1667" s="2" t="s">
        <v>31</v>
      </c>
      <c r="C1667" s="2" t="s">
        <v>32</v>
      </c>
      <c r="D1667" s="2" t="s">
        <v>84</v>
      </c>
      <c r="E1667">
        <v>12.071400000000001</v>
      </c>
      <c r="F1667">
        <v>-2543.9</v>
      </c>
      <c r="G1667">
        <v>42.9</v>
      </c>
      <c r="H1667">
        <v>48.7</v>
      </c>
      <c r="I1667">
        <v>82.8</v>
      </c>
      <c r="J1667">
        <v>934.5</v>
      </c>
      <c r="K1667">
        <v>111</v>
      </c>
      <c r="L1667" s="2"/>
    </row>
    <row r="1668" spans="1:12" x14ac:dyDescent="0.25">
      <c r="A1668" s="2" t="s">
        <v>30</v>
      </c>
      <c r="B1668" s="2" t="s">
        <v>31</v>
      </c>
      <c r="C1668" s="2" t="s">
        <v>32</v>
      </c>
      <c r="D1668" s="2" t="s">
        <v>84</v>
      </c>
      <c r="E1668">
        <v>13</v>
      </c>
      <c r="F1668">
        <v>-2543.9</v>
      </c>
      <c r="G1668">
        <v>42.9</v>
      </c>
      <c r="H1668">
        <v>48.7</v>
      </c>
      <c r="I1668">
        <v>82.8</v>
      </c>
      <c r="J1668">
        <v>1036.0999999999999</v>
      </c>
      <c r="K1668">
        <v>118.6</v>
      </c>
      <c r="L1668" s="2"/>
    </row>
    <row r="1669" spans="1:12" x14ac:dyDescent="0.25">
      <c r="A1669" s="2" t="s">
        <v>30</v>
      </c>
      <c r="B1669" s="2" t="s">
        <v>31</v>
      </c>
      <c r="C1669" s="2" t="s">
        <v>32</v>
      </c>
      <c r="D1669" s="2" t="s">
        <v>84</v>
      </c>
      <c r="E1669">
        <v>0</v>
      </c>
      <c r="F1669">
        <v>-14247.4</v>
      </c>
      <c r="G1669">
        <v>-8.5</v>
      </c>
      <c r="H1669">
        <v>-109.4</v>
      </c>
      <c r="I1669">
        <v>-66.599999999999994</v>
      </c>
      <c r="J1669">
        <v>-408.2</v>
      </c>
      <c r="K1669">
        <v>11.5</v>
      </c>
      <c r="L1669" s="2"/>
    </row>
    <row r="1670" spans="1:12" x14ac:dyDescent="0.25">
      <c r="A1670" s="2" t="s">
        <v>30</v>
      </c>
      <c r="B1670" s="2" t="s">
        <v>31</v>
      </c>
      <c r="C1670" s="2" t="s">
        <v>32</v>
      </c>
      <c r="D1670" s="2" t="s">
        <v>84</v>
      </c>
      <c r="E1670">
        <v>0.92859999999999998</v>
      </c>
      <c r="F1670">
        <v>-14204.5</v>
      </c>
      <c r="G1670">
        <v>-8.5</v>
      </c>
      <c r="H1670">
        <v>-109.4</v>
      </c>
      <c r="I1670">
        <v>-66.599999999999994</v>
      </c>
      <c r="J1670">
        <v>-304.89999999999998</v>
      </c>
      <c r="K1670">
        <v>18.600000000000001</v>
      </c>
      <c r="L1670" s="2"/>
    </row>
    <row r="1671" spans="1:12" x14ac:dyDescent="0.25">
      <c r="A1671" s="2" t="s">
        <v>30</v>
      </c>
      <c r="B1671" s="2" t="s">
        <v>31</v>
      </c>
      <c r="C1671" s="2" t="s">
        <v>32</v>
      </c>
      <c r="D1671" s="2" t="s">
        <v>84</v>
      </c>
      <c r="E1671">
        <v>1.8571</v>
      </c>
      <c r="F1671">
        <v>-14161.6</v>
      </c>
      <c r="G1671">
        <v>-8.5</v>
      </c>
      <c r="H1671">
        <v>-109.4</v>
      </c>
      <c r="I1671">
        <v>-66.599999999999994</v>
      </c>
      <c r="J1671">
        <v>-201.7</v>
      </c>
      <c r="K1671">
        <v>25.2</v>
      </c>
      <c r="L1671" s="2"/>
    </row>
    <row r="1672" spans="1:12" x14ac:dyDescent="0.25">
      <c r="A1672" s="2" t="s">
        <v>30</v>
      </c>
      <c r="B1672" s="2" t="s">
        <v>31</v>
      </c>
      <c r="C1672" s="2" t="s">
        <v>32</v>
      </c>
      <c r="D1672" s="2" t="s">
        <v>84</v>
      </c>
      <c r="E1672">
        <v>2.7856999999999998</v>
      </c>
      <c r="F1672">
        <v>-14118.7</v>
      </c>
      <c r="G1672">
        <v>-8.5</v>
      </c>
      <c r="H1672">
        <v>-109.4</v>
      </c>
      <c r="I1672">
        <v>-66.599999999999994</v>
      </c>
      <c r="J1672">
        <v>-119.7</v>
      </c>
      <c r="K1672">
        <v>23.6</v>
      </c>
      <c r="L1672" s="2"/>
    </row>
    <row r="1673" spans="1:12" x14ac:dyDescent="0.25">
      <c r="A1673" s="2" t="s">
        <v>30</v>
      </c>
      <c r="B1673" s="2" t="s">
        <v>31</v>
      </c>
      <c r="C1673" s="2" t="s">
        <v>32</v>
      </c>
      <c r="D1673" s="2" t="s">
        <v>84</v>
      </c>
      <c r="E1673">
        <v>3.7143000000000002</v>
      </c>
      <c r="F1673">
        <v>-14075.8</v>
      </c>
      <c r="G1673">
        <v>-8.5</v>
      </c>
      <c r="H1673">
        <v>-109.4</v>
      </c>
      <c r="I1673">
        <v>-66.599999999999994</v>
      </c>
      <c r="J1673">
        <v>-67.2</v>
      </c>
      <c r="K1673">
        <v>17.5</v>
      </c>
      <c r="L1673" s="2"/>
    </row>
    <row r="1674" spans="1:12" x14ac:dyDescent="0.25">
      <c r="A1674" s="2" t="s">
        <v>30</v>
      </c>
      <c r="B1674" s="2" t="s">
        <v>31</v>
      </c>
      <c r="C1674" s="2" t="s">
        <v>32</v>
      </c>
      <c r="D1674" s="2" t="s">
        <v>84</v>
      </c>
      <c r="E1674">
        <v>4.6429</v>
      </c>
      <c r="F1674">
        <v>-14033</v>
      </c>
      <c r="G1674">
        <v>-8.5</v>
      </c>
      <c r="H1674">
        <v>-109.4</v>
      </c>
      <c r="I1674">
        <v>-66.599999999999994</v>
      </c>
      <c r="J1674">
        <v>-47.7</v>
      </c>
      <c r="K1674">
        <v>-13</v>
      </c>
      <c r="L1674" s="2"/>
    </row>
    <row r="1675" spans="1:12" x14ac:dyDescent="0.25">
      <c r="A1675" s="2" t="s">
        <v>30</v>
      </c>
      <c r="B1675" s="2" t="s">
        <v>31</v>
      </c>
      <c r="C1675" s="2" t="s">
        <v>32</v>
      </c>
      <c r="D1675" s="2" t="s">
        <v>84</v>
      </c>
      <c r="E1675">
        <v>5.5713999999999997</v>
      </c>
      <c r="F1675">
        <v>-13990.1</v>
      </c>
      <c r="G1675">
        <v>-8.5</v>
      </c>
      <c r="H1675">
        <v>-109.4</v>
      </c>
      <c r="I1675">
        <v>-66.599999999999994</v>
      </c>
      <c r="J1675">
        <v>-92.1</v>
      </c>
      <c r="K1675">
        <v>-54.1</v>
      </c>
      <c r="L1675" s="2"/>
    </row>
    <row r="1676" spans="1:12" x14ac:dyDescent="0.25">
      <c r="A1676" s="2" t="s">
        <v>30</v>
      </c>
      <c r="B1676" s="2" t="s">
        <v>31</v>
      </c>
      <c r="C1676" s="2" t="s">
        <v>32</v>
      </c>
      <c r="D1676" s="2" t="s">
        <v>84</v>
      </c>
      <c r="E1676">
        <v>6.5</v>
      </c>
      <c r="F1676">
        <v>-13947.2</v>
      </c>
      <c r="G1676">
        <v>-8.5</v>
      </c>
      <c r="H1676">
        <v>-109.4</v>
      </c>
      <c r="I1676">
        <v>-66.599999999999994</v>
      </c>
      <c r="J1676">
        <v>-136.5</v>
      </c>
      <c r="K1676">
        <v>-95.2</v>
      </c>
      <c r="L1676" s="2"/>
    </row>
    <row r="1677" spans="1:12" x14ac:dyDescent="0.25">
      <c r="A1677" s="2" t="s">
        <v>30</v>
      </c>
      <c r="B1677" s="2" t="s">
        <v>31</v>
      </c>
      <c r="C1677" s="2" t="s">
        <v>32</v>
      </c>
      <c r="D1677" s="2" t="s">
        <v>84</v>
      </c>
      <c r="E1677">
        <v>7.4286000000000003</v>
      </c>
      <c r="F1677">
        <v>-13904.3</v>
      </c>
      <c r="G1677">
        <v>-8.5</v>
      </c>
      <c r="H1677">
        <v>-109.4</v>
      </c>
      <c r="I1677">
        <v>-66.599999999999994</v>
      </c>
      <c r="J1677">
        <v>-180.9</v>
      </c>
      <c r="K1677">
        <v>-136.19999999999999</v>
      </c>
      <c r="L1677" s="2"/>
    </row>
    <row r="1678" spans="1:12" x14ac:dyDescent="0.25">
      <c r="A1678" s="2" t="s">
        <v>30</v>
      </c>
      <c r="B1678" s="2" t="s">
        <v>31</v>
      </c>
      <c r="C1678" s="2" t="s">
        <v>32</v>
      </c>
      <c r="D1678" s="2" t="s">
        <v>84</v>
      </c>
      <c r="E1678">
        <v>8.3571000000000009</v>
      </c>
      <c r="F1678">
        <v>-13861.4</v>
      </c>
      <c r="G1678">
        <v>-8.5</v>
      </c>
      <c r="H1678">
        <v>-109.4</v>
      </c>
      <c r="I1678">
        <v>-66.599999999999994</v>
      </c>
      <c r="J1678">
        <v>-225.3</v>
      </c>
      <c r="K1678">
        <v>-177</v>
      </c>
      <c r="L1678" s="2"/>
    </row>
    <row r="1679" spans="1:12" x14ac:dyDescent="0.25">
      <c r="A1679" s="2" t="s">
        <v>30</v>
      </c>
      <c r="B1679" s="2" t="s">
        <v>31</v>
      </c>
      <c r="C1679" s="2" t="s">
        <v>32</v>
      </c>
      <c r="D1679" s="2" t="s">
        <v>84</v>
      </c>
      <c r="E1679">
        <v>9.2857000000000003</v>
      </c>
      <c r="F1679">
        <v>-13818.6</v>
      </c>
      <c r="G1679">
        <v>-8.5</v>
      </c>
      <c r="H1679">
        <v>-109.4</v>
      </c>
      <c r="I1679">
        <v>-66.599999999999994</v>
      </c>
      <c r="J1679">
        <v>-269.7</v>
      </c>
      <c r="K1679">
        <v>-217.6</v>
      </c>
      <c r="L1679" s="2"/>
    </row>
    <row r="1680" spans="1:12" x14ac:dyDescent="0.25">
      <c r="A1680" s="2" t="s">
        <v>30</v>
      </c>
      <c r="B1680" s="2" t="s">
        <v>31</v>
      </c>
      <c r="C1680" s="2" t="s">
        <v>32</v>
      </c>
      <c r="D1680" s="2" t="s">
        <v>84</v>
      </c>
      <c r="E1680">
        <v>10.2143</v>
      </c>
      <c r="F1680">
        <v>-13775.7</v>
      </c>
      <c r="G1680">
        <v>-8.5</v>
      </c>
      <c r="H1680">
        <v>-109.4</v>
      </c>
      <c r="I1680">
        <v>-66.599999999999994</v>
      </c>
      <c r="J1680">
        <v>-314.10000000000002</v>
      </c>
      <c r="K1680">
        <v>-257.8</v>
      </c>
      <c r="L1680" s="2"/>
    </row>
    <row r="1681" spans="1:12" x14ac:dyDescent="0.25">
      <c r="A1681" s="2" t="s">
        <v>30</v>
      </c>
      <c r="B1681" s="2" t="s">
        <v>31</v>
      </c>
      <c r="C1681" s="2" t="s">
        <v>32</v>
      </c>
      <c r="D1681" s="2" t="s">
        <v>84</v>
      </c>
      <c r="E1681">
        <v>11.142899999999999</v>
      </c>
      <c r="F1681">
        <v>-13732.8</v>
      </c>
      <c r="G1681">
        <v>-8.5</v>
      </c>
      <c r="H1681">
        <v>-109.4</v>
      </c>
      <c r="I1681">
        <v>-66.599999999999994</v>
      </c>
      <c r="J1681">
        <v>-358.6</v>
      </c>
      <c r="K1681">
        <v>-297.60000000000002</v>
      </c>
      <c r="L1681" s="2"/>
    </row>
    <row r="1682" spans="1:12" x14ac:dyDescent="0.25">
      <c r="A1682" s="2" t="s">
        <v>30</v>
      </c>
      <c r="B1682" s="2" t="s">
        <v>31</v>
      </c>
      <c r="C1682" s="2" t="s">
        <v>32</v>
      </c>
      <c r="D1682" s="2" t="s">
        <v>84</v>
      </c>
      <c r="E1682">
        <v>12.071400000000001</v>
      </c>
      <c r="F1682">
        <v>-13689.9</v>
      </c>
      <c r="G1682">
        <v>-8.5</v>
      </c>
      <c r="H1682">
        <v>-109.4</v>
      </c>
      <c r="I1682">
        <v>-66.599999999999994</v>
      </c>
      <c r="J1682">
        <v>-403</v>
      </c>
      <c r="K1682">
        <v>-336.9</v>
      </c>
      <c r="L1682" s="2"/>
    </row>
    <row r="1683" spans="1:12" x14ac:dyDescent="0.25">
      <c r="A1683" s="2" t="s">
        <v>30</v>
      </c>
      <c r="B1683" s="2" t="s">
        <v>31</v>
      </c>
      <c r="C1683" s="2" t="s">
        <v>32</v>
      </c>
      <c r="D1683" s="2" t="s">
        <v>84</v>
      </c>
      <c r="E1683">
        <v>13</v>
      </c>
      <c r="F1683">
        <v>-13647</v>
      </c>
      <c r="G1683">
        <v>-8.5</v>
      </c>
      <c r="H1683">
        <v>-109.4</v>
      </c>
      <c r="I1683">
        <v>-66.599999999999994</v>
      </c>
      <c r="J1683">
        <v>-447.5</v>
      </c>
      <c r="K1683">
        <v>-375.7</v>
      </c>
      <c r="L1683" s="2"/>
    </row>
    <row r="1684" spans="1:12" x14ac:dyDescent="0.25">
      <c r="A1684" s="2" t="s">
        <v>30</v>
      </c>
      <c r="B1684" s="2" t="s">
        <v>31</v>
      </c>
      <c r="C1684" s="2" t="s">
        <v>32</v>
      </c>
      <c r="D1684" s="2" t="s">
        <v>85</v>
      </c>
      <c r="E1684">
        <v>0</v>
      </c>
      <c r="F1684">
        <v>-3564.1</v>
      </c>
      <c r="G1684">
        <v>54.2</v>
      </c>
      <c r="H1684">
        <v>75.8</v>
      </c>
      <c r="I1684">
        <v>91</v>
      </c>
      <c r="J1684">
        <v>267.39999999999998</v>
      </c>
      <c r="K1684">
        <v>228.7</v>
      </c>
      <c r="L1684" s="2"/>
    </row>
    <row r="1685" spans="1:12" x14ac:dyDescent="0.25">
      <c r="A1685" s="2" t="s">
        <v>30</v>
      </c>
      <c r="B1685" s="2" t="s">
        <v>31</v>
      </c>
      <c r="C1685" s="2" t="s">
        <v>32</v>
      </c>
      <c r="D1685" s="2" t="s">
        <v>85</v>
      </c>
      <c r="E1685">
        <v>0.92859999999999998</v>
      </c>
      <c r="F1685">
        <v>-3564.1</v>
      </c>
      <c r="G1685">
        <v>54.2</v>
      </c>
      <c r="H1685">
        <v>75.8</v>
      </c>
      <c r="I1685">
        <v>91</v>
      </c>
      <c r="J1685">
        <v>197.9</v>
      </c>
      <c r="K1685">
        <v>177.8</v>
      </c>
      <c r="L1685" s="2"/>
    </row>
    <row r="1686" spans="1:12" x14ac:dyDescent="0.25">
      <c r="A1686" s="2" t="s">
        <v>30</v>
      </c>
      <c r="B1686" s="2" t="s">
        <v>31</v>
      </c>
      <c r="C1686" s="2" t="s">
        <v>32</v>
      </c>
      <c r="D1686" s="2" t="s">
        <v>85</v>
      </c>
      <c r="E1686">
        <v>1.8571</v>
      </c>
      <c r="F1686">
        <v>-3564.1</v>
      </c>
      <c r="G1686">
        <v>54.2</v>
      </c>
      <c r="H1686">
        <v>75.8</v>
      </c>
      <c r="I1686">
        <v>91</v>
      </c>
      <c r="J1686">
        <v>128.4</v>
      </c>
      <c r="K1686">
        <v>126.9</v>
      </c>
      <c r="L1686" s="2"/>
    </row>
    <row r="1687" spans="1:12" x14ac:dyDescent="0.25">
      <c r="A1687" s="2" t="s">
        <v>30</v>
      </c>
      <c r="B1687" s="2" t="s">
        <v>31</v>
      </c>
      <c r="C1687" s="2" t="s">
        <v>32</v>
      </c>
      <c r="D1687" s="2" t="s">
        <v>85</v>
      </c>
      <c r="E1687">
        <v>2.7856999999999998</v>
      </c>
      <c r="F1687">
        <v>-3564.1</v>
      </c>
      <c r="G1687">
        <v>54.2</v>
      </c>
      <c r="H1687">
        <v>75.8</v>
      </c>
      <c r="I1687">
        <v>91</v>
      </c>
      <c r="J1687">
        <v>80.099999999999994</v>
      </c>
      <c r="K1687">
        <v>84.1</v>
      </c>
      <c r="L1687" s="2"/>
    </row>
    <row r="1688" spans="1:12" x14ac:dyDescent="0.25">
      <c r="A1688" s="2" t="s">
        <v>30</v>
      </c>
      <c r="B1688" s="2" t="s">
        <v>31</v>
      </c>
      <c r="C1688" s="2" t="s">
        <v>32</v>
      </c>
      <c r="D1688" s="2" t="s">
        <v>85</v>
      </c>
      <c r="E1688">
        <v>3.7143000000000002</v>
      </c>
      <c r="F1688">
        <v>-3564.1</v>
      </c>
      <c r="G1688">
        <v>54.2</v>
      </c>
      <c r="H1688">
        <v>75.8</v>
      </c>
      <c r="I1688">
        <v>91</v>
      </c>
      <c r="J1688">
        <v>61.5</v>
      </c>
      <c r="K1688">
        <v>54.7</v>
      </c>
      <c r="L1688" s="2"/>
    </row>
    <row r="1689" spans="1:12" x14ac:dyDescent="0.25">
      <c r="A1689" s="2" t="s">
        <v>30</v>
      </c>
      <c r="B1689" s="2" t="s">
        <v>31</v>
      </c>
      <c r="C1689" s="2" t="s">
        <v>32</v>
      </c>
      <c r="D1689" s="2" t="s">
        <v>85</v>
      </c>
      <c r="E1689">
        <v>4.6429</v>
      </c>
      <c r="F1689">
        <v>-3564.1</v>
      </c>
      <c r="G1689">
        <v>54.2</v>
      </c>
      <c r="H1689">
        <v>75.8</v>
      </c>
      <c r="I1689">
        <v>91</v>
      </c>
      <c r="J1689">
        <v>80.099999999999994</v>
      </c>
      <c r="K1689">
        <v>50.6</v>
      </c>
      <c r="L1689" s="2"/>
    </row>
    <row r="1690" spans="1:12" x14ac:dyDescent="0.25">
      <c r="A1690" s="2" t="s">
        <v>30</v>
      </c>
      <c r="B1690" s="2" t="s">
        <v>31</v>
      </c>
      <c r="C1690" s="2" t="s">
        <v>32</v>
      </c>
      <c r="D1690" s="2" t="s">
        <v>85</v>
      </c>
      <c r="E1690">
        <v>5.5713999999999997</v>
      </c>
      <c r="F1690">
        <v>-3564.1</v>
      </c>
      <c r="G1690">
        <v>54.2</v>
      </c>
      <c r="H1690">
        <v>75.8</v>
      </c>
      <c r="I1690">
        <v>91</v>
      </c>
      <c r="J1690">
        <v>104.3</v>
      </c>
      <c r="K1690">
        <v>58.2</v>
      </c>
      <c r="L1690" s="2"/>
    </row>
    <row r="1691" spans="1:12" x14ac:dyDescent="0.25">
      <c r="A1691" s="2" t="s">
        <v>30</v>
      </c>
      <c r="B1691" s="2" t="s">
        <v>31</v>
      </c>
      <c r="C1691" s="2" t="s">
        <v>32</v>
      </c>
      <c r="D1691" s="2" t="s">
        <v>85</v>
      </c>
      <c r="E1691">
        <v>6.5</v>
      </c>
      <c r="F1691">
        <v>-3564.1</v>
      </c>
      <c r="G1691">
        <v>54.2</v>
      </c>
      <c r="H1691">
        <v>75.8</v>
      </c>
      <c r="I1691">
        <v>91</v>
      </c>
      <c r="J1691">
        <v>139.30000000000001</v>
      </c>
      <c r="K1691">
        <v>65.8</v>
      </c>
      <c r="L1691" s="2"/>
    </row>
    <row r="1692" spans="1:12" x14ac:dyDescent="0.25">
      <c r="A1692" s="2" t="s">
        <v>30</v>
      </c>
      <c r="B1692" s="2" t="s">
        <v>31</v>
      </c>
      <c r="C1692" s="2" t="s">
        <v>32</v>
      </c>
      <c r="D1692" s="2" t="s">
        <v>85</v>
      </c>
      <c r="E1692">
        <v>7.4286000000000003</v>
      </c>
      <c r="F1692">
        <v>-3564.1</v>
      </c>
      <c r="G1692">
        <v>54.2</v>
      </c>
      <c r="H1692">
        <v>75.8</v>
      </c>
      <c r="I1692">
        <v>91</v>
      </c>
      <c r="J1692">
        <v>174.1</v>
      </c>
      <c r="K1692">
        <v>73.3</v>
      </c>
      <c r="L1692" s="2"/>
    </row>
    <row r="1693" spans="1:12" x14ac:dyDescent="0.25">
      <c r="A1693" s="2" t="s">
        <v>30</v>
      </c>
      <c r="B1693" s="2" t="s">
        <v>31</v>
      </c>
      <c r="C1693" s="2" t="s">
        <v>32</v>
      </c>
      <c r="D1693" s="2" t="s">
        <v>85</v>
      </c>
      <c r="E1693">
        <v>8.3571000000000009</v>
      </c>
      <c r="F1693">
        <v>-3564.1</v>
      </c>
      <c r="G1693">
        <v>54.2</v>
      </c>
      <c r="H1693">
        <v>75.8</v>
      </c>
      <c r="I1693">
        <v>91</v>
      </c>
      <c r="J1693">
        <v>208.8</v>
      </c>
      <c r="K1693">
        <v>80.900000000000006</v>
      </c>
      <c r="L1693" s="2"/>
    </row>
    <row r="1694" spans="1:12" x14ac:dyDescent="0.25">
      <c r="A1694" s="2" t="s">
        <v>30</v>
      </c>
      <c r="B1694" s="2" t="s">
        <v>31</v>
      </c>
      <c r="C1694" s="2" t="s">
        <v>32</v>
      </c>
      <c r="D1694" s="2" t="s">
        <v>85</v>
      </c>
      <c r="E1694">
        <v>9.2857000000000003</v>
      </c>
      <c r="F1694">
        <v>-3564.1</v>
      </c>
      <c r="G1694">
        <v>54.2</v>
      </c>
      <c r="H1694">
        <v>75.8</v>
      </c>
      <c r="I1694">
        <v>91</v>
      </c>
      <c r="J1694">
        <v>243.2</v>
      </c>
      <c r="K1694">
        <v>88.4</v>
      </c>
      <c r="L1694" s="2"/>
    </row>
    <row r="1695" spans="1:12" x14ac:dyDescent="0.25">
      <c r="A1695" s="2" t="s">
        <v>30</v>
      </c>
      <c r="B1695" s="2" t="s">
        <v>31</v>
      </c>
      <c r="C1695" s="2" t="s">
        <v>32</v>
      </c>
      <c r="D1695" s="2" t="s">
        <v>85</v>
      </c>
      <c r="E1695">
        <v>10.2143</v>
      </c>
      <c r="F1695">
        <v>-3564.1</v>
      </c>
      <c r="G1695">
        <v>54.2</v>
      </c>
      <c r="H1695">
        <v>75.8</v>
      </c>
      <c r="I1695">
        <v>91</v>
      </c>
      <c r="J1695">
        <v>277.3</v>
      </c>
      <c r="K1695">
        <v>95.9</v>
      </c>
      <c r="L1695" s="2"/>
    </row>
    <row r="1696" spans="1:12" x14ac:dyDescent="0.25">
      <c r="A1696" s="2" t="s">
        <v>30</v>
      </c>
      <c r="B1696" s="2" t="s">
        <v>31</v>
      </c>
      <c r="C1696" s="2" t="s">
        <v>32</v>
      </c>
      <c r="D1696" s="2" t="s">
        <v>85</v>
      </c>
      <c r="E1696">
        <v>11.142899999999999</v>
      </c>
      <c r="F1696">
        <v>-3564.1</v>
      </c>
      <c r="G1696">
        <v>54.2</v>
      </c>
      <c r="H1696">
        <v>75.8</v>
      </c>
      <c r="I1696">
        <v>91</v>
      </c>
      <c r="J1696">
        <v>311.10000000000002</v>
      </c>
      <c r="K1696">
        <v>103.4</v>
      </c>
      <c r="L1696" s="2"/>
    </row>
    <row r="1697" spans="1:12" x14ac:dyDescent="0.25">
      <c r="A1697" s="2" t="s">
        <v>30</v>
      </c>
      <c r="B1697" s="2" t="s">
        <v>31</v>
      </c>
      <c r="C1697" s="2" t="s">
        <v>32</v>
      </c>
      <c r="D1697" s="2" t="s">
        <v>85</v>
      </c>
      <c r="E1697">
        <v>12.071400000000001</v>
      </c>
      <c r="F1697">
        <v>-3564.1</v>
      </c>
      <c r="G1697">
        <v>54.2</v>
      </c>
      <c r="H1697">
        <v>75.8</v>
      </c>
      <c r="I1697">
        <v>91</v>
      </c>
      <c r="J1697">
        <v>348.4</v>
      </c>
      <c r="K1697">
        <v>111</v>
      </c>
      <c r="L1697" s="2"/>
    </row>
    <row r="1698" spans="1:12" x14ac:dyDescent="0.25">
      <c r="A1698" s="2" t="s">
        <v>30</v>
      </c>
      <c r="B1698" s="2" t="s">
        <v>31</v>
      </c>
      <c r="C1698" s="2" t="s">
        <v>32</v>
      </c>
      <c r="D1698" s="2" t="s">
        <v>85</v>
      </c>
      <c r="E1698">
        <v>13</v>
      </c>
      <c r="F1698">
        <v>-3564.1</v>
      </c>
      <c r="G1698">
        <v>54.2</v>
      </c>
      <c r="H1698">
        <v>75.8</v>
      </c>
      <c r="I1698">
        <v>91</v>
      </c>
      <c r="J1698">
        <v>385.3</v>
      </c>
      <c r="K1698">
        <v>118.6</v>
      </c>
      <c r="L1698" s="2"/>
    </row>
    <row r="1699" spans="1:12" x14ac:dyDescent="0.25">
      <c r="A1699" s="2" t="s">
        <v>30</v>
      </c>
      <c r="B1699" s="2" t="s">
        <v>31</v>
      </c>
      <c r="C1699" s="2" t="s">
        <v>32</v>
      </c>
      <c r="D1699" s="2" t="s">
        <v>85</v>
      </c>
      <c r="E1699">
        <v>0</v>
      </c>
      <c r="F1699">
        <v>-15887.8</v>
      </c>
      <c r="G1699">
        <v>-8.5</v>
      </c>
      <c r="H1699">
        <v>-39.799999999999997</v>
      </c>
      <c r="I1699">
        <v>-55.2</v>
      </c>
      <c r="J1699">
        <v>-154</v>
      </c>
      <c r="K1699">
        <v>11.5</v>
      </c>
      <c r="L1699" s="2"/>
    </row>
    <row r="1700" spans="1:12" x14ac:dyDescent="0.25">
      <c r="A1700" s="2" t="s">
        <v>30</v>
      </c>
      <c r="B1700" s="2" t="s">
        <v>31</v>
      </c>
      <c r="C1700" s="2" t="s">
        <v>32</v>
      </c>
      <c r="D1700" s="2" t="s">
        <v>85</v>
      </c>
      <c r="E1700">
        <v>0.92859999999999998</v>
      </c>
      <c r="F1700">
        <v>-15844.9</v>
      </c>
      <c r="G1700">
        <v>-8.5</v>
      </c>
      <c r="H1700">
        <v>-39.799999999999997</v>
      </c>
      <c r="I1700">
        <v>-55.2</v>
      </c>
      <c r="J1700">
        <v>-115.4</v>
      </c>
      <c r="K1700">
        <v>19.5</v>
      </c>
      <c r="L1700" s="2"/>
    </row>
    <row r="1701" spans="1:12" x14ac:dyDescent="0.25">
      <c r="A1701" s="2" t="s">
        <v>30</v>
      </c>
      <c r="B1701" s="2" t="s">
        <v>31</v>
      </c>
      <c r="C1701" s="2" t="s">
        <v>32</v>
      </c>
      <c r="D1701" s="2" t="s">
        <v>85</v>
      </c>
      <c r="E1701">
        <v>1.8571</v>
      </c>
      <c r="F1701">
        <v>-15802</v>
      </c>
      <c r="G1701">
        <v>-8.5</v>
      </c>
      <c r="H1701">
        <v>-39.799999999999997</v>
      </c>
      <c r="I1701">
        <v>-55.2</v>
      </c>
      <c r="J1701">
        <v>-76.8</v>
      </c>
      <c r="K1701">
        <v>27.4</v>
      </c>
      <c r="L1701" s="2"/>
    </row>
    <row r="1702" spans="1:12" x14ac:dyDescent="0.25">
      <c r="A1702" s="2" t="s">
        <v>30</v>
      </c>
      <c r="B1702" s="2" t="s">
        <v>31</v>
      </c>
      <c r="C1702" s="2" t="s">
        <v>32</v>
      </c>
      <c r="D1702" s="2" t="s">
        <v>85</v>
      </c>
      <c r="E1702">
        <v>2.7856999999999998</v>
      </c>
      <c r="F1702">
        <v>-15759.2</v>
      </c>
      <c r="G1702">
        <v>-8.5</v>
      </c>
      <c r="H1702">
        <v>-39.799999999999997</v>
      </c>
      <c r="I1702">
        <v>-55.2</v>
      </c>
      <c r="J1702">
        <v>-39.6</v>
      </c>
      <c r="K1702">
        <v>26.9</v>
      </c>
      <c r="L1702" s="2"/>
    </row>
    <row r="1703" spans="1:12" x14ac:dyDescent="0.25">
      <c r="A1703" s="2" t="s">
        <v>30</v>
      </c>
      <c r="B1703" s="2" t="s">
        <v>31</v>
      </c>
      <c r="C1703" s="2" t="s">
        <v>32</v>
      </c>
      <c r="D1703" s="2" t="s">
        <v>85</v>
      </c>
      <c r="E1703">
        <v>3.7143000000000002</v>
      </c>
      <c r="F1703">
        <v>-15716.3</v>
      </c>
      <c r="G1703">
        <v>-8.5</v>
      </c>
      <c r="H1703">
        <v>-39.799999999999997</v>
      </c>
      <c r="I1703">
        <v>-55.2</v>
      </c>
      <c r="J1703">
        <v>-32.5</v>
      </c>
      <c r="K1703">
        <v>12.5</v>
      </c>
      <c r="L1703" s="2"/>
    </row>
    <row r="1704" spans="1:12" x14ac:dyDescent="0.25">
      <c r="A1704" s="2" t="s">
        <v>30</v>
      </c>
      <c r="B1704" s="2" t="s">
        <v>31</v>
      </c>
      <c r="C1704" s="2" t="s">
        <v>32</v>
      </c>
      <c r="D1704" s="2" t="s">
        <v>85</v>
      </c>
      <c r="E1704">
        <v>4.6429</v>
      </c>
      <c r="F1704">
        <v>-15673.4</v>
      </c>
      <c r="G1704">
        <v>-8.5</v>
      </c>
      <c r="H1704">
        <v>-39.799999999999997</v>
      </c>
      <c r="I1704">
        <v>-55.2</v>
      </c>
      <c r="J1704">
        <v>-80.099999999999994</v>
      </c>
      <c r="K1704">
        <v>-28.1</v>
      </c>
      <c r="L1704" s="2"/>
    </row>
    <row r="1705" spans="1:12" x14ac:dyDescent="0.25">
      <c r="A1705" s="2" t="s">
        <v>30</v>
      </c>
      <c r="B1705" s="2" t="s">
        <v>31</v>
      </c>
      <c r="C1705" s="2" t="s">
        <v>32</v>
      </c>
      <c r="D1705" s="2" t="s">
        <v>85</v>
      </c>
      <c r="E1705">
        <v>5.5713999999999997</v>
      </c>
      <c r="F1705">
        <v>-15630.5</v>
      </c>
      <c r="G1705">
        <v>-8.5</v>
      </c>
      <c r="H1705">
        <v>-39.799999999999997</v>
      </c>
      <c r="I1705">
        <v>-55.2</v>
      </c>
      <c r="J1705">
        <v>-149.6</v>
      </c>
      <c r="K1705">
        <v>-79.7</v>
      </c>
      <c r="L1705" s="2"/>
    </row>
    <row r="1706" spans="1:12" x14ac:dyDescent="0.25">
      <c r="A1706" s="2" t="s">
        <v>30</v>
      </c>
      <c r="B1706" s="2" t="s">
        <v>31</v>
      </c>
      <c r="C1706" s="2" t="s">
        <v>32</v>
      </c>
      <c r="D1706" s="2" t="s">
        <v>85</v>
      </c>
      <c r="E1706">
        <v>6.5</v>
      </c>
      <c r="F1706">
        <v>-15587.6</v>
      </c>
      <c r="G1706">
        <v>-8.5</v>
      </c>
      <c r="H1706">
        <v>-39.799999999999997</v>
      </c>
      <c r="I1706">
        <v>-55.2</v>
      </c>
      <c r="J1706">
        <v>-219.2</v>
      </c>
      <c r="K1706">
        <v>-131.4</v>
      </c>
      <c r="L1706" s="2"/>
    </row>
    <row r="1707" spans="1:12" x14ac:dyDescent="0.25">
      <c r="A1707" s="2" t="s">
        <v>30</v>
      </c>
      <c r="B1707" s="2" t="s">
        <v>31</v>
      </c>
      <c r="C1707" s="2" t="s">
        <v>32</v>
      </c>
      <c r="D1707" s="2" t="s">
        <v>85</v>
      </c>
      <c r="E1707">
        <v>7.4286000000000003</v>
      </c>
      <c r="F1707">
        <v>-15544.7</v>
      </c>
      <c r="G1707">
        <v>-8.5</v>
      </c>
      <c r="H1707">
        <v>-39.799999999999997</v>
      </c>
      <c r="I1707">
        <v>-55.2</v>
      </c>
      <c r="J1707">
        <v>-288.8</v>
      </c>
      <c r="K1707">
        <v>-182.8</v>
      </c>
      <c r="L1707" s="2"/>
    </row>
    <row r="1708" spans="1:12" x14ac:dyDescent="0.25">
      <c r="A1708" s="2" t="s">
        <v>30</v>
      </c>
      <c r="B1708" s="2" t="s">
        <v>31</v>
      </c>
      <c r="C1708" s="2" t="s">
        <v>32</v>
      </c>
      <c r="D1708" s="2" t="s">
        <v>85</v>
      </c>
      <c r="E1708">
        <v>8.3571000000000009</v>
      </c>
      <c r="F1708">
        <v>-15501.9</v>
      </c>
      <c r="G1708">
        <v>-8.5</v>
      </c>
      <c r="H1708">
        <v>-39.799999999999997</v>
      </c>
      <c r="I1708">
        <v>-55.2</v>
      </c>
      <c r="J1708">
        <v>-358.3</v>
      </c>
      <c r="K1708">
        <v>-234.1</v>
      </c>
      <c r="L1708" s="2"/>
    </row>
    <row r="1709" spans="1:12" x14ac:dyDescent="0.25">
      <c r="A1709" s="2" t="s">
        <v>30</v>
      </c>
      <c r="B1709" s="2" t="s">
        <v>31</v>
      </c>
      <c r="C1709" s="2" t="s">
        <v>32</v>
      </c>
      <c r="D1709" s="2" t="s">
        <v>85</v>
      </c>
      <c r="E1709">
        <v>9.2857000000000003</v>
      </c>
      <c r="F1709">
        <v>-15459</v>
      </c>
      <c r="G1709">
        <v>-8.5</v>
      </c>
      <c r="H1709">
        <v>-39.799999999999997</v>
      </c>
      <c r="I1709">
        <v>-55.2</v>
      </c>
      <c r="J1709">
        <v>-427.9</v>
      </c>
      <c r="K1709">
        <v>-285.2</v>
      </c>
      <c r="L1709" s="2"/>
    </row>
    <row r="1710" spans="1:12" x14ac:dyDescent="0.25">
      <c r="A1710" s="2" t="s">
        <v>30</v>
      </c>
      <c r="B1710" s="2" t="s">
        <v>31</v>
      </c>
      <c r="C1710" s="2" t="s">
        <v>32</v>
      </c>
      <c r="D1710" s="2" t="s">
        <v>85</v>
      </c>
      <c r="E1710">
        <v>10.2143</v>
      </c>
      <c r="F1710">
        <v>-15416.1</v>
      </c>
      <c r="G1710">
        <v>-8.5</v>
      </c>
      <c r="H1710">
        <v>-39.799999999999997</v>
      </c>
      <c r="I1710">
        <v>-55.2</v>
      </c>
      <c r="J1710">
        <v>-497.5</v>
      </c>
      <c r="K1710">
        <v>-335.9</v>
      </c>
      <c r="L1710" s="2"/>
    </row>
    <row r="1711" spans="1:12" x14ac:dyDescent="0.25">
      <c r="A1711" s="2" t="s">
        <v>30</v>
      </c>
      <c r="B1711" s="2" t="s">
        <v>31</v>
      </c>
      <c r="C1711" s="2" t="s">
        <v>32</v>
      </c>
      <c r="D1711" s="2" t="s">
        <v>85</v>
      </c>
      <c r="E1711">
        <v>11.142899999999999</v>
      </c>
      <c r="F1711">
        <v>-15373.2</v>
      </c>
      <c r="G1711">
        <v>-8.5</v>
      </c>
      <c r="H1711">
        <v>-39.799999999999997</v>
      </c>
      <c r="I1711">
        <v>-55.2</v>
      </c>
      <c r="J1711">
        <v>-567.1</v>
      </c>
      <c r="K1711">
        <v>-386.2</v>
      </c>
      <c r="L1711" s="2"/>
    </row>
    <row r="1712" spans="1:12" x14ac:dyDescent="0.25">
      <c r="A1712" s="2" t="s">
        <v>30</v>
      </c>
      <c r="B1712" s="2" t="s">
        <v>31</v>
      </c>
      <c r="C1712" s="2" t="s">
        <v>32</v>
      </c>
      <c r="D1712" s="2" t="s">
        <v>85</v>
      </c>
      <c r="E1712">
        <v>12.071400000000001</v>
      </c>
      <c r="F1712">
        <v>-15330.3</v>
      </c>
      <c r="G1712">
        <v>-8.5</v>
      </c>
      <c r="H1712">
        <v>-39.799999999999997</v>
      </c>
      <c r="I1712">
        <v>-55.2</v>
      </c>
      <c r="J1712">
        <v>-636.79999999999995</v>
      </c>
      <c r="K1712">
        <v>-436</v>
      </c>
      <c r="L1712" s="2"/>
    </row>
    <row r="1713" spans="1:12" x14ac:dyDescent="0.25">
      <c r="A1713" s="2" t="s">
        <v>30</v>
      </c>
      <c r="B1713" s="2" t="s">
        <v>31</v>
      </c>
      <c r="C1713" s="2" t="s">
        <v>32</v>
      </c>
      <c r="D1713" s="2" t="s">
        <v>85</v>
      </c>
      <c r="E1713">
        <v>13</v>
      </c>
      <c r="F1713">
        <v>-15287.4</v>
      </c>
      <c r="G1713">
        <v>-8.5</v>
      </c>
      <c r="H1713">
        <v>-39.799999999999997</v>
      </c>
      <c r="I1713">
        <v>-55.2</v>
      </c>
      <c r="J1713">
        <v>-706.4</v>
      </c>
      <c r="K1713">
        <v>-485.3</v>
      </c>
      <c r="L1713" s="2"/>
    </row>
    <row r="1714" spans="1:12" x14ac:dyDescent="0.25">
      <c r="A1714" s="2" t="s">
        <v>30</v>
      </c>
      <c r="B1714" s="2" t="s">
        <v>31</v>
      </c>
      <c r="C1714" s="2" t="s">
        <v>32</v>
      </c>
      <c r="D1714" s="2" t="s">
        <v>86</v>
      </c>
      <c r="E1714">
        <v>0</v>
      </c>
      <c r="F1714">
        <v>-2565.6999999999998</v>
      </c>
      <c r="G1714">
        <v>55.7</v>
      </c>
      <c r="H1714">
        <v>9.1999999999999993</v>
      </c>
      <c r="I1714">
        <v>84</v>
      </c>
      <c r="J1714">
        <v>23.4</v>
      </c>
      <c r="K1714">
        <v>229.2</v>
      </c>
      <c r="L1714" s="2"/>
    </row>
    <row r="1715" spans="1:12" x14ac:dyDescent="0.25">
      <c r="A1715" s="2" t="s">
        <v>30</v>
      </c>
      <c r="B1715" s="2" t="s">
        <v>31</v>
      </c>
      <c r="C1715" s="2" t="s">
        <v>32</v>
      </c>
      <c r="D1715" s="2" t="s">
        <v>86</v>
      </c>
      <c r="E1715">
        <v>0.92859999999999998</v>
      </c>
      <c r="F1715">
        <v>-2565.6999999999998</v>
      </c>
      <c r="G1715">
        <v>55.7</v>
      </c>
      <c r="H1715">
        <v>9.1999999999999993</v>
      </c>
      <c r="I1715">
        <v>84</v>
      </c>
      <c r="J1715">
        <v>15.8</v>
      </c>
      <c r="K1715">
        <v>176.9</v>
      </c>
      <c r="L1715" s="2"/>
    </row>
    <row r="1716" spans="1:12" x14ac:dyDescent="0.25">
      <c r="A1716" s="2" t="s">
        <v>30</v>
      </c>
      <c r="B1716" s="2" t="s">
        <v>31</v>
      </c>
      <c r="C1716" s="2" t="s">
        <v>32</v>
      </c>
      <c r="D1716" s="2" t="s">
        <v>86</v>
      </c>
      <c r="E1716">
        <v>1.8571</v>
      </c>
      <c r="F1716">
        <v>-2565.6999999999998</v>
      </c>
      <c r="G1716">
        <v>55.7</v>
      </c>
      <c r="H1716">
        <v>9.1999999999999993</v>
      </c>
      <c r="I1716">
        <v>84</v>
      </c>
      <c r="J1716">
        <v>8.1999999999999993</v>
      </c>
      <c r="K1716">
        <v>124.6</v>
      </c>
      <c r="L1716" s="2"/>
    </row>
    <row r="1717" spans="1:12" x14ac:dyDescent="0.25">
      <c r="A1717" s="2" t="s">
        <v>30</v>
      </c>
      <c r="B1717" s="2" t="s">
        <v>31</v>
      </c>
      <c r="C1717" s="2" t="s">
        <v>32</v>
      </c>
      <c r="D1717" s="2" t="s">
        <v>86</v>
      </c>
      <c r="E1717">
        <v>2.7856999999999998</v>
      </c>
      <c r="F1717">
        <v>-2565.6999999999998</v>
      </c>
      <c r="G1717">
        <v>55.7</v>
      </c>
      <c r="H1717">
        <v>9.1999999999999993</v>
      </c>
      <c r="I1717">
        <v>84</v>
      </c>
      <c r="J1717">
        <v>2</v>
      </c>
      <c r="K1717">
        <v>80.5</v>
      </c>
      <c r="L1717" s="2"/>
    </row>
    <row r="1718" spans="1:12" x14ac:dyDescent="0.25">
      <c r="A1718" s="2" t="s">
        <v>30</v>
      </c>
      <c r="B1718" s="2" t="s">
        <v>31</v>
      </c>
      <c r="C1718" s="2" t="s">
        <v>32</v>
      </c>
      <c r="D1718" s="2" t="s">
        <v>86</v>
      </c>
      <c r="E1718">
        <v>3.7143000000000002</v>
      </c>
      <c r="F1718">
        <v>-2565.6999999999998</v>
      </c>
      <c r="G1718">
        <v>55.7</v>
      </c>
      <c r="H1718">
        <v>9.1999999999999993</v>
      </c>
      <c r="I1718">
        <v>84</v>
      </c>
      <c r="J1718">
        <v>26.6</v>
      </c>
      <c r="K1718">
        <v>50.1</v>
      </c>
      <c r="L1718" s="2"/>
    </row>
    <row r="1719" spans="1:12" x14ac:dyDescent="0.25">
      <c r="A1719" s="2" t="s">
        <v>30</v>
      </c>
      <c r="B1719" s="2" t="s">
        <v>31</v>
      </c>
      <c r="C1719" s="2" t="s">
        <v>32</v>
      </c>
      <c r="D1719" s="2" t="s">
        <v>86</v>
      </c>
      <c r="E1719">
        <v>4.6429</v>
      </c>
      <c r="F1719">
        <v>-2565.6999999999998</v>
      </c>
      <c r="G1719">
        <v>55.7</v>
      </c>
      <c r="H1719">
        <v>9.1999999999999993</v>
      </c>
      <c r="I1719">
        <v>84</v>
      </c>
      <c r="J1719">
        <v>111.7</v>
      </c>
      <c r="K1719">
        <v>44.1</v>
      </c>
      <c r="L1719" s="2"/>
    </row>
    <row r="1720" spans="1:12" x14ac:dyDescent="0.25">
      <c r="A1720" s="2" t="s">
        <v>30</v>
      </c>
      <c r="B1720" s="2" t="s">
        <v>31</v>
      </c>
      <c r="C1720" s="2" t="s">
        <v>32</v>
      </c>
      <c r="D1720" s="2" t="s">
        <v>86</v>
      </c>
      <c r="E1720">
        <v>5.5713999999999997</v>
      </c>
      <c r="F1720">
        <v>-2565.6999999999998</v>
      </c>
      <c r="G1720">
        <v>55.7</v>
      </c>
      <c r="H1720">
        <v>9.1999999999999993</v>
      </c>
      <c r="I1720">
        <v>84</v>
      </c>
      <c r="J1720">
        <v>207.6</v>
      </c>
      <c r="K1720">
        <v>50.3</v>
      </c>
      <c r="L1720" s="2"/>
    </row>
    <row r="1721" spans="1:12" x14ac:dyDescent="0.25">
      <c r="A1721" s="2" t="s">
        <v>30</v>
      </c>
      <c r="B1721" s="2" t="s">
        <v>31</v>
      </c>
      <c r="C1721" s="2" t="s">
        <v>32</v>
      </c>
      <c r="D1721" s="2" t="s">
        <v>86</v>
      </c>
      <c r="E1721">
        <v>6.5</v>
      </c>
      <c r="F1721">
        <v>-2565.6999999999998</v>
      </c>
      <c r="G1721">
        <v>55.7</v>
      </c>
      <c r="H1721">
        <v>9.1999999999999993</v>
      </c>
      <c r="I1721">
        <v>84</v>
      </c>
      <c r="J1721">
        <v>308.5</v>
      </c>
      <c r="K1721">
        <v>56.5</v>
      </c>
      <c r="L1721" s="2"/>
    </row>
    <row r="1722" spans="1:12" x14ac:dyDescent="0.25">
      <c r="A1722" s="2" t="s">
        <v>30</v>
      </c>
      <c r="B1722" s="2" t="s">
        <v>31</v>
      </c>
      <c r="C1722" s="2" t="s">
        <v>32</v>
      </c>
      <c r="D1722" s="2" t="s">
        <v>86</v>
      </c>
      <c r="E1722">
        <v>7.4286000000000003</v>
      </c>
      <c r="F1722">
        <v>-2565.6999999999998</v>
      </c>
      <c r="G1722">
        <v>55.7</v>
      </c>
      <c r="H1722">
        <v>9.1999999999999993</v>
      </c>
      <c r="I1722">
        <v>84</v>
      </c>
      <c r="J1722">
        <v>409.1</v>
      </c>
      <c r="K1722">
        <v>62.7</v>
      </c>
      <c r="L1722" s="2"/>
    </row>
    <row r="1723" spans="1:12" x14ac:dyDescent="0.25">
      <c r="A1723" s="2" t="s">
        <v>30</v>
      </c>
      <c r="B1723" s="2" t="s">
        <v>31</v>
      </c>
      <c r="C1723" s="2" t="s">
        <v>32</v>
      </c>
      <c r="D1723" s="2" t="s">
        <v>86</v>
      </c>
      <c r="E1723">
        <v>8.3571000000000009</v>
      </c>
      <c r="F1723">
        <v>-2565.6999999999998</v>
      </c>
      <c r="G1723">
        <v>55.7</v>
      </c>
      <c r="H1723">
        <v>9.1999999999999993</v>
      </c>
      <c r="I1723">
        <v>84</v>
      </c>
      <c r="J1723">
        <v>509.6</v>
      </c>
      <c r="K1723">
        <v>68.8</v>
      </c>
      <c r="L1723" s="2"/>
    </row>
    <row r="1724" spans="1:12" x14ac:dyDescent="0.25">
      <c r="A1724" s="2" t="s">
        <v>30</v>
      </c>
      <c r="B1724" s="2" t="s">
        <v>31</v>
      </c>
      <c r="C1724" s="2" t="s">
        <v>32</v>
      </c>
      <c r="D1724" s="2" t="s">
        <v>86</v>
      </c>
      <c r="E1724">
        <v>9.2857000000000003</v>
      </c>
      <c r="F1724">
        <v>-2565.6999999999998</v>
      </c>
      <c r="G1724">
        <v>55.7</v>
      </c>
      <c r="H1724">
        <v>9.1999999999999993</v>
      </c>
      <c r="I1724">
        <v>84</v>
      </c>
      <c r="J1724">
        <v>609.9</v>
      </c>
      <c r="K1724">
        <v>74.900000000000006</v>
      </c>
      <c r="L1724" s="2"/>
    </row>
    <row r="1725" spans="1:12" x14ac:dyDescent="0.25">
      <c r="A1725" s="2" t="s">
        <v>30</v>
      </c>
      <c r="B1725" s="2" t="s">
        <v>31</v>
      </c>
      <c r="C1725" s="2" t="s">
        <v>32</v>
      </c>
      <c r="D1725" s="2" t="s">
        <v>86</v>
      </c>
      <c r="E1725">
        <v>10.2143</v>
      </c>
      <c r="F1725">
        <v>-2565.6999999999998</v>
      </c>
      <c r="G1725">
        <v>55.7</v>
      </c>
      <c r="H1725">
        <v>9.1999999999999993</v>
      </c>
      <c r="I1725">
        <v>84</v>
      </c>
      <c r="J1725">
        <v>709.9</v>
      </c>
      <c r="K1725">
        <v>81</v>
      </c>
      <c r="L1725" s="2"/>
    </row>
    <row r="1726" spans="1:12" x14ac:dyDescent="0.25">
      <c r="A1726" s="2" t="s">
        <v>30</v>
      </c>
      <c r="B1726" s="2" t="s">
        <v>31</v>
      </c>
      <c r="C1726" s="2" t="s">
        <v>32</v>
      </c>
      <c r="D1726" s="2" t="s">
        <v>86</v>
      </c>
      <c r="E1726">
        <v>11.142899999999999</v>
      </c>
      <c r="F1726">
        <v>-2565.6999999999998</v>
      </c>
      <c r="G1726">
        <v>55.7</v>
      </c>
      <c r="H1726">
        <v>9.1999999999999993</v>
      </c>
      <c r="I1726">
        <v>84</v>
      </c>
      <c r="J1726">
        <v>809.5</v>
      </c>
      <c r="K1726">
        <v>87.1</v>
      </c>
      <c r="L1726" s="2"/>
    </row>
    <row r="1727" spans="1:12" x14ac:dyDescent="0.25">
      <c r="A1727" s="2" t="s">
        <v>30</v>
      </c>
      <c r="B1727" s="2" t="s">
        <v>31</v>
      </c>
      <c r="C1727" s="2" t="s">
        <v>32</v>
      </c>
      <c r="D1727" s="2" t="s">
        <v>86</v>
      </c>
      <c r="E1727">
        <v>12.071400000000001</v>
      </c>
      <c r="F1727">
        <v>-2565.6999999999998</v>
      </c>
      <c r="G1727">
        <v>55.7</v>
      </c>
      <c r="H1727">
        <v>9.1999999999999993</v>
      </c>
      <c r="I1727">
        <v>84</v>
      </c>
      <c r="J1727">
        <v>908.7</v>
      </c>
      <c r="K1727">
        <v>93.3</v>
      </c>
      <c r="L1727" s="2"/>
    </row>
    <row r="1728" spans="1:12" x14ac:dyDescent="0.25">
      <c r="A1728" s="2" t="s">
        <v>30</v>
      </c>
      <c r="B1728" s="2" t="s">
        <v>31</v>
      </c>
      <c r="C1728" s="2" t="s">
        <v>32</v>
      </c>
      <c r="D1728" s="2" t="s">
        <v>86</v>
      </c>
      <c r="E1728">
        <v>13</v>
      </c>
      <c r="F1728">
        <v>-2565.6999999999998</v>
      </c>
      <c r="G1728">
        <v>55.7</v>
      </c>
      <c r="H1728">
        <v>9.1999999999999993</v>
      </c>
      <c r="I1728">
        <v>84</v>
      </c>
      <c r="J1728">
        <v>1007.5</v>
      </c>
      <c r="K1728">
        <v>99.5</v>
      </c>
      <c r="L1728" s="2"/>
    </row>
    <row r="1729" spans="1:12" x14ac:dyDescent="0.25">
      <c r="A1729" s="2" t="s">
        <v>30</v>
      </c>
      <c r="B1729" s="2" t="s">
        <v>31</v>
      </c>
      <c r="C1729" s="2" t="s">
        <v>32</v>
      </c>
      <c r="D1729" s="2" t="s">
        <v>86</v>
      </c>
      <c r="E1729">
        <v>0</v>
      </c>
      <c r="F1729">
        <v>-14889.5</v>
      </c>
      <c r="G1729">
        <v>-7</v>
      </c>
      <c r="H1729">
        <v>-106.4</v>
      </c>
      <c r="I1729">
        <v>-62.2</v>
      </c>
      <c r="J1729">
        <v>-398</v>
      </c>
      <c r="K1729">
        <v>12</v>
      </c>
      <c r="L1729" s="2"/>
    </row>
    <row r="1730" spans="1:12" x14ac:dyDescent="0.25">
      <c r="A1730" s="2" t="s">
        <v>30</v>
      </c>
      <c r="B1730" s="2" t="s">
        <v>31</v>
      </c>
      <c r="C1730" s="2" t="s">
        <v>32</v>
      </c>
      <c r="D1730" s="2" t="s">
        <v>86</v>
      </c>
      <c r="E1730">
        <v>0.92859999999999998</v>
      </c>
      <c r="F1730">
        <v>-14846.6</v>
      </c>
      <c r="G1730">
        <v>-7</v>
      </c>
      <c r="H1730">
        <v>-106.4</v>
      </c>
      <c r="I1730">
        <v>-62.2</v>
      </c>
      <c r="J1730">
        <v>-297.5</v>
      </c>
      <c r="K1730">
        <v>18.600000000000001</v>
      </c>
      <c r="L1730" s="2"/>
    </row>
    <row r="1731" spans="1:12" x14ac:dyDescent="0.25">
      <c r="A1731" s="2" t="s">
        <v>30</v>
      </c>
      <c r="B1731" s="2" t="s">
        <v>31</v>
      </c>
      <c r="C1731" s="2" t="s">
        <v>32</v>
      </c>
      <c r="D1731" s="2" t="s">
        <v>86</v>
      </c>
      <c r="E1731">
        <v>1.8571</v>
      </c>
      <c r="F1731">
        <v>-14803.7</v>
      </c>
      <c r="G1731">
        <v>-7</v>
      </c>
      <c r="H1731">
        <v>-106.4</v>
      </c>
      <c r="I1731">
        <v>-62.2</v>
      </c>
      <c r="J1731">
        <v>-197</v>
      </c>
      <c r="K1731">
        <v>25.1</v>
      </c>
      <c r="L1731" s="2"/>
    </row>
    <row r="1732" spans="1:12" x14ac:dyDescent="0.25">
      <c r="A1732" s="2" t="s">
        <v>30</v>
      </c>
      <c r="B1732" s="2" t="s">
        <v>31</v>
      </c>
      <c r="C1732" s="2" t="s">
        <v>32</v>
      </c>
      <c r="D1732" s="2" t="s">
        <v>86</v>
      </c>
      <c r="E1732">
        <v>2.7856999999999998</v>
      </c>
      <c r="F1732">
        <v>-14760.8</v>
      </c>
      <c r="G1732">
        <v>-7</v>
      </c>
      <c r="H1732">
        <v>-106.4</v>
      </c>
      <c r="I1732">
        <v>-62.2</v>
      </c>
      <c r="J1732">
        <v>-117.7</v>
      </c>
      <c r="K1732">
        <v>23.3</v>
      </c>
      <c r="L1732" s="2"/>
    </row>
    <row r="1733" spans="1:12" x14ac:dyDescent="0.25">
      <c r="A1733" s="2" t="s">
        <v>30</v>
      </c>
      <c r="B1733" s="2" t="s">
        <v>31</v>
      </c>
      <c r="C1733" s="2" t="s">
        <v>32</v>
      </c>
      <c r="D1733" s="2" t="s">
        <v>86</v>
      </c>
      <c r="E1733">
        <v>3.7143000000000002</v>
      </c>
      <c r="F1733">
        <v>-14718</v>
      </c>
      <c r="G1733">
        <v>-7</v>
      </c>
      <c r="H1733">
        <v>-106.4</v>
      </c>
      <c r="I1733">
        <v>-62.2</v>
      </c>
      <c r="J1733">
        <v>-67.3</v>
      </c>
      <c r="K1733">
        <v>7.9</v>
      </c>
      <c r="L1733" s="2"/>
    </row>
    <row r="1734" spans="1:12" x14ac:dyDescent="0.25">
      <c r="A1734" s="2" t="s">
        <v>30</v>
      </c>
      <c r="B1734" s="2" t="s">
        <v>31</v>
      </c>
      <c r="C1734" s="2" t="s">
        <v>32</v>
      </c>
      <c r="D1734" s="2" t="s">
        <v>86</v>
      </c>
      <c r="E1734">
        <v>4.6429</v>
      </c>
      <c r="F1734">
        <v>-14675.1</v>
      </c>
      <c r="G1734">
        <v>-7</v>
      </c>
      <c r="H1734">
        <v>-106.4</v>
      </c>
      <c r="I1734">
        <v>-62.2</v>
      </c>
      <c r="J1734">
        <v>-48.6</v>
      </c>
      <c r="K1734">
        <v>-34.5</v>
      </c>
      <c r="L1734" s="2"/>
    </row>
    <row r="1735" spans="1:12" x14ac:dyDescent="0.25">
      <c r="A1735" s="2" t="s">
        <v>30</v>
      </c>
      <c r="B1735" s="2" t="s">
        <v>31</v>
      </c>
      <c r="C1735" s="2" t="s">
        <v>32</v>
      </c>
      <c r="D1735" s="2" t="s">
        <v>86</v>
      </c>
      <c r="E1735">
        <v>5.5713999999999997</v>
      </c>
      <c r="F1735">
        <v>-14632.2</v>
      </c>
      <c r="G1735">
        <v>-7</v>
      </c>
      <c r="H1735">
        <v>-106.4</v>
      </c>
      <c r="I1735">
        <v>-62.2</v>
      </c>
      <c r="J1735">
        <v>-46.3</v>
      </c>
      <c r="K1735">
        <v>-87.6</v>
      </c>
      <c r="L1735" s="2"/>
    </row>
    <row r="1736" spans="1:12" x14ac:dyDescent="0.25">
      <c r="A1736" s="2" t="s">
        <v>30</v>
      </c>
      <c r="B1736" s="2" t="s">
        <v>31</v>
      </c>
      <c r="C1736" s="2" t="s">
        <v>32</v>
      </c>
      <c r="D1736" s="2" t="s">
        <v>86</v>
      </c>
      <c r="E1736">
        <v>6.5</v>
      </c>
      <c r="F1736">
        <v>-14589.3</v>
      </c>
      <c r="G1736">
        <v>-7</v>
      </c>
      <c r="H1736">
        <v>-106.4</v>
      </c>
      <c r="I1736">
        <v>-62.2</v>
      </c>
      <c r="J1736">
        <v>-50</v>
      </c>
      <c r="K1736">
        <v>-140.6</v>
      </c>
      <c r="L1736" s="2"/>
    </row>
    <row r="1737" spans="1:12" x14ac:dyDescent="0.25">
      <c r="A1737" s="2" t="s">
        <v>30</v>
      </c>
      <c r="B1737" s="2" t="s">
        <v>31</v>
      </c>
      <c r="C1737" s="2" t="s">
        <v>32</v>
      </c>
      <c r="D1737" s="2" t="s">
        <v>86</v>
      </c>
      <c r="E1737">
        <v>7.4286000000000003</v>
      </c>
      <c r="F1737">
        <v>-14546.4</v>
      </c>
      <c r="G1737">
        <v>-7</v>
      </c>
      <c r="H1737">
        <v>-106.4</v>
      </c>
      <c r="I1737">
        <v>-62.2</v>
      </c>
      <c r="J1737">
        <v>-53.8</v>
      </c>
      <c r="K1737">
        <v>-193.5</v>
      </c>
      <c r="L1737" s="2"/>
    </row>
    <row r="1738" spans="1:12" x14ac:dyDescent="0.25">
      <c r="A1738" s="2" t="s">
        <v>30</v>
      </c>
      <c r="B1738" s="2" t="s">
        <v>31</v>
      </c>
      <c r="C1738" s="2" t="s">
        <v>32</v>
      </c>
      <c r="D1738" s="2" t="s">
        <v>86</v>
      </c>
      <c r="E1738">
        <v>8.3571000000000009</v>
      </c>
      <c r="F1738">
        <v>-14503.5</v>
      </c>
      <c r="G1738">
        <v>-7</v>
      </c>
      <c r="H1738">
        <v>-106.4</v>
      </c>
      <c r="I1738">
        <v>-62.2</v>
      </c>
      <c r="J1738">
        <v>-57.5</v>
      </c>
      <c r="K1738">
        <v>-246.2</v>
      </c>
      <c r="L1738" s="2"/>
    </row>
    <row r="1739" spans="1:12" x14ac:dyDescent="0.25">
      <c r="A1739" s="2" t="s">
        <v>30</v>
      </c>
      <c r="B1739" s="2" t="s">
        <v>31</v>
      </c>
      <c r="C1739" s="2" t="s">
        <v>32</v>
      </c>
      <c r="D1739" s="2" t="s">
        <v>86</v>
      </c>
      <c r="E1739">
        <v>9.2857000000000003</v>
      </c>
      <c r="F1739">
        <v>-14460.7</v>
      </c>
      <c r="G1739">
        <v>-7</v>
      </c>
      <c r="H1739">
        <v>-106.4</v>
      </c>
      <c r="I1739">
        <v>-62.2</v>
      </c>
      <c r="J1739">
        <v>-61.2</v>
      </c>
      <c r="K1739">
        <v>-298.7</v>
      </c>
      <c r="L1739" s="2"/>
    </row>
    <row r="1740" spans="1:12" x14ac:dyDescent="0.25">
      <c r="A1740" s="2" t="s">
        <v>30</v>
      </c>
      <c r="B1740" s="2" t="s">
        <v>31</v>
      </c>
      <c r="C1740" s="2" t="s">
        <v>32</v>
      </c>
      <c r="D1740" s="2" t="s">
        <v>86</v>
      </c>
      <c r="E1740">
        <v>10.2143</v>
      </c>
      <c r="F1740">
        <v>-14417.8</v>
      </c>
      <c r="G1740">
        <v>-7</v>
      </c>
      <c r="H1740">
        <v>-106.4</v>
      </c>
      <c r="I1740">
        <v>-62.2</v>
      </c>
      <c r="J1740">
        <v>-65</v>
      </c>
      <c r="K1740">
        <v>-350.8</v>
      </c>
      <c r="L1740" s="2"/>
    </row>
    <row r="1741" spans="1:12" x14ac:dyDescent="0.25">
      <c r="A1741" s="2" t="s">
        <v>30</v>
      </c>
      <c r="B1741" s="2" t="s">
        <v>31</v>
      </c>
      <c r="C1741" s="2" t="s">
        <v>32</v>
      </c>
      <c r="D1741" s="2" t="s">
        <v>86</v>
      </c>
      <c r="E1741">
        <v>11.142899999999999</v>
      </c>
      <c r="F1741">
        <v>-14374.9</v>
      </c>
      <c r="G1741">
        <v>-7</v>
      </c>
      <c r="H1741">
        <v>-106.4</v>
      </c>
      <c r="I1741">
        <v>-62.2</v>
      </c>
      <c r="J1741">
        <v>-68.7</v>
      </c>
      <c r="K1741">
        <v>-402.5</v>
      </c>
      <c r="L1741" s="2"/>
    </row>
    <row r="1742" spans="1:12" x14ac:dyDescent="0.25">
      <c r="A1742" s="2" t="s">
        <v>30</v>
      </c>
      <c r="B1742" s="2" t="s">
        <v>31</v>
      </c>
      <c r="C1742" s="2" t="s">
        <v>32</v>
      </c>
      <c r="D1742" s="2" t="s">
        <v>86</v>
      </c>
      <c r="E1742">
        <v>12.071400000000001</v>
      </c>
      <c r="F1742">
        <v>-14332</v>
      </c>
      <c r="G1742">
        <v>-7</v>
      </c>
      <c r="H1742">
        <v>-106.4</v>
      </c>
      <c r="I1742">
        <v>-62.2</v>
      </c>
      <c r="J1742">
        <v>-76.400000000000006</v>
      </c>
      <c r="K1742">
        <v>-453.7</v>
      </c>
      <c r="L1742" s="2"/>
    </row>
    <row r="1743" spans="1:12" x14ac:dyDescent="0.25">
      <c r="A1743" s="2" t="s">
        <v>30</v>
      </c>
      <c r="B1743" s="2" t="s">
        <v>31</v>
      </c>
      <c r="C1743" s="2" t="s">
        <v>32</v>
      </c>
      <c r="D1743" s="2" t="s">
        <v>86</v>
      </c>
      <c r="E1743">
        <v>13</v>
      </c>
      <c r="F1743">
        <v>-14289.1</v>
      </c>
      <c r="G1743">
        <v>-7</v>
      </c>
      <c r="H1743">
        <v>-106.4</v>
      </c>
      <c r="I1743">
        <v>-62.2</v>
      </c>
      <c r="J1743">
        <v>-84.2</v>
      </c>
      <c r="K1743">
        <v>-504.4</v>
      </c>
      <c r="L1743" s="2"/>
    </row>
    <row r="1744" spans="1:12" x14ac:dyDescent="0.25">
      <c r="A1744" s="2" t="s">
        <v>30</v>
      </c>
      <c r="B1744" s="2" t="s">
        <v>31</v>
      </c>
      <c r="C1744" s="2" t="s">
        <v>32</v>
      </c>
      <c r="D1744" s="2" t="s">
        <v>87</v>
      </c>
      <c r="E1744">
        <v>0</v>
      </c>
      <c r="F1744">
        <v>-5535.2</v>
      </c>
      <c r="G1744">
        <v>75.3</v>
      </c>
      <c r="H1744">
        <v>159.4</v>
      </c>
      <c r="I1744">
        <v>175.9</v>
      </c>
      <c r="J1744">
        <v>572.70000000000005</v>
      </c>
      <c r="K1744">
        <v>304.2</v>
      </c>
      <c r="L1744" s="2"/>
    </row>
    <row r="1745" spans="1:12" x14ac:dyDescent="0.25">
      <c r="A1745" s="2" t="s">
        <v>30</v>
      </c>
      <c r="B1745" s="2" t="s">
        <v>31</v>
      </c>
      <c r="C1745" s="2" t="s">
        <v>32</v>
      </c>
      <c r="D1745" s="2" t="s">
        <v>87</v>
      </c>
      <c r="E1745">
        <v>0.92859999999999998</v>
      </c>
      <c r="F1745">
        <v>-5535.2</v>
      </c>
      <c r="G1745">
        <v>75.3</v>
      </c>
      <c r="H1745">
        <v>159.4</v>
      </c>
      <c r="I1745">
        <v>175.9</v>
      </c>
      <c r="J1745">
        <v>426.1</v>
      </c>
      <c r="K1745">
        <v>236</v>
      </c>
      <c r="L1745" s="2"/>
    </row>
    <row r="1746" spans="1:12" x14ac:dyDescent="0.25">
      <c r="A1746" s="2" t="s">
        <v>30</v>
      </c>
      <c r="B1746" s="2" t="s">
        <v>31</v>
      </c>
      <c r="C1746" s="2" t="s">
        <v>32</v>
      </c>
      <c r="D1746" s="2" t="s">
        <v>87</v>
      </c>
      <c r="E1746">
        <v>1.8571</v>
      </c>
      <c r="F1746">
        <v>-5535.2</v>
      </c>
      <c r="G1746">
        <v>75.3</v>
      </c>
      <c r="H1746">
        <v>159.4</v>
      </c>
      <c r="I1746">
        <v>175.9</v>
      </c>
      <c r="J1746">
        <v>279.39999999999998</v>
      </c>
      <c r="K1746">
        <v>168.7</v>
      </c>
      <c r="L1746" s="2"/>
    </row>
    <row r="1747" spans="1:12" x14ac:dyDescent="0.25">
      <c r="A1747" s="2" t="s">
        <v>30</v>
      </c>
      <c r="B1747" s="2" t="s">
        <v>31</v>
      </c>
      <c r="C1747" s="2" t="s">
        <v>32</v>
      </c>
      <c r="D1747" s="2" t="s">
        <v>87</v>
      </c>
      <c r="E1747">
        <v>2.7856999999999998</v>
      </c>
      <c r="F1747">
        <v>-5535.2</v>
      </c>
      <c r="G1747">
        <v>75.3</v>
      </c>
      <c r="H1747">
        <v>159.4</v>
      </c>
      <c r="I1747">
        <v>175.9</v>
      </c>
      <c r="J1747">
        <v>175.1</v>
      </c>
      <c r="K1747">
        <v>117.3</v>
      </c>
      <c r="L1747" s="2"/>
    </row>
    <row r="1748" spans="1:12" x14ac:dyDescent="0.25">
      <c r="A1748" s="2" t="s">
        <v>30</v>
      </c>
      <c r="B1748" s="2" t="s">
        <v>31</v>
      </c>
      <c r="C1748" s="2" t="s">
        <v>32</v>
      </c>
      <c r="D1748" s="2" t="s">
        <v>87</v>
      </c>
      <c r="E1748">
        <v>3.7143000000000002</v>
      </c>
      <c r="F1748">
        <v>-5535.2</v>
      </c>
      <c r="G1748">
        <v>75.3</v>
      </c>
      <c r="H1748">
        <v>159.4</v>
      </c>
      <c r="I1748">
        <v>175.9</v>
      </c>
      <c r="J1748">
        <v>130.80000000000001</v>
      </c>
      <c r="K1748">
        <v>74.5</v>
      </c>
      <c r="L1748" s="2"/>
    </row>
    <row r="1749" spans="1:12" x14ac:dyDescent="0.25">
      <c r="A1749" s="2" t="s">
        <v>30</v>
      </c>
      <c r="B1749" s="2" t="s">
        <v>31</v>
      </c>
      <c r="C1749" s="2" t="s">
        <v>32</v>
      </c>
      <c r="D1749" s="2" t="s">
        <v>87</v>
      </c>
      <c r="E1749">
        <v>4.6429</v>
      </c>
      <c r="F1749">
        <v>-5535.2</v>
      </c>
      <c r="G1749">
        <v>75.3</v>
      </c>
      <c r="H1749">
        <v>159.4</v>
      </c>
      <c r="I1749">
        <v>175.9</v>
      </c>
      <c r="J1749">
        <v>143.30000000000001</v>
      </c>
      <c r="K1749">
        <v>54.3</v>
      </c>
      <c r="L1749" s="2"/>
    </row>
    <row r="1750" spans="1:12" x14ac:dyDescent="0.25">
      <c r="A1750" s="2" t="s">
        <v>30</v>
      </c>
      <c r="B1750" s="2" t="s">
        <v>31</v>
      </c>
      <c r="C1750" s="2" t="s">
        <v>32</v>
      </c>
      <c r="D1750" s="2" t="s">
        <v>87</v>
      </c>
      <c r="E1750">
        <v>5.5713999999999997</v>
      </c>
      <c r="F1750">
        <v>-5535.2</v>
      </c>
      <c r="G1750">
        <v>75.3</v>
      </c>
      <c r="H1750">
        <v>159.4</v>
      </c>
      <c r="I1750">
        <v>175.9</v>
      </c>
      <c r="J1750">
        <v>257.3</v>
      </c>
      <c r="K1750">
        <v>45.8</v>
      </c>
      <c r="L1750" s="2"/>
    </row>
    <row r="1751" spans="1:12" x14ac:dyDescent="0.25">
      <c r="A1751" s="2" t="s">
        <v>30</v>
      </c>
      <c r="B1751" s="2" t="s">
        <v>31</v>
      </c>
      <c r="C1751" s="2" t="s">
        <v>32</v>
      </c>
      <c r="D1751" s="2" t="s">
        <v>87</v>
      </c>
      <c r="E1751">
        <v>6.5</v>
      </c>
      <c r="F1751">
        <v>-5535.2</v>
      </c>
      <c r="G1751">
        <v>75.3</v>
      </c>
      <c r="H1751">
        <v>159.4</v>
      </c>
      <c r="I1751">
        <v>175.9</v>
      </c>
      <c r="J1751">
        <v>376.2</v>
      </c>
      <c r="K1751">
        <v>37.200000000000003</v>
      </c>
      <c r="L1751" s="2"/>
    </row>
    <row r="1752" spans="1:12" x14ac:dyDescent="0.25">
      <c r="A1752" s="2" t="s">
        <v>30</v>
      </c>
      <c r="B1752" s="2" t="s">
        <v>31</v>
      </c>
      <c r="C1752" s="2" t="s">
        <v>32</v>
      </c>
      <c r="D1752" s="2" t="s">
        <v>87</v>
      </c>
      <c r="E1752">
        <v>7.4286000000000003</v>
      </c>
      <c r="F1752">
        <v>-5535.2</v>
      </c>
      <c r="G1752">
        <v>75.3</v>
      </c>
      <c r="H1752">
        <v>159.4</v>
      </c>
      <c r="I1752">
        <v>175.9</v>
      </c>
      <c r="J1752">
        <v>494.9</v>
      </c>
      <c r="K1752">
        <v>28.6</v>
      </c>
      <c r="L1752" s="2"/>
    </row>
    <row r="1753" spans="1:12" x14ac:dyDescent="0.25">
      <c r="A1753" s="2" t="s">
        <v>30</v>
      </c>
      <c r="B1753" s="2" t="s">
        <v>31</v>
      </c>
      <c r="C1753" s="2" t="s">
        <v>32</v>
      </c>
      <c r="D1753" s="2" t="s">
        <v>87</v>
      </c>
      <c r="E1753">
        <v>8.3571000000000009</v>
      </c>
      <c r="F1753">
        <v>-5535.2</v>
      </c>
      <c r="G1753">
        <v>75.3</v>
      </c>
      <c r="H1753">
        <v>159.4</v>
      </c>
      <c r="I1753">
        <v>175.9</v>
      </c>
      <c r="J1753">
        <v>613.4</v>
      </c>
      <c r="K1753">
        <v>20</v>
      </c>
      <c r="L1753" s="2"/>
    </row>
    <row r="1754" spans="1:12" x14ac:dyDescent="0.25">
      <c r="A1754" s="2" t="s">
        <v>30</v>
      </c>
      <c r="B1754" s="2" t="s">
        <v>31</v>
      </c>
      <c r="C1754" s="2" t="s">
        <v>32</v>
      </c>
      <c r="D1754" s="2" t="s">
        <v>87</v>
      </c>
      <c r="E1754">
        <v>9.2857000000000003</v>
      </c>
      <c r="F1754">
        <v>-5535.2</v>
      </c>
      <c r="G1754">
        <v>75.3</v>
      </c>
      <c r="H1754">
        <v>159.4</v>
      </c>
      <c r="I1754">
        <v>175.9</v>
      </c>
      <c r="J1754">
        <v>731.7</v>
      </c>
      <c r="K1754">
        <v>11.3</v>
      </c>
      <c r="L1754" s="2"/>
    </row>
    <row r="1755" spans="1:12" x14ac:dyDescent="0.25">
      <c r="A1755" s="2" t="s">
        <v>30</v>
      </c>
      <c r="B1755" s="2" t="s">
        <v>31</v>
      </c>
      <c r="C1755" s="2" t="s">
        <v>32</v>
      </c>
      <c r="D1755" s="2" t="s">
        <v>87</v>
      </c>
      <c r="E1755">
        <v>10.2143</v>
      </c>
      <c r="F1755">
        <v>-5535.2</v>
      </c>
      <c r="G1755">
        <v>75.3</v>
      </c>
      <c r="H1755">
        <v>159.4</v>
      </c>
      <c r="I1755">
        <v>175.9</v>
      </c>
      <c r="J1755">
        <v>849.6</v>
      </c>
      <c r="K1755">
        <v>2.7</v>
      </c>
      <c r="L1755" s="2"/>
    </row>
    <row r="1756" spans="1:12" x14ac:dyDescent="0.25">
      <c r="A1756" s="2" t="s">
        <v>30</v>
      </c>
      <c r="B1756" s="2" t="s">
        <v>31</v>
      </c>
      <c r="C1756" s="2" t="s">
        <v>32</v>
      </c>
      <c r="D1756" s="2" t="s">
        <v>87</v>
      </c>
      <c r="E1756">
        <v>11.142899999999999</v>
      </c>
      <c r="F1756">
        <v>-5535.2</v>
      </c>
      <c r="G1756">
        <v>75.3</v>
      </c>
      <c r="H1756">
        <v>159.4</v>
      </c>
      <c r="I1756">
        <v>175.9</v>
      </c>
      <c r="J1756">
        <v>967.2</v>
      </c>
      <c r="K1756">
        <v>-5.8</v>
      </c>
      <c r="L1756" s="2"/>
    </row>
    <row r="1757" spans="1:12" x14ac:dyDescent="0.25">
      <c r="A1757" s="2" t="s">
        <v>30</v>
      </c>
      <c r="B1757" s="2" t="s">
        <v>31</v>
      </c>
      <c r="C1757" s="2" t="s">
        <v>32</v>
      </c>
      <c r="D1757" s="2" t="s">
        <v>87</v>
      </c>
      <c r="E1757">
        <v>12.071400000000001</v>
      </c>
      <c r="F1757">
        <v>-5535.2</v>
      </c>
      <c r="G1757">
        <v>75.3</v>
      </c>
      <c r="H1757">
        <v>159.4</v>
      </c>
      <c r="I1757">
        <v>175.9</v>
      </c>
      <c r="J1757">
        <v>1084.5</v>
      </c>
      <c r="K1757">
        <v>-14.3</v>
      </c>
      <c r="L1757" s="2"/>
    </row>
    <row r="1758" spans="1:12" x14ac:dyDescent="0.25">
      <c r="A1758" s="2" t="s">
        <v>30</v>
      </c>
      <c r="B1758" s="2" t="s">
        <v>31</v>
      </c>
      <c r="C1758" s="2" t="s">
        <v>32</v>
      </c>
      <c r="D1758" s="2" t="s">
        <v>87</v>
      </c>
      <c r="E1758">
        <v>13</v>
      </c>
      <c r="F1758">
        <v>-5535.2</v>
      </c>
      <c r="G1758">
        <v>75.3</v>
      </c>
      <c r="H1758">
        <v>159.4</v>
      </c>
      <c r="I1758">
        <v>175.9</v>
      </c>
      <c r="J1758">
        <v>1201.3</v>
      </c>
      <c r="K1758">
        <v>-22.6</v>
      </c>
      <c r="L1758" s="2"/>
    </row>
    <row r="1759" spans="1:12" x14ac:dyDescent="0.25">
      <c r="A1759" s="2" t="s">
        <v>30</v>
      </c>
      <c r="B1759" s="2" t="s">
        <v>31</v>
      </c>
      <c r="C1759" s="2" t="s">
        <v>32</v>
      </c>
      <c r="D1759" s="2" t="s">
        <v>87</v>
      </c>
      <c r="E1759">
        <v>0</v>
      </c>
      <c r="F1759">
        <v>-19476.5</v>
      </c>
      <c r="G1759">
        <v>9.1</v>
      </c>
      <c r="H1759">
        <v>-125.6</v>
      </c>
      <c r="I1759">
        <v>-109.2</v>
      </c>
      <c r="J1759">
        <v>-457.5</v>
      </c>
      <c r="K1759">
        <v>89.9</v>
      </c>
      <c r="L1759" s="2"/>
    </row>
    <row r="1760" spans="1:12" x14ac:dyDescent="0.25">
      <c r="A1760" s="2" t="s">
        <v>30</v>
      </c>
      <c r="B1760" s="2" t="s">
        <v>31</v>
      </c>
      <c r="C1760" s="2" t="s">
        <v>32</v>
      </c>
      <c r="D1760" s="2" t="s">
        <v>87</v>
      </c>
      <c r="E1760">
        <v>0.92859999999999998</v>
      </c>
      <c r="F1760">
        <v>-19433.599999999999</v>
      </c>
      <c r="G1760">
        <v>9.1</v>
      </c>
      <c r="H1760">
        <v>-125.6</v>
      </c>
      <c r="I1760">
        <v>-109.2</v>
      </c>
      <c r="J1760">
        <v>-338.6</v>
      </c>
      <c r="K1760">
        <v>79.2</v>
      </c>
      <c r="L1760" s="2"/>
    </row>
    <row r="1761" spans="1:12" x14ac:dyDescent="0.25">
      <c r="A1761" s="2" t="s">
        <v>30</v>
      </c>
      <c r="B1761" s="2" t="s">
        <v>31</v>
      </c>
      <c r="C1761" s="2" t="s">
        <v>32</v>
      </c>
      <c r="D1761" s="2" t="s">
        <v>87</v>
      </c>
      <c r="E1761">
        <v>1.8571</v>
      </c>
      <c r="F1761">
        <v>-19390.7</v>
      </c>
      <c r="G1761">
        <v>9.1</v>
      </c>
      <c r="H1761">
        <v>-125.6</v>
      </c>
      <c r="I1761">
        <v>-109.2</v>
      </c>
      <c r="J1761">
        <v>-219.9</v>
      </c>
      <c r="K1761">
        <v>68.3</v>
      </c>
      <c r="L1761" s="2"/>
    </row>
    <row r="1762" spans="1:12" x14ac:dyDescent="0.25">
      <c r="A1762" s="2" t="s">
        <v>30</v>
      </c>
      <c r="B1762" s="2" t="s">
        <v>31</v>
      </c>
      <c r="C1762" s="2" t="s">
        <v>32</v>
      </c>
      <c r="D1762" s="2" t="s">
        <v>87</v>
      </c>
      <c r="E1762">
        <v>2.7856999999999998</v>
      </c>
      <c r="F1762">
        <v>-19347.8</v>
      </c>
      <c r="G1762">
        <v>9.1</v>
      </c>
      <c r="H1762">
        <v>-125.6</v>
      </c>
      <c r="I1762">
        <v>-109.2</v>
      </c>
      <c r="J1762">
        <v>-129.1</v>
      </c>
      <c r="K1762">
        <v>42.7</v>
      </c>
      <c r="L1762" s="2"/>
    </row>
    <row r="1763" spans="1:12" x14ac:dyDescent="0.25">
      <c r="A1763" s="2" t="s">
        <v>30</v>
      </c>
      <c r="B1763" s="2" t="s">
        <v>31</v>
      </c>
      <c r="C1763" s="2" t="s">
        <v>32</v>
      </c>
      <c r="D1763" s="2" t="s">
        <v>87</v>
      </c>
      <c r="E1763">
        <v>3.7143000000000002</v>
      </c>
      <c r="F1763">
        <v>-19304.900000000001</v>
      </c>
      <c r="G1763">
        <v>9.1</v>
      </c>
      <c r="H1763">
        <v>-125.6</v>
      </c>
      <c r="I1763">
        <v>-109.2</v>
      </c>
      <c r="J1763">
        <v>-84.3</v>
      </c>
      <c r="K1763">
        <v>11.9</v>
      </c>
      <c r="L1763" s="2"/>
    </row>
    <row r="1764" spans="1:12" x14ac:dyDescent="0.25">
      <c r="A1764" s="2" t="s">
        <v>30</v>
      </c>
      <c r="B1764" s="2" t="s">
        <v>31</v>
      </c>
      <c r="C1764" s="2" t="s">
        <v>32</v>
      </c>
      <c r="D1764" s="2" t="s">
        <v>87</v>
      </c>
      <c r="E1764">
        <v>4.6429</v>
      </c>
      <c r="F1764">
        <v>-19262</v>
      </c>
      <c r="G1764">
        <v>9.1</v>
      </c>
      <c r="H1764">
        <v>-125.6</v>
      </c>
      <c r="I1764">
        <v>-109.2</v>
      </c>
      <c r="J1764">
        <v>-161.1</v>
      </c>
      <c r="K1764">
        <v>-48.4</v>
      </c>
      <c r="L1764" s="2"/>
    </row>
    <row r="1765" spans="1:12" x14ac:dyDescent="0.25">
      <c r="A1765" s="2" t="s">
        <v>30</v>
      </c>
      <c r="B1765" s="2" t="s">
        <v>31</v>
      </c>
      <c r="C1765" s="2" t="s">
        <v>32</v>
      </c>
      <c r="D1765" s="2" t="s">
        <v>87</v>
      </c>
      <c r="E1765">
        <v>5.5713999999999997</v>
      </c>
      <c r="F1765">
        <v>-19219.2</v>
      </c>
      <c r="G1765">
        <v>9.1</v>
      </c>
      <c r="H1765">
        <v>-125.6</v>
      </c>
      <c r="I1765">
        <v>-109.2</v>
      </c>
      <c r="J1765">
        <v>-308</v>
      </c>
      <c r="K1765">
        <v>-119.5</v>
      </c>
      <c r="L1765" s="2"/>
    </row>
    <row r="1766" spans="1:12" x14ac:dyDescent="0.25">
      <c r="A1766" s="2" t="s">
        <v>30</v>
      </c>
      <c r="B1766" s="2" t="s">
        <v>31</v>
      </c>
      <c r="C1766" s="2" t="s">
        <v>32</v>
      </c>
      <c r="D1766" s="2" t="s">
        <v>87</v>
      </c>
      <c r="E1766">
        <v>6.5</v>
      </c>
      <c r="F1766">
        <v>-19176.3</v>
      </c>
      <c r="G1766">
        <v>9.1</v>
      </c>
      <c r="H1766">
        <v>-125.6</v>
      </c>
      <c r="I1766">
        <v>-109.2</v>
      </c>
      <c r="J1766">
        <v>-455</v>
      </c>
      <c r="K1766">
        <v>-190.5</v>
      </c>
      <c r="L1766" s="2"/>
    </row>
    <row r="1767" spans="1:12" x14ac:dyDescent="0.25">
      <c r="A1767" s="2" t="s">
        <v>30</v>
      </c>
      <c r="B1767" s="2" t="s">
        <v>31</v>
      </c>
      <c r="C1767" s="2" t="s">
        <v>32</v>
      </c>
      <c r="D1767" s="2" t="s">
        <v>87</v>
      </c>
      <c r="E1767">
        <v>7.4286000000000003</v>
      </c>
      <c r="F1767">
        <v>-19133.400000000001</v>
      </c>
      <c r="G1767">
        <v>9.1</v>
      </c>
      <c r="H1767">
        <v>-125.6</v>
      </c>
      <c r="I1767">
        <v>-109.2</v>
      </c>
      <c r="J1767">
        <v>-602</v>
      </c>
      <c r="K1767">
        <v>-261.39999999999998</v>
      </c>
      <c r="L1767" s="2"/>
    </row>
    <row r="1768" spans="1:12" x14ac:dyDescent="0.25">
      <c r="A1768" s="2" t="s">
        <v>30</v>
      </c>
      <c r="B1768" s="2" t="s">
        <v>31</v>
      </c>
      <c r="C1768" s="2" t="s">
        <v>32</v>
      </c>
      <c r="D1768" s="2" t="s">
        <v>87</v>
      </c>
      <c r="E1768">
        <v>8.3571000000000009</v>
      </c>
      <c r="F1768">
        <v>-19090.5</v>
      </c>
      <c r="G1768">
        <v>9.1</v>
      </c>
      <c r="H1768">
        <v>-125.6</v>
      </c>
      <c r="I1768">
        <v>-109.2</v>
      </c>
      <c r="J1768">
        <v>-749</v>
      </c>
      <c r="K1768">
        <v>-332.2</v>
      </c>
      <c r="L1768" s="2"/>
    </row>
    <row r="1769" spans="1:12" x14ac:dyDescent="0.25">
      <c r="A1769" s="2" t="s">
        <v>30</v>
      </c>
      <c r="B1769" s="2" t="s">
        <v>31</v>
      </c>
      <c r="C1769" s="2" t="s">
        <v>32</v>
      </c>
      <c r="D1769" s="2" t="s">
        <v>87</v>
      </c>
      <c r="E1769">
        <v>9.2857000000000003</v>
      </c>
      <c r="F1769">
        <v>-19047.599999999999</v>
      </c>
      <c r="G1769">
        <v>9.1</v>
      </c>
      <c r="H1769">
        <v>-125.6</v>
      </c>
      <c r="I1769">
        <v>-109.2</v>
      </c>
      <c r="J1769">
        <v>-896.1</v>
      </c>
      <c r="K1769">
        <v>-402.7</v>
      </c>
      <c r="L1769" s="2"/>
    </row>
    <row r="1770" spans="1:12" x14ac:dyDescent="0.25">
      <c r="A1770" s="2" t="s">
        <v>30</v>
      </c>
      <c r="B1770" s="2" t="s">
        <v>31</v>
      </c>
      <c r="C1770" s="2" t="s">
        <v>32</v>
      </c>
      <c r="D1770" s="2" t="s">
        <v>87</v>
      </c>
      <c r="E1770">
        <v>10.2143</v>
      </c>
      <c r="F1770">
        <v>-19004.7</v>
      </c>
      <c r="G1770">
        <v>9.1</v>
      </c>
      <c r="H1770">
        <v>-125.6</v>
      </c>
      <c r="I1770">
        <v>-109.2</v>
      </c>
      <c r="J1770">
        <v>-1043.0999999999999</v>
      </c>
      <c r="K1770">
        <v>-472.8</v>
      </c>
      <c r="L1770" s="2"/>
    </row>
    <row r="1771" spans="1:12" x14ac:dyDescent="0.25">
      <c r="A1771" s="2" t="s">
        <v>30</v>
      </c>
      <c r="B1771" s="2" t="s">
        <v>31</v>
      </c>
      <c r="C1771" s="2" t="s">
        <v>32</v>
      </c>
      <c r="D1771" s="2" t="s">
        <v>87</v>
      </c>
      <c r="E1771">
        <v>11.142899999999999</v>
      </c>
      <c r="F1771">
        <v>-18961.900000000001</v>
      </c>
      <c r="G1771">
        <v>9.1</v>
      </c>
      <c r="H1771">
        <v>-125.6</v>
      </c>
      <c r="I1771">
        <v>-109.2</v>
      </c>
      <c r="J1771">
        <v>-1190.2</v>
      </c>
      <c r="K1771">
        <v>-542.4</v>
      </c>
      <c r="L1771" s="2"/>
    </row>
    <row r="1772" spans="1:12" x14ac:dyDescent="0.25">
      <c r="A1772" s="2" t="s">
        <v>30</v>
      </c>
      <c r="B1772" s="2" t="s">
        <v>31</v>
      </c>
      <c r="C1772" s="2" t="s">
        <v>32</v>
      </c>
      <c r="D1772" s="2" t="s">
        <v>87</v>
      </c>
      <c r="E1772">
        <v>12.071400000000001</v>
      </c>
      <c r="F1772">
        <v>-18919</v>
      </c>
      <c r="G1772">
        <v>9.1</v>
      </c>
      <c r="H1772">
        <v>-125.6</v>
      </c>
      <c r="I1772">
        <v>-109.2</v>
      </c>
      <c r="J1772">
        <v>-1337.3</v>
      </c>
      <c r="K1772">
        <v>-611.5</v>
      </c>
      <c r="L1772" s="2"/>
    </row>
    <row r="1773" spans="1:12" x14ac:dyDescent="0.25">
      <c r="A1773" s="2" t="s">
        <v>30</v>
      </c>
      <c r="B1773" s="2" t="s">
        <v>31</v>
      </c>
      <c r="C1773" s="2" t="s">
        <v>32</v>
      </c>
      <c r="D1773" s="2" t="s">
        <v>87</v>
      </c>
      <c r="E1773">
        <v>13</v>
      </c>
      <c r="F1773">
        <v>-18876.099999999999</v>
      </c>
      <c r="G1773">
        <v>9.1</v>
      </c>
      <c r="H1773">
        <v>-125.6</v>
      </c>
      <c r="I1773">
        <v>-109.2</v>
      </c>
      <c r="J1773">
        <v>-1484.5</v>
      </c>
      <c r="K1773">
        <v>-680.1</v>
      </c>
      <c r="L1773" s="2"/>
    </row>
    <row r="1774" spans="1:12" x14ac:dyDescent="0.25">
      <c r="A1774" s="2" t="s">
        <v>30</v>
      </c>
      <c r="B1774" s="2" t="s">
        <v>31</v>
      </c>
      <c r="C1774" s="2" t="s">
        <v>32</v>
      </c>
      <c r="D1774" s="2" t="s">
        <v>88</v>
      </c>
      <c r="E1774">
        <v>0</v>
      </c>
      <c r="F1774">
        <v>-2210.6</v>
      </c>
      <c r="G1774">
        <v>49.7</v>
      </c>
      <c r="H1774">
        <v>99.2</v>
      </c>
      <c r="I1774">
        <v>150.69999999999999</v>
      </c>
      <c r="J1774">
        <v>365.3</v>
      </c>
      <c r="K1774">
        <v>233</v>
      </c>
      <c r="L1774" s="2"/>
    </row>
    <row r="1775" spans="1:12" x14ac:dyDescent="0.25">
      <c r="A1775" s="2" t="s">
        <v>30</v>
      </c>
      <c r="B1775" s="2" t="s">
        <v>31</v>
      </c>
      <c r="C1775" s="2" t="s">
        <v>32</v>
      </c>
      <c r="D1775" s="2" t="s">
        <v>88</v>
      </c>
      <c r="E1775">
        <v>0.92859999999999998</v>
      </c>
      <c r="F1775">
        <v>-2210.6</v>
      </c>
      <c r="G1775">
        <v>49.7</v>
      </c>
      <c r="H1775">
        <v>99.2</v>
      </c>
      <c r="I1775">
        <v>150.69999999999999</v>
      </c>
      <c r="J1775">
        <v>274.60000000000002</v>
      </c>
      <c r="K1775">
        <v>189.9</v>
      </c>
      <c r="L1775" s="2"/>
    </row>
    <row r="1776" spans="1:12" x14ac:dyDescent="0.25">
      <c r="A1776" s="2" t="s">
        <v>30</v>
      </c>
      <c r="B1776" s="2" t="s">
        <v>31</v>
      </c>
      <c r="C1776" s="2" t="s">
        <v>32</v>
      </c>
      <c r="D1776" s="2" t="s">
        <v>88</v>
      </c>
      <c r="E1776">
        <v>1.8571</v>
      </c>
      <c r="F1776">
        <v>-2210.6</v>
      </c>
      <c r="G1776">
        <v>49.7</v>
      </c>
      <c r="H1776">
        <v>99.2</v>
      </c>
      <c r="I1776">
        <v>150.69999999999999</v>
      </c>
      <c r="J1776">
        <v>183.7</v>
      </c>
      <c r="K1776">
        <v>146.80000000000001</v>
      </c>
      <c r="L1776" s="2"/>
    </row>
    <row r="1777" spans="1:12" x14ac:dyDescent="0.25">
      <c r="A1777" s="2" t="s">
        <v>30</v>
      </c>
      <c r="B1777" s="2" t="s">
        <v>31</v>
      </c>
      <c r="C1777" s="2" t="s">
        <v>32</v>
      </c>
      <c r="D1777" s="2" t="s">
        <v>88</v>
      </c>
      <c r="E1777">
        <v>2.7856999999999998</v>
      </c>
      <c r="F1777">
        <v>-2210.6</v>
      </c>
      <c r="G1777">
        <v>49.7</v>
      </c>
      <c r="H1777">
        <v>99.2</v>
      </c>
      <c r="I1777">
        <v>150.69999999999999</v>
      </c>
      <c r="J1777">
        <v>120.8</v>
      </c>
      <c r="K1777">
        <v>117.9</v>
      </c>
      <c r="L1777" s="2"/>
    </row>
    <row r="1778" spans="1:12" x14ac:dyDescent="0.25">
      <c r="A1778" s="2" t="s">
        <v>30</v>
      </c>
      <c r="B1778" s="2" t="s">
        <v>31</v>
      </c>
      <c r="C1778" s="2" t="s">
        <v>32</v>
      </c>
      <c r="D1778" s="2" t="s">
        <v>88</v>
      </c>
      <c r="E1778">
        <v>3.7143000000000002</v>
      </c>
      <c r="F1778">
        <v>-2210.6</v>
      </c>
      <c r="G1778">
        <v>49.7</v>
      </c>
      <c r="H1778">
        <v>99.2</v>
      </c>
      <c r="I1778">
        <v>150.69999999999999</v>
      </c>
      <c r="J1778">
        <v>104.5</v>
      </c>
      <c r="K1778">
        <v>93.9</v>
      </c>
      <c r="L1778" s="2"/>
    </row>
    <row r="1779" spans="1:12" x14ac:dyDescent="0.25">
      <c r="A1779" s="2" t="s">
        <v>30</v>
      </c>
      <c r="B1779" s="2" t="s">
        <v>31</v>
      </c>
      <c r="C1779" s="2" t="s">
        <v>32</v>
      </c>
      <c r="D1779" s="2" t="s">
        <v>88</v>
      </c>
      <c r="E1779">
        <v>4.6429</v>
      </c>
      <c r="F1779">
        <v>-2210.6</v>
      </c>
      <c r="G1779">
        <v>49.7</v>
      </c>
      <c r="H1779">
        <v>99.2</v>
      </c>
      <c r="I1779">
        <v>150.69999999999999</v>
      </c>
      <c r="J1779">
        <v>215.3</v>
      </c>
      <c r="K1779">
        <v>97.5</v>
      </c>
      <c r="L1779" s="2"/>
    </row>
    <row r="1780" spans="1:12" x14ac:dyDescent="0.25">
      <c r="A1780" s="2" t="s">
        <v>30</v>
      </c>
      <c r="B1780" s="2" t="s">
        <v>31</v>
      </c>
      <c r="C1780" s="2" t="s">
        <v>32</v>
      </c>
      <c r="D1780" s="2" t="s">
        <v>88</v>
      </c>
      <c r="E1780">
        <v>5.5713999999999997</v>
      </c>
      <c r="F1780">
        <v>-2210.6</v>
      </c>
      <c r="G1780">
        <v>49.7</v>
      </c>
      <c r="H1780">
        <v>99.2</v>
      </c>
      <c r="I1780">
        <v>150.69999999999999</v>
      </c>
      <c r="J1780">
        <v>385.2</v>
      </c>
      <c r="K1780">
        <v>112.8</v>
      </c>
      <c r="L1780" s="2"/>
    </row>
    <row r="1781" spans="1:12" x14ac:dyDescent="0.25">
      <c r="A1781" s="2" t="s">
        <v>30</v>
      </c>
      <c r="B1781" s="2" t="s">
        <v>31</v>
      </c>
      <c r="C1781" s="2" t="s">
        <v>32</v>
      </c>
      <c r="D1781" s="2" t="s">
        <v>88</v>
      </c>
      <c r="E1781">
        <v>6.5</v>
      </c>
      <c r="F1781">
        <v>-2210.6</v>
      </c>
      <c r="G1781">
        <v>49.7</v>
      </c>
      <c r="H1781">
        <v>99.2</v>
      </c>
      <c r="I1781">
        <v>150.69999999999999</v>
      </c>
      <c r="J1781">
        <v>560</v>
      </c>
      <c r="K1781">
        <v>128</v>
      </c>
      <c r="L1781" s="2"/>
    </row>
    <row r="1782" spans="1:12" x14ac:dyDescent="0.25">
      <c r="A1782" s="2" t="s">
        <v>30</v>
      </c>
      <c r="B1782" s="2" t="s">
        <v>31</v>
      </c>
      <c r="C1782" s="2" t="s">
        <v>32</v>
      </c>
      <c r="D1782" s="2" t="s">
        <v>88</v>
      </c>
      <c r="E1782">
        <v>7.4286000000000003</v>
      </c>
      <c r="F1782">
        <v>-2210.6</v>
      </c>
      <c r="G1782">
        <v>49.7</v>
      </c>
      <c r="H1782">
        <v>99.2</v>
      </c>
      <c r="I1782">
        <v>150.69999999999999</v>
      </c>
      <c r="J1782">
        <v>734.5</v>
      </c>
      <c r="K1782">
        <v>143.19999999999999</v>
      </c>
      <c r="L1782" s="2"/>
    </row>
    <row r="1783" spans="1:12" x14ac:dyDescent="0.25">
      <c r="A1783" s="2" t="s">
        <v>30</v>
      </c>
      <c r="B1783" s="2" t="s">
        <v>31</v>
      </c>
      <c r="C1783" s="2" t="s">
        <v>32</v>
      </c>
      <c r="D1783" s="2" t="s">
        <v>88</v>
      </c>
      <c r="E1783">
        <v>8.3571000000000009</v>
      </c>
      <c r="F1783">
        <v>-2210.6</v>
      </c>
      <c r="G1783">
        <v>49.7</v>
      </c>
      <c r="H1783">
        <v>99.2</v>
      </c>
      <c r="I1783">
        <v>150.69999999999999</v>
      </c>
      <c r="J1783">
        <v>908.9</v>
      </c>
      <c r="K1783">
        <v>158.4</v>
      </c>
      <c r="L1783" s="2"/>
    </row>
    <row r="1784" spans="1:12" x14ac:dyDescent="0.25">
      <c r="A1784" s="2" t="s">
        <v>30</v>
      </c>
      <c r="B1784" s="2" t="s">
        <v>31</v>
      </c>
      <c r="C1784" s="2" t="s">
        <v>32</v>
      </c>
      <c r="D1784" s="2" t="s">
        <v>88</v>
      </c>
      <c r="E1784">
        <v>9.2857000000000003</v>
      </c>
      <c r="F1784">
        <v>-2210.6</v>
      </c>
      <c r="G1784">
        <v>49.7</v>
      </c>
      <c r="H1784">
        <v>99.2</v>
      </c>
      <c r="I1784">
        <v>150.69999999999999</v>
      </c>
      <c r="J1784">
        <v>1083.0999999999999</v>
      </c>
      <c r="K1784">
        <v>173.6</v>
      </c>
      <c r="L1784" s="2"/>
    </row>
    <row r="1785" spans="1:12" x14ac:dyDescent="0.25">
      <c r="A1785" s="2" t="s">
        <v>30</v>
      </c>
      <c r="B1785" s="2" t="s">
        <v>31</v>
      </c>
      <c r="C1785" s="2" t="s">
        <v>32</v>
      </c>
      <c r="D1785" s="2" t="s">
        <v>88</v>
      </c>
      <c r="E1785">
        <v>10.2143</v>
      </c>
      <c r="F1785">
        <v>-2210.6</v>
      </c>
      <c r="G1785">
        <v>49.7</v>
      </c>
      <c r="H1785">
        <v>99.2</v>
      </c>
      <c r="I1785">
        <v>150.69999999999999</v>
      </c>
      <c r="J1785">
        <v>1256.9000000000001</v>
      </c>
      <c r="K1785">
        <v>188.8</v>
      </c>
      <c r="L1785" s="2"/>
    </row>
    <row r="1786" spans="1:12" x14ac:dyDescent="0.25">
      <c r="A1786" s="2" t="s">
        <v>30</v>
      </c>
      <c r="B1786" s="2" t="s">
        <v>31</v>
      </c>
      <c r="C1786" s="2" t="s">
        <v>32</v>
      </c>
      <c r="D1786" s="2" t="s">
        <v>88</v>
      </c>
      <c r="E1786">
        <v>11.142899999999999</v>
      </c>
      <c r="F1786">
        <v>-2210.6</v>
      </c>
      <c r="G1786">
        <v>49.7</v>
      </c>
      <c r="H1786">
        <v>99.2</v>
      </c>
      <c r="I1786">
        <v>150.69999999999999</v>
      </c>
      <c r="J1786">
        <v>1430.4</v>
      </c>
      <c r="K1786">
        <v>204</v>
      </c>
      <c r="L1786" s="2"/>
    </row>
    <row r="1787" spans="1:12" x14ac:dyDescent="0.25">
      <c r="A1787" s="2" t="s">
        <v>30</v>
      </c>
      <c r="B1787" s="2" t="s">
        <v>31</v>
      </c>
      <c r="C1787" s="2" t="s">
        <v>32</v>
      </c>
      <c r="D1787" s="2" t="s">
        <v>88</v>
      </c>
      <c r="E1787">
        <v>12.071400000000001</v>
      </c>
      <c r="F1787">
        <v>-2210.6</v>
      </c>
      <c r="G1787">
        <v>49.7</v>
      </c>
      <c r="H1787">
        <v>99.2</v>
      </c>
      <c r="I1787">
        <v>150.69999999999999</v>
      </c>
      <c r="J1787">
        <v>1603.5</v>
      </c>
      <c r="K1787">
        <v>219.4</v>
      </c>
      <c r="L1787" s="2"/>
    </row>
    <row r="1788" spans="1:12" x14ac:dyDescent="0.25">
      <c r="A1788" s="2" t="s">
        <v>30</v>
      </c>
      <c r="B1788" s="2" t="s">
        <v>31</v>
      </c>
      <c r="C1788" s="2" t="s">
        <v>32</v>
      </c>
      <c r="D1788" s="2" t="s">
        <v>88</v>
      </c>
      <c r="E1788">
        <v>13</v>
      </c>
      <c r="F1788">
        <v>-2210.6</v>
      </c>
      <c r="G1788">
        <v>49.7</v>
      </c>
      <c r="H1788">
        <v>99.2</v>
      </c>
      <c r="I1788">
        <v>150.69999999999999</v>
      </c>
      <c r="J1788">
        <v>1776.2</v>
      </c>
      <c r="K1788">
        <v>234.8</v>
      </c>
      <c r="L1788" s="2"/>
    </row>
    <row r="1789" spans="1:12" x14ac:dyDescent="0.25">
      <c r="A1789" s="2" t="s">
        <v>30</v>
      </c>
      <c r="B1789" s="2" t="s">
        <v>31</v>
      </c>
      <c r="C1789" s="2" t="s">
        <v>32</v>
      </c>
      <c r="D1789" s="2" t="s">
        <v>88</v>
      </c>
      <c r="E1789">
        <v>0</v>
      </c>
      <c r="F1789">
        <v>-16151.9</v>
      </c>
      <c r="G1789">
        <v>-16.600000000000001</v>
      </c>
      <c r="H1789">
        <v>-185.8</v>
      </c>
      <c r="I1789">
        <v>-134.5</v>
      </c>
      <c r="J1789">
        <v>-664.9</v>
      </c>
      <c r="K1789">
        <v>18.7</v>
      </c>
      <c r="L1789" s="2"/>
    </row>
    <row r="1790" spans="1:12" x14ac:dyDescent="0.25">
      <c r="A1790" s="2" t="s">
        <v>30</v>
      </c>
      <c r="B1790" s="2" t="s">
        <v>31</v>
      </c>
      <c r="C1790" s="2" t="s">
        <v>32</v>
      </c>
      <c r="D1790" s="2" t="s">
        <v>88</v>
      </c>
      <c r="E1790">
        <v>0.92859999999999998</v>
      </c>
      <c r="F1790">
        <v>-16109</v>
      </c>
      <c r="G1790">
        <v>-16.600000000000001</v>
      </c>
      <c r="H1790">
        <v>-185.8</v>
      </c>
      <c r="I1790">
        <v>-134.5</v>
      </c>
      <c r="J1790">
        <v>-490.1</v>
      </c>
      <c r="K1790">
        <v>33.200000000000003</v>
      </c>
      <c r="L1790" s="2"/>
    </row>
    <row r="1791" spans="1:12" x14ac:dyDescent="0.25">
      <c r="A1791" s="2" t="s">
        <v>30</v>
      </c>
      <c r="B1791" s="2" t="s">
        <v>31</v>
      </c>
      <c r="C1791" s="2" t="s">
        <v>32</v>
      </c>
      <c r="D1791" s="2" t="s">
        <v>88</v>
      </c>
      <c r="E1791">
        <v>1.8571</v>
      </c>
      <c r="F1791">
        <v>-16066.1</v>
      </c>
      <c r="G1791">
        <v>-16.600000000000001</v>
      </c>
      <c r="H1791">
        <v>-185.8</v>
      </c>
      <c r="I1791">
        <v>-134.5</v>
      </c>
      <c r="J1791">
        <v>-315.60000000000002</v>
      </c>
      <c r="K1791">
        <v>46.4</v>
      </c>
      <c r="L1791" s="2"/>
    </row>
    <row r="1792" spans="1:12" x14ac:dyDescent="0.25">
      <c r="A1792" s="2" t="s">
        <v>30</v>
      </c>
      <c r="B1792" s="2" t="s">
        <v>31</v>
      </c>
      <c r="C1792" s="2" t="s">
        <v>32</v>
      </c>
      <c r="D1792" s="2" t="s">
        <v>88</v>
      </c>
      <c r="E1792">
        <v>2.7856999999999998</v>
      </c>
      <c r="F1792">
        <v>-16023.2</v>
      </c>
      <c r="G1792">
        <v>-16.600000000000001</v>
      </c>
      <c r="H1792">
        <v>-185.8</v>
      </c>
      <c r="I1792">
        <v>-134.5</v>
      </c>
      <c r="J1792">
        <v>-183.5</v>
      </c>
      <c r="K1792">
        <v>43.3</v>
      </c>
      <c r="L1792" s="2"/>
    </row>
    <row r="1793" spans="1:12" x14ac:dyDescent="0.25">
      <c r="A1793" s="2" t="s">
        <v>30</v>
      </c>
      <c r="B1793" s="2" t="s">
        <v>31</v>
      </c>
      <c r="C1793" s="2" t="s">
        <v>32</v>
      </c>
      <c r="D1793" s="2" t="s">
        <v>88</v>
      </c>
      <c r="E1793">
        <v>3.7143000000000002</v>
      </c>
      <c r="F1793">
        <v>-15980.3</v>
      </c>
      <c r="G1793">
        <v>-16.600000000000001</v>
      </c>
      <c r="H1793">
        <v>-185.8</v>
      </c>
      <c r="I1793">
        <v>-134.5</v>
      </c>
      <c r="J1793">
        <v>-110.6</v>
      </c>
      <c r="K1793">
        <v>31.3</v>
      </c>
      <c r="L1793" s="2"/>
    </row>
    <row r="1794" spans="1:12" x14ac:dyDescent="0.25">
      <c r="A1794" s="2" t="s">
        <v>30</v>
      </c>
      <c r="B1794" s="2" t="s">
        <v>31</v>
      </c>
      <c r="C1794" s="2" t="s">
        <v>32</v>
      </c>
      <c r="D1794" s="2" t="s">
        <v>88</v>
      </c>
      <c r="E1794">
        <v>4.6429</v>
      </c>
      <c r="F1794">
        <v>-15937.4</v>
      </c>
      <c r="G1794">
        <v>-16.600000000000001</v>
      </c>
      <c r="H1794">
        <v>-185.8</v>
      </c>
      <c r="I1794">
        <v>-134.5</v>
      </c>
      <c r="J1794">
        <v>-89.1</v>
      </c>
      <c r="K1794">
        <v>-5.3</v>
      </c>
      <c r="L1794" s="2"/>
    </row>
    <row r="1795" spans="1:12" x14ac:dyDescent="0.25">
      <c r="A1795" s="2" t="s">
        <v>30</v>
      </c>
      <c r="B1795" s="2" t="s">
        <v>31</v>
      </c>
      <c r="C1795" s="2" t="s">
        <v>32</v>
      </c>
      <c r="D1795" s="2" t="s">
        <v>88</v>
      </c>
      <c r="E1795">
        <v>5.5713999999999997</v>
      </c>
      <c r="F1795">
        <v>-15894.6</v>
      </c>
      <c r="G1795">
        <v>-16.600000000000001</v>
      </c>
      <c r="H1795">
        <v>-185.8</v>
      </c>
      <c r="I1795">
        <v>-134.5</v>
      </c>
      <c r="J1795">
        <v>-180.1</v>
      </c>
      <c r="K1795">
        <v>-52.5</v>
      </c>
      <c r="L1795" s="2"/>
    </row>
    <row r="1796" spans="1:12" x14ac:dyDescent="0.25">
      <c r="A1796" s="2" t="s">
        <v>30</v>
      </c>
      <c r="B1796" s="2" t="s">
        <v>31</v>
      </c>
      <c r="C1796" s="2" t="s">
        <v>32</v>
      </c>
      <c r="D1796" s="2" t="s">
        <v>88</v>
      </c>
      <c r="E1796">
        <v>6.5</v>
      </c>
      <c r="F1796">
        <v>-15851.7</v>
      </c>
      <c r="G1796">
        <v>-16.600000000000001</v>
      </c>
      <c r="H1796">
        <v>-185.8</v>
      </c>
      <c r="I1796">
        <v>-134.5</v>
      </c>
      <c r="J1796">
        <v>-271.2</v>
      </c>
      <c r="K1796">
        <v>-99.7</v>
      </c>
      <c r="L1796" s="2"/>
    </row>
    <row r="1797" spans="1:12" x14ac:dyDescent="0.25">
      <c r="A1797" s="2" t="s">
        <v>30</v>
      </c>
      <c r="B1797" s="2" t="s">
        <v>31</v>
      </c>
      <c r="C1797" s="2" t="s">
        <v>32</v>
      </c>
      <c r="D1797" s="2" t="s">
        <v>88</v>
      </c>
      <c r="E1797">
        <v>7.4286000000000003</v>
      </c>
      <c r="F1797">
        <v>-15808.8</v>
      </c>
      <c r="G1797">
        <v>-16.600000000000001</v>
      </c>
      <c r="H1797">
        <v>-185.8</v>
      </c>
      <c r="I1797">
        <v>-134.5</v>
      </c>
      <c r="J1797">
        <v>-362.3</v>
      </c>
      <c r="K1797">
        <v>-146.80000000000001</v>
      </c>
      <c r="L1797" s="2"/>
    </row>
    <row r="1798" spans="1:12" x14ac:dyDescent="0.25">
      <c r="A1798" s="2" t="s">
        <v>30</v>
      </c>
      <c r="B1798" s="2" t="s">
        <v>31</v>
      </c>
      <c r="C1798" s="2" t="s">
        <v>32</v>
      </c>
      <c r="D1798" s="2" t="s">
        <v>88</v>
      </c>
      <c r="E1798">
        <v>8.3571000000000009</v>
      </c>
      <c r="F1798">
        <v>-15765.9</v>
      </c>
      <c r="G1798">
        <v>-16.600000000000001</v>
      </c>
      <c r="H1798">
        <v>-185.8</v>
      </c>
      <c r="I1798">
        <v>-134.5</v>
      </c>
      <c r="J1798">
        <v>-453.5</v>
      </c>
      <c r="K1798">
        <v>-193.8</v>
      </c>
      <c r="L1798" s="2"/>
    </row>
    <row r="1799" spans="1:12" x14ac:dyDescent="0.25">
      <c r="A1799" s="2" t="s">
        <v>30</v>
      </c>
      <c r="B1799" s="2" t="s">
        <v>31</v>
      </c>
      <c r="C1799" s="2" t="s">
        <v>32</v>
      </c>
      <c r="D1799" s="2" t="s">
        <v>88</v>
      </c>
      <c r="E1799">
        <v>9.2857000000000003</v>
      </c>
      <c r="F1799">
        <v>-15723</v>
      </c>
      <c r="G1799">
        <v>-16.600000000000001</v>
      </c>
      <c r="H1799">
        <v>-185.8</v>
      </c>
      <c r="I1799">
        <v>-134.5</v>
      </c>
      <c r="J1799">
        <v>-544.70000000000005</v>
      </c>
      <c r="K1799">
        <v>-240.4</v>
      </c>
      <c r="L1799" s="2"/>
    </row>
    <row r="1800" spans="1:12" x14ac:dyDescent="0.25">
      <c r="A1800" s="2" t="s">
        <v>30</v>
      </c>
      <c r="B1800" s="2" t="s">
        <v>31</v>
      </c>
      <c r="C1800" s="2" t="s">
        <v>32</v>
      </c>
      <c r="D1800" s="2" t="s">
        <v>88</v>
      </c>
      <c r="E1800">
        <v>10.2143</v>
      </c>
      <c r="F1800">
        <v>-15680.1</v>
      </c>
      <c r="G1800">
        <v>-16.600000000000001</v>
      </c>
      <c r="H1800">
        <v>-185.8</v>
      </c>
      <c r="I1800">
        <v>-134.5</v>
      </c>
      <c r="J1800">
        <v>-635.9</v>
      </c>
      <c r="K1800">
        <v>-286.7</v>
      </c>
      <c r="L1800" s="2"/>
    </row>
    <row r="1801" spans="1:12" x14ac:dyDescent="0.25">
      <c r="A1801" s="2" t="s">
        <v>30</v>
      </c>
      <c r="B1801" s="2" t="s">
        <v>31</v>
      </c>
      <c r="C1801" s="2" t="s">
        <v>32</v>
      </c>
      <c r="D1801" s="2" t="s">
        <v>88</v>
      </c>
      <c r="E1801">
        <v>11.142899999999999</v>
      </c>
      <c r="F1801">
        <v>-15637.3</v>
      </c>
      <c r="G1801">
        <v>-16.600000000000001</v>
      </c>
      <c r="H1801">
        <v>-185.8</v>
      </c>
      <c r="I1801">
        <v>-134.5</v>
      </c>
      <c r="J1801">
        <v>-727.1</v>
      </c>
      <c r="K1801">
        <v>-332.6</v>
      </c>
      <c r="L1801" s="2"/>
    </row>
    <row r="1802" spans="1:12" x14ac:dyDescent="0.25">
      <c r="A1802" s="2" t="s">
        <v>30</v>
      </c>
      <c r="B1802" s="2" t="s">
        <v>31</v>
      </c>
      <c r="C1802" s="2" t="s">
        <v>32</v>
      </c>
      <c r="D1802" s="2" t="s">
        <v>88</v>
      </c>
      <c r="E1802">
        <v>12.071400000000001</v>
      </c>
      <c r="F1802">
        <v>-15594.4</v>
      </c>
      <c r="G1802">
        <v>-16.600000000000001</v>
      </c>
      <c r="H1802">
        <v>-185.8</v>
      </c>
      <c r="I1802">
        <v>-134.5</v>
      </c>
      <c r="J1802">
        <v>-818.3</v>
      </c>
      <c r="K1802">
        <v>-377.9</v>
      </c>
      <c r="L1802" s="2"/>
    </row>
    <row r="1803" spans="1:12" x14ac:dyDescent="0.25">
      <c r="A1803" s="2" t="s">
        <v>30</v>
      </c>
      <c r="B1803" s="2" t="s">
        <v>31</v>
      </c>
      <c r="C1803" s="2" t="s">
        <v>32</v>
      </c>
      <c r="D1803" s="2" t="s">
        <v>88</v>
      </c>
      <c r="E1803">
        <v>13</v>
      </c>
      <c r="F1803">
        <v>-15551.5</v>
      </c>
      <c r="G1803">
        <v>-16.600000000000001</v>
      </c>
      <c r="H1803">
        <v>-185.8</v>
      </c>
      <c r="I1803">
        <v>-134.5</v>
      </c>
      <c r="J1803">
        <v>-909.6</v>
      </c>
      <c r="K1803">
        <v>-422.6</v>
      </c>
      <c r="L1803" s="2"/>
    </row>
    <row r="1804" spans="1:12" x14ac:dyDescent="0.25">
      <c r="A1804" s="2" t="s">
        <v>30</v>
      </c>
      <c r="B1804" s="2" t="s">
        <v>31</v>
      </c>
      <c r="C1804" s="2" t="s">
        <v>32</v>
      </c>
      <c r="D1804" s="2" t="s">
        <v>89</v>
      </c>
      <c r="E1804">
        <v>0</v>
      </c>
      <c r="F1804">
        <v>-4251</v>
      </c>
      <c r="G1804">
        <v>72.3</v>
      </c>
      <c r="H1804">
        <v>153.4</v>
      </c>
      <c r="I1804">
        <v>167.2</v>
      </c>
      <c r="J1804">
        <v>552.20000000000005</v>
      </c>
      <c r="K1804">
        <v>303.10000000000002</v>
      </c>
      <c r="L1804" s="2"/>
    </row>
    <row r="1805" spans="1:12" x14ac:dyDescent="0.25">
      <c r="A1805" s="2" t="s">
        <v>30</v>
      </c>
      <c r="B1805" s="2" t="s">
        <v>31</v>
      </c>
      <c r="C1805" s="2" t="s">
        <v>32</v>
      </c>
      <c r="D1805" s="2" t="s">
        <v>89</v>
      </c>
      <c r="E1805">
        <v>0.92859999999999998</v>
      </c>
      <c r="F1805">
        <v>-4251</v>
      </c>
      <c r="G1805">
        <v>72.3</v>
      </c>
      <c r="H1805">
        <v>153.4</v>
      </c>
      <c r="I1805">
        <v>167.2</v>
      </c>
      <c r="J1805">
        <v>411.2</v>
      </c>
      <c r="K1805">
        <v>236</v>
      </c>
      <c r="L1805" s="2"/>
    </row>
    <row r="1806" spans="1:12" x14ac:dyDescent="0.25">
      <c r="A1806" s="2" t="s">
        <v>30</v>
      </c>
      <c r="B1806" s="2" t="s">
        <v>31</v>
      </c>
      <c r="C1806" s="2" t="s">
        <v>32</v>
      </c>
      <c r="D1806" s="2" t="s">
        <v>89</v>
      </c>
      <c r="E1806">
        <v>1.8571</v>
      </c>
      <c r="F1806">
        <v>-4251</v>
      </c>
      <c r="G1806">
        <v>72.3</v>
      </c>
      <c r="H1806">
        <v>153.4</v>
      </c>
      <c r="I1806">
        <v>167.2</v>
      </c>
      <c r="J1806">
        <v>270</v>
      </c>
      <c r="K1806">
        <v>168.8</v>
      </c>
      <c r="L1806" s="2"/>
    </row>
    <row r="1807" spans="1:12" x14ac:dyDescent="0.25">
      <c r="A1807" s="2" t="s">
        <v>30</v>
      </c>
      <c r="B1807" s="2" t="s">
        <v>31</v>
      </c>
      <c r="C1807" s="2" t="s">
        <v>32</v>
      </c>
      <c r="D1807" s="2" t="s">
        <v>89</v>
      </c>
      <c r="E1807">
        <v>2.7856999999999998</v>
      </c>
      <c r="F1807">
        <v>-4251</v>
      </c>
      <c r="G1807">
        <v>72.3</v>
      </c>
      <c r="H1807">
        <v>153.4</v>
      </c>
      <c r="I1807">
        <v>167.2</v>
      </c>
      <c r="J1807">
        <v>171.2</v>
      </c>
      <c r="K1807">
        <v>117.9</v>
      </c>
      <c r="L1807" s="2"/>
    </row>
    <row r="1808" spans="1:12" x14ac:dyDescent="0.25">
      <c r="A1808" s="2" t="s">
        <v>30</v>
      </c>
      <c r="B1808" s="2" t="s">
        <v>31</v>
      </c>
      <c r="C1808" s="2" t="s">
        <v>32</v>
      </c>
      <c r="D1808" s="2" t="s">
        <v>89</v>
      </c>
      <c r="E1808">
        <v>3.7143000000000002</v>
      </c>
      <c r="F1808">
        <v>-4251</v>
      </c>
      <c r="G1808">
        <v>72.3</v>
      </c>
      <c r="H1808">
        <v>153.4</v>
      </c>
      <c r="I1808">
        <v>167.2</v>
      </c>
      <c r="J1808">
        <v>130.9</v>
      </c>
      <c r="K1808">
        <v>93.9</v>
      </c>
      <c r="L1808" s="2"/>
    </row>
    <row r="1809" spans="1:12" x14ac:dyDescent="0.25">
      <c r="A1809" s="2" t="s">
        <v>30</v>
      </c>
      <c r="B1809" s="2" t="s">
        <v>31</v>
      </c>
      <c r="C1809" s="2" t="s">
        <v>32</v>
      </c>
      <c r="D1809" s="2" t="s">
        <v>89</v>
      </c>
      <c r="E1809">
        <v>4.6429</v>
      </c>
      <c r="F1809">
        <v>-4251</v>
      </c>
      <c r="G1809">
        <v>72.3</v>
      </c>
      <c r="H1809">
        <v>153.4</v>
      </c>
      <c r="I1809">
        <v>167.2</v>
      </c>
      <c r="J1809">
        <v>144.9</v>
      </c>
      <c r="K1809">
        <v>97.5</v>
      </c>
      <c r="L1809" s="2"/>
    </row>
    <row r="1810" spans="1:12" x14ac:dyDescent="0.25">
      <c r="A1810" s="2" t="s">
        <v>30</v>
      </c>
      <c r="B1810" s="2" t="s">
        <v>31</v>
      </c>
      <c r="C1810" s="2" t="s">
        <v>32</v>
      </c>
      <c r="D1810" s="2" t="s">
        <v>89</v>
      </c>
      <c r="E1810">
        <v>5.5713999999999997</v>
      </c>
      <c r="F1810">
        <v>-4251</v>
      </c>
      <c r="G1810">
        <v>72.3</v>
      </c>
      <c r="H1810">
        <v>153.4</v>
      </c>
      <c r="I1810">
        <v>167.2</v>
      </c>
      <c r="J1810">
        <v>165.8</v>
      </c>
      <c r="K1810">
        <v>112.8</v>
      </c>
      <c r="L1810" s="2"/>
    </row>
    <row r="1811" spans="1:12" x14ac:dyDescent="0.25">
      <c r="A1811" s="2" t="s">
        <v>30</v>
      </c>
      <c r="B1811" s="2" t="s">
        <v>31</v>
      </c>
      <c r="C1811" s="2" t="s">
        <v>32</v>
      </c>
      <c r="D1811" s="2" t="s">
        <v>89</v>
      </c>
      <c r="E1811">
        <v>6.5</v>
      </c>
      <c r="F1811">
        <v>-4251</v>
      </c>
      <c r="G1811">
        <v>72.3</v>
      </c>
      <c r="H1811">
        <v>153.4</v>
      </c>
      <c r="I1811">
        <v>167.2</v>
      </c>
      <c r="J1811">
        <v>203.3</v>
      </c>
      <c r="K1811">
        <v>128</v>
      </c>
      <c r="L1811" s="2"/>
    </row>
    <row r="1812" spans="1:12" x14ac:dyDescent="0.25">
      <c r="A1812" s="2" t="s">
        <v>30</v>
      </c>
      <c r="B1812" s="2" t="s">
        <v>31</v>
      </c>
      <c r="C1812" s="2" t="s">
        <v>32</v>
      </c>
      <c r="D1812" s="2" t="s">
        <v>89</v>
      </c>
      <c r="E1812">
        <v>7.4286000000000003</v>
      </c>
      <c r="F1812">
        <v>-4251</v>
      </c>
      <c r="G1812">
        <v>72.3</v>
      </c>
      <c r="H1812">
        <v>153.4</v>
      </c>
      <c r="I1812">
        <v>167.2</v>
      </c>
      <c r="J1812">
        <v>240.7</v>
      </c>
      <c r="K1812">
        <v>143.19999999999999</v>
      </c>
      <c r="L1812" s="2"/>
    </row>
    <row r="1813" spans="1:12" x14ac:dyDescent="0.25">
      <c r="A1813" s="2" t="s">
        <v>30</v>
      </c>
      <c r="B1813" s="2" t="s">
        <v>31</v>
      </c>
      <c r="C1813" s="2" t="s">
        <v>32</v>
      </c>
      <c r="D1813" s="2" t="s">
        <v>89</v>
      </c>
      <c r="E1813">
        <v>8.3571000000000009</v>
      </c>
      <c r="F1813">
        <v>-4251</v>
      </c>
      <c r="G1813">
        <v>72.3</v>
      </c>
      <c r="H1813">
        <v>153.4</v>
      </c>
      <c r="I1813">
        <v>167.2</v>
      </c>
      <c r="J1813">
        <v>277.8</v>
      </c>
      <c r="K1813">
        <v>158.4</v>
      </c>
      <c r="L1813" s="2"/>
    </row>
    <row r="1814" spans="1:12" x14ac:dyDescent="0.25">
      <c r="A1814" s="2" t="s">
        <v>30</v>
      </c>
      <c r="B1814" s="2" t="s">
        <v>31</v>
      </c>
      <c r="C1814" s="2" t="s">
        <v>32</v>
      </c>
      <c r="D1814" s="2" t="s">
        <v>89</v>
      </c>
      <c r="E1814">
        <v>9.2857000000000003</v>
      </c>
      <c r="F1814">
        <v>-4251</v>
      </c>
      <c r="G1814">
        <v>72.3</v>
      </c>
      <c r="H1814">
        <v>153.4</v>
      </c>
      <c r="I1814">
        <v>167.2</v>
      </c>
      <c r="J1814">
        <v>314.7</v>
      </c>
      <c r="K1814">
        <v>173.6</v>
      </c>
      <c r="L1814" s="2"/>
    </row>
    <row r="1815" spans="1:12" x14ac:dyDescent="0.25">
      <c r="A1815" s="2" t="s">
        <v>30</v>
      </c>
      <c r="B1815" s="2" t="s">
        <v>31</v>
      </c>
      <c r="C1815" s="2" t="s">
        <v>32</v>
      </c>
      <c r="D1815" s="2" t="s">
        <v>89</v>
      </c>
      <c r="E1815">
        <v>10.2143</v>
      </c>
      <c r="F1815">
        <v>-4251</v>
      </c>
      <c r="G1815">
        <v>72.3</v>
      </c>
      <c r="H1815">
        <v>153.4</v>
      </c>
      <c r="I1815">
        <v>167.2</v>
      </c>
      <c r="J1815">
        <v>351.3</v>
      </c>
      <c r="K1815">
        <v>188.8</v>
      </c>
      <c r="L1815" s="2"/>
    </row>
    <row r="1816" spans="1:12" x14ac:dyDescent="0.25">
      <c r="A1816" s="2" t="s">
        <v>30</v>
      </c>
      <c r="B1816" s="2" t="s">
        <v>31</v>
      </c>
      <c r="C1816" s="2" t="s">
        <v>32</v>
      </c>
      <c r="D1816" s="2" t="s">
        <v>89</v>
      </c>
      <c r="E1816">
        <v>11.142899999999999</v>
      </c>
      <c r="F1816">
        <v>-4251</v>
      </c>
      <c r="G1816">
        <v>72.3</v>
      </c>
      <c r="H1816">
        <v>153.4</v>
      </c>
      <c r="I1816">
        <v>167.2</v>
      </c>
      <c r="J1816">
        <v>387.5</v>
      </c>
      <c r="K1816">
        <v>204</v>
      </c>
      <c r="L1816" s="2"/>
    </row>
    <row r="1817" spans="1:12" x14ac:dyDescent="0.25">
      <c r="A1817" s="2" t="s">
        <v>30</v>
      </c>
      <c r="B1817" s="2" t="s">
        <v>31</v>
      </c>
      <c r="C1817" s="2" t="s">
        <v>32</v>
      </c>
      <c r="D1817" s="2" t="s">
        <v>89</v>
      </c>
      <c r="E1817">
        <v>12.071400000000001</v>
      </c>
      <c r="F1817">
        <v>-4251</v>
      </c>
      <c r="G1817">
        <v>72.3</v>
      </c>
      <c r="H1817">
        <v>153.4</v>
      </c>
      <c r="I1817">
        <v>167.2</v>
      </c>
      <c r="J1817">
        <v>431.2</v>
      </c>
      <c r="K1817">
        <v>219.4</v>
      </c>
      <c r="L1817" s="2"/>
    </row>
    <row r="1818" spans="1:12" x14ac:dyDescent="0.25">
      <c r="A1818" s="2" t="s">
        <v>30</v>
      </c>
      <c r="B1818" s="2" t="s">
        <v>31</v>
      </c>
      <c r="C1818" s="2" t="s">
        <v>32</v>
      </c>
      <c r="D1818" s="2" t="s">
        <v>89</v>
      </c>
      <c r="E1818">
        <v>13</v>
      </c>
      <c r="F1818">
        <v>-4251</v>
      </c>
      <c r="G1818">
        <v>72.3</v>
      </c>
      <c r="H1818">
        <v>153.4</v>
      </c>
      <c r="I1818">
        <v>167.2</v>
      </c>
      <c r="J1818">
        <v>474.6</v>
      </c>
      <c r="K1818">
        <v>234.8</v>
      </c>
      <c r="L1818" s="2"/>
    </row>
    <row r="1819" spans="1:12" x14ac:dyDescent="0.25">
      <c r="A1819" s="2" t="s">
        <v>30</v>
      </c>
      <c r="B1819" s="2" t="s">
        <v>31</v>
      </c>
      <c r="C1819" s="2" t="s">
        <v>32</v>
      </c>
      <c r="D1819" s="2" t="s">
        <v>89</v>
      </c>
      <c r="E1819">
        <v>0</v>
      </c>
      <c r="F1819">
        <v>-19432.7</v>
      </c>
      <c r="G1819">
        <v>-16.600000000000001</v>
      </c>
      <c r="H1819">
        <v>-46.6</v>
      </c>
      <c r="I1819">
        <v>-111.7</v>
      </c>
      <c r="J1819">
        <v>-156.5</v>
      </c>
      <c r="K1819">
        <v>18.7</v>
      </c>
      <c r="L1819" s="2"/>
    </row>
    <row r="1820" spans="1:12" x14ac:dyDescent="0.25">
      <c r="A1820" s="2" t="s">
        <v>30</v>
      </c>
      <c r="B1820" s="2" t="s">
        <v>31</v>
      </c>
      <c r="C1820" s="2" t="s">
        <v>32</v>
      </c>
      <c r="D1820" s="2" t="s">
        <v>89</v>
      </c>
      <c r="E1820">
        <v>0.92859999999999998</v>
      </c>
      <c r="F1820">
        <v>-19389.8</v>
      </c>
      <c r="G1820">
        <v>-16.600000000000001</v>
      </c>
      <c r="H1820">
        <v>-46.6</v>
      </c>
      <c r="I1820">
        <v>-111.7</v>
      </c>
      <c r="J1820">
        <v>-111</v>
      </c>
      <c r="K1820">
        <v>34.9</v>
      </c>
      <c r="L1820" s="2"/>
    </row>
    <row r="1821" spans="1:12" x14ac:dyDescent="0.25">
      <c r="A1821" s="2" t="s">
        <v>30</v>
      </c>
      <c r="B1821" s="2" t="s">
        <v>31</v>
      </c>
      <c r="C1821" s="2" t="s">
        <v>32</v>
      </c>
      <c r="D1821" s="2" t="s">
        <v>89</v>
      </c>
      <c r="E1821">
        <v>1.8571</v>
      </c>
      <c r="F1821">
        <v>-19346.900000000001</v>
      </c>
      <c r="G1821">
        <v>-16.600000000000001</v>
      </c>
      <c r="H1821">
        <v>-46.6</v>
      </c>
      <c r="I1821">
        <v>-111.7</v>
      </c>
      <c r="J1821">
        <v>-65.8</v>
      </c>
      <c r="K1821">
        <v>50.8</v>
      </c>
      <c r="L1821" s="2"/>
    </row>
    <row r="1822" spans="1:12" x14ac:dyDescent="0.25">
      <c r="A1822" s="2" t="s">
        <v>30</v>
      </c>
      <c r="B1822" s="2" t="s">
        <v>31</v>
      </c>
      <c r="C1822" s="2" t="s">
        <v>32</v>
      </c>
      <c r="D1822" s="2" t="s">
        <v>89</v>
      </c>
      <c r="E1822">
        <v>2.7856999999999998</v>
      </c>
      <c r="F1822">
        <v>-19304.099999999999</v>
      </c>
      <c r="G1822">
        <v>-16.600000000000001</v>
      </c>
      <c r="H1822">
        <v>-46.6</v>
      </c>
      <c r="I1822">
        <v>-111.7</v>
      </c>
      <c r="J1822">
        <v>-23.4</v>
      </c>
      <c r="K1822">
        <v>49.8</v>
      </c>
      <c r="L1822" s="2"/>
    </row>
    <row r="1823" spans="1:12" x14ac:dyDescent="0.25">
      <c r="A1823" s="2" t="s">
        <v>30</v>
      </c>
      <c r="B1823" s="2" t="s">
        <v>31</v>
      </c>
      <c r="C1823" s="2" t="s">
        <v>32</v>
      </c>
      <c r="D1823" s="2" t="s">
        <v>89</v>
      </c>
      <c r="E1823">
        <v>3.7143000000000002</v>
      </c>
      <c r="F1823">
        <v>-19261.2</v>
      </c>
      <c r="G1823">
        <v>-16.600000000000001</v>
      </c>
      <c r="H1823">
        <v>-46.6</v>
      </c>
      <c r="I1823">
        <v>-111.7</v>
      </c>
      <c r="J1823">
        <v>-41.1</v>
      </c>
      <c r="K1823">
        <v>21.3</v>
      </c>
      <c r="L1823" s="2"/>
    </row>
    <row r="1824" spans="1:12" x14ac:dyDescent="0.25">
      <c r="A1824" s="2" t="s">
        <v>30</v>
      </c>
      <c r="B1824" s="2" t="s">
        <v>31</v>
      </c>
      <c r="C1824" s="2" t="s">
        <v>32</v>
      </c>
      <c r="D1824" s="2" t="s">
        <v>89</v>
      </c>
      <c r="E1824">
        <v>4.6429</v>
      </c>
      <c r="F1824">
        <v>-19218.3</v>
      </c>
      <c r="G1824">
        <v>-16.600000000000001</v>
      </c>
      <c r="H1824">
        <v>-46.6</v>
      </c>
      <c r="I1824">
        <v>-111.7</v>
      </c>
      <c r="J1824">
        <v>-153.80000000000001</v>
      </c>
      <c r="K1824">
        <v>-35.5</v>
      </c>
      <c r="L1824" s="2"/>
    </row>
    <row r="1825" spans="1:12" x14ac:dyDescent="0.25">
      <c r="A1825" s="2" t="s">
        <v>30</v>
      </c>
      <c r="B1825" s="2" t="s">
        <v>31</v>
      </c>
      <c r="C1825" s="2" t="s">
        <v>32</v>
      </c>
      <c r="D1825" s="2" t="s">
        <v>89</v>
      </c>
      <c r="E1825">
        <v>5.5713999999999997</v>
      </c>
      <c r="F1825">
        <v>-19175.400000000001</v>
      </c>
      <c r="G1825">
        <v>-16.600000000000001</v>
      </c>
      <c r="H1825">
        <v>-46.6</v>
      </c>
      <c r="I1825">
        <v>-111.7</v>
      </c>
      <c r="J1825">
        <v>-295.2</v>
      </c>
      <c r="K1825">
        <v>-103.7</v>
      </c>
      <c r="L1825" s="2"/>
    </row>
    <row r="1826" spans="1:12" x14ac:dyDescent="0.25">
      <c r="A1826" s="2" t="s">
        <v>30</v>
      </c>
      <c r="B1826" s="2" t="s">
        <v>31</v>
      </c>
      <c r="C1826" s="2" t="s">
        <v>32</v>
      </c>
      <c r="D1826" s="2" t="s">
        <v>89</v>
      </c>
      <c r="E1826">
        <v>6.5</v>
      </c>
      <c r="F1826">
        <v>-19132.5</v>
      </c>
      <c r="G1826">
        <v>-16.600000000000001</v>
      </c>
      <c r="H1826">
        <v>-46.6</v>
      </c>
      <c r="I1826">
        <v>-111.7</v>
      </c>
      <c r="J1826">
        <v>-436.6</v>
      </c>
      <c r="K1826">
        <v>-172</v>
      </c>
      <c r="L1826" s="2"/>
    </row>
    <row r="1827" spans="1:12" x14ac:dyDescent="0.25">
      <c r="A1827" s="2" t="s">
        <v>30</v>
      </c>
      <c r="B1827" s="2" t="s">
        <v>31</v>
      </c>
      <c r="C1827" s="2" t="s">
        <v>32</v>
      </c>
      <c r="D1827" s="2" t="s">
        <v>89</v>
      </c>
      <c r="E1827">
        <v>7.4286000000000003</v>
      </c>
      <c r="F1827">
        <v>-19089.599999999999</v>
      </c>
      <c r="G1827">
        <v>-16.600000000000001</v>
      </c>
      <c r="H1827">
        <v>-46.6</v>
      </c>
      <c r="I1827">
        <v>-111.7</v>
      </c>
      <c r="J1827">
        <v>-578.1</v>
      </c>
      <c r="K1827">
        <v>-240.1</v>
      </c>
      <c r="L1827" s="2"/>
    </row>
    <row r="1828" spans="1:12" x14ac:dyDescent="0.25">
      <c r="A1828" s="2" t="s">
        <v>30</v>
      </c>
      <c r="B1828" s="2" t="s">
        <v>31</v>
      </c>
      <c r="C1828" s="2" t="s">
        <v>32</v>
      </c>
      <c r="D1828" s="2" t="s">
        <v>89</v>
      </c>
      <c r="E1828">
        <v>8.3571000000000009</v>
      </c>
      <c r="F1828">
        <v>-19046.8</v>
      </c>
      <c r="G1828">
        <v>-16.600000000000001</v>
      </c>
      <c r="H1828">
        <v>-46.6</v>
      </c>
      <c r="I1828">
        <v>-111.7</v>
      </c>
      <c r="J1828">
        <v>-719.6</v>
      </c>
      <c r="K1828">
        <v>-308</v>
      </c>
      <c r="L1828" s="2"/>
    </row>
    <row r="1829" spans="1:12" x14ac:dyDescent="0.25">
      <c r="A1829" s="2" t="s">
        <v>30</v>
      </c>
      <c r="B1829" s="2" t="s">
        <v>31</v>
      </c>
      <c r="C1829" s="2" t="s">
        <v>32</v>
      </c>
      <c r="D1829" s="2" t="s">
        <v>89</v>
      </c>
      <c r="E1829">
        <v>9.2857000000000003</v>
      </c>
      <c r="F1829">
        <v>-19003.900000000001</v>
      </c>
      <c r="G1829">
        <v>-16.600000000000001</v>
      </c>
      <c r="H1829">
        <v>-46.6</v>
      </c>
      <c r="I1829">
        <v>-111.7</v>
      </c>
      <c r="J1829">
        <v>-861.1</v>
      </c>
      <c r="K1829">
        <v>-375.7</v>
      </c>
      <c r="L1829" s="2"/>
    </row>
    <row r="1830" spans="1:12" x14ac:dyDescent="0.25">
      <c r="A1830" s="2" t="s">
        <v>30</v>
      </c>
      <c r="B1830" s="2" t="s">
        <v>31</v>
      </c>
      <c r="C1830" s="2" t="s">
        <v>32</v>
      </c>
      <c r="D1830" s="2" t="s">
        <v>89</v>
      </c>
      <c r="E1830">
        <v>10.2143</v>
      </c>
      <c r="F1830">
        <v>-18961</v>
      </c>
      <c r="G1830">
        <v>-16.600000000000001</v>
      </c>
      <c r="H1830">
        <v>-46.6</v>
      </c>
      <c r="I1830">
        <v>-111.7</v>
      </c>
      <c r="J1830">
        <v>-1002.6</v>
      </c>
      <c r="K1830">
        <v>-443</v>
      </c>
      <c r="L1830" s="2"/>
    </row>
    <row r="1831" spans="1:12" x14ac:dyDescent="0.25">
      <c r="A1831" s="2" t="s">
        <v>30</v>
      </c>
      <c r="B1831" s="2" t="s">
        <v>31</v>
      </c>
      <c r="C1831" s="2" t="s">
        <v>32</v>
      </c>
      <c r="D1831" s="2" t="s">
        <v>89</v>
      </c>
      <c r="E1831">
        <v>11.142899999999999</v>
      </c>
      <c r="F1831">
        <v>-18918.099999999999</v>
      </c>
      <c r="G1831">
        <v>-16.600000000000001</v>
      </c>
      <c r="H1831">
        <v>-46.6</v>
      </c>
      <c r="I1831">
        <v>-111.7</v>
      </c>
      <c r="J1831">
        <v>-1144.2</v>
      </c>
      <c r="K1831">
        <v>-509.8</v>
      </c>
      <c r="L1831" s="2"/>
    </row>
    <row r="1832" spans="1:12" x14ac:dyDescent="0.25">
      <c r="A1832" s="2" t="s">
        <v>30</v>
      </c>
      <c r="B1832" s="2" t="s">
        <v>31</v>
      </c>
      <c r="C1832" s="2" t="s">
        <v>32</v>
      </c>
      <c r="D1832" s="2" t="s">
        <v>89</v>
      </c>
      <c r="E1832">
        <v>12.071400000000001</v>
      </c>
      <c r="F1832">
        <v>-18875.2</v>
      </c>
      <c r="G1832">
        <v>-16.600000000000001</v>
      </c>
      <c r="H1832">
        <v>-46.6</v>
      </c>
      <c r="I1832">
        <v>-111.7</v>
      </c>
      <c r="J1832">
        <v>-1285.8</v>
      </c>
      <c r="K1832">
        <v>-576.20000000000005</v>
      </c>
      <c r="L1832" s="2"/>
    </row>
    <row r="1833" spans="1:12" x14ac:dyDescent="0.25">
      <c r="A1833" s="2" t="s">
        <v>30</v>
      </c>
      <c r="B1833" s="2" t="s">
        <v>31</v>
      </c>
      <c r="C1833" s="2" t="s">
        <v>32</v>
      </c>
      <c r="D1833" s="2" t="s">
        <v>89</v>
      </c>
      <c r="E1833">
        <v>13</v>
      </c>
      <c r="F1833">
        <v>-18832.3</v>
      </c>
      <c r="G1833">
        <v>-16.600000000000001</v>
      </c>
      <c r="H1833">
        <v>-46.6</v>
      </c>
      <c r="I1833">
        <v>-111.7</v>
      </c>
      <c r="J1833">
        <v>-1427.3</v>
      </c>
      <c r="K1833">
        <v>-641.9</v>
      </c>
      <c r="L1833" s="2"/>
    </row>
    <row r="1834" spans="1:12" x14ac:dyDescent="0.25">
      <c r="A1834" s="2" t="s">
        <v>30</v>
      </c>
      <c r="B1834" s="2" t="s">
        <v>31</v>
      </c>
      <c r="C1834" s="2" t="s">
        <v>32</v>
      </c>
      <c r="D1834" s="2" t="s">
        <v>90</v>
      </c>
      <c r="E1834">
        <v>0</v>
      </c>
      <c r="F1834">
        <v>-2254.3000000000002</v>
      </c>
      <c r="G1834">
        <v>75.3</v>
      </c>
      <c r="H1834">
        <v>20.2</v>
      </c>
      <c r="I1834">
        <v>153.19999999999999</v>
      </c>
      <c r="J1834">
        <v>64.3</v>
      </c>
      <c r="K1834">
        <v>304.2</v>
      </c>
      <c r="L1834" s="2"/>
    </row>
    <row r="1835" spans="1:12" x14ac:dyDescent="0.25">
      <c r="A1835" s="2" t="s">
        <v>30</v>
      </c>
      <c r="B1835" s="2" t="s">
        <v>31</v>
      </c>
      <c r="C1835" s="2" t="s">
        <v>32</v>
      </c>
      <c r="D1835" s="2" t="s">
        <v>90</v>
      </c>
      <c r="E1835">
        <v>0.92859999999999998</v>
      </c>
      <c r="F1835">
        <v>-2254.3000000000002</v>
      </c>
      <c r="G1835">
        <v>75.3</v>
      </c>
      <c r="H1835">
        <v>20.2</v>
      </c>
      <c r="I1835">
        <v>153.19999999999999</v>
      </c>
      <c r="J1835">
        <v>47</v>
      </c>
      <c r="K1835">
        <v>234.3</v>
      </c>
      <c r="L1835" s="2"/>
    </row>
    <row r="1836" spans="1:12" x14ac:dyDescent="0.25">
      <c r="A1836" s="2" t="s">
        <v>30</v>
      </c>
      <c r="B1836" s="2" t="s">
        <v>31</v>
      </c>
      <c r="C1836" s="2" t="s">
        <v>32</v>
      </c>
      <c r="D1836" s="2" t="s">
        <v>90</v>
      </c>
      <c r="E1836">
        <v>1.8571</v>
      </c>
      <c r="F1836">
        <v>-2254.3000000000002</v>
      </c>
      <c r="G1836">
        <v>75.3</v>
      </c>
      <c r="H1836">
        <v>20.2</v>
      </c>
      <c r="I1836">
        <v>153.19999999999999</v>
      </c>
      <c r="J1836">
        <v>29.6</v>
      </c>
      <c r="K1836">
        <v>164.3</v>
      </c>
      <c r="L1836" s="2"/>
    </row>
    <row r="1837" spans="1:12" x14ac:dyDescent="0.25">
      <c r="A1837" s="2" t="s">
        <v>30</v>
      </c>
      <c r="B1837" s="2" t="s">
        <v>31</v>
      </c>
      <c r="C1837" s="2" t="s">
        <v>32</v>
      </c>
      <c r="D1837" s="2" t="s">
        <v>90</v>
      </c>
      <c r="E1837">
        <v>2.7856999999999998</v>
      </c>
      <c r="F1837">
        <v>-2254.3000000000002</v>
      </c>
      <c r="G1837">
        <v>75.3</v>
      </c>
      <c r="H1837">
        <v>20.2</v>
      </c>
      <c r="I1837">
        <v>153.19999999999999</v>
      </c>
      <c r="J1837">
        <v>15</v>
      </c>
      <c r="K1837">
        <v>110.7</v>
      </c>
      <c r="L1837" s="2"/>
    </row>
    <row r="1838" spans="1:12" x14ac:dyDescent="0.25">
      <c r="A1838" s="2" t="s">
        <v>30</v>
      </c>
      <c r="B1838" s="2" t="s">
        <v>31</v>
      </c>
      <c r="C1838" s="2" t="s">
        <v>32</v>
      </c>
      <c r="D1838" s="2" t="s">
        <v>90</v>
      </c>
      <c r="E1838">
        <v>3.7143000000000002</v>
      </c>
      <c r="F1838">
        <v>-2254.3000000000002</v>
      </c>
      <c r="G1838">
        <v>75.3</v>
      </c>
      <c r="H1838">
        <v>20.2</v>
      </c>
      <c r="I1838">
        <v>153.19999999999999</v>
      </c>
      <c r="J1838">
        <v>61.3</v>
      </c>
      <c r="K1838">
        <v>84.5</v>
      </c>
      <c r="L1838" s="2"/>
    </row>
    <row r="1839" spans="1:12" x14ac:dyDescent="0.25">
      <c r="A1839" s="2" t="s">
        <v>30</v>
      </c>
      <c r="B1839" s="2" t="s">
        <v>31</v>
      </c>
      <c r="C1839" s="2" t="s">
        <v>32</v>
      </c>
      <c r="D1839" s="2" t="s">
        <v>90</v>
      </c>
      <c r="E1839">
        <v>4.6429</v>
      </c>
      <c r="F1839">
        <v>-2254.3000000000002</v>
      </c>
      <c r="G1839">
        <v>75.3</v>
      </c>
      <c r="H1839">
        <v>20.2</v>
      </c>
      <c r="I1839">
        <v>153.19999999999999</v>
      </c>
      <c r="J1839">
        <v>208</v>
      </c>
      <c r="K1839">
        <v>84.5</v>
      </c>
      <c r="L1839" s="2"/>
    </row>
    <row r="1840" spans="1:12" x14ac:dyDescent="0.25">
      <c r="A1840" s="2" t="s">
        <v>30</v>
      </c>
      <c r="B1840" s="2" t="s">
        <v>31</v>
      </c>
      <c r="C1840" s="2" t="s">
        <v>32</v>
      </c>
      <c r="D1840" s="2" t="s">
        <v>90</v>
      </c>
      <c r="E1840">
        <v>5.5713999999999997</v>
      </c>
      <c r="F1840">
        <v>-2254.3000000000002</v>
      </c>
      <c r="G1840">
        <v>75.3</v>
      </c>
      <c r="H1840">
        <v>20.2</v>
      </c>
      <c r="I1840">
        <v>153.19999999999999</v>
      </c>
      <c r="J1840">
        <v>372.4</v>
      </c>
      <c r="K1840">
        <v>97</v>
      </c>
      <c r="L1840" s="2"/>
    </row>
    <row r="1841" spans="1:12" x14ac:dyDescent="0.25">
      <c r="A1841" s="2" t="s">
        <v>30</v>
      </c>
      <c r="B1841" s="2" t="s">
        <v>31</v>
      </c>
      <c r="C1841" s="2" t="s">
        <v>32</v>
      </c>
      <c r="D1841" s="2" t="s">
        <v>90</v>
      </c>
      <c r="E1841">
        <v>6.5</v>
      </c>
      <c r="F1841">
        <v>-2254.3000000000002</v>
      </c>
      <c r="G1841">
        <v>75.3</v>
      </c>
      <c r="H1841">
        <v>20.2</v>
      </c>
      <c r="I1841">
        <v>153.19999999999999</v>
      </c>
      <c r="J1841">
        <v>541.6</v>
      </c>
      <c r="K1841">
        <v>109.5</v>
      </c>
      <c r="L1841" s="2"/>
    </row>
    <row r="1842" spans="1:12" x14ac:dyDescent="0.25">
      <c r="A1842" s="2" t="s">
        <v>30</v>
      </c>
      <c r="B1842" s="2" t="s">
        <v>31</v>
      </c>
      <c r="C1842" s="2" t="s">
        <v>32</v>
      </c>
      <c r="D1842" s="2" t="s">
        <v>90</v>
      </c>
      <c r="E1842">
        <v>7.4286000000000003</v>
      </c>
      <c r="F1842">
        <v>-2254.3000000000002</v>
      </c>
      <c r="G1842">
        <v>75.3</v>
      </c>
      <c r="H1842">
        <v>20.2</v>
      </c>
      <c r="I1842">
        <v>153.19999999999999</v>
      </c>
      <c r="J1842">
        <v>710.7</v>
      </c>
      <c r="K1842">
        <v>121.9</v>
      </c>
      <c r="L1842" s="2"/>
    </row>
    <row r="1843" spans="1:12" x14ac:dyDescent="0.25">
      <c r="A1843" s="2" t="s">
        <v>30</v>
      </c>
      <c r="B1843" s="2" t="s">
        <v>31</v>
      </c>
      <c r="C1843" s="2" t="s">
        <v>32</v>
      </c>
      <c r="D1843" s="2" t="s">
        <v>90</v>
      </c>
      <c r="E1843">
        <v>8.3571000000000009</v>
      </c>
      <c r="F1843">
        <v>-2254.3000000000002</v>
      </c>
      <c r="G1843">
        <v>75.3</v>
      </c>
      <c r="H1843">
        <v>20.2</v>
      </c>
      <c r="I1843">
        <v>153.19999999999999</v>
      </c>
      <c r="J1843">
        <v>879.5</v>
      </c>
      <c r="K1843">
        <v>134.19999999999999</v>
      </c>
      <c r="L1843" s="2"/>
    </row>
    <row r="1844" spans="1:12" x14ac:dyDescent="0.25">
      <c r="A1844" s="2" t="s">
        <v>30</v>
      </c>
      <c r="B1844" s="2" t="s">
        <v>31</v>
      </c>
      <c r="C1844" s="2" t="s">
        <v>32</v>
      </c>
      <c r="D1844" s="2" t="s">
        <v>90</v>
      </c>
      <c r="E1844">
        <v>9.2857000000000003</v>
      </c>
      <c r="F1844">
        <v>-2254.3000000000002</v>
      </c>
      <c r="G1844">
        <v>75.3</v>
      </c>
      <c r="H1844">
        <v>20.2</v>
      </c>
      <c r="I1844">
        <v>153.19999999999999</v>
      </c>
      <c r="J1844">
        <v>1048.0999999999999</v>
      </c>
      <c r="K1844">
        <v>146.6</v>
      </c>
      <c r="L1844" s="2"/>
    </row>
    <row r="1845" spans="1:12" x14ac:dyDescent="0.25">
      <c r="A1845" s="2" t="s">
        <v>30</v>
      </c>
      <c r="B1845" s="2" t="s">
        <v>31</v>
      </c>
      <c r="C1845" s="2" t="s">
        <v>32</v>
      </c>
      <c r="D1845" s="2" t="s">
        <v>90</v>
      </c>
      <c r="E1845">
        <v>10.2143</v>
      </c>
      <c r="F1845">
        <v>-2254.3000000000002</v>
      </c>
      <c r="G1845">
        <v>75.3</v>
      </c>
      <c r="H1845">
        <v>20.2</v>
      </c>
      <c r="I1845">
        <v>153.19999999999999</v>
      </c>
      <c r="J1845">
        <v>1216.4000000000001</v>
      </c>
      <c r="K1845">
        <v>159</v>
      </c>
      <c r="L1845" s="2"/>
    </row>
    <row r="1846" spans="1:12" x14ac:dyDescent="0.25">
      <c r="A1846" s="2" t="s">
        <v>30</v>
      </c>
      <c r="B1846" s="2" t="s">
        <v>31</v>
      </c>
      <c r="C1846" s="2" t="s">
        <v>32</v>
      </c>
      <c r="D1846" s="2" t="s">
        <v>90</v>
      </c>
      <c r="E1846">
        <v>11.142899999999999</v>
      </c>
      <c r="F1846">
        <v>-2254.3000000000002</v>
      </c>
      <c r="G1846">
        <v>75.3</v>
      </c>
      <c r="H1846">
        <v>20.2</v>
      </c>
      <c r="I1846">
        <v>153.19999999999999</v>
      </c>
      <c r="J1846">
        <v>1384.3</v>
      </c>
      <c r="K1846">
        <v>171.4</v>
      </c>
      <c r="L1846" s="2"/>
    </row>
    <row r="1847" spans="1:12" x14ac:dyDescent="0.25">
      <c r="A1847" s="2" t="s">
        <v>30</v>
      </c>
      <c r="B1847" s="2" t="s">
        <v>31</v>
      </c>
      <c r="C1847" s="2" t="s">
        <v>32</v>
      </c>
      <c r="D1847" s="2" t="s">
        <v>90</v>
      </c>
      <c r="E1847">
        <v>12.071400000000001</v>
      </c>
      <c r="F1847">
        <v>-2254.3000000000002</v>
      </c>
      <c r="G1847">
        <v>75.3</v>
      </c>
      <c r="H1847">
        <v>20.2</v>
      </c>
      <c r="I1847">
        <v>153.19999999999999</v>
      </c>
      <c r="J1847">
        <v>1551.9</v>
      </c>
      <c r="K1847">
        <v>184</v>
      </c>
      <c r="L1847" s="2"/>
    </row>
    <row r="1848" spans="1:12" x14ac:dyDescent="0.25">
      <c r="A1848" s="2" t="s">
        <v>30</v>
      </c>
      <c r="B1848" s="2" t="s">
        <v>31</v>
      </c>
      <c r="C1848" s="2" t="s">
        <v>32</v>
      </c>
      <c r="D1848" s="2" t="s">
        <v>90</v>
      </c>
      <c r="E1848">
        <v>13</v>
      </c>
      <c r="F1848">
        <v>-2254.3000000000002</v>
      </c>
      <c r="G1848">
        <v>75.3</v>
      </c>
      <c r="H1848">
        <v>20.2</v>
      </c>
      <c r="I1848">
        <v>153.19999999999999</v>
      </c>
      <c r="J1848">
        <v>1719</v>
      </c>
      <c r="K1848">
        <v>196.6</v>
      </c>
      <c r="L1848" s="2"/>
    </row>
    <row r="1849" spans="1:12" x14ac:dyDescent="0.25">
      <c r="A1849" s="2" t="s">
        <v>30</v>
      </c>
      <c r="B1849" s="2" t="s">
        <v>31</v>
      </c>
      <c r="C1849" s="2" t="s">
        <v>32</v>
      </c>
      <c r="D1849" s="2" t="s">
        <v>90</v>
      </c>
      <c r="E1849">
        <v>0</v>
      </c>
      <c r="F1849">
        <v>-17436.099999999999</v>
      </c>
      <c r="G1849">
        <v>-13.6</v>
      </c>
      <c r="H1849">
        <v>-179.9</v>
      </c>
      <c r="I1849">
        <v>-125.7</v>
      </c>
      <c r="J1849">
        <v>-644.4</v>
      </c>
      <c r="K1849">
        <v>19.8</v>
      </c>
      <c r="L1849" s="2"/>
    </row>
    <row r="1850" spans="1:12" x14ac:dyDescent="0.25">
      <c r="A1850" s="2" t="s">
        <v>30</v>
      </c>
      <c r="B1850" s="2" t="s">
        <v>31</v>
      </c>
      <c r="C1850" s="2" t="s">
        <v>32</v>
      </c>
      <c r="D1850" s="2" t="s">
        <v>90</v>
      </c>
      <c r="E1850">
        <v>0.92859999999999998</v>
      </c>
      <c r="F1850">
        <v>-17393.2</v>
      </c>
      <c r="G1850">
        <v>-13.6</v>
      </c>
      <c r="H1850">
        <v>-179.9</v>
      </c>
      <c r="I1850">
        <v>-125.7</v>
      </c>
      <c r="J1850">
        <v>-475.2</v>
      </c>
      <c r="K1850">
        <v>33.1</v>
      </c>
      <c r="L1850" s="2"/>
    </row>
    <row r="1851" spans="1:12" x14ac:dyDescent="0.25">
      <c r="A1851" s="2" t="s">
        <v>30</v>
      </c>
      <c r="B1851" s="2" t="s">
        <v>31</v>
      </c>
      <c r="C1851" s="2" t="s">
        <v>32</v>
      </c>
      <c r="D1851" s="2" t="s">
        <v>90</v>
      </c>
      <c r="E1851">
        <v>1.8571</v>
      </c>
      <c r="F1851">
        <v>-17350.3</v>
      </c>
      <c r="G1851">
        <v>-13.6</v>
      </c>
      <c r="H1851">
        <v>-179.9</v>
      </c>
      <c r="I1851">
        <v>-125.7</v>
      </c>
      <c r="J1851">
        <v>-306.2</v>
      </c>
      <c r="K1851">
        <v>46.2</v>
      </c>
      <c r="L1851" s="2"/>
    </row>
    <row r="1852" spans="1:12" x14ac:dyDescent="0.25">
      <c r="A1852" s="2" t="s">
        <v>30</v>
      </c>
      <c r="B1852" s="2" t="s">
        <v>31</v>
      </c>
      <c r="C1852" s="2" t="s">
        <v>32</v>
      </c>
      <c r="D1852" s="2" t="s">
        <v>90</v>
      </c>
      <c r="E1852">
        <v>2.7856999999999998</v>
      </c>
      <c r="F1852">
        <v>-17307.400000000001</v>
      </c>
      <c r="G1852">
        <v>-13.6</v>
      </c>
      <c r="H1852">
        <v>-179.9</v>
      </c>
      <c r="I1852">
        <v>-125.7</v>
      </c>
      <c r="J1852">
        <v>-179.5</v>
      </c>
      <c r="K1852">
        <v>42.6</v>
      </c>
      <c r="L1852" s="2"/>
    </row>
    <row r="1853" spans="1:12" x14ac:dyDescent="0.25">
      <c r="A1853" s="2" t="s">
        <v>30</v>
      </c>
      <c r="B1853" s="2" t="s">
        <v>31</v>
      </c>
      <c r="C1853" s="2" t="s">
        <v>32</v>
      </c>
      <c r="D1853" s="2" t="s">
        <v>90</v>
      </c>
      <c r="E1853">
        <v>3.7143000000000002</v>
      </c>
      <c r="F1853">
        <v>-17264.5</v>
      </c>
      <c r="G1853">
        <v>-13.6</v>
      </c>
      <c r="H1853">
        <v>-179.9</v>
      </c>
      <c r="I1853">
        <v>-125.7</v>
      </c>
      <c r="J1853">
        <v>-110.7</v>
      </c>
      <c r="K1853">
        <v>11.9</v>
      </c>
      <c r="L1853" s="2"/>
    </row>
    <row r="1854" spans="1:12" x14ac:dyDescent="0.25">
      <c r="A1854" s="2" t="s">
        <v>30</v>
      </c>
      <c r="B1854" s="2" t="s">
        <v>31</v>
      </c>
      <c r="C1854" s="2" t="s">
        <v>32</v>
      </c>
      <c r="D1854" s="2" t="s">
        <v>90</v>
      </c>
      <c r="E1854">
        <v>4.6429</v>
      </c>
      <c r="F1854">
        <v>-17221.599999999999</v>
      </c>
      <c r="G1854">
        <v>-13.6</v>
      </c>
      <c r="H1854">
        <v>-179.9</v>
      </c>
      <c r="I1854">
        <v>-125.7</v>
      </c>
      <c r="J1854">
        <v>-90.7</v>
      </c>
      <c r="K1854">
        <v>-48.4</v>
      </c>
      <c r="L1854" s="2"/>
    </row>
    <row r="1855" spans="1:12" x14ac:dyDescent="0.25">
      <c r="A1855" s="2" t="s">
        <v>30</v>
      </c>
      <c r="B1855" s="2" t="s">
        <v>31</v>
      </c>
      <c r="C1855" s="2" t="s">
        <v>32</v>
      </c>
      <c r="D1855" s="2" t="s">
        <v>90</v>
      </c>
      <c r="E1855">
        <v>5.5713999999999997</v>
      </c>
      <c r="F1855">
        <v>-17178.8</v>
      </c>
      <c r="G1855">
        <v>-13.6</v>
      </c>
      <c r="H1855">
        <v>-179.9</v>
      </c>
      <c r="I1855">
        <v>-125.7</v>
      </c>
      <c r="J1855">
        <v>-88.6</v>
      </c>
      <c r="K1855">
        <v>-119.5</v>
      </c>
      <c r="L1855" s="2"/>
    </row>
    <row r="1856" spans="1:12" x14ac:dyDescent="0.25">
      <c r="A1856" s="2" t="s">
        <v>30</v>
      </c>
      <c r="B1856" s="2" t="s">
        <v>31</v>
      </c>
      <c r="C1856" s="2" t="s">
        <v>32</v>
      </c>
      <c r="D1856" s="2" t="s">
        <v>90</v>
      </c>
      <c r="E1856">
        <v>6.5</v>
      </c>
      <c r="F1856">
        <v>-17135.900000000001</v>
      </c>
      <c r="G1856">
        <v>-13.6</v>
      </c>
      <c r="H1856">
        <v>-179.9</v>
      </c>
      <c r="I1856">
        <v>-125.7</v>
      </c>
      <c r="J1856">
        <v>-98.3</v>
      </c>
      <c r="K1856">
        <v>-190.5</v>
      </c>
      <c r="L1856" s="2"/>
    </row>
    <row r="1857" spans="1:12" x14ac:dyDescent="0.25">
      <c r="A1857" s="2" t="s">
        <v>30</v>
      </c>
      <c r="B1857" s="2" t="s">
        <v>31</v>
      </c>
      <c r="C1857" s="2" t="s">
        <v>32</v>
      </c>
      <c r="D1857" s="2" t="s">
        <v>90</v>
      </c>
      <c r="E1857">
        <v>7.4286000000000003</v>
      </c>
      <c r="F1857">
        <v>-17093</v>
      </c>
      <c r="G1857">
        <v>-13.6</v>
      </c>
      <c r="H1857">
        <v>-179.9</v>
      </c>
      <c r="I1857">
        <v>-125.7</v>
      </c>
      <c r="J1857">
        <v>-108.1</v>
      </c>
      <c r="K1857">
        <v>-261.39999999999998</v>
      </c>
      <c r="L1857" s="2"/>
    </row>
    <row r="1858" spans="1:12" x14ac:dyDescent="0.25">
      <c r="A1858" s="2" t="s">
        <v>30</v>
      </c>
      <c r="B1858" s="2" t="s">
        <v>31</v>
      </c>
      <c r="C1858" s="2" t="s">
        <v>32</v>
      </c>
      <c r="D1858" s="2" t="s">
        <v>90</v>
      </c>
      <c r="E1858">
        <v>8.3571000000000009</v>
      </c>
      <c r="F1858">
        <v>-17050.099999999999</v>
      </c>
      <c r="G1858">
        <v>-13.6</v>
      </c>
      <c r="H1858">
        <v>-179.9</v>
      </c>
      <c r="I1858">
        <v>-125.7</v>
      </c>
      <c r="J1858">
        <v>-117.9</v>
      </c>
      <c r="K1858">
        <v>-332.2</v>
      </c>
      <c r="L1858" s="2"/>
    </row>
    <row r="1859" spans="1:12" x14ac:dyDescent="0.25">
      <c r="A1859" s="2" t="s">
        <v>30</v>
      </c>
      <c r="B1859" s="2" t="s">
        <v>31</v>
      </c>
      <c r="C1859" s="2" t="s">
        <v>32</v>
      </c>
      <c r="D1859" s="2" t="s">
        <v>90</v>
      </c>
      <c r="E1859">
        <v>9.2857000000000003</v>
      </c>
      <c r="F1859">
        <v>-17007.2</v>
      </c>
      <c r="G1859">
        <v>-13.6</v>
      </c>
      <c r="H1859">
        <v>-179.9</v>
      </c>
      <c r="I1859">
        <v>-125.7</v>
      </c>
      <c r="J1859">
        <v>-127.7</v>
      </c>
      <c r="K1859">
        <v>-402.7</v>
      </c>
      <c r="L1859" s="2"/>
    </row>
    <row r="1860" spans="1:12" x14ac:dyDescent="0.25">
      <c r="A1860" s="2" t="s">
        <v>30</v>
      </c>
      <c r="B1860" s="2" t="s">
        <v>31</v>
      </c>
      <c r="C1860" s="2" t="s">
        <v>32</v>
      </c>
      <c r="D1860" s="2" t="s">
        <v>90</v>
      </c>
      <c r="E1860">
        <v>10.2143</v>
      </c>
      <c r="F1860">
        <v>-16964.400000000001</v>
      </c>
      <c r="G1860">
        <v>-13.6</v>
      </c>
      <c r="H1860">
        <v>-179.9</v>
      </c>
      <c r="I1860">
        <v>-125.7</v>
      </c>
      <c r="J1860">
        <v>-137.5</v>
      </c>
      <c r="K1860">
        <v>-472.8</v>
      </c>
      <c r="L1860" s="2"/>
    </row>
    <row r="1861" spans="1:12" x14ac:dyDescent="0.25">
      <c r="A1861" s="2" t="s">
        <v>30</v>
      </c>
      <c r="B1861" s="2" t="s">
        <v>31</v>
      </c>
      <c r="C1861" s="2" t="s">
        <v>32</v>
      </c>
      <c r="D1861" s="2" t="s">
        <v>90</v>
      </c>
      <c r="E1861">
        <v>11.142899999999999</v>
      </c>
      <c r="F1861">
        <v>-16921.5</v>
      </c>
      <c r="G1861">
        <v>-13.6</v>
      </c>
      <c r="H1861">
        <v>-179.9</v>
      </c>
      <c r="I1861">
        <v>-125.7</v>
      </c>
      <c r="J1861">
        <v>-147.4</v>
      </c>
      <c r="K1861">
        <v>-542.4</v>
      </c>
      <c r="L1861" s="2"/>
    </row>
    <row r="1862" spans="1:12" x14ac:dyDescent="0.25">
      <c r="A1862" s="2" t="s">
        <v>30</v>
      </c>
      <c r="B1862" s="2" t="s">
        <v>31</v>
      </c>
      <c r="C1862" s="2" t="s">
        <v>32</v>
      </c>
      <c r="D1862" s="2" t="s">
        <v>90</v>
      </c>
      <c r="E1862">
        <v>12.071400000000001</v>
      </c>
      <c r="F1862">
        <v>-16878.599999999999</v>
      </c>
      <c r="G1862">
        <v>-13.6</v>
      </c>
      <c r="H1862">
        <v>-179.9</v>
      </c>
      <c r="I1862">
        <v>-125.7</v>
      </c>
      <c r="J1862">
        <v>-165.1</v>
      </c>
      <c r="K1862">
        <v>-611.5</v>
      </c>
      <c r="L1862" s="2"/>
    </row>
    <row r="1863" spans="1:12" x14ac:dyDescent="0.25">
      <c r="A1863" s="2" t="s">
        <v>30</v>
      </c>
      <c r="B1863" s="2" t="s">
        <v>31</v>
      </c>
      <c r="C1863" s="2" t="s">
        <v>32</v>
      </c>
      <c r="D1863" s="2" t="s">
        <v>90</v>
      </c>
      <c r="E1863">
        <v>13</v>
      </c>
      <c r="F1863">
        <v>-16835.7</v>
      </c>
      <c r="G1863">
        <v>-13.6</v>
      </c>
      <c r="H1863">
        <v>-179.9</v>
      </c>
      <c r="I1863">
        <v>-125.7</v>
      </c>
      <c r="J1863">
        <v>-182.9</v>
      </c>
      <c r="K1863">
        <v>-680.1</v>
      </c>
      <c r="L1863" s="2"/>
    </row>
    <row r="1864" spans="1:12" x14ac:dyDescent="0.25">
      <c r="A1864" s="2" t="s">
        <v>30</v>
      </c>
      <c r="B1864" s="2" t="s">
        <v>31</v>
      </c>
      <c r="C1864" s="2" t="s">
        <v>32</v>
      </c>
      <c r="D1864" s="2" t="s">
        <v>91</v>
      </c>
      <c r="E1864">
        <v>0</v>
      </c>
      <c r="F1864">
        <v>-2795</v>
      </c>
      <c r="G1864">
        <v>59.1</v>
      </c>
      <c r="H1864">
        <v>157.30000000000001</v>
      </c>
      <c r="I1864">
        <v>164.3</v>
      </c>
      <c r="J1864">
        <v>553</v>
      </c>
      <c r="K1864">
        <v>214.2</v>
      </c>
      <c r="L1864" s="2"/>
    </row>
    <row r="1865" spans="1:12" x14ac:dyDescent="0.25">
      <c r="A1865" s="2" t="s">
        <v>30</v>
      </c>
      <c r="B1865" s="2" t="s">
        <v>31</v>
      </c>
      <c r="C1865" s="2" t="s">
        <v>32</v>
      </c>
      <c r="D1865" s="2" t="s">
        <v>91</v>
      </c>
      <c r="E1865">
        <v>0.92859999999999998</v>
      </c>
      <c r="F1865">
        <v>-2795</v>
      </c>
      <c r="G1865">
        <v>59.1</v>
      </c>
      <c r="H1865">
        <v>157.30000000000001</v>
      </c>
      <c r="I1865">
        <v>164.3</v>
      </c>
      <c r="J1865">
        <v>407.7</v>
      </c>
      <c r="K1865">
        <v>160.6</v>
      </c>
      <c r="L1865" s="2"/>
    </row>
    <row r="1866" spans="1:12" x14ac:dyDescent="0.25">
      <c r="A1866" s="2" t="s">
        <v>30</v>
      </c>
      <c r="B1866" s="2" t="s">
        <v>31</v>
      </c>
      <c r="C1866" s="2" t="s">
        <v>32</v>
      </c>
      <c r="D1866" s="2" t="s">
        <v>91</v>
      </c>
      <c r="E1866">
        <v>1.8571</v>
      </c>
      <c r="F1866">
        <v>-2795</v>
      </c>
      <c r="G1866">
        <v>59.1</v>
      </c>
      <c r="H1866">
        <v>157.30000000000001</v>
      </c>
      <c r="I1866">
        <v>164.3</v>
      </c>
      <c r="J1866">
        <v>262.39999999999998</v>
      </c>
      <c r="K1866">
        <v>108</v>
      </c>
      <c r="L1866" s="2"/>
    </row>
    <row r="1867" spans="1:12" x14ac:dyDescent="0.25">
      <c r="A1867" s="2" t="s">
        <v>30</v>
      </c>
      <c r="B1867" s="2" t="s">
        <v>31</v>
      </c>
      <c r="C1867" s="2" t="s">
        <v>32</v>
      </c>
      <c r="D1867" s="2" t="s">
        <v>91</v>
      </c>
      <c r="E1867">
        <v>2.7856999999999998</v>
      </c>
      <c r="F1867">
        <v>-2795</v>
      </c>
      <c r="G1867">
        <v>59.1</v>
      </c>
      <c r="H1867">
        <v>157.30000000000001</v>
      </c>
      <c r="I1867">
        <v>164.3</v>
      </c>
      <c r="J1867">
        <v>159.6</v>
      </c>
      <c r="K1867">
        <v>71.5</v>
      </c>
      <c r="L1867" s="2"/>
    </row>
    <row r="1868" spans="1:12" x14ac:dyDescent="0.25">
      <c r="A1868" s="2" t="s">
        <v>30</v>
      </c>
      <c r="B1868" s="2" t="s">
        <v>31</v>
      </c>
      <c r="C1868" s="2" t="s">
        <v>32</v>
      </c>
      <c r="D1868" s="2" t="s">
        <v>91</v>
      </c>
      <c r="E1868">
        <v>3.7143000000000002</v>
      </c>
      <c r="F1868">
        <v>-2795</v>
      </c>
      <c r="G1868">
        <v>59.1</v>
      </c>
      <c r="H1868">
        <v>157.30000000000001</v>
      </c>
      <c r="I1868">
        <v>164.3</v>
      </c>
      <c r="J1868">
        <v>116.6</v>
      </c>
      <c r="K1868">
        <v>43.6</v>
      </c>
      <c r="L1868" s="2"/>
    </row>
    <row r="1869" spans="1:12" x14ac:dyDescent="0.25">
      <c r="A1869" s="2" t="s">
        <v>30</v>
      </c>
      <c r="B1869" s="2" t="s">
        <v>31</v>
      </c>
      <c r="C1869" s="2" t="s">
        <v>32</v>
      </c>
      <c r="D1869" s="2" t="s">
        <v>91</v>
      </c>
      <c r="E1869">
        <v>4.6429</v>
      </c>
      <c r="F1869">
        <v>-2795</v>
      </c>
      <c r="G1869">
        <v>59.1</v>
      </c>
      <c r="H1869">
        <v>157.30000000000001</v>
      </c>
      <c r="I1869">
        <v>164.3</v>
      </c>
      <c r="J1869">
        <v>125.3</v>
      </c>
      <c r="K1869">
        <v>32.799999999999997</v>
      </c>
      <c r="L1869" s="2"/>
    </row>
    <row r="1870" spans="1:12" x14ac:dyDescent="0.25">
      <c r="A1870" s="2" t="s">
        <v>30</v>
      </c>
      <c r="B1870" s="2" t="s">
        <v>31</v>
      </c>
      <c r="C1870" s="2" t="s">
        <v>32</v>
      </c>
      <c r="D1870" s="2" t="s">
        <v>91</v>
      </c>
      <c r="E1870">
        <v>5.5713999999999997</v>
      </c>
      <c r="F1870">
        <v>-2795</v>
      </c>
      <c r="G1870">
        <v>59.1</v>
      </c>
      <c r="H1870">
        <v>157.30000000000001</v>
      </c>
      <c r="I1870">
        <v>164.3</v>
      </c>
      <c r="J1870">
        <v>234.6</v>
      </c>
      <c r="K1870">
        <v>30.7</v>
      </c>
      <c r="L1870" s="2"/>
    </row>
    <row r="1871" spans="1:12" x14ac:dyDescent="0.25">
      <c r="A1871" s="2" t="s">
        <v>30</v>
      </c>
      <c r="B1871" s="2" t="s">
        <v>31</v>
      </c>
      <c r="C1871" s="2" t="s">
        <v>32</v>
      </c>
      <c r="D1871" s="2" t="s">
        <v>91</v>
      </c>
      <c r="E1871">
        <v>6.5</v>
      </c>
      <c r="F1871">
        <v>-2795</v>
      </c>
      <c r="G1871">
        <v>59.1</v>
      </c>
      <c r="H1871">
        <v>157.30000000000001</v>
      </c>
      <c r="I1871">
        <v>164.3</v>
      </c>
      <c r="J1871">
        <v>347.5</v>
      </c>
      <c r="K1871">
        <v>28.6</v>
      </c>
      <c r="L1871" s="2"/>
    </row>
    <row r="1872" spans="1:12" x14ac:dyDescent="0.25">
      <c r="A1872" s="2" t="s">
        <v>30</v>
      </c>
      <c r="B1872" s="2" t="s">
        <v>31</v>
      </c>
      <c r="C1872" s="2" t="s">
        <v>32</v>
      </c>
      <c r="D1872" s="2" t="s">
        <v>91</v>
      </c>
      <c r="E1872">
        <v>7.4286000000000003</v>
      </c>
      <c r="F1872">
        <v>-2795</v>
      </c>
      <c r="G1872">
        <v>59.1</v>
      </c>
      <c r="H1872">
        <v>157.30000000000001</v>
      </c>
      <c r="I1872">
        <v>164.3</v>
      </c>
      <c r="J1872">
        <v>460.4</v>
      </c>
      <c r="K1872">
        <v>26.5</v>
      </c>
      <c r="L1872" s="2"/>
    </row>
    <row r="1873" spans="1:12" x14ac:dyDescent="0.25">
      <c r="A1873" s="2" t="s">
        <v>30</v>
      </c>
      <c r="B1873" s="2" t="s">
        <v>31</v>
      </c>
      <c r="C1873" s="2" t="s">
        <v>32</v>
      </c>
      <c r="D1873" s="2" t="s">
        <v>91</v>
      </c>
      <c r="E1873">
        <v>8.3571000000000009</v>
      </c>
      <c r="F1873">
        <v>-2795</v>
      </c>
      <c r="G1873">
        <v>59.1</v>
      </c>
      <c r="H1873">
        <v>157.30000000000001</v>
      </c>
      <c r="I1873">
        <v>164.3</v>
      </c>
      <c r="J1873">
        <v>573.1</v>
      </c>
      <c r="K1873">
        <v>24.4</v>
      </c>
      <c r="L1873" s="2"/>
    </row>
    <row r="1874" spans="1:12" x14ac:dyDescent="0.25">
      <c r="A1874" s="2" t="s">
        <v>30</v>
      </c>
      <c r="B1874" s="2" t="s">
        <v>31</v>
      </c>
      <c r="C1874" s="2" t="s">
        <v>32</v>
      </c>
      <c r="D1874" s="2" t="s">
        <v>91</v>
      </c>
      <c r="E1874">
        <v>9.2857000000000003</v>
      </c>
      <c r="F1874">
        <v>-2795</v>
      </c>
      <c r="G1874">
        <v>59.1</v>
      </c>
      <c r="H1874">
        <v>157.30000000000001</v>
      </c>
      <c r="I1874">
        <v>164.3</v>
      </c>
      <c r="J1874">
        <v>685.6</v>
      </c>
      <c r="K1874">
        <v>22.3</v>
      </c>
      <c r="L1874" s="2"/>
    </row>
    <row r="1875" spans="1:12" x14ac:dyDescent="0.25">
      <c r="A1875" s="2" t="s">
        <v>30</v>
      </c>
      <c r="B1875" s="2" t="s">
        <v>31</v>
      </c>
      <c r="C1875" s="2" t="s">
        <v>32</v>
      </c>
      <c r="D1875" s="2" t="s">
        <v>91</v>
      </c>
      <c r="E1875">
        <v>10.2143</v>
      </c>
      <c r="F1875">
        <v>-2795</v>
      </c>
      <c r="G1875">
        <v>59.1</v>
      </c>
      <c r="H1875">
        <v>157.30000000000001</v>
      </c>
      <c r="I1875">
        <v>164.3</v>
      </c>
      <c r="J1875">
        <v>797.9</v>
      </c>
      <c r="K1875">
        <v>20.2</v>
      </c>
      <c r="L1875" s="2"/>
    </row>
    <row r="1876" spans="1:12" x14ac:dyDescent="0.25">
      <c r="A1876" s="2" t="s">
        <v>30</v>
      </c>
      <c r="B1876" s="2" t="s">
        <v>31</v>
      </c>
      <c r="C1876" s="2" t="s">
        <v>32</v>
      </c>
      <c r="D1876" s="2" t="s">
        <v>91</v>
      </c>
      <c r="E1876">
        <v>11.142899999999999</v>
      </c>
      <c r="F1876">
        <v>-2795</v>
      </c>
      <c r="G1876">
        <v>59.1</v>
      </c>
      <c r="H1876">
        <v>157.30000000000001</v>
      </c>
      <c r="I1876">
        <v>164.3</v>
      </c>
      <c r="J1876">
        <v>910</v>
      </c>
      <c r="K1876">
        <v>18.100000000000001</v>
      </c>
      <c r="L1876" s="2"/>
    </row>
    <row r="1877" spans="1:12" x14ac:dyDescent="0.25">
      <c r="A1877" s="2" t="s">
        <v>30</v>
      </c>
      <c r="B1877" s="2" t="s">
        <v>31</v>
      </c>
      <c r="C1877" s="2" t="s">
        <v>32</v>
      </c>
      <c r="D1877" s="2" t="s">
        <v>91</v>
      </c>
      <c r="E1877">
        <v>12.071400000000001</v>
      </c>
      <c r="F1877">
        <v>-2795</v>
      </c>
      <c r="G1877">
        <v>59.1</v>
      </c>
      <c r="H1877">
        <v>157.30000000000001</v>
      </c>
      <c r="I1877">
        <v>164.3</v>
      </c>
      <c r="J1877">
        <v>1021.7</v>
      </c>
      <c r="K1877">
        <v>16</v>
      </c>
      <c r="L1877" s="2"/>
    </row>
    <row r="1878" spans="1:12" x14ac:dyDescent="0.25">
      <c r="A1878" s="2" t="s">
        <v>30</v>
      </c>
      <c r="B1878" s="2" t="s">
        <v>31</v>
      </c>
      <c r="C1878" s="2" t="s">
        <v>32</v>
      </c>
      <c r="D1878" s="2" t="s">
        <v>91</v>
      </c>
      <c r="E1878">
        <v>13</v>
      </c>
      <c r="F1878">
        <v>-2795</v>
      </c>
      <c r="G1878">
        <v>59.1</v>
      </c>
      <c r="H1878">
        <v>157.30000000000001</v>
      </c>
      <c r="I1878">
        <v>164.3</v>
      </c>
      <c r="J1878">
        <v>1133.0999999999999</v>
      </c>
      <c r="K1878">
        <v>13.9</v>
      </c>
      <c r="L1878" s="2"/>
    </row>
    <row r="1879" spans="1:12" x14ac:dyDescent="0.25">
      <c r="A1879" s="2" t="s">
        <v>30</v>
      </c>
      <c r="B1879" s="2" t="s">
        <v>31</v>
      </c>
      <c r="C1879" s="2" t="s">
        <v>32</v>
      </c>
      <c r="D1879" s="2" t="s">
        <v>91</v>
      </c>
      <c r="E1879">
        <v>0</v>
      </c>
      <c r="F1879">
        <v>-14369.8</v>
      </c>
      <c r="G1879">
        <v>1.9</v>
      </c>
      <c r="H1879">
        <v>-120</v>
      </c>
      <c r="I1879">
        <v>-117.5</v>
      </c>
      <c r="J1879">
        <v>-443.6</v>
      </c>
      <c r="K1879">
        <v>37.5</v>
      </c>
      <c r="L1879" s="2"/>
    </row>
    <row r="1880" spans="1:12" x14ac:dyDescent="0.25">
      <c r="A1880" s="2" t="s">
        <v>30</v>
      </c>
      <c r="B1880" s="2" t="s">
        <v>31</v>
      </c>
      <c r="C1880" s="2" t="s">
        <v>32</v>
      </c>
      <c r="D1880" s="2" t="s">
        <v>91</v>
      </c>
      <c r="E1880">
        <v>0.92859999999999998</v>
      </c>
      <c r="F1880">
        <v>-14337.6</v>
      </c>
      <c r="G1880">
        <v>1.9</v>
      </c>
      <c r="H1880">
        <v>-120</v>
      </c>
      <c r="I1880">
        <v>-117.5</v>
      </c>
      <c r="J1880">
        <v>-330.9</v>
      </c>
      <c r="K1880">
        <v>32.700000000000003</v>
      </c>
      <c r="L1880" s="2"/>
    </row>
    <row r="1881" spans="1:12" x14ac:dyDescent="0.25">
      <c r="A1881" s="2" t="s">
        <v>30</v>
      </c>
      <c r="B1881" s="2" t="s">
        <v>31</v>
      </c>
      <c r="C1881" s="2" t="s">
        <v>32</v>
      </c>
      <c r="D1881" s="2" t="s">
        <v>91</v>
      </c>
      <c r="E1881">
        <v>1.8571</v>
      </c>
      <c r="F1881">
        <v>-14305.5</v>
      </c>
      <c r="G1881">
        <v>1.9</v>
      </c>
      <c r="H1881">
        <v>-120</v>
      </c>
      <c r="I1881">
        <v>-117.5</v>
      </c>
      <c r="J1881">
        <v>-218.2</v>
      </c>
      <c r="K1881">
        <v>27.9</v>
      </c>
      <c r="L1881" s="2"/>
    </row>
    <row r="1882" spans="1:12" x14ac:dyDescent="0.25">
      <c r="A1882" s="2" t="s">
        <v>30</v>
      </c>
      <c r="B1882" s="2" t="s">
        <v>31</v>
      </c>
      <c r="C1882" s="2" t="s">
        <v>32</v>
      </c>
      <c r="D1882" s="2" t="s">
        <v>91</v>
      </c>
      <c r="E1882">
        <v>2.7856999999999998</v>
      </c>
      <c r="F1882">
        <v>-14273.3</v>
      </c>
      <c r="G1882">
        <v>1.9</v>
      </c>
      <c r="H1882">
        <v>-120</v>
      </c>
      <c r="I1882">
        <v>-117.5</v>
      </c>
      <c r="J1882">
        <v>-133.4</v>
      </c>
      <c r="K1882">
        <v>8.4</v>
      </c>
      <c r="L1882" s="2"/>
    </row>
    <row r="1883" spans="1:12" x14ac:dyDescent="0.25">
      <c r="A1883" s="2" t="s">
        <v>30</v>
      </c>
      <c r="B1883" s="2" t="s">
        <v>31</v>
      </c>
      <c r="C1883" s="2" t="s">
        <v>32</v>
      </c>
      <c r="D1883" s="2" t="s">
        <v>91</v>
      </c>
      <c r="E1883">
        <v>3.7143000000000002</v>
      </c>
      <c r="F1883">
        <v>-14241.1</v>
      </c>
      <c r="G1883">
        <v>1.9</v>
      </c>
      <c r="H1883">
        <v>-120</v>
      </c>
      <c r="I1883">
        <v>-117.5</v>
      </c>
      <c r="J1883">
        <v>-94.6</v>
      </c>
      <c r="K1883">
        <v>-16</v>
      </c>
      <c r="L1883" s="2"/>
    </row>
    <row r="1884" spans="1:12" x14ac:dyDescent="0.25">
      <c r="A1884" s="2" t="s">
        <v>30</v>
      </c>
      <c r="B1884" s="2" t="s">
        <v>31</v>
      </c>
      <c r="C1884" s="2" t="s">
        <v>32</v>
      </c>
      <c r="D1884" s="2" t="s">
        <v>91</v>
      </c>
      <c r="E1884">
        <v>4.6429</v>
      </c>
      <c r="F1884">
        <v>-14209</v>
      </c>
      <c r="G1884">
        <v>1.9</v>
      </c>
      <c r="H1884">
        <v>-120</v>
      </c>
      <c r="I1884">
        <v>-117.5</v>
      </c>
      <c r="J1884">
        <v>-173.6</v>
      </c>
      <c r="K1884">
        <v>-63.9</v>
      </c>
      <c r="L1884" s="2"/>
    </row>
    <row r="1885" spans="1:12" x14ac:dyDescent="0.25">
      <c r="A1885" s="2" t="s">
        <v>30</v>
      </c>
      <c r="B1885" s="2" t="s">
        <v>31</v>
      </c>
      <c r="C1885" s="2" t="s">
        <v>32</v>
      </c>
      <c r="D1885" s="2" t="s">
        <v>91</v>
      </c>
      <c r="E1885">
        <v>5.5713999999999997</v>
      </c>
      <c r="F1885">
        <v>-14176.8</v>
      </c>
      <c r="G1885">
        <v>1.9</v>
      </c>
      <c r="H1885">
        <v>-120</v>
      </c>
      <c r="I1885">
        <v>-117.5</v>
      </c>
      <c r="J1885">
        <v>-319</v>
      </c>
      <c r="K1885">
        <v>-119.7</v>
      </c>
      <c r="L1885" s="2"/>
    </row>
    <row r="1886" spans="1:12" x14ac:dyDescent="0.25">
      <c r="A1886" s="2" t="s">
        <v>30</v>
      </c>
      <c r="B1886" s="2" t="s">
        <v>31</v>
      </c>
      <c r="C1886" s="2" t="s">
        <v>32</v>
      </c>
      <c r="D1886" s="2" t="s">
        <v>91</v>
      </c>
      <c r="E1886">
        <v>6.5</v>
      </c>
      <c r="F1886">
        <v>-14144.7</v>
      </c>
      <c r="G1886">
        <v>1.9</v>
      </c>
      <c r="H1886">
        <v>-120</v>
      </c>
      <c r="I1886">
        <v>-117.5</v>
      </c>
      <c r="J1886">
        <v>-464.4</v>
      </c>
      <c r="K1886">
        <v>-175.6</v>
      </c>
      <c r="L1886" s="2"/>
    </row>
    <row r="1887" spans="1:12" x14ac:dyDescent="0.25">
      <c r="A1887" s="2" t="s">
        <v>30</v>
      </c>
      <c r="B1887" s="2" t="s">
        <v>31</v>
      </c>
      <c r="C1887" s="2" t="s">
        <v>32</v>
      </c>
      <c r="D1887" s="2" t="s">
        <v>91</v>
      </c>
      <c r="E1887">
        <v>7.4286000000000003</v>
      </c>
      <c r="F1887">
        <v>-14112.5</v>
      </c>
      <c r="G1887">
        <v>1.9</v>
      </c>
      <c r="H1887">
        <v>-120</v>
      </c>
      <c r="I1887">
        <v>-117.5</v>
      </c>
      <c r="J1887">
        <v>-609.70000000000005</v>
      </c>
      <c r="K1887">
        <v>-231.3</v>
      </c>
      <c r="L1887" s="2"/>
    </row>
    <row r="1888" spans="1:12" x14ac:dyDescent="0.25">
      <c r="A1888" s="2" t="s">
        <v>30</v>
      </c>
      <c r="B1888" s="2" t="s">
        <v>31</v>
      </c>
      <c r="C1888" s="2" t="s">
        <v>32</v>
      </c>
      <c r="D1888" s="2" t="s">
        <v>91</v>
      </c>
      <c r="E1888">
        <v>8.3571000000000009</v>
      </c>
      <c r="F1888">
        <v>-14080.3</v>
      </c>
      <c r="G1888">
        <v>1.9</v>
      </c>
      <c r="H1888">
        <v>-120</v>
      </c>
      <c r="I1888">
        <v>-117.5</v>
      </c>
      <c r="J1888">
        <v>-755.1</v>
      </c>
      <c r="K1888">
        <v>-286.89999999999998</v>
      </c>
      <c r="L1888" s="2"/>
    </row>
    <row r="1889" spans="1:12" x14ac:dyDescent="0.25">
      <c r="A1889" s="2" t="s">
        <v>30</v>
      </c>
      <c r="B1889" s="2" t="s">
        <v>31</v>
      </c>
      <c r="C1889" s="2" t="s">
        <v>32</v>
      </c>
      <c r="D1889" s="2" t="s">
        <v>91</v>
      </c>
      <c r="E1889">
        <v>9.2857000000000003</v>
      </c>
      <c r="F1889">
        <v>-14048.2</v>
      </c>
      <c r="G1889">
        <v>1.9</v>
      </c>
      <c r="H1889">
        <v>-120</v>
      </c>
      <c r="I1889">
        <v>-117.5</v>
      </c>
      <c r="J1889">
        <v>-900.5</v>
      </c>
      <c r="K1889">
        <v>-342.2</v>
      </c>
      <c r="L1889" s="2"/>
    </row>
    <row r="1890" spans="1:12" x14ac:dyDescent="0.25">
      <c r="A1890" s="2" t="s">
        <v>30</v>
      </c>
      <c r="B1890" s="2" t="s">
        <v>31</v>
      </c>
      <c r="C1890" s="2" t="s">
        <v>32</v>
      </c>
      <c r="D1890" s="2" t="s">
        <v>91</v>
      </c>
      <c r="E1890">
        <v>10.2143</v>
      </c>
      <c r="F1890">
        <v>-14016</v>
      </c>
      <c r="G1890">
        <v>1.9</v>
      </c>
      <c r="H1890">
        <v>-120</v>
      </c>
      <c r="I1890">
        <v>-117.5</v>
      </c>
      <c r="J1890">
        <v>-1045.9000000000001</v>
      </c>
      <c r="K1890">
        <v>-397.4</v>
      </c>
      <c r="L1890" s="2"/>
    </row>
    <row r="1891" spans="1:12" x14ac:dyDescent="0.25">
      <c r="A1891" s="2" t="s">
        <v>30</v>
      </c>
      <c r="B1891" s="2" t="s">
        <v>31</v>
      </c>
      <c r="C1891" s="2" t="s">
        <v>32</v>
      </c>
      <c r="D1891" s="2" t="s">
        <v>91</v>
      </c>
      <c r="E1891">
        <v>11.142899999999999</v>
      </c>
      <c r="F1891">
        <v>-13983.8</v>
      </c>
      <c r="G1891">
        <v>1.9</v>
      </c>
      <c r="H1891">
        <v>-120</v>
      </c>
      <c r="I1891">
        <v>-117.5</v>
      </c>
      <c r="J1891">
        <v>-1191.3</v>
      </c>
      <c r="K1891">
        <v>-452.2</v>
      </c>
      <c r="L1891" s="2"/>
    </row>
    <row r="1892" spans="1:12" x14ac:dyDescent="0.25">
      <c r="A1892" s="2" t="s">
        <v>30</v>
      </c>
      <c r="B1892" s="2" t="s">
        <v>31</v>
      </c>
      <c r="C1892" s="2" t="s">
        <v>32</v>
      </c>
      <c r="D1892" s="2" t="s">
        <v>91</v>
      </c>
      <c r="E1892">
        <v>12.071400000000001</v>
      </c>
      <c r="F1892">
        <v>-13951.7</v>
      </c>
      <c r="G1892">
        <v>1.9</v>
      </c>
      <c r="H1892">
        <v>-120</v>
      </c>
      <c r="I1892">
        <v>-117.5</v>
      </c>
      <c r="J1892">
        <v>-1336.8</v>
      </c>
      <c r="K1892">
        <v>-506.7</v>
      </c>
      <c r="L1892" s="2"/>
    </row>
    <row r="1893" spans="1:12" x14ac:dyDescent="0.25">
      <c r="A1893" s="2" t="s">
        <v>30</v>
      </c>
      <c r="B1893" s="2" t="s">
        <v>31</v>
      </c>
      <c r="C1893" s="2" t="s">
        <v>32</v>
      </c>
      <c r="D1893" s="2" t="s">
        <v>91</v>
      </c>
      <c r="E1893">
        <v>13</v>
      </c>
      <c r="F1893">
        <v>-13919.5</v>
      </c>
      <c r="G1893">
        <v>1.9</v>
      </c>
      <c r="H1893">
        <v>-120</v>
      </c>
      <c r="I1893">
        <v>-117.5</v>
      </c>
      <c r="J1893">
        <v>-1482.2</v>
      </c>
      <c r="K1893">
        <v>-560.79999999999995</v>
      </c>
      <c r="L1893" s="2"/>
    </row>
    <row r="1894" spans="1:12" x14ac:dyDescent="0.25">
      <c r="A1894" s="2" t="s">
        <v>30</v>
      </c>
      <c r="B1894" s="2" t="s">
        <v>31</v>
      </c>
      <c r="C1894" s="2" t="s">
        <v>32</v>
      </c>
      <c r="D1894" s="2" t="s">
        <v>92</v>
      </c>
      <c r="E1894">
        <v>0</v>
      </c>
      <c r="F1894">
        <v>529.6</v>
      </c>
      <c r="G1894">
        <v>33.4</v>
      </c>
      <c r="H1894">
        <v>97.1</v>
      </c>
      <c r="I1894">
        <v>139.1</v>
      </c>
      <c r="J1894">
        <v>345.6</v>
      </c>
      <c r="K1894">
        <v>143</v>
      </c>
      <c r="L1894" s="2"/>
    </row>
    <row r="1895" spans="1:12" x14ac:dyDescent="0.25">
      <c r="A1895" s="2" t="s">
        <v>30</v>
      </c>
      <c r="B1895" s="2" t="s">
        <v>31</v>
      </c>
      <c r="C1895" s="2" t="s">
        <v>32</v>
      </c>
      <c r="D1895" s="2" t="s">
        <v>92</v>
      </c>
      <c r="E1895">
        <v>0.92859999999999998</v>
      </c>
      <c r="F1895">
        <v>529.6</v>
      </c>
      <c r="G1895">
        <v>33.4</v>
      </c>
      <c r="H1895">
        <v>97.1</v>
      </c>
      <c r="I1895">
        <v>139.1</v>
      </c>
      <c r="J1895">
        <v>256.2</v>
      </c>
      <c r="K1895">
        <v>114.6</v>
      </c>
      <c r="L1895" s="2"/>
    </row>
    <row r="1896" spans="1:12" x14ac:dyDescent="0.25">
      <c r="A1896" s="2" t="s">
        <v>30</v>
      </c>
      <c r="B1896" s="2" t="s">
        <v>31</v>
      </c>
      <c r="C1896" s="2" t="s">
        <v>32</v>
      </c>
      <c r="D1896" s="2" t="s">
        <v>92</v>
      </c>
      <c r="E1896">
        <v>1.8571</v>
      </c>
      <c r="F1896">
        <v>529.6</v>
      </c>
      <c r="G1896">
        <v>33.4</v>
      </c>
      <c r="H1896">
        <v>97.1</v>
      </c>
      <c r="I1896">
        <v>139.1</v>
      </c>
      <c r="J1896">
        <v>166.8</v>
      </c>
      <c r="K1896">
        <v>86.1</v>
      </c>
      <c r="L1896" s="2"/>
    </row>
    <row r="1897" spans="1:12" x14ac:dyDescent="0.25">
      <c r="A1897" s="2" t="s">
        <v>30</v>
      </c>
      <c r="B1897" s="2" t="s">
        <v>31</v>
      </c>
      <c r="C1897" s="2" t="s">
        <v>32</v>
      </c>
      <c r="D1897" s="2" t="s">
        <v>92</v>
      </c>
      <c r="E1897">
        <v>2.7856999999999998</v>
      </c>
      <c r="F1897">
        <v>529.6</v>
      </c>
      <c r="G1897">
        <v>33.4</v>
      </c>
      <c r="H1897">
        <v>97.1</v>
      </c>
      <c r="I1897">
        <v>139.1</v>
      </c>
      <c r="J1897">
        <v>105.2</v>
      </c>
      <c r="K1897">
        <v>72.099999999999994</v>
      </c>
      <c r="L1897" s="2"/>
    </row>
    <row r="1898" spans="1:12" x14ac:dyDescent="0.25">
      <c r="A1898" s="2" t="s">
        <v>30</v>
      </c>
      <c r="B1898" s="2" t="s">
        <v>31</v>
      </c>
      <c r="C1898" s="2" t="s">
        <v>32</v>
      </c>
      <c r="D1898" s="2" t="s">
        <v>92</v>
      </c>
      <c r="E1898">
        <v>3.7143000000000002</v>
      </c>
      <c r="F1898">
        <v>529.6</v>
      </c>
      <c r="G1898">
        <v>33.4</v>
      </c>
      <c r="H1898">
        <v>97.1</v>
      </c>
      <c r="I1898">
        <v>139.1</v>
      </c>
      <c r="J1898">
        <v>90.3</v>
      </c>
      <c r="K1898">
        <v>63</v>
      </c>
      <c r="L1898" s="2"/>
    </row>
    <row r="1899" spans="1:12" x14ac:dyDescent="0.25">
      <c r="A1899" s="2" t="s">
        <v>30</v>
      </c>
      <c r="B1899" s="2" t="s">
        <v>31</v>
      </c>
      <c r="C1899" s="2" t="s">
        <v>32</v>
      </c>
      <c r="D1899" s="2" t="s">
        <v>92</v>
      </c>
      <c r="E1899">
        <v>4.6429</v>
      </c>
      <c r="F1899">
        <v>529.6</v>
      </c>
      <c r="G1899">
        <v>33.4</v>
      </c>
      <c r="H1899">
        <v>97.1</v>
      </c>
      <c r="I1899">
        <v>139.1</v>
      </c>
      <c r="J1899">
        <v>197.3</v>
      </c>
      <c r="K1899">
        <v>75.900000000000006</v>
      </c>
      <c r="L1899" s="2"/>
    </row>
    <row r="1900" spans="1:12" x14ac:dyDescent="0.25">
      <c r="A1900" s="2" t="s">
        <v>30</v>
      </c>
      <c r="B1900" s="2" t="s">
        <v>31</v>
      </c>
      <c r="C1900" s="2" t="s">
        <v>32</v>
      </c>
      <c r="D1900" s="2" t="s">
        <v>92</v>
      </c>
      <c r="E1900">
        <v>5.5713999999999997</v>
      </c>
      <c r="F1900">
        <v>529.6</v>
      </c>
      <c r="G1900">
        <v>33.4</v>
      </c>
      <c r="H1900">
        <v>97.1</v>
      </c>
      <c r="I1900">
        <v>139.1</v>
      </c>
      <c r="J1900">
        <v>362.5</v>
      </c>
      <c r="K1900">
        <v>97.7</v>
      </c>
      <c r="L1900" s="2"/>
    </row>
    <row r="1901" spans="1:12" x14ac:dyDescent="0.25">
      <c r="A1901" s="2" t="s">
        <v>30</v>
      </c>
      <c r="B1901" s="2" t="s">
        <v>31</v>
      </c>
      <c r="C1901" s="2" t="s">
        <v>32</v>
      </c>
      <c r="D1901" s="2" t="s">
        <v>92</v>
      </c>
      <c r="E1901">
        <v>6.5</v>
      </c>
      <c r="F1901">
        <v>529.6</v>
      </c>
      <c r="G1901">
        <v>33.4</v>
      </c>
      <c r="H1901">
        <v>97.1</v>
      </c>
      <c r="I1901">
        <v>139.1</v>
      </c>
      <c r="J1901">
        <v>531.29999999999995</v>
      </c>
      <c r="K1901">
        <v>119.4</v>
      </c>
      <c r="L1901" s="2"/>
    </row>
    <row r="1902" spans="1:12" x14ac:dyDescent="0.25">
      <c r="A1902" s="2" t="s">
        <v>30</v>
      </c>
      <c r="B1902" s="2" t="s">
        <v>31</v>
      </c>
      <c r="C1902" s="2" t="s">
        <v>32</v>
      </c>
      <c r="D1902" s="2" t="s">
        <v>92</v>
      </c>
      <c r="E1902">
        <v>7.4286000000000003</v>
      </c>
      <c r="F1902">
        <v>529.6</v>
      </c>
      <c r="G1902">
        <v>33.4</v>
      </c>
      <c r="H1902">
        <v>97.1</v>
      </c>
      <c r="I1902">
        <v>139.1</v>
      </c>
      <c r="J1902">
        <v>700</v>
      </c>
      <c r="K1902">
        <v>141.1</v>
      </c>
      <c r="L1902" s="2"/>
    </row>
    <row r="1903" spans="1:12" x14ac:dyDescent="0.25">
      <c r="A1903" s="2" t="s">
        <v>30</v>
      </c>
      <c r="B1903" s="2" t="s">
        <v>31</v>
      </c>
      <c r="C1903" s="2" t="s">
        <v>32</v>
      </c>
      <c r="D1903" s="2" t="s">
        <v>92</v>
      </c>
      <c r="E1903">
        <v>8.3571000000000009</v>
      </c>
      <c r="F1903">
        <v>529.6</v>
      </c>
      <c r="G1903">
        <v>33.4</v>
      </c>
      <c r="H1903">
        <v>97.1</v>
      </c>
      <c r="I1903">
        <v>139.1</v>
      </c>
      <c r="J1903">
        <v>868.6</v>
      </c>
      <c r="K1903">
        <v>162.80000000000001</v>
      </c>
      <c r="L1903" s="2"/>
    </row>
    <row r="1904" spans="1:12" x14ac:dyDescent="0.25">
      <c r="A1904" s="2" t="s">
        <v>30</v>
      </c>
      <c r="B1904" s="2" t="s">
        <v>31</v>
      </c>
      <c r="C1904" s="2" t="s">
        <v>32</v>
      </c>
      <c r="D1904" s="2" t="s">
        <v>92</v>
      </c>
      <c r="E1904">
        <v>9.2857000000000003</v>
      </c>
      <c r="F1904">
        <v>529.6</v>
      </c>
      <c r="G1904">
        <v>33.4</v>
      </c>
      <c r="H1904">
        <v>97.1</v>
      </c>
      <c r="I1904">
        <v>139.1</v>
      </c>
      <c r="J1904">
        <v>1037</v>
      </c>
      <c r="K1904">
        <v>184.5</v>
      </c>
      <c r="L1904" s="2"/>
    </row>
    <row r="1905" spans="1:12" x14ac:dyDescent="0.25">
      <c r="A1905" s="2" t="s">
        <v>30</v>
      </c>
      <c r="B1905" s="2" t="s">
        <v>31</v>
      </c>
      <c r="C1905" s="2" t="s">
        <v>32</v>
      </c>
      <c r="D1905" s="2" t="s">
        <v>92</v>
      </c>
      <c r="E1905">
        <v>10.2143</v>
      </c>
      <c r="F1905">
        <v>529.6</v>
      </c>
      <c r="G1905">
        <v>33.4</v>
      </c>
      <c r="H1905">
        <v>97.1</v>
      </c>
      <c r="I1905">
        <v>139.1</v>
      </c>
      <c r="J1905">
        <v>1205.2</v>
      </c>
      <c r="K1905">
        <v>206.2</v>
      </c>
      <c r="L1905" s="2"/>
    </row>
    <row r="1906" spans="1:12" x14ac:dyDescent="0.25">
      <c r="A1906" s="2" t="s">
        <v>30</v>
      </c>
      <c r="B1906" s="2" t="s">
        <v>31</v>
      </c>
      <c r="C1906" s="2" t="s">
        <v>32</v>
      </c>
      <c r="D1906" s="2" t="s">
        <v>92</v>
      </c>
      <c r="E1906">
        <v>11.142899999999999</v>
      </c>
      <c r="F1906">
        <v>529.6</v>
      </c>
      <c r="G1906">
        <v>33.4</v>
      </c>
      <c r="H1906">
        <v>97.1</v>
      </c>
      <c r="I1906">
        <v>139.1</v>
      </c>
      <c r="J1906">
        <v>1373.1</v>
      </c>
      <c r="K1906">
        <v>227.9</v>
      </c>
      <c r="L1906" s="2"/>
    </row>
    <row r="1907" spans="1:12" x14ac:dyDescent="0.25">
      <c r="A1907" s="2" t="s">
        <v>30</v>
      </c>
      <c r="B1907" s="2" t="s">
        <v>31</v>
      </c>
      <c r="C1907" s="2" t="s">
        <v>32</v>
      </c>
      <c r="D1907" s="2" t="s">
        <v>92</v>
      </c>
      <c r="E1907">
        <v>12.071400000000001</v>
      </c>
      <c r="F1907">
        <v>529.6</v>
      </c>
      <c r="G1907">
        <v>33.4</v>
      </c>
      <c r="H1907">
        <v>97.1</v>
      </c>
      <c r="I1907">
        <v>139.1</v>
      </c>
      <c r="J1907">
        <v>1540.7</v>
      </c>
      <c r="K1907">
        <v>249.6</v>
      </c>
      <c r="L1907" s="2"/>
    </row>
    <row r="1908" spans="1:12" x14ac:dyDescent="0.25">
      <c r="A1908" s="2" t="s">
        <v>30</v>
      </c>
      <c r="B1908" s="2" t="s">
        <v>31</v>
      </c>
      <c r="C1908" s="2" t="s">
        <v>32</v>
      </c>
      <c r="D1908" s="2" t="s">
        <v>92</v>
      </c>
      <c r="E1908">
        <v>13</v>
      </c>
      <c r="F1908">
        <v>529.6</v>
      </c>
      <c r="G1908">
        <v>33.4</v>
      </c>
      <c r="H1908">
        <v>97.1</v>
      </c>
      <c r="I1908">
        <v>139.1</v>
      </c>
      <c r="J1908">
        <v>1708</v>
      </c>
      <c r="K1908">
        <v>271.39999999999998</v>
      </c>
      <c r="L1908" s="2"/>
    </row>
    <row r="1909" spans="1:12" x14ac:dyDescent="0.25">
      <c r="A1909" s="2" t="s">
        <v>30</v>
      </c>
      <c r="B1909" s="2" t="s">
        <v>31</v>
      </c>
      <c r="C1909" s="2" t="s">
        <v>32</v>
      </c>
      <c r="D1909" s="2" t="s">
        <v>92</v>
      </c>
      <c r="E1909">
        <v>0</v>
      </c>
      <c r="F1909">
        <v>-11045.2</v>
      </c>
      <c r="G1909">
        <v>-23.7</v>
      </c>
      <c r="H1909">
        <v>-180.2</v>
      </c>
      <c r="I1909">
        <v>-142.69999999999999</v>
      </c>
      <c r="J1909">
        <v>-651</v>
      </c>
      <c r="K1909">
        <v>-33.700000000000003</v>
      </c>
      <c r="L1909" s="2"/>
    </row>
    <row r="1910" spans="1:12" x14ac:dyDescent="0.25">
      <c r="A1910" s="2" t="s">
        <v>30</v>
      </c>
      <c r="B1910" s="2" t="s">
        <v>31</v>
      </c>
      <c r="C1910" s="2" t="s">
        <v>32</v>
      </c>
      <c r="D1910" s="2" t="s">
        <v>92</v>
      </c>
      <c r="E1910">
        <v>0.92859999999999998</v>
      </c>
      <c r="F1910">
        <v>-11013</v>
      </c>
      <c r="G1910">
        <v>-23.7</v>
      </c>
      <c r="H1910">
        <v>-180.2</v>
      </c>
      <c r="I1910">
        <v>-142.69999999999999</v>
      </c>
      <c r="J1910">
        <v>-482.4</v>
      </c>
      <c r="K1910">
        <v>-13.3</v>
      </c>
      <c r="L1910" s="2"/>
    </row>
    <row r="1911" spans="1:12" x14ac:dyDescent="0.25">
      <c r="A1911" s="2" t="s">
        <v>30</v>
      </c>
      <c r="B1911" s="2" t="s">
        <v>31</v>
      </c>
      <c r="C1911" s="2" t="s">
        <v>32</v>
      </c>
      <c r="D1911" s="2" t="s">
        <v>92</v>
      </c>
      <c r="E1911">
        <v>1.8571</v>
      </c>
      <c r="F1911">
        <v>-10980.9</v>
      </c>
      <c r="G1911">
        <v>-23.7</v>
      </c>
      <c r="H1911">
        <v>-180.2</v>
      </c>
      <c r="I1911">
        <v>-142.69999999999999</v>
      </c>
      <c r="J1911">
        <v>-313.89999999999998</v>
      </c>
      <c r="K1911">
        <v>5.9</v>
      </c>
      <c r="L1911" s="2"/>
    </row>
    <row r="1912" spans="1:12" x14ac:dyDescent="0.25">
      <c r="A1912" s="2" t="s">
        <v>30</v>
      </c>
      <c r="B1912" s="2" t="s">
        <v>31</v>
      </c>
      <c r="C1912" s="2" t="s">
        <v>32</v>
      </c>
      <c r="D1912" s="2" t="s">
        <v>92</v>
      </c>
      <c r="E1912">
        <v>2.7856999999999998</v>
      </c>
      <c r="F1912">
        <v>-10948.7</v>
      </c>
      <c r="G1912">
        <v>-23.7</v>
      </c>
      <c r="H1912">
        <v>-180.2</v>
      </c>
      <c r="I1912">
        <v>-142.69999999999999</v>
      </c>
      <c r="J1912">
        <v>-187.8</v>
      </c>
      <c r="K1912">
        <v>9</v>
      </c>
      <c r="L1912" s="2"/>
    </row>
    <row r="1913" spans="1:12" x14ac:dyDescent="0.25">
      <c r="A1913" s="2" t="s">
        <v>30</v>
      </c>
      <c r="B1913" s="2" t="s">
        <v>31</v>
      </c>
      <c r="C1913" s="2" t="s">
        <v>32</v>
      </c>
      <c r="D1913" s="2" t="s">
        <v>92</v>
      </c>
      <c r="E1913">
        <v>3.7143000000000002</v>
      </c>
      <c r="F1913">
        <v>-10916.5</v>
      </c>
      <c r="G1913">
        <v>-23.7</v>
      </c>
      <c r="H1913">
        <v>-180.2</v>
      </c>
      <c r="I1913">
        <v>-142.69999999999999</v>
      </c>
      <c r="J1913">
        <v>-120.9</v>
      </c>
      <c r="K1913">
        <v>3.3</v>
      </c>
      <c r="L1913" s="2"/>
    </row>
    <row r="1914" spans="1:12" x14ac:dyDescent="0.25">
      <c r="A1914" s="2" t="s">
        <v>30</v>
      </c>
      <c r="B1914" s="2" t="s">
        <v>31</v>
      </c>
      <c r="C1914" s="2" t="s">
        <v>32</v>
      </c>
      <c r="D1914" s="2" t="s">
        <v>92</v>
      </c>
      <c r="E1914">
        <v>4.6429</v>
      </c>
      <c r="F1914">
        <v>-10884.4</v>
      </c>
      <c r="G1914">
        <v>-23.7</v>
      </c>
      <c r="H1914">
        <v>-180.2</v>
      </c>
      <c r="I1914">
        <v>-142.69999999999999</v>
      </c>
      <c r="J1914">
        <v>-101.6</v>
      </c>
      <c r="K1914">
        <v>-20.7</v>
      </c>
      <c r="L1914" s="2"/>
    </row>
    <row r="1915" spans="1:12" x14ac:dyDescent="0.25">
      <c r="A1915" s="2" t="s">
        <v>30</v>
      </c>
      <c r="B1915" s="2" t="s">
        <v>31</v>
      </c>
      <c r="C1915" s="2" t="s">
        <v>32</v>
      </c>
      <c r="D1915" s="2" t="s">
        <v>92</v>
      </c>
      <c r="E1915">
        <v>5.5713999999999997</v>
      </c>
      <c r="F1915">
        <v>-10852.2</v>
      </c>
      <c r="G1915">
        <v>-23.7</v>
      </c>
      <c r="H1915">
        <v>-180.2</v>
      </c>
      <c r="I1915">
        <v>-142.69999999999999</v>
      </c>
      <c r="J1915">
        <v>-191.1</v>
      </c>
      <c r="K1915">
        <v>-52.8</v>
      </c>
      <c r="L1915" s="2"/>
    </row>
    <row r="1916" spans="1:12" x14ac:dyDescent="0.25">
      <c r="A1916" s="2" t="s">
        <v>30</v>
      </c>
      <c r="B1916" s="2" t="s">
        <v>31</v>
      </c>
      <c r="C1916" s="2" t="s">
        <v>32</v>
      </c>
      <c r="D1916" s="2" t="s">
        <v>92</v>
      </c>
      <c r="E1916">
        <v>6.5</v>
      </c>
      <c r="F1916">
        <v>-10820.1</v>
      </c>
      <c r="G1916">
        <v>-23.7</v>
      </c>
      <c r="H1916">
        <v>-180.2</v>
      </c>
      <c r="I1916">
        <v>-142.69999999999999</v>
      </c>
      <c r="J1916">
        <v>-280.60000000000002</v>
      </c>
      <c r="K1916">
        <v>-84.8</v>
      </c>
      <c r="L1916" s="2"/>
    </row>
    <row r="1917" spans="1:12" x14ac:dyDescent="0.25">
      <c r="A1917" s="2" t="s">
        <v>30</v>
      </c>
      <c r="B1917" s="2" t="s">
        <v>31</v>
      </c>
      <c r="C1917" s="2" t="s">
        <v>32</v>
      </c>
      <c r="D1917" s="2" t="s">
        <v>92</v>
      </c>
      <c r="E1917">
        <v>7.4286000000000003</v>
      </c>
      <c r="F1917">
        <v>-10787.9</v>
      </c>
      <c r="G1917">
        <v>-23.7</v>
      </c>
      <c r="H1917">
        <v>-180.2</v>
      </c>
      <c r="I1917">
        <v>-142.69999999999999</v>
      </c>
      <c r="J1917">
        <v>-370.1</v>
      </c>
      <c r="K1917">
        <v>-116.7</v>
      </c>
      <c r="L1917" s="2"/>
    </row>
    <row r="1918" spans="1:12" x14ac:dyDescent="0.25">
      <c r="A1918" s="2" t="s">
        <v>30</v>
      </c>
      <c r="B1918" s="2" t="s">
        <v>31</v>
      </c>
      <c r="C1918" s="2" t="s">
        <v>32</v>
      </c>
      <c r="D1918" s="2" t="s">
        <v>92</v>
      </c>
      <c r="E1918">
        <v>8.3571000000000009</v>
      </c>
      <c r="F1918">
        <v>-10755.7</v>
      </c>
      <c r="G1918">
        <v>-23.7</v>
      </c>
      <c r="H1918">
        <v>-180.2</v>
      </c>
      <c r="I1918">
        <v>-142.69999999999999</v>
      </c>
      <c r="J1918">
        <v>-459.6</v>
      </c>
      <c r="K1918">
        <v>-148.4</v>
      </c>
      <c r="L1918" s="2"/>
    </row>
    <row r="1919" spans="1:12" x14ac:dyDescent="0.25">
      <c r="A1919" s="2" t="s">
        <v>30</v>
      </c>
      <c r="B1919" s="2" t="s">
        <v>31</v>
      </c>
      <c r="C1919" s="2" t="s">
        <v>32</v>
      </c>
      <c r="D1919" s="2" t="s">
        <v>92</v>
      </c>
      <c r="E1919">
        <v>9.2857000000000003</v>
      </c>
      <c r="F1919">
        <v>-10723.6</v>
      </c>
      <c r="G1919">
        <v>-23.7</v>
      </c>
      <c r="H1919">
        <v>-180.2</v>
      </c>
      <c r="I1919">
        <v>-142.69999999999999</v>
      </c>
      <c r="J1919">
        <v>-549.1</v>
      </c>
      <c r="K1919">
        <v>-180</v>
      </c>
      <c r="L1919" s="2"/>
    </row>
    <row r="1920" spans="1:12" x14ac:dyDescent="0.25">
      <c r="A1920" s="2" t="s">
        <v>30</v>
      </c>
      <c r="B1920" s="2" t="s">
        <v>31</v>
      </c>
      <c r="C1920" s="2" t="s">
        <v>32</v>
      </c>
      <c r="D1920" s="2" t="s">
        <v>92</v>
      </c>
      <c r="E1920">
        <v>10.2143</v>
      </c>
      <c r="F1920">
        <v>-10691.4</v>
      </c>
      <c r="G1920">
        <v>-23.7</v>
      </c>
      <c r="H1920">
        <v>-180.2</v>
      </c>
      <c r="I1920">
        <v>-142.69999999999999</v>
      </c>
      <c r="J1920">
        <v>-638.6</v>
      </c>
      <c r="K1920">
        <v>-211.3</v>
      </c>
      <c r="L1920" s="2"/>
    </row>
    <row r="1921" spans="1:12" x14ac:dyDescent="0.25">
      <c r="A1921" s="2" t="s">
        <v>30</v>
      </c>
      <c r="B1921" s="2" t="s">
        <v>31</v>
      </c>
      <c r="C1921" s="2" t="s">
        <v>32</v>
      </c>
      <c r="D1921" s="2" t="s">
        <v>92</v>
      </c>
      <c r="E1921">
        <v>11.142899999999999</v>
      </c>
      <c r="F1921">
        <v>-10659.2</v>
      </c>
      <c r="G1921">
        <v>-23.7</v>
      </c>
      <c r="H1921">
        <v>-180.2</v>
      </c>
      <c r="I1921">
        <v>-142.69999999999999</v>
      </c>
      <c r="J1921">
        <v>-728.2</v>
      </c>
      <c r="K1921">
        <v>-242.3</v>
      </c>
      <c r="L1921" s="2"/>
    </row>
    <row r="1922" spans="1:12" x14ac:dyDescent="0.25">
      <c r="A1922" s="2" t="s">
        <v>30</v>
      </c>
      <c r="B1922" s="2" t="s">
        <v>31</v>
      </c>
      <c r="C1922" s="2" t="s">
        <v>32</v>
      </c>
      <c r="D1922" s="2" t="s">
        <v>92</v>
      </c>
      <c r="E1922">
        <v>12.071400000000001</v>
      </c>
      <c r="F1922">
        <v>-10627.1</v>
      </c>
      <c r="G1922">
        <v>-23.7</v>
      </c>
      <c r="H1922">
        <v>-180.2</v>
      </c>
      <c r="I1922">
        <v>-142.69999999999999</v>
      </c>
      <c r="J1922">
        <v>-817.7</v>
      </c>
      <c r="K1922">
        <v>-273</v>
      </c>
      <c r="L1922" s="2"/>
    </row>
    <row r="1923" spans="1:12" x14ac:dyDescent="0.25">
      <c r="A1923" s="2" t="s">
        <v>30</v>
      </c>
      <c r="B1923" s="2" t="s">
        <v>31</v>
      </c>
      <c r="C1923" s="2" t="s">
        <v>32</v>
      </c>
      <c r="D1923" s="2" t="s">
        <v>92</v>
      </c>
      <c r="E1923">
        <v>13</v>
      </c>
      <c r="F1923">
        <v>-10594.9</v>
      </c>
      <c r="G1923">
        <v>-23.7</v>
      </c>
      <c r="H1923">
        <v>-180.2</v>
      </c>
      <c r="I1923">
        <v>-142.69999999999999</v>
      </c>
      <c r="J1923">
        <v>-907.3</v>
      </c>
      <c r="K1923">
        <v>-303.3</v>
      </c>
      <c r="L1923" s="2"/>
    </row>
    <row r="1924" spans="1:12" x14ac:dyDescent="0.25">
      <c r="A1924" s="2" t="s">
        <v>30</v>
      </c>
      <c r="B1924" s="2" t="s">
        <v>31</v>
      </c>
      <c r="C1924" s="2" t="s">
        <v>32</v>
      </c>
      <c r="D1924" s="2" t="s">
        <v>93</v>
      </c>
      <c r="E1924">
        <v>0</v>
      </c>
      <c r="F1924">
        <v>-1510.8</v>
      </c>
      <c r="G1924">
        <v>56</v>
      </c>
      <c r="H1924">
        <v>151.30000000000001</v>
      </c>
      <c r="I1924">
        <v>155.5</v>
      </c>
      <c r="J1924">
        <v>532.6</v>
      </c>
      <c r="K1924">
        <v>213.2</v>
      </c>
      <c r="L1924" s="2"/>
    </row>
    <row r="1925" spans="1:12" x14ac:dyDescent="0.25">
      <c r="A1925" s="2" t="s">
        <v>30</v>
      </c>
      <c r="B1925" s="2" t="s">
        <v>31</v>
      </c>
      <c r="C1925" s="2" t="s">
        <v>32</v>
      </c>
      <c r="D1925" s="2" t="s">
        <v>93</v>
      </c>
      <c r="E1925">
        <v>0.92859999999999998</v>
      </c>
      <c r="F1925">
        <v>-1510.8</v>
      </c>
      <c r="G1925">
        <v>56</v>
      </c>
      <c r="H1925">
        <v>151.30000000000001</v>
      </c>
      <c r="I1925">
        <v>155.5</v>
      </c>
      <c r="J1925">
        <v>392.8</v>
      </c>
      <c r="K1925">
        <v>160.69999999999999</v>
      </c>
      <c r="L1925" s="2"/>
    </row>
    <row r="1926" spans="1:12" x14ac:dyDescent="0.25">
      <c r="A1926" s="2" t="s">
        <v>30</v>
      </c>
      <c r="B1926" s="2" t="s">
        <v>31</v>
      </c>
      <c r="C1926" s="2" t="s">
        <v>32</v>
      </c>
      <c r="D1926" s="2" t="s">
        <v>93</v>
      </c>
      <c r="E1926">
        <v>1.8571</v>
      </c>
      <c r="F1926">
        <v>-1510.8</v>
      </c>
      <c r="G1926">
        <v>56</v>
      </c>
      <c r="H1926">
        <v>151.30000000000001</v>
      </c>
      <c r="I1926">
        <v>155.5</v>
      </c>
      <c r="J1926">
        <v>253</v>
      </c>
      <c r="K1926">
        <v>108.2</v>
      </c>
      <c r="L1926" s="2"/>
    </row>
    <row r="1927" spans="1:12" x14ac:dyDescent="0.25">
      <c r="A1927" s="2" t="s">
        <v>30</v>
      </c>
      <c r="B1927" s="2" t="s">
        <v>31</v>
      </c>
      <c r="C1927" s="2" t="s">
        <v>32</v>
      </c>
      <c r="D1927" s="2" t="s">
        <v>93</v>
      </c>
      <c r="E1927">
        <v>2.7856999999999998</v>
      </c>
      <c r="F1927">
        <v>-1510.8</v>
      </c>
      <c r="G1927">
        <v>56</v>
      </c>
      <c r="H1927">
        <v>151.30000000000001</v>
      </c>
      <c r="I1927">
        <v>155.5</v>
      </c>
      <c r="J1927">
        <v>155.6</v>
      </c>
      <c r="K1927">
        <v>72.099999999999994</v>
      </c>
      <c r="L1927" s="2"/>
    </row>
    <row r="1928" spans="1:12" x14ac:dyDescent="0.25">
      <c r="A1928" s="2" t="s">
        <v>30</v>
      </c>
      <c r="B1928" s="2" t="s">
        <v>31</v>
      </c>
      <c r="C1928" s="2" t="s">
        <v>32</v>
      </c>
      <c r="D1928" s="2" t="s">
        <v>93</v>
      </c>
      <c r="E1928">
        <v>3.7143000000000002</v>
      </c>
      <c r="F1928">
        <v>-1510.8</v>
      </c>
      <c r="G1928">
        <v>56</v>
      </c>
      <c r="H1928">
        <v>151.30000000000001</v>
      </c>
      <c r="I1928">
        <v>155.5</v>
      </c>
      <c r="J1928">
        <v>116.6</v>
      </c>
      <c r="K1928">
        <v>63</v>
      </c>
      <c r="L1928" s="2"/>
    </row>
    <row r="1929" spans="1:12" x14ac:dyDescent="0.25">
      <c r="A1929" s="2" t="s">
        <v>30</v>
      </c>
      <c r="B1929" s="2" t="s">
        <v>31</v>
      </c>
      <c r="C1929" s="2" t="s">
        <v>32</v>
      </c>
      <c r="D1929" s="2" t="s">
        <v>93</v>
      </c>
      <c r="E1929">
        <v>4.6429</v>
      </c>
      <c r="F1929">
        <v>-1510.8</v>
      </c>
      <c r="G1929">
        <v>56</v>
      </c>
      <c r="H1929">
        <v>151.30000000000001</v>
      </c>
      <c r="I1929">
        <v>155.5</v>
      </c>
      <c r="J1929">
        <v>127</v>
      </c>
      <c r="K1929">
        <v>75.900000000000006</v>
      </c>
      <c r="L1929" s="2"/>
    </row>
    <row r="1930" spans="1:12" x14ac:dyDescent="0.25">
      <c r="A1930" s="2" t="s">
        <v>30</v>
      </c>
      <c r="B1930" s="2" t="s">
        <v>31</v>
      </c>
      <c r="C1930" s="2" t="s">
        <v>32</v>
      </c>
      <c r="D1930" s="2" t="s">
        <v>93</v>
      </c>
      <c r="E1930">
        <v>5.5713999999999997</v>
      </c>
      <c r="F1930">
        <v>-1510.8</v>
      </c>
      <c r="G1930">
        <v>56</v>
      </c>
      <c r="H1930">
        <v>151.30000000000001</v>
      </c>
      <c r="I1930">
        <v>155.5</v>
      </c>
      <c r="J1930">
        <v>143.1</v>
      </c>
      <c r="K1930">
        <v>97.7</v>
      </c>
      <c r="L1930" s="2"/>
    </row>
    <row r="1931" spans="1:12" x14ac:dyDescent="0.25">
      <c r="A1931" s="2" t="s">
        <v>30</v>
      </c>
      <c r="B1931" s="2" t="s">
        <v>31</v>
      </c>
      <c r="C1931" s="2" t="s">
        <v>32</v>
      </c>
      <c r="D1931" s="2" t="s">
        <v>93</v>
      </c>
      <c r="E1931">
        <v>6.5</v>
      </c>
      <c r="F1931">
        <v>-1510.8</v>
      </c>
      <c r="G1931">
        <v>56</v>
      </c>
      <c r="H1931">
        <v>151.30000000000001</v>
      </c>
      <c r="I1931">
        <v>155.5</v>
      </c>
      <c r="J1931">
        <v>174.7</v>
      </c>
      <c r="K1931">
        <v>119.4</v>
      </c>
      <c r="L1931" s="2"/>
    </row>
    <row r="1932" spans="1:12" x14ac:dyDescent="0.25">
      <c r="A1932" s="2" t="s">
        <v>30</v>
      </c>
      <c r="B1932" s="2" t="s">
        <v>31</v>
      </c>
      <c r="C1932" s="2" t="s">
        <v>32</v>
      </c>
      <c r="D1932" s="2" t="s">
        <v>93</v>
      </c>
      <c r="E1932">
        <v>7.4286000000000003</v>
      </c>
      <c r="F1932">
        <v>-1510.8</v>
      </c>
      <c r="G1932">
        <v>56</v>
      </c>
      <c r="H1932">
        <v>151.30000000000001</v>
      </c>
      <c r="I1932">
        <v>155.5</v>
      </c>
      <c r="J1932">
        <v>206.1</v>
      </c>
      <c r="K1932">
        <v>141.1</v>
      </c>
      <c r="L1932" s="2"/>
    </row>
    <row r="1933" spans="1:12" x14ac:dyDescent="0.25">
      <c r="A1933" s="2" t="s">
        <v>30</v>
      </c>
      <c r="B1933" s="2" t="s">
        <v>31</v>
      </c>
      <c r="C1933" s="2" t="s">
        <v>32</v>
      </c>
      <c r="D1933" s="2" t="s">
        <v>93</v>
      </c>
      <c r="E1933">
        <v>8.3571000000000009</v>
      </c>
      <c r="F1933">
        <v>-1510.8</v>
      </c>
      <c r="G1933">
        <v>56</v>
      </c>
      <c r="H1933">
        <v>151.30000000000001</v>
      </c>
      <c r="I1933">
        <v>155.5</v>
      </c>
      <c r="J1933">
        <v>237.5</v>
      </c>
      <c r="K1933">
        <v>162.80000000000001</v>
      </c>
      <c r="L1933" s="2"/>
    </row>
    <row r="1934" spans="1:12" x14ac:dyDescent="0.25">
      <c r="A1934" s="2" t="s">
        <v>30</v>
      </c>
      <c r="B1934" s="2" t="s">
        <v>31</v>
      </c>
      <c r="C1934" s="2" t="s">
        <v>32</v>
      </c>
      <c r="D1934" s="2" t="s">
        <v>93</v>
      </c>
      <c r="E1934">
        <v>9.2857000000000003</v>
      </c>
      <c r="F1934">
        <v>-1510.8</v>
      </c>
      <c r="G1934">
        <v>56</v>
      </c>
      <c r="H1934">
        <v>151.30000000000001</v>
      </c>
      <c r="I1934">
        <v>155.5</v>
      </c>
      <c r="J1934">
        <v>268.60000000000002</v>
      </c>
      <c r="K1934">
        <v>184.5</v>
      </c>
      <c r="L1934" s="2"/>
    </row>
    <row r="1935" spans="1:12" x14ac:dyDescent="0.25">
      <c r="A1935" s="2" t="s">
        <v>30</v>
      </c>
      <c r="B1935" s="2" t="s">
        <v>31</v>
      </c>
      <c r="C1935" s="2" t="s">
        <v>32</v>
      </c>
      <c r="D1935" s="2" t="s">
        <v>93</v>
      </c>
      <c r="E1935">
        <v>10.2143</v>
      </c>
      <c r="F1935">
        <v>-1510.8</v>
      </c>
      <c r="G1935">
        <v>56</v>
      </c>
      <c r="H1935">
        <v>151.30000000000001</v>
      </c>
      <c r="I1935">
        <v>155.5</v>
      </c>
      <c r="J1935">
        <v>299.60000000000002</v>
      </c>
      <c r="K1935">
        <v>206.2</v>
      </c>
      <c r="L1935" s="2"/>
    </row>
    <row r="1936" spans="1:12" x14ac:dyDescent="0.25">
      <c r="A1936" s="2" t="s">
        <v>30</v>
      </c>
      <c r="B1936" s="2" t="s">
        <v>31</v>
      </c>
      <c r="C1936" s="2" t="s">
        <v>32</v>
      </c>
      <c r="D1936" s="2" t="s">
        <v>93</v>
      </c>
      <c r="E1936">
        <v>11.142899999999999</v>
      </c>
      <c r="F1936">
        <v>-1510.8</v>
      </c>
      <c r="G1936">
        <v>56</v>
      </c>
      <c r="H1936">
        <v>151.30000000000001</v>
      </c>
      <c r="I1936">
        <v>155.5</v>
      </c>
      <c r="J1936">
        <v>330.3</v>
      </c>
      <c r="K1936">
        <v>227.9</v>
      </c>
      <c r="L1936" s="2"/>
    </row>
    <row r="1937" spans="1:12" x14ac:dyDescent="0.25">
      <c r="A1937" s="2" t="s">
        <v>30</v>
      </c>
      <c r="B1937" s="2" t="s">
        <v>31</v>
      </c>
      <c r="C1937" s="2" t="s">
        <v>32</v>
      </c>
      <c r="D1937" s="2" t="s">
        <v>93</v>
      </c>
      <c r="E1937">
        <v>12.071400000000001</v>
      </c>
      <c r="F1937">
        <v>-1510.8</v>
      </c>
      <c r="G1937">
        <v>56</v>
      </c>
      <c r="H1937">
        <v>151.30000000000001</v>
      </c>
      <c r="I1937">
        <v>155.5</v>
      </c>
      <c r="J1937">
        <v>368.5</v>
      </c>
      <c r="K1937">
        <v>249.6</v>
      </c>
      <c r="L1937" s="2"/>
    </row>
    <row r="1938" spans="1:12" x14ac:dyDescent="0.25">
      <c r="A1938" s="2" t="s">
        <v>30</v>
      </c>
      <c r="B1938" s="2" t="s">
        <v>31</v>
      </c>
      <c r="C1938" s="2" t="s">
        <v>32</v>
      </c>
      <c r="D1938" s="2" t="s">
        <v>93</v>
      </c>
      <c r="E1938">
        <v>13</v>
      </c>
      <c r="F1938">
        <v>-1510.8</v>
      </c>
      <c r="G1938">
        <v>56</v>
      </c>
      <c r="H1938">
        <v>151.30000000000001</v>
      </c>
      <c r="I1938">
        <v>155.5</v>
      </c>
      <c r="J1938">
        <v>406.5</v>
      </c>
      <c r="K1938">
        <v>271.39999999999998</v>
      </c>
      <c r="L1938" s="2"/>
    </row>
    <row r="1939" spans="1:12" x14ac:dyDescent="0.25">
      <c r="A1939" s="2" t="s">
        <v>30</v>
      </c>
      <c r="B1939" s="2" t="s">
        <v>31</v>
      </c>
      <c r="C1939" s="2" t="s">
        <v>32</v>
      </c>
      <c r="D1939" s="2" t="s">
        <v>93</v>
      </c>
      <c r="E1939">
        <v>0</v>
      </c>
      <c r="F1939">
        <v>-14326</v>
      </c>
      <c r="G1939">
        <v>-23.7</v>
      </c>
      <c r="H1939">
        <v>-41</v>
      </c>
      <c r="I1939">
        <v>-119.9</v>
      </c>
      <c r="J1939">
        <v>-142.6</v>
      </c>
      <c r="K1939">
        <v>-33.700000000000003</v>
      </c>
      <c r="L1939" s="2"/>
    </row>
    <row r="1940" spans="1:12" x14ac:dyDescent="0.25">
      <c r="A1940" s="2" t="s">
        <v>30</v>
      </c>
      <c r="B1940" s="2" t="s">
        <v>31</v>
      </c>
      <c r="C1940" s="2" t="s">
        <v>32</v>
      </c>
      <c r="D1940" s="2" t="s">
        <v>93</v>
      </c>
      <c r="E1940">
        <v>0.92859999999999998</v>
      </c>
      <c r="F1940">
        <v>-14293.9</v>
      </c>
      <c r="G1940">
        <v>-23.7</v>
      </c>
      <c r="H1940">
        <v>-41</v>
      </c>
      <c r="I1940">
        <v>-119.9</v>
      </c>
      <c r="J1940">
        <v>-103.3</v>
      </c>
      <c r="K1940">
        <v>-11.6</v>
      </c>
      <c r="L1940" s="2"/>
    </row>
    <row r="1941" spans="1:12" x14ac:dyDescent="0.25">
      <c r="A1941" s="2" t="s">
        <v>30</v>
      </c>
      <c r="B1941" s="2" t="s">
        <v>31</v>
      </c>
      <c r="C1941" s="2" t="s">
        <v>32</v>
      </c>
      <c r="D1941" s="2" t="s">
        <v>93</v>
      </c>
      <c r="E1941">
        <v>1.8571</v>
      </c>
      <c r="F1941">
        <v>-14261.7</v>
      </c>
      <c r="G1941">
        <v>-23.7</v>
      </c>
      <c r="H1941">
        <v>-41</v>
      </c>
      <c r="I1941">
        <v>-119.9</v>
      </c>
      <c r="J1941">
        <v>-64.099999999999994</v>
      </c>
      <c r="K1941">
        <v>10.3</v>
      </c>
      <c r="L1941" s="2"/>
    </row>
    <row r="1942" spans="1:12" x14ac:dyDescent="0.25">
      <c r="A1942" s="2" t="s">
        <v>30</v>
      </c>
      <c r="B1942" s="2" t="s">
        <v>31</v>
      </c>
      <c r="C1942" s="2" t="s">
        <v>32</v>
      </c>
      <c r="D1942" s="2" t="s">
        <v>93</v>
      </c>
      <c r="E1942">
        <v>2.7856999999999998</v>
      </c>
      <c r="F1942">
        <v>-14229.5</v>
      </c>
      <c r="G1942">
        <v>-23.7</v>
      </c>
      <c r="H1942">
        <v>-41</v>
      </c>
      <c r="I1942">
        <v>-119.9</v>
      </c>
      <c r="J1942">
        <v>-27.7</v>
      </c>
      <c r="K1942">
        <v>15.6</v>
      </c>
      <c r="L1942" s="2"/>
    </row>
    <row r="1943" spans="1:12" x14ac:dyDescent="0.25">
      <c r="A1943" s="2" t="s">
        <v>30</v>
      </c>
      <c r="B1943" s="2" t="s">
        <v>31</v>
      </c>
      <c r="C1943" s="2" t="s">
        <v>32</v>
      </c>
      <c r="D1943" s="2" t="s">
        <v>93</v>
      </c>
      <c r="E1943">
        <v>3.7143000000000002</v>
      </c>
      <c r="F1943">
        <v>-14197.4</v>
      </c>
      <c r="G1943">
        <v>-23.7</v>
      </c>
      <c r="H1943">
        <v>-41</v>
      </c>
      <c r="I1943">
        <v>-119.9</v>
      </c>
      <c r="J1943">
        <v>-51.4</v>
      </c>
      <c r="K1943">
        <v>-6.7</v>
      </c>
      <c r="L1943" s="2"/>
    </row>
    <row r="1944" spans="1:12" x14ac:dyDescent="0.25">
      <c r="A1944" s="2" t="s">
        <v>30</v>
      </c>
      <c r="B1944" s="2" t="s">
        <v>31</v>
      </c>
      <c r="C1944" s="2" t="s">
        <v>32</v>
      </c>
      <c r="D1944" s="2" t="s">
        <v>93</v>
      </c>
      <c r="E1944">
        <v>4.6429</v>
      </c>
      <c r="F1944">
        <v>-14165.2</v>
      </c>
      <c r="G1944">
        <v>-23.7</v>
      </c>
      <c r="H1944">
        <v>-41</v>
      </c>
      <c r="I1944">
        <v>-119.9</v>
      </c>
      <c r="J1944">
        <v>-166.4</v>
      </c>
      <c r="K1944">
        <v>-50.9</v>
      </c>
      <c r="L1944" s="2"/>
    </row>
    <row r="1945" spans="1:12" x14ac:dyDescent="0.25">
      <c r="A1945" s="2" t="s">
        <v>30</v>
      </c>
      <c r="B1945" s="2" t="s">
        <v>31</v>
      </c>
      <c r="C1945" s="2" t="s">
        <v>32</v>
      </c>
      <c r="D1945" s="2" t="s">
        <v>93</v>
      </c>
      <c r="E1945">
        <v>5.5713999999999997</v>
      </c>
      <c r="F1945">
        <v>-14133.1</v>
      </c>
      <c r="G1945">
        <v>-23.7</v>
      </c>
      <c r="H1945">
        <v>-41</v>
      </c>
      <c r="I1945">
        <v>-119.9</v>
      </c>
      <c r="J1945">
        <v>-306.2</v>
      </c>
      <c r="K1945">
        <v>-104</v>
      </c>
      <c r="L1945" s="2"/>
    </row>
    <row r="1946" spans="1:12" x14ac:dyDescent="0.25">
      <c r="A1946" s="2" t="s">
        <v>30</v>
      </c>
      <c r="B1946" s="2" t="s">
        <v>31</v>
      </c>
      <c r="C1946" s="2" t="s">
        <v>32</v>
      </c>
      <c r="D1946" s="2" t="s">
        <v>93</v>
      </c>
      <c r="E1946">
        <v>6.5</v>
      </c>
      <c r="F1946">
        <v>-14100.9</v>
      </c>
      <c r="G1946">
        <v>-23.7</v>
      </c>
      <c r="H1946">
        <v>-41</v>
      </c>
      <c r="I1946">
        <v>-119.9</v>
      </c>
      <c r="J1946">
        <v>-446</v>
      </c>
      <c r="K1946">
        <v>-157</v>
      </c>
      <c r="L1946" s="2"/>
    </row>
    <row r="1947" spans="1:12" x14ac:dyDescent="0.25">
      <c r="A1947" s="2" t="s">
        <v>30</v>
      </c>
      <c r="B1947" s="2" t="s">
        <v>31</v>
      </c>
      <c r="C1947" s="2" t="s">
        <v>32</v>
      </c>
      <c r="D1947" s="2" t="s">
        <v>93</v>
      </c>
      <c r="E1947">
        <v>7.4286000000000003</v>
      </c>
      <c r="F1947">
        <v>-14068.7</v>
      </c>
      <c r="G1947">
        <v>-23.7</v>
      </c>
      <c r="H1947">
        <v>-41</v>
      </c>
      <c r="I1947">
        <v>-119.9</v>
      </c>
      <c r="J1947">
        <v>-585.9</v>
      </c>
      <c r="K1947">
        <v>-209.9</v>
      </c>
      <c r="L1947" s="2"/>
    </row>
    <row r="1948" spans="1:12" x14ac:dyDescent="0.25">
      <c r="A1948" s="2" t="s">
        <v>30</v>
      </c>
      <c r="B1948" s="2" t="s">
        <v>31</v>
      </c>
      <c r="C1948" s="2" t="s">
        <v>32</v>
      </c>
      <c r="D1948" s="2" t="s">
        <v>93</v>
      </c>
      <c r="E1948">
        <v>8.3571000000000009</v>
      </c>
      <c r="F1948">
        <v>-14036.6</v>
      </c>
      <c r="G1948">
        <v>-23.7</v>
      </c>
      <c r="H1948">
        <v>-41</v>
      </c>
      <c r="I1948">
        <v>-119.9</v>
      </c>
      <c r="J1948">
        <v>-725.7</v>
      </c>
      <c r="K1948">
        <v>-262.7</v>
      </c>
      <c r="L1948" s="2"/>
    </row>
    <row r="1949" spans="1:12" x14ac:dyDescent="0.25">
      <c r="A1949" s="2" t="s">
        <v>30</v>
      </c>
      <c r="B1949" s="2" t="s">
        <v>31</v>
      </c>
      <c r="C1949" s="2" t="s">
        <v>32</v>
      </c>
      <c r="D1949" s="2" t="s">
        <v>93</v>
      </c>
      <c r="E1949">
        <v>9.2857000000000003</v>
      </c>
      <c r="F1949">
        <v>-14004.4</v>
      </c>
      <c r="G1949">
        <v>-23.7</v>
      </c>
      <c r="H1949">
        <v>-41</v>
      </c>
      <c r="I1949">
        <v>-119.9</v>
      </c>
      <c r="J1949">
        <v>-865.6</v>
      </c>
      <c r="K1949">
        <v>-315.3</v>
      </c>
      <c r="L1949" s="2"/>
    </row>
    <row r="1950" spans="1:12" x14ac:dyDescent="0.25">
      <c r="A1950" s="2" t="s">
        <v>30</v>
      </c>
      <c r="B1950" s="2" t="s">
        <v>31</v>
      </c>
      <c r="C1950" s="2" t="s">
        <v>32</v>
      </c>
      <c r="D1950" s="2" t="s">
        <v>93</v>
      </c>
      <c r="E1950">
        <v>10.2143</v>
      </c>
      <c r="F1950">
        <v>-13972.3</v>
      </c>
      <c r="G1950">
        <v>-23.7</v>
      </c>
      <c r="H1950">
        <v>-41</v>
      </c>
      <c r="I1950">
        <v>-119.9</v>
      </c>
      <c r="J1950">
        <v>-1005.4</v>
      </c>
      <c r="K1950">
        <v>-367.6</v>
      </c>
      <c r="L1950" s="2"/>
    </row>
    <row r="1951" spans="1:12" x14ac:dyDescent="0.25">
      <c r="A1951" s="2" t="s">
        <v>30</v>
      </c>
      <c r="B1951" s="2" t="s">
        <v>31</v>
      </c>
      <c r="C1951" s="2" t="s">
        <v>32</v>
      </c>
      <c r="D1951" s="2" t="s">
        <v>93</v>
      </c>
      <c r="E1951">
        <v>11.142899999999999</v>
      </c>
      <c r="F1951">
        <v>-13940.1</v>
      </c>
      <c r="G1951">
        <v>-23.7</v>
      </c>
      <c r="H1951">
        <v>-41</v>
      </c>
      <c r="I1951">
        <v>-119.9</v>
      </c>
      <c r="J1951">
        <v>-1145.3</v>
      </c>
      <c r="K1951">
        <v>-419.6</v>
      </c>
      <c r="L1951" s="2"/>
    </row>
    <row r="1952" spans="1:12" x14ac:dyDescent="0.25">
      <c r="A1952" s="2" t="s">
        <v>30</v>
      </c>
      <c r="B1952" s="2" t="s">
        <v>31</v>
      </c>
      <c r="C1952" s="2" t="s">
        <v>32</v>
      </c>
      <c r="D1952" s="2" t="s">
        <v>93</v>
      </c>
      <c r="E1952">
        <v>12.071400000000001</v>
      </c>
      <c r="F1952">
        <v>-13907.9</v>
      </c>
      <c r="G1952">
        <v>-23.7</v>
      </c>
      <c r="H1952">
        <v>-41</v>
      </c>
      <c r="I1952">
        <v>-119.9</v>
      </c>
      <c r="J1952">
        <v>-1285.2</v>
      </c>
      <c r="K1952">
        <v>-471.3</v>
      </c>
      <c r="L1952" s="2"/>
    </row>
    <row r="1953" spans="1:12" x14ac:dyDescent="0.25">
      <c r="A1953" s="2" t="s">
        <v>30</v>
      </c>
      <c r="B1953" s="2" t="s">
        <v>31</v>
      </c>
      <c r="C1953" s="2" t="s">
        <v>32</v>
      </c>
      <c r="D1953" s="2" t="s">
        <v>93</v>
      </c>
      <c r="E1953">
        <v>13</v>
      </c>
      <c r="F1953">
        <v>-13875.8</v>
      </c>
      <c r="G1953">
        <v>-23.7</v>
      </c>
      <c r="H1953">
        <v>-41</v>
      </c>
      <c r="I1953">
        <v>-119.9</v>
      </c>
      <c r="J1953">
        <v>-1425.1</v>
      </c>
      <c r="K1953">
        <v>-522.6</v>
      </c>
      <c r="L1953" s="2"/>
    </row>
    <row r="1954" spans="1:12" x14ac:dyDescent="0.25">
      <c r="A1954" s="2" t="s">
        <v>30</v>
      </c>
      <c r="B1954" s="2" t="s">
        <v>31</v>
      </c>
      <c r="C1954" s="2" t="s">
        <v>32</v>
      </c>
      <c r="D1954" s="2" t="s">
        <v>94</v>
      </c>
      <c r="E1954">
        <v>0</v>
      </c>
      <c r="F1954">
        <v>485.9</v>
      </c>
      <c r="G1954">
        <v>59.1</v>
      </c>
      <c r="H1954">
        <v>18</v>
      </c>
      <c r="I1954">
        <v>141.5</v>
      </c>
      <c r="J1954">
        <v>44.7</v>
      </c>
      <c r="K1954">
        <v>214.2</v>
      </c>
      <c r="L1954" s="2"/>
    </row>
    <row r="1955" spans="1:12" x14ac:dyDescent="0.25">
      <c r="A1955" s="2" t="s">
        <v>30</v>
      </c>
      <c r="B1955" s="2" t="s">
        <v>31</v>
      </c>
      <c r="C1955" s="2" t="s">
        <v>32</v>
      </c>
      <c r="D1955" s="2" t="s">
        <v>94</v>
      </c>
      <c r="E1955">
        <v>0.92859999999999998</v>
      </c>
      <c r="F1955">
        <v>485.9</v>
      </c>
      <c r="G1955">
        <v>59.1</v>
      </c>
      <c r="H1955">
        <v>18</v>
      </c>
      <c r="I1955">
        <v>141.5</v>
      </c>
      <c r="J1955">
        <v>28.6</v>
      </c>
      <c r="K1955">
        <v>158.9</v>
      </c>
      <c r="L1955" s="2"/>
    </row>
    <row r="1956" spans="1:12" x14ac:dyDescent="0.25">
      <c r="A1956" s="2" t="s">
        <v>30</v>
      </c>
      <c r="B1956" s="2" t="s">
        <v>31</v>
      </c>
      <c r="C1956" s="2" t="s">
        <v>32</v>
      </c>
      <c r="D1956" s="2" t="s">
        <v>94</v>
      </c>
      <c r="E1956">
        <v>1.8571</v>
      </c>
      <c r="F1956">
        <v>485.9</v>
      </c>
      <c r="G1956">
        <v>59.1</v>
      </c>
      <c r="H1956">
        <v>18</v>
      </c>
      <c r="I1956">
        <v>141.5</v>
      </c>
      <c r="J1956">
        <v>12.6</v>
      </c>
      <c r="K1956">
        <v>103.6</v>
      </c>
      <c r="L1956" s="2"/>
    </row>
    <row r="1957" spans="1:12" x14ac:dyDescent="0.25">
      <c r="A1957" s="2" t="s">
        <v>30</v>
      </c>
      <c r="B1957" s="2" t="s">
        <v>31</v>
      </c>
      <c r="C1957" s="2" t="s">
        <v>32</v>
      </c>
      <c r="D1957" s="2" t="s">
        <v>94</v>
      </c>
      <c r="E1957">
        <v>2.7856999999999998</v>
      </c>
      <c r="F1957">
        <v>485.9</v>
      </c>
      <c r="G1957">
        <v>59.1</v>
      </c>
      <c r="H1957">
        <v>18</v>
      </c>
      <c r="I1957">
        <v>141.5</v>
      </c>
      <c r="J1957">
        <v>-0.5</v>
      </c>
      <c r="K1957">
        <v>64.900000000000006</v>
      </c>
      <c r="L1957" s="2"/>
    </row>
    <row r="1958" spans="1:12" x14ac:dyDescent="0.25">
      <c r="A1958" s="2" t="s">
        <v>30</v>
      </c>
      <c r="B1958" s="2" t="s">
        <v>31</v>
      </c>
      <c r="C1958" s="2" t="s">
        <v>32</v>
      </c>
      <c r="D1958" s="2" t="s">
        <v>94</v>
      </c>
      <c r="E1958">
        <v>3.7143000000000002</v>
      </c>
      <c r="F1958">
        <v>485.9</v>
      </c>
      <c r="G1958">
        <v>59.1</v>
      </c>
      <c r="H1958">
        <v>18</v>
      </c>
      <c r="I1958">
        <v>141.5</v>
      </c>
      <c r="J1958">
        <v>47</v>
      </c>
      <c r="K1958">
        <v>53.6</v>
      </c>
      <c r="L1958" s="2"/>
    </row>
    <row r="1959" spans="1:12" x14ac:dyDescent="0.25">
      <c r="A1959" s="2" t="s">
        <v>30</v>
      </c>
      <c r="B1959" s="2" t="s">
        <v>31</v>
      </c>
      <c r="C1959" s="2" t="s">
        <v>32</v>
      </c>
      <c r="D1959" s="2" t="s">
        <v>94</v>
      </c>
      <c r="E1959">
        <v>4.6429</v>
      </c>
      <c r="F1959">
        <v>485.9</v>
      </c>
      <c r="G1959">
        <v>59.1</v>
      </c>
      <c r="H1959">
        <v>18</v>
      </c>
      <c r="I1959">
        <v>141.5</v>
      </c>
      <c r="J1959">
        <v>190.1</v>
      </c>
      <c r="K1959">
        <v>63</v>
      </c>
      <c r="L1959" s="2"/>
    </row>
    <row r="1960" spans="1:12" x14ac:dyDescent="0.25">
      <c r="A1960" s="2" t="s">
        <v>30</v>
      </c>
      <c r="B1960" s="2" t="s">
        <v>31</v>
      </c>
      <c r="C1960" s="2" t="s">
        <v>32</v>
      </c>
      <c r="D1960" s="2" t="s">
        <v>94</v>
      </c>
      <c r="E1960">
        <v>5.5713999999999997</v>
      </c>
      <c r="F1960">
        <v>485.9</v>
      </c>
      <c r="G1960">
        <v>59.1</v>
      </c>
      <c r="H1960">
        <v>18</v>
      </c>
      <c r="I1960">
        <v>141.5</v>
      </c>
      <c r="J1960">
        <v>349.7</v>
      </c>
      <c r="K1960">
        <v>81.900000000000006</v>
      </c>
      <c r="L1960" s="2"/>
    </row>
    <row r="1961" spans="1:12" x14ac:dyDescent="0.25">
      <c r="A1961" s="2" t="s">
        <v>30</v>
      </c>
      <c r="B1961" s="2" t="s">
        <v>31</v>
      </c>
      <c r="C1961" s="2" t="s">
        <v>32</v>
      </c>
      <c r="D1961" s="2" t="s">
        <v>94</v>
      </c>
      <c r="E1961">
        <v>6.5</v>
      </c>
      <c r="F1961">
        <v>485.9</v>
      </c>
      <c r="G1961">
        <v>59.1</v>
      </c>
      <c r="H1961">
        <v>18</v>
      </c>
      <c r="I1961">
        <v>141.5</v>
      </c>
      <c r="J1961">
        <v>513</v>
      </c>
      <c r="K1961">
        <v>100.9</v>
      </c>
      <c r="L1961" s="2"/>
    </row>
    <row r="1962" spans="1:12" x14ac:dyDescent="0.25">
      <c r="A1962" s="2" t="s">
        <v>30</v>
      </c>
      <c r="B1962" s="2" t="s">
        <v>31</v>
      </c>
      <c r="C1962" s="2" t="s">
        <v>32</v>
      </c>
      <c r="D1962" s="2" t="s">
        <v>94</v>
      </c>
      <c r="E1962">
        <v>7.4286000000000003</v>
      </c>
      <c r="F1962">
        <v>485.9</v>
      </c>
      <c r="G1962">
        <v>59.1</v>
      </c>
      <c r="H1962">
        <v>18</v>
      </c>
      <c r="I1962">
        <v>141.5</v>
      </c>
      <c r="J1962">
        <v>676.1</v>
      </c>
      <c r="K1962">
        <v>119.8</v>
      </c>
      <c r="L1962" s="2"/>
    </row>
    <row r="1963" spans="1:12" x14ac:dyDescent="0.25">
      <c r="A1963" s="2" t="s">
        <v>30</v>
      </c>
      <c r="B1963" s="2" t="s">
        <v>31</v>
      </c>
      <c r="C1963" s="2" t="s">
        <v>32</v>
      </c>
      <c r="D1963" s="2" t="s">
        <v>94</v>
      </c>
      <c r="E1963">
        <v>8.3571000000000009</v>
      </c>
      <c r="F1963">
        <v>485.9</v>
      </c>
      <c r="G1963">
        <v>59.1</v>
      </c>
      <c r="H1963">
        <v>18</v>
      </c>
      <c r="I1963">
        <v>141.5</v>
      </c>
      <c r="J1963">
        <v>839.2</v>
      </c>
      <c r="K1963">
        <v>138.69999999999999</v>
      </c>
      <c r="L1963" s="2"/>
    </row>
    <row r="1964" spans="1:12" x14ac:dyDescent="0.25">
      <c r="A1964" s="2" t="s">
        <v>30</v>
      </c>
      <c r="B1964" s="2" t="s">
        <v>31</v>
      </c>
      <c r="C1964" s="2" t="s">
        <v>32</v>
      </c>
      <c r="D1964" s="2" t="s">
        <v>94</v>
      </c>
      <c r="E1964">
        <v>9.2857000000000003</v>
      </c>
      <c r="F1964">
        <v>485.9</v>
      </c>
      <c r="G1964">
        <v>59.1</v>
      </c>
      <c r="H1964">
        <v>18</v>
      </c>
      <c r="I1964">
        <v>141.5</v>
      </c>
      <c r="J1964">
        <v>1002</v>
      </c>
      <c r="K1964">
        <v>157.5</v>
      </c>
      <c r="L1964" s="2"/>
    </row>
    <row r="1965" spans="1:12" x14ac:dyDescent="0.25">
      <c r="A1965" s="2" t="s">
        <v>30</v>
      </c>
      <c r="B1965" s="2" t="s">
        <v>31</v>
      </c>
      <c r="C1965" s="2" t="s">
        <v>32</v>
      </c>
      <c r="D1965" s="2" t="s">
        <v>94</v>
      </c>
      <c r="E1965">
        <v>10.2143</v>
      </c>
      <c r="F1965">
        <v>485.9</v>
      </c>
      <c r="G1965">
        <v>59.1</v>
      </c>
      <c r="H1965">
        <v>18</v>
      </c>
      <c r="I1965">
        <v>141.5</v>
      </c>
      <c r="J1965">
        <v>1164.7</v>
      </c>
      <c r="K1965">
        <v>176.4</v>
      </c>
      <c r="L1965" s="2"/>
    </row>
    <row r="1966" spans="1:12" x14ac:dyDescent="0.25">
      <c r="A1966" s="2" t="s">
        <v>30</v>
      </c>
      <c r="B1966" s="2" t="s">
        <v>31</v>
      </c>
      <c r="C1966" s="2" t="s">
        <v>32</v>
      </c>
      <c r="D1966" s="2" t="s">
        <v>94</v>
      </c>
      <c r="E1966">
        <v>11.142899999999999</v>
      </c>
      <c r="F1966">
        <v>485.9</v>
      </c>
      <c r="G1966">
        <v>59.1</v>
      </c>
      <c r="H1966">
        <v>18</v>
      </c>
      <c r="I1966">
        <v>141.5</v>
      </c>
      <c r="J1966">
        <v>1327.1</v>
      </c>
      <c r="K1966">
        <v>195.3</v>
      </c>
      <c r="L1966" s="2"/>
    </row>
    <row r="1967" spans="1:12" x14ac:dyDescent="0.25">
      <c r="A1967" s="2" t="s">
        <v>30</v>
      </c>
      <c r="B1967" s="2" t="s">
        <v>31</v>
      </c>
      <c r="C1967" s="2" t="s">
        <v>32</v>
      </c>
      <c r="D1967" s="2" t="s">
        <v>94</v>
      </c>
      <c r="E1967">
        <v>12.071400000000001</v>
      </c>
      <c r="F1967">
        <v>485.9</v>
      </c>
      <c r="G1967">
        <v>59.1</v>
      </c>
      <c r="H1967">
        <v>18</v>
      </c>
      <c r="I1967">
        <v>141.5</v>
      </c>
      <c r="J1967">
        <v>1489.2</v>
      </c>
      <c r="K1967">
        <v>214.2</v>
      </c>
      <c r="L1967" s="2"/>
    </row>
    <row r="1968" spans="1:12" x14ac:dyDescent="0.25">
      <c r="A1968" s="2" t="s">
        <v>30</v>
      </c>
      <c r="B1968" s="2" t="s">
        <v>31</v>
      </c>
      <c r="C1968" s="2" t="s">
        <v>32</v>
      </c>
      <c r="D1968" s="2" t="s">
        <v>94</v>
      </c>
      <c r="E1968">
        <v>13</v>
      </c>
      <c r="F1968">
        <v>485.9</v>
      </c>
      <c r="G1968">
        <v>59.1</v>
      </c>
      <c r="H1968">
        <v>18</v>
      </c>
      <c r="I1968">
        <v>141.5</v>
      </c>
      <c r="J1968">
        <v>1650.9</v>
      </c>
      <c r="K1968">
        <v>233.2</v>
      </c>
      <c r="L1968" s="2"/>
    </row>
    <row r="1969" spans="1:12" x14ac:dyDescent="0.25">
      <c r="A1969" s="2" t="s">
        <v>30</v>
      </c>
      <c r="B1969" s="2" t="s">
        <v>31</v>
      </c>
      <c r="C1969" s="2" t="s">
        <v>32</v>
      </c>
      <c r="D1969" s="2" t="s">
        <v>94</v>
      </c>
      <c r="E1969">
        <v>0</v>
      </c>
      <c r="F1969">
        <v>-12329.4</v>
      </c>
      <c r="G1969">
        <v>-20.7</v>
      </c>
      <c r="H1969">
        <v>-174.2</v>
      </c>
      <c r="I1969">
        <v>-133.9</v>
      </c>
      <c r="J1969">
        <v>-630.5</v>
      </c>
      <c r="K1969">
        <v>-32.6</v>
      </c>
      <c r="L1969" s="2"/>
    </row>
    <row r="1970" spans="1:12" x14ac:dyDescent="0.25">
      <c r="A1970" s="2" t="s">
        <v>30</v>
      </c>
      <c r="B1970" s="2" t="s">
        <v>31</v>
      </c>
      <c r="C1970" s="2" t="s">
        <v>32</v>
      </c>
      <c r="D1970" s="2" t="s">
        <v>94</v>
      </c>
      <c r="E1970">
        <v>0.92859999999999998</v>
      </c>
      <c r="F1970">
        <v>-12297.2</v>
      </c>
      <c r="G1970">
        <v>-20.7</v>
      </c>
      <c r="H1970">
        <v>-174.2</v>
      </c>
      <c r="I1970">
        <v>-133.9</v>
      </c>
      <c r="J1970">
        <v>-467.5</v>
      </c>
      <c r="K1970">
        <v>-13.4</v>
      </c>
      <c r="L1970" s="2"/>
    </row>
    <row r="1971" spans="1:12" x14ac:dyDescent="0.25">
      <c r="A1971" s="2" t="s">
        <v>30</v>
      </c>
      <c r="B1971" s="2" t="s">
        <v>31</v>
      </c>
      <c r="C1971" s="2" t="s">
        <v>32</v>
      </c>
      <c r="D1971" s="2" t="s">
        <v>94</v>
      </c>
      <c r="E1971">
        <v>1.8571</v>
      </c>
      <c r="F1971">
        <v>-12265.1</v>
      </c>
      <c r="G1971">
        <v>-20.7</v>
      </c>
      <c r="H1971">
        <v>-174.2</v>
      </c>
      <c r="I1971">
        <v>-133.9</v>
      </c>
      <c r="J1971">
        <v>-304.5</v>
      </c>
      <c r="K1971">
        <v>5.8</v>
      </c>
      <c r="L1971" s="2"/>
    </row>
    <row r="1972" spans="1:12" x14ac:dyDescent="0.25">
      <c r="A1972" s="2" t="s">
        <v>30</v>
      </c>
      <c r="B1972" s="2" t="s">
        <v>31</v>
      </c>
      <c r="C1972" s="2" t="s">
        <v>32</v>
      </c>
      <c r="D1972" s="2" t="s">
        <v>94</v>
      </c>
      <c r="E1972">
        <v>2.7856999999999998</v>
      </c>
      <c r="F1972">
        <v>-12232.9</v>
      </c>
      <c r="G1972">
        <v>-20.7</v>
      </c>
      <c r="H1972">
        <v>-174.2</v>
      </c>
      <c r="I1972">
        <v>-133.9</v>
      </c>
      <c r="J1972">
        <v>-183.8</v>
      </c>
      <c r="K1972">
        <v>8.4</v>
      </c>
      <c r="L1972" s="2"/>
    </row>
    <row r="1973" spans="1:12" x14ac:dyDescent="0.25">
      <c r="A1973" s="2" t="s">
        <v>30</v>
      </c>
      <c r="B1973" s="2" t="s">
        <v>31</v>
      </c>
      <c r="C1973" s="2" t="s">
        <v>32</v>
      </c>
      <c r="D1973" s="2" t="s">
        <v>94</v>
      </c>
      <c r="E1973">
        <v>3.7143000000000002</v>
      </c>
      <c r="F1973">
        <v>-12200.7</v>
      </c>
      <c r="G1973">
        <v>-20.7</v>
      </c>
      <c r="H1973">
        <v>-174.2</v>
      </c>
      <c r="I1973">
        <v>-133.9</v>
      </c>
      <c r="J1973">
        <v>-121</v>
      </c>
      <c r="K1973">
        <v>-16</v>
      </c>
      <c r="L1973" s="2"/>
    </row>
    <row r="1974" spans="1:12" x14ac:dyDescent="0.25">
      <c r="A1974" s="2" t="s">
        <v>30</v>
      </c>
      <c r="B1974" s="2" t="s">
        <v>31</v>
      </c>
      <c r="C1974" s="2" t="s">
        <v>32</v>
      </c>
      <c r="D1974" s="2" t="s">
        <v>94</v>
      </c>
      <c r="E1974">
        <v>4.6429</v>
      </c>
      <c r="F1974">
        <v>-12168.6</v>
      </c>
      <c r="G1974">
        <v>-20.7</v>
      </c>
      <c r="H1974">
        <v>-174.2</v>
      </c>
      <c r="I1974">
        <v>-133.9</v>
      </c>
      <c r="J1974">
        <v>-103.3</v>
      </c>
      <c r="K1974">
        <v>-63.9</v>
      </c>
      <c r="L1974" s="2"/>
    </row>
    <row r="1975" spans="1:12" x14ac:dyDescent="0.25">
      <c r="A1975" s="2" t="s">
        <v>30</v>
      </c>
      <c r="B1975" s="2" t="s">
        <v>31</v>
      </c>
      <c r="C1975" s="2" t="s">
        <v>32</v>
      </c>
      <c r="D1975" s="2" t="s">
        <v>94</v>
      </c>
      <c r="E1975">
        <v>5.5713999999999997</v>
      </c>
      <c r="F1975">
        <v>-12136.4</v>
      </c>
      <c r="G1975">
        <v>-20.7</v>
      </c>
      <c r="H1975">
        <v>-174.2</v>
      </c>
      <c r="I1975">
        <v>-133.9</v>
      </c>
      <c r="J1975">
        <v>-99.6</v>
      </c>
      <c r="K1975">
        <v>-119.7</v>
      </c>
      <c r="L1975" s="2"/>
    </row>
    <row r="1976" spans="1:12" x14ac:dyDescent="0.25">
      <c r="A1976" s="2" t="s">
        <v>30</v>
      </c>
      <c r="B1976" s="2" t="s">
        <v>31</v>
      </c>
      <c r="C1976" s="2" t="s">
        <v>32</v>
      </c>
      <c r="D1976" s="2" t="s">
        <v>94</v>
      </c>
      <c r="E1976">
        <v>6.5</v>
      </c>
      <c r="F1976">
        <v>-12104.3</v>
      </c>
      <c r="G1976">
        <v>-20.7</v>
      </c>
      <c r="H1976">
        <v>-174.2</v>
      </c>
      <c r="I1976">
        <v>-133.9</v>
      </c>
      <c r="J1976">
        <v>-107.7</v>
      </c>
      <c r="K1976">
        <v>-175.6</v>
      </c>
      <c r="L1976" s="2"/>
    </row>
    <row r="1977" spans="1:12" x14ac:dyDescent="0.25">
      <c r="A1977" s="2" t="s">
        <v>30</v>
      </c>
      <c r="B1977" s="2" t="s">
        <v>31</v>
      </c>
      <c r="C1977" s="2" t="s">
        <v>32</v>
      </c>
      <c r="D1977" s="2" t="s">
        <v>94</v>
      </c>
      <c r="E1977">
        <v>7.4286000000000003</v>
      </c>
      <c r="F1977">
        <v>-12072.1</v>
      </c>
      <c r="G1977">
        <v>-20.7</v>
      </c>
      <c r="H1977">
        <v>-174.2</v>
      </c>
      <c r="I1977">
        <v>-133.9</v>
      </c>
      <c r="J1977">
        <v>-115.8</v>
      </c>
      <c r="K1977">
        <v>-231.3</v>
      </c>
      <c r="L1977" s="2"/>
    </row>
    <row r="1978" spans="1:12" x14ac:dyDescent="0.25">
      <c r="A1978" s="2" t="s">
        <v>30</v>
      </c>
      <c r="B1978" s="2" t="s">
        <v>31</v>
      </c>
      <c r="C1978" s="2" t="s">
        <v>32</v>
      </c>
      <c r="D1978" s="2" t="s">
        <v>94</v>
      </c>
      <c r="E1978">
        <v>8.3571000000000009</v>
      </c>
      <c r="F1978">
        <v>-12039.9</v>
      </c>
      <c r="G1978">
        <v>-20.7</v>
      </c>
      <c r="H1978">
        <v>-174.2</v>
      </c>
      <c r="I1978">
        <v>-133.9</v>
      </c>
      <c r="J1978">
        <v>-124</v>
      </c>
      <c r="K1978">
        <v>-286.89999999999998</v>
      </c>
      <c r="L1978" s="2"/>
    </row>
    <row r="1979" spans="1:12" x14ac:dyDescent="0.25">
      <c r="A1979" s="2" t="s">
        <v>30</v>
      </c>
      <c r="B1979" s="2" t="s">
        <v>31</v>
      </c>
      <c r="C1979" s="2" t="s">
        <v>32</v>
      </c>
      <c r="D1979" s="2" t="s">
        <v>94</v>
      </c>
      <c r="E1979">
        <v>9.2857000000000003</v>
      </c>
      <c r="F1979">
        <v>-12007.8</v>
      </c>
      <c r="G1979">
        <v>-20.7</v>
      </c>
      <c r="H1979">
        <v>-174.2</v>
      </c>
      <c r="I1979">
        <v>-133.9</v>
      </c>
      <c r="J1979">
        <v>-132.19999999999999</v>
      </c>
      <c r="K1979">
        <v>-342.2</v>
      </c>
      <c r="L1979" s="2"/>
    </row>
    <row r="1980" spans="1:12" x14ac:dyDescent="0.25">
      <c r="A1980" s="2" t="s">
        <v>30</v>
      </c>
      <c r="B1980" s="2" t="s">
        <v>31</v>
      </c>
      <c r="C1980" s="2" t="s">
        <v>32</v>
      </c>
      <c r="D1980" s="2" t="s">
        <v>94</v>
      </c>
      <c r="E1980">
        <v>10.2143</v>
      </c>
      <c r="F1980">
        <v>-11975.6</v>
      </c>
      <c r="G1980">
        <v>-20.7</v>
      </c>
      <c r="H1980">
        <v>-174.2</v>
      </c>
      <c r="I1980">
        <v>-133.9</v>
      </c>
      <c r="J1980">
        <v>-140.30000000000001</v>
      </c>
      <c r="K1980">
        <v>-397.4</v>
      </c>
      <c r="L1980" s="2"/>
    </row>
    <row r="1981" spans="1:12" x14ac:dyDescent="0.25">
      <c r="A1981" s="2" t="s">
        <v>30</v>
      </c>
      <c r="B1981" s="2" t="s">
        <v>31</v>
      </c>
      <c r="C1981" s="2" t="s">
        <v>32</v>
      </c>
      <c r="D1981" s="2" t="s">
        <v>94</v>
      </c>
      <c r="E1981">
        <v>11.142899999999999</v>
      </c>
      <c r="F1981">
        <v>-11943.4</v>
      </c>
      <c r="G1981">
        <v>-20.7</v>
      </c>
      <c r="H1981">
        <v>-174.2</v>
      </c>
      <c r="I1981">
        <v>-133.9</v>
      </c>
      <c r="J1981">
        <v>-148.5</v>
      </c>
      <c r="K1981">
        <v>-452.2</v>
      </c>
      <c r="L1981" s="2"/>
    </row>
    <row r="1982" spans="1:12" x14ac:dyDescent="0.25">
      <c r="A1982" s="2" t="s">
        <v>30</v>
      </c>
      <c r="B1982" s="2" t="s">
        <v>31</v>
      </c>
      <c r="C1982" s="2" t="s">
        <v>32</v>
      </c>
      <c r="D1982" s="2" t="s">
        <v>94</v>
      </c>
      <c r="E1982">
        <v>12.071400000000001</v>
      </c>
      <c r="F1982">
        <v>-11911.3</v>
      </c>
      <c r="G1982">
        <v>-20.7</v>
      </c>
      <c r="H1982">
        <v>-174.2</v>
      </c>
      <c r="I1982">
        <v>-133.9</v>
      </c>
      <c r="J1982">
        <v>-164.5</v>
      </c>
      <c r="K1982">
        <v>-506.7</v>
      </c>
      <c r="L1982" s="2"/>
    </row>
    <row r="1983" spans="1:12" x14ac:dyDescent="0.25">
      <c r="A1983" s="2" t="s">
        <v>30</v>
      </c>
      <c r="B1983" s="2" t="s">
        <v>31</v>
      </c>
      <c r="C1983" s="2" t="s">
        <v>32</v>
      </c>
      <c r="D1983" s="2" t="s">
        <v>94</v>
      </c>
      <c r="E1983">
        <v>13</v>
      </c>
      <c r="F1983">
        <v>-11879.1</v>
      </c>
      <c r="G1983">
        <v>-20.7</v>
      </c>
      <c r="H1983">
        <v>-174.2</v>
      </c>
      <c r="I1983">
        <v>-133.9</v>
      </c>
      <c r="J1983">
        <v>-180.7</v>
      </c>
      <c r="K1983">
        <v>-560.79999999999995</v>
      </c>
      <c r="L1983" s="2"/>
    </row>
    <row r="1984" spans="1:12" x14ac:dyDescent="0.25">
      <c r="A1984" s="2" t="s">
        <v>30</v>
      </c>
      <c r="B1984" s="2" t="s">
        <v>31</v>
      </c>
      <c r="C1984" s="2" t="s">
        <v>32</v>
      </c>
      <c r="D1984" s="2" t="s">
        <v>95</v>
      </c>
      <c r="E1984">
        <v>0</v>
      </c>
      <c r="F1984">
        <v>-7895.7</v>
      </c>
      <c r="G1984">
        <v>68.5</v>
      </c>
      <c r="H1984">
        <v>14.9</v>
      </c>
      <c r="I1984">
        <v>54.6</v>
      </c>
      <c r="J1984">
        <v>62.7</v>
      </c>
      <c r="K1984">
        <v>311.7</v>
      </c>
      <c r="L1984" s="2"/>
    </row>
    <row r="1985" spans="1:12" x14ac:dyDescent="0.25">
      <c r="A1985" s="2" t="s">
        <v>30</v>
      </c>
      <c r="B1985" s="2" t="s">
        <v>31</v>
      </c>
      <c r="C1985" s="2" t="s">
        <v>32</v>
      </c>
      <c r="D1985" s="2" t="s">
        <v>95</v>
      </c>
      <c r="E1985">
        <v>0.92859999999999998</v>
      </c>
      <c r="F1985">
        <v>-7895.7</v>
      </c>
      <c r="G1985">
        <v>68.2</v>
      </c>
      <c r="H1985">
        <v>14.9</v>
      </c>
      <c r="I1985">
        <v>54.6</v>
      </c>
      <c r="J1985">
        <v>46.5</v>
      </c>
      <c r="K1985">
        <v>238.6</v>
      </c>
      <c r="L1985" s="2"/>
    </row>
    <row r="1986" spans="1:12" x14ac:dyDescent="0.25">
      <c r="A1986" s="2" t="s">
        <v>30</v>
      </c>
      <c r="B1986" s="2" t="s">
        <v>31</v>
      </c>
      <c r="C1986" s="2" t="s">
        <v>32</v>
      </c>
      <c r="D1986" s="2" t="s">
        <v>95</v>
      </c>
      <c r="E1986">
        <v>1.8571</v>
      </c>
      <c r="F1986">
        <v>-7895.7</v>
      </c>
      <c r="G1986">
        <v>67.8</v>
      </c>
      <c r="H1986">
        <v>14.9</v>
      </c>
      <c r="I1986">
        <v>54.6</v>
      </c>
      <c r="J1986">
        <v>30</v>
      </c>
      <c r="K1986">
        <v>165.5</v>
      </c>
      <c r="L1986" s="2"/>
    </row>
    <row r="1987" spans="1:12" x14ac:dyDescent="0.25">
      <c r="A1987" s="2" t="s">
        <v>30</v>
      </c>
      <c r="B1987" s="2" t="s">
        <v>31</v>
      </c>
      <c r="C1987" s="2" t="s">
        <v>32</v>
      </c>
      <c r="D1987" s="2" t="s">
        <v>95</v>
      </c>
      <c r="E1987">
        <v>2.7856999999999998</v>
      </c>
      <c r="F1987">
        <v>-7895.7</v>
      </c>
      <c r="G1987">
        <v>67.400000000000006</v>
      </c>
      <c r="H1987">
        <v>14.9</v>
      </c>
      <c r="I1987">
        <v>54.6</v>
      </c>
      <c r="J1987">
        <v>13.5</v>
      </c>
      <c r="K1987">
        <v>92.6</v>
      </c>
      <c r="L1987" s="2"/>
    </row>
    <row r="1988" spans="1:12" x14ac:dyDescent="0.25">
      <c r="A1988" s="2" t="s">
        <v>30</v>
      </c>
      <c r="B1988" s="2" t="s">
        <v>31</v>
      </c>
      <c r="C1988" s="2" t="s">
        <v>32</v>
      </c>
      <c r="D1988" s="2" t="s">
        <v>95</v>
      </c>
      <c r="E1988">
        <v>3.7143000000000002</v>
      </c>
      <c r="F1988">
        <v>-7895.7</v>
      </c>
      <c r="G1988">
        <v>67.099999999999994</v>
      </c>
      <c r="H1988">
        <v>14.9</v>
      </c>
      <c r="I1988">
        <v>54.6</v>
      </c>
      <c r="J1988">
        <v>-2.2999999999999998</v>
      </c>
      <c r="K1988">
        <v>19.899999999999999</v>
      </c>
      <c r="L1988" s="2"/>
    </row>
    <row r="1989" spans="1:12" x14ac:dyDescent="0.25">
      <c r="A1989" s="2" t="s">
        <v>30</v>
      </c>
      <c r="B1989" s="2" t="s">
        <v>31</v>
      </c>
      <c r="C1989" s="2" t="s">
        <v>32</v>
      </c>
      <c r="D1989" s="2" t="s">
        <v>95</v>
      </c>
      <c r="E1989">
        <v>4.6429</v>
      </c>
      <c r="F1989">
        <v>-7895.7</v>
      </c>
      <c r="G1989">
        <v>66.7</v>
      </c>
      <c r="H1989">
        <v>14.9</v>
      </c>
      <c r="I1989">
        <v>54.6</v>
      </c>
      <c r="J1989">
        <v>2.2000000000000002</v>
      </c>
      <c r="K1989">
        <v>-29.8</v>
      </c>
      <c r="L1989" s="2"/>
    </row>
    <row r="1990" spans="1:12" x14ac:dyDescent="0.25">
      <c r="A1990" s="2" t="s">
        <v>30</v>
      </c>
      <c r="B1990" s="2" t="s">
        <v>31</v>
      </c>
      <c r="C1990" s="2" t="s">
        <v>32</v>
      </c>
      <c r="D1990" s="2" t="s">
        <v>95</v>
      </c>
      <c r="E1990">
        <v>5.5713999999999997</v>
      </c>
      <c r="F1990">
        <v>-7895.7</v>
      </c>
      <c r="G1990">
        <v>66.400000000000006</v>
      </c>
      <c r="H1990">
        <v>14.9</v>
      </c>
      <c r="I1990">
        <v>54.6</v>
      </c>
      <c r="J1990">
        <v>11</v>
      </c>
      <c r="K1990">
        <v>-67.2</v>
      </c>
      <c r="L1990" s="2"/>
    </row>
    <row r="1991" spans="1:12" x14ac:dyDescent="0.25">
      <c r="A1991" s="2" t="s">
        <v>30</v>
      </c>
      <c r="B1991" s="2" t="s">
        <v>31</v>
      </c>
      <c r="C1991" s="2" t="s">
        <v>32</v>
      </c>
      <c r="D1991" s="2" t="s">
        <v>95</v>
      </c>
      <c r="E1991">
        <v>6.5</v>
      </c>
      <c r="F1991">
        <v>-7895.7</v>
      </c>
      <c r="G1991">
        <v>66</v>
      </c>
      <c r="H1991">
        <v>14.9</v>
      </c>
      <c r="I1991">
        <v>54.6</v>
      </c>
      <c r="J1991">
        <v>24.7</v>
      </c>
      <c r="K1991">
        <v>-104.1</v>
      </c>
      <c r="L1991" s="2"/>
    </row>
    <row r="1992" spans="1:12" x14ac:dyDescent="0.25">
      <c r="A1992" s="2" t="s">
        <v>30</v>
      </c>
      <c r="B1992" s="2" t="s">
        <v>31</v>
      </c>
      <c r="C1992" s="2" t="s">
        <v>32</v>
      </c>
      <c r="D1992" s="2" t="s">
        <v>95</v>
      </c>
      <c r="E1992">
        <v>7.4286000000000003</v>
      </c>
      <c r="F1992">
        <v>-7895.7</v>
      </c>
      <c r="G1992">
        <v>65.7</v>
      </c>
      <c r="H1992">
        <v>14.9</v>
      </c>
      <c r="I1992">
        <v>54.6</v>
      </c>
      <c r="J1992">
        <v>38.5</v>
      </c>
      <c r="K1992">
        <v>-140.4</v>
      </c>
      <c r="L1992" s="2"/>
    </row>
    <row r="1993" spans="1:12" x14ac:dyDescent="0.25">
      <c r="A1993" s="2" t="s">
        <v>30</v>
      </c>
      <c r="B1993" s="2" t="s">
        <v>31</v>
      </c>
      <c r="C1993" s="2" t="s">
        <v>32</v>
      </c>
      <c r="D1993" s="2" t="s">
        <v>95</v>
      </c>
      <c r="E1993">
        <v>8.3571000000000009</v>
      </c>
      <c r="F1993">
        <v>-7895.7</v>
      </c>
      <c r="G1993">
        <v>65.3</v>
      </c>
      <c r="H1993">
        <v>14.9</v>
      </c>
      <c r="I1993">
        <v>54.6</v>
      </c>
      <c r="J1993">
        <v>52.4</v>
      </c>
      <c r="K1993">
        <v>-175.9</v>
      </c>
      <c r="L1993" s="2"/>
    </row>
    <row r="1994" spans="1:12" x14ac:dyDescent="0.25">
      <c r="A1994" s="2" t="s">
        <v>30</v>
      </c>
      <c r="B1994" s="2" t="s">
        <v>31</v>
      </c>
      <c r="C1994" s="2" t="s">
        <v>32</v>
      </c>
      <c r="D1994" s="2" t="s">
        <v>95</v>
      </c>
      <c r="E1994">
        <v>9.2857000000000003</v>
      </c>
      <c r="F1994">
        <v>-7895.7</v>
      </c>
      <c r="G1994">
        <v>64.900000000000006</v>
      </c>
      <c r="H1994">
        <v>14.9</v>
      </c>
      <c r="I1994">
        <v>54.6</v>
      </c>
      <c r="J1994">
        <v>66.3</v>
      </c>
      <c r="K1994">
        <v>-210.5</v>
      </c>
      <c r="L1994" s="2"/>
    </row>
    <row r="1995" spans="1:12" x14ac:dyDescent="0.25">
      <c r="A1995" s="2" t="s">
        <v>30</v>
      </c>
      <c r="B1995" s="2" t="s">
        <v>31</v>
      </c>
      <c r="C1995" s="2" t="s">
        <v>32</v>
      </c>
      <c r="D1995" s="2" t="s">
        <v>95</v>
      </c>
      <c r="E1995">
        <v>10.2143</v>
      </c>
      <c r="F1995">
        <v>-7895.7</v>
      </c>
      <c r="G1995">
        <v>64.599999999999994</v>
      </c>
      <c r="H1995">
        <v>14.9</v>
      </c>
      <c r="I1995">
        <v>54.6</v>
      </c>
      <c r="J1995">
        <v>80.2</v>
      </c>
      <c r="K1995">
        <v>-244.1</v>
      </c>
      <c r="L1995" s="2"/>
    </row>
    <row r="1996" spans="1:12" x14ac:dyDescent="0.25">
      <c r="A1996" s="2" t="s">
        <v>30</v>
      </c>
      <c r="B1996" s="2" t="s">
        <v>31</v>
      </c>
      <c r="C1996" s="2" t="s">
        <v>32</v>
      </c>
      <c r="D1996" s="2" t="s">
        <v>95</v>
      </c>
      <c r="E1996">
        <v>11.142899999999999</v>
      </c>
      <c r="F1996">
        <v>-7895.7</v>
      </c>
      <c r="G1996">
        <v>64.2</v>
      </c>
      <c r="H1996">
        <v>14.9</v>
      </c>
      <c r="I1996">
        <v>54.6</v>
      </c>
      <c r="J1996">
        <v>94.2</v>
      </c>
      <c r="K1996">
        <v>-276.7</v>
      </c>
      <c r="L1996" s="2"/>
    </row>
    <row r="1997" spans="1:12" x14ac:dyDescent="0.25">
      <c r="A1997" s="2" t="s">
        <v>30</v>
      </c>
      <c r="B1997" s="2" t="s">
        <v>31</v>
      </c>
      <c r="C1997" s="2" t="s">
        <v>32</v>
      </c>
      <c r="D1997" s="2" t="s">
        <v>95</v>
      </c>
      <c r="E1997">
        <v>12.071400000000001</v>
      </c>
      <c r="F1997">
        <v>-7895.7</v>
      </c>
      <c r="G1997">
        <v>63.9</v>
      </c>
      <c r="H1997">
        <v>14.9</v>
      </c>
      <c r="I1997">
        <v>54.6</v>
      </c>
      <c r="J1997">
        <v>108.3</v>
      </c>
      <c r="K1997">
        <v>-308.10000000000002</v>
      </c>
      <c r="L1997" s="2"/>
    </row>
    <row r="1998" spans="1:12" x14ac:dyDescent="0.25">
      <c r="A1998" s="2" t="s">
        <v>30</v>
      </c>
      <c r="B1998" s="2" t="s">
        <v>31</v>
      </c>
      <c r="C1998" s="2" t="s">
        <v>32</v>
      </c>
      <c r="D1998" s="2" t="s">
        <v>95</v>
      </c>
      <c r="E1998">
        <v>13</v>
      </c>
      <c r="F1998">
        <v>-7895.7</v>
      </c>
      <c r="G1998">
        <v>63.5</v>
      </c>
      <c r="H1998">
        <v>14.9</v>
      </c>
      <c r="I1998">
        <v>54.6</v>
      </c>
      <c r="J1998">
        <v>122.4</v>
      </c>
      <c r="K1998">
        <v>-338.1</v>
      </c>
      <c r="L1998" s="2"/>
    </row>
    <row r="1999" spans="1:12" x14ac:dyDescent="0.25">
      <c r="A1999" s="2" t="s">
        <v>30</v>
      </c>
      <c r="B1999" s="2" t="s">
        <v>31</v>
      </c>
      <c r="C1999" s="2" t="s">
        <v>32</v>
      </c>
      <c r="D1999" s="2" t="s">
        <v>95</v>
      </c>
      <c r="E1999">
        <v>0</v>
      </c>
      <c r="F1999">
        <v>-17361.5</v>
      </c>
      <c r="G1999">
        <v>31.9</v>
      </c>
      <c r="H1999">
        <v>-16.3</v>
      </c>
      <c r="I1999">
        <v>41</v>
      </c>
      <c r="J1999">
        <v>-71.400000000000006</v>
      </c>
      <c r="K1999">
        <v>161.6</v>
      </c>
      <c r="L1999" s="2"/>
    </row>
    <row r="2000" spans="1:12" x14ac:dyDescent="0.25">
      <c r="A2000" s="2" t="s">
        <v>30</v>
      </c>
      <c r="B2000" s="2" t="s">
        <v>31</v>
      </c>
      <c r="C2000" s="2" t="s">
        <v>32</v>
      </c>
      <c r="D2000" s="2" t="s">
        <v>95</v>
      </c>
      <c r="E2000">
        <v>0.92859999999999998</v>
      </c>
      <c r="F2000">
        <v>-17318.599999999999</v>
      </c>
      <c r="G2000">
        <v>31.6</v>
      </c>
      <c r="H2000">
        <v>-16.3</v>
      </c>
      <c r="I2000">
        <v>41</v>
      </c>
      <c r="J2000">
        <v>-57.9</v>
      </c>
      <c r="K2000">
        <v>123.1</v>
      </c>
      <c r="L2000" s="2"/>
    </row>
    <row r="2001" spans="1:12" x14ac:dyDescent="0.25">
      <c r="A2001" s="2" t="s">
        <v>30</v>
      </c>
      <c r="B2001" s="2" t="s">
        <v>31</v>
      </c>
      <c r="C2001" s="2" t="s">
        <v>32</v>
      </c>
      <c r="D2001" s="2" t="s">
        <v>95</v>
      </c>
      <c r="E2001">
        <v>1.8571</v>
      </c>
      <c r="F2001">
        <v>-17275.7</v>
      </c>
      <c r="G2001">
        <v>31.2</v>
      </c>
      <c r="H2001">
        <v>-16.3</v>
      </c>
      <c r="I2001">
        <v>41</v>
      </c>
      <c r="J2001">
        <v>-44.6</v>
      </c>
      <c r="K2001">
        <v>84.6</v>
      </c>
      <c r="L2001" s="2"/>
    </row>
    <row r="2002" spans="1:12" x14ac:dyDescent="0.25">
      <c r="A2002" s="2" t="s">
        <v>30</v>
      </c>
      <c r="B2002" s="2" t="s">
        <v>31</v>
      </c>
      <c r="C2002" s="2" t="s">
        <v>32</v>
      </c>
      <c r="D2002" s="2" t="s">
        <v>95</v>
      </c>
      <c r="E2002">
        <v>2.7856999999999998</v>
      </c>
      <c r="F2002">
        <v>-17232.8</v>
      </c>
      <c r="G2002">
        <v>30.9</v>
      </c>
      <c r="H2002">
        <v>-16.3</v>
      </c>
      <c r="I2002">
        <v>41</v>
      </c>
      <c r="J2002">
        <v>-31.4</v>
      </c>
      <c r="K2002">
        <v>46.2</v>
      </c>
      <c r="L2002" s="2"/>
    </row>
    <row r="2003" spans="1:12" x14ac:dyDescent="0.25">
      <c r="A2003" s="2" t="s">
        <v>30</v>
      </c>
      <c r="B2003" s="2" t="s">
        <v>31</v>
      </c>
      <c r="C2003" s="2" t="s">
        <v>32</v>
      </c>
      <c r="D2003" s="2" t="s">
        <v>95</v>
      </c>
      <c r="E2003">
        <v>3.7143000000000002</v>
      </c>
      <c r="F2003">
        <v>-17189.900000000001</v>
      </c>
      <c r="G2003">
        <v>30.5</v>
      </c>
      <c r="H2003">
        <v>-16.3</v>
      </c>
      <c r="I2003">
        <v>41</v>
      </c>
      <c r="J2003">
        <v>-18.100000000000001</v>
      </c>
      <c r="K2003">
        <v>8</v>
      </c>
      <c r="L2003" s="2"/>
    </row>
    <row r="2004" spans="1:12" x14ac:dyDescent="0.25">
      <c r="A2004" s="2" t="s">
        <v>30</v>
      </c>
      <c r="B2004" s="2" t="s">
        <v>31</v>
      </c>
      <c r="C2004" s="2" t="s">
        <v>32</v>
      </c>
      <c r="D2004" s="2" t="s">
        <v>95</v>
      </c>
      <c r="E2004">
        <v>4.6429</v>
      </c>
      <c r="F2004">
        <v>-17147</v>
      </c>
      <c r="G2004">
        <v>30.1</v>
      </c>
      <c r="H2004">
        <v>-16.3</v>
      </c>
      <c r="I2004">
        <v>41</v>
      </c>
      <c r="J2004">
        <v>-19.5</v>
      </c>
      <c r="K2004">
        <v>-54.2</v>
      </c>
      <c r="L2004" s="2"/>
    </row>
    <row r="2005" spans="1:12" x14ac:dyDescent="0.25">
      <c r="A2005" s="2" t="s">
        <v>30</v>
      </c>
      <c r="B2005" s="2" t="s">
        <v>31</v>
      </c>
      <c r="C2005" s="2" t="s">
        <v>32</v>
      </c>
      <c r="D2005" s="2" t="s">
        <v>95</v>
      </c>
      <c r="E2005">
        <v>5.5713999999999997</v>
      </c>
      <c r="F2005">
        <v>-17104.2</v>
      </c>
      <c r="G2005">
        <v>29.8</v>
      </c>
      <c r="H2005">
        <v>-16.3</v>
      </c>
      <c r="I2005">
        <v>41</v>
      </c>
      <c r="J2005">
        <v>-36</v>
      </c>
      <c r="K2005">
        <v>-126.6</v>
      </c>
      <c r="L2005" s="2"/>
    </row>
    <row r="2006" spans="1:12" x14ac:dyDescent="0.25">
      <c r="A2006" s="2" t="s">
        <v>30</v>
      </c>
      <c r="B2006" s="2" t="s">
        <v>31</v>
      </c>
      <c r="C2006" s="2" t="s">
        <v>32</v>
      </c>
      <c r="D2006" s="2" t="s">
        <v>95</v>
      </c>
      <c r="E2006">
        <v>6.5</v>
      </c>
      <c r="F2006">
        <v>-17061.3</v>
      </c>
      <c r="G2006">
        <v>29.4</v>
      </c>
      <c r="H2006">
        <v>-16.3</v>
      </c>
      <c r="I2006">
        <v>41</v>
      </c>
      <c r="J2006">
        <v>-52.3</v>
      </c>
      <c r="K2006">
        <v>-198.5</v>
      </c>
      <c r="L2006" s="2"/>
    </row>
    <row r="2007" spans="1:12" x14ac:dyDescent="0.25">
      <c r="A2007" s="2" t="s">
        <v>30</v>
      </c>
      <c r="B2007" s="2" t="s">
        <v>31</v>
      </c>
      <c r="C2007" s="2" t="s">
        <v>32</v>
      </c>
      <c r="D2007" s="2" t="s">
        <v>95</v>
      </c>
      <c r="E2007">
        <v>7.4286000000000003</v>
      </c>
      <c r="F2007">
        <v>-17018.400000000001</v>
      </c>
      <c r="G2007">
        <v>29.1</v>
      </c>
      <c r="H2007">
        <v>-16.3</v>
      </c>
      <c r="I2007">
        <v>41</v>
      </c>
      <c r="J2007">
        <v>-68.5</v>
      </c>
      <c r="K2007">
        <v>-269.5</v>
      </c>
      <c r="L2007" s="2"/>
    </row>
    <row r="2008" spans="1:12" x14ac:dyDescent="0.25">
      <c r="A2008" s="2" t="s">
        <v>30</v>
      </c>
      <c r="B2008" s="2" t="s">
        <v>31</v>
      </c>
      <c r="C2008" s="2" t="s">
        <v>32</v>
      </c>
      <c r="D2008" s="2" t="s">
        <v>95</v>
      </c>
      <c r="E2008">
        <v>8.3571000000000009</v>
      </c>
      <c r="F2008">
        <v>-16975.5</v>
      </c>
      <c r="G2008">
        <v>28.7</v>
      </c>
      <c r="H2008">
        <v>-16.3</v>
      </c>
      <c r="I2008">
        <v>41</v>
      </c>
      <c r="J2008">
        <v>-84.5</v>
      </c>
      <c r="K2008">
        <v>-339.5</v>
      </c>
      <c r="L2008" s="2"/>
    </row>
    <row r="2009" spans="1:12" x14ac:dyDescent="0.25">
      <c r="A2009" s="2" t="s">
        <v>30</v>
      </c>
      <c r="B2009" s="2" t="s">
        <v>31</v>
      </c>
      <c r="C2009" s="2" t="s">
        <v>32</v>
      </c>
      <c r="D2009" s="2" t="s">
        <v>95</v>
      </c>
      <c r="E2009">
        <v>9.2857000000000003</v>
      </c>
      <c r="F2009">
        <v>-16932.599999999999</v>
      </c>
      <c r="G2009">
        <v>28.4</v>
      </c>
      <c r="H2009">
        <v>-16.3</v>
      </c>
      <c r="I2009">
        <v>41</v>
      </c>
      <c r="J2009">
        <v>-100.2</v>
      </c>
      <c r="K2009">
        <v>-408.4</v>
      </c>
      <c r="L2009" s="2"/>
    </row>
    <row r="2010" spans="1:12" x14ac:dyDescent="0.25">
      <c r="A2010" s="2" t="s">
        <v>30</v>
      </c>
      <c r="B2010" s="2" t="s">
        <v>31</v>
      </c>
      <c r="C2010" s="2" t="s">
        <v>32</v>
      </c>
      <c r="D2010" s="2" t="s">
        <v>95</v>
      </c>
      <c r="E2010">
        <v>10.2143</v>
      </c>
      <c r="F2010">
        <v>-16889.7</v>
      </c>
      <c r="G2010">
        <v>28</v>
      </c>
      <c r="H2010">
        <v>-16.3</v>
      </c>
      <c r="I2010">
        <v>41</v>
      </c>
      <c r="J2010">
        <v>-115.5</v>
      </c>
      <c r="K2010">
        <v>-476</v>
      </c>
      <c r="L2010" s="2"/>
    </row>
    <row r="2011" spans="1:12" x14ac:dyDescent="0.25">
      <c r="A2011" s="2" t="s">
        <v>30</v>
      </c>
      <c r="B2011" s="2" t="s">
        <v>31</v>
      </c>
      <c r="C2011" s="2" t="s">
        <v>32</v>
      </c>
      <c r="D2011" s="2" t="s">
        <v>95</v>
      </c>
      <c r="E2011">
        <v>11.142899999999999</v>
      </c>
      <c r="F2011">
        <v>-16846.900000000001</v>
      </c>
      <c r="G2011">
        <v>27.6</v>
      </c>
      <c r="H2011">
        <v>-16.3</v>
      </c>
      <c r="I2011">
        <v>41</v>
      </c>
      <c r="J2011">
        <v>-130.5</v>
      </c>
      <c r="K2011">
        <v>-542.1</v>
      </c>
      <c r="L2011" s="2"/>
    </row>
    <row r="2012" spans="1:12" x14ac:dyDescent="0.25">
      <c r="A2012" s="2" t="s">
        <v>30</v>
      </c>
      <c r="B2012" s="2" t="s">
        <v>31</v>
      </c>
      <c r="C2012" s="2" t="s">
        <v>32</v>
      </c>
      <c r="D2012" s="2" t="s">
        <v>95</v>
      </c>
      <c r="E2012">
        <v>12.071400000000001</v>
      </c>
      <c r="F2012">
        <v>-16804</v>
      </c>
      <c r="G2012">
        <v>27.3</v>
      </c>
      <c r="H2012">
        <v>-16.3</v>
      </c>
      <c r="I2012">
        <v>41</v>
      </c>
      <c r="J2012">
        <v>-145</v>
      </c>
      <c r="K2012">
        <v>-606.5</v>
      </c>
      <c r="L2012" s="2"/>
    </row>
    <row r="2013" spans="1:12" x14ac:dyDescent="0.25">
      <c r="A2013" s="2" t="s">
        <v>30</v>
      </c>
      <c r="B2013" s="2" t="s">
        <v>31</v>
      </c>
      <c r="C2013" s="2" t="s">
        <v>32</v>
      </c>
      <c r="D2013" s="2" t="s">
        <v>95</v>
      </c>
      <c r="E2013">
        <v>13</v>
      </c>
      <c r="F2013">
        <v>-16761.099999999999</v>
      </c>
      <c r="G2013">
        <v>26.9</v>
      </c>
      <c r="H2013">
        <v>-16.3</v>
      </c>
      <c r="I2013">
        <v>41</v>
      </c>
      <c r="J2013">
        <v>-159.1</v>
      </c>
      <c r="K2013">
        <v>-669.2</v>
      </c>
      <c r="L2013" s="2"/>
    </row>
    <row r="2014" spans="1:12" x14ac:dyDescent="0.25">
      <c r="A2014" s="2" t="s">
        <v>30</v>
      </c>
      <c r="B2014" s="2" t="s">
        <v>31</v>
      </c>
      <c r="C2014" s="2" t="s">
        <v>32</v>
      </c>
      <c r="D2014" s="2" t="s">
        <v>96</v>
      </c>
      <c r="E2014">
        <v>0</v>
      </c>
      <c r="F2014">
        <v>-6920.5</v>
      </c>
      <c r="G2014">
        <v>47.5</v>
      </c>
      <c r="H2014">
        <v>32.700000000000003</v>
      </c>
      <c r="I2014">
        <v>40.1</v>
      </c>
      <c r="J2014">
        <v>167.3</v>
      </c>
      <c r="K2014">
        <v>238.7</v>
      </c>
      <c r="L2014" s="2"/>
    </row>
    <row r="2015" spans="1:12" x14ac:dyDescent="0.25">
      <c r="A2015" s="2" t="s">
        <v>30</v>
      </c>
      <c r="B2015" s="2" t="s">
        <v>31</v>
      </c>
      <c r="C2015" s="2" t="s">
        <v>32</v>
      </c>
      <c r="D2015" s="2" t="s">
        <v>96</v>
      </c>
      <c r="E2015">
        <v>0.92859999999999998</v>
      </c>
      <c r="F2015">
        <v>-6920.5</v>
      </c>
      <c r="G2015">
        <v>47.5</v>
      </c>
      <c r="H2015">
        <v>32.4</v>
      </c>
      <c r="I2015">
        <v>40.1</v>
      </c>
      <c r="J2015">
        <v>131.1</v>
      </c>
      <c r="K2015">
        <v>194.6</v>
      </c>
      <c r="L2015" s="2"/>
    </row>
    <row r="2016" spans="1:12" x14ac:dyDescent="0.25">
      <c r="A2016" s="2" t="s">
        <v>30</v>
      </c>
      <c r="B2016" s="2" t="s">
        <v>31</v>
      </c>
      <c r="C2016" s="2" t="s">
        <v>32</v>
      </c>
      <c r="D2016" s="2" t="s">
        <v>96</v>
      </c>
      <c r="E2016">
        <v>1.8571</v>
      </c>
      <c r="F2016">
        <v>-6920.5</v>
      </c>
      <c r="G2016">
        <v>47.5</v>
      </c>
      <c r="H2016">
        <v>32</v>
      </c>
      <c r="I2016">
        <v>40.1</v>
      </c>
      <c r="J2016">
        <v>94.8</v>
      </c>
      <c r="K2016">
        <v>150.19999999999999</v>
      </c>
      <c r="L2016" s="2"/>
    </row>
    <row r="2017" spans="1:12" x14ac:dyDescent="0.25">
      <c r="A2017" s="2" t="s">
        <v>30</v>
      </c>
      <c r="B2017" s="2" t="s">
        <v>31</v>
      </c>
      <c r="C2017" s="2" t="s">
        <v>32</v>
      </c>
      <c r="D2017" s="2" t="s">
        <v>96</v>
      </c>
      <c r="E2017">
        <v>2.7856999999999998</v>
      </c>
      <c r="F2017">
        <v>-6920.5</v>
      </c>
      <c r="G2017">
        <v>47.5</v>
      </c>
      <c r="H2017">
        <v>31.7</v>
      </c>
      <c r="I2017">
        <v>40.1</v>
      </c>
      <c r="J2017">
        <v>58.5</v>
      </c>
      <c r="K2017">
        <v>105.7</v>
      </c>
      <c r="L2017" s="2"/>
    </row>
    <row r="2018" spans="1:12" x14ac:dyDescent="0.25">
      <c r="A2018" s="2" t="s">
        <v>30</v>
      </c>
      <c r="B2018" s="2" t="s">
        <v>31</v>
      </c>
      <c r="C2018" s="2" t="s">
        <v>32</v>
      </c>
      <c r="D2018" s="2" t="s">
        <v>96</v>
      </c>
      <c r="E2018">
        <v>3.7143000000000002</v>
      </c>
      <c r="F2018">
        <v>-6920.5</v>
      </c>
      <c r="G2018">
        <v>47.5</v>
      </c>
      <c r="H2018">
        <v>31.3</v>
      </c>
      <c r="I2018">
        <v>40.1</v>
      </c>
      <c r="J2018">
        <v>23.1</v>
      </c>
      <c r="K2018">
        <v>61</v>
      </c>
      <c r="L2018" s="2"/>
    </row>
    <row r="2019" spans="1:12" x14ac:dyDescent="0.25">
      <c r="A2019" s="2" t="s">
        <v>30</v>
      </c>
      <c r="B2019" s="2" t="s">
        <v>31</v>
      </c>
      <c r="C2019" s="2" t="s">
        <v>32</v>
      </c>
      <c r="D2019" s="2" t="s">
        <v>96</v>
      </c>
      <c r="E2019">
        <v>4.6429</v>
      </c>
      <c r="F2019">
        <v>-6920.5</v>
      </c>
      <c r="G2019">
        <v>47.5</v>
      </c>
      <c r="H2019">
        <v>31</v>
      </c>
      <c r="I2019">
        <v>40.1</v>
      </c>
      <c r="J2019">
        <v>8.1999999999999993</v>
      </c>
      <c r="K2019">
        <v>38.9</v>
      </c>
      <c r="L2019" s="2"/>
    </row>
    <row r="2020" spans="1:12" x14ac:dyDescent="0.25">
      <c r="A2020" s="2" t="s">
        <v>30</v>
      </c>
      <c r="B2020" s="2" t="s">
        <v>31</v>
      </c>
      <c r="C2020" s="2" t="s">
        <v>32</v>
      </c>
      <c r="D2020" s="2" t="s">
        <v>96</v>
      </c>
      <c r="E2020">
        <v>5.5713999999999997</v>
      </c>
      <c r="F2020">
        <v>-6920.5</v>
      </c>
      <c r="G2020">
        <v>47.5</v>
      </c>
      <c r="H2020">
        <v>30.6</v>
      </c>
      <c r="I2020">
        <v>40.1</v>
      </c>
      <c r="J2020">
        <v>-2.1</v>
      </c>
      <c r="K2020">
        <v>28.5</v>
      </c>
      <c r="L2020" s="2"/>
    </row>
    <row r="2021" spans="1:12" x14ac:dyDescent="0.25">
      <c r="A2021" s="2" t="s">
        <v>30</v>
      </c>
      <c r="B2021" s="2" t="s">
        <v>31</v>
      </c>
      <c r="C2021" s="2" t="s">
        <v>32</v>
      </c>
      <c r="D2021" s="2" t="s">
        <v>96</v>
      </c>
      <c r="E2021">
        <v>6.5</v>
      </c>
      <c r="F2021">
        <v>-6920.5</v>
      </c>
      <c r="G2021">
        <v>47.5</v>
      </c>
      <c r="H2021">
        <v>30.2</v>
      </c>
      <c r="I2021">
        <v>40.1</v>
      </c>
      <c r="J2021">
        <v>-7</v>
      </c>
      <c r="K2021">
        <v>18.100000000000001</v>
      </c>
      <c r="L2021" s="2"/>
    </row>
    <row r="2022" spans="1:12" x14ac:dyDescent="0.25">
      <c r="A2022" s="2" t="s">
        <v>30</v>
      </c>
      <c r="B2022" s="2" t="s">
        <v>31</v>
      </c>
      <c r="C2022" s="2" t="s">
        <v>32</v>
      </c>
      <c r="D2022" s="2" t="s">
        <v>96</v>
      </c>
      <c r="E2022">
        <v>7.4286000000000003</v>
      </c>
      <c r="F2022">
        <v>-6920.5</v>
      </c>
      <c r="G2022">
        <v>47.5</v>
      </c>
      <c r="H2022">
        <v>29.9</v>
      </c>
      <c r="I2022">
        <v>40.1</v>
      </c>
      <c r="J2022">
        <v>-11.5</v>
      </c>
      <c r="K2022">
        <v>7.5</v>
      </c>
      <c r="L2022" s="2"/>
    </row>
    <row r="2023" spans="1:12" x14ac:dyDescent="0.25">
      <c r="A2023" s="2" t="s">
        <v>30</v>
      </c>
      <c r="B2023" s="2" t="s">
        <v>31</v>
      </c>
      <c r="C2023" s="2" t="s">
        <v>32</v>
      </c>
      <c r="D2023" s="2" t="s">
        <v>96</v>
      </c>
      <c r="E2023">
        <v>8.3571000000000009</v>
      </c>
      <c r="F2023">
        <v>-6920.5</v>
      </c>
      <c r="G2023">
        <v>47.5</v>
      </c>
      <c r="H2023">
        <v>29.5</v>
      </c>
      <c r="I2023">
        <v>40.1</v>
      </c>
      <c r="J2023">
        <v>-15.4</v>
      </c>
      <c r="K2023">
        <v>-3</v>
      </c>
      <c r="L2023" s="2"/>
    </row>
    <row r="2024" spans="1:12" x14ac:dyDescent="0.25">
      <c r="A2024" s="2" t="s">
        <v>30</v>
      </c>
      <c r="B2024" s="2" t="s">
        <v>31</v>
      </c>
      <c r="C2024" s="2" t="s">
        <v>32</v>
      </c>
      <c r="D2024" s="2" t="s">
        <v>96</v>
      </c>
      <c r="E2024">
        <v>9.2857000000000003</v>
      </c>
      <c r="F2024">
        <v>-6920.5</v>
      </c>
      <c r="G2024">
        <v>47.5</v>
      </c>
      <c r="H2024">
        <v>29.2</v>
      </c>
      <c r="I2024">
        <v>40.1</v>
      </c>
      <c r="J2024">
        <v>-18.8</v>
      </c>
      <c r="K2024">
        <v>-13.6</v>
      </c>
      <c r="L2024" s="2"/>
    </row>
    <row r="2025" spans="1:12" x14ac:dyDescent="0.25">
      <c r="A2025" s="2" t="s">
        <v>30</v>
      </c>
      <c r="B2025" s="2" t="s">
        <v>31</v>
      </c>
      <c r="C2025" s="2" t="s">
        <v>32</v>
      </c>
      <c r="D2025" s="2" t="s">
        <v>96</v>
      </c>
      <c r="E2025">
        <v>10.2143</v>
      </c>
      <c r="F2025">
        <v>-6920.5</v>
      </c>
      <c r="G2025">
        <v>47.5</v>
      </c>
      <c r="H2025">
        <v>28.8</v>
      </c>
      <c r="I2025">
        <v>40.1</v>
      </c>
      <c r="J2025">
        <v>-21.5</v>
      </c>
      <c r="K2025">
        <v>-24.1</v>
      </c>
      <c r="L2025" s="2"/>
    </row>
    <row r="2026" spans="1:12" x14ac:dyDescent="0.25">
      <c r="A2026" s="2" t="s">
        <v>30</v>
      </c>
      <c r="B2026" s="2" t="s">
        <v>31</v>
      </c>
      <c r="C2026" s="2" t="s">
        <v>32</v>
      </c>
      <c r="D2026" s="2" t="s">
        <v>96</v>
      </c>
      <c r="E2026">
        <v>11.142899999999999</v>
      </c>
      <c r="F2026">
        <v>-6920.5</v>
      </c>
      <c r="G2026">
        <v>47.5</v>
      </c>
      <c r="H2026">
        <v>28.4</v>
      </c>
      <c r="I2026">
        <v>40.1</v>
      </c>
      <c r="J2026">
        <v>-23.4</v>
      </c>
      <c r="K2026">
        <v>-34.6</v>
      </c>
      <c r="L2026" s="2"/>
    </row>
    <row r="2027" spans="1:12" x14ac:dyDescent="0.25">
      <c r="A2027" s="2" t="s">
        <v>30</v>
      </c>
      <c r="B2027" s="2" t="s">
        <v>31</v>
      </c>
      <c r="C2027" s="2" t="s">
        <v>32</v>
      </c>
      <c r="D2027" s="2" t="s">
        <v>96</v>
      </c>
      <c r="E2027">
        <v>12.071400000000001</v>
      </c>
      <c r="F2027">
        <v>-6920.5</v>
      </c>
      <c r="G2027">
        <v>47.5</v>
      </c>
      <c r="H2027">
        <v>28.1</v>
      </c>
      <c r="I2027">
        <v>40.1</v>
      </c>
      <c r="J2027">
        <v>-24.7</v>
      </c>
      <c r="K2027">
        <v>-45</v>
      </c>
      <c r="L2027" s="2"/>
    </row>
    <row r="2028" spans="1:12" x14ac:dyDescent="0.25">
      <c r="A2028" s="2" t="s">
        <v>30</v>
      </c>
      <c r="B2028" s="2" t="s">
        <v>31</v>
      </c>
      <c r="C2028" s="2" t="s">
        <v>32</v>
      </c>
      <c r="D2028" s="2" t="s">
        <v>96</v>
      </c>
      <c r="E2028">
        <v>13</v>
      </c>
      <c r="F2028">
        <v>-6920.5</v>
      </c>
      <c r="G2028">
        <v>47.5</v>
      </c>
      <c r="H2028">
        <v>27.7</v>
      </c>
      <c r="I2028">
        <v>40.1</v>
      </c>
      <c r="J2028">
        <v>-25.1</v>
      </c>
      <c r="K2028">
        <v>-55.3</v>
      </c>
      <c r="L2028" s="2"/>
    </row>
    <row r="2029" spans="1:12" x14ac:dyDescent="0.25">
      <c r="A2029" s="2" t="s">
        <v>30</v>
      </c>
      <c r="B2029" s="2" t="s">
        <v>31</v>
      </c>
      <c r="C2029" s="2" t="s">
        <v>32</v>
      </c>
      <c r="D2029" s="2" t="s">
        <v>96</v>
      </c>
      <c r="E2029">
        <v>0</v>
      </c>
      <c r="F2029">
        <v>-16386.3</v>
      </c>
      <c r="G2029">
        <v>10.9</v>
      </c>
      <c r="H2029">
        <v>1.6</v>
      </c>
      <c r="I2029">
        <v>26.4</v>
      </c>
      <c r="J2029">
        <v>33.299999999999997</v>
      </c>
      <c r="K2029">
        <v>88.6</v>
      </c>
      <c r="L2029" s="2"/>
    </row>
    <row r="2030" spans="1:12" x14ac:dyDescent="0.25">
      <c r="A2030" s="2" t="s">
        <v>30</v>
      </c>
      <c r="B2030" s="2" t="s">
        <v>31</v>
      </c>
      <c r="C2030" s="2" t="s">
        <v>32</v>
      </c>
      <c r="D2030" s="2" t="s">
        <v>96</v>
      </c>
      <c r="E2030">
        <v>0.92859999999999998</v>
      </c>
      <c r="F2030">
        <v>-16343.4</v>
      </c>
      <c r="G2030">
        <v>10.9</v>
      </c>
      <c r="H2030">
        <v>1.2</v>
      </c>
      <c r="I2030">
        <v>26.4</v>
      </c>
      <c r="J2030">
        <v>26.8</v>
      </c>
      <c r="K2030">
        <v>79.099999999999994</v>
      </c>
      <c r="L2030" s="2"/>
    </row>
    <row r="2031" spans="1:12" x14ac:dyDescent="0.25">
      <c r="A2031" s="2" t="s">
        <v>30</v>
      </c>
      <c r="B2031" s="2" t="s">
        <v>31</v>
      </c>
      <c r="C2031" s="2" t="s">
        <v>32</v>
      </c>
      <c r="D2031" s="2" t="s">
        <v>96</v>
      </c>
      <c r="E2031">
        <v>1.8571</v>
      </c>
      <c r="F2031">
        <v>-16300.6</v>
      </c>
      <c r="G2031">
        <v>10.9</v>
      </c>
      <c r="H2031">
        <v>0.8</v>
      </c>
      <c r="I2031">
        <v>26.4</v>
      </c>
      <c r="J2031">
        <v>20.100000000000001</v>
      </c>
      <c r="K2031">
        <v>69.3</v>
      </c>
      <c r="L2031" s="2"/>
    </row>
    <row r="2032" spans="1:12" x14ac:dyDescent="0.25">
      <c r="A2032" s="2" t="s">
        <v>30</v>
      </c>
      <c r="B2032" s="2" t="s">
        <v>31</v>
      </c>
      <c r="C2032" s="2" t="s">
        <v>32</v>
      </c>
      <c r="D2032" s="2" t="s">
        <v>96</v>
      </c>
      <c r="E2032">
        <v>2.7856999999999998</v>
      </c>
      <c r="F2032">
        <v>-16257.7</v>
      </c>
      <c r="G2032">
        <v>10.9</v>
      </c>
      <c r="H2032">
        <v>0.5</v>
      </c>
      <c r="I2032">
        <v>26.4</v>
      </c>
      <c r="J2032">
        <v>13.5</v>
      </c>
      <c r="K2032">
        <v>59.3</v>
      </c>
      <c r="L2032" s="2"/>
    </row>
    <row r="2033" spans="1:12" x14ac:dyDescent="0.25">
      <c r="A2033" s="2" t="s">
        <v>30</v>
      </c>
      <c r="B2033" s="2" t="s">
        <v>31</v>
      </c>
      <c r="C2033" s="2" t="s">
        <v>32</v>
      </c>
      <c r="D2033" s="2" t="s">
        <v>96</v>
      </c>
      <c r="E2033">
        <v>3.7143000000000002</v>
      </c>
      <c r="F2033">
        <v>-16214.8</v>
      </c>
      <c r="G2033">
        <v>10.9</v>
      </c>
      <c r="H2033">
        <v>0.1</v>
      </c>
      <c r="I2033">
        <v>26.4</v>
      </c>
      <c r="J2033">
        <v>7.2</v>
      </c>
      <c r="K2033">
        <v>49.2</v>
      </c>
      <c r="L2033" s="2"/>
    </row>
    <row r="2034" spans="1:12" x14ac:dyDescent="0.25">
      <c r="A2034" s="2" t="s">
        <v>30</v>
      </c>
      <c r="B2034" s="2" t="s">
        <v>31</v>
      </c>
      <c r="C2034" s="2" t="s">
        <v>32</v>
      </c>
      <c r="D2034" s="2" t="s">
        <v>96</v>
      </c>
      <c r="E2034">
        <v>4.6429</v>
      </c>
      <c r="F2034">
        <v>-16171.9</v>
      </c>
      <c r="G2034">
        <v>10.9</v>
      </c>
      <c r="H2034">
        <v>-0.2</v>
      </c>
      <c r="I2034">
        <v>26.4</v>
      </c>
      <c r="J2034">
        <v>-13.5</v>
      </c>
      <c r="K2034">
        <v>14.5</v>
      </c>
      <c r="L2034" s="2"/>
    </row>
    <row r="2035" spans="1:12" x14ac:dyDescent="0.25">
      <c r="A2035" s="2" t="s">
        <v>30</v>
      </c>
      <c r="B2035" s="2" t="s">
        <v>31</v>
      </c>
      <c r="C2035" s="2" t="s">
        <v>32</v>
      </c>
      <c r="D2035" s="2" t="s">
        <v>96</v>
      </c>
      <c r="E2035">
        <v>5.5713999999999997</v>
      </c>
      <c r="F2035">
        <v>-16129</v>
      </c>
      <c r="G2035">
        <v>10.9</v>
      </c>
      <c r="H2035">
        <v>-0.6</v>
      </c>
      <c r="I2035">
        <v>26.4</v>
      </c>
      <c r="J2035">
        <v>-49</v>
      </c>
      <c r="K2035">
        <v>-30.9</v>
      </c>
      <c r="L2035" s="2"/>
    </row>
    <row r="2036" spans="1:12" x14ac:dyDescent="0.25">
      <c r="A2036" s="2" t="s">
        <v>30</v>
      </c>
      <c r="B2036" s="2" t="s">
        <v>31</v>
      </c>
      <c r="C2036" s="2" t="s">
        <v>32</v>
      </c>
      <c r="D2036" s="2" t="s">
        <v>96</v>
      </c>
      <c r="E2036">
        <v>6.5</v>
      </c>
      <c r="F2036">
        <v>-16086.1</v>
      </c>
      <c r="G2036">
        <v>10.9</v>
      </c>
      <c r="H2036">
        <v>-0.9</v>
      </c>
      <c r="I2036">
        <v>26.4</v>
      </c>
      <c r="J2036">
        <v>-84.1</v>
      </c>
      <c r="K2036">
        <v>-76.2</v>
      </c>
      <c r="L2036" s="2"/>
    </row>
    <row r="2037" spans="1:12" x14ac:dyDescent="0.25">
      <c r="A2037" s="2" t="s">
        <v>30</v>
      </c>
      <c r="B2037" s="2" t="s">
        <v>31</v>
      </c>
      <c r="C2037" s="2" t="s">
        <v>32</v>
      </c>
      <c r="D2037" s="2" t="s">
        <v>96</v>
      </c>
      <c r="E2037">
        <v>7.4286000000000003</v>
      </c>
      <c r="F2037">
        <v>-16043.3</v>
      </c>
      <c r="G2037">
        <v>10.9</v>
      </c>
      <c r="H2037">
        <v>-1.3</v>
      </c>
      <c r="I2037">
        <v>26.4</v>
      </c>
      <c r="J2037">
        <v>-118.5</v>
      </c>
      <c r="K2037">
        <v>-121.5</v>
      </c>
      <c r="L2037" s="2"/>
    </row>
    <row r="2038" spans="1:12" x14ac:dyDescent="0.25">
      <c r="A2038" s="2" t="s">
        <v>30</v>
      </c>
      <c r="B2038" s="2" t="s">
        <v>31</v>
      </c>
      <c r="C2038" s="2" t="s">
        <v>32</v>
      </c>
      <c r="D2038" s="2" t="s">
        <v>96</v>
      </c>
      <c r="E2038">
        <v>8.3571000000000009</v>
      </c>
      <c r="F2038">
        <v>-16000.4</v>
      </c>
      <c r="G2038">
        <v>10.9</v>
      </c>
      <c r="H2038">
        <v>-1.7</v>
      </c>
      <c r="I2038">
        <v>26.4</v>
      </c>
      <c r="J2038">
        <v>-152.30000000000001</v>
      </c>
      <c r="K2038">
        <v>-166.6</v>
      </c>
      <c r="L2038" s="2"/>
    </row>
    <row r="2039" spans="1:12" x14ac:dyDescent="0.25">
      <c r="A2039" s="2" t="s">
        <v>30</v>
      </c>
      <c r="B2039" s="2" t="s">
        <v>31</v>
      </c>
      <c r="C2039" s="2" t="s">
        <v>32</v>
      </c>
      <c r="D2039" s="2" t="s">
        <v>96</v>
      </c>
      <c r="E2039">
        <v>9.2857000000000003</v>
      </c>
      <c r="F2039">
        <v>-15957.5</v>
      </c>
      <c r="G2039">
        <v>10.9</v>
      </c>
      <c r="H2039">
        <v>-2</v>
      </c>
      <c r="I2039">
        <v>26.4</v>
      </c>
      <c r="J2039">
        <v>-185.2</v>
      </c>
      <c r="K2039">
        <v>-211.5</v>
      </c>
      <c r="L2039" s="2"/>
    </row>
    <row r="2040" spans="1:12" x14ac:dyDescent="0.25">
      <c r="A2040" s="2" t="s">
        <v>30</v>
      </c>
      <c r="B2040" s="2" t="s">
        <v>31</v>
      </c>
      <c r="C2040" s="2" t="s">
        <v>32</v>
      </c>
      <c r="D2040" s="2" t="s">
        <v>96</v>
      </c>
      <c r="E2040">
        <v>10.2143</v>
      </c>
      <c r="F2040">
        <v>-15914.6</v>
      </c>
      <c r="G2040">
        <v>10.9</v>
      </c>
      <c r="H2040">
        <v>-2.4</v>
      </c>
      <c r="I2040">
        <v>26.4</v>
      </c>
      <c r="J2040">
        <v>-217.2</v>
      </c>
      <c r="K2040">
        <v>-255.9</v>
      </c>
      <c r="L2040" s="2"/>
    </row>
    <row r="2041" spans="1:12" x14ac:dyDescent="0.25">
      <c r="A2041" s="2" t="s">
        <v>30</v>
      </c>
      <c r="B2041" s="2" t="s">
        <v>31</v>
      </c>
      <c r="C2041" s="2" t="s">
        <v>32</v>
      </c>
      <c r="D2041" s="2" t="s">
        <v>96</v>
      </c>
      <c r="E2041">
        <v>11.142899999999999</v>
      </c>
      <c r="F2041">
        <v>-15871.7</v>
      </c>
      <c r="G2041">
        <v>10.9</v>
      </c>
      <c r="H2041">
        <v>-2.7</v>
      </c>
      <c r="I2041">
        <v>26.4</v>
      </c>
      <c r="J2041">
        <v>-248.1</v>
      </c>
      <c r="K2041">
        <v>-300</v>
      </c>
      <c r="L2041" s="2"/>
    </row>
    <row r="2042" spans="1:12" x14ac:dyDescent="0.25">
      <c r="A2042" s="2" t="s">
        <v>30</v>
      </c>
      <c r="B2042" s="2" t="s">
        <v>31</v>
      </c>
      <c r="C2042" s="2" t="s">
        <v>32</v>
      </c>
      <c r="D2042" s="2" t="s">
        <v>96</v>
      </c>
      <c r="E2042">
        <v>12.071400000000001</v>
      </c>
      <c r="F2042">
        <v>-15828.8</v>
      </c>
      <c r="G2042">
        <v>10.9</v>
      </c>
      <c r="H2042">
        <v>-3.1</v>
      </c>
      <c r="I2042">
        <v>26.4</v>
      </c>
      <c r="J2042">
        <v>-278</v>
      </c>
      <c r="K2042">
        <v>-343.5</v>
      </c>
      <c r="L2042" s="2"/>
    </row>
    <row r="2043" spans="1:12" x14ac:dyDescent="0.25">
      <c r="A2043" s="2" t="s">
        <v>30</v>
      </c>
      <c r="B2043" s="2" t="s">
        <v>31</v>
      </c>
      <c r="C2043" s="2" t="s">
        <v>32</v>
      </c>
      <c r="D2043" s="2" t="s">
        <v>96</v>
      </c>
      <c r="E2043">
        <v>13</v>
      </c>
      <c r="F2043">
        <v>-15786</v>
      </c>
      <c r="G2043">
        <v>10.9</v>
      </c>
      <c r="H2043">
        <v>-3.4</v>
      </c>
      <c r="I2043">
        <v>26.4</v>
      </c>
      <c r="J2043">
        <v>-306.5</v>
      </c>
      <c r="K2043">
        <v>-386.4</v>
      </c>
      <c r="L2043" s="2"/>
    </row>
    <row r="2044" spans="1:12" x14ac:dyDescent="0.25">
      <c r="A2044" s="2" t="s">
        <v>30</v>
      </c>
      <c r="B2044" s="2" t="s">
        <v>31</v>
      </c>
      <c r="C2044" s="2" t="s">
        <v>32</v>
      </c>
      <c r="D2044" s="2" t="s">
        <v>97</v>
      </c>
      <c r="E2044">
        <v>0</v>
      </c>
      <c r="F2044">
        <v>-5155.5</v>
      </c>
      <c r="G2044">
        <v>52.3</v>
      </c>
      <c r="H2044">
        <v>12.7</v>
      </c>
      <c r="I2044">
        <v>43</v>
      </c>
      <c r="J2044">
        <v>43.1</v>
      </c>
      <c r="K2044">
        <v>221.7</v>
      </c>
      <c r="L2044" s="2"/>
    </row>
    <row r="2045" spans="1:12" x14ac:dyDescent="0.25">
      <c r="A2045" s="2" t="s">
        <v>30</v>
      </c>
      <c r="B2045" s="2" t="s">
        <v>31</v>
      </c>
      <c r="C2045" s="2" t="s">
        <v>32</v>
      </c>
      <c r="D2045" s="2" t="s">
        <v>97</v>
      </c>
      <c r="E2045">
        <v>0.92859999999999998</v>
      </c>
      <c r="F2045">
        <v>-5155.5</v>
      </c>
      <c r="G2045">
        <v>51.9</v>
      </c>
      <c r="H2045">
        <v>12.7</v>
      </c>
      <c r="I2045">
        <v>43</v>
      </c>
      <c r="J2045">
        <v>28.1</v>
      </c>
      <c r="K2045">
        <v>163.19999999999999</v>
      </c>
      <c r="L2045" s="2"/>
    </row>
    <row r="2046" spans="1:12" x14ac:dyDescent="0.25">
      <c r="A2046" s="2" t="s">
        <v>30</v>
      </c>
      <c r="B2046" s="2" t="s">
        <v>31</v>
      </c>
      <c r="C2046" s="2" t="s">
        <v>32</v>
      </c>
      <c r="D2046" s="2" t="s">
        <v>97</v>
      </c>
      <c r="E2046">
        <v>1.8571</v>
      </c>
      <c r="F2046">
        <v>-5155.5</v>
      </c>
      <c r="G2046">
        <v>51.5</v>
      </c>
      <c r="H2046">
        <v>12.7</v>
      </c>
      <c r="I2046">
        <v>43</v>
      </c>
      <c r="J2046">
        <v>13.1</v>
      </c>
      <c r="K2046">
        <v>104.9</v>
      </c>
      <c r="L2046" s="2"/>
    </row>
    <row r="2047" spans="1:12" x14ac:dyDescent="0.25">
      <c r="A2047" s="2" t="s">
        <v>30</v>
      </c>
      <c r="B2047" s="2" t="s">
        <v>31</v>
      </c>
      <c r="C2047" s="2" t="s">
        <v>32</v>
      </c>
      <c r="D2047" s="2" t="s">
        <v>97</v>
      </c>
      <c r="E2047">
        <v>2.7856999999999998</v>
      </c>
      <c r="F2047">
        <v>-5155.5</v>
      </c>
      <c r="G2047">
        <v>51.2</v>
      </c>
      <c r="H2047">
        <v>12.7</v>
      </c>
      <c r="I2047">
        <v>43</v>
      </c>
      <c r="J2047">
        <v>-2</v>
      </c>
      <c r="K2047">
        <v>46.7</v>
      </c>
      <c r="L2047" s="2"/>
    </row>
    <row r="2048" spans="1:12" x14ac:dyDescent="0.25">
      <c r="A2048" s="2" t="s">
        <v>30</v>
      </c>
      <c r="B2048" s="2" t="s">
        <v>31</v>
      </c>
      <c r="C2048" s="2" t="s">
        <v>32</v>
      </c>
      <c r="D2048" s="2" t="s">
        <v>97</v>
      </c>
      <c r="E2048">
        <v>3.7143000000000002</v>
      </c>
      <c r="F2048">
        <v>-5155.5</v>
      </c>
      <c r="G2048">
        <v>50.8</v>
      </c>
      <c r="H2048">
        <v>12.7</v>
      </c>
      <c r="I2048">
        <v>43</v>
      </c>
      <c r="J2048">
        <v>-16.5</v>
      </c>
      <c r="K2048">
        <v>-11</v>
      </c>
      <c r="L2048" s="2"/>
    </row>
    <row r="2049" spans="1:12" x14ac:dyDescent="0.25">
      <c r="A2049" s="2" t="s">
        <v>30</v>
      </c>
      <c r="B2049" s="2" t="s">
        <v>31</v>
      </c>
      <c r="C2049" s="2" t="s">
        <v>32</v>
      </c>
      <c r="D2049" s="2" t="s">
        <v>97</v>
      </c>
      <c r="E2049">
        <v>4.6429</v>
      </c>
      <c r="F2049">
        <v>-5155.5</v>
      </c>
      <c r="G2049">
        <v>50.5</v>
      </c>
      <c r="H2049">
        <v>12.7</v>
      </c>
      <c r="I2049">
        <v>43</v>
      </c>
      <c r="J2049">
        <v>-15.7</v>
      </c>
      <c r="K2049">
        <v>-51.4</v>
      </c>
      <c r="L2049" s="2"/>
    </row>
    <row r="2050" spans="1:12" x14ac:dyDescent="0.25">
      <c r="A2050" s="2" t="s">
        <v>30</v>
      </c>
      <c r="B2050" s="2" t="s">
        <v>31</v>
      </c>
      <c r="C2050" s="2" t="s">
        <v>32</v>
      </c>
      <c r="D2050" s="2" t="s">
        <v>97</v>
      </c>
      <c r="E2050">
        <v>5.5713999999999997</v>
      </c>
      <c r="F2050">
        <v>-5155.5</v>
      </c>
      <c r="G2050">
        <v>50.1</v>
      </c>
      <c r="H2050">
        <v>12.7</v>
      </c>
      <c r="I2050">
        <v>43</v>
      </c>
      <c r="J2050">
        <v>-11.7</v>
      </c>
      <c r="K2050">
        <v>-82.4</v>
      </c>
      <c r="L2050" s="2"/>
    </row>
    <row r="2051" spans="1:12" x14ac:dyDescent="0.25">
      <c r="A2051" s="2" t="s">
        <v>30</v>
      </c>
      <c r="B2051" s="2" t="s">
        <v>31</v>
      </c>
      <c r="C2051" s="2" t="s">
        <v>32</v>
      </c>
      <c r="D2051" s="2" t="s">
        <v>97</v>
      </c>
      <c r="E2051">
        <v>6.5</v>
      </c>
      <c r="F2051">
        <v>-5155.5</v>
      </c>
      <c r="G2051">
        <v>49.8</v>
      </c>
      <c r="H2051">
        <v>12.7</v>
      </c>
      <c r="I2051">
        <v>43</v>
      </c>
      <c r="J2051">
        <v>-3.9</v>
      </c>
      <c r="K2051">
        <v>-112.8</v>
      </c>
      <c r="L2051" s="2"/>
    </row>
    <row r="2052" spans="1:12" x14ac:dyDescent="0.25">
      <c r="A2052" s="2" t="s">
        <v>30</v>
      </c>
      <c r="B2052" s="2" t="s">
        <v>31</v>
      </c>
      <c r="C2052" s="2" t="s">
        <v>32</v>
      </c>
      <c r="D2052" s="2" t="s">
        <v>97</v>
      </c>
      <c r="E2052">
        <v>7.4286000000000003</v>
      </c>
      <c r="F2052">
        <v>-5155.5</v>
      </c>
      <c r="G2052">
        <v>49.4</v>
      </c>
      <c r="H2052">
        <v>12.7</v>
      </c>
      <c r="I2052">
        <v>43</v>
      </c>
      <c r="J2052">
        <v>4</v>
      </c>
      <c r="K2052">
        <v>-142.5</v>
      </c>
      <c r="L2052" s="2"/>
    </row>
    <row r="2053" spans="1:12" x14ac:dyDescent="0.25">
      <c r="A2053" s="2" t="s">
        <v>30</v>
      </c>
      <c r="B2053" s="2" t="s">
        <v>31</v>
      </c>
      <c r="C2053" s="2" t="s">
        <v>32</v>
      </c>
      <c r="D2053" s="2" t="s">
        <v>97</v>
      </c>
      <c r="E2053">
        <v>8.3571000000000009</v>
      </c>
      <c r="F2053">
        <v>-5155.5</v>
      </c>
      <c r="G2053">
        <v>49</v>
      </c>
      <c r="H2053">
        <v>12.7</v>
      </c>
      <c r="I2053">
        <v>43</v>
      </c>
      <c r="J2053">
        <v>12</v>
      </c>
      <c r="K2053">
        <v>-171.4</v>
      </c>
      <c r="L2053" s="2"/>
    </row>
    <row r="2054" spans="1:12" x14ac:dyDescent="0.25">
      <c r="A2054" s="2" t="s">
        <v>30</v>
      </c>
      <c r="B2054" s="2" t="s">
        <v>31</v>
      </c>
      <c r="C2054" s="2" t="s">
        <v>32</v>
      </c>
      <c r="D2054" s="2" t="s">
        <v>97</v>
      </c>
      <c r="E2054">
        <v>9.2857000000000003</v>
      </c>
      <c r="F2054">
        <v>-5155.5</v>
      </c>
      <c r="G2054">
        <v>48.7</v>
      </c>
      <c r="H2054">
        <v>12.7</v>
      </c>
      <c r="I2054">
        <v>43</v>
      </c>
      <c r="J2054">
        <v>20.2</v>
      </c>
      <c r="K2054">
        <v>-199.5</v>
      </c>
      <c r="L2054" s="2"/>
    </row>
    <row r="2055" spans="1:12" x14ac:dyDescent="0.25">
      <c r="A2055" s="2" t="s">
        <v>30</v>
      </c>
      <c r="B2055" s="2" t="s">
        <v>31</v>
      </c>
      <c r="C2055" s="2" t="s">
        <v>32</v>
      </c>
      <c r="D2055" s="2" t="s">
        <v>97</v>
      </c>
      <c r="E2055">
        <v>10.2143</v>
      </c>
      <c r="F2055">
        <v>-5155.5</v>
      </c>
      <c r="G2055">
        <v>48.3</v>
      </c>
      <c r="H2055">
        <v>12.7</v>
      </c>
      <c r="I2055">
        <v>43</v>
      </c>
      <c r="J2055">
        <v>28.5</v>
      </c>
      <c r="K2055">
        <v>-226.7</v>
      </c>
      <c r="L2055" s="2"/>
    </row>
    <row r="2056" spans="1:12" x14ac:dyDescent="0.25">
      <c r="A2056" s="2" t="s">
        <v>30</v>
      </c>
      <c r="B2056" s="2" t="s">
        <v>31</v>
      </c>
      <c r="C2056" s="2" t="s">
        <v>32</v>
      </c>
      <c r="D2056" s="2" t="s">
        <v>97</v>
      </c>
      <c r="E2056">
        <v>11.142899999999999</v>
      </c>
      <c r="F2056">
        <v>-5155.5</v>
      </c>
      <c r="G2056">
        <v>48</v>
      </c>
      <c r="H2056">
        <v>12.7</v>
      </c>
      <c r="I2056">
        <v>43</v>
      </c>
      <c r="J2056">
        <v>36.9</v>
      </c>
      <c r="K2056">
        <v>-252.8</v>
      </c>
      <c r="L2056" s="2"/>
    </row>
    <row r="2057" spans="1:12" x14ac:dyDescent="0.25">
      <c r="A2057" s="2" t="s">
        <v>30</v>
      </c>
      <c r="B2057" s="2" t="s">
        <v>31</v>
      </c>
      <c r="C2057" s="2" t="s">
        <v>32</v>
      </c>
      <c r="D2057" s="2" t="s">
        <v>97</v>
      </c>
      <c r="E2057">
        <v>12.071400000000001</v>
      </c>
      <c r="F2057">
        <v>-5155.5</v>
      </c>
      <c r="G2057">
        <v>47.6</v>
      </c>
      <c r="H2057">
        <v>12.7</v>
      </c>
      <c r="I2057">
        <v>43</v>
      </c>
      <c r="J2057">
        <v>45.5</v>
      </c>
      <c r="K2057">
        <v>-277.8</v>
      </c>
      <c r="L2057" s="2"/>
    </row>
    <row r="2058" spans="1:12" x14ac:dyDescent="0.25">
      <c r="A2058" s="2" t="s">
        <v>30</v>
      </c>
      <c r="B2058" s="2" t="s">
        <v>31</v>
      </c>
      <c r="C2058" s="2" t="s">
        <v>32</v>
      </c>
      <c r="D2058" s="2" t="s">
        <v>97</v>
      </c>
      <c r="E2058">
        <v>13</v>
      </c>
      <c r="F2058">
        <v>-5155.5</v>
      </c>
      <c r="G2058">
        <v>47.3</v>
      </c>
      <c r="H2058">
        <v>12.7</v>
      </c>
      <c r="I2058">
        <v>43</v>
      </c>
      <c r="J2058">
        <v>54.3</v>
      </c>
      <c r="K2058">
        <v>-301.60000000000002</v>
      </c>
      <c r="L2058" s="2"/>
    </row>
    <row r="2059" spans="1:12" x14ac:dyDescent="0.25">
      <c r="A2059" s="2" t="s">
        <v>30</v>
      </c>
      <c r="B2059" s="2" t="s">
        <v>31</v>
      </c>
      <c r="C2059" s="2" t="s">
        <v>32</v>
      </c>
      <c r="D2059" s="2" t="s">
        <v>97</v>
      </c>
      <c r="E2059">
        <v>0</v>
      </c>
      <c r="F2059">
        <v>-12254.8</v>
      </c>
      <c r="G2059">
        <v>24.8</v>
      </c>
      <c r="H2059">
        <v>-10.7</v>
      </c>
      <c r="I2059">
        <v>32.700000000000003</v>
      </c>
      <c r="J2059">
        <v>-57.5</v>
      </c>
      <c r="K2059">
        <v>109.2</v>
      </c>
      <c r="L2059" s="2"/>
    </row>
    <row r="2060" spans="1:12" x14ac:dyDescent="0.25">
      <c r="A2060" s="2" t="s">
        <v>30</v>
      </c>
      <c r="B2060" s="2" t="s">
        <v>31</v>
      </c>
      <c r="C2060" s="2" t="s">
        <v>32</v>
      </c>
      <c r="D2060" s="2" t="s">
        <v>97</v>
      </c>
      <c r="E2060">
        <v>0.92859999999999998</v>
      </c>
      <c r="F2060">
        <v>-12222.6</v>
      </c>
      <c r="G2060">
        <v>24.5</v>
      </c>
      <c r="H2060">
        <v>-10.7</v>
      </c>
      <c r="I2060">
        <v>32.700000000000003</v>
      </c>
      <c r="J2060">
        <v>-50.1</v>
      </c>
      <c r="K2060">
        <v>76.599999999999994</v>
      </c>
      <c r="L2060" s="2"/>
    </row>
    <row r="2061" spans="1:12" x14ac:dyDescent="0.25">
      <c r="A2061" s="2" t="s">
        <v>30</v>
      </c>
      <c r="B2061" s="2" t="s">
        <v>31</v>
      </c>
      <c r="C2061" s="2" t="s">
        <v>32</v>
      </c>
      <c r="D2061" s="2" t="s">
        <v>97</v>
      </c>
      <c r="E2061">
        <v>1.8571</v>
      </c>
      <c r="F2061">
        <v>-12190.5</v>
      </c>
      <c r="G2061">
        <v>24.1</v>
      </c>
      <c r="H2061">
        <v>-10.7</v>
      </c>
      <c r="I2061">
        <v>32.700000000000003</v>
      </c>
      <c r="J2061">
        <v>-42.9</v>
      </c>
      <c r="K2061">
        <v>44.2</v>
      </c>
      <c r="L2061" s="2"/>
    </row>
    <row r="2062" spans="1:12" x14ac:dyDescent="0.25">
      <c r="A2062" s="2" t="s">
        <v>30</v>
      </c>
      <c r="B2062" s="2" t="s">
        <v>31</v>
      </c>
      <c r="C2062" s="2" t="s">
        <v>32</v>
      </c>
      <c r="D2062" s="2" t="s">
        <v>97</v>
      </c>
      <c r="E2062">
        <v>2.7856999999999998</v>
      </c>
      <c r="F2062">
        <v>-12158.3</v>
      </c>
      <c r="G2062">
        <v>23.7</v>
      </c>
      <c r="H2062">
        <v>-10.7</v>
      </c>
      <c r="I2062">
        <v>32.700000000000003</v>
      </c>
      <c r="J2062">
        <v>-35.700000000000003</v>
      </c>
      <c r="K2062">
        <v>12</v>
      </c>
      <c r="L2062" s="2"/>
    </row>
    <row r="2063" spans="1:12" x14ac:dyDescent="0.25">
      <c r="A2063" s="2" t="s">
        <v>30</v>
      </c>
      <c r="B2063" s="2" t="s">
        <v>31</v>
      </c>
      <c r="C2063" s="2" t="s">
        <v>32</v>
      </c>
      <c r="D2063" s="2" t="s">
        <v>97</v>
      </c>
      <c r="E2063">
        <v>3.7143000000000002</v>
      </c>
      <c r="F2063">
        <v>-12126.1</v>
      </c>
      <c r="G2063">
        <v>23.4</v>
      </c>
      <c r="H2063">
        <v>-10.7</v>
      </c>
      <c r="I2063">
        <v>32.700000000000003</v>
      </c>
      <c r="J2063">
        <v>-28.4</v>
      </c>
      <c r="K2063">
        <v>-19.899999999999999</v>
      </c>
      <c r="L2063" s="2"/>
    </row>
    <row r="2064" spans="1:12" x14ac:dyDescent="0.25">
      <c r="A2064" s="2" t="s">
        <v>30</v>
      </c>
      <c r="B2064" s="2" t="s">
        <v>31</v>
      </c>
      <c r="C2064" s="2" t="s">
        <v>32</v>
      </c>
      <c r="D2064" s="2" t="s">
        <v>97</v>
      </c>
      <c r="E2064">
        <v>4.6429</v>
      </c>
      <c r="F2064">
        <v>-12094</v>
      </c>
      <c r="G2064">
        <v>23</v>
      </c>
      <c r="H2064">
        <v>-10.7</v>
      </c>
      <c r="I2064">
        <v>32.700000000000003</v>
      </c>
      <c r="J2064">
        <v>-32.1</v>
      </c>
      <c r="K2064">
        <v>-69.7</v>
      </c>
      <c r="L2064" s="2"/>
    </row>
    <row r="2065" spans="1:12" x14ac:dyDescent="0.25">
      <c r="A2065" s="2" t="s">
        <v>30</v>
      </c>
      <c r="B2065" s="2" t="s">
        <v>31</v>
      </c>
      <c r="C2065" s="2" t="s">
        <v>32</v>
      </c>
      <c r="D2065" s="2" t="s">
        <v>97</v>
      </c>
      <c r="E2065">
        <v>5.5713999999999997</v>
      </c>
      <c r="F2065">
        <v>-12061.8</v>
      </c>
      <c r="G2065">
        <v>22.7</v>
      </c>
      <c r="H2065">
        <v>-10.7</v>
      </c>
      <c r="I2065">
        <v>32.700000000000003</v>
      </c>
      <c r="J2065">
        <v>-47</v>
      </c>
      <c r="K2065">
        <v>-126.9</v>
      </c>
      <c r="L2065" s="2"/>
    </row>
    <row r="2066" spans="1:12" x14ac:dyDescent="0.25">
      <c r="A2066" s="2" t="s">
        <v>30</v>
      </c>
      <c r="B2066" s="2" t="s">
        <v>31</v>
      </c>
      <c r="C2066" s="2" t="s">
        <v>32</v>
      </c>
      <c r="D2066" s="2" t="s">
        <v>97</v>
      </c>
      <c r="E2066">
        <v>6.5</v>
      </c>
      <c r="F2066">
        <v>-12029.7</v>
      </c>
      <c r="G2066">
        <v>22.3</v>
      </c>
      <c r="H2066">
        <v>-10.7</v>
      </c>
      <c r="I2066">
        <v>32.700000000000003</v>
      </c>
      <c r="J2066">
        <v>-61.7</v>
      </c>
      <c r="K2066">
        <v>-183.5</v>
      </c>
      <c r="L2066" s="2"/>
    </row>
    <row r="2067" spans="1:12" x14ac:dyDescent="0.25">
      <c r="A2067" s="2" t="s">
        <v>30</v>
      </c>
      <c r="B2067" s="2" t="s">
        <v>31</v>
      </c>
      <c r="C2067" s="2" t="s">
        <v>32</v>
      </c>
      <c r="D2067" s="2" t="s">
        <v>97</v>
      </c>
      <c r="E2067">
        <v>7.4286000000000003</v>
      </c>
      <c r="F2067">
        <v>-11997.5</v>
      </c>
      <c r="G2067">
        <v>22</v>
      </c>
      <c r="H2067">
        <v>-10.7</v>
      </c>
      <c r="I2067">
        <v>32.700000000000003</v>
      </c>
      <c r="J2067">
        <v>-76.3</v>
      </c>
      <c r="K2067">
        <v>-239.3</v>
      </c>
      <c r="L2067" s="2"/>
    </row>
    <row r="2068" spans="1:12" x14ac:dyDescent="0.25">
      <c r="A2068" s="2" t="s">
        <v>30</v>
      </c>
      <c r="B2068" s="2" t="s">
        <v>31</v>
      </c>
      <c r="C2068" s="2" t="s">
        <v>32</v>
      </c>
      <c r="D2068" s="2" t="s">
        <v>97</v>
      </c>
      <c r="E2068">
        <v>8.3571000000000009</v>
      </c>
      <c r="F2068">
        <v>-11965.3</v>
      </c>
      <c r="G2068">
        <v>21.6</v>
      </c>
      <c r="H2068">
        <v>-10.7</v>
      </c>
      <c r="I2068">
        <v>32.700000000000003</v>
      </c>
      <c r="J2068">
        <v>-90.6</v>
      </c>
      <c r="K2068">
        <v>-294.10000000000002</v>
      </c>
      <c r="L2068" s="2"/>
    </row>
    <row r="2069" spans="1:12" x14ac:dyDescent="0.25">
      <c r="A2069" s="2" t="s">
        <v>30</v>
      </c>
      <c r="B2069" s="2" t="s">
        <v>31</v>
      </c>
      <c r="C2069" s="2" t="s">
        <v>32</v>
      </c>
      <c r="D2069" s="2" t="s">
        <v>97</v>
      </c>
      <c r="E2069">
        <v>9.2857000000000003</v>
      </c>
      <c r="F2069">
        <v>-11933.2</v>
      </c>
      <c r="G2069">
        <v>21.2</v>
      </c>
      <c r="H2069">
        <v>-10.7</v>
      </c>
      <c r="I2069">
        <v>32.700000000000003</v>
      </c>
      <c r="J2069">
        <v>-104.6</v>
      </c>
      <c r="K2069">
        <v>-347.9</v>
      </c>
      <c r="L2069" s="2"/>
    </row>
    <row r="2070" spans="1:12" x14ac:dyDescent="0.25">
      <c r="A2070" s="2" t="s">
        <v>30</v>
      </c>
      <c r="B2070" s="2" t="s">
        <v>31</v>
      </c>
      <c r="C2070" s="2" t="s">
        <v>32</v>
      </c>
      <c r="D2070" s="2" t="s">
        <v>97</v>
      </c>
      <c r="E2070">
        <v>10.2143</v>
      </c>
      <c r="F2070">
        <v>-11901</v>
      </c>
      <c r="G2070">
        <v>20.9</v>
      </c>
      <c r="H2070">
        <v>-10.7</v>
      </c>
      <c r="I2070">
        <v>32.700000000000003</v>
      </c>
      <c r="J2070">
        <v>-118.3</v>
      </c>
      <c r="K2070">
        <v>-400.6</v>
      </c>
      <c r="L2070" s="2"/>
    </row>
    <row r="2071" spans="1:12" x14ac:dyDescent="0.25">
      <c r="A2071" s="2" t="s">
        <v>30</v>
      </c>
      <c r="B2071" s="2" t="s">
        <v>31</v>
      </c>
      <c r="C2071" s="2" t="s">
        <v>32</v>
      </c>
      <c r="D2071" s="2" t="s">
        <v>97</v>
      </c>
      <c r="E2071">
        <v>11.142899999999999</v>
      </c>
      <c r="F2071">
        <v>-11868.8</v>
      </c>
      <c r="G2071">
        <v>20.5</v>
      </c>
      <c r="H2071">
        <v>-10.7</v>
      </c>
      <c r="I2071">
        <v>32.700000000000003</v>
      </c>
      <c r="J2071">
        <v>-131.6</v>
      </c>
      <c r="K2071">
        <v>-451.8</v>
      </c>
      <c r="L2071" s="2"/>
    </row>
    <row r="2072" spans="1:12" x14ac:dyDescent="0.25">
      <c r="A2072" s="2" t="s">
        <v>30</v>
      </c>
      <c r="B2072" s="2" t="s">
        <v>31</v>
      </c>
      <c r="C2072" s="2" t="s">
        <v>32</v>
      </c>
      <c r="D2072" s="2" t="s">
        <v>97</v>
      </c>
      <c r="E2072">
        <v>12.071400000000001</v>
      </c>
      <c r="F2072">
        <v>-11836.7</v>
      </c>
      <c r="G2072">
        <v>20.2</v>
      </c>
      <c r="H2072">
        <v>-10.7</v>
      </c>
      <c r="I2072">
        <v>32.700000000000003</v>
      </c>
      <c r="J2072">
        <v>-144.5</v>
      </c>
      <c r="K2072">
        <v>-501.7</v>
      </c>
      <c r="L2072" s="2"/>
    </row>
    <row r="2073" spans="1:12" x14ac:dyDescent="0.25">
      <c r="A2073" s="2" t="s">
        <v>30</v>
      </c>
      <c r="B2073" s="2" t="s">
        <v>31</v>
      </c>
      <c r="C2073" s="2" t="s">
        <v>32</v>
      </c>
      <c r="D2073" s="2" t="s">
        <v>97</v>
      </c>
      <c r="E2073">
        <v>13</v>
      </c>
      <c r="F2073">
        <v>-11804.5</v>
      </c>
      <c r="G2073">
        <v>19.8</v>
      </c>
      <c r="H2073">
        <v>-10.7</v>
      </c>
      <c r="I2073">
        <v>32.700000000000003</v>
      </c>
      <c r="J2073">
        <v>-156.80000000000001</v>
      </c>
      <c r="K2073">
        <v>-549.9</v>
      </c>
      <c r="L2073" s="2"/>
    </row>
    <row r="2074" spans="1:12" x14ac:dyDescent="0.25">
      <c r="A2074" s="2" t="s">
        <v>30</v>
      </c>
      <c r="B2074" s="2" t="s">
        <v>31</v>
      </c>
      <c r="C2074" s="2" t="s">
        <v>32</v>
      </c>
      <c r="D2074" s="2" t="s">
        <v>98</v>
      </c>
      <c r="E2074">
        <v>0</v>
      </c>
      <c r="F2074">
        <v>-4180.3</v>
      </c>
      <c r="G2074">
        <v>31.2</v>
      </c>
      <c r="H2074">
        <v>30.6</v>
      </c>
      <c r="I2074">
        <v>28.5</v>
      </c>
      <c r="J2074">
        <v>147.69999999999999</v>
      </c>
      <c r="K2074">
        <v>148.80000000000001</v>
      </c>
      <c r="L2074" s="2"/>
    </row>
    <row r="2075" spans="1:12" x14ac:dyDescent="0.25">
      <c r="A2075" s="2" t="s">
        <v>30</v>
      </c>
      <c r="B2075" s="2" t="s">
        <v>31</v>
      </c>
      <c r="C2075" s="2" t="s">
        <v>32</v>
      </c>
      <c r="D2075" s="2" t="s">
        <v>98</v>
      </c>
      <c r="E2075">
        <v>0.92859999999999998</v>
      </c>
      <c r="F2075">
        <v>-4180.3</v>
      </c>
      <c r="G2075">
        <v>31.2</v>
      </c>
      <c r="H2075">
        <v>30.2</v>
      </c>
      <c r="I2075">
        <v>28.5</v>
      </c>
      <c r="J2075">
        <v>112.8</v>
      </c>
      <c r="K2075">
        <v>119.2</v>
      </c>
      <c r="L2075" s="2"/>
    </row>
    <row r="2076" spans="1:12" x14ac:dyDescent="0.25">
      <c r="A2076" s="2" t="s">
        <v>30</v>
      </c>
      <c r="B2076" s="2" t="s">
        <v>31</v>
      </c>
      <c r="C2076" s="2" t="s">
        <v>32</v>
      </c>
      <c r="D2076" s="2" t="s">
        <v>98</v>
      </c>
      <c r="E2076">
        <v>1.8571</v>
      </c>
      <c r="F2076">
        <v>-4180.3</v>
      </c>
      <c r="G2076">
        <v>31.2</v>
      </c>
      <c r="H2076">
        <v>29.9</v>
      </c>
      <c r="I2076">
        <v>28.5</v>
      </c>
      <c r="J2076">
        <v>77.8</v>
      </c>
      <c r="K2076">
        <v>89.6</v>
      </c>
      <c r="L2076" s="2"/>
    </row>
    <row r="2077" spans="1:12" x14ac:dyDescent="0.25">
      <c r="A2077" s="2" t="s">
        <v>30</v>
      </c>
      <c r="B2077" s="2" t="s">
        <v>31</v>
      </c>
      <c r="C2077" s="2" t="s">
        <v>32</v>
      </c>
      <c r="D2077" s="2" t="s">
        <v>98</v>
      </c>
      <c r="E2077">
        <v>2.7856999999999998</v>
      </c>
      <c r="F2077">
        <v>-4180.3</v>
      </c>
      <c r="G2077">
        <v>31.2</v>
      </c>
      <c r="H2077">
        <v>29.5</v>
      </c>
      <c r="I2077">
        <v>28.5</v>
      </c>
      <c r="J2077">
        <v>42.9</v>
      </c>
      <c r="K2077">
        <v>59.9</v>
      </c>
      <c r="L2077" s="2"/>
    </row>
    <row r="2078" spans="1:12" x14ac:dyDescent="0.25">
      <c r="A2078" s="2" t="s">
        <v>30</v>
      </c>
      <c r="B2078" s="2" t="s">
        <v>31</v>
      </c>
      <c r="C2078" s="2" t="s">
        <v>32</v>
      </c>
      <c r="D2078" s="2" t="s">
        <v>98</v>
      </c>
      <c r="E2078">
        <v>3.7143000000000002</v>
      </c>
      <c r="F2078">
        <v>-4180.3</v>
      </c>
      <c r="G2078">
        <v>31.2</v>
      </c>
      <c r="H2078">
        <v>29.2</v>
      </c>
      <c r="I2078">
        <v>28.5</v>
      </c>
      <c r="J2078">
        <v>8.8000000000000007</v>
      </c>
      <c r="K2078">
        <v>30.1</v>
      </c>
      <c r="L2078" s="2"/>
    </row>
    <row r="2079" spans="1:12" x14ac:dyDescent="0.25">
      <c r="A2079" s="2" t="s">
        <v>30</v>
      </c>
      <c r="B2079" s="2" t="s">
        <v>31</v>
      </c>
      <c r="C2079" s="2" t="s">
        <v>32</v>
      </c>
      <c r="D2079" s="2" t="s">
        <v>98</v>
      </c>
      <c r="E2079">
        <v>4.6429</v>
      </c>
      <c r="F2079">
        <v>-4180.3</v>
      </c>
      <c r="G2079">
        <v>31.2</v>
      </c>
      <c r="H2079">
        <v>28.8</v>
      </c>
      <c r="I2079">
        <v>28.5</v>
      </c>
      <c r="J2079">
        <v>-9.8000000000000007</v>
      </c>
      <c r="K2079">
        <v>17.399999999999999</v>
      </c>
      <c r="L2079" s="2"/>
    </row>
    <row r="2080" spans="1:12" x14ac:dyDescent="0.25">
      <c r="A2080" s="2" t="s">
        <v>30</v>
      </c>
      <c r="B2080" s="2" t="s">
        <v>31</v>
      </c>
      <c r="C2080" s="2" t="s">
        <v>32</v>
      </c>
      <c r="D2080" s="2" t="s">
        <v>98</v>
      </c>
      <c r="E2080">
        <v>5.5713999999999997</v>
      </c>
      <c r="F2080">
        <v>-4180.3</v>
      </c>
      <c r="G2080">
        <v>31.2</v>
      </c>
      <c r="H2080">
        <v>28.4</v>
      </c>
      <c r="I2080">
        <v>28.5</v>
      </c>
      <c r="J2080">
        <v>-24.8</v>
      </c>
      <c r="K2080">
        <v>13.4</v>
      </c>
      <c r="L2080" s="2"/>
    </row>
    <row r="2081" spans="1:12" x14ac:dyDescent="0.25">
      <c r="A2081" s="2" t="s">
        <v>30</v>
      </c>
      <c r="B2081" s="2" t="s">
        <v>31</v>
      </c>
      <c r="C2081" s="2" t="s">
        <v>32</v>
      </c>
      <c r="D2081" s="2" t="s">
        <v>98</v>
      </c>
      <c r="E2081">
        <v>6.5</v>
      </c>
      <c r="F2081">
        <v>-4180.3</v>
      </c>
      <c r="G2081">
        <v>31.2</v>
      </c>
      <c r="H2081">
        <v>28.1</v>
      </c>
      <c r="I2081">
        <v>28.5</v>
      </c>
      <c r="J2081">
        <v>-35.700000000000003</v>
      </c>
      <c r="K2081">
        <v>9.5</v>
      </c>
      <c r="L2081" s="2"/>
    </row>
    <row r="2082" spans="1:12" x14ac:dyDescent="0.25">
      <c r="A2082" s="2" t="s">
        <v>30</v>
      </c>
      <c r="B2082" s="2" t="s">
        <v>31</v>
      </c>
      <c r="C2082" s="2" t="s">
        <v>32</v>
      </c>
      <c r="D2082" s="2" t="s">
        <v>98</v>
      </c>
      <c r="E2082">
        <v>7.4286000000000003</v>
      </c>
      <c r="F2082">
        <v>-4180.3</v>
      </c>
      <c r="G2082">
        <v>31.2</v>
      </c>
      <c r="H2082">
        <v>27.7</v>
      </c>
      <c r="I2082">
        <v>28.5</v>
      </c>
      <c r="J2082">
        <v>-46</v>
      </c>
      <c r="K2082">
        <v>5.4</v>
      </c>
      <c r="L2082" s="2"/>
    </row>
    <row r="2083" spans="1:12" x14ac:dyDescent="0.25">
      <c r="A2083" s="2" t="s">
        <v>30</v>
      </c>
      <c r="B2083" s="2" t="s">
        <v>31</v>
      </c>
      <c r="C2083" s="2" t="s">
        <v>32</v>
      </c>
      <c r="D2083" s="2" t="s">
        <v>98</v>
      </c>
      <c r="E2083">
        <v>8.3571000000000009</v>
      </c>
      <c r="F2083">
        <v>-4180.3</v>
      </c>
      <c r="G2083">
        <v>31.2</v>
      </c>
      <c r="H2083">
        <v>27.4</v>
      </c>
      <c r="I2083">
        <v>28.5</v>
      </c>
      <c r="J2083">
        <v>-55.7</v>
      </c>
      <c r="K2083">
        <v>1.4</v>
      </c>
      <c r="L2083" s="2"/>
    </row>
    <row r="2084" spans="1:12" x14ac:dyDescent="0.25">
      <c r="A2084" s="2" t="s">
        <v>30</v>
      </c>
      <c r="B2084" s="2" t="s">
        <v>31</v>
      </c>
      <c r="C2084" s="2" t="s">
        <v>32</v>
      </c>
      <c r="D2084" s="2" t="s">
        <v>98</v>
      </c>
      <c r="E2084">
        <v>9.2857000000000003</v>
      </c>
      <c r="F2084">
        <v>-4180.3</v>
      </c>
      <c r="G2084">
        <v>31.2</v>
      </c>
      <c r="H2084">
        <v>27</v>
      </c>
      <c r="I2084">
        <v>28.5</v>
      </c>
      <c r="J2084">
        <v>-64.8</v>
      </c>
      <c r="K2084">
        <v>-2.6</v>
      </c>
      <c r="L2084" s="2"/>
    </row>
    <row r="2085" spans="1:12" x14ac:dyDescent="0.25">
      <c r="A2085" s="2" t="s">
        <v>30</v>
      </c>
      <c r="B2085" s="2" t="s">
        <v>31</v>
      </c>
      <c r="C2085" s="2" t="s">
        <v>32</v>
      </c>
      <c r="D2085" s="2" t="s">
        <v>98</v>
      </c>
      <c r="E2085">
        <v>10.2143</v>
      </c>
      <c r="F2085">
        <v>-4180.3</v>
      </c>
      <c r="G2085">
        <v>31.2</v>
      </c>
      <c r="H2085">
        <v>26.7</v>
      </c>
      <c r="I2085">
        <v>28.5</v>
      </c>
      <c r="J2085">
        <v>-73.2</v>
      </c>
      <c r="K2085">
        <v>-6.7</v>
      </c>
      <c r="L2085" s="2"/>
    </row>
    <row r="2086" spans="1:12" x14ac:dyDescent="0.25">
      <c r="A2086" s="2" t="s">
        <v>30</v>
      </c>
      <c r="B2086" s="2" t="s">
        <v>31</v>
      </c>
      <c r="C2086" s="2" t="s">
        <v>32</v>
      </c>
      <c r="D2086" s="2" t="s">
        <v>98</v>
      </c>
      <c r="E2086">
        <v>11.142899999999999</v>
      </c>
      <c r="F2086">
        <v>-4180.3</v>
      </c>
      <c r="G2086">
        <v>31.2</v>
      </c>
      <c r="H2086">
        <v>26.3</v>
      </c>
      <c r="I2086">
        <v>28.5</v>
      </c>
      <c r="J2086">
        <v>-80.7</v>
      </c>
      <c r="K2086">
        <v>-10.7</v>
      </c>
      <c r="L2086" s="2"/>
    </row>
    <row r="2087" spans="1:12" x14ac:dyDescent="0.25">
      <c r="A2087" s="2" t="s">
        <v>30</v>
      </c>
      <c r="B2087" s="2" t="s">
        <v>31</v>
      </c>
      <c r="C2087" s="2" t="s">
        <v>32</v>
      </c>
      <c r="D2087" s="2" t="s">
        <v>98</v>
      </c>
      <c r="E2087">
        <v>12.071400000000001</v>
      </c>
      <c r="F2087">
        <v>-4180.3</v>
      </c>
      <c r="G2087">
        <v>31.2</v>
      </c>
      <c r="H2087">
        <v>25.9</v>
      </c>
      <c r="I2087">
        <v>28.5</v>
      </c>
      <c r="J2087">
        <v>-87.4</v>
      </c>
      <c r="K2087">
        <v>-14.8</v>
      </c>
      <c r="L2087" s="2"/>
    </row>
    <row r="2088" spans="1:12" x14ac:dyDescent="0.25">
      <c r="A2088" s="2" t="s">
        <v>30</v>
      </c>
      <c r="B2088" s="2" t="s">
        <v>31</v>
      </c>
      <c r="C2088" s="2" t="s">
        <v>32</v>
      </c>
      <c r="D2088" s="2" t="s">
        <v>98</v>
      </c>
      <c r="E2088">
        <v>13</v>
      </c>
      <c r="F2088">
        <v>-4180.3</v>
      </c>
      <c r="G2088">
        <v>31.2</v>
      </c>
      <c r="H2088">
        <v>25.6</v>
      </c>
      <c r="I2088">
        <v>28.5</v>
      </c>
      <c r="J2088">
        <v>-93.2</v>
      </c>
      <c r="K2088">
        <v>-18.8</v>
      </c>
      <c r="L2088" s="2"/>
    </row>
    <row r="2089" spans="1:12" x14ac:dyDescent="0.25">
      <c r="A2089" s="2" t="s">
        <v>30</v>
      </c>
      <c r="B2089" s="2" t="s">
        <v>31</v>
      </c>
      <c r="C2089" s="2" t="s">
        <v>32</v>
      </c>
      <c r="D2089" s="2" t="s">
        <v>98</v>
      </c>
      <c r="E2089">
        <v>0</v>
      </c>
      <c r="F2089">
        <v>-11279.7</v>
      </c>
      <c r="G2089">
        <v>3.8</v>
      </c>
      <c r="H2089">
        <v>7.2</v>
      </c>
      <c r="I2089">
        <v>18.2</v>
      </c>
      <c r="J2089">
        <v>47.1</v>
      </c>
      <c r="K2089">
        <v>36.200000000000003</v>
      </c>
      <c r="L2089" s="2"/>
    </row>
    <row r="2090" spans="1:12" x14ac:dyDescent="0.25">
      <c r="A2090" s="2" t="s">
        <v>30</v>
      </c>
      <c r="B2090" s="2" t="s">
        <v>31</v>
      </c>
      <c r="C2090" s="2" t="s">
        <v>32</v>
      </c>
      <c r="D2090" s="2" t="s">
        <v>98</v>
      </c>
      <c r="E2090">
        <v>0.92859999999999998</v>
      </c>
      <c r="F2090">
        <v>-11247.5</v>
      </c>
      <c r="G2090">
        <v>3.8</v>
      </c>
      <c r="H2090">
        <v>6.8</v>
      </c>
      <c r="I2090">
        <v>18.2</v>
      </c>
      <c r="J2090">
        <v>34.5</v>
      </c>
      <c r="K2090">
        <v>32.6</v>
      </c>
      <c r="L2090" s="2"/>
    </row>
    <row r="2091" spans="1:12" x14ac:dyDescent="0.25">
      <c r="A2091" s="2" t="s">
        <v>30</v>
      </c>
      <c r="B2091" s="2" t="s">
        <v>31</v>
      </c>
      <c r="C2091" s="2" t="s">
        <v>32</v>
      </c>
      <c r="D2091" s="2" t="s">
        <v>98</v>
      </c>
      <c r="E2091">
        <v>1.8571</v>
      </c>
      <c r="F2091">
        <v>-11215.3</v>
      </c>
      <c r="G2091">
        <v>3.8</v>
      </c>
      <c r="H2091">
        <v>6.5</v>
      </c>
      <c r="I2091">
        <v>18.2</v>
      </c>
      <c r="J2091">
        <v>21.8</v>
      </c>
      <c r="K2091">
        <v>28.9</v>
      </c>
      <c r="L2091" s="2"/>
    </row>
    <row r="2092" spans="1:12" x14ac:dyDescent="0.25">
      <c r="A2092" s="2" t="s">
        <v>30</v>
      </c>
      <c r="B2092" s="2" t="s">
        <v>31</v>
      </c>
      <c r="C2092" s="2" t="s">
        <v>32</v>
      </c>
      <c r="D2092" s="2" t="s">
        <v>98</v>
      </c>
      <c r="E2092">
        <v>2.7856999999999998</v>
      </c>
      <c r="F2092">
        <v>-11183.2</v>
      </c>
      <c r="G2092">
        <v>3.8</v>
      </c>
      <c r="H2092">
        <v>6.1</v>
      </c>
      <c r="I2092">
        <v>18.2</v>
      </c>
      <c r="J2092">
        <v>9.1999999999999993</v>
      </c>
      <c r="K2092">
        <v>25.1</v>
      </c>
      <c r="L2092" s="2"/>
    </row>
    <row r="2093" spans="1:12" x14ac:dyDescent="0.25">
      <c r="A2093" s="2" t="s">
        <v>30</v>
      </c>
      <c r="B2093" s="2" t="s">
        <v>31</v>
      </c>
      <c r="C2093" s="2" t="s">
        <v>32</v>
      </c>
      <c r="D2093" s="2" t="s">
        <v>98</v>
      </c>
      <c r="E2093">
        <v>3.7143000000000002</v>
      </c>
      <c r="F2093">
        <v>-11151</v>
      </c>
      <c r="G2093">
        <v>3.8</v>
      </c>
      <c r="H2093">
        <v>5.8</v>
      </c>
      <c r="I2093">
        <v>18.2</v>
      </c>
      <c r="J2093">
        <v>-3.1</v>
      </c>
      <c r="K2093">
        <v>21.3</v>
      </c>
      <c r="L2093" s="2"/>
    </row>
    <row r="2094" spans="1:12" x14ac:dyDescent="0.25">
      <c r="A2094" s="2" t="s">
        <v>30</v>
      </c>
      <c r="B2094" s="2" t="s">
        <v>31</v>
      </c>
      <c r="C2094" s="2" t="s">
        <v>32</v>
      </c>
      <c r="D2094" s="2" t="s">
        <v>98</v>
      </c>
      <c r="E2094">
        <v>4.6429</v>
      </c>
      <c r="F2094">
        <v>-11118.8</v>
      </c>
      <c r="G2094">
        <v>3.8</v>
      </c>
      <c r="H2094">
        <v>5.4</v>
      </c>
      <c r="I2094">
        <v>18.2</v>
      </c>
      <c r="J2094">
        <v>-26.1</v>
      </c>
      <c r="K2094">
        <v>-0.9</v>
      </c>
      <c r="L2094" s="2"/>
    </row>
    <row r="2095" spans="1:12" x14ac:dyDescent="0.25">
      <c r="A2095" s="2" t="s">
        <v>30</v>
      </c>
      <c r="B2095" s="2" t="s">
        <v>31</v>
      </c>
      <c r="C2095" s="2" t="s">
        <v>32</v>
      </c>
      <c r="D2095" s="2" t="s">
        <v>98</v>
      </c>
      <c r="E2095">
        <v>5.5713999999999997</v>
      </c>
      <c r="F2095">
        <v>-11086.7</v>
      </c>
      <c r="G2095">
        <v>3.8</v>
      </c>
      <c r="H2095">
        <v>5.0999999999999996</v>
      </c>
      <c r="I2095">
        <v>18.2</v>
      </c>
      <c r="J2095">
        <v>-60</v>
      </c>
      <c r="K2095">
        <v>-31.1</v>
      </c>
      <c r="L2095" s="2"/>
    </row>
    <row r="2096" spans="1:12" x14ac:dyDescent="0.25">
      <c r="A2096" s="2" t="s">
        <v>30</v>
      </c>
      <c r="B2096" s="2" t="s">
        <v>31</v>
      </c>
      <c r="C2096" s="2" t="s">
        <v>32</v>
      </c>
      <c r="D2096" s="2" t="s">
        <v>98</v>
      </c>
      <c r="E2096">
        <v>6.5</v>
      </c>
      <c r="F2096">
        <v>-11054.5</v>
      </c>
      <c r="G2096">
        <v>3.8</v>
      </c>
      <c r="H2096">
        <v>4.7</v>
      </c>
      <c r="I2096">
        <v>18.2</v>
      </c>
      <c r="J2096">
        <v>-93.5</v>
      </c>
      <c r="K2096">
        <v>-61.3</v>
      </c>
      <c r="L2096" s="2"/>
    </row>
    <row r="2097" spans="1:12" x14ac:dyDescent="0.25">
      <c r="A2097" s="2" t="s">
        <v>30</v>
      </c>
      <c r="B2097" s="2" t="s">
        <v>31</v>
      </c>
      <c r="C2097" s="2" t="s">
        <v>32</v>
      </c>
      <c r="D2097" s="2" t="s">
        <v>98</v>
      </c>
      <c r="E2097">
        <v>7.4286000000000003</v>
      </c>
      <c r="F2097">
        <v>-11022.4</v>
      </c>
      <c r="G2097">
        <v>3.8</v>
      </c>
      <c r="H2097">
        <v>4.3</v>
      </c>
      <c r="I2097">
        <v>18.2</v>
      </c>
      <c r="J2097">
        <v>-126.3</v>
      </c>
      <c r="K2097">
        <v>-91.4</v>
      </c>
      <c r="L2097" s="2"/>
    </row>
    <row r="2098" spans="1:12" x14ac:dyDescent="0.25">
      <c r="A2098" s="2" t="s">
        <v>30</v>
      </c>
      <c r="B2098" s="2" t="s">
        <v>31</v>
      </c>
      <c r="C2098" s="2" t="s">
        <v>32</v>
      </c>
      <c r="D2098" s="2" t="s">
        <v>98</v>
      </c>
      <c r="E2098">
        <v>8.3571000000000009</v>
      </c>
      <c r="F2098">
        <v>-10990.2</v>
      </c>
      <c r="G2098">
        <v>3.8</v>
      </c>
      <c r="H2098">
        <v>4</v>
      </c>
      <c r="I2098">
        <v>18.2</v>
      </c>
      <c r="J2098">
        <v>-158.4</v>
      </c>
      <c r="K2098">
        <v>-121.3</v>
      </c>
      <c r="L2098" s="2"/>
    </row>
    <row r="2099" spans="1:12" x14ac:dyDescent="0.25">
      <c r="A2099" s="2" t="s">
        <v>30</v>
      </c>
      <c r="B2099" s="2" t="s">
        <v>31</v>
      </c>
      <c r="C2099" s="2" t="s">
        <v>32</v>
      </c>
      <c r="D2099" s="2" t="s">
        <v>98</v>
      </c>
      <c r="E2099">
        <v>9.2857000000000003</v>
      </c>
      <c r="F2099">
        <v>-10958</v>
      </c>
      <c r="G2099">
        <v>3.8</v>
      </c>
      <c r="H2099">
        <v>3.6</v>
      </c>
      <c r="I2099">
        <v>18.2</v>
      </c>
      <c r="J2099">
        <v>-189.6</v>
      </c>
      <c r="K2099">
        <v>-151</v>
      </c>
      <c r="L2099" s="2"/>
    </row>
    <row r="2100" spans="1:12" x14ac:dyDescent="0.25">
      <c r="A2100" s="2" t="s">
        <v>30</v>
      </c>
      <c r="B2100" s="2" t="s">
        <v>31</v>
      </c>
      <c r="C2100" s="2" t="s">
        <v>32</v>
      </c>
      <c r="D2100" s="2" t="s">
        <v>98</v>
      </c>
      <c r="E2100">
        <v>10.2143</v>
      </c>
      <c r="F2100">
        <v>-10925.9</v>
      </c>
      <c r="G2100">
        <v>3.8</v>
      </c>
      <c r="H2100">
        <v>3.3</v>
      </c>
      <c r="I2100">
        <v>18.2</v>
      </c>
      <c r="J2100">
        <v>-220</v>
      </c>
      <c r="K2100">
        <v>-180.5</v>
      </c>
      <c r="L2100" s="2"/>
    </row>
    <row r="2101" spans="1:12" x14ac:dyDescent="0.25">
      <c r="A2101" s="2" t="s">
        <v>30</v>
      </c>
      <c r="B2101" s="2" t="s">
        <v>31</v>
      </c>
      <c r="C2101" s="2" t="s">
        <v>32</v>
      </c>
      <c r="D2101" s="2" t="s">
        <v>98</v>
      </c>
      <c r="E2101">
        <v>11.142899999999999</v>
      </c>
      <c r="F2101">
        <v>-10893.7</v>
      </c>
      <c r="G2101">
        <v>3.8</v>
      </c>
      <c r="H2101">
        <v>2.9</v>
      </c>
      <c r="I2101">
        <v>18.2</v>
      </c>
      <c r="J2101">
        <v>-249.2</v>
      </c>
      <c r="K2101">
        <v>-209.8</v>
      </c>
      <c r="L2101" s="2"/>
    </row>
    <row r="2102" spans="1:12" x14ac:dyDescent="0.25">
      <c r="A2102" s="2" t="s">
        <v>30</v>
      </c>
      <c r="B2102" s="2" t="s">
        <v>31</v>
      </c>
      <c r="C2102" s="2" t="s">
        <v>32</v>
      </c>
      <c r="D2102" s="2" t="s">
        <v>98</v>
      </c>
      <c r="E2102">
        <v>12.071400000000001</v>
      </c>
      <c r="F2102">
        <v>-10861.5</v>
      </c>
      <c r="G2102">
        <v>3.8</v>
      </c>
      <c r="H2102">
        <v>2.6</v>
      </c>
      <c r="I2102">
        <v>18.2</v>
      </c>
      <c r="J2102">
        <v>-277.39999999999998</v>
      </c>
      <c r="K2102">
        <v>-238.6</v>
      </c>
      <c r="L2102" s="2"/>
    </row>
    <row r="2103" spans="1:12" x14ac:dyDescent="0.25">
      <c r="A2103" s="2" t="s">
        <v>30</v>
      </c>
      <c r="B2103" s="2" t="s">
        <v>31</v>
      </c>
      <c r="C2103" s="2" t="s">
        <v>32</v>
      </c>
      <c r="D2103" s="2" t="s">
        <v>98</v>
      </c>
      <c r="E2103">
        <v>13</v>
      </c>
      <c r="F2103">
        <v>-10829.4</v>
      </c>
      <c r="G2103">
        <v>3.8</v>
      </c>
      <c r="H2103">
        <v>2.2000000000000002</v>
      </c>
      <c r="I2103">
        <v>18.2</v>
      </c>
      <c r="J2103">
        <v>-304.3</v>
      </c>
      <c r="K2103">
        <v>-267.10000000000002</v>
      </c>
      <c r="L2103" s="2"/>
    </row>
  </sheetData>
  <mergeCells count="14">
    <mergeCell ref="A1:K1"/>
    <mergeCell ref="A2:A3"/>
    <mergeCell ref="B2:B3"/>
    <mergeCell ref="C2:C3"/>
    <mergeCell ref="D2:D3"/>
    <mergeCell ref="AF2:AF3"/>
    <mergeCell ref="AB2:AB3"/>
    <mergeCell ref="AA1:AM1"/>
    <mergeCell ref="BA1:BJ1"/>
    <mergeCell ref="BJ2:BJ3"/>
    <mergeCell ref="AA2:AA3"/>
    <mergeCell ref="AC2:AC3"/>
    <mergeCell ref="AD2:AD3"/>
    <mergeCell ref="AE2:AE3"/>
  </mergeCells>
  <conditionalFormatting sqref="F1:F1048576">
    <cfRule type="top10" dxfId="1" priority="1" bottom="1" rank="1"/>
    <cfRule type="top10" dxfId="0" priority="2" rank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Frame</vt:lpstr>
      <vt:lpstr>Column</vt:lpstr>
      <vt:lpstr>SLSLOADCASE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toan huynh vu minh</dc:creator>
  <cp:lastModifiedBy>toan huynh vu minh</cp:lastModifiedBy>
  <dcterms:created xsi:type="dcterms:W3CDTF">2024-03-27T14:15:23Z</dcterms:created>
  <dcterms:modified xsi:type="dcterms:W3CDTF">2025-05-03T03:01:05Z</dcterms:modified>
</cp:coreProperties>
</file>