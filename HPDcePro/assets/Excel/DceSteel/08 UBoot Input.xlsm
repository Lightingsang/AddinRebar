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/>
  <workbookPr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20DCCE69-729B-47B4-8C26-BFF931AA2952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Inpu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1" l="1"/>
  <c r="G26" i="1"/>
  <c r="G23" i="1"/>
  <c r="G22" i="1"/>
  <c r="G20" i="1"/>
  <c r="D3" i="1"/>
  <c r="I4" i="1" l="1"/>
  <c r="I3" i="1"/>
  <c r="I2" i="1"/>
  <c r="G25" i="1" l="1"/>
  <c r="G27" i="1" s="1"/>
  <c r="D11" i="1" s="1"/>
  <c r="E11" i="1" s="1"/>
  <c r="F11" i="1"/>
  <c r="A11" i="1"/>
  <c r="B11" i="1" s="1"/>
  <c r="C11" i="1"/>
</calcChain>
</file>

<file path=xl/sharedStrings.xml><?xml version="1.0" encoding="utf-8"?>
<sst xmlns="http://schemas.openxmlformats.org/spreadsheetml/2006/main" count="49" uniqueCount="42">
  <si>
    <t xml:space="preserve">Uboot </t>
  </si>
  <si>
    <t xml:space="preserve">Dài </t>
  </si>
  <si>
    <t>Tiết diện nguyên</t>
  </si>
  <si>
    <t>Rộng</t>
  </si>
  <si>
    <t>Cao</t>
  </si>
  <si>
    <t>Mũ cột</t>
  </si>
  <si>
    <t>Các thông số thay đổi độ cứng</t>
  </si>
  <si>
    <t>f11</t>
  </si>
  <si>
    <t>f22</t>
  </si>
  <si>
    <t>f12</t>
  </si>
  <si>
    <t>m11</t>
  </si>
  <si>
    <t>m22</t>
  </si>
  <si>
    <t>m12</t>
  </si>
  <si>
    <t>v13</t>
  </si>
  <si>
    <t>v23</t>
  </si>
  <si>
    <t>TL</t>
  </si>
  <si>
    <t>BẢNG THÔNG SỐ HỘP</t>
  </si>
  <si>
    <t>B =</t>
  </si>
  <si>
    <t>L =</t>
  </si>
  <si>
    <t>t1 =</t>
  </si>
  <si>
    <t>t2 =</t>
  </si>
  <si>
    <t>t3 =</t>
  </si>
  <si>
    <t>Bước</t>
  </si>
  <si>
    <r>
      <t xml:space="preserve"> </t>
    </r>
    <r>
      <rPr>
        <sz val="11"/>
        <rFont val="Symbol"/>
        <family val="1"/>
        <charset val="2"/>
      </rPr>
      <t xml:space="preserve">D </t>
    </r>
    <r>
      <rPr>
        <sz val="11"/>
        <rFont val="Times New Roman"/>
        <family val="1"/>
      </rPr>
      <t>=</t>
    </r>
  </si>
  <si>
    <t>Khoảng cách</t>
  </si>
  <si>
    <t>Diện tích mặt cắt ngang nguyên</t>
  </si>
  <si>
    <t>Anguyên =</t>
  </si>
  <si>
    <r>
      <t>mm</t>
    </r>
    <r>
      <rPr>
        <vertAlign val="superscript"/>
        <sz val="11"/>
        <color theme="1"/>
        <rFont val="Calibri"/>
        <family val="2"/>
        <scheme val="minor"/>
      </rPr>
      <t>2</t>
    </r>
  </si>
  <si>
    <t>Diện tích mặt cắt ngang hộp</t>
  </si>
  <si>
    <t>Ahộp =</t>
  </si>
  <si>
    <t>Diện tích mặt nguyên</t>
  </si>
  <si>
    <t>Diện tích mặt thực</t>
  </si>
  <si>
    <t>A mặt nguyên =</t>
  </si>
  <si>
    <t>A mặt thực =</t>
  </si>
  <si>
    <t>Moment quán tính tiết diện nguyên</t>
  </si>
  <si>
    <t>I nguyên =</t>
  </si>
  <si>
    <r>
      <t>mm</t>
    </r>
    <r>
      <rPr>
        <vertAlign val="superscript"/>
        <sz val="11"/>
        <color theme="1"/>
        <rFont val="Calibri"/>
        <family val="2"/>
        <scheme val="minor"/>
      </rPr>
      <t>4</t>
    </r>
  </si>
  <si>
    <t>Moment quán tính tiết diện hộp</t>
  </si>
  <si>
    <t>I hộp =</t>
  </si>
  <si>
    <t>Moment quán tính tiết diện thực</t>
  </si>
  <si>
    <t>I thực =</t>
  </si>
  <si>
    <t>(Công thức chỉ áp dụng đúng khi Htop = Hbot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</si>
</sst>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\ &quot;mm&quot;"/>
    <numFmt numFmtId="165" formatCode="0\ \Ф&quot;(hàng 2)&quot;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12"/>
      <color theme="0"/>
      <name val="Calibri"/>
      <family val="2"/>
      <scheme val="minor"/>
    </font>
    <font>
      <sz val="11"/>
      <color rgb="FF0000CC"/>
      <name val="Times New Roman"/>
      <family val="1"/>
    </font>
    <font>
      <sz val="1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rgb="FF0070C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Alignment="1">
      <alignment horizontal="center"/>
    </xf>
    <xf numFmtId="1" fontId="1" fillId="0" borderId="0" xfId="0" applyNumberFormat="1" applyFont="1"/>
    <xf numFmtId="0" fontId="1" fillId="0" borderId="0" xfId="0" applyFont="1"/>
    <xf numFmtId="2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/>
    </xf>
    <xf numFmtId="0" fontId="0" fillId="3" borderId="0" xfId="0" applyFill="1"/>
    <xf numFmtId="0" fontId="1" fillId="0" borderId="1" xfId="0" applyFont="1" applyBorder="1" applyAlignment="1">
      <alignment vertical="center"/>
    </xf>
    <xf numFmtId="164" fontId="3" fillId="0" borderId="1" xfId="0" applyNumberFormat="1" applyFont="1" applyBorder="1"/>
    <xf numFmtId="0" fontId="0" fillId="0" borderId="8" xfId="0" applyBorder="1"/>
    <xf numFmtId="0" fontId="1" fillId="0" borderId="8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3" fillId="0" borderId="0" xfId="0" applyNumberFormat="1" applyFont="1" applyBorder="1"/>
    <xf numFmtId="0" fontId="1" fillId="0" borderId="1" xfId="0" applyFont="1" applyBorder="1" applyAlignment="1"/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top"/>
    </xf>
    <xf numFmtId="0" fontId="1" fillId="0" borderId="9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10" xfId="0" applyFont="1" applyBorder="1" applyAlignment="1">
      <alignment horizontal="left" vertical="center"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right" vertical="center"/>
    </xf>
    <xf numFmtId="11" fontId="0" fillId="0" borderId="0" xfId="0" applyNumberFormat="1"/>
    <xf numFmtId="0" fontId="6" fillId="2" borderId="1" xfId="0" applyFont="1" applyFill="1" applyBorder="1" applyAlignment="1">
      <alignment horizontal="center" vertical="center"/>
    </xf>
    <xf numFmtId="165" fontId="6" fillId="2" borderId="1" xfId="0" applyNumberFormat="1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371912</xdr:colOff>
      <xdr:row>11</xdr:row>
      <xdr:rowOff>184190</xdr:rowOff>
    </xdr:from>
    <xdr:to>
      <xdr:col>8</xdr:col>
      <xdr:colOff>312380</xdr:colOff>
      <xdr:row>17</xdr:row>
      <xdr:rowOff>84904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3095E1-3C99-03CC-71C6-C6DC038A4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912" y="2357081"/>
          <a:ext cx="4964906" cy="1043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27"/>
  <sheetViews>
    <sheetView showGridLines="0" tabSelected="1" zoomScale="160" zoomScaleNormal="160" workbookViewId="0">
      <selection activeCell="AB8" sqref="AB8"/>
    </sheetView>
  </sheetViews>
  <sheetFormatPr defaultRowHeight="15" x14ac:dyDescent="0.25"/>
  <cols>
    <col min="7" max="7" width="11.5703125" bestFit="1" customWidth="1"/>
    <col min="10" max="25" width="0" hidden="1" customWidth="1"/>
    <col min="26" max="26" width="4.140625" style="8" customWidth="1"/>
  </cols>
  <sheetData>
    <row r="1" spans="1:9" ht="20.25" customHeight="1" x14ac:dyDescent="0.25">
      <c r="A1" s="14" t="s">
        <v>16</v>
      </c>
      <c r="B1" s="14"/>
      <c r="C1" s="14"/>
      <c r="D1" s="14"/>
      <c r="E1" s="14"/>
      <c r="F1" s="14"/>
      <c r="G1" s="14"/>
      <c r="H1" s="14"/>
      <c r="I1" s="14"/>
    </row>
    <row r="2" spans="1:9" x14ac:dyDescent="0.25">
      <c r="A2" s="13" t="s">
        <v>0</v>
      </c>
      <c r="B2" s="23" t="s">
        <v>1</v>
      </c>
      <c r="C2" s="24" t="s">
        <v>17</v>
      </c>
      <c r="D2" s="10">
        <v>520</v>
      </c>
      <c r="E2" s="11"/>
      <c r="F2" s="15" t="s">
        <v>2</v>
      </c>
      <c r="G2" s="16"/>
      <c r="H2" s="2" t="s">
        <v>1</v>
      </c>
      <c r="I2" s="1">
        <f>D2+D7</f>
        <v>680</v>
      </c>
    </row>
    <row r="3" spans="1:9" x14ac:dyDescent="0.25">
      <c r="A3" s="13"/>
      <c r="B3" s="23" t="s">
        <v>3</v>
      </c>
      <c r="C3" s="24" t="s">
        <v>18</v>
      </c>
      <c r="D3" s="1">
        <f>D2</f>
        <v>520</v>
      </c>
      <c r="E3" s="12"/>
      <c r="F3" s="17"/>
      <c r="G3" s="18"/>
      <c r="H3" s="2" t="s">
        <v>3</v>
      </c>
      <c r="I3" s="1">
        <f>D3+D7</f>
        <v>680</v>
      </c>
    </row>
    <row r="4" spans="1:9" x14ac:dyDescent="0.25">
      <c r="A4" s="13"/>
      <c r="B4" s="26" t="s">
        <v>24</v>
      </c>
      <c r="C4" s="24" t="s">
        <v>19</v>
      </c>
      <c r="D4" s="10">
        <v>90</v>
      </c>
      <c r="E4" s="12"/>
      <c r="F4" s="17"/>
      <c r="G4" s="18"/>
      <c r="H4" s="2" t="s">
        <v>4</v>
      </c>
      <c r="I4" s="1">
        <f>D4+D5+D6</f>
        <v>430</v>
      </c>
    </row>
    <row r="5" spans="1:9" x14ac:dyDescent="0.25">
      <c r="A5" s="13"/>
      <c r="B5" s="27"/>
      <c r="C5" s="24" t="s">
        <v>20</v>
      </c>
      <c r="D5" s="10">
        <v>250</v>
      </c>
      <c r="E5" s="12"/>
      <c r="F5" s="19"/>
      <c r="G5" s="20"/>
      <c r="H5" s="9" t="s">
        <v>5</v>
      </c>
      <c r="I5" s="1">
        <v>700</v>
      </c>
    </row>
    <row r="6" spans="1:9" x14ac:dyDescent="0.25">
      <c r="A6" s="13"/>
      <c r="B6" s="28"/>
      <c r="C6" s="24" t="s">
        <v>21</v>
      </c>
      <c r="D6" s="10">
        <v>90</v>
      </c>
      <c r="E6" s="3"/>
      <c r="F6" s="4"/>
      <c r="G6" s="5"/>
      <c r="H6" s="5"/>
      <c r="I6" s="5"/>
    </row>
    <row r="7" spans="1:9" ht="15" customHeight="1" x14ac:dyDescent="0.25">
      <c r="A7" s="13"/>
      <c r="B7" s="9" t="s">
        <v>22</v>
      </c>
      <c r="C7" s="25" t="s">
        <v>23</v>
      </c>
      <c r="D7" s="10">
        <v>160</v>
      </c>
      <c r="E7" s="3"/>
      <c r="F7" s="4"/>
      <c r="G7" s="5"/>
      <c r="H7" s="5"/>
      <c r="I7" s="5"/>
    </row>
    <row r="8" spans="1:9" x14ac:dyDescent="0.25">
      <c r="A8" s="21"/>
      <c r="B8" s="21"/>
      <c r="C8" s="21"/>
      <c r="D8" s="22"/>
      <c r="E8" s="3"/>
      <c r="F8" s="4"/>
      <c r="G8" s="5"/>
      <c r="H8" s="5"/>
      <c r="I8" s="5"/>
    </row>
    <row r="9" spans="1:9" ht="15.75" x14ac:dyDescent="0.25">
      <c r="A9" s="14" t="s">
        <v>6</v>
      </c>
      <c r="B9" s="14"/>
      <c r="C9" s="14"/>
      <c r="D9" s="14"/>
      <c r="E9" s="14"/>
      <c r="F9" s="14"/>
      <c r="G9" s="14"/>
      <c r="H9" s="14"/>
      <c r="I9" s="14"/>
    </row>
    <row r="10" spans="1:9" x14ac:dyDescent="0.25">
      <c r="A10" s="32" t="s">
        <v>7</v>
      </c>
      <c r="B10" s="32" t="s">
        <v>8</v>
      </c>
      <c r="C10" s="33" t="s">
        <v>9</v>
      </c>
      <c r="D10" s="32" t="s">
        <v>10</v>
      </c>
      <c r="E10" s="32" t="s">
        <v>11</v>
      </c>
      <c r="F10" s="34" t="s">
        <v>12</v>
      </c>
      <c r="G10" s="32" t="s">
        <v>13</v>
      </c>
      <c r="H10" s="32" t="s">
        <v>14</v>
      </c>
      <c r="I10" s="35" t="s">
        <v>15</v>
      </c>
    </row>
    <row r="11" spans="1:9" x14ac:dyDescent="0.25">
      <c r="A11" s="6">
        <f>(G19-G20)/G19</f>
        <v>0.55540355677154585</v>
      </c>
      <c r="B11" s="6">
        <f>A11</f>
        <v>0.55540355677154585</v>
      </c>
      <c r="C11" s="7">
        <f>(D4+D6+D5*G23/G22)/I4</f>
        <v>0.66001448459000567</v>
      </c>
      <c r="D11" s="7">
        <f>(G27*D2+G25*(I2-D2))/G25/I2</f>
        <v>0.88507790852826029</v>
      </c>
      <c r="E11" s="7">
        <f>D11</f>
        <v>0.88507790852826029</v>
      </c>
      <c r="F11" s="7">
        <f>8*((I4/2)^3-(I4/2-D6)^3)/I4^3+8*D7*((I4/2-D6)^3)/I3/I4^3</f>
        <v>0.84971726499849443</v>
      </c>
      <c r="G11" s="7"/>
      <c r="H11" s="6"/>
      <c r="I11" s="7"/>
    </row>
    <row r="19" spans="1:27" ht="17.25" x14ac:dyDescent="0.25">
      <c r="A19" s="29" t="s">
        <v>25</v>
      </c>
      <c r="F19" t="s">
        <v>26</v>
      </c>
      <c r="G19">
        <f>I2*I4</f>
        <v>292400</v>
      </c>
      <c r="H19" t="s">
        <v>27</v>
      </c>
    </row>
    <row r="20" spans="1:27" ht="17.25" x14ac:dyDescent="0.25">
      <c r="A20" s="29" t="s">
        <v>28</v>
      </c>
      <c r="F20" t="s">
        <v>29</v>
      </c>
      <c r="G20">
        <f>D2*D5</f>
        <v>130000</v>
      </c>
      <c r="H20" t="s">
        <v>27</v>
      </c>
    </row>
    <row r="22" spans="1:27" ht="17.25" x14ac:dyDescent="0.25">
      <c r="A22" s="29" t="s">
        <v>30</v>
      </c>
      <c r="F22" s="30" t="s">
        <v>32</v>
      </c>
      <c r="G22">
        <f>I2*I3</f>
        <v>462400</v>
      </c>
      <c r="H22" t="s">
        <v>27</v>
      </c>
    </row>
    <row r="23" spans="1:27" ht="17.25" x14ac:dyDescent="0.25">
      <c r="A23" s="29" t="s">
        <v>31</v>
      </c>
      <c r="F23" s="30" t="s">
        <v>33</v>
      </c>
      <c r="G23">
        <f>G22-D2*D3</f>
        <v>192000</v>
      </c>
      <c r="H23" t="s">
        <v>27</v>
      </c>
    </row>
    <row r="25" spans="1:27" ht="17.25" x14ac:dyDescent="0.25">
      <c r="A25" s="29" t="s">
        <v>34</v>
      </c>
      <c r="F25" t="s">
        <v>35</v>
      </c>
      <c r="G25" s="31">
        <f>I2*I4^3/12</f>
        <v>4505396666.666667</v>
      </c>
      <c r="H25" t="s">
        <v>36</v>
      </c>
    </row>
    <row r="26" spans="1:27" ht="17.25" x14ac:dyDescent="0.25">
      <c r="A26" s="29" t="s">
        <v>37</v>
      </c>
      <c r="F26" t="s">
        <v>38</v>
      </c>
      <c r="G26" s="31">
        <f>D2*D5^3/12</f>
        <v>677083333.33333337</v>
      </c>
      <c r="H26" t="s">
        <v>36</v>
      </c>
    </row>
    <row r="27" spans="1:27" ht="17.25" x14ac:dyDescent="0.25">
      <c r="A27" s="29" t="s">
        <v>39</v>
      </c>
      <c r="F27" t="s">
        <v>40</v>
      </c>
      <c r="G27" s="31">
        <f>G25-G26</f>
        <v>3828313333.3333335</v>
      </c>
      <c r="H27" t="s">
        <v>36</v>
      </c>
      <c r="AA27" t="s">
        <v>41</v>
      </c>
    </row>
  </sheetData>
  <mergeCells count="5">
    <mergeCell ref="A9:I9"/>
    <mergeCell ref="A1:I1"/>
    <mergeCell ref="F2:G5"/>
    <mergeCell ref="A2:A7"/>
    <mergeCell ref="B4:B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2024-04-27T16:24:49Z</dcterms:modified>
</cp:coreProperties>
</file>